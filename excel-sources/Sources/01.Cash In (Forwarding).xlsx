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sco221-my.sharepoint.com/personal/maboushady_mesco-eg_com/Documents/Mesco/Master Data/Source/Tables/IST Data/Forwarding/06.Cash In/"/>
    </mc:Choice>
  </mc:AlternateContent>
  <xr:revisionPtr revIDLastSave="38" documentId="11_78C6F30A10C4CB62AEECC9211683244451C355F7" xr6:coauthVersionLast="47" xr6:coauthVersionMax="47" xr10:uidLastSave="{9D9043B4-8ED0-4E56-9009-75409B4E626F}"/>
  <bookViews>
    <workbookView xWindow="-120" yWindow="-120" windowWidth="20730" windowHeight="1116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Sheet1!$A$1:$AY$2492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92" i="1" l="1"/>
  <c r="L2291" i="1"/>
  <c r="N2291" i="1" s="1"/>
  <c r="L2290" i="1"/>
  <c r="L2289" i="1"/>
  <c r="N2289" i="1" s="1"/>
  <c r="L2288" i="1"/>
  <c r="L2287" i="1"/>
  <c r="N2287" i="1" s="1"/>
  <c r="L2286" i="1"/>
  <c r="L2285" i="1"/>
  <c r="N2285" i="1" s="1"/>
  <c r="L2273" i="1"/>
  <c r="L2272" i="1"/>
  <c r="N2272" i="1" s="1"/>
  <c r="L2271" i="1"/>
  <c r="L2270" i="1"/>
  <c r="N2270" i="1" s="1"/>
  <c r="L2109" i="1"/>
  <c r="L2108" i="1"/>
  <c r="N2108" i="1" s="1"/>
  <c r="L2107" i="1"/>
  <c r="L2106" i="1"/>
  <c r="N2106" i="1" s="1"/>
  <c r="L2094" i="1"/>
  <c r="L2093" i="1"/>
  <c r="N2093" i="1" s="1"/>
  <c r="L2092" i="1"/>
  <c r="L2091" i="1"/>
  <c r="N2091" i="1" s="1"/>
  <c r="L2090" i="1"/>
  <c r="L2089" i="1"/>
  <c r="N2089" i="1" s="1"/>
  <c r="L2088" i="1"/>
  <c r="L2087" i="1"/>
  <c r="N2087" i="1" s="1"/>
  <c r="L2070" i="1"/>
  <c r="L2069" i="1"/>
  <c r="N2069" i="1" s="1"/>
  <c r="L2068" i="1"/>
  <c r="L2067" i="1"/>
  <c r="N2067" i="1" s="1"/>
  <c r="L2066" i="1"/>
  <c r="L2065" i="1"/>
  <c r="N2065" i="1" s="1"/>
  <c r="L2064" i="1"/>
  <c r="L2063" i="1"/>
  <c r="N2063" i="1" s="1"/>
  <c r="L2062" i="1"/>
  <c r="L2061" i="1"/>
  <c r="N2061" i="1" s="1"/>
  <c r="L2060" i="1"/>
  <c r="L2059" i="1"/>
  <c r="N2059" i="1" s="1"/>
  <c r="L2050" i="1"/>
  <c r="L2049" i="1"/>
  <c r="N2049" i="1" s="1"/>
  <c r="L2048" i="1"/>
  <c r="L2047" i="1"/>
  <c r="N2047" i="1" s="1"/>
  <c r="L2046" i="1"/>
  <c r="L2045" i="1"/>
  <c r="N2045" i="1" s="1"/>
  <c r="L2044" i="1"/>
  <c r="L2043" i="1"/>
  <c r="N2043" i="1" s="1"/>
  <c r="L1859" i="1"/>
  <c r="L1858" i="1"/>
  <c r="N1858" i="1" s="1"/>
  <c r="L1857" i="1"/>
  <c r="L1856" i="1"/>
  <c r="N1856" i="1" s="1"/>
  <c r="L1855" i="1"/>
  <c r="L1854" i="1"/>
  <c r="N1854" i="1" s="1"/>
  <c r="L1853" i="1"/>
  <c r="L1852" i="1"/>
  <c r="N1852" i="1" s="1"/>
  <c r="L1846" i="1"/>
  <c r="L1845" i="1"/>
  <c r="N1845" i="1" s="1"/>
  <c r="L1844" i="1"/>
  <c r="L1843" i="1"/>
  <c r="N1843" i="1" s="1"/>
  <c r="L1842" i="1"/>
  <c r="L1841" i="1"/>
  <c r="N1841" i="1" s="1"/>
  <c r="L1840" i="1"/>
  <c r="L1839" i="1"/>
  <c r="N1839" i="1" s="1"/>
  <c r="L1813" i="1"/>
  <c r="L1812" i="1"/>
  <c r="N1812" i="1" s="1"/>
  <c r="L1811" i="1"/>
  <c r="L1810" i="1"/>
  <c r="N1810" i="1" s="1"/>
  <c r="L1809" i="1"/>
  <c r="L1808" i="1"/>
  <c r="N1808" i="1" s="1"/>
  <c r="L1807" i="1"/>
  <c r="L1806" i="1"/>
  <c r="N1806" i="1" s="1"/>
  <c r="L1645" i="1"/>
  <c r="L1644" i="1"/>
  <c r="N1644" i="1" s="1"/>
  <c r="L1643" i="1"/>
  <c r="L1642" i="1"/>
  <c r="N1642" i="1" s="1"/>
  <c r="L1641" i="1"/>
  <c r="L1640" i="1"/>
  <c r="N1640" i="1" s="1"/>
  <c r="L1639" i="1"/>
  <c r="L1638" i="1"/>
  <c r="N1638" i="1" s="1"/>
  <c r="L1635" i="1"/>
  <c r="L1634" i="1"/>
  <c r="N1634" i="1" s="1"/>
  <c r="L1633" i="1"/>
  <c r="L1632" i="1"/>
  <c r="N1632" i="1" s="1"/>
  <c r="L1631" i="1"/>
  <c r="L1630" i="1"/>
  <c r="N1630" i="1" s="1"/>
  <c r="L1629" i="1"/>
  <c r="L1628" i="1"/>
  <c r="N1628" i="1" s="1"/>
  <c r="L1627" i="1"/>
  <c r="L1626" i="1"/>
  <c r="N1626" i="1" s="1"/>
  <c r="L1625" i="1"/>
  <c r="L1624" i="1"/>
  <c r="N1624" i="1" s="1"/>
  <c r="L1619" i="1"/>
  <c r="L1618" i="1"/>
  <c r="N1618" i="1" s="1"/>
  <c r="L1617" i="1"/>
  <c r="L1616" i="1"/>
  <c r="N1616" i="1" s="1"/>
  <c r="L1613" i="1"/>
  <c r="L1612" i="1"/>
  <c r="N1612" i="1" s="1"/>
  <c r="L1611" i="1"/>
  <c r="L1610" i="1"/>
  <c r="N1610" i="1" s="1"/>
  <c r="L1609" i="1"/>
  <c r="L1608" i="1"/>
  <c r="N1608" i="1" s="1"/>
  <c r="L1437" i="1"/>
  <c r="L1436" i="1"/>
  <c r="N1436" i="1" s="1"/>
  <c r="L1435" i="1"/>
  <c r="L1434" i="1"/>
  <c r="N1434" i="1" s="1"/>
  <c r="L1431" i="1"/>
  <c r="L1430" i="1"/>
  <c r="N1430" i="1" s="1"/>
  <c r="L1429" i="1"/>
  <c r="L1428" i="1"/>
  <c r="N1428" i="1" s="1"/>
  <c r="L1423" i="1"/>
  <c r="L1422" i="1"/>
  <c r="N1422" i="1" s="1"/>
  <c r="L1421" i="1"/>
  <c r="L1420" i="1"/>
  <c r="N1420" i="1" s="1"/>
  <c r="L1386" i="1"/>
  <c r="L1385" i="1"/>
  <c r="N1385" i="1" s="1"/>
  <c r="L1384" i="1"/>
  <c r="N1384" i="1" s="1"/>
  <c r="L1377" i="1"/>
  <c r="L1376" i="1"/>
  <c r="L1375" i="1"/>
  <c r="N1375" i="1" s="1"/>
  <c r="L1374" i="1"/>
  <c r="N1374" i="1" s="1"/>
  <c r="L1310" i="1"/>
  <c r="L1309" i="1"/>
  <c r="N1309" i="1" s="1"/>
  <c r="L1308" i="1"/>
  <c r="L1307" i="1"/>
  <c r="N1307" i="1" s="1"/>
  <c r="L1306" i="1"/>
  <c r="L1305" i="1"/>
  <c r="N1305" i="1" s="1"/>
  <c r="L1304" i="1"/>
  <c r="L1303" i="1"/>
  <c r="N1303" i="1" s="1"/>
  <c r="L1302" i="1"/>
  <c r="L1301" i="1"/>
  <c r="N1301" i="1" s="1"/>
  <c r="L1300" i="1"/>
  <c r="L1299" i="1"/>
  <c r="N1299" i="1" s="1"/>
  <c r="L1298" i="1"/>
  <c r="L1297" i="1"/>
  <c r="N1297" i="1" s="1"/>
  <c r="L1296" i="1"/>
  <c r="L1295" i="1"/>
  <c r="N1295" i="1" s="1"/>
  <c r="L1292" i="1"/>
  <c r="L1291" i="1"/>
  <c r="N1291" i="1" s="1"/>
  <c r="L1123" i="1"/>
  <c r="L1122" i="1"/>
  <c r="N1122" i="1" s="1"/>
  <c r="L1121" i="1"/>
  <c r="L1120" i="1"/>
  <c r="N1120" i="1" s="1"/>
  <c r="L1117" i="1"/>
  <c r="L1116" i="1"/>
  <c r="N1116" i="1" s="1"/>
  <c r="L1115" i="1"/>
  <c r="L1114" i="1"/>
  <c r="N1114" i="1" s="1"/>
  <c r="L1113" i="1"/>
  <c r="L1112" i="1"/>
  <c r="N1112" i="1" s="1"/>
  <c r="L1111" i="1"/>
  <c r="L1110" i="1"/>
  <c r="N1110" i="1" s="1"/>
  <c r="L1105" i="1"/>
  <c r="L1104" i="1"/>
  <c r="N1104" i="1" s="1"/>
  <c r="L1103" i="1"/>
  <c r="L1102" i="1"/>
  <c r="N1102" i="1" s="1"/>
  <c r="L915" i="1"/>
  <c r="L914" i="1"/>
  <c r="N914" i="1" s="1"/>
  <c r="L913" i="1"/>
  <c r="L912" i="1"/>
  <c r="N912" i="1" s="1"/>
  <c r="L840" i="1"/>
  <c r="L839" i="1"/>
  <c r="N839" i="1" s="1"/>
  <c r="L836" i="1"/>
  <c r="L835" i="1"/>
  <c r="N835" i="1" s="1"/>
  <c r="L834" i="1"/>
  <c r="L833" i="1"/>
  <c r="N833" i="1" s="1"/>
  <c r="L832" i="1"/>
  <c r="L831" i="1"/>
  <c r="N831" i="1" s="1"/>
  <c r="L830" i="1"/>
  <c r="L829" i="1"/>
  <c r="N829" i="1" s="1"/>
  <c r="L828" i="1"/>
  <c r="L827" i="1"/>
  <c r="N827" i="1" s="1"/>
  <c r="L826" i="1"/>
  <c r="L825" i="1"/>
  <c r="N825" i="1" s="1"/>
  <c r="L821" i="1"/>
  <c r="L820" i="1"/>
  <c r="N820" i="1" s="1"/>
  <c r="L819" i="1"/>
  <c r="L818" i="1"/>
  <c r="N818" i="1" s="1"/>
  <c r="L675" i="1"/>
  <c r="L674" i="1"/>
  <c r="N674" i="1" s="1"/>
  <c r="L673" i="1"/>
  <c r="L672" i="1"/>
  <c r="N672" i="1" s="1"/>
  <c r="L671" i="1"/>
  <c r="L670" i="1"/>
  <c r="N670" i="1" s="1"/>
  <c r="L669" i="1"/>
  <c r="L668" i="1"/>
  <c r="N668" i="1" s="1"/>
  <c r="L656" i="1"/>
  <c r="L655" i="1"/>
  <c r="N655" i="1" s="1"/>
  <c r="L654" i="1"/>
  <c r="L653" i="1"/>
  <c r="N653" i="1" s="1"/>
  <c r="L611" i="1"/>
  <c r="L610" i="1"/>
  <c r="N610" i="1" s="1"/>
  <c r="L609" i="1"/>
  <c r="L608" i="1"/>
  <c r="N608" i="1" s="1"/>
  <c r="L607" i="1"/>
  <c r="L606" i="1"/>
  <c r="N606" i="1" s="1"/>
  <c r="L605" i="1"/>
  <c r="L604" i="1"/>
  <c r="N604" i="1" s="1"/>
  <c r="L504" i="1"/>
  <c r="L503" i="1"/>
  <c r="N503" i="1" s="1"/>
  <c r="L502" i="1"/>
  <c r="L501" i="1"/>
  <c r="N501" i="1" s="1"/>
  <c r="L481" i="1"/>
  <c r="L480" i="1"/>
  <c r="N480" i="1" s="1"/>
  <c r="L479" i="1"/>
  <c r="L478" i="1"/>
  <c r="N478" i="1" s="1"/>
  <c r="L469" i="1"/>
  <c r="L468" i="1"/>
  <c r="N468" i="1" s="1"/>
  <c r="L467" i="1"/>
  <c r="L466" i="1"/>
  <c r="N466" i="1" s="1"/>
  <c r="L465" i="1"/>
  <c r="L464" i="1"/>
  <c r="N464" i="1" s="1"/>
  <c r="L463" i="1"/>
  <c r="L462" i="1"/>
  <c r="N462" i="1" s="1"/>
  <c r="L461" i="1"/>
  <c r="L460" i="1"/>
  <c r="N460" i="1" s="1"/>
  <c r="L459" i="1"/>
  <c r="L458" i="1"/>
  <c r="N458" i="1" s="1"/>
  <c r="L414" i="1"/>
  <c r="L413" i="1"/>
  <c r="N413" i="1" s="1"/>
  <c r="L412" i="1"/>
  <c r="L411" i="1"/>
  <c r="N411" i="1" s="1"/>
  <c r="L410" i="1"/>
  <c r="L409" i="1"/>
  <c r="N409" i="1" s="1"/>
  <c r="L408" i="1"/>
  <c r="L407" i="1"/>
  <c r="N407" i="1" s="1"/>
  <c r="L376" i="1"/>
  <c r="L375" i="1"/>
  <c r="N375" i="1" s="1"/>
  <c r="L374" i="1"/>
  <c r="L373" i="1"/>
  <c r="N373" i="1" s="1"/>
  <c r="L310" i="1"/>
  <c r="L309" i="1"/>
  <c r="N309" i="1" s="1"/>
  <c r="L308" i="1"/>
  <c r="L307" i="1"/>
  <c r="N307" i="1" s="1"/>
  <c r="L303" i="1"/>
  <c r="L302" i="1"/>
  <c r="N302" i="1" s="1"/>
  <c r="L301" i="1"/>
  <c r="L300" i="1"/>
  <c r="N300" i="1" s="1"/>
  <c r="L278" i="1"/>
  <c r="L277" i="1"/>
  <c r="N277" i="1" s="1"/>
  <c r="L276" i="1"/>
  <c r="L275" i="1"/>
  <c r="N275" i="1" s="1"/>
  <c r="L274" i="1"/>
  <c r="L273" i="1"/>
  <c r="N273" i="1" s="1"/>
  <c r="L272" i="1"/>
  <c r="L271" i="1"/>
  <c r="N271" i="1" s="1"/>
  <c r="L270" i="1"/>
  <c r="L269" i="1"/>
  <c r="N269" i="1" s="1"/>
  <c r="L268" i="1"/>
  <c r="L267" i="1"/>
  <c r="N267" i="1" s="1"/>
  <c r="L266" i="1"/>
  <c r="L265" i="1"/>
  <c r="N265" i="1" s="1"/>
  <c r="L264" i="1"/>
  <c r="L263" i="1"/>
  <c r="N263" i="1" s="1"/>
  <c r="L235" i="1"/>
  <c r="L234" i="1"/>
  <c r="N234" i="1" s="1"/>
  <c r="L233" i="1"/>
  <c r="L232" i="1"/>
  <c r="N232" i="1" s="1"/>
  <c r="L172" i="1"/>
  <c r="L171" i="1"/>
  <c r="N171" i="1" s="1"/>
  <c r="L170" i="1"/>
  <c r="L169" i="1"/>
  <c r="N169" i="1" s="1"/>
  <c r="L168" i="1"/>
  <c r="L167" i="1"/>
  <c r="N167" i="1" s="1"/>
  <c r="L166" i="1"/>
  <c r="L165" i="1"/>
  <c r="N165" i="1" s="1"/>
  <c r="L161" i="1"/>
  <c r="L160" i="1"/>
  <c r="N160" i="1" s="1"/>
  <c r="L159" i="1"/>
  <c r="L158" i="1"/>
  <c r="N158" i="1" s="1"/>
  <c r="L157" i="1"/>
  <c r="L156" i="1"/>
  <c r="N156" i="1" s="1"/>
  <c r="L155" i="1"/>
  <c r="L154" i="1"/>
  <c r="N154" i="1" s="1"/>
  <c r="L48" i="1"/>
  <c r="L47" i="1"/>
  <c r="N47" i="1" s="1"/>
  <c r="L46" i="1"/>
  <c r="L45" i="1"/>
  <c r="N45" i="1" s="1"/>
  <c r="L44" i="1"/>
  <c r="L43" i="1"/>
  <c r="N43" i="1" s="1"/>
  <c r="L42" i="1"/>
  <c r="L41" i="1"/>
  <c r="N41" i="1" s="1"/>
  <c r="L22" i="1"/>
  <c r="L21" i="1"/>
  <c r="N21" i="1" s="1"/>
  <c r="L20" i="1"/>
  <c r="L19" i="1"/>
  <c r="N19" i="1" s="1"/>
  <c r="L14" i="1"/>
  <c r="L13" i="1"/>
  <c r="N13" i="1" s="1"/>
  <c r="L12" i="1"/>
  <c r="L11" i="1"/>
  <c r="N11" i="1" s="1"/>
  <c r="L10" i="1"/>
  <c r="L9" i="1"/>
  <c r="N9" i="1" s="1"/>
  <c r="L8" i="1"/>
  <c r="L7" i="1"/>
  <c r="N7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" i="1"/>
</calcChain>
</file>

<file path=xl/sharedStrings.xml><?xml version="1.0" encoding="utf-8"?>
<sst xmlns="http://schemas.openxmlformats.org/spreadsheetml/2006/main" count="88366" uniqueCount="9130">
  <si>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</si>
  <si>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</si>
  <si>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</si>
  <si>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</si>
  <si>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</si>
  <si>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</si>
  <si>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</si>
  <si>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</si>
  <si>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</si>
  <si>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</si>
  <si>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</si>
  <si>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</si>
  <si>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</si>
  <si>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</si>
  <si>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</si>
  <si>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</si>
  <si>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</si>
  <si>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</si>
  <si>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</si>
  <si>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</si>
  <si>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</si>
  <si>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</si>
  <si>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</si>
  <si>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</si>
  <si>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</si>
  <si>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</si>
  <si>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</si>
  <si>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</si>
  <si>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</si>
  <si>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</si>
  <si>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</si>
  <si>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</si>
  <si>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</si>
  <si>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</si>
  <si>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</si>
  <si>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</si>
  <si>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</si>
  <si>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</si>
  <si>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</si>
  <si>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</si>
  <si>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</si>
  <si>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</si>
  <si>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</si>
  <si>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</si>
  <si>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</si>
  <si>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</si>
  <si>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</si>
  <si>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</si>
  <si>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</si>
  <si>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</si>
  <si>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</si>
  <si>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</si>
  <si>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</si>
  <si>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CashIn</t>
  </si>
  <si>
    <t>ALEXHO EG-1</t>
  </si>
  <si>
    <t>CashIn-000000005</t>
  </si>
  <si>
    <t>2025-01-02</t>
  </si>
  <si>
    <t>Petty cash</t>
  </si>
  <si>
    <t>ALEXHO EG</t>
  </si>
  <si>
    <t>|1201|012|001|001|101000155|101000155||||3142|3142|Prepaid|||IMPORT||||</t>
  </si>
  <si>
    <t>O25-IMP-OC-40|‏ME_Q-20250106655-IMP-FCL‎|‏Sl-000009‎|‏Ag-000068‎|‏246152134‎|‏‎|‏‎|‏‎|‏‎|‏‎|‏NLRTM Rotterdam‎|‏EGALY Alexandria, Egypt (old)‎|‏‎|‏‎|‏‎|‏‎|‏‎|‏02/01/2025‎|‏31/01/2025‎</t>
  </si>
  <si>
    <t>EGP</t>
  </si>
  <si>
    <t>No</t>
  </si>
  <si>
    <t>Non-Taxabl</t>
  </si>
  <si>
    <t>Current</t>
  </si>
  <si>
    <t>In</t>
  </si>
  <si>
    <t>Customer Collection</t>
  </si>
  <si>
    <t>Cash</t>
  </si>
  <si>
    <t>2.0000000000000000</t>
  </si>
  <si>
    <t>Cust</t>
  </si>
  <si>
    <t>101000155</t>
  </si>
  <si>
    <t>202499154</t>
  </si>
  <si>
    <t>3/INV</t>
  </si>
  <si>
    <t>000000003/Invoice</t>
  </si>
  <si>
    <t>Cust-PP</t>
  </si>
  <si>
    <t>3.0000000000000000</t>
  </si>
  <si>
    <t>POS</t>
  </si>
  <si>
    <t>POS_EG-1</t>
  </si>
  <si>
    <t>POS-000000016</t>
  </si>
  <si>
    <t>2025-01-04</t>
  </si>
  <si>
    <t>Bank</t>
  </si>
  <si>
    <t>POS-EG</t>
  </si>
  <si>
    <t>|1301|013|001|001|101001017|101001017||||3031|3336|Collect|||IMPORT||||</t>
  </si>
  <si>
    <t>O25-IMP-OC-20|‏ME_Q-20241205212-IMP-LCL‎|‏RP-000001‎|‏RP-000001‎|‏‎|‏‎|‏‎|‏‎|‏‎|‏MAERSK NARMADA‎|‏ESBCN Barcelona‎|‏696 ALEXANDRIA‎|‏01/01/2025‎|‏‎|‏01/01/2025‎|‏‎|‏‎|‏01/01/2025‎|‏‎</t>
  </si>
  <si>
    <t>4.0000000000000000</t>
  </si>
  <si>
    <t>101001017</t>
  </si>
  <si>
    <t>276400828</t>
  </si>
  <si>
    <t>18/NAFEZA SERVICE</t>
  </si>
  <si>
    <t>000000018/Invoice</t>
  </si>
  <si>
    <t>5.0000000000000000</t>
  </si>
  <si>
    <t>19/THC</t>
  </si>
  <si>
    <t>000000019/Invoice</t>
  </si>
  <si>
    <t>6.0000000000000000</t>
  </si>
  <si>
    <t>Airport EG-1</t>
  </si>
  <si>
    <t>CashIn-000000012</t>
  </si>
  <si>
    <t>Airport EG</t>
  </si>
  <si>
    <t>|1101|011|001|004|101000267|101000267||||4019|4018|Collect|||IMPORT||||</t>
  </si>
  <si>
    <t>O25-IMP-AI-110|‏ME_Q-20250106775-IMP-AI‎|‏Al-000017‎|‏Ag-000053‎|‏157-31856473‎|‏‎|‏‎|‏‎|‏‎|‏‎|‏TPE TAIPEI‎|‏CAI CAIRO‎|‏‎|‏‎|‏02/01/2025‎|‏‎|‏‎|‏04/01/2025‎|‏31/01/2025‎</t>
  </si>
  <si>
    <t>7.0000000000000000</t>
  </si>
  <si>
    <t>101000267</t>
  </si>
  <si>
    <t>204933870</t>
  </si>
  <si>
    <t>20/INV</t>
  </si>
  <si>
    <t>000000020/Invoice</t>
  </si>
  <si>
    <t>8.0000000000000000</t>
  </si>
  <si>
    <t>Airport EG-2</t>
  </si>
  <si>
    <t>CashIn-000000013</t>
  </si>
  <si>
    <t>9.0000000000000000</t>
  </si>
  <si>
    <t>2/OFFICIAL</t>
  </si>
  <si>
    <t>000000002/OR-FW</t>
  </si>
  <si>
    <t>10.0000000000000000</t>
  </si>
  <si>
    <t>Airport EG-3</t>
  </si>
  <si>
    <t>CashIn-000000014</t>
  </si>
  <si>
    <t>O25-IMP-AI-112|‏ME_Q-20250106776-IMP-AI‎|‏Al-000010‎|‏Ag-000066‎|‏607-36035893‎|‏‎|‏‎|‏‎|‏‎|‏‎|‏CMB COLOMBO‎|‏CAI CAIRO‎|‏‎|‏‎|‏02/01/2025‎|‏‎|‏‎|‏04/01/2025‎|‏31/01/2025‎</t>
  </si>
  <si>
    <t>11.0000000000000000</t>
  </si>
  <si>
    <t>22/INV</t>
  </si>
  <si>
    <t>000000022/Invoice</t>
  </si>
  <si>
    <t>12.0000000000000000</t>
  </si>
  <si>
    <t>Airport EG-4</t>
  </si>
  <si>
    <t>CashIn-000000015</t>
  </si>
  <si>
    <t>13.0000000000000000</t>
  </si>
  <si>
    <t>3/OFFICIAL</t>
  </si>
  <si>
    <t>000000003/OR-FW</t>
  </si>
  <si>
    <t>14.0000000000000000</t>
  </si>
  <si>
    <t>ALEXHO EU-1</t>
  </si>
  <si>
    <t>CashIn-000000017</t>
  </si>
  <si>
    <t>ALEXHO EU</t>
  </si>
  <si>
    <t>EUR</t>
  </si>
  <si>
    <t>15.0000000000000000</t>
  </si>
  <si>
    <t>1/مطالبة نولون محصلة لصالح الغير</t>
  </si>
  <si>
    <t>000000001/OF-FW</t>
  </si>
  <si>
    <t>16.0000000000000000</t>
  </si>
  <si>
    <t>POS_EG-2</t>
  </si>
  <si>
    <t>POS-000000020</t>
  </si>
  <si>
    <t>2025-01-05</t>
  </si>
  <si>
    <t>|1201|012|001|001|101003376|101003376||||3142|3142|Payable|||IMPORT||||</t>
  </si>
  <si>
    <t>O25-IMP-OC-132|‏ME_Q-20250106840-IMP-FCL‎|‏Sl-000009‎|‏Ag-000068‎|‏246807951‎|‏‎|‏‎|‏‎|‏‎|‏‎|‏DEHAM Hamburg‎|‏EGALY Alexandria, Egypt (old)‎|‏‎|‏‎|‏‎|‏‎|‏‎|‏05/01/2025‎|‏31/01/2025‎</t>
  </si>
  <si>
    <t>17.0000000000000000</t>
  </si>
  <si>
    <t>101003376</t>
  </si>
  <si>
    <t>487114108</t>
  </si>
  <si>
    <t>76/INV</t>
  </si>
  <si>
    <t>000000076/Invoice</t>
  </si>
  <si>
    <t>18.0000000000000000</t>
  </si>
  <si>
    <t>Airport EG-5</t>
  </si>
  <si>
    <t>CashIn-000000060</t>
  </si>
  <si>
    <t>2025-01-06</t>
  </si>
  <si>
    <t>|1101|011|001|004|101003811|101003811||||FREEHAND|FREEHAND|Prepaid|||IMPORT||||</t>
  </si>
  <si>
    <t>O25-IMP-AI-149|‏‎|‏Al-000021‎|‏ALTUN LOJISTIK AS‎|‏235-29773214‎|‏‎|‏‎|‏‎|‏‎|‏‎|‏IST ISTANBUL AIRPORT‎|‏CAI CAIRO‎|‏05/01/2025‎|‏‎|‏05/01/2025‎|‏‎|‏‎|‏05/01/2025‎|‏31/01/2025‎</t>
  </si>
  <si>
    <t>19.0000000000000000</t>
  </si>
  <si>
    <t>101003811</t>
  </si>
  <si>
    <t>565220004</t>
  </si>
  <si>
    <t>140/INV</t>
  </si>
  <si>
    <t>000000140/Invoice</t>
  </si>
  <si>
    <t>20.0000000000000000</t>
  </si>
  <si>
    <t>Airport EG-6</t>
  </si>
  <si>
    <t>CashIn-000000061</t>
  </si>
  <si>
    <t>21.0000000000000000</t>
  </si>
  <si>
    <t>82/OFFICIAL</t>
  </si>
  <si>
    <t>000000082/OR-FW</t>
  </si>
  <si>
    <t>22.0000000000000000</t>
  </si>
  <si>
    <t>BankIn</t>
  </si>
  <si>
    <t>QNB_EG_CA1-1</t>
  </si>
  <si>
    <t>BankIn-000000065</t>
  </si>
  <si>
    <t>QNB-EG-CA1</t>
  </si>
  <si>
    <t>|1101|011|001|004|101004540|101004540||||3068|4018|Collect|||IMPORT||||</t>
  </si>
  <si>
    <t>O25-IMP-AI-39|‏ME_Q-20250106652-IMP-AI‎|‏Al-000006‎|‏Ag-000121‎|‏077-58856722‎|‏‎|‏‎|‏‎|‏‎|‏‎|‏PVG SHANGHAI‎|‏CAI CAIRO‎|‏‎|‏‎|‏03/01/2025‎|‏‎|‏‎|‏02/01/2025‎|‏31/01/2025‎</t>
  </si>
  <si>
    <t>Deposit</t>
  </si>
  <si>
    <t>23.0000000000000000</t>
  </si>
  <si>
    <t>101004540</t>
  </si>
  <si>
    <t>554833980</t>
  </si>
  <si>
    <t>78/OFFICIAL</t>
  </si>
  <si>
    <t>000000078/OR-FW</t>
  </si>
  <si>
    <t>24.0000000000000000</t>
  </si>
  <si>
    <t>124/INV</t>
  </si>
  <si>
    <t>000000124/Invoice</t>
  </si>
  <si>
    <t>25.0000000000000000</t>
  </si>
  <si>
    <t>QNB_US_CA1-1</t>
  </si>
  <si>
    <t>BankIn-000000066</t>
  </si>
  <si>
    <t>QNB-US-CA1</t>
  </si>
  <si>
    <t>USD</t>
  </si>
  <si>
    <t>26.0000000000000000</t>
  </si>
  <si>
    <t>125/INV</t>
  </si>
  <si>
    <t>000000125/Invoice</t>
  </si>
  <si>
    <t>27.0000000000000000</t>
  </si>
  <si>
    <t>ALEXHO EG-3</t>
  </si>
  <si>
    <t>CashIn-000000095</t>
  </si>
  <si>
    <t>|1301|013|001|001|101000123|101000123||||3038|3336|Collect|||IMPORT||||</t>
  </si>
  <si>
    <t>O25-IMP-OC-42|‏ME_Q-20241205213-IMP-LCL‎|‏RP-000007‎|‏RP-000001‎|‏‎|‏‎|‏‎|‏‎|‏‎|‏MSC DARIEN‎|‏BEANR Antwerp‎|‏EGEDK Dekheila, Alexandria‎|‏02/01/2025‎|‏‎|‏02/01/2025‎|‏‎|‏‎|‏02/01/2025‎|‏31/01/2025‎</t>
  </si>
  <si>
    <t>28.0000000000000000</t>
  </si>
  <si>
    <t>101000123</t>
  </si>
  <si>
    <t>203519523</t>
  </si>
  <si>
    <t>110/THC</t>
  </si>
  <si>
    <t>000000110/Invoice</t>
  </si>
  <si>
    <t>29.0000000000000000</t>
  </si>
  <si>
    <t>ALEXHO EG-4</t>
  </si>
  <si>
    <t>CashIn-000000096</t>
  </si>
  <si>
    <t>30.0000000000000000</t>
  </si>
  <si>
    <t>109/NAFEZA SERVICE</t>
  </si>
  <si>
    <t>000000109/Invoice</t>
  </si>
  <si>
    <t>31.0000000000000000</t>
  </si>
  <si>
    <t>ALEXHO EG-5</t>
  </si>
  <si>
    <t>CashIn-000000114</t>
  </si>
  <si>
    <t>Petty Cash</t>
  </si>
  <si>
    <t>|1301|013|001|001|||||||||||IMPORT||||</t>
  </si>
  <si>
    <t>O25-IMP-OC-21|‏ME_Q-20241205630-IMP-LCL‎|‏Sl-000004‎|‏RP-000001‎|‏‎|‏‎|‏‎|‏‎|‏‎|‏MAERSK NARMADA‎|‏ITGOA Genoa‎|‏696 ALEXANDRIA‎|‏01/01/2025‎|‏‎|‏01/01/2025‎|‏‎|‏‎|‏01/01/2025‎|‏‎</t>
  </si>
  <si>
    <t>3/مطالبة نولون محصلة لصالح الغير</t>
  </si>
  <si>
    <t>32.0000000000000000</t>
  </si>
  <si>
    <t>101000094</t>
  </si>
  <si>
    <t>|1301|013|001|001|101000094||||||||||IMPORT||||</t>
  </si>
  <si>
    <t>705999300</t>
  </si>
  <si>
    <t>33.0000000000000000</t>
  </si>
  <si>
    <t>Ledger</t>
  </si>
  <si>
    <t>421103|1301|013|001|001|101000094||||||||||IMPORT||||</t>
  </si>
  <si>
    <t>34.0000000000000000</t>
  </si>
  <si>
    <t>ALEXHO EG-6</t>
  </si>
  <si>
    <t>CashIn-000000115</t>
  </si>
  <si>
    <t>|1301|013|001|001|101000094|101000094||||3075|3336|Collect|||IMPORT||||</t>
  </si>
  <si>
    <t>35.0000000000000000</t>
  </si>
  <si>
    <t>105/THC</t>
  </si>
  <si>
    <t>000000105/Invoice</t>
  </si>
  <si>
    <t>36.0000000000000000</t>
  </si>
  <si>
    <t>ALEXHO EG-7</t>
  </si>
  <si>
    <t>CashIn-000000116</t>
  </si>
  <si>
    <t>37.0000000000000000</t>
  </si>
  <si>
    <t>104/NAFEZA SERVICE</t>
  </si>
  <si>
    <t>000000104/Invoice</t>
  </si>
  <si>
    <t>38.0000000000000000</t>
  </si>
  <si>
    <t>ALEXHO EG-8</t>
  </si>
  <si>
    <t>CashIn-000000117</t>
  </si>
  <si>
    <t>|1201|012|001|001|101002847|101000027||||3038|3205|Payable|||IMPORT||||</t>
  </si>
  <si>
    <t>O25-IMP-OC-185|‏ME_Q-20241104133-IMP-FCL‎|‏Sl-000014‎|‏Ag-000116‎|‏MEDITRANALY000069‎|‏‎|‏‎|‏‎|‏‎|‏‎|‏ITGOA Genoa‎|‏EGALY Alexandria, Egypt (old)‎|‏‎|‏‎|‏‎|‏‎|‏‎|‏06/01/2025‎|‏31/01/2025‎</t>
  </si>
  <si>
    <t>39.0000000000000000</t>
  </si>
  <si>
    <t>101002847</t>
  </si>
  <si>
    <t>340126485</t>
  </si>
  <si>
    <t>107/INV</t>
  </si>
  <si>
    <t>000000107/Invoice</t>
  </si>
  <si>
    <t>40.0000000000000000</t>
  </si>
  <si>
    <t>Airport EG-7</t>
  </si>
  <si>
    <t>CashIn-000000126</t>
  </si>
  <si>
    <t>2025-01-08</t>
  </si>
  <si>
    <t>|1101|011|001|004|101002387|101002387||||FREEHAND|FREEHAND|Prepaid|||IMPORT||||</t>
  </si>
  <si>
    <t>O25-IMP-AI-150|‏‎|‏Al-000021‎|‏ALTUN LOJISTIK AS‎|‏235-29773214‎|‏‎|‏‎|‏‎|‏‎|‏‎|‏IST ISTANBUL AIRPORT‎|‏CAI CAIRO‎|‏05/01/2025‎|‏‎|‏05/01/2025‎|‏‎|‏‎|‏05/01/2025‎|‏31/01/2025‎</t>
  </si>
  <si>
    <t>41.0000000000000000</t>
  </si>
  <si>
    <t>101002387</t>
  </si>
  <si>
    <t>222931523</t>
  </si>
  <si>
    <t>173/INV</t>
  </si>
  <si>
    <t>000000173/Invoice</t>
  </si>
  <si>
    <t>42.0000000000000000</t>
  </si>
  <si>
    <t>Airport EG-8</t>
  </si>
  <si>
    <t>CashIn-000000127</t>
  </si>
  <si>
    <t>43.0000000000000000</t>
  </si>
  <si>
    <t>87/OFFICIAL</t>
  </si>
  <si>
    <t>000000087/OR-FW</t>
  </si>
  <si>
    <t>44.0000000000000000</t>
  </si>
  <si>
    <t>Airport EG-9</t>
  </si>
  <si>
    <t>CashIn-000000128</t>
  </si>
  <si>
    <t>|1101|011|001|004|101000267|101000267||||4019|4012|Prepaid|||IMPORT||||</t>
  </si>
  <si>
    <t>O25-IMP-AI-224|‏‎|‏Al-000020‎|‏‎|‏876-TWL24121273‎|‏‎|‏‎|‏‎|‏‎|‏‎|‏CTU CHENGDU‎|‏CAI CAIRO‎|‏‎|‏‎|‏07/01/2025‎|‏‎|‏‎|‏06/01/2025‎|‏31/01/2025‎</t>
  </si>
  <si>
    <t>45.0000000000000000</t>
  </si>
  <si>
    <t>207/INV</t>
  </si>
  <si>
    <t>000000207/Invoice</t>
  </si>
  <si>
    <t>46.0000000000000000</t>
  </si>
  <si>
    <t>Airport EG-10</t>
  </si>
  <si>
    <t>CashIn-000000129</t>
  </si>
  <si>
    <t>47.0000000000000000</t>
  </si>
  <si>
    <t>93/OFFICIAL</t>
  </si>
  <si>
    <t>000000093/OR-FW</t>
  </si>
  <si>
    <t>48.0000000000000000</t>
  </si>
  <si>
    <t>CIB_US_CA-1</t>
  </si>
  <si>
    <t>BankIn-000000133</t>
  </si>
  <si>
    <t>CIB-US-CA</t>
  </si>
  <si>
    <t>|1301|013|001|005|101001478|101001478||||3031|5013|Collect|||IMPORT||||</t>
  </si>
  <si>
    <t>O25-IMP-OC-124|‏ME_Q-20241103595-IMP-LCL‎|‏Sl-000001‎|‏Ag-000087‎|‏COSU6398799762‎|‏‎|‏‎|‏‎|‏‎|‏CONTSHIP IVY‎|‏HKHKG Hong Kong‎|‏EGPSD Port Said West‎|‏‎|‏13/11/2024‎|‏05/01/2025‎|‏‎|‏‎|‏05/01/2025‎|‏31/01/2025‎</t>
  </si>
  <si>
    <t>49.0000000000000000</t>
  </si>
  <si>
    <t>101001478</t>
  </si>
  <si>
    <t>386561710</t>
  </si>
  <si>
    <t>21/مطالبة نولون محصلة لصالح الغير</t>
  </si>
  <si>
    <t>000000021/OF-FW</t>
  </si>
  <si>
    <t>50.0000000000000000</t>
  </si>
  <si>
    <t>POS_EG-3</t>
  </si>
  <si>
    <t>POS-000000134</t>
  </si>
  <si>
    <t>|1301|013|001|001|101001551|101001551||||3038|3336|Collect|||IMPORT||||</t>
  </si>
  <si>
    <t>O25-IMP-OC-14|‏ME_Q-20250107175-IMP-LCL‎|‏Sl-000004‎|‏RP-000001‎|‏‎|‏‎|‏‎|‏‎|‏‎|‏MAERSK NARMADA‎|‏ITGOA Genoa‎|‏696 ALEXANDRIA‎|‏01/01/2025‎|‏‎|‏01/01/2025‎|‏‎|‏‎|‏01/01/2025‎|‏‎</t>
  </si>
  <si>
    <t>51.0000000000000000</t>
  </si>
  <si>
    <t>101001551</t>
  </si>
  <si>
    <t>658291025</t>
  </si>
  <si>
    <t>210/NAFEZA SERVICE</t>
  </si>
  <si>
    <t>000000210/Invoice</t>
  </si>
  <si>
    <t>52.0000000000000000</t>
  </si>
  <si>
    <t>POS_EG-4</t>
  </si>
  <si>
    <t>POS-000000135</t>
  </si>
  <si>
    <t>53.0000000000000000</t>
  </si>
  <si>
    <t>211/THC</t>
  </si>
  <si>
    <t>000000211/Invoice</t>
  </si>
  <si>
    <t>54.0000000000000000</t>
  </si>
  <si>
    <t>ALEXHO EG-9</t>
  </si>
  <si>
    <t>CashIn-000000140</t>
  </si>
  <si>
    <t>O25-IMP-OC-7|‏ME_Q-20250107003-IMP-LCL‎|‏Sl-000002‎|‏Ag-000036‎|‏‎|‏‎|‏‎|‏‎|‏‎|‏CMA CGM CHOPIN‎|‏DEHAM Hamburg‎|‏696 ALEXANDRIA‎|‏01/01/2025‎|‏‎|‏01/01/2025‎|‏‎|‏‎|‏01/01/2025‎|‏‎</t>
  </si>
  <si>
    <t>55.0000000000000000</t>
  </si>
  <si>
    <t>161/THC</t>
  </si>
  <si>
    <t>000000161/Invoice</t>
  </si>
  <si>
    <t>56.0000000000000000</t>
  </si>
  <si>
    <t>ALEXHO EG-10</t>
  </si>
  <si>
    <t>CashIn-000000141</t>
  </si>
  <si>
    <t>57.0000000000000000</t>
  </si>
  <si>
    <t>160/NAFEZA SERVICE</t>
  </si>
  <si>
    <t>000000160/Invoice</t>
  </si>
  <si>
    <t>58.0000000000000000</t>
  </si>
  <si>
    <t>ALEXHO EG-11</t>
  </si>
  <si>
    <t>CashIn-000000142</t>
  </si>
  <si>
    <t>|1201|012|001|001|101001491|101001491||||3142|3142|Payable|||IMPORT||||</t>
  </si>
  <si>
    <t>O25-IMP-OC-240|‏ME_Q-20250107144-IMP-FCL‎|‏Sl-000002‎|‏Ag-000068‎|‏HBG1918128‎|‏‎|‏‎|‏‎|‏‎|‏‎|‏DEHAM Hamburg‎|‏EGALY Alexandria, Egypt (old)‎|‏‎|‏‎|‏‎|‏‎|‏‎|‏08/01/2025‎|‏31/01/2025‎</t>
  </si>
  <si>
    <t>59.0000000000000000</t>
  </si>
  <si>
    <t>101001491</t>
  </si>
  <si>
    <t>200911899</t>
  </si>
  <si>
    <t>179/INV</t>
  </si>
  <si>
    <t>000000179/Invoice</t>
  </si>
  <si>
    <t>60.0000000000000000</t>
  </si>
  <si>
    <t>PSD EG-1</t>
  </si>
  <si>
    <t>CashIn-000000143</t>
  </si>
  <si>
    <t>PSD EG</t>
  </si>
  <si>
    <t>|1301|013|001|005|101000483|101000483||||MESCO LCL PSD SALES|5013|Collect|||IMPORT||||</t>
  </si>
  <si>
    <t>O25-IMP-OC-124|‏ME_Q-20250107164-IMP-LCL‎|‏Sl-000001‎|‏Ag-000087‎|‏COSU6398799762‎|‏‎|‏‎|‏‎|‏‎|‏CONTSHIP IVY‎|‏CNSZX Shenzhen‎|‏EGPSD Port Said West‎|‏‎|‏13/11/2024‎|‏05/01/2025‎|‏‎|‏‎|‏01/05/2025‎|‏31/01/2025‎</t>
  </si>
  <si>
    <t>61.0000000000000000</t>
  </si>
  <si>
    <t>101000483</t>
  </si>
  <si>
    <t>205160182</t>
  </si>
  <si>
    <t>184/THC PSD</t>
  </si>
  <si>
    <t>000000184/Invoice</t>
  </si>
  <si>
    <t>62.0000000000000000</t>
  </si>
  <si>
    <t>PSD EG-2</t>
  </si>
  <si>
    <t>CashIn-000000144</t>
  </si>
  <si>
    <t>63.0000000000000000</t>
  </si>
  <si>
    <t>185/NAFEZA SERVICE PSD</t>
  </si>
  <si>
    <t>000000185/Invoice</t>
  </si>
  <si>
    <t>64.0000000000000000</t>
  </si>
  <si>
    <t>ALEXHO EG-12</t>
  </si>
  <si>
    <t>CashIn-000000145</t>
  </si>
  <si>
    <t>|1301|013|001|001|101001545|101001545||||3038|3336|Collect|||IMPORT||||</t>
  </si>
  <si>
    <t>O25-IMP-OC-14|‏ME_Q-20250106808-IMP-LCL‎|‏Sl-000004‎|‏RP-000001‎|‏‎|‏‎|‏‎|‏‎|‏‎|‏MAERSK NARMADA‎|‏ITGOA Genoa‎|‏696 ALEXANDRIA‎|‏01/01/2025‎|‏‎|‏01/01/2025‎|‏‎|‏‎|‏01/01/2025‎|‏‎</t>
  </si>
  <si>
    <t>65.0000000000000000</t>
  </si>
  <si>
    <t>101001545</t>
  </si>
  <si>
    <t>431184372</t>
  </si>
  <si>
    <t>180/THC</t>
  </si>
  <si>
    <t>000000180/Invoice</t>
  </si>
  <si>
    <t>66.0000000000000000</t>
  </si>
  <si>
    <t>ALEXHO EG-13</t>
  </si>
  <si>
    <t>CashIn-000000146</t>
  </si>
  <si>
    <t>67.0000000000000000</t>
  </si>
  <si>
    <t>181/NAFEZA SERVICE</t>
  </si>
  <si>
    <t>000000181/Invoice</t>
  </si>
  <si>
    <t>68.0000000000000000</t>
  </si>
  <si>
    <t>PSD EG-3</t>
  </si>
  <si>
    <t>CashIn-000000147</t>
  </si>
  <si>
    <t>|1301|013|001|005|101000100|101000100||||MESCO LCL PSD SALES|5013|Collect|||IMPORT||||</t>
  </si>
  <si>
    <t>O25-IMP-OC-124|‏ME_Q-20250106927-IMP-LCL‎|‏Sl-000001‎|‏Ag-000087‎|‏COSU6398799762‎|‏‎|‏‎|‏‎|‏‎|‏CONTSHIP IVY‎|‏HKHKG Hong Kong‎|‏EGPSD Port Said West‎|‏‎|‏13/11/2024‎|‏05/01/2025‎|‏‎|‏‎|‏05/01/2025‎|‏31/01/2025‎</t>
  </si>
  <si>
    <t>69.0000000000000000</t>
  </si>
  <si>
    <t>101000100</t>
  </si>
  <si>
    <t>640831672</t>
  </si>
  <si>
    <t>198/NAFEZA SERVICE PSD</t>
  </si>
  <si>
    <t>000000198/Invoice</t>
  </si>
  <si>
    <t>70.0000000000000000</t>
  </si>
  <si>
    <t>PSD EG-4</t>
  </si>
  <si>
    <t>CashIn-000000148</t>
  </si>
  <si>
    <t>O25-IMP-OC-124|‏ME_Q-20250106928-IMP-LCL‎|‏Sl-000001‎|‏Ag-000087‎|‏COSU6398799762‎|‏‎|‏‎|‏‎|‏‎|‏CONTSHIP IVY‎|‏HKHKG Hong Kong‎|‏EGPSD Port Said West‎|‏‎|‏13/11/2024‎|‏05/01/2025‎|‏‎|‏‎|‏05/01/2025‎|‏31/01/2025‎</t>
  </si>
  <si>
    <t>71.0000000000000000</t>
  </si>
  <si>
    <t>189/NAFEZA SERVICE PSD</t>
  </si>
  <si>
    <t>000000189/Invoice</t>
  </si>
  <si>
    <t>72.0000000000000000</t>
  </si>
  <si>
    <t>PSD EG-5</t>
  </si>
  <si>
    <t>CashIn-000000149</t>
  </si>
  <si>
    <t>O25-IMP-OC-124|‏ME_Q-20250106926-IMP-LCL‎|‏Sl-000001‎|‏Ag-000087‎|‏COSU6398799762‎|‏‎|‏‎|‏‎|‏‎|‏CONTSHIP IVY‎|‏HKHKG Hong Kong‎|‏EGPSD Port Said West‎|‏‎|‏13/11/2024‎|‏05/01/2025‎|‏‎|‏‎|‏05/01/2025‎|‏31/01/2025‎</t>
  </si>
  <si>
    <t>73.0000000000000000</t>
  </si>
  <si>
    <t>193/NAFEZA SERVICE PSD</t>
  </si>
  <si>
    <t>000000193/Invoice</t>
  </si>
  <si>
    <t>74.0000000000000000</t>
  </si>
  <si>
    <t>ALEXHO EG-14</t>
  </si>
  <si>
    <t>CashIn-000000150</t>
  </si>
  <si>
    <t>|1301|013|001|001|101000244|101000244||||3031|3336|Collect|||IMPORT||||</t>
  </si>
  <si>
    <t>O25-IMP-OC-7|‏ME_Q-20241104228-IMP-LCL‎|‏Sl-000002‎|‏Ag-000036‎|‏‎|‏‎|‏‎|‏‎|‏‎|‏CMA CGM CHOPIN‎|‏DEHAM Hamburg‎|‏696 ALEXANDRIA‎|‏01/01/2025‎|‏‎|‏01/01/2025‎|‏‎|‏‎|‏01/01/2025‎|‏‎</t>
  </si>
  <si>
    <t>75.0000000000000000</t>
  </si>
  <si>
    <t>101000244</t>
  </si>
  <si>
    <t>542300419</t>
  </si>
  <si>
    <t>92/THC</t>
  </si>
  <si>
    <t>000000092/Invoice</t>
  </si>
  <si>
    <t>76.0000000000000000</t>
  </si>
  <si>
    <t>ALEXHO EG-15</t>
  </si>
  <si>
    <t>CashIn-000000151</t>
  </si>
  <si>
    <t>77.0000000000000000</t>
  </si>
  <si>
    <t>91/NAFEZA SERVICE</t>
  </si>
  <si>
    <t>000000091/Invoice</t>
  </si>
  <si>
    <t>78.0000000000000000</t>
  </si>
  <si>
    <t>PSD EG-6</t>
  </si>
  <si>
    <t>CashIn-000000152</t>
  </si>
  <si>
    <t>|1301|013|001|005|101000356|101000356||||MESCO LCL PSD SALES|5013|Collect|||IMPORT||||</t>
  </si>
  <si>
    <t>O25-IMP-OC-124|‏ME_Q-20250106960-IMP-LCL‎|‏Sl-000001‎|‏Ag-000087‎|‏COSU6398799762‎|‏‎|‏‎|‏‎|‏‎|‏CONTSHIP IVY‎|‏CNSZX Shenzhen‎|‏EGPSD Port Said West‎|‏‎|‏13/11/2024‎|‏05/01/2025‎|‏‎|‏‎|‏01/05/2025‎|‏31/01/2025‎</t>
  </si>
  <si>
    <t>79.0000000000000000</t>
  </si>
  <si>
    <t>101000356</t>
  </si>
  <si>
    <t>552331368</t>
  </si>
  <si>
    <t>172/THC PSD</t>
  </si>
  <si>
    <t>000000172/Invoice</t>
  </si>
  <si>
    <t>80.0000000000000000</t>
  </si>
  <si>
    <t>PSD EG-7</t>
  </si>
  <si>
    <t>CashIn-000000153</t>
  </si>
  <si>
    <t>81.0000000000000000</t>
  </si>
  <si>
    <t>171/NAFEZA SERVICE PSD</t>
  </si>
  <si>
    <t>000000171/Invoice</t>
  </si>
  <si>
    <t>82.0000000000000000</t>
  </si>
  <si>
    <t>PSD EG-8</t>
  </si>
  <si>
    <t>CashIn-000000154</t>
  </si>
  <si>
    <t>O25-IMP-OC-124|‏ME_Q-20250106916-IMP-LCL‎|‏Sl-000001‎|‏Ag-000087‎|‏COSU6398799762‎|‏‎|‏‎|‏‎|‏‎|‏CONTSHIP IVY‎|‏CNZGA ZHONGGSHAN‎|‏EGPSD Port Said West‎|‏‎|‏13/11/2024‎|‏05/01/2025‎|‏‎|‏‎|‏01/05/2025‎|‏31/01/2025‎</t>
  </si>
  <si>
    <t>83.0000000000000000</t>
  </si>
  <si>
    <t>164/THC PSD</t>
  </si>
  <si>
    <t>000000164/Invoice</t>
  </si>
  <si>
    <t>84.0000000000000000</t>
  </si>
  <si>
    <t>PSD EG-9</t>
  </si>
  <si>
    <t>CashIn-000000155</t>
  </si>
  <si>
    <t>85.0000000000000000</t>
  </si>
  <si>
    <t>163/NAFEZA SERVICE PSD</t>
  </si>
  <si>
    <t>000000163/Invoice</t>
  </si>
  <si>
    <t>86.0000000000000000</t>
  </si>
  <si>
    <t>PSD EG-10</t>
  </si>
  <si>
    <t>CashIn-000000156</t>
  </si>
  <si>
    <t>O25-IMP-OC-124|‏ME_Q-20250106965-IMP-LCL‎|‏Sl-000001‎|‏Ag-000087‎|‏COSU6398799762‎|‏‎|‏‎|‏‎|‏‎|‏CONTSHIP IVY‎|‏CNNGB Ningbo‎|‏EGPSD Port Said West‎|‏‎|‏13/11/2024‎|‏05/01/2025‎|‏‎|‏‎|‏01/05/2025‎|‏31/01/2025‎</t>
  </si>
  <si>
    <t>87.0000000000000000</t>
  </si>
  <si>
    <t>170/THC PSD</t>
  </si>
  <si>
    <t>000000170/Invoice</t>
  </si>
  <si>
    <t>88.0000000000000000</t>
  </si>
  <si>
    <t>ALEXHO EG-16</t>
  </si>
  <si>
    <t>CashIn-000000157</t>
  </si>
  <si>
    <t>|1301|013|001|001|101000283|101000283||||3038|3336|Collect|||IMPORT||||</t>
  </si>
  <si>
    <t>O25-IMP-OC-10|‏ME_Q-20250106837-IMP-LCL‎|‏Sl-000002‎|‏Ag-000036‎|‏‎|‏‎|‏‎|‏‎|‏‎|‏CMA CGM CHOPIN‎|‏DEHAM Hamburg‎|‏696 ALEXANDRIA‎|‏01/01/2025‎|‏‎|‏01/01/2025‎|‏‎|‏‎|‏01/01/2025‎|‏‎</t>
  </si>
  <si>
    <t>89.0000000000000000</t>
  </si>
  <si>
    <t>101000283</t>
  </si>
  <si>
    <t>205053408</t>
  </si>
  <si>
    <t>166/THC</t>
  </si>
  <si>
    <t>000000166/Invoice</t>
  </si>
  <si>
    <t>90.0000000000000000</t>
  </si>
  <si>
    <t>PSD EG-11</t>
  </si>
  <si>
    <t>CashIn-000000158</t>
  </si>
  <si>
    <t>91.0000000000000000</t>
  </si>
  <si>
    <t>169/NAFEZA SERVICE PSD</t>
  </si>
  <si>
    <t>000000169/Invoice</t>
  </si>
  <si>
    <t>92.0000000000000000</t>
  </si>
  <si>
    <t>ALEXHO EG-17</t>
  </si>
  <si>
    <t>CashIn-000000159</t>
  </si>
  <si>
    <t>93.0000000000000000</t>
  </si>
  <si>
    <t>165/NAFEZA SERVICE</t>
  </si>
  <si>
    <t>000000165/Invoice</t>
  </si>
  <si>
    <t>94.0000000000000000</t>
  </si>
  <si>
    <t>PSD EG-12</t>
  </si>
  <si>
    <t>CashIn-000000160</t>
  </si>
  <si>
    <t>|1301|013|001|005|101004541|101004541||||MESCO LCL PSD SALES|5013|Collect|||IMPORT||||</t>
  </si>
  <si>
    <t>O25-IMP-OC-124|‏ME_Q-20250106873-IMP-LCL‎|‏Sl-000001‎|‏Ag-000087‎|‏COSU6398799762‎|‏‎|‏‎|‏‎|‏‎|‏CONTSHIP IVY‎|‏HKHKG Hong Kong‎|‏EGPSD Port Said West‎|‏‎|‏13/11/2024‎|‏05/01/2025‎|‏‎|‏‎|‏01/05/2025‎|‏31/01/2025‎</t>
  </si>
  <si>
    <t>95.0000000000000000</t>
  </si>
  <si>
    <t>101004541</t>
  </si>
  <si>
    <t>352410094</t>
  </si>
  <si>
    <t>190/THC PSD</t>
  </si>
  <si>
    <t>000000190/Invoice</t>
  </si>
  <si>
    <t>96.0000000000000000</t>
  </si>
  <si>
    <t>PSD EG-13</t>
  </si>
  <si>
    <t>CashIn-000000161</t>
  </si>
  <si>
    <t>97.0000000000000000</t>
  </si>
  <si>
    <t>191/NAFEZA SERVICE PSD</t>
  </si>
  <si>
    <t>000000191/Invoice</t>
  </si>
  <si>
    <t>98.0000000000000000</t>
  </si>
  <si>
    <t>PSD EG-14</t>
  </si>
  <si>
    <t>CashIn-000000162</t>
  </si>
  <si>
    <t>O25-IMP-OC-124|‏ME_Q-20250106949-IMP-LCL‎|‏Sl-000001‎|‏Ag-000087‎|‏COSU6398799762‎|‏‎|‏‎|‏‎|‏‎|‏CONTSHIP IVY‎|‏CNSZX Shenzhen‎|‏EGPSD Port Said West‎|‏‎|‏13/11/2024‎|‏05/01/2025‎|‏‎|‏‎|‏01/05/2025‎|‏31/01/2025‎</t>
  </si>
  <si>
    <t>99.0000000000000000</t>
  </si>
  <si>
    <t>199/THC PSD</t>
  </si>
  <si>
    <t>000000199/Invoice</t>
  </si>
  <si>
    <t>100.0000000000000000</t>
  </si>
  <si>
    <t>PSD EG-15</t>
  </si>
  <si>
    <t>CashIn-000000163</t>
  </si>
  <si>
    <t>101.0000000000000000</t>
  </si>
  <si>
    <t>200/NAFEZA SERVICE PSD</t>
  </si>
  <si>
    <t>000000200/Invoice</t>
  </si>
  <si>
    <t>102.0000000000000000</t>
  </si>
  <si>
    <t>PSD EG-16</t>
  </si>
  <si>
    <t>CashIn-000000164</t>
  </si>
  <si>
    <t>O25-IMP-OC-124|‏ME_Q-20241205802-IMP-LCL‎|‏Sl-000001‎|‏Ag-000087‎|‏COSU6398799762‎|‏‎|‏‎|‏‎|‏‎|‏CONTSHIP IVY‎|‏CNZGA ZHONGGSHAN‎|‏EGPSD Port Said West‎|‏‎|‏13/11/2024‎|‏05/01/2025‎|‏‎|‏‎|‏01/05/2025‎|‏31/01/2025‎</t>
  </si>
  <si>
    <t>103.0000000000000000</t>
  </si>
  <si>
    <t>201/THC PSD</t>
  </si>
  <si>
    <t>000000201/Invoice</t>
  </si>
  <si>
    <t>104.0000000000000000</t>
  </si>
  <si>
    <t>PSD EG-17</t>
  </si>
  <si>
    <t>CashIn-000000165</t>
  </si>
  <si>
    <t>105.0000000000000000</t>
  </si>
  <si>
    <t>202/NAFEZA SERVICE PSD</t>
  </si>
  <si>
    <t>000000202/Invoice</t>
  </si>
  <si>
    <t>106.0000000000000000</t>
  </si>
  <si>
    <t>POS_EG-5</t>
  </si>
  <si>
    <t>POS-000000170</t>
  </si>
  <si>
    <t>23/مطالبة نولون محصلة لصالح الغير</t>
  </si>
  <si>
    <t>107.0000000000000000</t>
  </si>
  <si>
    <t>|1301|013|001|001|101001551||||||||||IMPORT||||</t>
  </si>
  <si>
    <t>108.0000000000000000</t>
  </si>
  <si>
    <t>421103|1301|013|001|001|101001551||||||||||IMPORT||||</t>
  </si>
  <si>
    <t>109.0000000000000000</t>
  </si>
  <si>
    <t>ALEXHO EG-18</t>
  </si>
  <si>
    <t>CashIn-000000171</t>
  </si>
  <si>
    <t>|1301|013|001|001|101000076|101000076||||4051|3336|Collect|||IMPORT||||</t>
  </si>
  <si>
    <t>O25-IMP-OC-107|‏ME_Q-20250106851-IMP-LCL‎|‏Sl-000009‎|‏RP-000001‎|‏‎|‏‎|‏‎|‏‎|‏‎|‏SAFEEN PRESTIGE‎|‏AEJEA Jebel Ali‎|‏696 ALEXANDRIA‎|‏02/01/2025‎|‏‎|‏02/01/2025‎|‏‎|‏‎|‏01/04/2025‎|‏‎</t>
  </si>
  <si>
    <t>110.0000000000000000</t>
  </si>
  <si>
    <t>101000076</t>
  </si>
  <si>
    <t>508685567</t>
  </si>
  <si>
    <t>204/THC</t>
  </si>
  <si>
    <t>000000204/Invoice</t>
  </si>
  <si>
    <t>111.0000000000000000</t>
  </si>
  <si>
    <t>ALEXHO EG-19</t>
  </si>
  <si>
    <t>CashIn-000000172</t>
  </si>
  <si>
    <t>112.0000000000000000</t>
  </si>
  <si>
    <t>203/NAFEZA SERVICE</t>
  </si>
  <si>
    <t>000000203/Invoice</t>
  </si>
  <si>
    <t>113.0000000000000000</t>
  </si>
  <si>
    <t>ALEXHO US-1</t>
  </si>
  <si>
    <t>CashIn-000000173</t>
  </si>
  <si>
    <t>ALEXHO US</t>
  </si>
  <si>
    <t>17/مطالبة نولون محصلة لصالح الغير</t>
  </si>
  <si>
    <t>114.0000000000000000</t>
  </si>
  <si>
    <t>115.0000000000000000</t>
  </si>
  <si>
    <t>|1301|013|001|001|101000076||||||||||IMPORT||||</t>
  </si>
  <si>
    <t>116.0000000000000000</t>
  </si>
  <si>
    <t>421103|1301|013|001|001|101000076||||||||||IMPORT||||</t>
  </si>
  <si>
    <t>117.0000000000000000</t>
  </si>
  <si>
    <t>ALEXHO EG-21</t>
  </si>
  <si>
    <t>CashIn-000000174</t>
  </si>
  <si>
    <t>|1301|013|001|001|101000007|101000007||||3075|3336|Collect|||IMPORT||||</t>
  </si>
  <si>
    <t>O25-IMP-OC-20|‏ME_Q-20250106858-IMP-LCL‎|‏RP-000001‎|‏RP-000001‎|‏‎|‏‎|‏‎|‏‎|‏‎|‏MAERSK NARMADA‎|‏ESBCN Barcelona‎|‏696 ALEXANDRIA‎|‏01/01/2025‎|‏‎|‏01/01/2025‎|‏‎|‏‎|‏01/01/2025‎|‏‎</t>
  </si>
  <si>
    <t>118.0000000000000000</t>
  </si>
  <si>
    <t>101000007</t>
  </si>
  <si>
    <t>200134213</t>
  </si>
  <si>
    <t>209/THC</t>
  </si>
  <si>
    <t>000000209/Invoice</t>
  </si>
  <si>
    <t>119.0000000000000000</t>
  </si>
  <si>
    <t>ALEXHO EG-22</t>
  </si>
  <si>
    <t>CashIn-000000175</t>
  </si>
  <si>
    <t>120.0000000000000000</t>
  </si>
  <si>
    <t>208/NAFEZA SERVICE</t>
  </si>
  <si>
    <t>000000208/Invoice</t>
  </si>
  <si>
    <t>121.0000000000000000</t>
  </si>
  <si>
    <t>ALEXHO EG-23</t>
  </si>
  <si>
    <t>CashIn-000000176</t>
  </si>
  <si>
    <t>|1301|013|001|001|101000523|101000523||||3038|3336|Collect|||IMPORT||||</t>
  </si>
  <si>
    <t>O25-IMP-OC-21|‏ME_Q-20250106820-IMP-LCL‎|‏Sl-000004‎|‏RP-000001‎|‏‎|‏‎|‏‎|‏‎|‏‎|‏MAERSK NARMADA‎|‏ITGOA Genoa‎|‏696 ALEXANDRIA‎|‏01/01/2025‎|‏‎|‏01/01/2025‎|‏‎|‏‎|‏01/01/2025‎|‏‎</t>
  </si>
  <si>
    <t>122.0000000000000000</t>
  </si>
  <si>
    <t>101000523</t>
  </si>
  <si>
    <t>100445071</t>
  </si>
  <si>
    <t>121/THC</t>
  </si>
  <si>
    <t>000000121/Invoice</t>
  </si>
  <si>
    <t>123.0000000000000000</t>
  </si>
  <si>
    <t>ALEXHO EG-24</t>
  </si>
  <si>
    <t>CashIn-000000177</t>
  </si>
  <si>
    <t>124.0000000000000000</t>
  </si>
  <si>
    <t>122/NAFEZA SERVICE</t>
  </si>
  <si>
    <t>000000122/Invoice</t>
  </si>
  <si>
    <t>125.0000000000000000</t>
  </si>
  <si>
    <t>ALEXHO EU-2</t>
  </si>
  <si>
    <t>CashIn-000000178</t>
  </si>
  <si>
    <t>126.0000000000000000</t>
  </si>
  <si>
    <t>5/مطالبة نولون محصلة لصالح الغير</t>
  </si>
  <si>
    <t>000000005/OF-FW</t>
  </si>
  <si>
    <t>127.0000000000000000</t>
  </si>
  <si>
    <t>ALEXHO EG-25</t>
  </si>
  <si>
    <t>CashIn-000000183</t>
  </si>
  <si>
    <t>|1301|013|001|001|101000257|101000257||||3031|3336|Collect|||IMPORT||||</t>
  </si>
  <si>
    <t>O25-IMP-OC-109|‏ME_Q-20250106875-IMP-LCL‎|‏Sl-000036‎|‏RP-000001‎|‏‎|‏‎|‏‎|‏‎|‏‎|‏YM EVOLUTION‎|‏DEHAM Hamburg‎|‏EGEDK Dekheila, Alexandria‎|‏02/01/2025‎|‏‎|‏02/01/2025‎|‏‎|‏‎|‏01/04/2025‎|‏‎</t>
  </si>
  <si>
    <t>128.0000000000000000</t>
  </si>
  <si>
    <t>101000257</t>
  </si>
  <si>
    <t>735843295</t>
  </si>
  <si>
    <t>214/THC</t>
  </si>
  <si>
    <t>000000214/Invoice</t>
  </si>
  <si>
    <t>129.0000000000000000</t>
  </si>
  <si>
    <t>ALEXHO EG-26</t>
  </si>
  <si>
    <t>CashIn-000000184</t>
  </si>
  <si>
    <t>130.0000000000000000</t>
  </si>
  <si>
    <t>213/NAFEZA SERVICE</t>
  </si>
  <si>
    <t>000000213/Invoice</t>
  </si>
  <si>
    <t>131.0000000000000000</t>
  </si>
  <si>
    <t>PSD EG-18</t>
  </si>
  <si>
    <t>CashIn-000000185</t>
  </si>
  <si>
    <t>132.0000000000000000</t>
  </si>
  <si>
    <t>167/NAFEZA SERVICE PSD</t>
  </si>
  <si>
    <t>000000167/Invoice</t>
  </si>
  <si>
    <t>133.0000000000000000</t>
  </si>
  <si>
    <t>PSD EG-19</t>
  </si>
  <si>
    <t>CashIn-000000186</t>
  </si>
  <si>
    <t>134.0000000000000000</t>
  </si>
  <si>
    <t>182/THC PSD</t>
  </si>
  <si>
    <t>000000182/Invoice</t>
  </si>
  <si>
    <t>135.0000000000000000</t>
  </si>
  <si>
    <t>ALEXHO EG-27</t>
  </si>
  <si>
    <t>CashIn-000000194</t>
  </si>
  <si>
    <t>O25-IMP-OC-10|‏ME_Q-20241104695-IMP-LCL‎|‏Sl-000002‎|‏Ag-000036‎|‏‎|‏‎|‏‎|‏‎|‏‎|‏CMA CGM CHOPIN‎|‏DEHAM Hamburg‎|‏696 ALEXANDRIA‎|‏01/01/2025‎|‏‎|‏01/01/2025‎|‏‎|‏‎|‏01/01/2025‎|‏‎</t>
  </si>
  <si>
    <t>22/مطالبة نولون محصلة لصالح الغير</t>
  </si>
  <si>
    <t>136.0000000000000000</t>
  </si>
  <si>
    <t>101000170</t>
  </si>
  <si>
    <t>|1301|013|001|001|101000170||||||||||IMPORT||||</t>
  </si>
  <si>
    <t>202478270</t>
  </si>
  <si>
    <t>137.0000000000000000</t>
  </si>
  <si>
    <t>421103|1301|013|001|001|101000170||||||||||IMPORT||||</t>
  </si>
  <si>
    <t>138.0000000000000000</t>
  </si>
  <si>
    <t>ALEXHO EG-28</t>
  </si>
  <si>
    <t>CashIn-000000195</t>
  </si>
  <si>
    <t>|1301|013|001|001|101000170|101000170||||3038|3336|Collect|||IMPORT||||</t>
  </si>
  <si>
    <t>139.0000000000000000</t>
  </si>
  <si>
    <t>262/NAFEZA SERVICE</t>
  </si>
  <si>
    <t>000000262/Invoice</t>
  </si>
  <si>
    <t>140.0000000000000000</t>
  </si>
  <si>
    <t>ALEXHO EG-29</t>
  </si>
  <si>
    <t>CashIn-000000196</t>
  </si>
  <si>
    <t>141.0000000000000000</t>
  </si>
  <si>
    <t>263/THC</t>
  </si>
  <si>
    <t>000000263/Invoice</t>
  </si>
  <si>
    <t>142.0000000000000000</t>
  </si>
  <si>
    <t>ALEXHO EG-30</t>
  </si>
  <si>
    <t>CashIn-000000198</t>
  </si>
  <si>
    <t>|1301|013|001|001|101000100|101000100||||MESCO LCL PSD SALES|3336|Collect|||IMPORT||||</t>
  </si>
  <si>
    <t>O25-IMP-OC-10|‏ME_Q-20250106641-IMP-LCL‎|‏Sl-000002‎|‏RP-000001‎|‏‎|‏‎|‏‎|‏‎|‏‎|‏CMA CGM CHOPIN‎|‏DEHAM Hamburg‎|‏696 ALEXANDRIA‎|‏01/01/2025‎|‏‎|‏01/01/2025‎|‏‎|‏‎|‏01/01/2025‎|‏‎</t>
  </si>
  <si>
    <t>143.0000000000000000</t>
  </si>
  <si>
    <t>271/NAFEZA SERVICE</t>
  </si>
  <si>
    <t>000000271/Invoice</t>
  </si>
  <si>
    <t>144.0000000000000000</t>
  </si>
  <si>
    <t>ALEXHO EG-31</t>
  </si>
  <si>
    <t>CashIn-000000199</t>
  </si>
  <si>
    <t>O25-IMP-OC-7|‏ME_Q-20250106638-IMP-LCL‎|‏Sl-000002‎|‏RP-000001‎|‏‎|‏‎|‏‎|‏‎|‏‎|‏CMA CGM CHOPIN‎|‏DEHAM Hamburg‎|‏696 ALEXANDRIA‎|‏01/01/2025‎|‏‎|‏01/01/2025‎|‏‎|‏‎|‏01/01/2025‎|‏‎</t>
  </si>
  <si>
    <t>145.0000000000000000</t>
  </si>
  <si>
    <t>278/NAFEZA SERVICE</t>
  </si>
  <si>
    <t>000000278/Invoice</t>
  </si>
  <si>
    <t>146.0000000000000000</t>
  </si>
  <si>
    <t>CIB_EG_CA-1</t>
  </si>
  <si>
    <t>BankIn-000000224</t>
  </si>
  <si>
    <t>2025-01-09</t>
  </si>
  <si>
    <t>CIB-EG-CA</t>
  </si>
  <si>
    <t>|1301|013|001|001|101001238|101001238||||3038|3336|Collect|||IMPORT||||</t>
  </si>
  <si>
    <t>O25-IMP-OC-109|‏ME_Q-20241104667-IMP-LCL‎|‏Sl-000036‎|‏RP-000001‎|‏‎|‏‎|‏‎|‏‎|‏‎|‏YM EVOLUTION‎|‏DEHAM Hamburg‎|‏EGEDK Dekheila, Alexandria‎|‏02/01/2025‎|‏‎|‏02/01/2025‎|‏‎|‏‎|‏04/01/2025‎|‏‎</t>
  </si>
  <si>
    <t>147.0000000000000000</t>
  </si>
  <si>
    <t>101001238</t>
  </si>
  <si>
    <t>514128720</t>
  </si>
  <si>
    <t>194/NAFEZA SERVICE</t>
  </si>
  <si>
    <t>000000194/Invoice</t>
  </si>
  <si>
    <t>148.0000000000000000</t>
  </si>
  <si>
    <t>195/THC</t>
  </si>
  <si>
    <t>000000195/Invoice</t>
  </si>
  <si>
    <t>149.0000000000000000</t>
  </si>
  <si>
    <t>NR</t>
  </si>
  <si>
    <t>QNB_EG_CA1-2</t>
  </si>
  <si>
    <t>NR-000000225</t>
  </si>
  <si>
    <t>101000046</t>
  </si>
  <si>
    <t>|1201|012|001|001|101000046|101000046||||3038|3136|Payable|||IMPORT||||</t>
  </si>
  <si>
    <t>O25-IMP-OC-137|‏ME_Q-20250106832-IMP-FCL‎|‏Sl-000010‎|‏Ag-000163‎|‏MLTRLS2425037‎|‏‎|‏‎|‏‎|‏‎|‏‎|‏TRIST Istanbul Port‎|‏EGALY Alexandria, Egypt (old)‎|‏‎|‏‎|‏‎|‏‎|‏‎|‏05/01/2025‎|‏31/01/2025‎</t>
  </si>
  <si>
    <t>100133789</t>
  </si>
  <si>
    <t>360/INV</t>
  </si>
  <si>
    <t>000000360/Invoice</t>
  </si>
  <si>
    <t>01110098</t>
  </si>
  <si>
    <t>Cheque</t>
  </si>
  <si>
    <t>150.0000000000000000</t>
  </si>
  <si>
    <t>361/INV</t>
  </si>
  <si>
    <t>000000361/Invoice</t>
  </si>
  <si>
    <t>151.0000000000000000</t>
  </si>
  <si>
    <t>122201|1201|012|001|001|101000046|101000046||||3038|3136|Payable|||IMPORT||||</t>
  </si>
  <si>
    <t>362/INV</t>
  </si>
  <si>
    <t>000000362/Invoice</t>
  </si>
  <si>
    <t>152.0000000000000000</t>
  </si>
  <si>
    <t>153.0000000000000000</t>
  </si>
  <si>
    <t>Airport EG-11</t>
  </si>
  <si>
    <t>CashIn-000000208</t>
  </si>
  <si>
    <t>|1101|011|001|004|101004542|101004542||||4019|4018|Collect|||IMPORT||||</t>
  </si>
  <si>
    <t>O25-IMP-AI-221|‏ME_Q-20250106923-IMP-AI‎|‏Al-000014‎|‏Ag-000144‎|‏020-35458345‎|‏‎|‏‎|‏‎|‏‎|‏‎|‏FRA FRANKFURT‎|‏CAI CAIRO‎|‏‎|‏‎|‏07/01/2025‎|‏‎|‏‎|‏06/01/2025‎|‏31/01/2025‎</t>
  </si>
  <si>
    <t>154.0000000000000000</t>
  </si>
  <si>
    <t>101004542</t>
  </si>
  <si>
    <t>674778359</t>
  </si>
  <si>
    <t>129/INV</t>
  </si>
  <si>
    <t>000000129/Invoice</t>
  </si>
  <si>
    <t>155.0000000000000000</t>
  </si>
  <si>
    <t>Airport EG-12</t>
  </si>
  <si>
    <t>CashIn-000000209</t>
  </si>
  <si>
    <t>156.0000000000000000</t>
  </si>
  <si>
    <t>94/OFFICIAL</t>
  </si>
  <si>
    <t>000000094/OR-FW</t>
  </si>
  <si>
    <t>157.0000000000000000</t>
  </si>
  <si>
    <t>Airport EG-13</t>
  </si>
  <si>
    <t>CashIn-000000210</t>
  </si>
  <si>
    <t>|1101|011|001|004|101000314|101000314||||3031|4018|Collect|||IMPORT||||</t>
  </si>
  <si>
    <t>O25-IMP-AI-114|‏ME_Q-20241206218-IMP-AI‎|‏Al-000006‎|‏Ag-000127‎|‏077-58350832‎|‏‎|‏‎|‏‎|‏‎|‏‎|‏DXB DUBAI‎|‏CAI CAIRO‎|‏‎|‏‎|‏04/01/2025‎|‏‎|‏‎|‏04/01/2025‎|‏31/01/2025‎</t>
  </si>
  <si>
    <t>158.0000000000000000</t>
  </si>
  <si>
    <t>101000314</t>
  </si>
  <si>
    <t>289168406</t>
  </si>
  <si>
    <t>365/INV</t>
  </si>
  <si>
    <t>000000365/Invoice</t>
  </si>
  <si>
    <t>159.0000000000000000</t>
  </si>
  <si>
    <t>Airport EG-14</t>
  </si>
  <si>
    <t>CashIn-000000211</t>
  </si>
  <si>
    <t>160.0000000000000000</t>
  </si>
  <si>
    <t>96/OFFICIAL</t>
  </si>
  <si>
    <t>000000096/OR-FW</t>
  </si>
  <si>
    <t>161.0000000000000000</t>
  </si>
  <si>
    <t>PSD US-3</t>
  </si>
  <si>
    <t>CashIn-000000212</t>
  </si>
  <si>
    <t>PSD US</t>
  </si>
  <si>
    <t>|1301|013|001|005|101000487|101000487|5014|5014|433|3042|5013|Collect|||IMPORT||||</t>
  </si>
  <si>
    <t>O24-IMP-OC-1|‏‎|‏Sl-000007‎|‏Ag-000010‎|‏EGLV142403621723‎|‏‎|‏‎|‏‎|‏‎|‏EGY FUTURE‎|‏CNSHA Shanghai‎|‏EGPSD Port Said West‎|‏08/01/2025‎|‏‎|‏08/01/2025‎|‏‎|‏‎|‏31/12/2024‎|‏‎</t>
  </si>
  <si>
    <t>275</t>
  </si>
  <si>
    <t>Custody Settlement</t>
  </si>
  <si>
    <t>162.0000000000000000</t>
  </si>
  <si>
    <t>Vend</t>
  </si>
  <si>
    <t>Sl-000007</t>
  </si>
  <si>
    <t>|1301|013|001|005|101000487|101000487|Sl-000007|Sl-000007|433|3042|5013|Collect|||IMPORT||||</t>
  </si>
  <si>
    <t>Evergreen</t>
  </si>
  <si>
    <t>412700212</t>
  </si>
  <si>
    <t>2/2025</t>
  </si>
  <si>
    <t>V-PP</t>
  </si>
  <si>
    <t>163.0000000000000000</t>
  </si>
  <si>
    <t>5014</t>
  </si>
  <si>
    <t>164.0000000000000000</t>
  </si>
  <si>
    <t>Airport EG-15</t>
  </si>
  <si>
    <t>CashIn-000000213</t>
  </si>
  <si>
    <t>|1101|011|001|004|101000554|101000554||||4018|4018|Collect|||IMPORT||||</t>
  </si>
  <si>
    <t>O25-IMP-AI-115|‏ME_Q-20250106796-IMP-AI‎|‏Al-000001‎|‏Ag-000121‎|‏112-12470183‎|‏‎|‏‎|‏‎|‏‎|‏‎|‏PVG SHANGHAI‎|‏CAI CAIRO‎|‏‎|‏‎|‏06/01/2025‎|‏‎|‏‎|‏04/01/2025‎|‏31/01/2025‎</t>
  </si>
  <si>
    <t>165.0000000000000000</t>
  </si>
  <si>
    <t>101000554</t>
  </si>
  <si>
    <t>200555308</t>
  </si>
  <si>
    <t>372/INV</t>
  </si>
  <si>
    <t>000000372/Invoice</t>
  </si>
  <si>
    <t>166.0000000000000000</t>
  </si>
  <si>
    <t>Airport EG-16</t>
  </si>
  <si>
    <t>CashIn-000000214</t>
  </si>
  <si>
    <t>|1101|011|001|004|101000554|101000554||||4018|4012|Prepaid|||IMPORT||||</t>
  </si>
  <si>
    <t>O25-IMP-AI-115|‏‎|‏Al-000001‎|‏‎|‏112-12470183‎|‏‎|‏‎|‏‎|‏‎|‏‎|‏PVG SHANGHAI‎|‏CAI CAIRO‎|‏‎|‏‎|‏06/01/2025‎|‏‎|‏‎|‏04/01/2025‎|‏31/01/2025‎</t>
  </si>
  <si>
    <t>167.0000000000000000</t>
  </si>
  <si>
    <t>97/OFFICIAL</t>
  </si>
  <si>
    <t>000000097/OR-FW</t>
  </si>
  <si>
    <t>168.0000000000000000</t>
  </si>
  <si>
    <t>Airport EG-17</t>
  </si>
  <si>
    <t>CashIn-000000215</t>
  </si>
  <si>
    <t>|1101|011|001|004|101000454|101000454||||3076|4018|Collect|||IMPORT||||</t>
  </si>
  <si>
    <t>O25-IMP-AI-25|‏ME_Q-20250106637-IMP-AI‎|‏Al-000020‎|‏Ag-000121‎|‏876-13968916‎|‏‎|‏‎|‏‎|‏‎|‏‎|‏TFU CHENGDU TIANFU‎|‏CAI CAIRO‎|‏‎|‏‎|‏01/01/2025‎|‏‎|‏‎|‏02/01/2025‎|‏31/01/2025‎</t>
  </si>
  <si>
    <t>169.0000000000000000</t>
  </si>
  <si>
    <t>101000454</t>
  </si>
  <si>
    <t>339987545</t>
  </si>
  <si>
    <t>4/OFFICIAL</t>
  </si>
  <si>
    <t>000000004/OR-FW</t>
  </si>
  <si>
    <t>170.0000000000000000</t>
  </si>
  <si>
    <t>Airport EG-18</t>
  </si>
  <si>
    <t>CashIn-000000216</t>
  </si>
  <si>
    <t>171.0000000000000000</t>
  </si>
  <si>
    <t>24/INV</t>
  </si>
  <si>
    <t>000000024/Invoice</t>
  </si>
  <si>
    <t>172.0000000000000000</t>
  </si>
  <si>
    <t>PSD US-2</t>
  </si>
  <si>
    <t>CashIn-000000217</t>
  </si>
  <si>
    <t>125102||||001|101000149|101000149||||3038|3039|Payable|||IMPORT||||</t>
  </si>
  <si>
    <t>O25-IMP-OC-4662|‏ME_Q-20250314591-IMP-FCL‎|‏Sl-000015‎|‏Ag-000198‎|‏ONEYTAOF20188400‎|‏‎|‏‎|‏‎|‏‎|‏HMM ALGECIRAS‎|‏CNTAO Qingdao‎|‏EGEDK Dekheila, Alexandria‎|‏‎|‏‎|‏‎|‏‎|‏‎|‏11/05/2025‎|‏31/05/2025‎</t>
  </si>
  <si>
    <t>Other</t>
  </si>
  <si>
    <t>173.0000000000000000</t>
  </si>
  <si>
    <t>||||001|101000149|101000149||||3038|3039|Payable|||IMPORT||||</t>
  </si>
  <si>
    <t>174.0000000000000000</t>
  </si>
  <si>
    <t>PSD US-4</t>
  </si>
  <si>
    <t>CashIn-000000218</t>
  </si>
  <si>
    <t>175.0000000000000000</t>
  </si>
  <si>
    <t>176.0000000000000000</t>
  </si>
  <si>
    <t>QNB_EU_CA1-1</t>
  </si>
  <si>
    <t>NR-000000226</t>
  </si>
  <si>
    <t>122203|1301|013|001|001|101000016|101000016||||3076|3336|Collect|||IMPORT||||</t>
  </si>
  <si>
    <t>O25-IMP-OC-7|‏ME_Q-20250107084-IMP-LCL‎|‏Sl-000002‎|‏Ag-000036‎|‏‎|‏‎|‏‎|‏‎|‏‎|‏CMA CGM CHOPIN‎|‏DEHAM Hamburg‎|‏696 ALEXANDRIA‎|‏01/01/2025‎|‏‎|‏01/01/2025‎|‏‎|‏‎|‏01/01/2025‎|‏‎</t>
  </si>
  <si>
    <t>29/مطالبة نولون محصلة لصالح الغير</t>
  </si>
  <si>
    <t>000000029/OF-FW</t>
  </si>
  <si>
    <t>QNB-EU-CA1</t>
  </si>
  <si>
    <t>32247060</t>
  </si>
  <si>
    <t>177.0000000000000000</t>
  </si>
  <si>
    <t>101000016</t>
  </si>
  <si>
    <t>|1301|013|001|001|101000016|101000016||||3076|3336|Collect|||IMPORT||||</t>
  </si>
  <si>
    <t>100114709</t>
  </si>
  <si>
    <t>178.0000000000000000</t>
  </si>
  <si>
    <t>CIB_EG_CA-2</t>
  </si>
  <si>
    <t>NR-000000227</t>
  </si>
  <si>
    <t>122201|1301|013|001|001|101000016|101000016||||3076|3336|Collect|||IMPORT||||</t>
  </si>
  <si>
    <t>282/THC</t>
  </si>
  <si>
    <t>000000282/Invoice</t>
  </si>
  <si>
    <t>20068500933741</t>
  </si>
  <si>
    <t>179.0000000000000000</t>
  </si>
  <si>
    <t>180.0000000000000000</t>
  </si>
  <si>
    <t>CIB_EG_CA-3</t>
  </si>
  <si>
    <t>NR-000000228</t>
  </si>
  <si>
    <t>O25-IMP-OC-7|‏ME_Q-20250107086-IMP-LCL‎|‏Sl-000002‎|‏Ag-000036‎|‏‎|‏‎|‏‎|‏‎|‏‎|‏CMA CGM CHOPIN‎|‏DEHAM Hamburg‎|‏696 ALEXANDRIA‎|‏01/01/2025‎|‏‎|‏01/01/2025‎|‏‎|‏‎|‏01/01/2025‎|‏‎</t>
  </si>
  <si>
    <t>283/NAFEZA SERVICE</t>
  </si>
  <si>
    <t>000000283/Invoice</t>
  </si>
  <si>
    <t>20068500933743</t>
  </si>
  <si>
    <t>181.0000000000000000</t>
  </si>
  <si>
    <t>284/THC</t>
  </si>
  <si>
    <t>000000284/Invoice</t>
  </si>
  <si>
    <t>182.0000000000000000</t>
  </si>
  <si>
    <t>183.0000000000000000</t>
  </si>
  <si>
    <t>PSD EG-20</t>
  </si>
  <si>
    <t>CashIn-000000238</t>
  </si>
  <si>
    <t>|1301|013|001|005|101000149|101000149||||3038|5013|Prepaid|||IMPORT||||</t>
  </si>
  <si>
    <t>O24-IMP-OC-1|‏‎|‏Sl-000007‎|‏Ag-000010‎|‏EGLV142403621723‎|‏‎|‏‎|‏‎|‏‎|‏EGY FUTURE‎|‏CNSHA Shanghai‎|‏EGPSD Port Said West‎|‏08/01/2025‎|‏30/11/2024‎|‏08/01/2025‎|‏‎|‏‎|‏31/12/2024‎|‏31/01/2025‎</t>
  </si>
  <si>
    <t>184.0000000000000000</t>
  </si>
  <si>
    <t>101000149</t>
  </si>
  <si>
    <t>100055796</t>
  </si>
  <si>
    <t>352/THC PSD</t>
  </si>
  <si>
    <t>000000352/Invoice</t>
  </si>
  <si>
    <t>185.0000000000000000</t>
  </si>
  <si>
    <t>PSD EG-21</t>
  </si>
  <si>
    <t>CashIn-000000239</t>
  </si>
  <si>
    <t>186.0000000000000000</t>
  </si>
  <si>
    <t>351/NAFEZA SERVICE PSD</t>
  </si>
  <si>
    <t>000000351/Invoice</t>
  </si>
  <si>
    <t>187.0000000000000000</t>
  </si>
  <si>
    <t>PSD US-1</t>
  </si>
  <si>
    <t>CashIn-000000240</t>
  </si>
  <si>
    <t>188.0000000000000000</t>
  </si>
  <si>
    <t>35/مطالبة نولون محصلة لصالح الغير</t>
  </si>
  <si>
    <t>000000035/OF-FW</t>
  </si>
  <si>
    <t>189.0000000000000000</t>
  </si>
  <si>
    <t>QNB_US_CF-1</t>
  </si>
  <si>
    <t>BankIn-000000248</t>
  </si>
  <si>
    <t>QNB-US-CF</t>
  </si>
  <si>
    <t>18/مطالبة نولون محصلة لصالح الغير</t>
  </si>
  <si>
    <t>190.0000000000000000</t>
  </si>
  <si>
    <t>|1301|013|001|001|101001238||||||||||IMPORT||||</t>
  </si>
  <si>
    <t>191.0000000000000000</t>
  </si>
  <si>
    <t>421103|1301|013|001|001|101001238||||||||||IMPORT||||</t>
  </si>
  <si>
    <t>192.0000000000000000</t>
  </si>
  <si>
    <t>PSD EG-22</t>
  </si>
  <si>
    <t>CashIn-000000263</t>
  </si>
  <si>
    <t>|1301|013|001|005|101000454|101000454||||3076|5013|Collect|||IMPORT||||</t>
  </si>
  <si>
    <t>O24-IMP-OC-1|‏ME_Q-20250107033-IMP-LCL‎|‏Sl-000007‎|‏Ag-000010‎|‏EGLV142403621723‎|‏‎|‏‎|‏‎|‏‎|‏EGY FUTURE‎|‏CNSHA Shanghai‎|‏EGPSD Port Said West‎|‏08/01/2025‎|‏30/11/2024‎|‏08/01/2025‎|‏‎|‏‎|‏02/01/2025‎|‏31/01/2025‎</t>
  </si>
  <si>
    <t>193.0000000000000000</t>
  </si>
  <si>
    <t>370/THC PSD</t>
  </si>
  <si>
    <t>000000370/Invoice</t>
  </si>
  <si>
    <t>194.0000000000000000</t>
  </si>
  <si>
    <t>PSD EG-23</t>
  </si>
  <si>
    <t>CashIn-000000264</t>
  </si>
  <si>
    <t>195.0000000000000000</t>
  </si>
  <si>
    <t>369/NAFEZA SERVICE PSD</t>
  </si>
  <si>
    <t>000000369/Invoice</t>
  </si>
  <si>
    <t>196.0000000000000000</t>
  </si>
  <si>
    <t>ALEXHO US-2</t>
  </si>
  <si>
    <t>CashIn-000000276</t>
  </si>
  <si>
    <t>O25-IMP-OC-42|‏ME_Q-20250107230-IMP-LCL‎|‏RP-000007‎|‏RP-000001‎|‏‎|‏‎|‏‎|‏‎|‏‎|‏MSC DARIEN‎|‏BEANR Antwerp‎|‏EGEDK Dekheila, Alexandria‎|‏02/01/2025‎|‏‎|‏02/01/2025‎|‏‎|‏‎|‏02/01/2025‎|‏31/01/2025‎</t>
  </si>
  <si>
    <t>38/مطالبة نولون محصلة لصالح الغير</t>
  </si>
  <si>
    <t>197.0000000000000000</t>
  </si>
  <si>
    <t>101000893</t>
  </si>
  <si>
    <t>|1301|013|001|001|101000893||||||||||IMPORT||||</t>
  </si>
  <si>
    <t>202483797</t>
  </si>
  <si>
    <t>198.0000000000000000</t>
  </si>
  <si>
    <t>421103|1301|013|001|001|101000893||||||||||IMPORT||||</t>
  </si>
  <si>
    <t>199.0000000000000000</t>
  </si>
  <si>
    <t>ALEXHO EG-32</t>
  </si>
  <si>
    <t>CashIn-000000277</t>
  </si>
  <si>
    <t>|1301|013|001|001|101000893|101000893||||3068|3336|Collect|||IMPORT||||</t>
  </si>
  <si>
    <t>200.0000000000000000</t>
  </si>
  <si>
    <t>367/NAFEZA SERVICE</t>
  </si>
  <si>
    <t>000000367/Invoice</t>
  </si>
  <si>
    <t>201.0000000000000000</t>
  </si>
  <si>
    <t>ALEXHO EG-33</t>
  </si>
  <si>
    <t>CashIn-000000278</t>
  </si>
  <si>
    <t>202.0000000000000000</t>
  </si>
  <si>
    <t>368/THC</t>
  </si>
  <si>
    <t>000000368/Invoice</t>
  </si>
  <si>
    <t>203.0000000000000000</t>
  </si>
  <si>
    <t>PSD EG-24</t>
  </si>
  <si>
    <t>CashIn-000000279</t>
  </si>
  <si>
    <t>|1301|013|001|005|101000112|101000112||||MESCO LCL PSD SALES|5013|Collect|||IMPORT||||</t>
  </si>
  <si>
    <t>O24-IMP-OC-1|‏ME_Q-20250107287-IMP-LCL‎|‏Sl-000007‎|‏Ag-000010‎|‏EGLV142403621723‎|‏‎|‏‎|‏‎|‏‎|‏EGY FUTURE‎|‏CNSHA Shanghai‎|‏EGPSD Port Said West‎|‏08/01/2025‎|‏30/11/2024‎|‏08/01/2025‎|‏‎|‏‎|‏31/12/2024‎|‏31/01/2025‎</t>
  </si>
  <si>
    <t>204.0000000000000000</t>
  </si>
  <si>
    <t>101000112</t>
  </si>
  <si>
    <t>205161049</t>
  </si>
  <si>
    <t>355/THC PSD</t>
  </si>
  <si>
    <t>000000355/Invoice</t>
  </si>
  <si>
    <t>205.0000000000000000</t>
  </si>
  <si>
    <t>PSD EG-25</t>
  </si>
  <si>
    <t>CashIn-000000280</t>
  </si>
  <si>
    <t>206.0000000000000000</t>
  </si>
  <si>
    <t>356/NAFEZA SERVICE PSD</t>
  </si>
  <si>
    <t>000000356/Invoice</t>
  </si>
  <si>
    <t>207.0000000000000000</t>
  </si>
  <si>
    <t>PSD EG-26</t>
  </si>
  <si>
    <t>CashIn-000000281</t>
  </si>
  <si>
    <t>|1301|013|001|005|101000487|101000487||||MESCO LCL PSD SALES|5013|Collect|||IMPORT||||</t>
  </si>
  <si>
    <t>O24-IMP-OC-1|‏ME_Q-20250107309-IMP-LCL‎|‏Sl-000007‎|‏Ag-000010‎|‏EGLV142403621723‎|‏‎|‏‎|‏‎|‏‎|‏EGY FUTURE‎|‏CNSHA Shanghai‎|‏EGPSD Port Said West‎|‏08/01/2025‎|‏30/11/2024‎|‏08/01/2025‎|‏‎|‏‎|‏31/12/2024‎|‏31/01/2025‎</t>
  </si>
  <si>
    <t>208.0000000000000000</t>
  </si>
  <si>
    <t>101000487</t>
  </si>
  <si>
    <t>552331392</t>
  </si>
  <si>
    <t>354/THC PSD</t>
  </si>
  <si>
    <t>000000354/Invoice</t>
  </si>
  <si>
    <t>209.0000000000000000</t>
  </si>
  <si>
    <t>PSD EG-27</t>
  </si>
  <si>
    <t>CashIn-000000282</t>
  </si>
  <si>
    <t>210.0000000000000000</t>
  </si>
  <si>
    <t>353/NAFEZA SERVICE PSD</t>
  </si>
  <si>
    <t>000000353/Invoice</t>
  </si>
  <si>
    <t>211.0000000000000000</t>
  </si>
  <si>
    <t>ALEXHO EG-34</t>
  </si>
  <si>
    <t>CashIn-000000287</t>
  </si>
  <si>
    <t>|1201|012|001|001|101004543|101004543||||3142|3142|Payable|||IMPORT||||</t>
  </si>
  <si>
    <t>O25-IMP-OC-296|‏ME_Q-20250107291-IMP-FCL‎|‏Sl-000009‎|‏Ag-000068‎|‏245946492‎|‏‎|‏‎|‏‎|‏‎|‏‎|‏BEANR Antwerp‎|‏EGALY Alexandria, Egypt (old)‎|‏‎|‏‎|‏‎|‏‎|‏‎|‏09/01/2025‎|‏31/01/2025‎</t>
  </si>
  <si>
    <t>212.0000000000000000</t>
  </si>
  <si>
    <t>101004543</t>
  </si>
  <si>
    <t>545-611-652</t>
  </si>
  <si>
    <t>363/INV</t>
  </si>
  <si>
    <t>000000363/Invoice</t>
  </si>
  <si>
    <t>213.0000000000000000</t>
  </si>
  <si>
    <t>CCC US-1</t>
  </si>
  <si>
    <t>CashIn-000000288</t>
  </si>
  <si>
    <t>CCC US</t>
  </si>
  <si>
    <t>|1201|012|001|001|101004547|101004547||||4061|3363|Payable|||EXPORT||||</t>
  </si>
  <si>
    <t>O25-EXP-OC-282|‏ME_Q-20241206258-EXP-FCL‎|‏Sl-000080‎|‏‎|‏CULVSOK2400727‎|‏‎|‏‎|‏‎|‏‎|‏‎|‏EGSOK Sokhna Port‎|‏SAJED Jeddah‎|‏‎|‏‎|‏‎|‏‎|‏‎|‏08/01/2025‎|‏31/01/2025‎</t>
  </si>
  <si>
    <t>214.0000000000000000</t>
  </si>
  <si>
    <t>101004547</t>
  </si>
  <si>
    <t>467398607</t>
  </si>
  <si>
    <t>378/INV</t>
  </si>
  <si>
    <t>000000378/Invoice</t>
  </si>
  <si>
    <t>215.0000000000000000</t>
  </si>
  <si>
    <t>ALEXHO EG-35</t>
  </si>
  <si>
    <t>CashIn-000000291</t>
  </si>
  <si>
    <t>O25-IMP-OC-42|‏ME_Q-20250107358-IMP-LCL‎|‏RP-000007‎|‏RP-000001‎|‏‎|‏‎|‏‎|‏‎|‏‎|‏MSC DARIEN‎|‏BEANR Antwerp‎|‏EGEDK Dekheila, Alexandria‎|‏02/01/2025‎|‏‎|‏02/01/2025‎|‏‎|‏‎|‏01/02/2025‎|‏31/01/2025‎</t>
  </si>
  <si>
    <t>42/مطالبة نولون محصلة لصالح الغير</t>
  </si>
  <si>
    <t>216.0000000000000000</t>
  </si>
  <si>
    <t>101000636</t>
  </si>
  <si>
    <t>|1301|013|001|001|101000636||||||||||IMPORT||||</t>
  </si>
  <si>
    <t>572671733</t>
  </si>
  <si>
    <t>217.0000000000000000</t>
  </si>
  <si>
    <t>421103|1301|013|001|001|101000636||||||||||IMPORT||||</t>
  </si>
  <si>
    <t>218.0000000000000000</t>
  </si>
  <si>
    <t>ALEXHO EG-36</t>
  </si>
  <si>
    <t>CashIn-000000292</t>
  </si>
  <si>
    <t>|1301|013|001|001|101000636|101000636||||3038|3336|Collect|||IMPORT||||</t>
  </si>
  <si>
    <t>219.0000000000000000</t>
  </si>
  <si>
    <t>379/NAFEZA SERVICE</t>
  </si>
  <si>
    <t>000000379/Invoice</t>
  </si>
  <si>
    <t>220.0000000000000000</t>
  </si>
  <si>
    <t>ALEXHO EG-37</t>
  </si>
  <si>
    <t>CashIn-000000293</t>
  </si>
  <si>
    <t>221.0000000000000000</t>
  </si>
  <si>
    <t>380/THC</t>
  </si>
  <si>
    <t>000000380/Invoice</t>
  </si>
  <si>
    <t>222.0000000000000000</t>
  </si>
  <si>
    <t>ALEXHO EG-38</t>
  </si>
  <si>
    <t>CashIn-000000297</t>
  </si>
  <si>
    <t>223.0000000000000000</t>
  </si>
  <si>
    <t>281/NAFEZA SERVICE</t>
  </si>
  <si>
    <t>000000281/Invoice</t>
  </si>
  <si>
    <t>224.0000000000000000</t>
  </si>
  <si>
    <t>ALEXHO EG-39</t>
  </si>
  <si>
    <t>CashIn-000000298</t>
  </si>
  <si>
    <t>34/مطالبة نولون محصلة لصالح الغير</t>
  </si>
  <si>
    <t>225.0000000000000000</t>
  </si>
  <si>
    <t>|1301|013|001|001|101000016||||||||||IMPORT||||</t>
  </si>
  <si>
    <t>226.0000000000000000</t>
  </si>
  <si>
    <t>421103|1301|013|001|001|101000016||||||||||IMPORT||||</t>
  </si>
  <si>
    <t>227.0000000000000000</t>
  </si>
  <si>
    <t>PSD EG-28</t>
  </si>
  <si>
    <t>CashIn-000000300</t>
  </si>
  <si>
    <t>|1301|013|001|005|101004548|101004548||||3042|5013|Prepaid|||IMPORT||||</t>
  </si>
  <si>
    <t>228.0000000000000000</t>
  </si>
  <si>
    <t>101004548</t>
  </si>
  <si>
    <t>719094429</t>
  </si>
  <si>
    <t>385/NAFEZA SERVICE PSD</t>
  </si>
  <si>
    <t>000000385/Invoice</t>
  </si>
  <si>
    <t>229.0000000000000000</t>
  </si>
  <si>
    <t>PSD EG-29</t>
  </si>
  <si>
    <t>CashIn-000000301</t>
  </si>
  <si>
    <t>230.0000000000000000</t>
  </si>
  <si>
    <t>384/THC PSD</t>
  </si>
  <si>
    <t>000000384/Invoice</t>
  </si>
  <si>
    <t>231.0000000000000000</t>
  </si>
  <si>
    <t>Airport EG-19</t>
  </si>
  <si>
    <t>CashIn-000000316</t>
  </si>
  <si>
    <t>2025-01-11</t>
  </si>
  <si>
    <t>O25-IMP-AI-331|‏‎|‏Al-000020‎|‏‎|‏876-12225004466‎|‏‎|‏‎|‏‎|‏‎|‏‎|‏SGN HO CHI MINH CITY‎|‏CAI CAIRO‎|‏‎|‏‎|‏10/01/2025‎|‏‎|‏‎|‏09/01/2025‎|‏31/01/2025‎</t>
  </si>
  <si>
    <t>232.0000000000000000</t>
  </si>
  <si>
    <t>442/INV</t>
  </si>
  <si>
    <t>000000442/Invoice</t>
  </si>
  <si>
    <t>233.0000000000000000</t>
  </si>
  <si>
    <t>Airport EG-20</t>
  </si>
  <si>
    <t>CashIn-000000317</t>
  </si>
  <si>
    <t>234.0000000000000000</t>
  </si>
  <si>
    <t>100/OFFICIAL</t>
  </si>
  <si>
    <t>000000100/OR-FW</t>
  </si>
  <si>
    <t>235.0000000000000000</t>
  </si>
  <si>
    <t>ALEXHO US-3</t>
  </si>
  <si>
    <t>CashIn-000000318</t>
  </si>
  <si>
    <t>O25-IMP-OC-42|‏ME_Q-20250107325-IMP-LCL‎|‏RP-000007‎|‏RP-000001‎|‏‎|‏‎|‏‎|‏‎|‏‎|‏MSC DARIEN‎|‏BEANR Antwerp‎|‏EGEDK Dekheila, Alexandria‎|‏02/01/2025‎|‏‎|‏02/01/2025‎|‏‎|‏‎|‏01/02/2025‎|‏31/01/2025‎</t>
  </si>
  <si>
    <t>41/مطالبة نولون محصلة لصالح الغير</t>
  </si>
  <si>
    <t>236.0000000000000000</t>
  </si>
  <si>
    <t>101004432</t>
  </si>
  <si>
    <t>|1301|013|001|001|101004432||||||||||IMPORT||||</t>
  </si>
  <si>
    <t>204982510</t>
  </si>
  <si>
    <t>237.0000000000000000</t>
  </si>
  <si>
    <t>421103|1301|013|001|001|101004432||||||||||IMPORT||||</t>
  </si>
  <si>
    <t>238.0000000000000000</t>
  </si>
  <si>
    <t>ALEXHO EG-40</t>
  </si>
  <si>
    <t>CashIn-000000319</t>
  </si>
  <si>
    <t>|1301|013|001|001|101004432|101004432||||3038|3336|Collect|||IMPORT||||</t>
  </si>
  <si>
    <t>239.0000000000000000</t>
  </si>
  <si>
    <t>375/THC</t>
  </si>
  <si>
    <t>000000375/Invoice</t>
  </si>
  <si>
    <t>240.0000000000000000</t>
  </si>
  <si>
    <t>ALEXHO EG-41</t>
  </si>
  <si>
    <t>CashIn-000000320</t>
  </si>
  <si>
    <t>241.0000000000000000</t>
  </si>
  <si>
    <t>376/NAFEZA SERVICE</t>
  </si>
  <si>
    <t>000000376/Invoice</t>
  </si>
  <si>
    <t>242.0000000000000000</t>
  </si>
  <si>
    <t>PSD EG-30</t>
  </si>
  <si>
    <t>CashIn-000000340</t>
  </si>
  <si>
    <t>|1301|013|001|005|101004545|101004545||||3075|5013|Collect|||IMPORT||||</t>
  </si>
  <si>
    <t>O25-IMP-OC-124|‏ME_Q-20241206363-IMP-LCL‎|‏Sl-000001‎|‏Ag-000087‎|‏COSU6398799762‎|‏‎|‏‎|‏‎|‏‎|‏CONTSHIP IVY‎|‏CNXSA Guangzhou2‎|‏EGPSD Port Said West‎|‏‎|‏13/11/2024‎|‏05/01/2025‎|‏‎|‏‎|‏01/05/2025‎|‏31/01/2025‎</t>
  </si>
  <si>
    <t>243.0000000000000000</t>
  </si>
  <si>
    <t>101004545</t>
  </si>
  <si>
    <t>381917487</t>
  </si>
  <si>
    <t>433/THC PSD</t>
  </si>
  <si>
    <t>000000433/Invoice</t>
  </si>
  <si>
    <t>244.0000000000000000</t>
  </si>
  <si>
    <t>PSD EG-31</t>
  </si>
  <si>
    <t>CashIn-000000341</t>
  </si>
  <si>
    <t>245.0000000000000000</t>
  </si>
  <si>
    <t>374/NAFEZA SERVICE PSD</t>
  </si>
  <si>
    <t>000000374/Invoice</t>
  </si>
  <si>
    <t>246.0000000000000000</t>
  </si>
  <si>
    <t>ALEXHO EG-42</t>
  </si>
  <si>
    <t>CashIn-000000347</t>
  </si>
  <si>
    <t>|1301|013|001|001|101000149|101000149||||3038|3336|Collect|||IMPORT||||</t>
  </si>
  <si>
    <t>O25-IMP-OC-109|‏ME_Q-20241206339-IMP-LCL‎|‏Sl-000036‎|‏RP-000001‎|‏‎|‏‎|‏‎|‏‎|‏‎|‏YM EVOLUTION‎|‏DEHAM Hamburg‎|‏EGEDK Dekheila, Alexandria‎|‏02/01/2025‎|‏‎|‏02/01/2025‎|‏‎|‏‎|‏01/04/2025‎|‏‎</t>
  </si>
  <si>
    <t>247.0000000000000000</t>
  </si>
  <si>
    <t>439/THC</t>
  </si>
  <si>
    <t>000000439/Invoice</t>
  </si>
  <si>
    <t>248.0000000000000000</t>
  </si>
  <si>
    <t>ALEXHO EG-43</t>
  </si>
  <si>
    <t>CashIn-000000348</t>
  </si>
  <si>
    <t>249.0000000000000000</t>
  </si>
  <si>
    <t>438/NAFEZA SERVICE</t>
  </si>
  <si>
    <t>000000438/Invoice</t>
  </si>
  <si>
    <t>250.0000000000000000</t>
  </si>
  <si>
    <t>ALEXHO EG-44</t>
  </si>
  <si>
    <t>CashIn-000000349</t>
  </si>
  <si>
    <t>O25-IMP-OC-109|‏ME_Q-20241206338-IMP-LCL‎|‏Sl-000036‎|‏RP-000001‎|‏‎|‏‎|‏‎|‏‎|‏‎|‏YM EVOLUTION‎|‏DEHAM Hamburg‎|‏EGEDK Dekheila, Alexandria‎|‏02/01/2025‎|‏‎|‏02/01/2025‎|‏‎|‏‎|‏01/04/2025‎|‏‎</t>
  </si>
  <si>
    <t>251.0000000000000000</t>
  </si>
  <si>
    <t>437/THC</t>
  </si>
  <si>
    <t>000000437/Invoice</t>
  </si>
  <si>
    <t>252.0000000000000000</t>
  </si>
  <si>
    <t>ALEXHO EG-45</t>
  </si>
  <si>
    <t>CashIn-000000350</t>
  </si>
  <si>
    <t>253.0000000000000000</t>
  </si>
  <si>
    <t>436/NAFEZA SERVICE</t>
  </si>
  <si>
    <t>000000436/Invoice</t>
  </si>
  <si>
    <t>254.0000000000000000</t>
  </si>
  <si>
    <t>ALEXHO EG-46</t>
  </si>
  <si>
    <t>CashIn-000000352</t>
  </si>
  <si>
    <t>O25-IMP-OC-107|‏ME_Q-20241206336-IMP-LCL‎|‏Sl-000009‎|‏RP-000001‎|‏‎|‏‎|‏‎|‏‎|‏‎|‏SAFEEN PRESTIGE‎|‏AEJEA Jebel Ali‎|‏696 ALEXANDRIA‎|‏02/01/2025‎|‏‎|‏02/01/2025‎|‏‎|‏‎|‏04/01/2025‎|‏‎</t>
  </si>
  <si>
    <t>255.0000000000000000</t>
  </si>
  <si>
    <t>441/THC</t>
  </si>
  <si>
    <t>000000441/Invoice</t>
  </si>
  <si>
    <t>256.0000000000000000</t>
  </si>
  <si>
    <t>ALEXHO EG-47</t>
  </si>
  <si>
    <t>CashIn-000000353</t>
  </si>
  <si>
    <t>257.0000000000000000</t>
  </si>
  <si>
    <t>440/NAFEZA SERVICE</t>
  </si>
  <si>
    <t>000000440/Invoice</t>
  </si>
  <si>
    <t>258.0000000000000000</t>
  </si>
  <si>
    <t>CIB_US_CA-2</t>
  </si>
  <si>
    <t>NR-000000367</t>
  </si>
  <si>
    <t>2025-01-12</t>
  </si>
  <si>
    <t>122202|1501|015|001|001|101000376|101000661||||3115|3115|Payable|||IMPORT||||</t>
  </si>
  <si>
    <t>O25-IMP-OC-3|‏ME_Q-20250106501-IMP-FCL‎|‏Sl-000009‎|‏‎|‏720440981‎|‏‎|‏‎|‏‎|‏‎|‏NEXOE MAERSK‎|‏NZTRG TAURANGA‎|‏EGALY Alexandria, Egypt (old)‎|‏‎|‏‎|‏‎|‏‎|‏‎|‏01/01/2025‎|‏31/01/2025‎</t>
  </si>
  <si>
    <t>303146150</t>
  </si>
  <si>
    <t>DownPayment</t>
  </si>
  <si>
    <t>259.0000000000000000</t>
  </si>
  <si>
    <t>101000376</t>
  </si>
  <si>
    <t>|1501|015|001|001|101000376|101000661||||3115|3115|Payable|||IMPORT||||</t>
  </si>
  <si>
    <t>Yes</t>
  </si>
  <si>
    <t>575095059</t>
  </si>
  <si>
    <t>260.0000000000000000</t>
  </si>
  <si>
    <t>NBD_US_CA-1</t>
  </si>
  <si>
    <t>CashIn-000000354</t>
  </si>
  <si>
    <t>261.0000000000000000</t>
  </si>
  <si>
    <t>51/مطالبة نولون محصلة لصالح الغير</t>
  </si>
  <si>
    <t>000000051/OF-FW</t>
  </si>
  <si>
    <t>262.0000000000000000</t>
  </si>
  <si>
    <t>Airport EG-21</t>
  </si>
  <si>
    <t>CashIn-000000355</t>
  </si>
  <si>
    <t>|1101|011|001|004|101000205|101000205||||4019|4012|Prepaid|||IMPORT||||</t>
  </si>
  <si>
    <t>O25-IMP-AI-415|‏‎|‏Al-000019‎|‏‎|‏065-41866952‎|‏‎|‏‎|‏‎|‏‎|‏‎|‏HKG HONG KONG‎|‏CAI CAIRO‎|‏‎|‏‎|‏11/01/2025‎|‏‎|‏‎|‏12/01/2025‎|‏31/01/2025‎</t>
  </si>
  <si>
    <t>263.0000000000000000</t>
  </si>
  <si>
    <t>101000205</t>
  </si>
  <si>
    <t>205014909</t>
  </si>
  <si>
    <t>107/OFFICIAL</t>
  </si>
  <si>
    <t>000000107/OR-FW</t>
  </si>
  <si>
    <t>264.0000000000000000</t>
  </si>
  <si>
    <t>Airport EG-22</t>
  </si>
  <si>
    <t>CashIn-000000356</t>
  </si>
  <si>
    <t>265.0000000000000000</t>
  </si>
  <si>
    <t>488/INV</t>
  </si>
  <si>
    <t>000000488/Invoice</t>
  </si>
  <si>
    <t>266.0000000000000000</t>
  </si>
  <si>
    <t>Airport EG-23</t>
  </si>
  <si>
    <t>CashIn-000000357</t>
  </si>
  <si>
    <t>O25-IMP-AI-416|‏‎|‏Al-000019‎|‏‎|‏065-41866952‎|‏‎|‏‎|‏‎|‏‎|‏‎|‏HKHKG Hong Kong‎|‏CAI CAIRO‎|‏‎|‏‎|‏11/01/2025‎|‏‎|‏‎|‏12/01/2025‎|‏31/01/2025‎</t>
  </si>
  <si>
    <t>267.0000000000000000</t>
  </si>
  <si>
    <t>490/INV</t>
  </si>
  <si>
    <t>000000490/Invoice</t>
  </si>
  <si>
    <t>268.0000000000000000</t>
  </si>
  <si>
    <t>Airport EG-24</t>
  </si>
  <si>
    <t>CashIn-000000358</t>
  </si>
  <si>
    <t>269.0000000000000000</t>
  </si>
  <si>
    <t>105/OFFICIAL</t>
  </si>
  <si>
    <t>000000105/OR-FW</t>
  </si>
  <si>
    <t>270.0000000000000000</t>
  </si>
  <si>
    <t>Airport EG-25</t>
  </si>
  <si>
    <t>CashIn-000000359</t>
  </si>
  <si>
    <t>O25-IMP-AI-417|‏‎|‏Al-000019‎|‏‎|‏065-41866952‎|‏‎|‏‎|‏‎|‏‎|‏‎|‏HKG HONG KONG‎|‏CAI CAIRO‎|‏‎|‏‎|‏11/01/2025‎|‏‎|‏‎|‏12/01/2025‎|‏31/01/2025‎</t>
  </si>
  <si>
    <t>271.0000000000000000</t>
  </si>
  <si>
    <t>492/INV</t>
  </si>
  <si>
    <t>000000492/Invoice</t>
  </si>
  <si>
    <t>272.0000000000000000</t>
  </si>
  <si>
    <t>Airport EG-26</t>
  </si>
  <si>
    <t>CashIn-000000360</t>
  </si>
  <si>
    <t>273.0000000000000000</t>
  </si>
  <si>
    <t>106/OFFICIAL</t>
  </si>
  <si>
    <t>000000106/OR-FW</t>
  </si>
  <si>
    <t>274.0000000000000000</t>
  </si>
  <si>
    <t>Airport EG-27</t>
  </si>
  <si>
    <t>CashIn-000000361</t>
  </si>
  <si>
    <t>O25-IMP-AI-419|‏‎|‏Al-000019‎|‏‎|‏065-41866952‎|‏‎|‏‎|‏‎|‏‎|‏‎|‏HKG HONG KONG‎|‏CAI CAIRO‎|‏‎|‏‎|‏11/01/2025‎|‏‎|‏‎|‏12/01/2025‎|‏31/01/2025‎</t>
  </si>
  <si>
    <t>275.0000000000000000</t>
  </si>
  <si>
    <t>494/INV</t>
  </si>
  <si>
    <t>000000494/Invoice</t>
  </si>
  <si>
    <t>276.0000000000000000</t>
  </si>
  <si>
    <t>Airport EG-28</t>
  </si>
  <si>
    <t>CashIn-000000362</t>
  </si>
  <si>
    <t>277.0000000000000000</t>
  </si>
  <si>
    <t>104/OFFICIAL</t>
  </si>
  <si>
    <t>000000104/OR-FW</t>
  </si>
  <si>
    <t>278.0000000000000000</t>
  </si>
  <si>
    <t>ALEXHO EG-48</t>
  </si>
  <si>
    <t>CashIn-000000373</t>
  </si>
  <si>
    <t>|1301|013|001|001|101001402|101001402||||3075|3336|Collect|||IMPORT||||</t>
  </si>
  <si>
    <t>O25-IMP-OC-14|‏ME_Q-20250107257-IMP-LCL‎|‏Sl-000004‎|‏RP-000001‎|‏‎|‏‎|‏‎|‏‎|‏‎|‏MAERSK NARMADA‎|‏ITGOA Genoa‎|‏696 ALEXANDRIA‎|‏01/01/2025‎|‏‎|‏01/01/2025‎|‏‎|‏‎|‏01/01/2025‎|‏‎</t>
  </si>
  <si>
    <t>279.0000000000000000</t>
  </si>
  <si>
    <t>101001402</t>
  </si>
  <si>
    <t>100115608</t>
  </si>
  <si>
    <t>463/THC</t>
  </si>
  <si>
    <t>000000463/Invoice</t>
  </si>
  <si>
    <t>280.0000000000000000</t>
  </si>
  <si>
    <t>ALEXHO EG-49</t>
  </si>
  <si>
    <t>CashIn-000000374</t>
  </si>
  <si>
    <t>281.0000000000000000</t>
  </si>
  <si>
    <t>464/NAFEZA SERVICE</t>
  </si>
  <si>
    <t>000000464/Invoice</t>
  </si>
  <si>
    <t>282.0000000000000000</t>
  </si>
  <si>
    <t>ALEXHO EG-50</t>
  </si>
  <si>
    <t>CashIn-000000377</t>
  </si>
  <si>
    <t>49/مطالبة نولون محصلة لصالح الغير</t>
  </si>
  <si>
    <t>283.0000000000000000</t>
  </si>
  <si>
    <t>|1301|013|001|001|101001402||||||||||IMPORT||||</t>
  </si>
  <si>
    <t>284.0000000000000000</t>
  </si>
  <si>
    <t>421103|1301|013|001|001|101001402||||||||||IMPORT||||</t>
  </si>
  <si>
    <t>285.0000000000000000</t>
  </si>
  <si>
    <t>PSD EG-32</t>
  </si>
  <si>
    <t>CashIn-000000381</t>
  </si>
  <si>
    <t>|1301|013|001|005|101004549|101004549||||3076|5013|Collect|||IMPORT||||</t>
  </si>
  <si>
    <t>O25-IMP-OC-124|‏ME_Q-20250107512-IMP-LCL‎|‏Sl-000001‎|‏Ag-000087‎|‏COSU6398799762‎|‏‎|‏‎|‏‎|‏‎|‏CONTSHIP IVY‎|‏NGB NINGBO‎|‏EGPSD Port Said West‎|‏‎|‏13/11/2024‎|‏05/01/2025‎|‏‎|‏‎|‏01/05/2025‎|‏31/01/2025‎</t>
  </si>
  <si>
    <t>286.0000000000000000</t>
  </si>
  <si>
    <t>101004549</t>
  </si>
  <si>
    <t>650581156</t>
  </si>
  <si>
    <t>476/THC PSD</t>
  </si>
  <si>
    <t>000000476/Invoice</t>
  </si>
  <si>
    <t>287.0000000000000000</t>
  </si>
  <si>
    <t>PSD EG-33</t>
  </si>
  <si>
    <t>CashIn-000000382</t>
  </si>
  <si>
    <t>288.0000000000000000</t>
  </si>
  <si>
    <t>386/NAFEZA SERVICE PSD</t>
  </si>
  <si>
    <t>000000386/Invoice</t>
  </si>
  <si>
    <t>289.0000000000000000</t>
  </si>
  <si>
    <t>ALEXHO EG-51</t>
  </si>
  <si>
    <t>CashIn-000000383</t>
  </si>
  <si>
    <t>|1302|013|001|001|101000244|101000244||||3031|3336|Collect|||IMPORT||||</t>
  </si>
  <si>
    <t>290.0000000000000000</t>
  </si>
  <si>
    <t>475/STOR   IMPORT ALEX</t>
  </si>
  <si>
    <t>000000475/Invoice</t>
  </si>
  <si>
    <t>291.0000000000000000</t>
  </si>
  <si>
    <t>ALEXHO EG-52</t>
  </si>
  <si>
    <t>CashIn-000000398</t>
  </si>
  <si>
    <t>|1301|013|001|001|101001970|101001970||||3330|3336|Collect|||IMPORT||||</t>
  </si>
  <si>
    <t>O25-IMP-OC-42|‏ME_Q-20241205319-IMP-LCL‎|‏RP-000007‎|‏RP-000001‎|‏‎|‏‎|‏‎|‏‎|‏‎|‏MSC DARIEN‎|‏BEANR Antwerp‎|‏EGEDK Dekheila, Alexandria‎|‏02/01/2025‎|‏‎|‏02/01/2025‎|‏‎|‏‎|‏02/01/2025‎|‏31/01/2025‎</t>
  </si>
  <si>
    <t>292.0000000000000000</t>
  </si>
  <si>
    <t>101001970</t>
  </si>
  <si>
    <t>200205919</t>
  </si>
  <si>
    <t>434/THC</t>
  </si>
  <si>
    <t>000000434/Invoice</t>
  </si>
  <si>
    <t>293.0000000000000000</t>
  </si>
  <si>
    <t>ALEXHO EG-53</t>
  </si>
  <si>
    <t>CashIn-000000399</t>
  </si>
  <si>
    <t>294.0000000000000000</t>
  </si>
  <si>
    <t>466/NAFEZA SERVICE</t>
  </si>
  <si>
    <t>000000466/Invoice</t>
  </si>
  <si>
    <t>295.0000000000000000</t>
  </si>
  <si>
    <t>PSD EG-34</t>
  </si>
  <si>
    <t>CashIn-000000407</t>
  </si>
  <si>
    <t>|1302|013|001|005|101001478|101001478||||3031|5013|Collect|||IMPORT||||</t>
  </si>
  <si>
    <t>296.0000000000000000</t>
  </si>
  <si>
    <t>486/STOR IMPORT PSD</t>
  </si>
  <si>
    <t>000000486/Invoice</t>
  </si>
  <si>
    <t>297.0000000000000000</t>
  </si>
  <si>
    <t>PSD EG-35</t>
  </si>
  <si>
    <t>CashIn-000000408</t>
  </si>
  <si>
    <t>|1401|014|001|005|101001478|101001478||||3031|5013|Collect|||IMPORT||||</t>
  </si>
  <si>
    <t>298.0000000000000000</t>
  </si>
  <si>
    <t>536/G3ALA INVOICE PSD</t>
  </si>
  <si>
    <t>000000536/Invoice</t>
  </si>
  <si>
    <t>299.0000000000000000</t>
  </si>
  <si>
    <t>Airport EG-29</t>
  </si>
  <si>
    <t>CashIn-000000411</t>
  </si>
  <si>
    <t>2025-01-13</t>
  </si>
  <si>
    <t>|1101|011|001|004|101004557|101004557||||FREEHAND|FREEHAND|Prepaid|||IMPORT||||</t>
  </si>
  <si>
    <t>O25-IMP-AI-404|‏‎|‏Al-000006‎|‏Ag-000049‎|‏077-58113440‎|‏‎|‏‎|‏‎|‏‎|‏‎|‏LHR LONDON HEATHROW‎|‏CAI CAIRO‎|‏‎|‏‎|‏11/01/2025‎|‏‎|‏‎|‏12/01/2025‎|‏31/01/2025‎</t>
  </si>
  <si>
    <t>300.0000000000000000</t>
  </si>
  <si>
    <t>101004557</t>
  </si>
  <si>
    <t>489247148</t>
  </si>
  <si>
    <t>604/INV</t>
  </si>
  <si>
    <t>000000604/Invoice</t>
  </si>
  <si>
    <t>301.0000000000000000</t>
  </si>
  <si>
    <t>Airport EG-30</t>
  </si>
  <si>
    <t>CashIn-000000412</t>
  </si>
  <si>
    <t>|1101|011|001|004|101004557|101004557||||FREEHAND|4012|Prepaid|||IMPORT||||</t>
  </si>
  <si>
    <t>O25-IMP-AI-404|‏‎|‏Al-000006‎|‏‎|‏077-RB0139805‎|‏‎|‏‎|‏‎|‏‎|‏‎|‏LHR LONDON HEATHROW‎|‏CAI CAIRO‎|‏‎|‏‎|‏11/01/2025‎|‏‎|‏‎|‏12/01/2025‎|‏31/01/2025‎</t>
  </si>
  <si>
    <t>302.0000000000000000</t>
  </si>
  <si>
    <t>124/OFFICIAL</t>
  </si>
  <si>
    <t>000000124/OR-FW</t>
  </si>
  <si>
    <t>303.0000000000000000</t>
  </si>
  <si>
    <t>EBNK_US_CA-1</t>
  </si>
  <si>
    <t>BankIn-000000416</t>
  </si>
  <si>
    <t>EBNK-US-CA</t>
  </si>
  <si>
    <t>|1201|012|001|001|101004559|101004559||||5035|3040|Payable|||EXPORT||||</t>
  </si>
  <si>
    <t>O25-EXP-OC-227|‏ME_Q-20250107109-EXP-FCL‎|‏Sl-000041‎|‏Ag-000149‎|‏‎|‏‎|‏‎|‏‎|‏‎|‏‎|‏FRDAT Damiatte‎|‏ESVLC Valencia‎|‏‎|‏‎|‏‎|‏‎|‏‎|‏08/01/2025‎|‏31/01/2025‎</t>
  </si>
  <si>
    <t>304.0000000000000000</t>
  </si>
  <si>
    <t>101004559</t>
  </si>
  <si>
    <t>655349863</t>
  </si>
  <si>
    <t>30/INV</t>
  </si>
  <si>
    <t>000000030/Invoice</t>
  </si>
  <si>
    <t>305.0000000000000000</t>
  </si>
  <si>
    <t>89/OFFICIAL</t>
  </si>
  <si>
    <t>000000089/OR-FW</t>
  </si>
  <si>
    <t>306.0000000000000000</t>
  </si>
  <si>
    <t>Airport EG-31</t>
  </si>
  <si>
    <t>CashIn-000000413</t>
  </si>
  <si>
    <t>|1101|011|001|004|101000209|101000209||||4044|4012|Prepaid|||IMPORT||||</t>
  </si>
  <si>
    <t>O25-IMP-AI-336|‏‎|‏Al-000021‎|‏‎|‏235-29497694‎|‏‎|‏‎|‏‎|‏‎|‏‎|‏IST ISTANBUL AIRPORT‎|‏CAI CAIRO‎|‏‎|‏‎|‏12/01/2025‎|‏‎|‏‎|‏10/01/2025‎|‏31/01/2025‎</t>
  </si>
  <si>
    <t>307.0000000000000000</t>
  </si>
  <si>
    <t>101000209</t>
  </si>
  <si>
    <t>367108879</t>
  </si>
  <si>
    <t>640/INV</t>
  </si>
  <si>
    <t>000000640/Invoice</t>
  </si>
  <si>
    <t>308.0000000000000000</t>
  </si>
  <si>
    <t>Airport EG-32</t>
  </si>
  <si>
    <t>CashIn-000000414</t>
  </si>
  <si>
    <t>|1101|011|001|004|101000209|101000209||||4044|4018|Collect|||IMPORT||||</t>
  </si>
  <si>
    <t>O25-IMP-AI-336|‏ME_Q-20250107338-IMP-AI‎|‏Al-000021‎|‏Ag-000040‎|‏235-29497694‎|‏‎|‏‎|‏‎|‏‎|‏‎|‏IST ISTANBUL AIRPORT‎|‏CAI CAIRO‎|‏‎|‏‎|‏12/01/2025‎|‏‎|‏‎|‏10/01/2025‎|‏31/01/2025‎</t>
  </si>
  <si>
    <t>309.0000000000000000</t>
  </si>
  <si>
    <t>165/OFFICIAL</t>
  </si>
  <si>
    <t>000000165/OR-FW</t>
  </si>
  <si>
    <t>310.0000000000000000</t>
  </si>
  <si>
    <t>POS_EG-6</t>
  </si>
  <si>
    <t>POS-000000417</t>
  </si>
  <si>
    <t>|1301|013|001|001|101004561|101004561||||3038|3336|Collect|||IMPORT||||</t>
  </si>
  <si>
    <t>O25-IMP-OC-109|‏ME_Q-20241104248-IMP-LCL‎|‏Sl-000036‎|‏RP-000001‎|‏‎|‏‎|‏‎|‏‎|‏‎|‏YM EVOLUTION‎|‏DEHAM Hamburg‎|‏EGEDK Dekheila, Alexandria‎|‏02/01/2025‎|‏‎|‏02/01/2025‎|‏‎|‏‎|‏01/04/2025‎|‏‎</t>
  </si>
  <si>
    <t>311.0000000000000000</t>
  </si>
  <si>
    <t>101004561</t>
  </si>
  <si>
    <t>378935275</t>
  </si>
  <si>
    <t>701/THC</t>
  </si>
  <si>
    <t>000000701/Invoice</t>
  </si>
  <si>
    <t>312.0000000000000000</t>
  </si>
  <si>
    <t>702/NAFEZA SERVICE</t>
  </si>
  <si>
    <t>000000702/Invoice</t>
  </si>
  <si>
    <t>313.0000000000000000</t>
  </si>
  <si>
    <t>CIB_EU_CA-1</t>
  </si>
  <si>
    <t>BankIn-000000418</t>
  </si>
  <si>
    <t>CIB-EU-CA</t>
  </si>
  <si>
    <t>|1501|015|001|001|101000173|101000661||||3115|3115|Payable|||IMPORT||||</t>
  </si>
  <si>
    <t>314.0000000000000000</t>
  </si>
  <si>
    <t>101000173</t>
  </si>
  <si>
    <t>205072135</t>
  </si>
  <si>
    <t>315.0000000000000000</t>
  </si>
  <si>
    <t>EBNK_US_CA-2</t>
  </si>
  <si>
    <t>BankIn-000000419</t>
  </si>
  <si>
    <t>|1301|013|001|001|101000649|101000649||||3076|3336|Collect|||IMPORT||||</t>
  </si>
  <si>
    <t>O25-IMP-OC-105|‏ME_Q-20241001629-IMP-LCL‎|‏Sl-000011‎|‏RP-000001‎|‏‎|‏‎|‏‎|‏‎|‏‎|‏EGY FUTURE‎|‏HKHKG Hong Kong‎|‏696 ALEXANDRIA‎|‏04/01/2025‎|‏‎|‏06/01/2025‎|‏‎|‏‎|‏04/01/2025‎|‏31/01/2025‎</t>
  </si>
  <si>
    <t>316.0000000000000000</t>
  </si>
  <si>
    <t>101000649</t>
  </si>
  <si>
    <t>331001594</t>
  </si>
  <si>
    <t>53/مطالبة نولون محصلة لصالح الغير</t>
  </si>
  <si>
    <t>000000053/OF-FW</t>
  </si>
  <si>
    <t>317.0000000000000000</t>
  </si>
  <si>
    <t>PSD EG-36</t>
  </si>
  <si>
    <t>CashIn-000000420</t>
  </si>
  <si>
    <t>|1301|013|001|005|101000280|101000280||||3038|5013|Collect|||IMPORT||||</t>
  </si>
  <si>
    <t>O25-IMP-OC-124|‏ME_Q-20250106984-IMP-LCL‎|‏Sl-000001‎|‏Ag-000087‎|‏COSU6398799762‎|‏‎|‏‎|‏‎|‏‎|‏CONTSHIP IVY‎|‏CNSZX Shenzhen‎|‏EGPSD Port Said West‎|‏01/01/1900‎|‏13/11/2024‎|‏05/01/2025‎|‏‎|‏‎|‏01/05/2025‎|‏31/01/2025‎</t>
  </si>
  <si>
    <t>318.0000000000000000</t>
  </si>
  <si>
    <t>101000280</t>
  </si>
  <si>
    <t>305885782</t>
  </si>
  <si>
    <t>177/THC PSD</t>
  </si>
  <si>
    <t>000000177/Invoice</t>
  </si>
  <si>
    <t>319.0000000000000000</t>
  </si>
  <si>
    <t>PSD EG-37</t>
  </si>
  <si>
    <t>CashIn-000000421</t>
  </si>
  <si>
    <t>320.0000000000000000</t>
  </si>
  <si>
    <t>176/NAFEZA SERVICE PSD</t>
  </si>
  <si>
    <t>000000176/Invoice</t>
  </si>
  <si>
    <t>321.0000000000000000</t>
  </si>
  <si>
    <t>PSD EG-38</t>
  </si>
  <si>
    <t>CashIn-000000430</t>
  </si>
  <si>
    <t>|1302|013|001|005|101000280|101000280||||3038|5013|Collect|||IMPORT||||</t>
  </si>
  <si>
    <t>322.0000000000000000</t>
  </si>
  <si>
    <t>595/STOR IMPORT PSD</t>
  </si>
  <si>
    <t>000000595/Invoice</t>
  </si>
  <si>
    <t>323.0000000000000000</t>
  </si>
  <si>
    <t>PSD EG-39</t>
  </si>
  <si>
    <t>CashIn-000000431</t>
  </si>
  <si>
    <t>|1401|014|001|005|101000280|101000280||||3038|5013|Collect|||IMPORT||||</t>
  </si>
  <si>
    <t>324.0000000000000000</t>
  </si>
  <si>
    <t>594/G3ALA INVOICE PSD</t>
  </si>
  <si>
    <t>000000594/Invoice</t>
  </si>
  <si>
    <t>325.0000000000000000</t>
  </si>
  <si>
    <t>CCC EG-1</t>
  </si>
  <si>
    <t>BankIn-000000437</t>
  </si>
  <si>
    <t>QNB-EG-CF</t>
  </si>
  <si>
    <t>|1201|012|001|001|101004555|101004555||||5035|3040|Payable|||EXPORT||||</t>
  </si>
  <si>
    <t>O25-EXP-OC-118|‏ME_Q-20250106781-EXP-FCL‎|‏RP-000007‎|‏MERCATOR TRANSPORT ARGENTINA SA‎|‏‎|‏‎|‏‎|‏‎|‏‎|‏‎|‏EGALY Alexandria, Egypt (old)‎|‏COCTG CARTAGENA‎|‏‎|‏‎|‏‎|‏‎|‏‎|‏05/01/2025‎|‏31/01/2025‎</t>
  </si>
  <si>
    <t>326.0000000000000000</t>
  </si>
  <si>
    <t>101004555</t>
  </si>
  <si>
    <t>205321585</t>
  </si>
  <si>
    <t>603/INV</t>
  </si>
  <si>
    <t>000000603/Invoice</t>
  </si>
  <si>
    <t>327.0000000000000000</t>
  </si>
  <si>
    <t>ALEXHO EG-54</t>
  </si>
  <si>
    <t>CashIn-000000451</t>
  </si>
  <si>
    <t>328.0000000000000000</t>
  </si>
  <si>
    <t>483/THC</t>
  </si>
  <si>
    <t>000000483/Invoice</t>
  </si>
  <si>
    <t>329.0000000000000000</t>
  </si>
  <si>
    <t>ALEXHO EG-55</t>
  </si>
  <si>
    <t>CashIn-000000452</t>
  </si>
  <si>
    <t>330.0000000000000000</t>
  </si>
  <si>
    <t>482/NAFEZA SERVICE</t>
  </si>
  <si>
    <t>000000482/Invoice</t>
  </si>
  <si>
    <t>331.0000000000000000</t>
  </si>
  <si>
    <t>Merghem EG-1</t>
  </si>
  <si>
    <t>CashIn-000000453</t>
  </si>
  <si>
    <t>Merghem EG</t>
  </si>
  <si>
    <t>|1302|013|001|001|101000257|101000257||||3031|3336|Collect|||IMPORT||||</t>
  </si>
  <si>
    <t>332.0000000000000000</t>
  </si>
  <si>
    <t>619/STOR   IMPORT ALEX</t>
  </si>
  <si>
    <t>000000619/Invoice</t>
  </si>
  <si>
    <t>333.0000000000000000</t>
  </si>
  <si>
    <t>ALEXHO EG-56</t>
  </si>
  <si>
    <t>CashIn-000000454</t>
  </si>
  <si>
    <t>|1201|012|001|001|101000420|101000420||||3038|3039|Payable|||IMPORT||||</t>
  </si>
  <si>
    <t>O25-IMP-OC-197|‏ME_Q-20241204992-IMP-FCL‎|‏Sl-000002‎|‏Ag-000116‎|‏GEN1813635‎|‏‎|‏‎|‏‎|‏‎|‏‎|‏ITGOA Genoa‎|‏EGALY Alexandria, Egypt (old)‎|‏‎|‏‎|‏‎|‏‎|‏‎|‏06/01/2025‎|‏31/01/2025‎</t>
  </si>
  <si>
    <t>334.0000000000000000</t>
  </si>
  <si>
    <t>101000420</t>
  </si>
  <si>
    <t>481562745</t>
  </si>
  <si>
    <t>633/INV</t>
  </si>
  <si>
    <t>000000633/Invoice</t>
  </si>
  <si>
    <t>335.0000000000000000</t>
  </si>
  <si>
    <t>ALEXHO US-4</t>
  </si>
  <si>
    <t>CashIn-000000461</t>
  </si>
  <si>
    <t>|1301|013|001|001|101001488|101001488||||3076|3336|Collect|||IMPORT||||</t>
  </si>
  <si>
    <t>O25-IMP-OC-105|‏ME_Q-20250107690-IMP-LCL‎|‏Sl-000011‎|‏RP-000001‎|‏‎|‏‎|‏‎|‏‎|‏‎|‏EGY FUTURE‎|‏HKHKG Hong Kong‎|‏696 ALEXANDRIA‎|‏04/01/2025‎|‏‎|‏06/01/2025‎|‏‎|‏‎|‏01/04/2025‎|‏31/01/2025‎</t>
  </si>
  <si>
    <t>336.0000000000000000</t>
  </si>
  <si>
    <t>101001488</t>
  </si>
  <si>
    <t>581912047</t>
  </si>
  <si>
    <t>58/مطالبة نولون محصلة لصالح الغير</t>
  </si>
  <si>
    <t>000000058/OF-FW</t>
  </si>
  <si>
    <t>337.0000000000000000</t>
  </si>
  <si>
    <t>ALEXHO EG-57</t>
  </si>
  <si>
    <t>CashIn-000000462</t>
  </si>
  <si>
    <t>338.0000000000000000</t>
  </si>
  <si>
    <t>606/THC</t>
  </si>
  <si>
    <t>000000606/Invoice</t>
  </si>
  <si>
    <t>339.0000000000000000</t>
  </si>
  <si>
    <t>ALEXHO EG-58</t>
  </si>
  <si>
    <t>CashIn-000000463</t>
  </si>
  <si>
    <t>340.0000000000000000</t>
  </si>
  <si>
    <t>607/NAFEZA SERVICE</t>
  </si>
  <si>
    <t>000000607/Invoice</t>
  </si>
  <si>
    <t>341.0000000000000000</t>
  </si>
  <si>
    <t>PSD EG-40</t>
  </si>
  <si>
    <t>CashIn-000000464</t>
  </si>
  <si>
    <t>|1301|013|001|005|101000173|101000173||||3038|5013|Collect|||IMPORT||||</t>
  </si>
  <si>
    <t>O25-IMP-OC-187|‏ME_Q-20250107045-IMP-LCL‎|‏RP-000001‎|‏RP-000001‎|‏‎|‏‎|‏‎|‏‎|‏‎|‏CMA CGM CHOPIN‎|‏DEHAM Hamburg‎|‏EGPSD Port Said West‎|‏03/01/2025‎|‏20/11/2024‎|‏03/01/2025‎|‏‎|‏‎|‏06/01/2025‎|‏‎</t>
  </si>
  <si>
    <t>342.0000000000000000</t>
  </si>
  <si>
    <t>37/THC PSD</t>
  </si>
  <si>
    <t>000000037/Invoice</t>
  </si>
  <si>
    <t>343.0000000000000000</t>
  </si>
  <si>
    <t>PSD EG-41</t>
  </si>
  <si>
    <t>CashIn-000000465</t>
  </si>
  <si>
    <t>344.0000000000000000</t>
  </si>
  <si>
    <t>55/NAFEZA SERVICE PSD</t>
  </si>
  <si>
    <t>000000055/Invoice</t>
  </si>
  <si>
    <t>345.0000000000000000</t>
  </si>
  <si>
    <t>ALEXHO EG-59</t>
  </si>
  <si>
    <t>CashIn-000000466</t>
  </si>
  <si>
    <t>O25-IMP-OC-14|‏ME_Q-20241205268-IMP-LCL‎|‏Sl-000004‎|‏RP-000001‎|‏‎|‏‎|‏‎|‏‎|‏‎|‏MAERSK NARMADA‎|‏ITGOA Genoa‎|‏696 ALEXANDRIA‎|‏01/01/2025‎|‏‎|‏01/01/2025‎|‏‎|‏‎|‏01/01/2025‎|‏‎</t>
  </si>
  <si>
    <t>16/مطالبة نولون محصلة لصالح الغير</t>
  </si>
  <si>
    <t>346.0000000000000000</t>
  </si>
  <si>
    <t>101000127</t>
  </si>
  <si>
    <t>|1301|013|001|001|101000127||||||||||IMPORT||||</t>
  </si>
  <si>
    <t>202495507</t>
  </si>
  <si>
    <t>347.0000000000000000</t>
  </si>
  <si>
    <t>421103|1301|013|001|001|101000127||||||||||IMPORT||||</t>
  </si>
  <si>
    <t>348.0000000000000000</t>
  </si>
  <si>
    <t>ALEXHO EG-60</t>
  </si>
  <si>
    <t>CashIn-000000467</t>
  </si>
  <si>
    <t>|1301|013|001|001|101000127|101000127||||3076|3336|Collect|||IMPORT||||</t>
  </si>
  <si>
    <t>349.0000000000000000</t>
  </si>
  <si>
    <t>215/NAFEZA SERVICE</t>
  </si>
  <si>
    <t>000000215/Invoice</t>
  </si>
  <si>
    <t>350.0000000000000000</t>
  </si>
  <si>
    <t>ALEXHO EG-61</t>
  </si>
  <si>
    <t>CashIn-000000468</t>
  </si>
  <si>
    <t>351.0000000000000000</t>
  </si>
  <si>
    <t>264/THC</t>
  </si>
  <si>
    <t>000000264/Invoice</t>
  </si>
  <si>
    <t>352.0000000000000000</t>
  </si>
  <si>
    <t>PSD EG-42</t>
  </si>
  <si>
    <t>CashIn-000000471</t>
  </si>
  <si>
    <t>|1302|013|001|005|101000112|101000112||||MESCO LCL PSD SALES|5013|Collect|||IMPORT||||</t>
  </si>
  <si>
    <t>353.0000000000000000</t>
  </si>
  <si>
    <t>644/STOR IMPORT PSD</t>
  </si>
  <si>
    <t>000000644/Invoice</t>
  </si>
  <si>
    <t>354.0000000000000000</t>
  </si>
  <si>
    <t>PSD EG-43</t>
  </si>
  <si>
    <t>CashIn-000000472</t>
  </si>
  <si>
    <t>|1401|014|001|005|101000112|101000112||||MESCO LCL PSD SALES|5013|Collect|||IMPORT||||</t>
  </si>
  <si>
    <t>355.0000000000000000</t>
  </si>
  <si>
    <t>643/G3ALA INVOICE PSD</t>
  </si>
  <si>
    <t>000000643/Invoice</t>
  </si>
  <si>
    <t>356.0000000000000000</t>
  </si>
  <si>
    <t>PSD EG-44</t>
  </si>
  <si>
    <t>CashIn-000000473</t>
  </si>
  <si>
    <t>357.0000000000000000</t>
  </si>
  <si>
    <t>700/STOR SERVICE PSD</t>
  </si>
  <si>
    <t>000000700/Invoice</t>
  </si>
  <si>
    <t>358.0000000000000000</t>
  </si>
  <si>
    <t>Airport EG-33</t>
  </si>
  <si>
    <t>CashIn-000000474</t>
  </si>
  <si>
    <t>2025-01-14</t>
  </si>
  <si>
    <t>124101|1101|011|001|004|101000041|101000041|4030|4030|16491|4018|4012|Prepaid|||EXPORT||||</t>
  </si>
  <si>
    <t>O25-EXP-AI-265|‏ME_Q-20250107235-EXP-AI‎|‏Al-000019‎|‏‎|‏065-47848636‎|‏‎|‏‎|‏‎|‏‎|‏‎|‏CAI CAIRO‎|‏HKG HONG KONG‎|‏‎|‏‎|‏13/01/2025‎|‏‎|‏‎|‏08/01/2025‎|‏31/01/2025‎</t>
  </si>
  <si>
    <t>عمادالدين محمد يوسف</t>
  </si>
  <si>
    <t>277</t>
  </si>
  <si>
    <t>359.0000000000000000</t>
  </si>
  <si>
    <t>124101|1103|011|001|004|101000041|101000041|4030|4030|16488|4018|4012|Prepaid|||EXPORT||||</t>
  </si>
  <si>
    <t>360.0000000000000000</t>
  </si>
  <si>
    <t>124101|1103|011|001|004|101000041|101000041|4030|4030|16445|4018|4012|Prepaid|||EXPORT||||</t>
  </si>
  <si>
    <t>361.0000000000000000</t>
  </si>
  <si>
    <t>124101|1101|011|001|004|101000041|101000041|4030|4030|16446|4018|4012|Prepaid|||EXPORT||||</t>
  </si>
  <si>
    <t>362.0000000000000000</t>
  </si>
  <si>
    <t>124101|1103|011|001|004|101000041|101000041|4030|4030|16517|4018|4012|Prepaid|||EXPORT||||</t>
  </si>
  <si>
    <t>363.0000000000000000</t>
  </si>
  <si>
    <t>124101|1101|011|001|004|101000041|101000041|4030|4030|16410|4018|4012|Prepaid|||EXPORT||||</t>
  </si>
  <si>
    <t>364.0000000000000000</t>
  </si>
  <si>
    <t>4030</t>
  </si>
  <si>
    <t>|1101|011|001|004|101000041|101000041|4030|4030|16410|4018|4012|Prepaid|||EXPORT||||</t>
  </si>
  <si>
    <t>365.0000000000000000</t>
  </si>
  <si>
    <t>366.0000000000000000</t>
  </si>
  <si>
    <t>null</t>
  </si>
  <si>
    <t>367.0000000000000000</t>
  </si>
  <si>
    <t>QNB_EU_CA1-2</t>
  </si>
  <si>
    <t>BankIn-000000480</t>
  </si>
  <si>
    <t>|1101|011|001|004|101000634|101000634||||3038|4012|Prepaid|||IMPORT||||</t>
  </si>
  <si>
    <t>O25-IMP-AI-334|‏‎|‏Al-000006‎|‏‎|‏077-58792381‎|‏‎|‏‎|‏‎|‏‎|‏‎|‏MXP MILAN MALPENSA‎|‏CAI CAIRO‎|‏‎|‏‎|‏11/01/2025‎|‏‎|‏‎|‏10/01/2025‎|‏31/01/2025‎</t>
  </si>
  <si>
    <t>368.0000000000000000</t>
  </si>
  <si>
    <t>101000634</t>
  </si>
  <si>
    <t>218324898</t>
  </si>
  <si>
    <t>790/INV</t>
  </si>
  <si>
    <t>000000790/Invoice</t>
  </si>
  <si>
    <t>369.0000000000000000</t>
  </si>
  <si>
    <t>QNB_EG_CA1-3</t>
  </si>
  <si>
    <t>BankIn-000000481</t>
  </si>
  <si>
    <t>370.0000000000000000</t>
  </si>
  <si>
    <t>|1101|011|001|004|101000634|101000634||||3038|4018|Prepaid|||IMPORT||||</t>
  </si>
  <si>
    <t>194/OFFICIAL</t>
  </si>
  <si>
    <t>000000194/OR-FW</t>
  </si>
  <si>
    <t>371.0000000000000000</t>
  </si>
  <si>
    <t>789/INV</t>
  </si>
  <si>
    <t>000000789/Invoice</t>
  </si>
  <si>
    <t>372.0000000000000000</t>
  </si>
  <si>
    <t>Airport EG-34</t>
  </si>
  <si>
    <t>CashIn-000000475</t>
  </si>
  <si>
    <t>|1101|011|001|004|101000616|101000616||||3075|4018|Collect|||IMPORT||||</t>
  </si>
  <si>
    <t>O25-IMP-AI-513|‏ME_Q-20250107842-IMP-AI‎|‏Al-000021‎|‏Ag-000121‎|‏876-14015315‎|‏‎|‏‎|‏‎|‏‎|‏‎|‏HKG HONG KONG‎|‏CAI CAIRO‎|‏‎|‏‎|‏13/01/2025‎|‏‎|‏‎|‏14/01/2025‎|‏31/01/2025‎</t>
  </si>
  <si>
    <t>373.0000000000000000</t>
  </si>
  <si>
    <t>101000616</t>
  </si>
  <si>
    <t>723475210</t>
  </si>
  <si>
    <t>820/INV</t>
  </si>
  <si>
    <t>000000820/Invoice</t>
  </si>
  <si>
    <t>374.0000000000000000</t>
  </si>
  <si>
    <t>Airport EG-35</t>
  </si>
  <si>
    <t>CashIn-000000476</t>
  </si>
  <si>
    <t>375.0000000000000000</t>
  </si>
  <si>
    <t>197/OFFICIAL</t>
  </si>
  <si>
    <t>000000197/OR-FW</t>
  </si>
  <si>
    <t>376.0000000000000000</t>
  </si>
  <si>
    <t>ALEXHO EG-62</t>
  </si>
  <si>
    <t>CashIn-000000482</t>
  </si>
  <si>
    <t>|1201|012|001|001|101000461|101000461||||3038|3205|Prepaid|||IMPORT||||</t>
  </si>
  <si>
    <t>O25-IMP-OC-438|‏‎|‏Sl-000010‎|‏‎|‏MLTRLS2425399‎|‏‎|‏‎|‏‎|‏2501S‎|‏‎|‏TRIZT Izmit‎|‏EGALY Alexandria, Egypt (old)‎|‏‎|‏‎|‏‎|‏‎|‏‎|‏12/01/2025‎|‏31/01/2025‎</t>
  </si>
  <si>
    <t>377.0000000000000000</t>
  </si>
  <si>
    <t>101000461</t>
  </si>
  <si>
    <t>349959234</t>
  </si>
  <si>
    <t>720/INV</t>
  </si>
  <si>
    <t>000000720/Invoice</t>
  </si>
  <si>
    <t>378.0000000000000000</t>
  </si>
  <si>
    <t>ALEXHO US-5</t>
  </si>
  <si>
    <t>CashIn-000000483</t>
  </si>
  <si>
    <t>379.0000000000000000</t>
  </si>
  <si>
    <t>721/INV</t>
  </si>
  <si>
    <t>000000721/Invoice</t>
  </si>
  <si>
    <t>380.0000000000000000</t>
  </si>
  <si>
    <t>PSD EG-45</t>
  </si>
  <si>
    <t>CashIn-000000493</t>
  </si>
  <si>
    <t>|1302|013|001|005|101000483|101000483||||MESCO LCL PSD SALES|5013|Collect|||IMPORT||||</t>
  </si>
  <si>
    <t>381.0000000000000000</t>
  </si>
  <si>
    <t>733/STOR IMPORT PSD</t>
  </si>
  <si>
    <t>000000733/Invoice</t>
  </si>
  <si>
    <t>382.0000000000000000</t>
  </si>
  <si>
    <t>PSD EG-46</t>
  </si>
  <si>
    <t>CashIn-000000494</t>
  </si>
  <si>
    <t>|1401|014|001|005|101000483|101000483||||MESCO LCL PSD SALES|5013|Collect|||IMPORT||||</t>
  </si>
  <si>
    <t>383.0000000000000000</t>
  </si>
  <si>
    <t>740/STOR SERVICE PSD</t>
  </si>
  <si>
    <t>000000740/Invoice</t>
  </si>
  <si>
    <t>384.0000000000000000</t>
  </si>
  <si>
    <t>PSD EG-47</t>
  </si>
  <si>
    <t>CashIn-000000495</t>
  </si>
  <si>
    <t>385.0000000000000000</t>
  </si>
  <si>
    <t>739/G3ALA INVOICE PSD</t>
  </si>
  <si>
    <t>000000739/Invoice</t>
  </si>
  <si>
    <t>386.0000000000000000</t>
  </si>
  <si>
    <t>PSD EG-48</t>
  </si>
  <si>
    <t>CashIn-000000512</t>
  </si>
  <si>
    <t>|1401|014|001|005|101004541|101004541||||MESCO LCL PSD SALES|5013|Collect|||IMPORT||||</t>
  </si>
  <si>
    <t>387.0000000000000000</t>
  </si>
  <si>
    <t>802/G3ALA INVOICE PSD</t>
  </si>
  <si>
    <t>000000802/Invoice</t>
  </si>
  <si>
    <t>388.0000000000000000</t>
  </si>
  <si>
    <t>PSD EG-49</t>
  </si>
  <si>
    <t>CashIn-000000513</t>
  </si>
  <si>
    <t>|1302|013|001|005|101004541|101004541||||MESCO LCL PSD SALES|5013|Collect|||IMPORT||||</t>
  </si>
  <si>
    <t>389.0000000000000000</t>
  </si>
  <si>
    <t>800/STOR IMPORT PSD</t>
  </si>
  <si>
    <t>000000800/Invoice</t>
  </si>
  <si>
    <t>390.0000000000000000</t>
  </si>
  <si>
    <t>CCC EG-2</t>
  </si>
  <si>
    <t>BankIn-000000514</t>
  </si>
  <si>
    <t>|1201|012|001|002|101004550|101004550||||5035|4022|Payable|||EXPORT||||</t>
  </si>
  <si>
    <t>O25-EXP-OC-153|‏ME_Q-20250106903-EXP-FCL‎|‏Sl-000014‎|‏Ag-000211‎|‏MEDALYYIL002312‎|‏‎|‏‎|‏‎|‏‎|‏‎|‏EGALY Alexandria, Egypt (old)‎|‏TRIZT Izmit‎|‏‎|‏‎|‏‎|‏‎|‏‎|‏05/01/2025‎|‏31/01/2025‎</t>
  </si>
  <si>
    <t>391.0000000000000000</t>
  </si>
  <si>
    <t>101004550</t>
  </si>
  <si>
    <t>553027468</t>
  </si>
  <si>
    <t>90/OFFICIAL</t>
  </si>
  <si>
    <t>000000090/OR-FW</t>
  </si>
  <si>
    <t>392.0000000000000000</t>
  </si>
  <si>
    <t>CCC US-2</t>
  </si>
  <si>
    <t>BankIn-000000515</t>
  </si>
  <si>
    <t>393.0000000000000000</t>
  </si>
  <si>
    <t>91/OFFICIAL</t>
  </si>
  <si>
    <t>000000091/OR-FW</t>
  </si>
  <si>
    <t>394.0000000000000000</t>
  </si>
  <si>
    <t>CCC US-3</t>
  </si>
  <si>
    <t>BankIn-000000516</t>
  </si>
  <si>
    <t>395.0000000000000000</t>
  </si>
  <si>
    <t>101/INV</t>
  </si>
  <si>
    <t>000000101/Invoice</t>
  </si>
  <si>
    <t>396.0000000000000000</t>
  </si>
  <si>
    <t>Merghem EG-2</t>
  </si>
  <si>
    <t>CashIn-000000525</t>
  </si>
  <si>
    <t>|1302|013|001|001|101000523|101000523||||3038|3336|Collect|||IMPORT||||</t>
  </si>
  <si>
    <t>397.0000000000000000</t>
  </si>
  <si>
    <t>808/STOR   IMPORT ALEX</t>
  </si>
  <si>
    <t>000000808/Invoice</t>
  </si>
  <si>
    <t>398.0000000000000000</t>
  </si>
  <si>
    <t>Merghem EG-3</t>
  </si>
  <si>
    <t>CashIn-000000526</t>
  </si>
  <si>
    <t>|1302|013|001|001|101000149|101000149||||3038|3336|Collect|||IMPORT||||</t>
  </si>
  <si>
    <t>399.0000000000000000</t>
  </si>
  <si>
    <t>794/STOR   IMPORT ALEX</t>
  </si>
  <si>
    <t>000000794/Invoice</t>
  </si>
  <si>
    <t>400.0000000000000000</t>
  </si>
  <si>
    <t>Merghem EG-4</t>
  </si>
  <si>
    <t>CashIn-000000527</t>
  </si>
  <si>
    <t>401.0000000000000000</t>
  </si>
  <si>
    <t>793/STOR   IMPORT ALEX</t>
  </si>
  <si>
    <t>000000793/Invoice</t>
  </si>
  <si>
    <t>402.0000000000000000</t>
  </si>
  <si>
    <t>PSD EG-50</t>
  </si>
  <si>
    <t>CashIn-000000534</t>
  </si>
  <si>
    <t>|1201|012|001|001|101000131|101000131||||FREEHAND|3142|Payable|||IMPORT||||</t>
  </si>
  <si>
    <t>O25-IMP-OC-471|‏ME_Q-20250107714-IMP-FCL‎|‏Sl-000002‎|‏‎|‏MUC0197556‎|‏‎|‏‎|‏‎|‏‎|‏‎|‏DEHAM Hamburg‎|‏EGPSD Port Said West‎|‏‎|‏‎|‏‎|‏‎|‏‎|‏13/01/2025‎|‏31/01/2025‎</t>
  </si>
  <si>
    <t>403.0000000000000000</t>
  </si>
  <si>
    <t>101000131</t>
  </si>
  <si>
    <t>205134394</t>
  </si>
  <si>
    <t>785/INV</t>
  </si>
  <si>
    <t>000000785/Invoice</t>
  </si>
  <si>
    <t>404.0000000000000000</t>
  </si>
  <si>
    <t>CIB_US_CA-3</t>
  </si>
  <si>
    <t>BankIn-000000545</t>
  </si>
  <si>
    <t>2025-01-15</t>
  </si>
  <si>
    <t>|1201|012|001|001|101000893|101000893||||3068|3205|Payable|||IMPORT||||</t>
  </si>
  <si>
    <t>O25-IMP-OC-49|‏ME_Q-20241205663-IMP-FCL‎|‏Sl-000056‎|‏Ag-000067‎|‏SLSNBV04245‎|‏‎|‏‎|‏‎|‏‎|‏MOANA‎|‏CNNGB Ningbo‎|‏EGSOK Sokhna Port‎|‏‎|‏‎|‏‎|‏‎|‏‎|‏02/01/2025‎|‏31/01/2025‎</t>
  </si>
  <si>
    <t>405.0000000000000000</t>
  </si>
  <si>
    <t>769/INV</t>
  </si>
  <si>
    <t>000000769/Invoice</t>
  </si>
  <si>
    <t>406.0000000000000000</t>
  </si>
  <si>
    <t>Airport EG-36</t>
  </si>
  <si>
    <t>CashIn-000000536</t>
  </si>
  <si>
    <t>|1101|011|001|004|101000040|101000040||||3038|4012|Prepaid|||IMPORT||||</t>
  </si>
  <si>
    <t>O25-IMP-AI-335|‏‎|‏Al-000014‎|‏‎|‏020-FRA-00018241‎|‏‎|‏‎|‏‎|‏‎|‏‎|‏‎|‏‎|‏‎|‏‎|‏11/01/2025‎|‏‎|‏‎|‏10/01/2025‎|‏31/01/2025‎</t>
  </si>
  <si>
    <t>407.0000000000000000</t>
  </si>
  <si>
    <t>101000040</t>
  </si>
  <si>
    <t>100058043</t>
  </si>
  <si>
    <t>114/OFFICIAL</t>
  </si>
  <si>
    <t>000000114/OR-FW</t>
  </si>
  <si>
    <t>408.0000000000000000</t>
  </si>
  <si>
    <t>Airport EG-37</t>
  </si>
  <si>
    <t>CashIn-000000537</t>
  </si>
  <si>
    <t>409.0000000000000000</t>
  </si>
  <si>
    <t>588/INV</t>
  </si>
  <si>
    <t>000000588/Invoice</t>
  </si>
  <si>
    <t>410.0000000000000000</t>
  </si>
  <si>
    <t>Airport EG-38</t>
  </si>
  <si>
    <t>CashIn-000000538</t>
  </si>
  <si>
    <t>O25-IMP-AI-459|‏ME_Q-20250107594-IMP-AI‎|‏Al-000014‎|‏Ag-000144‎|‏020-30471184‎|‏‎|‏‎|‏‎|‏‎|‏‎|‏FRA FRANKFURT‎|‏CAI CAIRO‎|‏‎|‏‎|‏13/01/2025‎|‏‎|‏‎|‏12/01/2025‎|‏31/01/2025‎</t>
  </si>
  <si>
    <t>411.0000000000000000</t>
  </si>
  <si>
    <t>806/INV</t>
  </si>
  <si>
    <t>000000806/Invoice</t>
  </si>
  <si>
    <t>412.0000000000000000</t>
  </si>
  <si>
    <t>Airport EG-39</t>
  </si>
  <si>
    <t>CashIn-000000539</t>
  </si>
  <si>
    <t>413.0000000000000000</t>
  </si>
  <si>
    <t>196/OFFICIAL</t>
  </si>
  <si>
    <t>000000196/OR-FW</t>
  </si>
  <si>
    <t>414.0000000000000000</t>
  </si>
  <si>
    <t>QNB_EU_CF-1</t>
  </si>
  <si>
    <t>BankIn-000000546</t>
  </si>
  <si>
    <t>QNB-EU-CF</t>
  </si>
  <si>
    <t>|1301|013|001|001|101000485|101000485||||3075|3336|Collect|||IMPORT||||</t>
  </si>
  <si>
    <t>O25-IMP-OC-7|‏ME_Q-20250107641-IMP-LCL‎|‏Sl-000002‎|‏Ag-000036‎|‏‎|‏‎|‏‎|‏‎|‏‎|‏CMA CGM CHOPIN‎|‏DEHAM Hamburg‎|‏696 ALEXANDRIA‎|‏01/01/2025‎|‏‎|‏01/01/2025‎|‏‎|‏‎|‏01/01/2025‎|‏‎</t>
  </si>
  <si>
    <t>415.0000000000000000</t>
  </si>
  <si>
    <t>101000485</t>
  </si>
  <si>
    <t>100015158</t>
  </si>
  <si>
    <t>57/مطالبة نولون محصلة لصالح الغير</t>
  </si>
  <si>
    <t>000000057/OF-FW</t>
  </si>
  <si>
    <t>416.0000000000000000</t>
  </si>
  <si>
    <t>NBE_EG_CA-1</t>
  </si>
  <si>
    <t>NR-000000547</t>
  </si>
  <si>
    <t>122201|1302|013|001|001|101000016|101000016||||3076|3336|Collect|||IMPORT||||</t>
  </si>
  <si>
    <t>951/STOR   IMPORT ALEX</t>
  </si>
  <si>
    <t>000000951/Invoice</t>
  </si>
  <si>
    <t>NBE-EG-CA</t>
  </si>
  <si>
    <t>20068500933749</t>
  </si>
  <si>
    <t>417.0000000000000000</t>
  </si>
  <si>
    <t>|1302|013|001|001|101000016|101000016||||3076|3336|Collect|||IMPORT||||</t>
  </si>
  <si>
    <t>418.0000000000000000</t>
  </si>
  <si>
    <t>Merghem EG-5</t>
  </si>
  <si>
    <t>CashIn-000000550</t>
  </si>
  <si>
    <t>|1302|013|001|001|101000123|101000123||||3038|3336|Collect|||IMPORT||||</t>
  </si>
  <si>
    <t>419.0000000000000000</t>
  </si>
  <si>
    <t>914/STOR   IMPORT ALEX</t>
  </si>
  <si>
    <t>000000914/Invoice</t>
  </si>
  <si>
    <t>420.0000000000000000</t>
  </si>
  <si>
    <t>ALEXHO EG-63</t>
  </si>
  <si>
    <t>CashIn-000000553</t>
  </si>
  <si>
    <t>|1201|012|001|002|||||||||||EXPORT||||</t>
  </si>
  <si>
    <t>O25-EXP-OC-18|‏ME_Q-20250106556-EXP-FCL‎|‏Sl-000014‎|‏‎|‏MEDALYYIL002297‎|‏‎|‏‎|‏‎|‏‎|‏‎|‏EGALY Alexandria, Egypt (old)‎|‏TRIZT Izmit‎|‏‎|‏‎|‏‎|‏‎|‏‎|‏01/01/2025‎|‏31/01/2025‎</t>
  </si>
  <si>
    <t>59/INV</t>
  </si>
  <si>
    <t>421.0000000000000000</t>
  </si>
  <si>
    <t>201000170</t>
  </si>
  <si>
    <t>|1201|012|001|002|201000170||||||||||EXPORT||||</t>
  </si>
  <si>
    <t>422.0000000000000000</t>
  </si>
  <si>
    <t>421103|1201|012|001|002|201000170||||||||||EXPORT||||</t>
  </si>
  <si>
    <t>423.0000000000000000</t>
  </si>
  <si>
    <t>ALEXHO EG-64</t>
  </si>
  <si>
    <t>CashIn-000000554</t>
  </si>
  <si>
    <t>|1301|013|001|001|101000530|101000530||||3075|3208|Collect|||IMPORT||||</t>
  </si>
  <si>
    <t>O25-IMP-OC-395|‏ME_Q-20250107672-IMP-LCL‎|‏Sl-000004‎|‏RP-000001‎|‏‎|‏‎|‏‎|‏‎|‏‎|‏TEOMAN A‎|‏ITGOA Genoa‎|‏696 ALEXANDRIA‎|‏11/01/2025‎|‏07/01/2025‎|‏11/01/2025‎|‏‎|‏‎|‏12/01/2025‎|‏31/01/2025‎</t>
  </si>
  <si>
    <t>424.0000000000000000</t>
  </si>
  <si>
    <t>101000530</t>
  </si>
  <si>
    <t>452948894</t>
  </si>
  <si>
    <t>627/THC</t>
  </si>
  <si>
    <t>000000627/Invoice</t>
  </si>
  <si>
    <t>425.0000000000000000</t>
  </si>
  <si>
    <t>ALEXHO EG-65</t>
  </si>
  <si>
    <t>CashIn-000000555</t>
  </si>
  <si>
    <t>426.0000000000000000</t>
  </si>
  <si>
    <t>628/NAFEZA SERVICE</t>
  </si>
  <si>
    <t>000000628/Invoice</t>
  </si>
  <si>
    <t>427.0000000000000000</t>
  </si>
  <si>
    <t>ALEXHO EG-66</t>
  </si>
  <si>
    <t>CashIn-000000560</t>
  </si>
  <si>
    <t>|1301|013|001|001|101000322|101000322||||3038|3336|Collect|||IMPORT||||</t>
  </si>
  <si>
    <t>O25-IMP-OC-186|‏ME_Q-20241104570-IMP-LCL‎|‏Sl-000002‎|‏RP-000001‎|‏‎|‏‎|‏‎|‏‎|‏‎|‏CMA CGM TOKYO‎|‏DEHAM Hamburg‎|‏696 ALEXANDRIA‎|‏13/01/2025‎|‏‎|‏13/01/2025‎|‏‎|‏‎|‏06/01/2025‎|‏‎</t>
  </si>
  <si>
    <t>428.0000000000000000</t>
  </si>
  <si>
    <t>101000322</t>
  </si>
  <si>
    <t>100425399</t>
  </si>
  <si>
    <t>918/THC</t>
  </si>
  <si>
    <t>000000918/Invoice</t>
  </si>
  <si>
    <t>429.0000000000000000</t>
  </si>
  <si>
    <t>ALEXHO EG-67</t>
  </si>
  <si>
    <t>CashIn-000000561</t>
  </si>
  <si>
    <t>430.0000000000000000</t>
  </si>
  <si>
    <t>917/NAFEZA SERVICE</t>
  </si>
  <si>
    <t>000000917/Invoice</t>
  </si>
  <si>
    <t>431.0000000000000000</t>
  </si>
  <si>
    <t>ALEXHO EG-68</t>
  </si>
  <si>
    <t>CashIn-000000563</t>
  </si>
  <si>
    <t>432.0000000000000000</t>
  </si>
  <si>
    <t>768/INV</t>
  </si>
  <si>
    <t>000000768/Invoice</t>
  </si>
  <si>
    <t>433.0000000000000000</t>
  </si>
  <si>
    <t>ALEXHO EG-69</t>
  </si>
  <si>
    <t>CashIn-000000567</t>
  </si>
  <si>
    <t>O25-IMP-OC-182|‏ME_Q-20250107648-IMP-LCL‎|‏Sl-000002‎|‏RP-000001‎|‏‎|‏‎|‏‎|‏‎|‏‎|‏CMA CGM TOKYO‎|‏DEHAM Hamburg‎|‏696 ALEXANDRIA‎|‏13/01/2025‎|‏‎|‏13/01/2025‎|‏‎|‏‎|‏06/01/2025‎|‏‎</t>
  </si>
  <si>
    <t>434.0000000000000000</t>
  </si>
  <si>
    <t>926/THC</t>
  </si>
  <si>
    <t>000000926/Invoice</t>
  </si>
  <si>
    <t>435.0000000000000000</t>
  </si>
  <si>
    <t>ALEXHO EG-70</t>
  </si>
  <si>
    <t>CashIn-000000568</t>
  </si>
  <si>
    <t>436.0000000000000000</t>
  </si>
  <si>
    <t>925/NAFEZA SERVICE</t>
  </si>
  <si>
    <t>000000925/Invoice</t>
  </si>
  <si>
    <t>437.0000000000000000</t>
  </si>
  <si>
    <t>CCC US-4</t>
  </si>
  <si>
    <t>BankIn-000000569</t>
  </si>
  <si>
    <t>|1201|012|001|001|101000595|101000595||||3038|3039|Payable|||IMPORT||||</t>
  </si>
  <si>
    <t>O25-IMP-OC-480|‏ME_Q-20241104709-IMP-FCL‎|‏Sl-000010‎|‏Ag-000173‎|‏MLTRLS2425393‎|‏‎|‏‎|‏‎|‏‎|‏‎|‏TRIST Istanbul Port‎|‏EGALY Alexandria, Egypt (old)‎|‏‎|‏‎|‏‎|‏‎|‏‎|‏13/01/2025‎|‏31/01/2025‎</t>
  </si>
  <si>
    <t>438.0000000000000000</t>
  </si>
  <si>
    <t>101000595</t>
  </si>
  <si>
    <t>572512910</t>
  </si>
  <si>
    <t>927/INV</t>
  </si>
  <si>
    <t>000000927/Invoice</t>
  </si>
  <si>
    <t>439.0000000000000000</t>
  </si>
  <si>
    <t>PSD EG-51</t>
  </si>
  <si>
    <t>CashIn-000000574</t>
  </si>
  <si>
    <t>O25-IMP-OC-470|‏ME_Q-20250107936-IMP-LCL‎|‏Sl-000001‎|‏Ag-000087‎|‏COSU6400700690‎|‏‎|‏‎|‏‎|‏‎|‏CONTSHIP IVY‎|‏HKHKG Hong Kong‎|‏EGPSD Port Said West‎|‏‎|‏‎|‏14/01/2025‎|‏‎|‏‎|‏13/01/2025‎|‏31/01/2025‎</t>
  </si>
  <si>
    <t>440.0000000000000000</t>
  </si>
  <si>
    <t>933/THC PSD</t>
  </si>
  <si>
    <t>000000933/Invoice</t>
  </si>
  <si>
    <t>441.0000000000000000</t>
  </si>
  <si>
    <t>PSD EG-52</t>
  </si>
  <si>
    <t>CashIn-000000575</t>
  </si>
  <si>
    <t>442.0000000000000000</t>
  </si>
  <si>
    <t>932/NAFEZA SERVICE PSD</t>
  </si>
  <si>
    <t>000000932/Invoice</t>
  </si>
  <si>
    <t>443.0000000000000000</t>
  </si>
  <si>
    <t>ALEXHO EG-71</t>
  </si>
  <si>
    <t>CashIn-000000576</t>
  </si>
  <si>
    <t>444.0000000000000000</t>
  </si>
  <si>
    <t>599/THC</t>
  </si>
  <si>
    <t>000000599/Invoice</t>
  </si>
  <si>
    <t>445.0000000000000000</t>
  </si>
  <si>
    <t>ALEXHO EG-72</t>
  </si>
  <si>
    <t>CashIn-000000577</t>
  </si>
  <si>
    <t>446.0000000000000000</t>
  </si>
  <si>
    <t>598/NAFEZA SERVICE</t>
  </si>
  <si>
    <t>000000598/Invoice</t>
  </si>
  <si>
    <t>447.0000000000000000</t>
  </si>
  <si>
    <t>PSD EG-53</t>
  </si>
  <si>
    <t>CashIn-000000580</t>
  </si>
  <si>
    <t>O25-IMP-OC-470|‏ME_Q-20250107913-IMP-LCL‎|‏Sl-000001‎|‏Ag-000087‎|‏COSU6400700690‎|‏‎|‏‎|‏‎|‏‎|‏CONTSHIP IVY‎|‏HKHKG Hong Kong‎|‏EGPSD Port Said West‎|‏‎|‏‎|‏14/01/2025‎|‏‎|‏‎|‏13/01/2025‎|‏31/01/2025‎</t>
  </si>
  <si>
    <t>448.0000000000000000</t>
  </si>
  <si>
    <t>946/NAFEZA SERVICE PSD</t>
  </si>
  <si>
    <t>000000946/Invoice</t>
  </si>
  <si>
    <t>449.0000000000000000</t>
  </si>
  <si>
    <t>PSD EG-54</t>
  </si>
  <si>
    <t>CashIn-000000581</t>
  </si>
  <si>
    <t>O25-IMP-OC-470|‏ME_Q-20250107914-IMP-LCL‎|‏Sl-000001‎|‏Ag-000087‎|‏COSU6400700690‎|‏‎|‏‎|‏‎|‏‎|‏CONTSHIP IVY‎|‏HKHKG Hong Kong‎|‏EGPSD Port Said West‎|‏‎|‏‎|‏14/01/2025‎|‏‎|‏‎|‏14/01/2025‎|‏31/01/2025‎</t>
  </si>
  <si>
    <t>450.0000000000000000</t>
  </si>
  <si>
    <t>935/NAFEZA SERVICE PSD</t>
  </si>
  <si>
    <t>000000935/Invoice</t>
  </si>
  <si>
    <t>451.0000000000000000</t>
  </si>
  <si>
    <t>ALEXHO EG-73</t>
  </si>
  <si>
    <t>CashIn-000000583</t>
  </si>
  <si>
    <t>|1201|012|001|001|101003471|101003471||||FREEHAND|3142|Payable|||IMPORT||||</t>
  </si>
  <si>
    <t>O25-IMP-OC-573|‏ME_Q-20250107963-IMP-FCL‎|‏Sl-000009‎|‏Ag-000068‎|‏246604980‎|‏‎|‏‎|‏‎|‏‎|‏‎|‏BEANR Antwerp‎|‏EGALY Alexandria, Egypt (old)‎|‏‎|‏‎|‏‎|‏‎|‏‎|‏15/01/2025‎|‏31/01/2025‎</t>
  </si>
  <si>
    <t>452.0000000000000000</t>
  </si>
  <si>
    <t>101003471</t>
  </si>
  <si>
    <t>506787532</t>
  </si>
  <si>
    <t>949/INV</t>
  </si>
  <si>
    <t>000000949/Invoice</t>
  </si>
  <si>
    <t>453.0000000000000000</t>
  </si>
  <si>
    <t>CCC US-5</t>
  </si>
  <si>
    <t>BankIn-000000590</t>
  </si>
  <si>
    <t>|1201|012|001|001|101000454|101000454||||3076|3136|Payable|||IMPORT||||</t>
  </si>
  <si>
    <t>O25-IMP-OC-504|‏ME_Q-20241104747-IMP-FCL‎|‏Sl-000052‎|‏Ag-000181‎|‏EPIRINDMAA201773‎|‏‎|‏‎|‏‎|‏‎|‏‎|‏INICD Chennai‎|‏EGSOK Sokhna Port‎|‏‎|‏‎|‏‎|‏‎|‏‎|‏14/01/2025‎|‏31/01/2025‎</t>
  </si>
  <si>
    <t>454.0000000000000000</t>
  </si>
  <si>
    <t>734/INV</t>
  </si>
  <si>
    <t>000000734/Invoice</t>
  </si>
  <si>
    <t>455.0000000000000000</t>
  </si>
  <si>
    <t>CIB_EU_CA-2</t>
  </si>
  <si>
    <t>NR-000000615</t>
  </si>
  <si>
    <t>2025-01-16</t>
  </si>
  <si>
    <t>122203|1301|013|001|001|301000002|301000002||||3038|3208|Collect|||IMPORT||||</t>
  </si>
  <si>
    <t>O25-IMP-OC-395|‏ME_Q-20250107608-IMP-LCL‎|‏Sl-000004‎|‏RP-000001‎|‏‎|‏‎|‏‎|‏‎|‏‎|‏TEOMAN A‎|‏ITGOA Genoa‎|‏696 ALEXANDRIA‎|‏11/01/2025‎|‏07/01/2025‎|‏11/01/2025‎|‏‎|‏‎|‏12/01/2025‎|‏31/01/2025‎</t>
  </si>
  <si>
    <t>63/مطالبة نولون محصلة لصالح الغير</t>
  </si>
  <si>
    <t>000000063/OF-FW</t>
  </si>
  <si>
    <t>526926871</t>
  </si>
  <si>
    <t>456.0000000000000000</t>
  </si>
  <si>
    <t>301000002</t>
  </si>
  <si>
    <t>|1301|013|001|001|301000002|301000002||||3038|3208|Collect|||IMPORT||||</t>
  </si>
  <si>
    <t>218171544</t>
  </si>
  <si>
    <t>457.0000000000000000</t>
  </si>
  <si>
    <t>Airport EG-40</t>
  </si>
  <si>
    <t>CashIn-000000601</t>
  </si>
  <si>
    <t>O25-IMP-AI-337|‏‎|‏Al-000006‎|‏‎|‏077-58792381‎|‏‎|‏‎|‏‎|‏‎|‏‎|‏MXP MILAN MALPENSA‎|‏CAI CAIRO‎|‏‎|‏‎|‏11/01/2025‎|‏‎|‏‎|‏10/01/2025‎|‏31/01/2025‎</t>
  </si>
  <si>
    <t>458.0000000000000000</t>
  </si>
  <si>
    <t>646/INV</t>
  </si>
  <si>
    <t>000000646/Invoice</t>
  </si>
  <si>
    <t>459.0000000000000000</t>
  </si>
  <si>
    <t>Airport EG-41</t>
  </si>
  <si>
    <t>CashIn-000000602</t>
  </si>
  <si>
    <t>O25-IMP-AI-337|‏ME_Q-20250107450-IMP-AI‎|‏Al-000006‎|‏Ag-000126‎|‏077-58792381‎|‏‎|‏‎|‏‎|‏‎|‏‎|‏MXP MILAN MALPENSA‎|‏CAI CAIRO‎|‏‎|‏‎|‏11/01/2025‎|‏‎|‏‎|‏10/01/2025‎|‏31/01/2025‎</t>
  </si>
  <si>
    <t>460.0000000000000000</t>
  </si>
  <si>
    <t>180/OFFICIAL</t>
  </si>
  <si>
    <t>000000180/OR-FW</t>
  </si>
  <si>
    <t>461.0000000000000000</t>
  </si>
  <si>
    <t>Airport EG-42</t>
  </si>
  <si>
    <t>CashIn-000000603</t>
  </si>
  <si>
    <t>|1101|011|001|004|101000314|101000314||||3031|4012|Collect|||IMPORT||||</t>
  </si>
  <si>
    <t>O25-IMP-AI-405|‏‎|‏Al-000006‎|‏‎|‏077-RF-001328‎|‏‎|‏‎|‏‎|‏‎|‏‎|‏DXB DUBAI‎|‏CAI CAIRO‎|‏‎|‏‎|‏11/01/2025‎|‏‎|‏‎|‏12/01/2025‎|‏31/01/2025‎</t>
  </si>
  <si>
    <t>462.0000000000000000</t>
  </si>
  <si>
    <t>116/OFFICIAL</t>
  </si>
  <si>
    <t>000000116/OR-FW</t>
  </si>
  <si>
    <t>463.0000000000000000</t>
  </si>
  <si>
    <t>Airport EG-43</t>
  </si>
  <si>
    <t>CashIn-000000604</t>
  </si>
  <si>
    <t>464.0000000000000000</t>
  </si>
  <si>
    <t>538/INV</t>
  </si>
  <si>
    <t>000000538/Invoice</t>
  </si>
  <si>
    <t>465.0000000000000000</t>
  </si>
  <si>
    <t>Airport EG-44</t>
  </si>
  <si>
    <t>CashIn-000000605</t>
  </si>
  <si>
    <t>|1101|011|001|004|101000314|101000314||||3031|4012|Prepaid|||IMPORT||||</t>
  </si>
  <si>
    <t>O25-IMP-AI-134|‏‎|‏Al-000013‎|‏‎|‏229-17261370‎|‏‎|‏‎|‏‎|‏‎|‏‎|‏‎|‏‎|‏‎|‏‎|‏11/01/2025‎|‏‎|‏‎|‏05/01/2025‎|‏31/01/2025‎</t>
  </si>
  <si>
    <t>466.0000000000000000</t>
  </si>
  <si>
    <t>117/OFFICIAL</t>
  </si>
  <si>
    <t>000000117/OR-FW</t>
  </si>
  <si>
    <t>467.0000000000000000</t>
  </si>
  <si>
    <t>Airport EG-45</t>
  </si>
  <si>
    <t>CashIn-000000606</t>
  </si>
  <si>
    <t>468.0000000000000000</t>
  </si>
  <si>
    <t>540/INV</t>
  </si>
  <si>
    <t>000000540/Invoice</t>
  </si>
  <si>
    <t>469.0000000000000000</t>
  </si>
  <si>
    <t>QNB_EG_CA1-4</t>
  </si>
  <si>
    <t>BankIn-000000616</t>
  </si>
  <si>
    <t>|1301|013|001|005|101004544|101004544||||3042|5013|Prepaid|||IMPORT||||</t>
  </si>
  <si>
    <t>470.0000000000000000</t>
  </si>
  <si>
    <t>101004544</t>
  </si>
  <si>
    <t>205151566</t>
  </si>
  <si>
    <t>382/NAFEZA SERVICE PSD</t>
  </si>
  <si>
    <t>000000382/Invoice</t>
  </si>
  <si>
    <t>471.0000000000000000</t>
  </si>
  <si>
    <t>1094/THC PSD</t>
  </si>
  <si>
    <t>000001094/Invoice</t>
  </si>
  <si>
    <t>472.0000000000000000</t>
  </si>
  <si>
    <t>QNB_US_CA1-2</t>
  </si>
  <si>
    <t>BankIn-000000617</t>
  </si>
  <si>
    <t>473.0000000000000000</t>
  </si>
  <si>
    <t>115/مطالبة نولون محصلة لصالح الغير</t>
  </si>
  <si>
    <t>000000115/OF-FW</t>
  </si>
  <si>
    <t>474.0000000000000000</t>
  </si>
  <si>
    <t>POS_EG-8</t>
  </si>
  <si>
    <t>POS-000000618</t>
  </si>
  <si>
    <t>|1301|013|001|001|101000558|101000558||||3031|3208|Collect|||IMPORT||||</t>
  </si>
  <si>
    <t>O25-IMP-OC-395|‏ME_Q-20241104701-IMP-LCL‎|‏Sl-000004‎|‏RP-000001‎|‏‎|‏‎|‏‎|‏‎|‏‎|‏TEOMAN A‎|‏ITGOA Genoa‎|‏696 ALEXANDRIA‎|‏11/01/2025‎|‏07/01/2025‎|‏11/01/2025‎|‏‎|‏‎|‏12/01/2025‎|‏31/01/2025‎</t>
  </si>
  <si>
    <t>475.0000000000000000</t>
  </si>
  <si>
    <t>101000558</t>
  </si>
  <si>
    <t>310716047</t>
  </si>
  <si>
    <t>919/NAFEZA SERVICE</t>
  </si>
  <si>
    <t>000000919/Invoice</t>
  </si>
  <si>
    <t>476.0000000000000000</t>
  </si>
  <si>
    <t>920/THC</t>
  </si>
  <si>
    <t>000000920/Invoice</t>
  </si>
  <si>
    <t>477.0000000000000000</t>
  </si>
  <si>
    <t>Airport EG-46</t>
  </si>
  <si>
    <t>CashIn-000000607</t>
  </si>
  <si>
    <t>|1101|011|001|004|101000288|101000288||||3038|4018|Collect|||IMPORT||||</t>
  </si>
  <si>
    <t>O25-IMP-AI-341|‏ME_Q-20250106982-IMP-AI‎|‏Al-000006‎|‏Ag-000105‎|‏077-58564693‎|‏‎|‏‎|‏‎|‏‎|‏‎|‏BOM MUMBAI‎|‏CAI CAIRO‎|‏‎|‏‎|‏14/01/2025‎|‏‎|‏‎|‏10/01/2025‎|‏31/01/2025‎</t>
  </si>
  <si>
    <t>478.0000000000000000</t>
  </si>
  <si>
    <t>101000288</t>
  </si>
  <si>
    <t>306236923</t>
  </si>
  <si>
    <t>922/INV</t>
  </si>
  <si>
    <t>000000922/Invoice</t>
  </si>
  <si>
    <t>479.0000000000000000</t>
  </si>
  <si>
    <t>Airport EG-47</t>
  </si>
  <si>
    <t>CashIn-000000608</t>
  </si>
  <si>
    <t>480.0000000000000000</t>
  </si>
  <si>
    <t>206/OFFICIAL</t>
  </si>
  <si>
    <t>000000206/OR-FW</t>
  </si>
  <si>
    <t>481.0000000000000000</t>
  </si>
  <si>
    <t>POS_EG-9</t>
  </si>
  <si>
    <t>POS-000000619</t>
  </si>
  <si>
    <t>|1301|013|001|001|101000374|101000374||||3076|3336|Collect|||IMPORT||||</t>
  </si>
  <si>
    <t>O25-IMP-OC-20|‏ME_Q-20250107037-IMP-LCL‎|‏RP-000001‎|‏RP-000001‎|‏‎|‏‎|‏‎|‏‎|‏‎|‏MAERSK NARMADA‎|‏ESBCN Barcelona‎|‏696 ALEXANDRIA‎|‏01/01/2025‎|‏‎|‏01/01/2025‎|‏‎|‏‎|‏01/01/2025‎|‏‎</t>
  </si>
  <si>
    <t>482.0000000000000000</t>
  </si>
  <si>
    <t>101000374</t>
  </si>
  <si>
    <t>674990412</t>
  </si>
  <si>
    <t>212/THC</t>
  </si>
  <si>
    <t>000000212/Invoice</t>
  </si>
  <si>
    <t>483.0000000000000000</t>
  </si>
  <si>
    <t>265/NAFEZA SERVICE</t>
  </si>
  <si>
    <t>000000265/Invoice</t>
  </si>
  <si>
    <t>484.0000000000000000</t>
  </si>
  <si>
    <t>HSBC_EG_CA-1</t>
  </si>
  <si>
    <t>BankIn-000000620</t>
  </si>
  <si>
    <t>HSBC-EG-CA</t>
  </si>
  <si>
    <t>|1301|013|001|001|101000478|101000478||||3031|3208|Collect|||IMPORT||||</t>
  </si>
  <si>
    <t>O25-IMP-OC-482|‏ME_Q-20241104680-IMP-LCL‎|‏Sl-000011‎|‏RP-000001‎|‏‎|‏‎|‏‎|‏‎|‏‎|‏MSC MADELEINE‎|‏LONDON LHR‎|‏696 ALEXANDRIA‎|‏14/01/2025‎|‏24/12/2024‎|‏14/01/2025‎|‏‎|‏‎|‏13/01/2025‎|‏‎</t>
  </si>
  <si>
    <t>485.0000000000000000</t>
  </si>
  <si>
    <t>101000478</t>
  </si>
  <si>
    <t>723329699</t>
  </si>
  <si>
    <t>818/NAFEZA SERVICE</t>
  </si>
  <si>
    <t>000000818/Invoice</t>
  </si>
  <si>
    <t>486.0000000000000000</t>
  </si>
  <si>
    <t>819/THC</t>
  </si>
  <si>
    <t>000000819/Invoice</t>
  </si>
  <si>
    <t>487.0000000000000000</t>
  </si>
  <si>
    <t>HSBC_EU_CA-1</t>
  </si>
  <si>
    <t>BankIn-000000621</t>
  </si>
  <si>
    <t>HSBC-EU-CA</t>
  </si>
  <si>
    <t>488.0000000000000000</t>
  </si>
  <si>
    <t>79/مطالبة نولون محصلة لصالح الغير</t>
  </si>
  <si>
    <t>000000079/OF-FW</t>
  </si>
  <si>
    <t>489.0000000000000000</t>
  </si>
  <si>
    <t>AUB_EU_CA-1</t>
  </si>
  <si>
    <t>BankIn-000000622</t>
  </si>
  <si>
    <t>AUB-EU-CA</t>
  </si>
  <si>
    <t>490.0000000000000000</t>
  </si>
  <si>
    <t>19/مطالبة نولون محصلة لصالح الغير</t>
  </si>
  <si>
    <t>000000019/OF-FW</t>
  </si>
  <si>
    <t>491.0000000000000000</t>
  </si>
  <si>
    <t>PSD EG-67</t>
  </si>
  <si>
    <t>CashIn-000000609</t>
  </si>
  <si>
    <t>|1301|013|001|005|101000100|101000100|5014|5014|15769|3042|5013|Payable|||IMPORT||||</t>
  </si>
  <si>
    <t>O25-IMP-OC-470|‏‎|‏Sl-000001‎|‏Ag-000087‎|‏COSU6400700690‎|‏CSLU6130489‎|‏40HC‎|‏‎|‏‎|‏CONTSHIP IVY‎|‏HKHKG Hong Kong‎|‏EGPSD Port Said West‎|‏‎|‏‎|‏14/01/2025‎|‏‎|‏‎|‏13/01/2025‎|‏‎</t>
  </si>
  <si>
    <t>566</t>
  </si>
  <si>
    <t>492.0000000000000000</t>
  </si>
  <si>
    <t>Sl-000001</t>
  </si>
  <si>
    <t>|1301|013|001|005|101000100|101000100|Sl-000001|Sl-000001|15769|3042|5013|Payable|||IMPORT||||</t>
  </si>
  <si>
    <t>COSCO SHIPPING LINE</t>
  </si>
  <si>
    <t>325815798</t>
  </si>
  <si>
    <t>inv_2102</t>
  </si>
  <si>
    <t>493.0000000000000000</t>
  </si>
  <si>
    <t>494.0000000000000000</t>
  </si>
  <si>
    <t>CIB_EG_CA-4</t>
  </si>
  <si>
    <t>NR-000000623</t>
  </si>
  <si>
    <t>101000501</t>
  </si>
  <si>
    <t>|1301|013|001|001|101000501|101000501||||3075|3208|Collect|||IMPORT||||</t>
  </si>
  <si>
    <t>O25-IMP-OC-414|‏ME_Q-20250107555-IMP-LCL‎|‏Sl-000003‎|‏RP-000001‎|‏‎|‏‎|‏‎|‏‎|‏‎|‏CHARM C‎|‏INNSA Nhava Sheva‎|‏696 ALEXANDRIA‎|‏10/01/2025‎|‏13/11/2024‎|‏10/01/2025‎|‏‎|‏‎|‏12/01/2025‎|‏‎</t>
  </si>
  <si>
    <t>337727996</t>
  </si>
  <si>
    <t>791/NAFEZA SERVICE</t>
  </si>
  <si>
    <t>000000791/Invoice</t>
  </si>
  <si>
    <t>542257990</t>
  </si>
  <si>
    <t>495.0000000000000000</t>
  </si>
  <si>
    <t>122201|1301|013|001|001|101000501|101000501||||3075|3208|Collect|||IMPORT||||</t>
  </si>
  <si>
    <t>792/THC</t>
  </si>
  <si>
    <t>000000792/Invoice</t>
  </si>
  <si>
    <t>496.0000000000000000</t>
  </si>
  <si>
    <t>497.0000000000000000</t>
  </si>
  <si>
    <t>POS_EG-10</t>
  </si>
  <si>
    <t>POS-000000624</t>
  </si>
  <si>
    <t>|1301|013|001|001|101004564|101004564||||3076|3336|Collect|||IMPORT||||</t>
  </si>
  <si>
    <t>O25-IMP-OC-285|‏ME_Q-20241206481-IMP-LCL‎|‏Sl-000014‎|‏Ag-000203‎|‏MEDMARALY010433‎|‏‎|‏‎|‏‎|‏‎|‏MEDKON MIRA‎|‏TRMAD MARDAS‎|‏EGALY Alexandria, Egypt (old)‎|‏11/01/2025‎|‏‎|‏11/01/2025‎|‏‎|‏‎|‏08/01/2025‎|‏31/01/2025‎</t>
  </si>
  <si>
    <t>498.0000000000000000</t>
  </si>
  <si>
    <t>101004564</t>
  </si>
  <si>
    <t>574565272</t>
  </si>
  <si>
    <t>923/THC</t>
  </si>
  <si>
    <t>000000923/Invoice</t>
  </si>
  <si>
    <t>499.0000000000000000</t>
  </si>
  <si>
    <t>924/NAFEZA SERVICE</t>
  </si>
  <si>
    <t>000000924/Invoice</t>
  </si>
  <si>
    <t>500.0000000000000000</t>
  </si>
  <si>
    <t>Airport EG-48</t>
  </si>
  <si>
    <t>CashIn-000000610</t>
  </si>
  <si>
    <t>|1301|013|001|001|101000584|101000584||||3038|3336|Collect|||IMPORT||||</t>
  </si>
  <si>
    <t>O25-IMP-OC-182|‏ME_Q-20241104788-IMP-LCL‎|‏Sl-000002‎|‏RP-000001‎|‏‎|‏‎|‏‎|‏‎|‏‎|‏CMA CGM TOKYO‎|‏DEHAM Hamburg‎|‏696 ALEXANDRIA‎|‏13/01/2025‎|‏‎|‏13/01/2025‎|‏‎|‏‎|‏06/01/2025‎|‏‎</t>
  </si>
  <si>
    <t>501.0000000000000000</t>
  </si>
  <si>
    <t>101000584</t>
  </si>
  <si>
    <t>420988238</t>
  </si>
  <si>
    <t>1057/THC</t>
  </si>
  <si>
    <t>000001057/Invoice</t>
  </si>
  <si>
    <t>502.0000000000000000</t>
  </si>
  <si>
    <t>Airport EG-49</t>
  </si>
  <si>
    <t>CashIn-000000611</t>
  </si>
  <si>
    <t>503.0000000000000000</t>
  </si>
  <si>
    <t>1056/NAFEZA SERVICE</t>
  </si>
  <si>
    <t>000001056/Invoice</t>
  </si>
  <si>
    <t>504.0000000000000000</t>
  </si>
  <si>
    <t>QNB_EU_CA1-3</t>
  </si>
  <si>
    <t>BankIn-000000625</t>
  </si>
  <si>
    <t>505.0000000000000000</t>
  </si>
  <si>
    <t>105/مطالبة نولون محصلة لصالح الغير</t>
  </si>
  <si>
    <t>000000105/OF-FW</t>
  </si>
  <si>
    <t>506.0000000000000000</t>
  </si>
  <si>
    <t>CIB_US_CA-4</t>
  </si>
  <si>
    <t>BankIn-000000626</t>
  </si>
  <si>
    <t>|1301|013|001|001|101000359|101000359||||3038|3336|Collect|||IMPORT||||</t>
  </si>
  <si>
    <t>O25-IMP-OC-241|‏ME_Q-20250108098-IMP-LCL‎|‏Sl-000016‎|‏Ag-000163‎|‏10166256‎|‏‎|‏‎|‏‎|‏‎|‏TURKON EGYPT‎|‏TRKMX KUMPORT‎|‏EGALY Alexandria, Egypt (old)‎|‏14/01/2025‎|‏‎|‏14/01/2025‎|‏‎|‏‎|‏08/01/2025‎|‏31/01/2025‎</t>
  </si>
  <si>
    <t>507.0000000000000000</t>
  </si>
  <si>
    <t>101000359</t>
  </si>
  <si>
    <t>706013638</t>
  </si>
  <si>
    <t>100/مطالبة نولون محصلة لصالح الغير</t>
  </si>
  <si>
    <t>000000100/OF-FW</t>
  </si>
  <si>
    <t>508.0000000000000000</t>
  </si>
  <si>
    <t>ALEXHO EG-74</t>
  </si>
  <si>
    <t>CashIn-000000629</t>
  </si>
  <si>
    <t>O25-IMP-OC-7|‏ME_Q-20241104404-IMP-LCL‎|‏Sl-000002‎|‏Ag-000036‎|‏‎|‏‎|‏‎|‏‎|‏‎|‏CMA CGM CHOPIN‎|‏DEHAM Hamburg‎|‏696 ALEXANDRIA‎|‏01/01/2025‎|‏‎|‏01/01/2025‎|‏‎|‏‎|‏01/01/2025‎|‏‎</t>
  </si>
  <si>
    <t>92/مطالبة نولون محصلة لصالح الغير</t>
  </si>
  <si>
    <t>509.0000000000000000</t>
  </si>
  <si>
    <t>101000443</t>
  </si>
  <si>
    <t>|1301|013|001|001|101000443||||||||||IMPORT||||</t>
  </si>
  <si>
    <t>202873250</t>
  </si>
  <si>
    <t>510.0000000000000000</t>
  </si>
  <si>
    <t>421103|1301|013|001|001|101000443||||||||||IMPORT||||</t>
  </si>
  <si>
    <t>511.0000000000000000</t>
  </si>
  <si>
    <t>ALEXHO EG-75</t>
  </si>
  <si>
    <t>CashIn-000000630</t>
  </si>
  <si>
    <t>|1301|013|001|001|101000443|101000443||||3075|3336|Collect|||IMPORT||||</t>
  </si>
  <si>
    <t>512.0000000000000000</t>
  </si>
  <si>
    <t>947/NAFEZA SERVICE</t>
  </si>
  <si>
    <t>000000947/Invoice</t>
  </si>
  <si>
    <t>513.0000000000000000</t>
  </si>
  <si>
    <t>ALEXHO EG-76</t>
  </si>
  <si>
    <t>CashIn-000000631</t>
  </si>
  <si>
    <t>514.0000000000000000</t>
  </si>
  <si>
    <t>948/THC</t>
  </si>
  <si>
    <t>000000948/Invoice</t>
  </si>
  <si>
    <t>515.0000000000000000</t>
  </si>
  <si>
    <t>ALEXHO EG-77</t>
  </si>
  <si>
    <t>CashIn-000000636</t>
  </si>
  <si>
    <t>|1201|012|001|001|101004567|101004567||||FREEHAND|3142|Payable|||IMPORT||||</t>
  </si>
  <si>
    <t>O25-IMP-OC-529|‏ME_Q-20250107869-IMP-FCL‎|‏Sl-000011‎|‏‎|‏YMJAU755014295‎|‏‎|‏‎|‏‎|‏‎|‏COSCO ANTWERP‎|‏NLRTM Rotterdam‎|‏EGEDK Dekheila, Alexandria‎|‏‎|‏‎|‏‎|‏‎|‏‎|‏14/01/2025‎|‏31/01/2025‎</t>
  </si>
  <si>
    <t>516.0000000000000000</t>
  </si>
  <si>
    <t>101004567</t>
  </si>
  <si>
    <t>640929400</t>
  </si>
  <si>
    <t>1032/INV</t>
  </si>
  <si>
    <t>000001032/Invoice</t>
  </si>
  <si>
    <t>517.0000000000000000</t>
  </si>
  <si>
    <t>PSD EG-55</t>
  </si>
  <si>
    <t>CashIn-000000639</t>
  </si>
  <si>
    <t>518.0000000000000000</t>
  </si>
  <si>
    <t>1051/STOR IMPORT PSD</t>
  </si>
  <si>
    <t>000001051/Invoice</t>
  </si>
  <si>
    <t>519.0000000000000000</t>
  </si>
  <si>
    <t>PSD EG-56</t>
  </si>
  <si>
    <t>CashIn-000000641</t>
  </si>
  <si>
    <t>|1301|013|001|005|101004565|101004565||||3038|5013|Prepaid|||IMPORT||||</t>
  </si>
  <si>
    <t>O25-IMP-OC-470|‏‎|‏Sl-000001‎|‏Ag-000087‎|‏COSU6400700690‎|‏‎|‏‎|‏‎|‏‎|‏CONTSHIP IVY‎|‏HKHKG Hong Kong‎|‏EGPSD Port Said West‎|‏‎|‏‎|‏14/01/2025‎|‏‎|‏‎|‏14/01/2025‎|‏31/01/2025‎</t>
  </si>
  <si>
    <t>520.0000000000000000</t>
  </si>
  <si>
    <t>101004565</t>
  </si>
  <si>
    <t>413042480</t>
  </si>
  <si>
    <t>990/THC PSD</t>
  </si>
  <si>
    <t>000000990/Invoice</t>
  </si>
  <si>
    <t>521.0000000000000000</t>
  </si>
  <si>
    <t>PSD EG-57</t>
  </si>
  <si>
    <t>CashIn-000000642</t>
  </si>
  <si>
    <t>522.0000000000000000</t>
  </si>
  <si>
    <t>991/NAFEZA SERVICE PSD</t>
  </si>
  <si>
    <t>000000991/Invoice</t>
  </si>
  <si>
    <t>523.0000000000000000</t>
  </si>
  <si>
    <t>PSD EG-58</t>
  </si>
  <si>
    <t>CashIn-000000644</t>
  </si>
  <si>
    <t>|1301|013|001|005|101001865|101001865||||3075|5013|Collect|||IMPORT||||</t>
  </si>
  <si>
    <t>O25-IMP-OC-359|‏ME_Q-20250108112-IMP-LCL‎|‏RP-000001‎|‏RP-000001‎|‏‎|‏‎|‏‎|‏‎|‏‎|‏CMA CGM TOKYO‎|‏DEHAM Hamburg‎|‏EGPSD Port Said West‎|‏‎|‏22/12/2024‎|‏18/01/2025‎|‏‎|‏‎|‏11/01/2025‎|‏‎</t>
  </si>
  <si>
    <t>524.0000000000000000</t>
  </si>
  <si>
    <t>101001865</t>
  </si>
  <si>
    <t>100456774</t>
  </si>
  <si>
    <t>1072/THC PSD</t>
  </si>
  <si>
    <t>000001072/Invoice</t>
  </si>
  <si>
    <t>525.0000000000000000</t>
  </si>
  <si>
    <t>ALEXHO EG-78</t>
  </si>
  <si>
    <t>CashIn-000000645</t>
  </si>
  <si>
    <t>|1301|013|001|001|101000041|101000041||||3031|3208|Collect|||IMPORT||||</t>
  </si>
  <si>
    <t>O25-IMP-OC-395|‏ME_Q-20250107605-IMP-LCL‎|‏Sl-000004‎|‏RP-000001‎|‏‎|‏‎|‏‎|‏‎|‏‎|‏TEOMAN A‎|‏ITGOA Genoa‎|‏696 ALEXANDRIA‎|‏11/01/2025‎|‏07/01/2025‎|‏11/01/2025‎|‏‎|‏‎|‏12/01/2025‎|‏31/01/2025‎</t>
  </si>
  <si>
    <t>526.0000000000000000</t>
  </si>
  <si>
    <t>101000041</t>
  </si>
  <si>
    <t>100180841</t>
  </si>
  <si>
    <t>773/THC</t>
  </si>
  <si>
    <t>000000773/Invoice</t>
  </si>
  <si>
    <t>527.0000000000000000</t>
  </si>
  <si>
    <t>ALEXHO EG-79</t>
  </si>
  <si>
    <t>CashIn-000000646</t>
  </si>
  <si>
    <t>528.0000000000000000</t>
  </si>
  <si>
    <t>772/NAFEZA SERVICE</t>
  </si>
  <si>
    <t>000000772/Invoice</t>
  </si>
  <si>
    <t>529.0000000000000000</t>
  </si>
  <si>
    <t>PSD EG-59</t>
  </si>
  <si>
    <t>CashIn-000000647</t>
  </si>
  <si>
    <t>530.0000000000000000</t>
  </si>
  <si>
    <t>1071/NAFEZA SERVICE PSD</t>
  </si>
  <si>
    <t>000001071/Invoice</t>
  </si>
  <si>
    <t>531.0000000000000000</t>
  </si>
  <si>
    <t>PSD EG-60</t>
  </si>
  <si>
    <t>CashIn-000000648</t>
  </si>
  <si>
    <t>|1301|013|001|005|101001260|101001260||||3075|5013|Collect|||IMPORT||||</t>
  </si>
  <si>
    <t>O25-IMP-OC-470|‏ME_Q-20250108114-IMP-LCL‎|‏Sl-000001‎|‏Ag-000087‎|‏COSU6400700690‎|‏‎|‏‎|‏‎|‏‎|‏CONTSHIP IVY‎|‏HKHKG Hong Kong‎|‏EGPSD Port Said West‎|‏‎|‏‎|‏14/01/2025‎|‏‎|‏‎|‏14/01/2025‎|‏31/01/2025‎</t>
  </si>
  <si>
    <t>532.0000000000000000</t>
  </si>
  <si>
    <t>101001260</t>
  </si>
  <si>
    <t>369471202</t>
  </si>
  <si>
    <t>1076/THC PSD</t>
  </si>
  <si>
    <t>000001076/Invoice</t>
  </si>
  <si>
    <t>533.0000000000000000</t>
  </si>
  <si>
    <t>ALEXHO EG-80</t>
  </si>
  <si>
    <t>CashIn-000000649</t>
  </si>
  <si>
    <t>O25-IMP-OC-482|‏ME_Q-20241206480-IMP-LCL‎|‏Sl-000011‎|‏RP-000001‎|‏‎|‏‎|‏‎|‏‎|‏‎|‏MSC MADELEINE‎|‏LONDON LHR‎|‏696 ALEXANDRIA‎|‏14/01/2025‎|‏24/12/2024‎|‏14/01/2025‎|‏‎|‏‎|‏13/01/2025‎|‏‎</t>
  </si>
  <si>
    <t>534.0000000000000000</t>
  </si>
  <si>
    <t>1038/THC</t>
  </si>
  <si>
    <t>000001038/Invoice</t>
  </si>
  <si>
    <t>535.0000000000000000</t>
  </si>
  <si>
    <t>PSD EG-61</t>
  </si>
  <si>
    <t>CashIn-000000650</t>
  </si>
  <si>
    <t>536.0000000000000000</t>
  </si>
  <si>
    <t>1077/NAFEZA SERVICE PSD</t>
  </si>
  <si>
    <t>000001077/Invoice</t>
  </si>
  <si>
    <t>537.0000000000000000</t>
  </si>
  <si>
    <t>ALEXHO EG-81</t>
  </si>
  <si>
    <t>CashIn-000000651</t>
  </si>
  <si>
    <t>538.0000000000000000</t>
  </si>
  <si>
    <t>1037/NAFEZA SERVICE</t>
  </si>
  <si>
    <t>000001037/Invoice</t>
  </si>
  <si>
    <t>539.0000000000000000</t>
  </si>
  <si>
    <t>ALEXHO EG-82</t>
  </si>
  <si>
    <t>CashIn-000000652</t>
  </si>
  <si>
    <t>O25-IMP-OC-395|‏ME_Q-20250107602-IMP-LCL‎|‏Sl-000004‎|‏RP-000001‎|‏‎|‏‎|‏‎|‏‎|‏‎|‏TEOMAN A‎|‏ITGOA Genoa‎|‏696 ALEXANDRIA‎|‏11/01/2025‎|‏07/01/2025‎|‏11/01/2025‎|‏‎|‏‎|‏12/01/2025‎|‏31/01/2025‎</t>
  </si>
  <si>
    <t>540.0000000000000000</t>
  </si>
  <si>
    <t>706/THC</t>
  </si>
  <si>
    <t>000000706/Invoice</t>
  </si>
  <si>
    <t>541.0000000000000000</t>
  </si>
  <si>
    <t>ALEXHO EG-83</t>
  </si>
  <si>
    <t>CashIn-000000653</t>
  </si>
  <si>
    <t>542.0000000000000000</t>
  </si>
  <si>
    <t>705/NAFEZA SERVICE</t>
  </si>
  <si>
    <t>000000705/Invoice</t>
  </si>
  <si>
    <t>543.0000000000000000</t>
  </si>
  <si>
    <t>ALEXHO EG-84</t>
  </si>
  <si>
    <t>CashIn-000000665</t>
  </si>
  <si>
    <t>O25-IMP-OC-395|‏ME_Q-20250107541-IMP-LCL‎|‏Sl-000004‎|‏RP-000001‎|‏‎|‏‎|‏‎|‏‎|‏‎|‏TEOMAN A‎|‏ITGOA Genoa‎|‏696 ALEXANDRIA‎|‏11/01/2025‎|‏07/01/2025‎|‏11/01/2025‎|‏‎|‏‎|‏12/01/2025‎|‏31/01/2025‎</t>
  </si>
  <si>
    <t>73/مطالبة نولون محصلة لصالح الغير</t>
  </si>
  <si>
    <t>544.0000000000000000</t>
  </si>
  <si>
    <t>101000470</t>
  </si>
  <si>
    <t>|1301|013|001|001|101000470||||||||||IMPORT||||</t>
  </si>
  <si>
    <t>204972655</t>
  </si>
  <si>
    <t>545.0000000000000000</t>
  </si>
  <si>
    <t>421103|1301|013|001|001|101000470||||||||||IMPORT||||</t>
  </si>
  <si>
    <t>546.0000000000000000</t>
  </si>
  <si>
    <t>ALEXHO EG-85</t>
  </si>
  <si>
    <t>CashIn-000000666</t>
  </si>
  <si>
    <t>|1301|013|001|001|101000470|101000470||||KEYACCOUNT|3208|Collect|||IMPORT||||</t>
  </si>
  <si>
    <t>547.0000000000000000</t>
  </si>
  <si>
    <t>809/NAFEZA SERVICE</t>
  </si>
  <si>
    <t>000000809/Invoice</t>
  </si>
  <si>
    <t>548.0000000000000000</t>
  </si>
  <si>
    <t>ALEXHO EG-86</t>
  </si>
  <si>
    <t>CashIn-000000667</t>
  </si>
  <si>
    <t>549.0000000000000000</t>
  </si>
  <si>
    <t>810/THC</t>
  </si>
  <si>
    <t>000000810/Invoice</t>
  </si>
  <si>
    <t>550.0000000000000000</t>
  </si>
  <si>
    <t>ALEXHO EG-87</t>
  </si>
  <si>
    <t>CashIn-000000675</t>
  </si>
  <si>
    <t>|1301|013|001|001|101000242|101000242||||3075|3208|Collect|||IMPORT||||</t>
  </si>
  <si>
    <t>O25-IMP-OC-395|‏ME_Q-20250107692-IMP-LCL‎|‏Sl-000004‎|‏RP-000001‎|‏‎|‏‎|‏‎|‏‎|‏‎|‏TEOMAN A‎|‏ITGOA Genoa‎|‏696 ALEXANDRIA‎|‏11/01/2025‎|‏07/01/2025‎|‏11/01/2025‎|‏‎|‏‎|‏12/01/2025‎|‏31/01/2025‎</t>
  </si>
  <si>
    <t>551.0000000000000000</t>
  </si>
  <si>
    <t>101000242</t>
  </si>
  <si>
    <t>330646494</t>
  </si>
  <si>
    <t>624/THC</t>
  </si>
  <si>
    <t>000000624/Invoice</t>
  </si>
  <si>
    <t>552.0000000000000000</t>
  </si>
  <si>
    <t>PSD EG-62</t>
  </si>
  <si>
    <t>CashIn-000000676</t>
  </si>
  <si>
    <t>|1401|014|001|005|101000149|101000149||||3038|5013|Prepaid|||IMPORT||||</t>
  </si>
  <si>
    <t>553.0000000000000000</t>
  </si>
  <si>
    <t>1095/STOR SERVICE PSD</t>
  </si>
  <si>
    <t>000001095/Invoice</t>
  </si>
  <si>
    <t>554.0000000000000000</t>
  </si>
  <si>
    <t>ALEXHO EG-88</t>
  </si>
  <si>
    <t>CashIn-000000677</t>
  </si>
  <si>
    <t>555.0000000000000000</t>
  </si>
  <si>
    <t>623/NAFEZA SERVICE</t>
  </si>
  <si>
    <t>000000623/Invoice</t>
  </si>
  <si>
    <t>556.0000000000000000</t>
  </si>
  <si>
    <t>PSD EG-63</t>
  </si>
  <si>
    <t>CashIn-000000678</t>
  </si>
  <si>
    <t>557.0000000000000000</t>
  </si>
  <si>
    <t>1093/G3ALA INVOICE PSD</t>
  </si>
  <si>
    <t>000001093/Invoice</t>
  </si>
  <si>
    <t>558.0000000000000000</t>
  </si>
  <si>
    <t>PSD EG-64</t>
  </si>
  <si>
    <t>CashIn-000000679</t>
  </si>
  <si>
    <t>|1302|013|001|005|101000149|101000149||||3038|5013|Prepaid|||IMPORT||||</t>
  </si>
  <si>
    <t>559.0000000000000000</t>
  </si>
  <si>
    <t>1092/STOR IMPORT PSD</t>
  </si>
  <si>
    <t>000001092/Invoice</t>
  </si>
  <si>
    <t>560.0000000000000000</t>
  </si>
  <si>
    <t>ALEXHO EG-89</t>
  </si>
  <si>
    <t>CashIn-000000680</t>
  </si>
  <si>
    <t>|1301|013|001|001|101000446|101000446||||3038|3208|Collect|||IMPORT||||</t>
  </si>
  <si>
    <t>561.0000000000000000</t>
  </si>
  <si>
    <t>101000446</t>
  </si>
  <si>
    <t>288876334</t>
  </si>
  <si>
    <t>778/THC</t>
  </si>
  <si>
    <t>000000778/Invoice</t>
  </si>
  <si>
    <t>562.0000000000000000</t>
  </si>
  <si>
    <t>ALEXHO EG-90</t>
  </si>
  <si>
    <t>CashIn-000000681</t>
  </si>
  <si>
    <t>563.0000000000000000</t>
  </si>
  <si>
    <t>779/NAFEZA SERVICE</t>
  </si>
  <si>
    <t>000000779/Invoice</t>
  </si>
  <si>
    <t>564.0000000000000000</t>
  </si>
  <si>
    <t>PSD EG-65</t>
  </si>
  <si>
    <t>CashIn-000000682</t>
  </si>
  <si>
    <t>|1302|013|001|005|101004545|101004545||||3075|5013|Collect|||IMPORT||||</t>
  </si>
  <si>
    <t>565.0000000000000000</t>
  </si>
  <si>
    <t>1096/STOR IMPORT PSD</t>
  </si>
  <si>
    <t>000001096/Invoice</t>
  </si>
  <si>
    <t>566.0000000000000000</t>
  </si>
  <si>
    <t>PSD EG-66</t>
  </si>
  <si>
    <t>CashIn-000000683</t>
  </si>
  <si>
    <t>|1401|014|001|005|101004545|101004545||||3075|5013|Collect|||IMPORT||||</t>
  </si>
  <si>
    <t>567.0000000000000000</t>
  </si>
  <si>
    <t>1098/G3ALA INVOICE PSD</t>
  </si>
  <si>
    <t>000001098/Invoice</t>
  </si>
  <si>
    <t>568.0000000000000000</t>
  </si>
  <si>
    <t>CCC US-6</t>
  </si>
  <si>
    <t>CashIn-000000684</t>
  </si>
  <si>
    <t>|1201|012|001|002|101004405|101004405||||4029|4022|Payable|||EXPORT||||</t>
  </si>
  <si>
    <t>O25-EXP-OC-15|‏ME_Q-20250106509-EXP-FCL‎|‏Sl-000009‎|‏‎|‏248404471‎|‏‎|‏‎|‏‎|‏‎|‏‎|‏EGALY Alexandria, Egypt (old)‎|‏TRMER Mersin‎|‏‎|‏‎|‏‎|‏‎|‏‎|‏01/01/2025‎|‏31/01/2025‎</t>
  </si>
  <si>
    <t>569.0000000000000000</t>
  </si>
  <si>
    <t>101004405</t>
  </si>
  <si>
    <t>454921934</t>
  </si>
  <si>
    <t>1097/INV</t>
  </si>
  <si>
    <t>000001097/Invoice</t>
  </si>
  <si>
    <t>570.0000000000000000</t>
  </si>
  <si>
    <t>ALEXHO EG-91</t>
  </si>
  <si>
    <t>CashIn-000000687</t>
  </si>
  <si>
    <t>|1201|012|001|002|101004569|101004569||||FREEHAND|4029|Payable|||IMPORT||||</t>
  </si>
  <si>
    <t>O25-IMP-OC-514|‏ME_Q-20250107809-IMP-FCL‎|‏Sl-000010‎|‏Ag-000213‎|‏MLTRLS2425496‎|‏‎|‏‎|‏‎|‏‎|‏AL BIDDA‎|‏TRIST Istanbul Port‎|‏EGALY Alexandria, Egypt (old)‎|‏‎|‏‎|‏‎|‏‎|‏‎|‏14/01/2025‎|‏31/01/2025‎</t>
  </si>
  <si>
    <t>571.0000000000000000</t>
  </si>
  <si>
    <t>101004569</t>
  </si>
  <si>
    <t>210491620</t>
  </si>
  <si>
    <t>1099/INV</t>
  </si>
  <si>
    <t>000001099/Invoice</t>
  </si>
  <si>
    <t>572.0000000000000000</t>
  </si>
  <si>
    <t>NBD_US_CA-2</t>
  </si>
  <si>
    <t>BankIn-000000689</t>
  </si>
  <si>
    <t>NBD-US-CA</t>
  </si>
  <si>
    <t>85/مطالبة نولون محصلة لصالح الغير</t>
  </si>
  <si>
    <t>573.0000000000000000</t>
  </si>
  <si>
    <t>|1301|013|001|001|101000558||||||||||IMPORT||||</t>
  </si>
  <si>
    <t>574.0000000000000000</t>
  </si>
  <si>
    <t>421103|1301|013|001|001|101000558||||||||||IMPORT||||</t>
  </si>
  <si>
    <t>575.0000000000000000</t>
  </si>
  <si>
    <t>PSD EG-68</t>
  </si>
  <si>
    <t>CashIn-000000691</t>
  </si>
  <si>
    <t>O25-IMP-OC-470|‏ME_Q-20250107942-IMP-LCL‎|‏Sl-000001‎|‏Ag-000087‎|‏COSU6400700690‎|‏‎|‏‎|‏‎|‏‎|‏CONTSHIP IVY‎|‏HKHKG Hong Kong‎|‏EGPSD Port Said West‎|‏‎|‏‎|‏14/01/2025‎|‏‎|‏‎|‏13/01/2025‎|‏31/01/2025‎</t>
  </si>
  <si>
    <t>576.0000000000000000</t>
  </si>
  <si>
    <t>966/THC PSD</t>
  </si>
  <si>
    <t>000000966/Invoice</t>
  </si>
  <si>
    <t>577.0000000000000000</t>
  </si>
  <si>
    <t>PSD EG-69</t>
  </si>
  <si>
    <t>CashIn-000000692</t>
  </si>
  <si>
    <t>578.0000000000000000</t>
  </si>
  <si>
    <t>965/NAFEZA SERVICE PSD</t>
  </si>
  <si>
    <t>000000965/Invoice</t>
  </si>
  <si>
    <t>579.0000000000000000</t>
  </si>
  <si>
    <t>ALEXHO EG-92</t>
  </si>
  <si>
    <t>CashIn-000000693</t>
  </si>
  <si>
    <t>O25-IMP-OC-285|‏ME_Q-20250107561-IMP-LCL‎|‏Sl-000014‎|‏Ag-000203‎|‏MEDMARALY010433‎|‏‎|‏‎|‏‎|‏‎|‏MEDKON MIRA‎|‏TRMAD MARDAS‎|‏EGALY Alexandria, Egypt (old)‎|‏11/01/2025‎|‏‎|‏11/01/2025‎|‏‎|‏‎|‏08/01/2025‎|‏31/01/2025‎</t>
  </si>
  <si>
    <t>580.0000000000000000</t>
  </si>
  <si>
    <t>1117/NAFEZA SERVICE</t>
  </si>
  <si>
    <t>000001117/Invoice</t>
  </si>
  <si>
    <t>581.0000000000000000</t>
  </si>
  <si>
    <t>ALEXHO EG-93</t>
  </si>
  <si>
    <t>CashIn-000000694</t>
  </si>
  <si>
    <t>O25-IMP-OC-285|‏ME_Q-20250107560-IMP-LCL‎|‏Sl-000014‎|‏Ag-000203‎|‏MEDMARALY010433‎|‏‎|‏‎|‏‎|‏‎|‏MEDKON MIRA‎|‏TRMAD MARDAS‎|‏EGALY Alexandria, Egypt (old)‎|‏11/01/2025‎|‏‎|‏11/01/2025‎|‏‎|‏‎|‏08/01/2025‎|‏31/01/2025‎</t>
  </si>
  <si>
    <t>582.0000000000000000</t>
  </si>
  <si>
    <t>1049/NAFEZA SERVICE</t>
  </si>
  <si>
    <t>000001049/Invoice</t>
  </si>
  <si>
    <t>583.0000000000000000</t>
  </si>
  <si>
    <t>PSD EG-70</t>
  </si>
  <si>
    <t>CashIn-000000695</t>
  </si>
  <si>
    <t>|1301|013|001|005|101000114|101000114||||MESCO LCL PSD SALES|5013|Collect|||IMPORT||||</t>
  </si>
  <si>
    <t>O25-IMP-OC-470|‏ME_Q-20250107945-IMP-LCL‎|‏Sl-000001‎|‏Ag-000087‎|‏COSU6400700690‎|‏‎|‏‎|‏‎|‏‎|‏CONTSHIP IVY‎|‏HKHKG Hong Kong‎|‏EGPSD Port Said West‎|‏‎|‏‎|‏14/01/2025‎|‏‎|‏‎|‏13/01/2025‎|‏31/01/2025‎</t>
  </si>
  <si>
    <t>584.0000000000000000</t>
  </si>
  <si>
    <t>101000114</t>
  </si>
  <si>
    <t>205055745</t>
  </si>
  <si>
    <t>960/THC PSD</t>
  </si>
  <si>
    <t>000000960/Invoice</t>
  </si>
  <si>
    <t>585.0000000000000000</t>
  </si>
  <si>
    <t>PSD EG-71</t>
  </si>
  <si>
    <t>CashIn-000000696</t>
  </si>
  <si>
    <t>586.0000000000000000</t>
  </si>
  <si>
    <t>959/NAFEZA SERVICE PSD</t>
  </si>
  <si>
    <t>000000959/Invoice</t>
  </si>
  <si>
    <t>587.0000000000000000</t>
  </si>
  <si>
    <t>Merghem EG-6</t>
  </si>
  <si>
    <t>CashIn-000000699</t>
  </si>
  <si>
    <t>|1302|013|001|001|101001551|101001551||||3038|3336|Collect|||IMPORT||||</t>
  </si>
  <si>
    <t>588.0000000000000000</t>
  </si>
  <si>
    <t>1126/STOR   IMPORT ALEX</t>
  </si>
  <si>
    <t>000001126/Invoice</t>
  </si>
  <si>
    <t>589.0000000000000000</t>
  </si>
  <si>
    <t>POS_EG-11</t>
  </si>
  <si>
    <t>POS-000000700</t>
  </si>
  <si>
    <t>|1301|013|001|001|101004570|101004570||||3076|3208|Collect|||IMPORT||||</t>
  </si>
  <si>
    <t>O25-IMP-OC-637|‏ME_Q-20250108160-IMP-LCL‎|‏RP-000007‎|‏RP-000001‎|‏‎|‏‎|‏‎|‏‎|‏‎|‏MSC MADELEINE‎|‏BEANR Antwerp‎|‏696 ALEXANDRIA‎|‏‎|‏31/12/2024‎|‏14/01/2025‎|‏‎|‏‎|‏16/01/2025‎|‏‎</t>
  </si>
  <si>
    <t>000</t>
  </si>
  <si>
    <t>590.0000000000000000</t>
  </si>
  <si>
    <t>101004570</t>
  </si>
  <si>
    <t>201069385</t>
  </si>
  <si>
    <t>1124/THC</t>
  </si>
  <si>
    <t>000001124/Invoice</t>
  </si>
  <si>
    <t>591.0000000000000000</t>
  </si>
  <si>
    <t>POS_EG-12</t>
  </si>
  <si>
    <t>POS-000000701</t>
  </si>
  <si>
    <t>00</t>
  </si>
  <si>
    <t>592.0000000000000000</t>
  </si>
  <si>
    <t>1125/NAFEZA SERVICE</t>
  </si>
  <si>
    <t>000001125/Invoice</t>
  </si>
  <si>
    <t>593.0000000000000000</t>
  </si>
  <si>
    <t>POS_EG-13</t>
  </si>
  <si>
    <t>POS-000000702</t>
  </si>
  <si>
    <t>120/مطالبة نولون محصلة لصالح الغير</t>
  </si>
  <si>
    <t>594.0000000000000000</t>
  </si>
  <si>
    <t>|1301|013|001|001|101004570||||||||||IMPORT||||</t>
  </si>
  <si>
    <t>595.0000000000000000</t>
  </si>
  <si>
    <t>421103|1301|013|001|001|101004570||||||||||IMPORT||||</t>
  </si>
  <si>
    <t>596.0000000000000000</t>
  </si>
  <si>
    <t>ALEXHO EG-94</t>
  </si>
  <si>
    <t>CashIn-000000703</t>
  </si>
  <si>
    <t>597.0000000000000000</t>
  </si>
  <si>
    <t>1034/THC</t>
  </si>
  <si>
    <t>000001034/Invoice</t>
  </si>
  <si>
    <t>598.0000000000000000</t>
  </si>
  <si>
    <t>ALEXHO EG-95</t>
  </si>
  <si>
    <t>CashIn-000000704</t>
  </si>
  <si>
    <t>599.0000000000000000</t>
  </si>
  <si>
    <t>1033/NAFEZA SERVICE</t>
  </si>
  <si>
    <t>000001033/Invoice</t>
  </si>
  <si>
    <t>600.0000000000000000</t>
  </si>
  <si>
    <t>POS_EG-16</t>
  </si>
  <si>
    <t>POS-000000724</t>
  </si>
  <si>
    <t>2025-01-18</t>
  </si>
  <si>
    <t>|1301|013|001|001|101000280|101000280||||3038|3208|Collect|||IMPORT||||</t>
  </si>
  <si>
    <t>O25-IMP-OC-395|‏ME_Q-20250107627-IMP-LCL‎|‏Sl-000004‎|‏RP-000001‎|‏‎|‏‎|‏‎|‏‎|‏‎|‏TEOMAN A‎|‏ITGOA Genoa‎|‏696 ALEXANDRIA‎|‏11/01/2025‎|‏07/01/2025‎|‏11/01/2025‎|‏‎|‏‎|‏12/01/2025‎|‏31/01/2025‎</t>
  </si>
  <si>
    <t>601.0000000000000000</t>
  </si>
  <si>
    <t>811/NAFEZA SERVICE</t>
  </si>
  <si>
    <t>000000811/Invoice</t>
  </si>
  <si>
    <t>602.0000000000000000</t>
  </si>
  <si>
    <t>812/THC</t>
  </si>
  <si>
    <t>000000812/Invoice</t>
  </si>
  <si>
    <t>603.0000000000000000</t>
  </si>
  <si>
    <t>Airport EG-50</t>
  </si>
  <si>
    <t>CashIn-000000718</t>
  </si>
  <si>
    <t>|1101|011|001|004|101000266|101000266||||3075|4018|Collect|||IMPORT||||</t>
  </si>
  <si>
    <t>O25-IMP-AI-588|‏ME_Q-20250108011-IMP-AI‎|‏Al-000021‎|‏Ag-000040‎|‏235-29497731‎|‏‎|‏‎|‏‎|‏‎|‏‎|‏IST ISTANBUL AIRPORT‎|‏CAI CAIRO‎|‏‎|‏‎|‏17/01/2025‎|‏‎|‏‎|‏15/01/2025‎|‏31/01/2025‎</t>
  </si>
  <si>
    <t>604.0000000000000000</t>
  </si>
  <si>
    <t>101000266</t>
  </si>
  <si>
    <t>332293106</t>
  </si>
  <si>
    <t>1190/INV</t>
  </si>
  <si>
    <t>000001190/Invoice</t>
  </si>
  <si>
    <t>605.0000000000000000</t>
  </si>
  <si>
    <t>Airport EG-51</t>
  </si>
  <si>
    <t>CashIn-000000719</t>
  </si>
  <si>
    <t>|1101|011|001|004|101000266|101000266||||3075|4012|Prepaid|||IMPORT||||</t>
  </si>
  <si>
    <t>O25-IMP-AI-588|‏‎|‏Al-000021‎|‏‎|‏235-29497731‎|‏‎|‏‎|‏‎|‏‎|‏‎|‏IST ISTANBUL AIRPORT‎|‏CAI CAIRO‎|‏‎|‏‎|‏17/01/2025‎|‏‎|‏‎|‏15/01/2025‎|‏31/01/2025‎</t>
  </si>
  <si>
    <t>606.0000000000000000</t>
  </si>
  <si>
    <t>246/OFFICIAL</t>
  </si>
  <si>
    <t>000000246/OR-FW</t>
  </si>
  <si>
    <t>607.0000000000000000</t>
  </si>
  <si>
    <t>Airport EG-52</t>
  </si>
  <si>
    <t>CashIn-000000720</t>
  </si>
  <si>
    <t>O25-IMP-AI-625|‏‎|‏Al-000021‎|‏‎|‏235-29814573‎|‏‎|‏‎|‏‎|‏‎|‏‎|‏IST ISTANBUL AIRPORT‎|‏CAI CAIRO‎|‏‎|‏‎|‏17/01/2025‎|‏‎|‏‎|‏16/01/2025‎|‏31/01/2025‎</t>
  </si>
  <si>
    <t>608.0000000000000000</t>
  </si>
  <si>
    <t>245/OFFICIAL</t>
  </si>
  <si>
    <t>000000245/OR-FW</t>
  </si>
  <si>
    <t>609.0000000000000000</t>
  </si>
  <si>
    <t>Airport EG-53</t>
  </si>
  <si>
    <t>CashIn-000000721</t>
  </si>
  <si>
    <t>610.0000000000000000</t>
  </si>
  <si>
    <t>1178/INV</t>
  </si>
  <si>
    <t>000001178/Invoice</t>
  </si>
  <si>
    <t>611.0000000000000000</t>
  </si>
  <si>
    <t>POS_EG-17</t>
  </si>
  <si>
    <t>POS-000000725</t>
  </si>
  <si>
    <t>|1302|013|001|001|101000094|101000094||||3075|3336|Collect|||IMPORT||||</t>
  </si>
  <si>
    <t>612.0000000000000000</t>
  </si>
  <si>
    <t>1200/STOR   IMPORT ALEX</t>
  </si>
  <si>
    <t>000001200/Invoice</t>
  </si>
  <si>
    <t>613.0000000000000000</t>
  </si>
  <si>
    <t>POS_EG-14</t>
  </si>
  <si>
    <t>POS-000000726</t>
  </si>
  <si>
    <t>|1301|013|001|001|101004563|101004563||||3075|3336|Collect|||IMPORT||||</t>
  </si>
  <si>
    <t>O25-IMP-OC-385|‏ME_Q-20241206360-IMP-LCL‎|‏Sl-000011‎|‏RP-000001‎|‏‎|‏‎|‏‎|‏‎|‏‎|‏EGY FUTURE‎|‏HKHKG Hong Kong‎|‏696 ALEXANDRIA‎|‏13/01/2025‎|‏‎|‏13/01/2025‎|‏‎|‏‎|‏11/01/2025‎|‏‎</t>
  </si>
  <si>
    <t>614.0000000000000000</t>
  </si>
  <si>
    <t>101004563</t>
  </si>
  <si>
    <t>215622375</t>
  </si>
  <si>
    <t>822/NAFEZA SERVICE</t>
  </si>
  <si>
    <t>000000822/Invoice</t>
  </si>
  <si>
    <t>615.0000000000000000</t>
  </si>
  <si>
    <t>823/THC</t>
  </si>
  <si>
    <t>000000823/Invoice</t>
  </si>
  <si>
    <t>616.0000000000000000</t>
  </si>
  <si>
    <t>POS_EG-15</t>
  </si>
  <si>
    <t>POS-000000727</t>
  </si>
  <si>
    <t>|1301|013|001|001|101000358|101000358||||3038|3336|Collect|||IMPORT||||</t>
  </si>
  <si>
    <t>O25-IMP-OC-285|‏ME_Q-20250107342-IMP-LCL‎|‏Sl-000014‎|‏Ag-000203‎|‏MEDMARALY010433‎|‏‎|‏‎|‏‎|‏‎|‏MEDKON MIRA‎|‏TRMAD MARDAS‎|‏EGALY Alexandria, Egypt (old)‎|‏11/01/2025‎|‏‎|‏11/01/2025‎|‏‎|‏‎|‏08/01/2025‎|‏31/01/2025‎</t>
  </si>
  <si>
    <t>617.0000000000000000</t>
  </si>
  <si>
    <t>101000358</t>
  </si>
  <si>
    <t>518815358</t>
  </si>
  <si>
    <t>1171/NAFEZA SERVICE</t>
  </si>
  <si>
    <t>000001171/Invoice</t>
  </si>
  <si>
    <t>618.0000000000000000</t>
  </si>
  <si>
    <t>1172/THC</t>
  </si>
  <si>
    <t>000001172/Invoice</t>
  </si>
  <si>
    <t>619.0000000000000000</t>
  </si>
  <si>
    <t>ALEXHO EG-96</t>
  </si>
  <si>
    <t>CashIn-000000729</t>
  </si>
  <si>
    <t>O25-IMP-OC-42|‏ME_Q-20241205317-IMP-LCL‎|‏RP-000007‎|‏RP-000001‎|‏‎|‏‎|‏‎|‏‎|‏‎|‏MSC DARIEN‎|‏BEANR Antwerp‎|‏EGEDK Dekheila, Alexandria‎|‏02/01/2025‎|‏‎|‏02/01/2025‎|‏‎|‏‎|‏02/01/2025‎|‏31/01/2025‎</t>
  </si>
  <si>
    <t>48/مطالبة نولون محصلة لصالح الغير</t>
  </si>
  <si>
    <t>620.0000000000000000</t>
  </si>
  <si>
    <t>101002121</t>
  </si>
  <si>
    <t>|1301|013|001|001|101002121||||||||||IMPORT||||</t>
  </si>
  <si>
    <t>204951763</t>
  </si>
  <si>
    <t>621.0000000000000000</t>
  </si>
  <si>
    <t>421103|1301|013|001|001|101002121||||||||||IMPORT||||</t>
  </si>
  <si>
    <t>622.0000000000000000</t>
  </si>
  <si>
    <t>ALEXHO EG-97</t>
  </si>
  <si>
    <t>CashIn-000000730</t>
  </si>
  <si>
    <t>|1301|013|001|001|101002121|101002121||||3068|3336|Collect|||IMPORT||||</t>
  </si>
  <si>
    <t>623.0000000000000000</t>
  </si>
  <si>
    <t>461/NAFEZA SERVICE</t>
  </si>
  <si>
    <t>000000461/Invoice</t>
  </si>
  <si>
    <t>624.0000000000000000</t>
  </si>
  <si>
    <t>ALEXHO EG-98</t>
  </si>
  <si>
    <t>CashIn-000000731</t>
  </si>
  <si>
    <t>625.0000000000000000</t>
  </si>
  <si>
    <t>462/THC</t>
  </si>
  <si>
    <t>000000462/Invoice</t>
  </si>
  <si>
    <t>626.0000000000000000</t>
  </si>
  <si>
    <t>PSD EG-72</t>
  </si>
  <si>
    <t>CashIn-000000734</t>
  </si>
  <si>
    <t>|1301|013|001|005|101001659|101001659||||3042|5013|Prepaid|||IMPORT||||</t>
  </si>
  <si>
    <t>O25-IMP-OC-470|‏‎|‏Sl-000001‎|‏Ag-000087‎|‏COSU6400700690‎|‏‎|‏‎|‏‎|‏‎|‏CONTSHIP IVY‎|‏HKHKG Hong Kong‎|‏EGPSD Port Said West‎|‏‎|‏‎|‏14/01/2025‎|‏‎|‏‎|‏13/01/2025‎|‏31/01/2025‎</t>
  </si>
  <si>
    <t>627.0000000000000000</t>
  </si>
  <si>
    <t>101001659</t>
  </si>
  <si>
    <t>463242394</t>
  </si>
  <si>
    <t>1119/THC PSD</t>
  </si>
  <si>
    <t>000001119/Invoice</t>
  </si>
  <si>
    <t>628.0000000000000000</t>
  </si>
  <si>
    <t>PSD EG-73</t>
  </si>
  <si>
    <t>CashIn-000000735</t>
  </si>
  <si>
    <t>629.0000000000000000</t>
  </si>
  <si>
    <t>1120/NAFEZA SERVICE PSD</t>
  </si>
  <si>
    <t>000001120/Invoice</t>
  </si>
  <si>
    <t>630.0000000000000000</t>
  </si>
  <si>
    <t>ALEXHO EG-99</t>
  </si>
  <si>
    <t>CashIn-000000736</t>
  </si>
  <si>
    <t>|1201|012|001|001|101000145|101000145||||3075|3205|Payable|||IMPORT||||</t>
  </si>
  <si>
    <t>O25-IMP-OC-48|‏ME_Q-20241206006-IMP-FCL‎|‏Sl-000011‎|‏Ag-000115‎|‏YMJAU670008436‎|‏‎|‏‎|‏‎|‏‎|‏‎|‏BEANR Antwerp‎|‏EGALY Alexandria, Egypt (old)‎|‏‎|‏‎|‏‎|‏‎|‏‎|‏02/01/2025‎|‏31/01/2025‎</t>
  </si>
  <si>
    <t>631.0000000000000000</t>
  </si>
  <si>
    <t>101000145</t>
  </si>
  <si>
    <t>205026834</t>
  </si>
  <si>
    <t>1175/INV</t>
  </si>
  <si>
    <t>000001175/Invoice</t>
  </si>
  <si>
    <t>632.0000000000000000</t>
  </si>
  <si>
    <t>ALEXHO EG-100</t>
  </si>
  <si>
    <t>CashIn-000000738</t>
  </si>
  <si>
    <t>O25-IMP-OC-182|‏ME_Q-20250107130-IMP-LCL‎|‏Sl-000002‎|‏RP-000001‎|‏‎|‏‎|‏‎|‏‎|‏‎|‏CMA CGM TOKYO‎|‏DEHAM Hamburg‎|‏696 ALEXANDRIA‎|‏13/01/2025‎|‏‎|‏13/01/2025‎|‏‎|‏‎|‏06/01/2025‎|‏‎</t>
  </si>
  <si>
    <t>633.0000000000000000</t>
  </si>
  <si>
    <t>175/THC</t>
  </si>
  <si>
    <t>000000175/Invoice</t>
  </si>
  <si>
    <t>634.0000000000000000</t>
  </si>
  <si>
    <t>ALEXHO EG-101</t>
  </si>
  <si>
    <t>CashIn-000000739</t>
  </si>
  <si>
    <t>635.0000000000000000</t>
  </si>
  <si>
    <t>174/NAFEZA SERVICE</t>
  </si>
  <si>
    <t>000000174/Invoice</t>
  </si>
  <si>
    <t>636.0000000000000000</t>
  </si>
  <si>
    <t>ALEXHO EG-102</t>
  </si>
  <si>
    <t>CashIn-000000740</t>
  </si>
  <si>
    <t>|1301|013|001|001|101000283|101000283||||3038|3208|Collect|||IMPORT||||</t>
  </si>
  <si>
    <t>O25-IMP-OC-395|‏ME_Q-20241205714-IMP-LCL‎|‏Sl-000004‎|‏RP-000001‎|‏‎|‏‎|‏‎|‏‎|‏‎|‏TEOMAN A‎|‏ITGOA Genoa‎|‏696 ALEXANDRIA‎|‏11/01/2025‎|‏07/01/2025‎|‏11/01/2025‎|‏‎|‏‎|‏12/01/2025‎|‏31/01/2025‎</t>
  </si>
  <si>
    <t>637.0000000000000000</t>
  </si>
  <si>
    <t>817/THC</t>
  </si>
  <si>
    <t>000000817/Invoice</t>
  </si>
  <si>
    <t>638.0000000000000000</t>
  </si>
  <si>
    <t>ALEXHO EG-103</t>
  </si>
  <si>
    <t>CashIn-000000741</t>
  </si>
  <si>
    <t>639.0000000000000000</t>
  </si>
  <si>
    <t>816/NAFEZA SERVICE</t>
  </si>
  <si>
    <t>000000816/Invoice</t>
  </si>
  <si>
    <t>640.0000000000000000</t>
  </si>
  <si>
    <t>ALEXHO EG-104</t>
  </si>
  <si>
    <t>CashIn-000000743</t>
  </si>
  <si>
    <t>|1301|013|001|001|101001412|101001412||||3076|3336|Collect|||IMPORT||||</t>
  </si>
  <si>
    <t>O25-IMP-OC-285|‏ME_Q-20250107638-IMP-LCL‎|‏Sl-000014‎|‏Ag-000203‎|‏MEDMARALY010433‎|‏‎|‏‎|‏‎|‏‎|‏MEDKON MIRA‎|‏TRMAD MARDAS‎|‏EGALY Alexandria, Egypt (old)‎|‏11/01/2025‎|‏‎|‏11/01/2025‎|‏‎|‏‎|‏08/01/2025‎|‏31/01/2025‎</t>
  </si>
  <si>
    <t>641.0000000000000000</t>
  </si>
  <si>
    <t>101001412</t>
  </si>
  <si>
    <t>256439354</t>
  </si>
  <si>
    <t>1193/THC</t>
  </si>
  <si>
    <t>000001193/Invoice</t>
  </si>
  <si>
    <t>642.0000000000000000</t>
  </si>
  <si>
    <t>ALEXHO EG-105</t>
  </si>
  <si>
    <t>CashIn-000000744</t>
  </si>
  <si>
    <t>643.0000000000000000</t>
  </si>
  <si>
    <t>1194/NAFEZA SERVICE</t>
  </si>
  <si>
    <t>000001194/Invoice</t>
  </si>
  <si>
    <t>644.0000000000000000</t>
  </si>
  <si>
    <t>ALEXHO EG-106</t>
  </si>
  <si>
    <t>CashIn-000000746</t>
  </si>
  <si>
    <t>|1301|013|001|001|101001545|101001545||||3038|3208|Collect|||IMPORT||||</t>
  </si>
  <si>
    <t>O25-IMP-OC-395|‏ME_Q-20250107630-IMP-LCL‎|‏Sl-000004‎|‏RP-000001‎|‏‎|‏‎|‏‎|‏‎|‏‎|‏TEOMAN A‎|‏ITGOA Genoa‎|‏696 ALEXANDRIA‎|‏11/01/2025‎|‏07/01/2025‎|‏11/01/2025‎|‏‎|‏‎|‏12/01/2025‎|‏31/01/2025‎</t>
  </si>
  <si>
    <t>645.0000000000000000</t>
  </si>
  <si>
    <t>708/THC</t>
  </si>
  <si>
    <t>000000708/Invoice</t>
  </si>
  <si>
    <t>646.0000000000000000</t>
  </si>
  <si>
    <t>ALEXHO EG-107</t>
  </si>
  <si>
    <t>CashIn-000000747</t>
  </si>
  <si>
    <t>647.0000000000000000</t>
  </si>
  <si>
    <t>707/NAFEZA SERVICE</t>
  </si>
  <si>
    <t>000000707/Invoice</t>
  </si>
  <si>
    <t>648.0000000000000000</t>
  </si>
  <si>
    <t>ALEXHO EG-108</t>
  </si>
  <si>
    <t>CashIn-000000748</t>
  </si>
  <si>
    <t>O25-IMP-OC-285|‏ME_Q-20241206482-IMP-LCL‎|‏Sl-000014‎|‏Ag-000203‎|‏MEDMARALY010433‎|‏‎|‏‎|‏‎|‏‎|‏MEDKON MIRA‎|‏TRMAD MARDAS‎|‏EGALY Alexandria, Egypt (old)‎|‏11/01/2025‎|‏‎|‏11/01/2025‎|‏‎|‏‎|‏08/01/2025‎|‏31/01/2025‎</t>
  </si>
  <si>
    <t>649.0000000000000000</t>
  </si>
  <si>
    <t>1199/THC</t>
  </si>
  <si>
    <t>000001199/Invoice</t>
  </si>
  <si>
    <t>650.0000000000000000</t>
  </si>
  <si>
    <t>ALEXHO EG-109</t>
  </si>
  <si>
    <t>CashIn-000000749</t>
  </si>
  <si>
    <t>651.0000000000000000</t>
  </si>
  <si>
    <t>1198/NAFEZA SERVICE</t>
  </si>
  <si>
    <t>000001198/Invoice</t>
  </si>
  <si>
    <t>652.0000000000000000</t>
  </si>
  <si>
    <t>Airport EG-54</t>
  </si>
  <si>
    <t>CashIn-000000750</t>
  </si>
  <si>
    <t>2025-01-19</t>
  </si>
  <si>
    <t>|1101|011|001|004|101002387|101002387||||FREEHAND|4018|Prepaid|||IMPORT||||</t>
  </si>
  <si>
    <t>O25-IMP-AI-682|‏‎|‏Al-000021‎|‏‎|‏235-29773472‎|‏‎|‏‎|‏‎|‏‎|‏‎|‏IST ISTANBUL AIRPORT‎|‏CAI CAIRO‎|‏‎|‏‎|‏18/01/2025‎|‏‎|‏‎|‏18/01/2025‎|‏31/01/2025‎</t>
  </si>
  <si>
    <t>653.0000000000000000</t>
  </si>
  <si>
    <t>1250/INV</t>
  </si>
  <si>
    <t>000001250/Invoice</t>
  </si>
  <si>
    <t>654.0000000000000000</t>
  </si>
  <si>
    <t>Airport EG-55</t>
  </si>
  <si>
    <t>CashIn-000000751</t>
  </si>
  <si>
    <t>655.0000000000000000</t>
  </si>
  <si>
    <t>250/OFFICIAL</t>
  </si>
  <si>
    <t>000000250/OR-FW</t>
  </si>
  <si>
    <t>656.0000000000000000</t>
  </si>
  <si>
    <t>Airport EG-56</t>
  </si>
  <si>
    <t>CashIn-000000752</t>
  </si>
  <si>
    <t>124101|1101|011|001|004|101000213|101000213|4030|4030|16410|4044|4008|Payable|||EXPORT||||</t>
  </si>
  <si>
    <t>O25-EXP-AI-311|‏ME_Q-20250107344-IMP-AI‎|‏‎|‏‎|‏512-73231325‎|‏‎|‏‎|‏‎|‏‎|‏‎|‏CAI CAIRO‎|‏IST ISTANBUL AIRPORT‎|‏‎|‏‎|‏‎|‏‎|‏‎|‏09/01/2025‎|‏28/02/2025‎</t>
  </si>
  <si>
    <t>408</t>
  </si>
  <si>
    <t>657.0000000000000000</t>
  </si>
  <si>
    <t>124101|1101|011|001|004|101000213|101000213|4030|4030|16545|4044|4008|Payable|||EXPORT||||</t>
  </si>
  <si>
    <t>658.0000000000000000</t>
  </si>
  <si>
    <t>|1101|011|001|004|101000213|101000213|4030|4030|16545|4044|4008|Payable|||EXPORT||||</t>
  </si>
  <si>
    <t>659.0000000000000000</t>
  </si>
  <si>
    <t>660.0000000000000000</t>
  </si>
  <si>
    <t>Airport EG-57</t>
  </si>
  <si>
    <t>CashIn-000000753</t>
  </si>
  <si>
    <t>124101|1103|011|001|004|301000001|301000001|4030|4030|16491|FREEHAND|4008|Collect|||IMPORT||||</t>
  </si>
  <si>
    <t>O25-IMP-AI-425|‏‎|‏Al-000006‎|‏‎|‏077-51561941‎|‏‎|‏‎|‏‎|‏‎|‏‎|‏CAI CAIRO‎|‏IST ISTANBUL AIRPORT‎|‏‎|‏‎|‏‎|‏‎|‏‎|‏12/01/2025‎|‏31/01/2025‎</t>
  </si>
  <si>
    <t>426</t>
  </si>
  <si>
    <t>661.0000000000000000</t>
  </si>
  <si>
    <t>124101|1103|011|001|004|301000001|301000001|4030|4030|16624|FREEHAND|4008|Collect|||IMPORT||||</t>
  </si>
  <si>
    <t>662.0000000000000000</t>
  </si>
  <si>
    <t>124101|1103|011|001|004|301000001|301000001|4030|4030|16446|FREEHAND|4008|Collect|||IMPORT||||</t>
  </si>
  <si>
    <t>663.0000000000000000</t>
  </si>
  <si>
    <t>124101|1103|011|001|004|301000001|301000001|4030|4030|16424|FREEHAND|4008|Collect|||IMPORT||||</t>
  </si>
  <si>
    <t>664.0000000000000000</t>
  </si>
  <si>
    <t>124101|1101|011|001|004|301000001|301000001|4030|4030|16410|FREEHAND|4008|Collect|||IMPORT||||</t>
  </si>
  <si>
    <t>665.0000000000000000</t>
  </si>
  <si>
    <t>|1101|011|001|004|301000001|301000001|4030|4030|16410|FREEHAND|4008|Collect|||IMPORT||||</t>
  </si>
  <si>
    <t>666.0000000000000000</t>
  </si>
  <si>
    <t>667.0000000000000000</t>
  </si>
  <si>
    <t>Airport EG-58</t>
  </si>
  <si>
    <t>CashIn-000000754</t>
  </si>
  <si>
    <t>|1101|011|001|004|101004573|101004573||||FREEHAND|4018|Prepaid|||IMPORT||||</t>
  </si>
  <si>
    <t>O25-IMP-AI-681|‏‎|‏Al-000021‎|‏‎|‏235-29773472‎|‏‎|‏‎|‏‎|‏‎|‏‎|‏IST ISTANBUL AIRPORT‎|‏CAI CAIRO‎|‏‎|‏‎|‏18/01/2025‎|‏‎|‏‎|‏18/01/2025‎|‏31/01/2025‎</t>
  </si>
  <si>
    <t>668.0000000000000000</t>
  </si>
  <si>
    <t>101004573</t>
  </si>
  <si>
    <t>761772065</t>
  </si>
  <si>
    <t>1303/INV</t>
  </si>
  <si>
    <t>000001303/Invoice</t>
  </si>
  <si>
    <t>669.0000000000000000</t>
  </si>
  <si>
    <t>Airport EG-59</t>
  </si>
  <si>
    <t>CashIn-000000755</t>
  </si>
  <si>
    <t>670.0000000000000000</t>
  </si>
  <si>
    <t>253/OFFICIAL</t>
  </si>
  <si>
    <t>000000253/OR-FW</t>
  </si>
  <si>
    <t>671.0000000000000000</t>
  </si>
  <si>
    <t>Airport EG-60</t>
  </si>
  <si>
    <t>CashIn-000000756</t>
  </si>
  <si>
    <t>|1101|011|001|004|101001625|101001625||||FREEHAND|4018|Prepaid|||IMPORT||||</t>
  </si>
  <si>
    <t>O25-IMP-AI-679|‏‎|‏Al-000021‎|‏‎|‏235-29773472‎|‏‎|‏‎|‏‎|‏‎|‏‎|‏IST ISTANBUL AIRPORT‎|‏CAI CAIRO‎|‏‎|‏‎|‏18/01/2025‎|‏‎|‏‎|‏18/01/2025‎|‏31/01/2025‎</t>
  </si>
  <si>
    <t>672.0000000000000000</t>
  </si>
  <si>
    <t>101001625</t>
  </si>
  <si>
    <t>570200598</t>
  </si>
  <si>
    <t>1304/INV</t>
  </si>
  <si>
    <t>000001304/Invoice</t>
  </si>
  <si>
    <t>673.0000000000000000</t>
  </si>
  <si>
    <t>Airport EG-61</t>
  </si>
  <si>
    <t>CashIn-000000757</t>
  </si>
  <si>
    <t>674.0000000000000000</t>
  </si>
  <si>
    <t>254/OFFICIAL</t>
  </si>
  <si>
    <t>000000254/OR-FW</t>
  </si>
  <si>
    <t>675.0000000000000000</t>
  </si>
  <si>
    <t>CIB_US_CA-5</t>
  </si>
  <si>
    <t>BankIn-000000779</t>
  </si>
  <si>
    <t>|1301|013|001|005|101000521|101000521||||3031|5013|Collect|||IMPORT||||</t>
  </si>
  <si>
    <t>O25-IMP-OC-610|‏ME_Q-20241206045-IMP-LCL‎|‏Sl-000016‎|‏Ag-000163‎|‏10166257‎|‏‎|‏‎|‏‎|‏‎|‏TURKON EGYPT‎|‏TRIST Istanbul Port‎|‏EGPSD Port Said West‎|‏‎|‏04/01/2025‎|‏04/01/2025‎|‏‎|‏‎|‏15/01/2025‎|‏31/01/2025‎</t>
  </si>
  <si>
    <t>676.0000000000000000</t>
  </si>
  <si>
    <t>101000521</t>
  </si>
  <si>
    <t>772044996</t>
  </si>
  <si>
    <t>139/مطالبة نولون محصلة لصالح الغير</t>
  </si>
  <si>
    <t>000000139/OF-FW</t>
  </si>
  <si>
    <t>677.0000000000000000</t>
  </si>
  <si>
    <t>POS_EG-20</t>
  </si>
  <si>
    <t>POS-000000780</t>
  </si>
  <si>
    <t>678.0000000000000000</t>
  </si>
  <si>
    <t>1327/STOR   IMPORT ALEX</t>
  </si>
  <si>
    <t>000001327/Invoice</t>
  </si>
  <si>
    <t>679.0000000000000000</t>
  </si>
  <si>
    <t>POS_EG-18</t>
  </si>
  <si>
    <t>POS-000000781</t>
  </si>
  <si>
    <t>|1301|013|001|001|101000040|101000040||||3038|3336|Collect|||IMPORT||||</t>
  </si>
  <si>
    <t>O25-IMP-OC-285|‏ME_Q-20241205645-IMP-LCL‎|‏Sl-000014‎|‏Ag-000203‎|‏MEDMARALY010433‎|‏‎|‏‎|‏‎|‏‎|‏MEDKON MIRA‎|‏TRMAD MARDAS‎|‏EGALY Alexandria, Egypt (old)‎|‏11/01/2025‎|‏‎|‏11/01/2025‎|‏‎|‏‎|‏08/01/2025‎|‏31/01/2025‎</t>
  </si>
  <si>
    <t>680.0000000000000000</t>
  </si>
  <si>
    <t>1277/NAFEZA SERVICE</t>
  </si>
  <si>
    <t>000001277/Invoice</t>
  </si>
  <si>
    <t>681.0000000000000000</t>
  </si>
  <si>
    <t>1278/THC</t>
  </si>
  <si>
    <t>000001278/Invoice</t>
  </si>
  <si>
    <t>682.0000000000000000</t>
  </si>
  <si>
    <t>POS_EG-19</t>
  </si>
  <si>
    <t>POS-000000782</t>
  </si>
  <si>
    <t>|1301|013|001|001|101000188|101000188||||3076|3336|Collect|||IMPORT||||</t>
  </si>
  <si>
    <t>O25-IMP-OC-385|‏ME_Q-20250108331-IMP-LCL‎|‏Sl-000011‎|‏RP-000001‎|‏‎|‏‎|‏‎|‏‎|‏‎|‏EGY FUTURE‎|‏HKHKG Hong Kong‎|‏696 ALEXANDRIA‎|‏13/01/2025‎|‏‎|‏13/01/2025‎|‏‎|‏‎|‏11/01/2025‎|‏‎</t>
  </si>
  <si>
    <t>683.0000000000000000</t>
  </si>
  <si>
    <t>101000188</t>
  </si>
  <si>
    <t>100258719</t>
  </si>
  <si>
    <t>1283/NAFEZA SERVICE</t>
  </si>
  <si>
    <t>000001283/Invoice</t>
  </si>
  <si>
    <t>684.0000000000000000</t>
  </si>
  <si>
    <t>1284/THC</t>
  </si>
  <si>
    <t>000001284/Invoice</t>
  </si>
  <si>
    <t>685.0000000000000000</t>
  </si>
  <si>
    <t>Merghem EG-7</t>
  </si>
  <si>
    <t>CashIn-000000783</t>
  </si>
  <si>
    <t>|1302|013|001|001|101000649|101000649||||3076|3336|Collect|||IMPORT||||</t>
  </si>
  <si>
    <t>686.0000000000000000</t>
  </si>
  <si>
    <t>1238/STOR   IMPORT ALEX</t>
  </si>
  <si>
    <t>000001238/Invoice</t>
  </si>
  <si>
    <t>687.0000000000000000</t>
  </si>
  <si>
    <t>PSD EG-74</t>
  </si>
  <si>
    <t>CashIn-000000784</t>
  </si>
  <si>
    <t>|1201|012|001|002|101002865|101002865||||FREEHAND|4029|Payable|||IMPORT||||</t>
  </si>
  <si>
    <t>O25-IMP-OC-507|‏ME_Q-20250107832-IMP-FCL‎|‏Sl-000016‎|‏Ag-000213‎|‏10166250‎|‏‎|‏‎|‏‎|‏‎|‏TURKON EGYPT‎|‏TRISK ISKENDERUN‎|‏EGPSD Port Said West‎|‏‎|‏‎|‏‎|‏‎|‏‎|‏14/01/2025‎|‏31/01/2025‎</t>
  </si>
  <si>
    <t>688.0000000000000000</t>
  </si>
  <si>
    <t>101002865</t>
  </si>
  <si>
    <t>347457606</t>
  </si>
  <si>
    <t>934/INV</t>
  </si>
  <si>
    <t>000000934/Invoice</t>
  </si>
  <si>
    <t>689.0000000000000000</t>
  </si>
  <si>
    <t>ALEXHO EG-110</t>
  </si>
  <si>
    <t>CashIn-000000785</t>
  </si>
  <si>
    <t>|1301|013|001|001|101000191|101000191||||4051|3336|Collect|||IMPORT||||</t>
  </si>
  <si>
    <t>O25-IMP-OC-385|‏ME_Q-20241002461-IMP-LCL‎|‏Sl-000011‎|‏RP-000001‎|‏‎|‏‎|‏‎|‏‎|‏‎|‏EGY FUTURE‎|‏HKHKG Hong Kong‎|‏696 ALEXANDRIA‎|‏13/01/2025‎|‏‎|‏13/01/2025‎|‏‎|‏‎|‏11/01/2025‎|‏‎</t>
  </si>
  <si>
    <t>690.0000000000000000</t>
  </si>
  <si>
    <t>101000191</t>
  </si>
  <si>
    <t>479644624</t>
  </si>
  <si>
    <t>1246/THC</t>
  </si>
  <si>
    <t>000001246/Invoice</t>
  </si>
  <si>
    <t>691.0000000000000000</t>
  </si>
  <si>
    <t>ALEXHO EG-111</t>
  </si>
  <si>
    <t>CashIn-000000786</t>
  </si>
  <si>
    <t>692.0000000000000000</t>
  </si>
  <si>
    <t>1245/NAFEZA SERVICE</t>
  </si>
  <si>
    <t>000001245/Invoice</t>
  </si>
  <si>
    <t>693.0000000000000000</t>
  </si>
  <si>
    <t>ALEXHO US-6</t>
  </si>
  <si>
    <t>CashIn-000000787</t>
  </si>
  <si>
    <t>694.0000000000000000</t>
  </si>
  <si>
    <t>129/مطالبة نولون محصلة لصالح الغير</t>
  </si>
  <si>
    <t>000000129/OF-FW</t>
  </si>
  <si>
    <t>695.0000000000000000</t>
  </si>
  <si>
    <t>ALEXHO EG-112</t>
  </si>
  <si>
    <t>CashIn-000000788</t>
  </si>
  <si>
    <t>|1201|012|001|001|101000718|101000718||||4019|3205|Payable|||IMPORT||||</t>
  </si>
  <si>
    <t>O25-IMP-OC-657|‏ME_Q-20250108127-IMP-FCL‎|‏Sl-000011‎|‏Ag-000115‎|‏YMJAU670008441‎|‏‎|‏‎|‏‎|‏‎|‏OOCL KOBE‎|‏DEHAM Hamburg‎|‏EGALY Alexandria, Egypt (old)‎|‏‎|‏‎|‏‎|‏‎|‏‎|‏16/01/2025‎|‏31/01/2025‎</t>
  </si>
  <si>
    <t>696.0000000000000000</t>
  </si>
  <si>
    <t>101000718</t>
  </si>
  <si>
    <t>209830743</t>
  </si>
  <si>
    <t>1249/INV</t>
  </si>
  <si>
    <t>000001249/Invoice</t>
  </si>
  <si>
    <t>697.0000000000000000</t>
  </si>
  <si>
    <t>PSD EG-75</t>
  </si>
  <si>
    <t>CashIn-000000789</t>
  </si>
  <si>
    <t>|1302|013|001|005|101000114|101000114||||MESCO LCL PSD SALES|5013|Collect|||IMPORT||||</t>
  </si>
  <si>
    <t>698.0000000000000000</t>
  </si>
  <si>
    <t>1247/STOR IMPORT PSD</t>
  </si>
  <si>
    <t>000001247/Invoice</t>
  </si>
  <si>
    <t>699.0000000000000000</t>
  </si>
  <si>
    <t>PSD EG-76</t>
  </si>
  <si>
    <t>CashIn-000000790</t>
  </si>
  <si>
    <t>|1401|014|001|005|101000114|101000114||||MESCO LCL PSD SALES|5013|Collect|||IMPORT||||</t>
  </si>
  <si>
    <t>700.0000000000000000</t>
  </si>
  <si>
    <t>1248/G3ALA INVOICE PSD</t>
  </si>
  <si>
    <t>000001248/Invoice</t>
  </si>
  <si>
    <t>701.0000000000000000</t>
  </si>
  <si>
    <t>PSD EG-77</t>
  </si>
  <si>
    <t>CashIn-000000793</t>
  </si>
  <si>
    <t>|1301|013|001|005|101004443|101004443||||3075|5013|Collect|||IMPORT||||</t>
  </si>
  <si>
    <t>O25-IMP-OC-470|‏ME_Q-20250107813-IMP-LCL‎|‏Sl-000001‎|‏Ag-000087‎|‏COSU6400700690‎|‏‎|‏‎|‏‎|‏‎|‏CONTSHIP IVY‎|‏HKHKG Hong Kong‎|‏EGPSD Port Said West‎|‏‎|‏‎|‏14/01/2025‎|‏‎|‏‎|‏13/01/2025‎|‏31/01/2025‎</t>
  </si>
  <si>
    <t>702.0000000000000000</t>
  </si>
  <si>
    <t>101004443</t>
  </si>
  <si>
    <t>210266007</t>
  </si>
  <si>
    <t>1058/THC PSD</t>
  </si>
  <si>
    <t>000001058/Invoice</t>
  </si>
  <si>
    <t>703.0000000000000000</t>
  </si>
  <si>
    <t>PSD EG-78</t>
  </si>
  <si>
    <t>CashIn-000000796</t>
  </si>
  <si>
    <t>704.0000000000000000</t>
  </si>
  <si>
    <t>1059/NAFEZA SERVICE PSD</t>
  </si>
  <si>
    <t>000001059/Invoice</t>
  </si>
  <si>
    <t>705.0000000000000000</t>
  </si>
  <si>
    <t>ALEXHO EG-113</t>
  </si>
  <si>
    <t>CashIn-000000799</t>
  </si>
  <si>
    <t>O25-IMP-OC-395|‏ME_Q-20250107603-IMP-LCL‎|‏Sl-000004‎|‏RP-000001‎|‏‎|‏‎|‏‎|‏‎|‏‎|‏TEOMAN A‎|‏ITGOA Genoa‎|‏696 ALEXANDRIA‎|‏11/01/2025‎|‏07/01/2025‎|‏11/01/2025‎|‏‎|‏‎|‏12/01/2025‎|‏31/01/2025‎</t>
  </si>
  <si>
    <t>706.0000000000000000</t>
  </si>
  <si>
    <t>781/THC</t>
  </si>
  <si>
    <t>000000781/Invoice</t>
  </si>
  <si>
    <t>707.0000000000000000</t>
  </si>
  <si>
    <t>ALEXHO EG-114</t>
  </si>
  <si>
    <t>CashIn-000000800</t>
  </si>
  <si>
    <t>708.0000000000000000</t>
  </si>
  <si>
    <t>780/NAFEZA SERVICE</t>
  </si>
  <si>
    <t>000000780/Invoice</t>
  </si>
  <si>
    <t>709.0000000000000000</t>
  </si>
  <si>
    <t>PSD EG-79</t>
  </si>
  <si>
    <t>CashIn-000000801</t>
  </si>
  <si>
    <t>|1302|013|001|005|101001865|101001865||||3075|5013|Collect|||IMPORT||||</t>
  </si>
  <si>
    <t>710.0000000000000000</t>
  </si>
  <si>
    <t>1271/STOR IMPORT PSD</t>
  </si>
  <si>
    <t>000001271/Invoice</t>
  </si>
  <si>
    <t>711.0000000000000000</t>
  </si>
  <si>
    <t>PSD EG-80</t>
  </si>
  <si>
    <t>CashIn-000000802</t>
  </si>
  <si>
    <t>|1401|014|001|005|101001865|101001865||||3075|5013|Collect|||IMPORT||||</t>
  </si>
  <si>
    <t>712.0000000000000000</t>
  </si>
  <si>
    <t>1276/G3ALA INVOICE PSD</t>
  </si>
  <si>
    <t>000001276/Invoice</t>
  </si>
  <si>
    <t>713.0000000000000000</t>
  </si>
  <si>
    <t>ALEXHO EG-115</t>
  </si>
  <si>
    <t>CashIn-000000807</t>
  </si>
  <si>
    <t>|1201|012|001|001|101002776|101002776||||FREEHAND|3142|Payable|||IMPORT||||</t>
  </si>
  <si>
    <t>O25-IMP-OC-691|‏ME_Q-20250108310-IMP-FCL‎|‏Sl-000009‎|‏Ag-000068‎|‏247122861‎|‏‎|‏‎|‏‎|‏‎|‏‎|‏DEHAM Hamburg‎|‏EGALY Alexandria, Egypt (old)‎|‏‎|‏‎|‏‎|‏‎|‏‎|‏19/01/2025‎|‏31/01/2025‎</t>
  </si>
  <si>
    <t>714.0000000000000000</t>
  </si>
  <si>
    <t>101002776</t>
  </si>
  <si>
    <t>327905743</t>
  </si>
  <si>
    <t>1261/INV</t>
  </si>
  <si>
    <t>000001261/Invoice</t>
  </si>
  <si>
    <t>715.0000000000000000</t>
  </si>
  <si>
    <t>ALEXHO EG-116</t>
  </si>
  <si>
    <t>CashIn-000000808</t>
  </si>
  <si>
    <t>O25-IMP-OC-692|‏ME_Q-20250108313-IMP-FCL‎|‏RP-000007‎|‏Ag-000068‎|‏MEDUVM460360‎|‏‎|‏‎|‏‎|‏‎|‏MSC DARIEN‎|‏NLRTM Rotterdam‎|‏EGALY Alexandria, Egypt (old)‎|‏‎|‏‎|‏‎|‏‎|‏‎|‏19/01/2025‎|‏31/01/2025‎</t>
  </si>
  <si>
    <t>716.0000000000000000</t>
  </si>
  <si>
    <t>1262/INV</t>
  </si>
  <si>
    <t>000001262/Invoice</t>
  </si>
  <si>
    <t>717.0000000000000000</t>
  </si>
  <si>
    <t>ALEXHO EG-117</t>
  </si>
  <si>
    <t>CashIn-000000810</t>
  </si>
  <si>
    <t>O25-IMP-OC-395|‏ME_Q-20250108314-IMP-LCL‎|‏Sl-000004‎|‏RP-000001‎|‏‎|‏‎|‏‎|‏‎|‏‎|‏TEOMAN A‎|‏ITGOA Genoa‎|‏696 ALEXANDRIA‎|‏11/01/2025‎|‏07/01/2025‎|‏11/01/2025‎|‏‎|‏‎|‏12/01/2025‎|‏31/01/2025‎</t>
  </si>
  <si>
    <t>138/مطالبة نولون محصلة لصالح الغير</t>
  </si>
  <si>
    <t>718.0000000000000000</t>
  </si>
  <si>
    <t>101001593</t>
  </si>
  <si>
    <t>|1301|013|001|001|101001593||||||||||IMPORT||||</t>
  </si>
  <si>
    <t>203387899</t>
  </si>
  <si>
    <t>719.0000000000000000</t>
  </si>
  <si>
    <t>421103|1301|013|001|001|101001593||||||||||IMPORT||||</t>
  </si>
  <si>
    <t>720.0000000000000000</t>
  </si>
  <si>
    <t>ALEXHO EG-118</t>
  </si>
  <si>
    <t>CashIn-000000811</t>
  </si>
  <si>
    <t>|1301|013|001|001|101001593|101001593||||3076|3208|Collect|||IMPORT||||</t>
  </si>
  <si>
    <t>721.0000000000000000</t>
  </si>
  <si>
    <t>1281/THC</t>
  </si>
  <si>
    <t>000001281/Invoice</t>
  </si>
  <si>
    <t>722.0000000000000000</t>
  </si>
  <si>
    <t>ALEXHO EG-119</t>
  </si>
  <si>
    <t>CashIn-000000812</t>
  </si>
  <si>
    <t>723.0000000000000000</t>
  </si>
  <si>
    <t>1282/NAFEZA SERVICE</t>
  </si>
  <si>
    <t>000001282/Invoice</t>
  </si>
  <si>
    <t>724.0000000000000000</t>
  </si>
  <si>
    <t>ALEXHO EG-120</t>
  </si>
  <si>
    <t>CashIn-000000814</t>
  </si>
  <si>
    <t>|1301|013|001|001|101000543|101000543||||3031|3336|Collect|||IMPORT||||</t>
  </si>
  <si>
    <t>O25-IMP-OC-500|‏ME_Q-20241104221-IMP-LCL‎|‏Sl-000002‎|‏RP-000001‎|‏‎|‏‎|‏‎|‏‎|‏‎|‏CMA CGM LOIRE‎|‏CNSZX Shenzhen‎|‏696 ALEXANDRIA‎|‏14/01/2025‎|‏‎|‏14/01/2025‎|‏‎|‏‎|‏14/01/2025‎|‏‎</t>
  </si>
  <si>
    <t>725.0000000000000000</t>
  </si>
  <si>
    <t>101000543</t>
  </si>
  <si>
    <t>515475599</t>
  </si>
  <si>
    <t>1286/THC</t>
  </si>
  <si>
    <t>000001286/Invoice</t>
  </si>
  <si>
    <t>726.0000000000000000</t>
  </si>
  <si>
    <t>ALEXHO EG-121</t>
  </si>
  <si>
    <t>CashIn-000000815</t>
  </si>
  <si>
    <t>727.0000000000000000</t>
  </si>
  <si>
    <t>1285/NAFEZA SERVICE</t>
  </si>
  <si>
    <t>000001285/Invoice</t>
  </si>
  <si>
    <t>728.0000000000000000</t>
  </si>
  <si>
    <t>ALEXHO US-7</t>
  </si>
  <si>
    <t>CashIn-000000816</t>
  </si>
  <si>
    <t>729.0000000000000000</t>
  </si>
  <si>
    <t>140/مطالبة نولون محصلة لصالح الغير</t>
  </si>
  <si>
    <t>000000140/OF-FW</t>
  </si>
  <si>
    <t>730.0000000000000000</t>
  </si>
  <si>
    <t>PSD EG-81</t>
  </si>
  <si>
    <t>CashIn-000000822</t>
  </si>
  <si>
    <t>731.0000000000000000</t>
  </si>
  <si>
    <t>1290/STOR IMPORT PSD</t>
  </si>
  <si>
    <t>000001290/Invoice</t>
  </si>
  <si>
    <t>732.0000000000000000</t>
  </si>
  <si>
    <t>PSD EG-82</t>
  </si>
  <si>
    <t>CashIn-000000823</t>
  </si>
  <si>
    <t>733.0000000000000000</t>
  </si>
  <si>
    <t>1292/G3ALA INVOICE PSD</t>
  </si>
  <si>
    <t>000001292/Invoice</t>
  </si>
  <si>
    <t>734.0000000000000000</t>
  </si>
  <si>
    <t>PSD EG-83</t>
  </si>
  <si>
    <t>CashIn-000000824</t>
  </si>
  <si>
    <t>735.0000000000000000</t>
  </si>
  <si>
    <t>1291/STOR SERVICE PSD</t>
  </si>
  <si>
    <t>000001291/Invoice</t>
  </si>
  <si>
    <t>736.0000000000000000</t>
  </si>
  <si>
    <t>Merghem EG-8</t>
  </si>
  <si>
    <t>CashIn-000000826</t>
  </si>
  <si>
    <t>|1302|013|001|001|101001238|101001238||||3038|3336|Collect|||IMPORT||||</t>
  </si>
  <si>
    <t>737.0000000000000000</t>
  </si>
  <si>
    <t>1289/STOR   IMPORT ALEX</t>
  </si>
  <si>
    <t>000001289/Invoice</t>
  </si>
  <si>
    <t>738.0000000000000000</t>
  </si>
  <si>
    <t>ALEXHO EG-122</t>
  </si>
  <si>
    <t>CashIn-000000830</t>
  </si>
  <si>
    <t>|1301|013|001|001|101004438|101004438||||3075|3336|Collect|||IMPORT||||</t>
  </si>
  <si>
    <t>O25-IMP-OC-105|‏ME_Q-20241002320-IMP-LCL‎|‏Sl-000011‎|‏RP-000001‎|‏‎|‏‎|‏‎|‏‎|‏‎|‏EGY FUTURE‎|‏HKHKG Hong Kong‎|‏696 ALEXANDRIA‎|‏04/01/2025‎|‏‎|‏06/01/2025‎|‏‎|‏‎|‏04/01/2025‎|‏31/01/2025‎</t>
  </si>
  <si>
    <t>739.0000000000000000</t>
  </si>
  <si>
    <t>101004438</t>
  </si>
  <si>
    <t>205137792</t>
  </si>
  <si>
    <t>480/THC</t>
  </si>
  <si>
    <t>000000480/Invoice</t>
  </si>
  <si>
    <t>740.0000000000000000</t>
  </si>
  <si>
    <t>ALEXHO EG-123</t>
  </si>
  <si>
    <t>CashIn-000000831</t>
  </si>
  <si>
    <t>741.0000000000000000</t>
  </si>
  <si>
    <t>481/NAFEZA SERVICE</t>
  </si>
  <si>
    <t>000000481/Invoice</t>
  </si>
  <si>
    <t>742.0000000000000000</t>
  </si>
  <si>
    <t>ALEXHO US-8</t>
  </si>
  <si>
    <t>CashIn-000000832</t>
  </si>
  <si>
    <t>743.0000000000000000</t>
  </si>
  <si>
    <t>50/مطالبة نولون محصلة لصالح الغير</t>
  </si>
  <si>
    <t>000000050/OF-FW</t>
  </si>
  <si>
    <t>744.0000000000000000</t>
  </si>
  <si>
    <t>ALEXHO EG-124</t>
  </si>
  <si>
    <t>CashIn-000000833</t>
  </si>
  <si>
    <t>|1301|013|001|001|101000542|101000542||||3075|3336|Collect|||IMPORT||||</t>
  </si>
  <si>
    <t>O25-IMP-OC-385|‏ME_Q-20241206361-IMP-LCL‎|‏Sl-000011‎|‏RP-000001‎|‏‎|‏‎|‏‎|‏‎|‏‎|‏EGY FUTURE‎|‏HKHKG Hong Kong‎|‏696 ALEXANDRIA‎|‏13/01/2025‎|‏‎|‏13/01/2025‎|‏‎|‏‎|‏11/01/2025‎|‏‎</t>
  </si>
  <si>
    <t>745.0000000000000000</t>
  </si>
  <si>
    <t>101000542</t>
  </si>
  <si>
    <t>310576296</t>
  </si>
  <si>
    <t>736/THC</t>
  </si>
  <si>
    <t>000000736/Invoice</t>
  </si>
  <si>
    <t>746.0000000000000000</t>
  </si>
  <si>
    <t>ALEXHO EG-125</t>
  </si>
  <si>
    <t>CashIn-000000834</t>
  </si>
  <si>
    <t>747.0000000000000000</t>
  </si>
  <si>
    <t>735/NAFEZA SERVICE</t>
  </si>
  <si>
    <t>000000735/Invoice</t>
  </si>
  <si>
    <t>748.0000000000000000</t>
  </si>
  <si>
    <t>ALEXHO EG-126</t>
  </si>
  <si>
    <t>CashIn-000000835</t>
  </si>
  <si>
    <t>O25-IMP-OC-105|‏ME_Q-20241104589-IMP-LCL‎|‏Sl-000011‎|‏RP-000001‎|‏‎|‏‎|‏‎|‏‎|‏‎|‏EGY FUTURE‎|‏HKHKG Hong Kong‎|‏696 ALEXANDRIA‎|‏04/01/2025‎|‏‎|‏06/01/2025‎|‏‎|‏‎|‏04/01/2025‎|‏31/01/2025‎</t>
  </si>
  <si>
    <t>52/مطالبة نولون محصلة لصالح الغير</t>
  </si>
  <si>
    <t>749.0000000000000000</t>
  </si>
  <si>
    <t>101000503</t>
  </si>
  <si>
    <t>|1301|013|001|001|101000503||||||||||IMPORT||||</t>
  </si>
  <si>
    <t>100128742</t>
  </si>
  <si>
    <t>750.0000000000000000</t>
  </si>
  <si>
    <t>421103|1301|013|001|001|101000503||||||||||IMPORT||||</t>
  </si>
  <si>
    <t>751.0000000000000000</t>
  </si>
  <si>
    <t>ALEXHO EG-127</t>
  </si>
  <si>
    <t>CashIn-000000836</t>
  </si>
  <si>
    <t>|1301|013|001|001|101000503|101000503||||3075|3336|Collect|||IMPORT||||</t>
  </si>
  <si>
    <t>752.0000000000000000</t>
  </si>
  <si>
    <t>472/THC</t>
  </si>
  <si>
    <t>000000472/Invoice</t>
  </si>
  <si>
    <t>753.0000000000000000</t>
  </si>
  <si>
    <t>ALEXHO EG-128</t>
  </si>
  <si>
    <t>CashIn-000000837</t>
  </si>
  <si>
    <t>754.0000000000000000</t>
  </si>
  <si>
    <t>471/NAFEZA SERVICE</t>
  </si>
  <si>
    <t>000000471/Invoice</t>
  </si>
  <si>
    <t>755.0000000000000000</t>
  </si>
  <si>
    <t>ALEXHO EG-129</t>
  </si>
  <si>
    <t>CashIn-000000838</t>
  </si>
  <si>
    <t>O25-IMP-OC-105|‏ME_Q-20241104571-IMP-LCL‎|‏Sl-000011‎|‏RP-000001‎|‏‎|‏‎|‏‎|‏‎|‏‎|‏EGY FUTURE‎|‏HKHKG Hong Kong‎|‏696 ALEXANDRIA‎|‏04/01/2025‎|‏‎|‏06/01/2025‎|‏‎|‏‎|‏04/01/2025‎|‏31/01/2025‎</t>
  </si>
  <si>
    <t>68/مطالبة نولون محصلة لصالح الغير</t>
  </si>
  <si>
    <t>756.0000000000000000</t>
  </si>
  <si>
    <t>757.0000000000000000</t>
  </si>
  <si>
    <t>758.0000000000000000</t>
  </si>
  <si>
    <t>ALEXHO EG-130</t>
  </si>
  <si>
    <t>CashIn-000000839</t>
  </si>
  <si>
    <t>759.0000000000000000</t>
  </si>
  <si>
    <t>729/THC</t>
  </si>
  <si>
    <t>000000729/Invoice</t>
  </si>
  <si>
    <t>760.0000000000000000</t>
  </si>
  <si>
    <t>ALEXHO EG-131</t>
  </si>
  <si>
    <t>CashIn-000000840</t>
  </si>
  <si>
    <t>761.0000000000000000</t>
  </si>
  <si>
    <t>728/NAFEZA SERVICE</t>
  </si>
  <si>
    <t>000000728/Invoice</t>
  </si>
  <si>
    <t>762.0000000000000000</t>
  </si>
  <si>
    <t>ALEXHO EG-132</t>
  </si>
  <si>
    <t>CashIn-000000841</t>
  </si>
  <si>
    <t>O25-IMP-OC-105|‏ME_Q-20241104574-IMP-LCL‎|‏Sl-000011‎|‏RP-000001‎|‏‎|‏‎|‏‎|‏‎|‏‎|‏EGY FUTURE‎|‏HKHKG Hong Kong‎|‏696 ALEXANDRIA‎|‏04/01/2025‎|‏‎|‏06/01/2025‎|‏‎|‏‎|‏04/01/2025‎|‏31/01/2025‎</t>
  </si>
  <si>
    <t>56/مطالبة نولون محصلة لصالح الغير</t>
  </si>
  <si>
    <t>763.0000000000000000</t>
  </si>
  <si>
    <t>764.0000000000000000</t>
  </si>
  <si>
    <t>765.0000000000000000</t>
  </si>
  <si>
    <t>ALEXHO EG-133</t>
  </si>
  <si>
    <t>CashIn-000000842</t>
  </si>
  <si>
    <t>766.0000000000000000</t>
  </si>
  <si>
    <t>548/NAFEZA SERVICE</t>
  </si>
  <si>
    <t>000000548/Invoice</t>
  </si>
  <si>
    <t>767.0000000000000000</t>
  </si>
  <si>
    <t>ALEXHO EG-134</t>
  </si>
  <si>
    <t>CashIn-000000843</t>
  </si>
  <si>
    <t>768.0000000000000000</t>
  </si>
  <si>
    <t>549/THC</t>
  </si>
  <si>
    <t>000000549/Invoice</t>
  </si>
  <si>
    <t>769.0000000000000000</t>
  </si>
  <si>
    <t>ALEXHO EG-135</t>
  </si>
  <si>
    <t>CashIn-000000844</t>
  </si>
  <si>
    <t>O25-IMP-OC-105|‏ME_Q-20241104588-IMP-LCL‎|‏Sl-000011‎|‏RP-000001‎|‏‎|‏‎|‏‎|‏‎|‏‎|‏EGY FUTURE‎|‏HKHKG Hong Kong‎|‏696 ALEXANDRIA‎|‏04/01/2025‎|‏‎|‏06/01/2025‎|‏‎|‏‎|‏04/01/2025‎|‏31/01/2025‎</t>
  </si>
  <si>
    <t>55/مطالبة نولون محصلة لصالح الغير</t>
  </si>
  <si>
    <t>770.0000000000000000</t>
  </si>
  <si>
    <t>101001218</t>
  </si>
  <si>
    <t>|1301|013|001|001|101001218||||||||||IMPORT||||</t>
  </si>
  <si>
    <t>431136777</t>
  </si>
  <si>
    <t>771.0000000000000000</t>
  </si>
  <si>
    <t>421103|1301|013|001|001|101001218||||||||||IMPORT||||</t>
  </si>
  <si>
    <t>772.0000000000000000</t>
  </si>
  <si>
    <t>ALEXHO EG-136</t>
  </si>
  <si>
    <t>CashIn-000000845</t>
  </si>
  <si>
    <t>|1301|013|001|001|101001218|101001218||||3075|3336|Collect|||IMPORT||||</t>
  </si>
  <si>
    <t>773.0000000000000000</t>
  </si>
  <si>
    <t>547/THC</t>
  </si>
  <si>
    <t>000000547/Invoice</t>
  </si>
  <si>
    <t>774.0000000000000000</t>
  </si>
  <si>
    <t>ALEXHO EG-137</t>
  </si>
  <si>
    <t>CashIn-000000846</t>
  </si>
  <si>
    <t>775.0000000000000000</t>
  </si>
  <si>
    <t>546/NAFEZA SERVICE</t>
  </si>
  <si>
    <t>000000546/Invoice</t>
  </si>
  <si>
    <t>776.0000000000000000</t>
  </si>
  <si>
    <t>ALEXHO EG-138</t>
  </si>
  <si>
    <t>CashIn-000000847</t>
  </si>
  <si>
    <t>|1301|013|001|001|101000475|101000475||||3031|3208|Collect|||IMPORT||||</t>
  </si>
  <si>
    <t>O25-IMP-OC-571|‏ME_Q-20241003088-IMP-LCL‎|‏RP-000007‎|‏RP-000001‎|‏‎|‏‎|‏‎|‏‎|‏‎|‏MSC EAGLE III‎|‏FRFOS Fos-sur-Mer‎|‏696 ALEXANDRIA‎|‏‎|‏30/12/2024‎|‏17/01/2025‎|‏‎|‏‎|‏15/01/2025‎|‏31/01/2025‎</t>
  </si>
  <si>
    <t>777.0000000000000000</t>
  </si>
  <si>
    <t>101000475</t>
  </si>
  <si>
    <t>731353927</t>
  </si>
  <si>
    <t>964/THC</t>
  </si>
  <si>
    <t>000000964/Invoice</t>
  </si>
  <si>
    <t>778.0000000000000000</t>
  </si>
  <si>
    <t>ALEXHO EG-139</t>
  </si>
  <si>
    <t>CashIn-000000848</t>
  </si>
  <si>
    <t>779.0000000000000000</t>
  </si>
  <si>
    <t>963/NAFEZA SERVICE</t>
  </si>
  <si>
    <t>000000963/Invoice</t>
  </si>
  <si>
    <t>780.0000000000000000</t>
  </si>
  <si>
    <t>ALEXHO EG-140</t>
  </si>
  <si>
    <t>CashIn-000000849</t>
  </si>
  <si>
    <t>O25-IMP-OC-409|‏ME_Q-20241206098-IMP-LCL‎|‏Sl-000079‎|‏RP-000001‎|‏‎|‏‎|‏‎|‏‎|‏‎|‏MAERSK NUBA‎|‏ESBCN Barcelona‎|‏696 ALEXANDRIA‎|‏14/01/2025‎|‏09/01/2025‎|‏14/01/2025‎|‏‎|‏‎|‏12/01/2025‎|‏‎</t>
  </si>
  <si>
    <t>781.0000000000000000</t>
  </si>
  <si>
    <t>962/THC</t>
  </si>
  <si>
    <t>000000962/Invoice</t>
  </si>
  <si>
    <t>782.0000000000000000</t>
  </si>
  <si>
    <t>ALEXHO EG-141</t>
  </si>
  <si>
    <t>CashIn-000000850</t>
  </si>
  <si>
    <t>783.0000000000000000</t>
  </si>
  <si>
    <t>961/NAFEZA SERVICE</t>
  </si>
  <si>
    <t>000000961/Invoice</t>
  </si>
  <si>
    <t>784.0000000000000000</t>
  </si>
  <si>
    <t>CCC US-7</t>
  </si>
  <si>
    <t>BankIn-000000851</t>
  </si>
  <si>
    <t>HSBC-US-CA</t>
  </si>
  <si>
    <t>|1201|012|001|002|101002956|101002956||||5035|4022|Payable|||EXPORT||||</t>
  </si>
  <si>
    <t>O25-EXP-OC-694|‏ME_Q-20250108296-EXP-FCL‎|‏Sl-000011‎|‏Ag-000141‎|‏YMJAU587021339‎|‏‎|‏‎|‏‎|‏‎|‏‎|‏EGDAM Damietta‎|‏ESVLC Valencia‎|‏‎|‏‎|‏‎|‏‎|‏‎|‏19/01/2025‎|‏31/01/2025‎</t>
  </si>
  <si>
    <t>785.0000000000000000</t>
  </si>
  <si>
    <t>101002956</t>
  </si>
  <si>
    <t>378836196</t>
  </si>
  <si>
    <t>1263/INV</t>
  </si>
  <si>
    <t>000001263/Invoice</t>
  </si>
  <si>
    <t>786.0000000000000000</t>
  </si>
  <si>
    <t>ALEXHO EG-142</t>
  </si>
  <si>
    <t>CashIn-000000852</t>
  </si>
  <si>
    <t>|1201|012|001|001|101000007|101000007||||3075|3142|Payable|||IMPORT||||</t>
  </si>
  <si>
    <t>O25-IMP-OC-303|‏ME_Q-20250107289-IMP-FCL‎|‏Sl-000005‎|‏Ag-000043‎|‏HMESJEAALY05001‎|‏‎|‏‎|‏‎|‏‎|‏‎|‏AEJEA Jebel Ali‎|‏EGALY Alexandria, Egypt (old)‎|‏‎|‏‎|‏‎|‏‎|‏‎|‏09/01/2025‎|‏31/01/2025‎</t>
  </si>
  <si>
    <t>787.0000000000000000</t>
  </si>
  <si>
    <t>1305/INV</t>
  </si>
  <si>
    <t>000001305/Invoice</t>
  </si>
  <si>
    <t>788.0000000000000000</t>
  </si>
  <si>
    <t>PSD EG-84</t>
  </si>
  <si>
    <t>CashIn-000000853</t>
  </si>
  <si>
    <t>789.0000000000000000</t>
  </si>
  <si>
    <t>1325/THC PSD</t>
  </si>
  <si>
    <t>000001325/Invoice</t>
  </si>
  <si>
    <t>790.0000000000000000</t>
  </si>
  <si>
    <t>PSD EG-85</t>
  </si>
  <si>
    <t>CashIn-000000854</t>
  </si>
  <si>
    <t>791.0000000000000000</t>
  </si>
  <si>
    <t>1326/NAFEZA SERVICE PSD</t>
  </si>
  <si>
    <t>000001326/Invoice</t>
  </si>
  <si>
    <t>792.0000000000000000</t>
  </si>
  <si>
    <t>ALEXHO EG-143</t>
  </si>
  <si>
    <t>CashIn-000000865</t>
  </si>
  <si>
    <t>O25-IMP-OC-285|‏ME_Q-20250107663-IMP-LCL‎|‏Sl-000014‎|‏Ag-000203‎|‏MEDMARALY010433‎|‏‎|‏‎|‏‎|‏‎|‏MEDKON MIRA‎|‏TRMAD MARDAS‎|‏EGALY Alexandria, Egypt (old)‎|‏11/01/2025‎|‏‎|‏11/01/2025‎|‏‎|‏‎|‏08/01/2025‎|‏31/01/2025‎</t>
  </si>
  <si>
    <t>144/مطالبة نولون محصلة لصالح الغير</t>
  </si>
  <si>
    <t>793.0000000000000000</t>
  </si>
  <si>
    <t>101000118</t>
  </si>
  <si>
    <t>|1301|013|001|001|101000118||||||||||IMPORT||||</t>
  </si>
  <si>
    <t>415932947</t>
  </si>
  <si>
    <t>794.0000000000000000</t>
  </si>
  <si>
    <t>421103|1301|013|001|001|101000118||||||||||IMPORT||||</t>
  </si>
  <si>
    <t>795.0000000000000000</t>
  </si>
  <si>
    <t>ALEXHO EG-144</t>
  </si>
  <si>
    <t>CashIn-000000866</t>
  </si>
  <si>
    <t>|1301|013|001|001|101000118|101000118||||3038|3336|Collect|||IMPORT||||</t>
  </si>
  <si>
    <t>796.0000000000000000</t>
  </si>
  <si>
    <t>1329/THC</t>
  </si>
  <si>
    <t>000001329/Invoice</t>
  </si>
  <si>
    <t>797.0000000000000000</t>
  </si>
  <si>
    <t>ALEXHO EG-145</t>
  </si>
  <si>
    <t>CashIn-000000867</t>
  </si>
  <si>
    <t>798.0000000000000000</t>
  </si>
  <si>
    <t>1328/NAFEZA SERVICE</t>
  </si>
  <si>
    <t>000001328/Invoice</t>
  </si>
  <si>
    <t>799.0000000000000000</t>
  </si>
  <si>
    <t>Airport EG-62</t>
  </si>
  <si>
    <t>CashIn-000000871</t>
  </si>
  <si>
    <t>2025-01-20</t>
  </si>
  <si>
    <t>124101|1101|011|001|004|101000234|101000234|4080|4080|16545|5026|4008|Payable|||IMPORT||||</t>
  </si>
  <si>
    <t>O25-IMP-AI-116|‏ME_Q-20250106589-IMP-AI‎|‏‎|‏‎|‏235-83669692‎|‏‎|‏‎|‏‎|‏‎|‏‎|‏ADA ADANA‎|‏CAI CAIRO‎|‏‎|‏‎|‏‎|‏‎|‏‎|‏05/01/2025‎|‏30/06/2025‎</t>
  </si>
  <si>
    <t>محمود إبراهيم يوسف على سليمان</t>
  </si>
  <si>
    <t>178</t>
  </si>
  <si>
    <t>800.0000000000000000</t>
  </si>
  <si>
    <t>4080</t>
  </si>
  <si>
    <t>|1101|011|001|004|101000234|101000234|4080|4080|16545|5026|4008|Payable|||IMPORT||||</t>
  </si>
  <si>
    <t>801.0000000000000000</t>
  </si>
  <si>
    <t>802.0000000000000000</t>
  </si>
  <si>
    <t>POS_EG-21</t>
  </si>
  <si>
    <t>POS-000000887</t>
  </si>
  <si>
    <t>|1301|013|001|001|101002268|101002268||||3075|3208|Collect|||IMPORT||||</t>
  </si>
  <si>
    <t>O25-IMP-OC-560|‏ME_Q-20250107937-IMP-LCL‎|‏Sl-000009‎|‏RP-000001‎|‏‎|‏‎|‏‎|‏‎|‏‎|‏SAFEEN PRESTIGE‎|‏AEJEA Jebel Ali‎|‏696 ALEXANDRIA‎|‏‎|‏25/11/2024‎|‏15/01/2025‎|‏‎|‏‎|‏15/01/2025‎|‏‎</t>
  </si>
  <si>
    <t>803.0000000000000000</t>
  </si>
  <si>
    <t>101002268</t>
  </si>
  <si>
    <t>207437157</t>
  </si>
  <si>
    <t>1347/NAFEZA SERVICE</t>
  </si>
  <si>
    <t>000001347/Invoice</t>
  </si>
  <si>
    <t>804.0000000000000000</t>
  </si>
  <si>
    <t>1348/THC</t>
  </si>
  <si>
    <t>000001348/Invoice</t>
  </si>
  <si>
    <t>805.0000000000000000</t>
  </si>
  <si>
    <t>Airport EG-63</t>
  </si>
  <si>
    <t>CashIn-000000872</t>
  </si>
  <si>
    <t>124101|1101|011|001|004|101000064|101000064|4080|4080|16545|5026|4008|Payable|||IMPORT||||</t>
  </si>
  <si>
    <t>O25-IMP-AI-119|‏ME_Q-20250106805-IMP-AI‎|‏‎|‏‎|‏-53186965‎|‏‎|‏‎|‏‎|‏‎|‏‎|‏CNBJX BAO JI (SHANXI)‎|‏CAI CAIRO‎|‏‎|‏‎|‏‎|‏‎|‏‎|‏05/01/2025‎|‏31/08/2025‎</t>
  </si>
  <si>
    <t>177</t>
  </si>
  <si>
    <t>806.0000000000000000</t>
  </si>
  <si>
    <t>|1101|011|001|004|101000064|101000064|4080|4080|16545|5026|4008|Payable|||IMPORT||||</t>
  </si>
  <si>
    <t>807.0000000000000000</t>
  </si>
  <si>
    <t>808.0000000000000000</t>
  </si>
  <si>
    <t>POS_EG-22</t>
  </si>
  <si>
    <t>POS-000000888</t>
  </si>
  <si>
    <t>|1301|013|001|001|101000061|101000061||||3075|3336|Collect|||IMPORT||||</t>
  </si>
  <si>
    <t>O25-IMP-OC-214|‏ME_Q-20241205182-IMP-LCL‎|‏Sl-000011‎|‏RP-000001‎|‏‎|‏‎|‏‎|‏‎|‏‎|‏ONE MANCHESTER‎|‏SGSIN Singapore‎|‏696 ALEXANDRIA‎|‏‎|‏‎|‏12/01/2025‎|‏‎|‏‎|‏06/01/2025‎|‏‎</t>
  </si>
  <si>
    <t>809.0000000000000000</t>
  </si>
  <si>
    <t>101000061</t>
  </si>
  <si>
    <t>200753142</t>
  </si>
  <si>
    <t>1239/NAFEZA SERVICE</t>
  </si>
  <si>
    <t>000001239/Invoice</t>
  </si>
  <si>
    <t>810.0000000000000000</t>
  </si>
  <si>
    <t>1240/THC</t>
  </si>
  <si>
    <t>000001240/Invoice</t>
  </si>
  <si>
    <t>811.0000000000000000</t>
  </si>
  <si>
    <t>POS_EG-23</t>
  </si>
  <si>
    <t>POS-000000889</t>
  </si>
  <si>
    <t>|1301|013|001|001|101000012|101000012||||3076|3336|Collect|||IMPORT||||</t>
  </si>
  <si>
    <t>O25-IMP-OC-474|‏ME_Q-20250108359-IMP-LCL‎|‏Sl-000016‎|‏RP-000001‎|‏‎|‏‎|‏‎|‏‎|‏‎|‏TURKON EGYPT‎|‏NY NEW YORK‎|‏696 ALEXANDRIA‎|‏13/01/2025‎|‏‎|‏15/01/2025‎|‏‎|‏‎|‏13/01/2025‎|‏‎</t>
  </si>
  <si>
    <t>812.0000000000000000</t>
  </si>
  <si>
    <t>101000012</t>
  </si>
  <si>
    <t>267189176</t>
  </si>
  <si>
    <t>1301/NAFEZA SERVICE</t>
  </si>
  <si>
    <t>000001301/Invoice</t>
  </si>
  <si>
    <t>813.0000000000000000</t>
  </si>
  <si>
    <t>1302/THC</t>
  </si>
  <si>
    <t>000001302/Invoice</t>
  </si>
  <si>
    <t>814.0000000000000000</t>
  </si>
  <si>
    <t>POS_EG-24</t>
  </si>
  <si>
    <t>POS-000000890</t>
  </si>
  <si>
    <t>|1301|013|001|001|101000546|101000546||||3038|3208|Collect|||IMPORT||||</t>
  </si>
  <si>
    <t>O25-IMP-OC-571|‏ME_Q-20250108354-IMP-LCL‎|‏RP-000007‎|‏RP-000001‎|‏‎|‏‎|‏‎|‏‎|‏‎|‏MSC EAGLE III‎|‏FRFOS Fos-sur-Mer‎|‏696 ALEXANDRIA‎|‏‎|‏30/12/2024‎|‏17/01/2025‎|‏‎|‏‎|‏15/01/2025‎|‏31/01/2025‎</t>
  </si>
  <si>
    <t>815.0000000000000000</t>
  </si>
  <si>
    <t>101000546</t>
  </si>
  <si>
    <t>200110438</t>
  </si>
  <si>
    <t>1425/NAFEZA SERVICE</t>
  </si>
  <si>
    <t>000001425/Invoice</t>
  </si>
  <si>
    <t>816.0000000000000000</t>
  </si>
  <si>
    <t>1426/THC</t>
  </si>
  <si>
    <t>000001426/Invoice</t>
  </si>
  <si>
    <t>817.0000000000000000</t>
  </si>
  <si>
    <t>Airport EG-64</t>
  </si>
  <si>
    <t>CashIn-000000873</t>
  </si>
  <si>
    <t>|1101|011|001|004|101000475|101000475||||3031|4012|Prepaid|||IMPORT||||</t>
  </si>
  <si>
    <t>O25-IMP-AI-750|‏‎|‏Al-000019‎|‏‎|‏065-48701026‎|‏‎|‏‎|‏‎|‏‎|‏‎|‏DXB DUBAI‎|‏CAI CAIRO‎|‏‎|‏‎|‏19/01/2025‎|‏‎|‏‎|‏20/01/2025‎|‏31/01/2025‎</t>
  </si>
  <si>
    <t>818.0000000000000000</t>
  </si>
  <si>
    <t>320/OFFICIAL</t>
  </si>
  <si>
    <t>000000320/OR-FW</t>
  </si>
  <si>
    <t>819.0000000000000000</t>
  </si>
  <si>
    <t>Airport EG-65</t>
  </si>
  <si>
    <t>CashIn-000000874</t>
  </si>
  <si>
    <t>820.0000000000000000</t>
  </si>
  <si>
    <t>1498/INV</t>
  </si>
  <si>
    <t>000001498/Invoice</t>
  </si>
  <si>
    <t>821.0000000000000000</t>
  </si>
  <si>
    <t>CIB_EG_CA-7</t>
  </si>
  <si>
    <t>NR-000000891</t>
  </si>
  <si>
    <t>101004568</t>
  </si>
  <si>
    <t>|1301|013|001|001|101004568|101004568||||3042|3336|Prepaid|||IMPORT||||</t>
  </si>
  <si>
    <t>O25-IMP-OC-169|‏‎|‏Sl-000007‎|‏Ag-000010‎|‏EGLV142403974073‎|‏‎|‏‎|‏‎|‏‎|‏CMA CGM RODOLPHE‎|‏CNSHA Shanghai‎|‏EGALY Alexandria, Egypt (old)‎|‏19/01/2025‎|‏‎|‏19/01/2025‎|‏‎|‏‎|‏06/01/2025‎|‏31/01/2025‎</t>
  </si>
  <si>
    <t>204903912</t>
  </si>
  <si>
    <t>1377/NAFEZA SERVICE</t>
  </si>
  <si>
    <t>000001377/Invoice</t>
  </si>
  <si>
    <t>543858075</t>
  </si>
  <si>
    <t>822.0000000000000000</t>
  </si>
  <si>
    <t>122201|1301|013|001|001|101004568|101004568||||3042|3336|Prepaid|||IMPORT||||</t>
  </si>
  <si>
    <t>1378/THC</t>
  </si>
  <si>
    <t>000001378/Invoice</t>
  </si>
  <si>
    <t>823.0000000000000000</t>
  </si>
  <si>
    <t>824.0000000000000000</t>
  </si>
  <si>
    <t>Airport EG-66</t>
  </si>
  <si>
    <t>CashIn-000000875</t>
  </si>
  <si>
    <t>|1101|011|001|004|101000292|101000292||||3038|4012|Prepaid|||IMPORT||||</t>
  </si>
  <si>
    <t>O25-IMP-AI-458|‏‎|‏Al-000021‎|‏‎|‏235-RH0511646‎|‏‎|‏‎|‏‎|‏‎|‏‎|‏LHR LONDON HEATHROW‎|‏CAI CAIRO‎|‏‎|‏‎|‏20/01/2025‎|‏‎|‏‎|‏12/01/2025‎|‏31/01/2025‎</t>
  </si>
  <si>
    <t>825.0000000000000000</t>
  </si>
  <si>
    <t>101000292</t>
  </si>
  <si>
    <t>276845846</t>
  </si>
  <si>
    <t>1502/INV</t>
  </si>
  <si>
    <t>000001502/Invoice</t>
  </si>
  <si>
    <t>826.0000000000000000</t>
  </si>
  <si>
    <t>Airport EG-67</t>
  </si>
  <si>
    <t>CashIn-000000876</t>
  </si>
  <si>
    <t>827.0000000000000000</t>
  </si>
  <si>
    <t>321/OFFICIAL</t>
  </si>
  <si>
    <t>000000321/OR-FW</t>
  </si>
  <si>
    <t>828.0000000000000000</t>
  </si>
  <si>
    <t>Airport EG-68</t>
  </si>
  <si>
    <t>CashIn-000000877</t>
  </si>
  <si>
    <t>O25-IMP-AI-506|‏ME_Q-20250107095-IMP-AI‎|‏Al-000007‎|‏Ag-000105‎|‏176-79234013‎|‏‎|‏‎|‏‎|‏‎|‏‎|‏BOM MUMBAI‎|‏CAI CAIRO‎|‏‎|‏‎|‏20/01/2025‎|‏‎|‏‎|‏14/01/2025‎|‏31/01/2025‎</t>
  </si>
  <si>
    <t>829.0000000000000000</t>
  </si>
  <si>
    <t>1503/INV</t>
  </si>
  <si>
    <t>000001503/Invoice</t>
  </si>
  <si>
    <t>830.0000000000000000</t>
  </si>
  <si>
    <t>Airport EG-69</t>
  </si>
  <si>
    <t>CashIn-000000878</t>
  </si>
  <si>
    <t>O25-IMP-AI-506|‏‎|‏Al-000007‎|‏‎|‏176-79234013‎|‏‎|‏‎|‏‎|‏‎|‏‎|‏BOM MUMBAI‎|‏CAI CAIRO‎|‏‎|‏‎|‏20/01/2025‎|‏‎|‏‎|‏14/01/2025‎|‏31/01/2025‎</t>
  </si>
  <si>
    <t>831.0000000000000000</t>
  </si>
  <si>
    <t>322/OFFICIAL</t>
  </si>
  <si>
    <t>000000322/OR-FW</t>
  </si>
  <si>
    <t>832.0000000000000000</t>
  </si>
  <si>
    <t>Airport EG-70</t>
  </si>
  <si>
    <t>CashIn-000000879</t>
  </si>
  <si>
    <t>O25-IMP-AI-501|‏‎|‏Al-000013‎|‏‎|‏229-17262910‎|‏‎|‏‎|‏‎|‏‎|‏‎|‏ICN SEOUL (INCHEON)‎|‏CAI CAIRO‎|‏‎|‏‎|‏19/01/2025‎|‏‎|‏‎|‏14/01/2025‎|‏31/01/2025‎</t>
  </si>
  <si>
    <t>833.0000000000000000</t>
  </si>
  <si>
    <t>1323/INV</t>
  </si>
  <si>
    <t>000001323/Invoice</t>
  </si>
  <si>
    <t>834.0000000000000000</t>
  </si>
  <si>
    <t>Airport EG-71</t>
  </si>
  <si>
    <t>CashIn-000000880</t>
  </si>
  <si>
    <t>835.0000000000000000</t>
  </si>
  <si>
    <t>265/OFFICIAL</t>
  </si>
  <si>
    <t>000000265/OR-FW</t>
  </si>
  <si>
    <t>836.0000000000000000</t>
  </si>
  <si>
    <t>CIB_EG_CA-8</t>
  </si>
  <si>
    <t>NR-000000892</t>
  </si>
  <si>
    <t>122201|1201|012|001|002|101004569|101004569||||FREEHAND|4029|Payable|||IMPORT||||</t>
  </si>
  <si>
    <t>O25-IMP-OC-695|‏ME_Q-20250108204-IMP-FCL‎|‏Sl-000014‎|‏Ag-000213‎|‏MEDYILALY002363‎|‏‎|‏‎|‏‎|‏‎|‏MEDKON ANKARA‎|‏TRIST Istanbul Port‎|‏EGALY Alexandria, Egypt (old)‎|‏‎|‏‎|‏‎|‏‎|‏‎|‏19/01/2025‎|‏31/01/2025‎</t>
  </si>
  <si>
    <t>1531/INV</t>
  </si>
  <si>
    <t>000001531/Invoice</t>
  </si>
  <si>
    <t>544101992</t>
  </si>
  <si>
    <t>837.0000000000000000</t>
  </si>
  <si>
    <t>838.0000000000000000</t>
  </si>
  <si>
    <t>Airport EG-72</t>
  </si>
  <si>
    <t>CashIn-000000881</t>
  </si>
  <si>
    <t>|1101|011|001|004|101004600|101004600||||5026|4008|Payable|||IMPORT||||</t>
  </si>
  <si>
    <t>O25-IMP-AI-420|‏ME_Q-20250107606-IMP-AI‎|‏‎|‏‎|‏‎|‏‎|‏‎|‏‎|‏‎|‏‎|‏CNSHA Shanghai‎|‏CAI CAIRO‎|‏‎|‏‎|‏‎|‏‎|‏‎|‏12/01/2025‎|‏31/01/2025‎</t>
  </si>
  <si>
    <t>839.0000000000000000</t>
  </si>
  <si>
    <t>101004600</t>
  </si>
  <si>
    <t>342609289</t>
  </si>
  <si>
    <t>331/OFFICIAL</t>
  </si>
  <si>
    <t>000000331/OR-FW</t>
  </si>
  <si>
    <t>840.0000000000000000</t>
  </si>
  <si>
    <t>CIB_EG_CA-5</t>
  </si>
  <si>
    <t>BankIn-000000893</t>
  </si>
  <si>
    <t>|1301|013|001|001|101001927|101001927||||3038|3336|Collect|||IMPORT||||</t>
  </si>
  <si>
    <t>O25-IMP-OC-500|‏ME_Q-20250108171-IMP-LCL‎|‏Sl-000002‎|‏RP-000001‎|‏‎|‏‎|‏‎|‏‎|‏‎|‏CMA CGM LOIRE‎|‏CNSZX Shenzhen‎|‏696 ALEXANDRIA‎|‏14/01/2025‎|‏‎|‏14/01/2025‎|‏‎|‏‎|‏14/01/2025‎|‏‎</t>
  </si>
  <si>
    <t>841.0000000000000000</t>
  </si>
  <si>
    <t>101001927</t>
  </si>
  <si>
    <t>200121995</t>
  </si>
  <si>
    <t>1287/THC</t>
  </si>
  <si>
    <t>000001287/Invoice</t>
  </si>
  <si>
    <t>842.0000000000000000</t>
  </si>
  <si>
    <t>1288/NAFEZA SERVICE</t>
  </si>
  <si>
    <t>000001288/Invoice</t>
  </si>
  <si>
    <t>843.0000000000000000</t>
  </si>
  <si>
    <t>CIB_US_CA-6</t>
  </si>
  <si>
    <t>BankIn-000000894</t>
  </si>
  <si>
    <t>844.0000000000000000</t>
  </si>
  <si>
    <t>126/مطالبة نولون محصلة لصالح الغير</t>
  </si>
  <si>
    <t>000000126/OF-FW</t>
  </si>
  <si>
    <t>845.0000000000000000</t>
  </si>
  <si>
    <t>CIB_EG_CA-6</t>
  </si>
  <si>
    <t>NR-000000895</t>
  </si>
  <si>
    <t>|1301|013|001|001|101000501|101000501||||3075|3336|Collect|||IMPORT||||</t>
  </si>
  <si>
    <t>O25-IMP-OC-360|‏ME_Q-20250107867-IMP-LCL‎|‏Sl-000016‎|‏RP-000001‎|‏‎|‏‎|‏‎|‏‎|‏‎|‏TURKON EGYPT‎|‏USSAV Savannah‎|‏696 ALEXANDRIA‎|‏‎|‏‎|‏15/01/2025‎|‏‎|‏‎|‏11/01/2025‎|‏‎</t>
  </si>
  <si>
    <t>1173/NAFEZA SERVICE</t>
  </si>
  <si>
    <t>000001173/Invoice</t>
  </si>
  <si>
    <t>542257993</t>
  </si>
  <si>
    <t>846.0000000000000000</t>
  </si>
  <si>
    <t>122201|1301|013|001|001|101000501|101000501||||3075|3336|Collect|||IMPORT||||</t>
  </si>
  <si>
    <t>1174/THC</t>
  </si>
  <si>
    <t>000001174/Invoice</t>
  </si>
  <si>
    <t>847.0000000000000000</t>
  </si>
  <si>
    <t>848.0000000000000000</t>
  </si>
  <si>
    <t>QNB_EG_CA1-5</t>
  </si>
  <si>
    <t>BankIn-000000896</t>
  </si>
  <si>
    <t>|1301|013|001|001|101000547|101000547||||4051|3336|Collect|||IMPORT||||</t>
  </si>
  <si>
    <t>O25-IMP-OC-724|‏ME_Q-20241002499-IMP-LCL‎|‏RP-000001‎|‏RP-000001‎|‏‎|‏‎|‏‎|‏‎|‏‎|‏CMA CGM LISA MARIE-‎|‏CNSHA Shanghai‎|‏696 ALEXANDRIA‎|‏‎|‏‎|‏16/01/2025‎|‏‎|‏‎|‏19/01/2025‎|‏‎</t>
  </si>
  <si>
    <t>849.0000000000000000</t>
  </si>
  <si>
    <t>101000547</t>
  </si>
  <si>
    <t>677358490</t>
  </si>
  <si>
    <t>1360/NAFEZA SERVICE</t>
  </si>
  <si>
    <t>000001360/Invoice</t>
  </si>
  <si>
    <t>850.0000000000000000</t>
  </si>
  <si>
    <t>1361/THC</t>
  </si>
  <si>
    <t>000001361/Invoice</t>
  </si>
  <si>
    <t>851.0000000000000000</t>
  </si>
  <si>
    <t>QNB_US_CA1-3</t>
  </si>
  <si>
    <t>BankIn-000000897</t>
  </si>
  <si>
    <t>852.0000000000000000</t>
  </si>
  <si>
    <t>149/مطالبة نولون محصلة لصالح الغير</t>
  </si>
  <si>
    <t>000000149/OF-FW</t>
  </si>
  <si>
    <t>853.0000000000000000</t>
  </si>
  <si>
    <t>ALEXHO US-9</t>
  </si>
  <si>
    <t>CashIn-000000901</t>
  </si>
  <si>
    <t>|1301|013|001|001|101004566|101004566||||3038|3336|Collect|||IMPORT||||</t>
  </si>
  <si>
    <t>O25-IMP-OC-500|‏ME_Q-20241206476-IMP-LCL‎|‏Sl-000002‎|‏RP-000001‎|‏‎|‏‎|‏‎|‏‎|‏‎|‏CMA CGM LOIRE‎|‏CNSZX Shenzhen‎|‏696 ALEXANDRIA‎|‏14/01/2025‎|‏‎|‏14/01/2025‎|‏‎|‏‎|‏14/01/2025‎|‏‎</t>
  </si>
  <si>
    <t>854.0000000000000000</t>
  </si>
  <si>
    <t>101004566</t>
  </si>
  <si>
    <t>489581870</t>
  </si>
  <si>
    <t>98/مطالبة نولون محصلة لصالح الغير</t>
  </si>
  <si>
    <t>000000098/OF-FW</t>
  </si>
  <si>
    <t>855.0000000000000000</t>
  </si>
  <si>
    <t>CCC EG-3</t>
  </si>
  <si>
    <t>BankIn-000000902</t>
  </si>
  <si>
    <t>856.0000000000000000</t>
  </si>
  <si>
    <t>1264/INV</t>
  </si>
  <si>
    <t>000001264/Invoice</t>
  </si>
  <si>
    <t>857.0000000000000000</t>
  </si>
  <si>
    <t>ALEXHO EG-146</t>
  </si>
  <si>
    <t>CashIn-000000903</t>
  </si>
  <si>
    <t>858.0000000000000000</t>
  </si>
  <si>
    <t>1044/THC</t>
  </si>
  <si>
    <t>000001044/Invoice</t>
  </si>
  <si>
    <t>859.0000000000000000</t>
  </si>
  <si>
    <t>ALEXHO EG-147</t>
  </si>
  <si>
    <t>CashIn-000000904</t>
  </si>
  <si>
    <t>860.0000000000000000</t>
  </si>
  <si>
    <t>1045/NAFEZA SERVICE</t>
  </si>
  <si>
    <t>000001045/Invoice</t>
  </si>
  <si>
    <t>861.0000000000000000</t>
  </si>
  <si>
    <t>ALEXHO EG-148</t>
  </si>
  <si>
    <t>CashIn-000000905</t>
  </si>
  <si>
    <t>O25-IMP-OC-285|‏ME_Q-20250107709-IMP-LCL‎|‏Sl-000014‎|‏Ag-000203‎|‏MEDMARALY010433‎|‏‎|‏‎|‏‎|‏‎|‏MEDKON MIRA‎|‏TRMAD MARDAS‎|‏EGALY Alexandria, Egypt (old)‎|‏11/01/2025‎|‏‎|‏11/01/2025‎|‏‎|‏‎|‏08/01/2025‎|‏31/01/2025‎</t>
  </si>
  <si>
    <t>146/مطالبة نولون محصلة لصالح الغير</t>
  </si>
  <si>
    <t>862.0000000000000000</t>
  </si>
  <si>
    <t>101000160</t>
  </si>
  <si>
    <t>|1301|013|001|001|101000160||||||||||IMPORT||||</t>
  </si>
  <si>
    <t>428053718</t>
  </si>
  <si>
    <t>863.0000000000000000</t>
  </si>
  <si>
    <t>421103|1301|013|001|001|101000160||||||||||IMPORT||||</t>
  </si>
  <si>
    <t>864.0000000000000000</t>
  </si>
  <si>
    <t>ALEXHO EG-149</t>
  </si>
  <si>
    <t>CashIn-000000906</t>
  </si>
  <si>
    <t>|1301|013|001|001|101000160|101000160||||3038|3336|Collect|||IMPORT||||</t>
  </si>
  <si>
    <t>865.0000000000000000</t>
  </si>
  <si>
    <t>1350/THC</t>
  </si>
  <si>
    <t>000001350/Invoice</t>
  </si>
  <si>
    <t>866.0000000000000000</t>
  </si>
  <si>
    <t>ALEXHO EG-150</t>
  </si>
  <si>
    <t>CashIn-000000907</t>
  </si>
  <si>
    <t>867.0000000000000000</t>
  </si>
  <si>
    <t>1349/NAFEZA SERVICE</t>
  </si>
  <si>
    <t>000001349/Invoice</t>
  </si>
  <si>
    <t>868.0000000000000000</t>
  </si>
  <si>
    <t>Merghem EG-9</t>
  </si>
  <si>
    <t>CashIn-000000908</t>
  </si>
  <si>
    <t>|1302|013|001|001|101000358|101000358||||3038|3336|Collect|||IMPORT||||</t>
  </si>
  <si>
    <t>869.0000000000000000</t>
  </si>
  <si>
    <t>1345/STOR   IMPORT ALEX</t>
  </si>
  <si>
    <t>000001345/Invoice</t>
  </si>
  <si>
    <t>870.0000000000000000</t>
  </si>
  <si>
    <t>Merghem EG-10</t>
  </si>
  <si>
    <t>CashIn-000000910</t>
  </si>
  <si>
    <t>|1302|013|001|001|101000280|101000280||||3038|3208|Collect|||IMPORT||||</t>
  </si>
  <si>
    <t>871.0000000000000000</t>
  </si>
  <si>
    <t>1346/STOR   IMPORT ALEX</t>
  </si>
  <si>
    <t>000001346/Invoice</t>
  </si>
  <si>
    <t>872.0000000000000000</t>
  </si>
  <si>
    <t>ALEXHO EG-151</t>
  </si>
  <si>
    <t>CashIn-000000912</t>
  </si>
  <si>
    <t>|1301|013|001|001|101000479|101000479||||3031|3336|Collect|||IMPORT||||</t>
  </si>
  <si>
    <t>O25-IMP-OC-505|‏ME_Q-20250107645-IMP-LCL‎|‏Sl-000016‎|‏RP-000001‎|‏‎|‏‎|‏‎|‏‎|‏‎|‏TURKON EGYPT‎|‏NY NEW YORK‎|‏696 ALEXANDRIA‎|‏‎|‏‎|‏15/01/2025‎|‏‎|‏‎|‏14/01/2025‎|‏‎</t>
  </si>
  <si>
    <t>873.0000000000000000</t>
  </si>
  <si>
    <t>101000479</t>
  </si>
  <si>
    <t>200191136</t>
  </si>
  <si>
    <t>1308/THC</t>
  </si>
  <si>
    <t>000001308/Invoice</t>
  </si>
  <si>
    <t>874.0000000000000000</t>
  </si>
  <si>
    <t>ALEXHO EG-152</t>
  </si>
  <si>
    <t>CashIn-000000913</t>
  </si>
  <si>
    <t>|1301|013|001|001|101000479|101000479||||3031|3208|Collect|||IMPORT||||</t>
  </si>
  <si>
    <t>O25-IMP-OC-571|‏ME_Q-20241103979-IMP-LCL‎|‏RP-000007‎|‏RP-000001‎|‏‎|‏‎|‏‎|‏‎|‏‎|‏MSC EAGLE III‎|‏FRFOS Fos-sur-Mer‎|‏696 ALEXANDRIA‎|‏‎|‏30/12/2024‎|‏17/01/2025‎|‏‎|‏‎|‏15/01/2025‎|‏31/01/2025‎</t>
  </si>
  <si>
    <t>875.0000000000000000</t>
  </si>
  <si>
    <t>1310/THC</t>
  </si>
  <si>
    <t>000001310/Invoice</t>
  </si>
  <si>
    <t>876.0000000000000000</t>
  </si>
  <si>
    <t>ALEXHO EG-153</t>
  </si>
  <si>
    <t>CashIn-000000914</t>
  </si>
  <si>
    <t>877.0000000000000000</t>
  </si>
  <si>
    <t>1307/NAFEZA SERVICE</t>
  </si>
  <si>
    <t>000001307/Invoice</t>
  </si>
  <si>
    <t>878.0000000000000000</t>
  </si>
  <si>
    <t>ALEXHO EG-154</t>
  </si>
  <si>
    <t>CashIn-000000915</t>
  </si>
  <si>
    <t>879.0000000000000000</t>
  </si>
  <si>
    <t>1309/NAFEZA SERVICE</t>
  </si>
  <si>
    <t>000001309/Invoice</t>
  </si>
  <si>
    <t>880.0000000000000000</t>
  </si>
  <si>
    <t>ALEXHO EG-155</t>
  </si>
  <si>
    <t>CashIn-000000942</t>
  </si>
  <si>
    <t>|1301|013|001|001|101000142|101000142||||3075|3336|Collect|||IMPORT||||</t>
  </si>
  <si>
    <t>O25-IMP-OC-285|‏ME_Q-20241206007-IMP-LCL‎|‏Sl-000014‎|‏Ag-000203‎|‏MEDMARALY010433‎|‏‎|‏‎|‏‎|‏‎|‏MEDKON MIRA‎|‏TRMAD MARDAS‎|‏EGALY Alexandria, Egypt (old)‎|‏11/01/2025‎|‏‎|‏11/01/2025‎|‏‎|‏‎|‏08/01/2025‎|‏31/01/2025‎</t>
  </si>
  <si>
    <t>881.0000000000000000</t>
  </si>
  <si>
    <t>101000142</t>
  </si>
  <si>
    <t>205084834</t>
  </si>
  <si>
    <t>1415/THC</t>
  </si>
  <si>
    <t>000001415/Invoice</t>
  </si>
  <si>
    <t>882.0000000000000000</t>
  </si>
  <si>
    <t>ALEXHO EG-156</t>
  </si>
  <si>
    <t>CashIn-000000943</t>
  </si>
  <si>
    <t>883.0000000000000000</t>
  </si>
  <si>
    <t>1414/NAFEZA SERVICE</t>
  </si>
  <si>
    <t>000001414/Invoice</t>
  </si>
  <si>
    <t>884.0000000000000000</t>
  </si>
  <si>
    <t>POS_EG-25</t>
  </si>
  <si>
    <t>POS-000000945</t>
  </si>
  <si>
    <t>155/مطالبة نولون محصلة لصالح الغير</t>
  </si>
  <si>
    <t>885.0000000000000000</t>
  </si>
  <si>
    <t>|1301|013|001|001|101000546||||||||||IMPORT||||</t>
  </si>
  <si>
    <t>886.0000000000000000</t>
  </si>
  <si>
    <t>421103|1301|013|001|001|101000546||||||||||IMPORT||||</t>
  </si>
  <si>
    <t>887.0000000000000000</t>
  </si>
  <si>
    <t>PSD EG-86</t>
  </si>
  <si>
    <t>CashIn-000000947</t>
  </si>
  <si>
    <t>|1302|013|001|005|101000173|101000173||||3038|5013|Collect|||IMPORT||||</t>
  </si>
  <si>
    <t>888.0000000000000000</t>
  </si>
  <si>
    <t>1494/STOR IMPORT PSD</t>
  </si>
  <si>
    <t>000001494/Invoice</t>
  </si>
  <si>
    <t>889.0000000000000000</t>
  </si>
  <si>
    <t>PSD EG-87</t>
  </si>
  <si>
    <t>CashIn-000000948</t>
  </si>
  <si>
    <t>|1401|014|001|005|101000173|101000173||||3038|5013|Collect|||IMPORT||||</t>
  </si>
  <si>
    <t>890.0000000000000000</t>
  </si>
  <si>
    <t>1493/G3ALA INVOICE PSD</t>
  </si>
  <si>
    <t>000001493/Invoice</t>
  </si>
  <si>
    <t>891.0000000000000000</t>
  </si>
  <si>
    <t>ALEXHO EG-157</t>
  </si>
  <si>
    <t>CashIn-000000974</t>
  </si>
  <si>
    <t>|1301|013|001|001|101000205|101000205||||3075|3336|Collect|||IMPORT||||</t>
  </si>
  <si>
    <t>O25-IMP-OC-500|‏ME_Q-20250108142-IMP-LCL‎|‏Sl-000002‎|‏RP-000001‎|‏‎|‏‎|‏‎|‏‎|‏‎|‏CMA CGM LOIRE‎|‏CNSZX Shenzhen‎|‏696 ALEXANDRIA‎|‏14/01/2025‎|‏‎|‏14/01/2025‎|‏‎|‏‎|‏14/01/2025‎|‏‎</t>
  </si>
  <si>
    <t>892.0000000000000000</t>
  </si>
  <si>
    <t>1122/THC</t>
  </si>
  <si>
    <t>000001122/Invoice</t>
  </si>
  <si>
    <t>893.0000000000000000</t>
  </si>
  <si>
    <t>ALEXHO EG-158</t>
  </si>
  <si>
    <t>CashIn-000000975</t>
  </si>
  <si>
    <t>894.0000000000000000</t>
  </si>
  <si>
    <t>1121/NAFEZA SERVICE</t>
  </si>
  <si>
    <t>000001121/Invoice</t>
  </si>
  <si>
    <t>895.0000000000000000</t>
  </si>
  <si>
    <t>Merghem EG-11</t>
  </si>
  <si>
    <t>CashIn-000000976</t>
  </si>
  <si>
    <t>|1302|013|001|001|101001545|101001545||||3038|3336|Collect|||IMPORT||||</t>
  </si>
  <si>
    <t>896.0000000000000000</t>
  </si>
  <si>
    <t>1530/STOR   IMPORT ALEX</t>
  </si>
  <si>
    <t>000001530/Invoice</t>
  </si>
  <si>
    <t>897.0000000000000000</t>
  </si>
  <si>
    <t>ALEXHO EG-159</t>
  </si>
  <si>
    <t>CashIn-000000978</t>
  </si>
  <si>
    <t>|1301|013|001|001|101000968|101000968||||3076|3336|Collect|||IMPORT||||</t>
  </si>
  <si>
    <t>O25-IMP-OC-241|‏ME_Q-20250108464-IMP-LCL‎|‏Sl-000016‎|‏Ag-000163‎|‏10166256‎|‏‎|‏‎|‏‎|‏‎|‏TURKON EGYPT‎|‏TRKMX KUMPORT‎|‏EGALY Alexandria, Egypt (old)‎|‏14/01/2025‎|‏‎|‏14/01/2025‎|‏‎|‏‎|‏08/01/2025‎|‏31/01/2025‎</t>
  </si>
  <si>
    <t>898.0000000000000000</t>
  </si>
  <si>
    <t>101000968</t>
  </si>
  <si>
    <t>577283464</t>
  </si>
  <si>
    <t>1365/THC</t>
  </si>
  <si>
    <t>000001365/Invoice</t>
  </si>
  <si>
    <t>899.0000000000000000</t>
  </si>
  <si>
    <t>ALEXHO EG-160</t>
  </si>
  <si>
    <t>CashIn-000000979</t>
  </si>
  <si>
    <t>900.0000000000000000</t>
  </si>
  <si>
    <t>1364/NAFEZA SERVICE</t>
  </si>
  <si>
    <t>000001364/Invoice</t>
  </si>
  <si>
    <t>901.0000000000000000</t>
  </si>
  <si>
    <t>NBE_EG_CA-2</t>
  </si>
  <si>
    <t>NR-000000996</t>
  </si>
  <si>
    <t>2025-01-21</t>
  </si>
  <si>
    <t>|1301|013|001|001|101000016|101000016||||3076|3208|Collect|||IMPORT||||</t>
  </si>
  <si>
    <t>O25-IMP-OC-482|‏ME_Q-20241205353-IMP-LCL‎|‏Sl-000011‎|‏RP-000001‎|‏‎|‏‎|‏‎|‏‎|‏‎|‏MSC MADELEINE‎|‏LONDON LHR‎|‏696 ALEXANDRIA‎|‏14/01/2025‎|‏24/12/2024‎|‏14/01/2025‎|‏‎|‏‎|‏13/01/2025‎|‏‎</t>
  </si>
  <si>
    <t>1054/THC</t>
  </si>
  <si>
    <t>000001054/Invoice</t>
  </si>
  <si>
    <t>20068500933751</t>
  </si>
  <si>
    <t>902.0000000000000000</t>
  </si>
  <si>
    <t>122201|1301|013|001|001|101000016|101000016||||3076|3208|Collect|||IMPORT||||</t>
  </si>
  <si>
    <t>1055/NAFEZA SERVICE</t>
  </si>
  <si>
    <t>000001055/Invoice</t>
  </si>
  <si>
    <t>903.0000000000000000</t>
  </si>
  <si>
    <t>904.0000000000000000</t>
  </si>
  <si>
    <t>HSBC_EG_CA-2</t>
  </si>
  <si>
    <t>BankIn-000000997</t>
  </si>
  <si>
    <t>|1301|013|001|001|101003466|101003466||||KEYACCOUNT|3336|Collect|||IMPORT||||</t>
  </si>
  <si>
    <t>O25-IMP-OC-558|‏ME_Q-20250108208-IMP-LCL‎|‏Sl-000036‎|‏Ag-000153‎|‏OOLU8897938810‎|‏‎|‏‎|‏‎|‏‎|‏CMA CGM LISA MARIE-‎|‏CNSHA Shanghai‎|‏EGALY Alexandria, Egypt (old)‎|‏16/01/2025‎|‏‎|‏16/01/2025‎|‏‎|‏‎|‏15/01/2025‎|‏31/01/2025‎</t>
  </si>
  <si>
    <t>905.0000000000000000</t>
  </si>
  <si>
    <t>101003466</t>
  </si>
  <si>
    <t>506679799</t>
  </si>
  <si>
    <t>1169/NAFEZA SERVICE</t>
  </si>
  <si>
    <t>000001169/Invoice</t>
  </si>
  <si>
    <t>906.0000000000000000</t>
  </si>
  <si>
    <t>1170/THC</t>
  </si>
  <si>
    <t>000001170/Invoice</t>
  </si>
  <si>
    <t>907.0000000000000000</t>
  </si>
  <si>
    <t>HSBC_US_CA-1</t>
  </si>
  <si>
    <t>BankIn-000000998</t>
  </si>
  <si>
    <t>908.0000000000000000</t>
  </si>
  <si>
    <t>123/مطالبة نولون محصلة لصالح الغير</t>
  </si>
  <si>
    <t>000000123/OF-FW</t>
  </si>
  <si>
    <t>909.0000000000000000</t>
  </si>
  <si>
    <t>HSBC_GB_CA-1</t>
  </si>
  <si>
    <t>NR-000000999</t>
  </si>
  <si>
    <t>122204|1301|013|001|001|101000170|101000170||||3038|3336|Collect|||IMPORT||||</t>
  </si>
  <si>
    <t>O25-IMP-OC-482|‏ME_Q-20241205819-IMP-LCL‎|‏Sl-000011‎|‏RP-000001‎|‏‎|‏‎|‏‎|‏‎|‏‎|‏MSC MADELEINE‎|‏LONDON LHR‎|‏696 ALEXANDRIA‎|‏14/01/2025‎|‏24/12/2024‎|‏14/01/2025‎|‏‎|‏‎|‏20/01/2025‎|‏‎</t>
  </si>
  <si>
    <t>GBP</t>
  </si>
  <si>
    <t>169/مطالبة نولون محصلة لصالح الغير</t>
  </si>
  <si>
    <t>000000169/OF-FW</t>
  </si>
  <si>
    <t>HSBC-GB-CA</t>
  </si>
  <si>
    <t>105117</t>
  </si>
  <si>
    <t>910.0000000000000000</t>
  </si>
  <si>
    <t>911.0000000000000000</t>
  </si>
  <si>
    <t>Airport EG-73</t>
  </si>
  <si>
    <t>CashIn-000000992</t>
  </si>
  <si>
    <t>O25-IMP-AI-834|‏‎|‏Al-000014‎|‏‎|‏020-25LYS00070‎|‏‎|‏‎|‏‎|‏‎|‏‎|‏LYS LYON‎|‏CAI CAIRO‎|‏‎|‏‎|‏20/01/2025‎|‏‎|‏‎|‏21/01/2025‎|‏31/01/2025‎</t>
  </si>
  <si>
    <t>912.0000000000000000</t>
  </si>
  <si>
    <t>1614/INV</t>
  </si>
  <si>
    <t>000001614/Invoice</t>
  </si>
  <si>
    <t>913.0000000000000000</t>
  </si>
  <si>
    <t>Airport EG-74</t>
  </si>
  <si>
    <t>CashIn-000000993</t>
  </si>
  <si>
    <t>914.0000000000000000</t>
  </si>
  <si>
    <t>362/OFFICIAL</t>
  </si>
  <si>
    <t>000000362/OR-FW</t>
  </si>
  <si>
    <t>915.0000000000000000</t>
  </si>
  <si>
    <t>POS_EG-27</t>
  </si>
  <si>
    <t>POS-000001000</t>
  </si>
  <si>
    <t>|1301|013|001|001|101000062|101000062||||3068|3208|Collect|||IMPORT||||</t>
  </si>
  <si>
    <t>O25-IMP-OC-571|‏ME_Q-20250108646-IMP-LCL‎|‏RP-000007‎|‏RP-000001‎|‏‎|‏‎|‏‎|‏‎|‏‎|‏MSC EAGLE III‎|‏FRFOS Fos-sur-Mer‎|‏696 ALEXANDRIA‎|‏‎|‏30/12/2024‎|‏17/01/2025‎|‏‎|‏‎|‏15/01/2025‎|‏31/01/2025‎</t>
  </si>
  <si>
    <t>916.0000000000000000</t>
  </si>
  <si>
    <t>101000062</t>
  </si>
  <si>
    <t>202445690</t>
  </si>
  <si>
    <t>1608/NAFEZA SERVICE</t>
  </si>
  <si>
    <t>000001608/Invoice</t>
  </si>
  <si>
    <t>917.0000000000000000</t>
  </si>
  <si>
    <t>1609/THC</t>
  </si>
  <si>
    <t>000001609/Invoice</t>
  </si>
  <si>
    <t>918.0000000000000000</t>
  </si>
  <si>
    <t>CIB_EU_CA-3</t>
  </si>
  <si>
    <t>NR-000001001</t>
  </si>
  <si>
    <t>122203|1301|013|001|001|101000062|101000062||||3068|3208|Collect|||IMPORT||||</t>
  </si>
  <si>
    <t>175/مطالبة نولون محصلة لصالح الغير</t>
  </si>
  <si>
    <t>000000175/OF-FW</t>
  </si>
  <si>
    <t>740195</t>
  </si>
  <si>
    <t>919.0000000000000000</t>
  </si>
  <si>
    <t>920.0000000000000000</t>
  </si>
  <si>
    <t>QNB_EU_CA1-4</t>
  </si>
  <si>
    <t>BankIn-000001002</t>
  </si>
  <si>
    <t>|1301|013|001|001|101000680|101000680||||3075|3208|Collect|||IMPORT||||</t>
  </si>
  <si>
    <t>O25-IMP-OC-409|‏ME_Q-20241104770-IMP-LCL‎|‏Sl-000079‎|‏RP-000001‎|‏‎|‏‎|‏‎|‏‎|‏‎|‏MAERSK NUBA‎|‏ESBCN Barcelona‎|‏696 ALEXANDRIA‎|‏14/01/2025‎|‏09/01/2025‎|‏14/01/2025‎|‏‎|‏‎|‏12/01/2025‎|‏‎</t>
  </si>
  <si>
    <t>921.0000000000000000</t>
  </si>
  <si>
    <t>101000680</t>
  </si>
  <si>
    <t>703633325</t>
  </si>
  <si>
    <t>106/مطالبة نولون محصلة لصالح الغير</t>
  </si>
  <si>
    <t>000000106/OF-FW</t>
  </si>
  <si>
    <t>922.0000000000000000</t>
  </si>
  <si>
    <t>POS_EG-29</t>
  </si>
  <si>
    <t>POS-000001003</t>
  </si>
  <si>
    <t>|1301|013|001|001|101000590|101000590||||3075|3208|Collect|||IMPORT||||</t>
  </si>
  <si>
    <t>O25-IMP-OC-409|‏ME_Q-20241205960-IMP-LCL‎|‏Sl-000079‎|‏RP-000001‎|‏‎|‏‎|‏‎|‏‎|‏‎|‏MAERSK NUBA‎|‏ESBCN Barcelona‎|‏696 ALEXANDRIA‎|‏14/01/2025‎|‏09/01/2025‎|‏14/01/2025‎|‏‎|‏‎|‏12/01/2025‎|‏‎</t>
  </si>
  <si>
    <t>923.0000000000000000</t>
  </si>
  <si>
    <t>101000590</t>
  </si>
  <si>
    <t>504725718</t>
  </si>
  <si>
    <t>1612/NAFEZA SERVICE</t>
  </si>
  <si>
    <t>000001612/Invoice</t>
  </si>
  <si>
    <t>924.0000000000000000</t>
  </si>
  <si>
    <t>1613/THC</t>
  </si>
  <si>
    <t>000001613/Invoice</t>
  </si>
  <si>
    <t>925.0000000000000000</t>
  </si>
  <si>
    <t>POS_EG-31</t>
  </si>
  <si>
    <t>POS-000001004</t>
  </si>
  <si>
    <t>|1201|012|001|001|101001351|101001351||||3038|3136|Payable|||IMPORT||||</t>
  </si>
  <si>
    <t>O25-IMP-OC-223|‏ME_Q-20250106959-IMP-FCL‎|‏Sl-000004‎|‏Ag-000130‎|‏BCN000007516‎|‏‎|‏‎|‏‎|‏‎|‏‎|‏ESBCN Barcelona‎|‏EGALY Alexandria, Egypt (old)‎|‏‎|‏‎|‏‎|‏‎|‏‎|‏06/01/2025‎|‏31/01/2025‎</t>
  </si>
  <si>
    <t>926.0000000000000000</t>
  </si>
  <si>
    <t>101001351</t>
  </si>
  <si>
    <t>204962439</t>
  </si>
  <si>
    <t>1619/INV</t>
  </si>
  <si>
    <t>000001619/Invoice</t>
  </si>
  <si>
    <t>927.0000000000000000</t>
  </si>
  <si>
    <t>POS_EG-32</t>
  </si>
  <si>
    <t>POS-000001005</t>
  </si>
  <si>
    <t>|1302|013|001|001|101000283|101000283||||3038|3208|Collect|||IMPORT||||</t>
  </si>
  <si>
    <t>928.0000000000000000</t>
  </si>
  <si>
    <t>1633/STOR   IMPORT ALEX</t>
  </si>
  <si>
    <t>000001633/Invoice</t>
  </si>
  <si>
    <t>929.0000000000000000</t>
  </si>
  <si>
    <t>AAIB_US_CA-1</t>
  </si>
  <si>
    <t>BankIn-000001006</t>
  </si>
  <si>
    <t>AAIB-US-CA</t>
  </si>
  <si>
    <t>|1301|013|001|001|101000654|101000654||||3076|3336|Collect|||IMPORT||||</t>
  </si>
  <si>
    <t>930.0000000000000000</t>
  </si>
  <si>
    <t>101000654</t>
  </si>
  <si>
    <t>210325313</t>
  </si>
  <si>
    <t>145/مطالبة نولون محصلة لصالح الغير</t>
  </si>
  <si>
    <t>000000145/OF-FW</t>
  </si>
  <si>
    <t>931.0000000000000000</t>
  </si>
  <si>
    <t>POS_EG-34</t>
  </si>
  <si>
    <t>POS-000001007</t>
  </si>
  <si>
    <t>|1201|012|001|001|101000172|101000172||||3038|3039|Payable|||IMPORT||||</t>
  </si>
  <si>
    <t>O25-IMP-OC-510|‏ME_Q-20250107743-IMP-FCL‎|‏Sl-000010‎|‏Ag-000163‎|‏CKYAMBALY73702‎|‏‎|‏‎|‏‎|‏‎|‏‎|‏TRIST Istanbul Port‎|‏EGALY Alexandria, Egypt (old)‎|‏‎|‏‎|‏‎|‏‎|‏‎|‏14/01/2025‎|‏31/01/2025‎</t>
  </si>
  <si>
    <t>932.0000000000000000</t>
  </si>
  <si>
    <t>101000172</t>
  </si>
  <si>
    <t>205045502</t>
  </si>
  <si>
    <t>1634/INV</t>
  </si>
  <si>
    <t>000001634/Invoice</t>
  </si>
  <si>
    <t>933.0000000000000000</t>
  </si>
  <si>
    <t>POS_EG-35</t>
  </si>
  <si>
    <t>POS-000001008</t>
  </si>
  <si>
    <t>|1201|012|001|001|101000281|101000281||||3038|3136|Payable|||IMPORT||||</t>
  </si>
  <si>
    <t>O25-IMP-OC-222|‏ME_Q-20250106961-IMP-FCL‎|‏Sl-000004‎|‏Ag-000130‎|‏‎|‏‎|‏‎|‏‎|‏‎|‏‎|‏ESBCN Barcelona‎|‏EGALY Alexandria, Egypt (old)‎|‏‎|‏‎|‏‎|‏‎|‏‎|‏06/01/2025‎|‏31/01/2025‎</t>
  </si>
  <si>
    <t>934.0000000000000000</t>
  </si>
  <si>
    <t>101000281</t>
  </si>
  <si>
    <t>347307523</t>
  </si>
  <si>
    <t>1643/INV</t>
  </si>
  <si>
    <t>000001643/Invoice</t>
  </si>
  <si>
    <t>935.0000000000000000</t>
  </si>
  <si>
    <t>CIB_EG_CA-9</t>
  </si>
  <si>
    <t>NR-000001009</t>
  </si>
  <si>
    <t>122201|1301|013|001|001|101000047|101000047||||MESCO LCL PSD SALES|3336|Collect|||IMPORT||||</t>
  </si>
  <si>
    <t>O24-IMP-OC-2|‏ME_Q-20250108248-IMP-LCL‎|‏Sl-000007‎|‏Ag-000010‎|‏EGLV142403893537‎|‏‎|‏‎|‏‎|‏‎|‏CMA CGM LISA MARIE-‎|‏CNSHA Shanghai‎|‏EGALY Alexandria, Egypt (old)‎|‏16/01/2025‎|‏‎|‏16/01/2025‎|‏‎|‏‎|‏05/01/2025‎|‏31/01/2025‎</t>
  </si>
  <si>
    <t>1274/NAFEZA SERVICE</t>
  </si>
  <si>
    <t>000001274/Invoice</t>
  </si>
  <si>
    <t>543858081</t>
  </si>
  <si>
    <t>936.0000000000000000</t>
  </si>
  <si>
    <t>101000047</t>
  </si>
  <si>
    <t>|1301|013|001|001|101000047|101000047||||MESCO LCL PSD SALES|3336|Collect|||IMPORT||||</t>
  </si>
  <si>
    <t>303333766</t>
  </si>
  <si>
    <t>937.0000000000000000</t>
  </si>
  <si>
    <t>CIB_EG_CA-11</t>
  </si>
  <si>
    <t>NR-000001010</t>
  </si>
  <si>
    <t>O24-IMP-OC-2|‏ME_Q-20250108250-IMP-LCL‎|‏Sl-000007‎|‏Ag-000010‎|‏EGLV142403893537‎|‏‎|‏‎|‏‎|‏‎|‏CMA CGM LISA MARIE-‎|‏CNSHA Shanghai‎|‏EGALY Alexandria, Egypt (old)‎|‏16/01/2025‎|‏‎|‏16/01/2025‎|‏‎|‏‎|‏31/12/2024‎|‏31/01/2025‎</t>
  </si>
  <si>
    <t>1267/NAFEZA SERVICE</t>
  </si>
  <si>
    <t>000001267/Invoice</t>
  </si>
  <si>
    <t>938.0000000000000000</t>
  </si>
  <si>
    <t>939.0000000000000000</t>
  </si>
  <si>
    <t>CIB_EG_CA-12</t>
  </si>
  <si>
    <t>NR-000001011</t>
  </si>
  <si>
    <t>O24-IMP-OC-2|‏ME_Q-20250108249-IMP-LCL‎|‏Sl-000007‎|‏Ag-000010‎|‏EGLV142403893537‎|‏‎|‏‎|‏‎|‏‎|‏CMA CGM LISA MARIE-‎|‏CNSHA Shanghai‎|‏EGALY Alexandria, Egypt (old)‎|‏16/01/2025‎|‏‎|‏16/01/2025‎|‏‎|‏‎|‏31/12/2024‎|‏31/01/2025‎</t>
  </si>
  <si>
    <t>1265/NAFEZA SERVICE</t>
  </si>
  <si>
    <t>000001265/Invoice</t>
  </si>
  <si>
    <t>940.0000000000000000</t>
  </si>
  <si>
    <t>941.0000000000000000</t>
  </si>
  <si>
    <t>POS_EG-33</t>
  </si>
  <si>
    <t>POS-000001012</t>
  </si>
  <si>
    <t>O25-IMP-OC-14|‏ME_Q-20241205670-IMP-LCL‎|‏Sl-000004‎|‏RP-000001‎|‏‎|‏‎|‏‎|‏‎|‏‎|‏MAERSK NARMADA‎|‏ITGOA Genoa‎|‏696 ALEXANDRIA‎|‏01/01/2025‎|‏‎|‏01/01/2025‎|‏‎|‏‎|‏01/01/2025‎|‏‎</t>
  </si>
  <si>
    <t>942.0000000000000000</t>
  </si>
  <si>
    <t>1626/NAFEZA SERVICE</t>
  </si>
  <si>
    <t>000001626/Invoice</t>
  </si>
  <si>
    <t>943.0000000000000000</t>
  </si>
  <si>
    <t>1627/THC</t>
  </si>
  <si>
    <t>000001627/Invoice</t>
  </si>
  <si>
    <t>944.0000000000000000</t>
  </si>
  <si>
    <t>HSBC_US_CA-2</t>
  </si>
  <si>
    <t>BankIn-000001013</t>
  </si>
  <si>
    <t>|1301|013|001|001|101001642|101001642||||3038|3336|Collect|||IMPORT||||</t>
  </si>
  <si>
    <t>O25-IMP-OC-241|‏ME_Q-20250107825-IMP-LCL‎|‏Sl-000016‎|‏Ag-000163‎|‏10166256‎|‏‎|‏‎|‏‎|‏‎|‏TURKON EGYPT‎|‏TRKMX KUMPORT‎|‏EGALY Alexandria, Egypt (old)‎|‏14/01/2025‎|‏‎|‏14/01/2025‎|‏‎|‏‎|‏08/01/2025‎|‏31/01/2025‎</t>
  </si>
  <si>
    <t>945.0000000000000000</t>
  </si>
  <si>
    <t>101001642</t>
  </si>
  <si>
    <t>204990688</t>
  </si>
  <si>
    <t>97/مطالبة نولون محصلة لصالح الغير</t>
  </si>
  <si>
    <t>000000097/OF-FW</t>
  </si>
  <si>
    <t>946.0000000000000000</t>
  </si>
  <si>
    <t>CIB_EG_CA-10</t>
  </si>
  <si>
    <t>NR-000001014</t>
  </si>
  <si>
    <t>O25-IMP-OC-427|‏ME_Q-20250108244-IMP-LCL‎|‏Sl-000007‎|‏Ag-000010‎|‏EGLV142403853748‎|‏‎|‏‎|‏‎|‏‎|‏CMA CGM LISA MARIE-‎|‏CNSHA Shanghai‎|‏EGALY Alexandria, Egypt (old)‎|‏‎|‏‎|‏16/01/2025‎|‏‎|‏‎|‏13/01/2025‎|‏31/01/2025‎</t>
  </si>
  <si>
    <t>1254/NAFEZA SERVICE</t>
  </si>
  <si>
    <t>000001254/Invoice</t>
  </si>
  <si>
    <t>947.0000000000000000</t>
  </si>
  <si>
    <t>948.0000000000000000</t>
  </si>
  <si>
    <t>CIB_EG_CA-13</t>
  </si>
  <si>
    <t>NR-000001015</t>
  </si>
  <si>
    <t>O25-IMP-OC-427|‏ME_Q-20250108243-IMP-LCL‎|‏Sl-000007‎|‏Ag-000010‎|‏EGLV142403853748‎|‏‎|‏‎|‏‎|‏‎|‏CMA CGM LISA MARIE-‎|‏CNSHA Shanghai‎|‏EGALY Alexandria, Egypt (old)‎|‏‎|‏‎|‏16/01/2025‎|‏‎|‏‎|‏12/01/2025‎|‏31/01/2025‎</t>
  </si>
  <si>
    <t>1258/NAFEZA SERVICE</t>
  </si>
  <si>
    <t>000001258/Invoice</t>
  </si>
  <si>
    <t>949.0000000000000000</t>
  </si>
  <si>
    <t>950.0000000000000000</t>
  </si>
  <si>
    <t>CIB_EG_CA-14</t>
  </si>
  <si>
    <t>NR-000001016</t>
  </si>
  <si>
    <t>O25-IMP-OC-427|‏ME_Q-20250108246-IMP-LCL‎|‏Sl-000007‎|‏Ag-000010‎|‏EGLV142403853748‎|‏‎|‏‎|‏‎|‏‎|‏CMA CGM LISA MARIE-‎|‏CNSHA Shanghai‎|‏EGALY Alexandria, Egypt (old)‎|‏‎|‏‎|‏16/01/2025‎|‏‎|‏‎|‏13/01/2025‎|‏31/01/2025‎</t>
  </si>
  <si>
    <t>1269/NAFEZA SERVICE</t>
  </si>
  <si>
    <t>000001269/Invoice</t>
  </si>
  <si>
    <t>951.0000000000000000</t>
  </si>
  <si>
    <t>952.0000000000000000</t>
  </si>
  <si>
    <t>POS_EG-26</t>
  </si>
  <si>
    <t>POS-000001017</t>
  </si>
  <si>
    <t>|1301|013|001|001|101000171|101000171||||3038|3336|Collect|||IMPORT||||</t>
  </si>
  <si>
    <t>O25-IMP-OC-385|‏ME_Q-20241001800-IMP-LCL‎|‏Sl-000011‎|‏RP-000001‎|‏‎|‏‎|‏‎|‏‎|‏‎|‏EGY FUTURE‎|‏HKHKG Hong Kong‎|‏696 ALEXANDRIA‎|‏13/01/2025‎|‏‎|‏13/01/2025‎|‏‎|‏‎|‏13/01/2025‎|‏‎</t>
  </si>
  <si>
    <t>953.0000000000000000</t>
  </si>
  <si>
    <t>101000171</t>
  </si>
  <si>
    <t>204987636</t>
  </si>
  <si>
    <t>1601/NAFEZA SERVICE</t>
  </si>
  <si>
    <t>000001601/Invoice</t>
  </si>
  <si>
    <t>954.0000000000000000</t>
  </si>
  <si>
    <t>1602/THC</t>
  </si>
  <si>
    <t>000001602/Invoice</t>
  </si>
  <si>
    <t>955.0000000000000000</t>
  </si>
  <si>
    <t>AUB_US_CA-1</t>
  </si>
  <si>
    <t>BankIn-000001018</t>
  </si>
  <si>
    <t>AUB-US-CA</t>
  </si>
  <si>
    <t>|1301|013|001|001|101000511|101000511||||3076|3336|Collect|||IMPORT||||</t>
  </si>
  <si>
    <t>956.0000000000000000</t>
  </si>
  <si>
    <t>101000511</t>
  </si>
  <si>
    <t>567598918</t>
  </si>
  <si>
    <t>150/مطالبة نولون محصلة لصالح الغير</t>
  </si>
  <si>
    <t>000000150/OF-FW</t>
  </si>
  <si>
    <t>957.0000000000000000</t>
  </si>
  <si>
    <t>NBD_US_CA-3</t>
  </si>
  <si>
    <t>BankIn-000001019</t>
  </si>
  <si>
    <t>|1301|013|001|001|101001599|101001599||||3076|3336|Collect|||IMPORT||||</t>
  </si>
  <si>
    <t>O25-IMP-OC-500|‏ME_Q-20250108503-IMP-LCL‎|‏Sl-000002‎|‏RP-000001‎|‏‎|‏‎|‏‎|‏‎|‏‎|‏CMA CGM LOIRE‎|‏CNSZX Shenzhen‎|‏696 ALEXANDRIA‎|‏14/01/2025‎|‏‎|‏14/01/2025‎|‏‎|‏‎|‏14/01/2025‎|‏‎</t>
  </si>
  <si>
    <t>958.0000000000000000</t>
  </si>
  <si>
    <t>101001599</t>
  </si>
  <si>
    <t>569859166</t>
  </si>
  <si>
    <t>160/مطالبة نولون محصلة لصالح الغير</t>
  </si>
  <si>
    <t>000000160/OF-FW</t>
  </si>
  <si>
    <t>959.0000000000000000</t>
  </si>
  <si>
    <t>161/مطالبة نولون محصلة لصالح الغير</t>
  </si>
  <si>
    <t>000000161/OF-FW</t>
  </si>
  <si>
    <t>960.0000000000000000</t>
  </si>
  <si>
    <t>162/مطالبة نولون محصلة لصالح الغير</t>
  </si>
  <si>
    <t>000000162/OF-FW</t>
  </si>
  <si>
    <t>961.0000000000000000</t>
  </si>
  <si>
    <t>POS_EG-28</t>
  </si>
  <si>
    <t>POS-000001020</t>
  </si>
  <si>
    <t>962.0000000000000000</t>
  </si>
  <si>
    <t>1545/THC</t>
  </si>
  <si>
    <t>000001545/Invoice</t>
  </si>
  <si>
    <t>963.0000000000000000</t>
  </si>
  <si>
    <t>1546/NAFEZA SERVICE</t>
  </si>
  <si>
    <t>000001546/Invoice</t>
  </si>
  <si>
    <t>964.0000000000000000</t>
  </si>
  <si>
    <t>1547/THC</t>
  </si>
  <si>
    <t>000001547/Invoice</t>
  </si>
  <si>
    <t>965.0000000000000000</t>
  </si>
  <si>
    <t>1548/NAFEZA SERVICE</t>
  </si>
  <si>
    <t>000001548/Invoice</t>
  </si>
  <si>
    <t>966.0000000000000000</t>
  </si>
  <si>
    <t>1549/NAFEZA SERVICE</t>
  </si>
  <si>
    <t>000001549/Invoice</t>
  </si>
  <si>
    <t>967.0000000000000000</t>
  </si>
  <si>
    <t>1550/THC</t>
  </si>
  <si>
    <t>000001550/Invoice</t>
  </si>
  <si>
    <t>968.0000000000000000</t>
  </si>
  <si>
    <t>QNB_EG_CA1-6</t>
  </si>
  <si>
    <t>BankIn-000001021</t>
  </si>
  <si>
    <t>|1301|013|001|001|101000630|101000630||||3075|3336|Collect|||IMPORT||||</t>
  </si>
  <si>
    <t>O25-IMP-OC-360|‏ME_Q-20250108555-IMP-LCL‎|‏Sl-000016‎|‏RP-000001‎|‏‎|‏‎|‏‎|‏‎|‏‎|‏TURKON EGYPT‎|‏USSAV Savannah‎|‏696 ALEXANDRIA‎|‏‎|‏‎|‏15/01/2025‎|‏‎|‏‎|‏11/01/2025‎|‏‎</t>
  </si>
  <si>
    <t>969.0000000000000000</t>
  </si>
  <si>
    <t>101000630</t>
  </si>
  <si>
    <t>452322707</t>
  </si>
  <si>
    <t>1536/NAFEZA SERVICE</t>
  </si>
  <si>
    <t>000001536/Invoice</t>
  </si>
  <si>
    <t>970.0000000000000000</t>
  </si>
  <si>
    <t>1537/THC</t>
  </si>
  <si>
    <t>000001537/Invoice</t>
  </si>
  <si>
    <t>971.0000000000000000</t>
  </si>
  <si>
    <t>POS_EG-36</t>
  </si>
  <si>
    <t>POS-000001022</t>
  </si>
  <si>
    <t>|1301|013|001|001|101000519|101000519||||3038|3336|Collect|||IMPORT||||</t>
  </si>
  <si>
    <t>O25-IMP-OC-188|‏ME_Q-20250108560-IMP-LCL‎|‏Sl-000036‎|‏RP-000001‎|‏‎|‏‎|‏‎|‏‎|‏‎|‏COSCO ANTWERP‎|‏DEHAM Hamburg‎|‏EGEDK Dekheila, Alexandria‎|‏14/01/2025‎|‏‎|‏15/01/2025‎|‏‎|‏‎|‏06/01/2025‎|‏‎</t>
  </si>
  <si>
    <t>972.0000000000000000</t>
  </si>
  <si>
    <t>101000519</t>
  </si>
  <si>
    <t>200215469</t>
  </si>
  <si>
    <t>1638/NAFEZA SERVICE</t>
  </si>
  <si>
    <t>000001638/Invoice</t>
  </si>
  <si>
    <t>973.0000000000000000</t>
  </si>
  <si>
    <t>1639/THC</t>
  </si>
  <si>
    <t>000001639/Invoice</t>
  </si>
  <si>
    <t>974.0000000000000000</t>
  </si>
  <si>
    <t>POS_EG-37</t>
  </si>
  <si>
    <t>POS-000001023</t>
  </si>
  <si>
    <t>O25-IMP-OC-563|‏ME_Q-20250108352-IMP-LCL‎|‏RP-000007‎|‏RP-000001‎|‏‎|‏‎|‏‎|‏‎|‏‎|‏MSC EAGLE III‎|‏FRFOS Fos-sur-Mer‎|‏696 ALEXANDRIA‎|‏‎|‏30/12/2024‎|‏17/01/2025‎|‏‎|‏‎|‏15/01/2025‎|‏‎</t>
  </si>
  <si>
    <t>975.0000000000000000</t>
  </si>
  <si>
    <t>1427/NAFEZA SERVICE</t>
  </si>
  <si>
    <t>000001427/Invoice</t>
  </si>
  <si>
    <t>976.0000000000000000</t>
  </si>
  <si>
    <t>1428/THC</t>
  </si>
  <si>
    <t>000001428/Invoice</t>
  </si>
  <si>
    <t>977.0000000000000000</t>
  </si>
  <si>
    <t>POS_EG-38</t>
  </si>
  <si>
    <t>POS-000001024</t>
  </si>
  <si>
    <t>|1301|013|001|001|101000679|101000679||||3075|3208|Collect|||IMPORT||||</t>
  </si>
  <si>
    <t>O25-IMP-OC-462|‏ME_Q-20250108561-IMP-LCL‎|‏Sl-000001‎|‏RP-000001‎|‏‎|‏‎|‏‎|‏‎|‏‎|‏CMA CGM RODOLPHE‎|‏CNNGB Ningbo‎|‏696 ALEXANDRIA‎|‏‎|‏28/12/2024‎|‏19/01/2025‎|‏‎|‏‎|‏13/01/2025‎|‏‎</t>
  </si>
  <si>
    <t>978.0000000000000000</t>
  </si>
  <si>
    <t>101000679</t>
  </si>
  <si>
    <t>254550045</t>
  </si>
  <si>
    <t>1635/NAFEZA SERVICE</t>
  </si>
  <si>
    <t>000001635/Invoice</t>
  </si>
  <si>
    <t>979.0000000000000000</t>
  </si>
  <si>
    <t>1636/THC</t>
  </si>
  <si>
    <t>000001636/Invoice</t>
  </si>
  <si>
    <t>980.0000000000000000</t>
  </si>
  <si>
    <t>POS_EG-39</t>
  </si>
  <si>
    <t>POS-000001025</t>
  </si>
  <si>
    <t>|1301|013|001|001|101000095|101000095||||3075|3208|Collect|||IMPORT||||</t>
  </si>
  <si>
    <t>O25-IMP-OC-407|‏ME_Q-20250108326-IMP-LCL‎|‏Sl-000002‎|‏RP-000001‎|‏‎|‏‎|‏‎|‏‎|‏‎|‏CMA CGM RODOLPHE‎|‏CNNGB Ningbo‎|‏696 ALEXANDRIA‎|‏‎|‏28/12/2024‎|‏19/01/2025‎|‏‎|‏‎|‏12/01/2025‎|‏‎</t>
  </si>
  <si>
    <t>981.0000000000000000</t>
  </si>
  <si>
    <t>101000095</t>
  </si>
  <si>
    <t>200301950</t>
  </si>
  <si>
    <t>1650/NAFEZA SERVICE</t>
  </si>
  <si>
    <t>000001650/Invoice</t>
  </si>
  <si>
    <t>982.0000000000000000</t>
  </si>
  <si>
    <t>1651/THC</t>
  </si>
  <si>
    <t>000001651/Invoice</t>
  </si>
  <si>
    <t>983.0000000000000000</t>
  </si>
  <si>
    <t>ALEXHO EG-161</t>
  </si>
  <si>
    <t>CashIn-000001026</t>
  </si>
  <si>
    <t>O25-IMP-OC-360|‏ME_Q-20250108470-IMP-LCL‎|‏Sl-000016‎|‏RP-000001‎|‏‎|‏‎|‏‎|‏‎|‏‎|‏TURKON EGYPT‎|‏USSAV Savannah‎|‏696 ALEXANDRIA‎|‏‎|‏‎|‏15/01/2025‎|‏‎|‏‎|‏11/01/2025‎|‏‎</t>
  </si>
  <si>
    <t>148/مطالبة نولون محصلة لصالح الغير</t>
  </si>
  <si>
    <t>984.0000000000000000</t>
  </si>
  <si>
    <t>985.0000000000000000</t>
  </si>
  <si>
    <t>101004593</t>
  </si>
  <si>
    <t>|1301|013|001|001|101004593||||||||||IMPORT||||</t>
  </si>
  <si>
    <t>545285488</t>
  </si>
  <si>
    <t>986.0000000000000000</t>
  </si>
  <si>
    <t>421103|1301|013|001|001|101004593||||||||||IMPORT||||</t>
  </si>
  <si>
    <t>987.0000000000000000</t>
  </si>
  <si>
    <t>ALEXHO EG-162</t>
  </si>
  <si>
    <t>CashIn-000001027</t>
  </si>
  <si>
    <t>|1301|013|001|001|101004593|101004593||||3076|3336|Collect|||IMPORT||||</t>
  </si>
  <si>
    <t>988.0000000000000000</t>
  </si>
  <si>
    <t>1354/THC</t>
  </si>
  <si>
    <t>000001354/Invoice</t>
  </si>
  <si>
    <t>989.0000000000000000</t>
  </si>
  <si>
    <t>ALEXHO EG-163</t>
  </si>
  <si>
    <t>CashIn-000001028</t>
  </si>
  <si>
    <t>990.0000000000000000</t>
  </si>
  <si>
    <t>1353/NAFEZA SERVICE</t>
  </si>
  <si>
    <t>000001353/Invoice</t>
  </si>
  <si>
    <t>991.0000000000000000</t>
  </si>
  <si>
    <t>ALEXHO EG-164</t>
  </si>
  <si>
    <t>CashIn-000001029</t>
  </si>
  <si>
    <t>104/مطالبة نولون محصلة لصالح الغير</t>
  </si>
  <si>
    <t>992.0000000000000000</t>
  </si>
  <si>
    <t>993.0000000000000000</t>
  </si>
  <si>
    <t>994.0000000000000000</t>
  </si>
  <si>
    <t>ALEXHO EG-165</t>
  </si>
  <si>
    <t>CashIn-000001030</t>
  </si>
  <si>
    <t>|1301|013|001|001|101000236|101000236||||3038|3336|Collect|||IMPORT||||</t>
  </si>
  <si>
    <t>O25-IMP-OC-241|‏ME_Q-20241206163-IMP-LCL‎|‏Sl-000016‎|‏Ag-000163‎|‏10166256‎|‏‎|‏‎|‏‎|‏‎|‏TURKON EGYPT‎|‏TRKMX KUMPORT‎|‏EGALY Alexandria, Egypt (old)‎|‏14/01/2025‎|‏‎|‏14/01/2025‎|‏‎|‏‎|‏08/01/2025‎|‏31/01/2025‎</t>
  </si>
  <si>
    <t>995.0000000000000000</t>
  </si>
  <si>
    <t>101000236</t>
  </si>
  <si>
    <t>703630202</t>
  </si>
  <si>
    <t>1543/THC</t>
  </si>
  <si>
    <t>000001543/Invoice</t>
  </si>
  <si>
    <t>996.0000000000000000</t>
  </si>
  <si>
    <t>ALEXHO EG-166</t>
  </si>
  <si>
    <t>CashIn-000001031</t>
  </si>
  <si>
    <t>997.0000000000000000</t>
  </si>
  <si>
    <t>1544/NAFEZA SERVICE</t>
  </si>
  <si>
    <t>000001544/Invoice</t>
  </si>
  <si>
    <t>998.0000000000000000</t>
  </si>
  <si>
    <t>ALEXHO US-11</t>
  </si>
  <si>
    <t>CashIn-000001032</t>
  </si>
  <si>
    <t>999.0000000000000000</t>
  </si>
  <si>
    <t>159/مطالبة نولون محصلة لصالح الغير</t>
  </si>
  <si>
    <t>000000159/OF-FW</t>
  </si>
  <si>
    <t>1000.0000000000000000</t>
  </si>
  <si>
    <t>PSD EG-88</t>
  </si>
  <si>
    <t>CashIn-000001037</t>
  </si>
  <si>
    <t>|1302|013|001|005|101004548|101004548||||3042|5013|Prepaid|||IMPORT||||</t>
  </si>
  <si>
    <t>1001.0000000000000000</t>
  </si>
  <si>
    <t>1552/STOR IMPORT PSD</t>
  </si>
  <si>
    <t>000001552/Invoice</t>
  </si>
  <si>
    <t>1002.0000000000000000</t>
  </si>
  <si>
    <t>PSD EG-89</t>
  </si>
  <si>
    <t>CashIn-000001038</t>
  </si>
  <si>
    <t>|1401|014|001|005|101004548|101004548||||3042|5013|Prepaid|||IMPORT||||</t>
  </si>
  <si>
    <t>1003.0000000000000000</t>
  </si>
  <si>
    <t>1551/G3ALA INVOICE PSD</t>
  </si>
  <si>
    <t>000001551/Invoice</t>
  </si>
  <si>
    <t>1004.0000000000000000</t>
  </si>
  <si>
    <t>ALEXHO EG-167</t>
  </si>
  <si>
    <t>CashIn-000001041</t>
  </si>
  <si>
    <t>|1301|013|001|001|101001642|101001642||||3038|3208|Collect|||IMPORT||||</t>
  </si>
  <si>
    <t>O25-IMP-OC-108|‏ME_Q-20250107951-IMP-LCL‎|‏Sl-000002‎|‏RP-000001‎|‏‎|‏‎|‏‎|‏‎|‏‎|‏CMA CGM LISA MARIE-‎|‏CNSZX Shenzhen‎|‏696 ALEXANDRIA‎|‏16/01/2025‎|‏‎|‏16/01/2025‎|‏‎|‏‎|‏04/01/2025‎|‏‎</t>
  </si>
  <si>
    <t>1005.0000000000000000</t>
  </si>
  <si>
    <t>1390/THC</t>
  </si>
  <si>
    <t>000001390/Invoice</t>
  </si>
  <si>
    <t>1006.0000000000000000</t>
  </si>
  <si>
    <t>ALEXHO EG-168</t>
  </si>
  <si>
    <t>CashIn-000001042</t>
  </si>
  <si>
    <t>1007.0000000000000000</t>
  </si>
  <si>
    <t>1389/NAFEZA SERVICE</t>
  </si>
  <si>
    <t>000001389/Invoice</t>
  </si>
  <si>
    <t>1008.0000000000000000</t>
  </si>
  <si>
    <t>ALEXHO EG-169</t>
  </si>
  <si>
    <t>CashIn-000001043</t>
  </si>
  <si>
    <t>O25-IMP-OC-108|‏ME_Q-20250107943-IMP-LCL‎|‏Sl-000002‎|‏RP-000001‎|‏‎|‏‎|‏‎|‏‎|‏‎|‏CMA CGM LISA MARIE-‎|‏CNSZX Shenzhen‎|‏696 ALEXANDRIA‎|‏16/01/2025‎|‏‎|‏16/01/2025‎|‏‎|‏‎|‏04/01/2025‎|‏‎</t>
  </si>
  <si>
    <t>1009.0000000000000000</t>
  </si>
  <si>
    <t>1394/THC</t>
  </si>
  <si>
    <t>000001394/Invoice</t>
  </si>
  <si>
    <t>1010.0000000000000000</t>
  </si>
  <si>
    <t>ALEXHO EG-170</t>
  </si>
  <si>
    <t>CashIn-000001044</t>
  </si>
  <si>
    <t>1011.0000000000000000</t>
  </si>
  <si>
    <t>1393/NAFEZA SERVICE</t>
  </si>
  <si>
    <t>000001393/Invoice</t>
  </si>
  <si>
    <t>1012.0000000000000000</t>
  </si>
  <si>
    <t>ALEXHO EG-171</t>
  </si>
  <si>
    <t>CashIn-000001045</t>
  </si>
  <si>
    <t>O25-IMP-OC-482|‏ME_Q-20241206483-IMP-LCL‎|‏Sl-000011‎|‏RP-000001‎|‏‎|‏‎|‏‎|‏‎|‏‎|‏MSC MADELEINE‎|‏LONDON LHR‎|‏696 ALEXANDRIA‎|‏14/01/2025‎|‏24/12/2024‎|‏14/01/2025‎|‏‎|‏‎|‏13/01/2025‎|‏‎</t>
  </si>
  <si>
    <t>1013.0000000000000000</t>
  </si>
  <si>
    <t>1384/THC</t>
  </si>
  <si>
    <t>000001384/Invoice</t>
  </si>
  <si>
    <t>1014.0000000000000000</t>
  </si>
  <si>
    <t>ALEXHO EG-172</t>
  </si>
  <si>
    <t>CashIn-000001046</t>
  </si>
  <si>
    <t>1015.0000000000000000</t>
  </si>
  <si>
    <t>1383/NAFEZA SERVICE</t>
  </si>
  <si>
    <t>000001383/Invoice</t>
  </si>
  <si>
    <t>1016.0000000000000000</t>
  </si>
  <si>
    <t>ALEXHO EG-173</t>
  </si>
  <si>
    <t>CashIn-000001047</t>
  </si>
  <si>
    <t>O25-IMP-OC-500|‏ME_Q-20241206477-IMP-LCL‎|‏Sl-000002‎|‏RP-000001‎|‏‎|‏‎|‏‎|‏‎|‏‎|‏CMA CGM LOIRE‎|‏CNSZX Shenzhen‎|‏696 ALEXANDRIA‎|‏14/01/2025‎|‏‎|‏14/01/2025‎|‏‎|‏‎|‏14/01/2025‎|‏‎</t>
  </si>
  <si>
    <t>1017.0000000000000000</t>
  </si>
  <si>
    <t>1027/THC</t>
  </si>
  <si>
    <t>000001027/Invoice</t>
  </si>
  <si>
    <t>1018.0000000000000000</t>
  </si>
  <si>
    <t>ALEXHO EG-174</t>
  </si>
  <si>
    <t>CashIn-000001048</t>
  </si>
  <si>
    <t>1019.0000000000000000</t>
  </si>
  <si>
    <t>1026/NAFEZA SERVICE</t>
  </si>
  <si>
    <t>000001026/Invoice</t>
  </si>
  <si>
    <t>1020.0000000000000000</t>
  </si>
  <si>
    <t>ALEXHO EG-175</t>
  </si>
  <si>
    <t>CashIn-000001049</t>
  </si>
  <si>
    <t>|1301|013|001|001|101000542|101000542||||3075|3208|Collect|||IMPORT||||</t>
  </si>
  <si>
    <t>O25-IMP-OC-130|‏ME_Q-20241206478-IMP-LCL‎|‏Sl-000002‎|‏RP-000001‎|‏‎|‏‎|‏‎|‏‎|‏‎|‏CMA CGM LOIRE‎|‏CNSZX Shenzhen‎|‏696 ALEXANDRIA‎|‏14/01/2025‎|‏‎|‏14/01/2025‎|‏‎|‏‎|‏05/01/2025‎|‏31/01/2025‎</t>
  </si>
  <si>
    <t>1021.0000000000000000</t>
  </si>
  <si>
    <t>1025/THC</t>
  </si>
  <si>
    <t>000001025/Invoice</t>
  </si>
  <si>
    <t>1022.0000000000000000</t>
  </si>
  <si>
    <t>ALEXHO EG-176</t>
  </si>
  <si>
    <t>CashIn-000001050</t>
  </si>
  <si>
    <t>1023.0000000000000000</t>
  </si>
  <si>
    <t>1024/NAFEZA SERVICE</t>
  </si>
  <si>
    <t>000001024/Invoice</t>
  </si>
  <si>
    <t>1024.0000000000000000</t>
  </si>
  <si>
    <t>ALEXHO US-12</t>
  </si>
  <si>
    <t>CashIn-000001051</t>
  </si>
  <si>
    <t>1025.0000000000000000</t>
  </si>
  <si>
    <t>153/مطالبة نولون محصلة لصالح الغير</t>
  </si>
  <si>
    <t>000000153/OF-FW</t>
  </si>
  <si>
    <t>1026.0000000000000000</t>
  </si>
  <si>
    <t>ALEXHO US-13</t>
  </si>
  <si>
    <t>CashIn-000001052</t>
  </si>
  <si>
    <t>1027.0000000000000000</t>
  </si>
  <si>
    <t>154/مطالبة نولون محصلة لصالح الغير</t>
  </si>
  <si>
    <t>000000154/OF-FW</t>
  </si>
  <si>
    <t>1028.0000000000000000</t>
  </si>
  <si>
    <t>ALEXHO EG-177</t>
  </si>
  <si>
    <t>CashIn-000001053</t>
  </si>
  <si>
    <t>1029.0000000000000000</t>
  </si>
  <si>
    <t>974/THC</t>
  </si>
  <si>
    <t>000000974/Invoice</t>
  </si>
  <si>
    <t>1030.0000000000000000</t>
  </si>
  <si>
    <t>ALEXHO EG-178</t>
  </si>
  <si>
    <t>CashIn-000001054</t>
  </si>
  <si>
    <t>1031.0000000000000000</t>
  </si>
  <si>
    <t>973/NAFEZA SERVICE</t>
  </si>
  <si>
    <t>000000973/Invoice</t>
  </si>
  <si>
    <t>1032.0000000000000000</t>
  </si>
  <si>
    <t>ALEXHO EG-179</t>
  </si>
  <si>
    <t>CashIn-000001055</t>
  </si>
  <si>
    <t>|1201|012|001|001|101000007|101000007||||3075|3376|Collect|||IMPORT||||</t>
  </si>
  <si>
    <t>O25-IMP-OC-703|‏ME_Q-20250108322-IMP-FCL‎|‏Sl-000035‎|‏Ag-000146‎|‏G1431978‎|‏‎|‏‎|‏‎|‏‎|‏‎|‏ITGOA Genoa‎|‏EGALY Alexandria, Egypt (old)‎|‏‎|‏‎|‏‎|‏‎|‏‎|‏19/01/2025‎|‏31/01/2025‎</t>
  </si>
  <si>
    <t>1033.0000000000000000</t>
  </si>
  <si>
    <t>1505/INV</t>
  </si>
  <si>
    <t>000001505/Invoice</t>
  </si>
  <si>
    <t>1034.0000000000000000</t>
  </si>
  <si>
    <t>ALEXHO EG-180</t>
  </si>
  <si>
    <t>CashIn-000001056</t>
  </si>
  <si>
    <t>|1301|013|001|001|101000007|101000007||||3075|3208|Collect|||IMPORT||||</t>
  </si>
  <si>
    <t>O25-IMP-OC-482|‏ME_Q-20241104606-IMP-LCL‎|‏Sl-000011‎|‏RP-000001‎|‏‎|‏‎|‏‎|‏‎|‏‎|‏MSC MADELEINE‎|‏LONDON LHR‎|‏696 ALEXANDRIA‎|‏14/01/2025‎|‏24/12/2024‎|‏14/01/2025‎|‏‎|‏‎|‏13/01/2025‎|‏‎</t>
  </si>
  <si>
    <t>1035.0000000000000000</t>
  </si>
  <si>
    <t>1496/THC</t>
  </si>
  <si>
    <t>000001496/Invoice</t>
  </si>
  <si>
    <t>1036.0000000000000000</t>
  </si>
  <si>
    <t>ALEXHO EG-181</t>
  </si>
  <si>
    <t>CashIn-000001057</t>
  </si>
  <si>
    <t>1037.0000000000000000</t>
  </si>
  <si>
    <t>1495/NAFEZA SERVICE</t>
  </si>
  <si>
    <t>000001495/Invoice</t>
  </si>
  <si>
    <t>1038.0000000000000000</t>
  </si>
  <si>
    <t>ALEXHO EG-182</t>
  </si>
  <si>
    <t>CashIn-000001060</t>
  </si>
  <si>
    <t>1039.0000000000000000</t>
  </si>
  <si>
    <t>1571/THC</t>
  </si>
  <si>
    <t>000001571/Invoice</t>
  </si>
  <si>
    <t>1040.0000000000000000</t>
  </si>
  <si>
    <t>ALEXHO EG-183</t>
  </si>
  <si>
    <t>CashIn-000001061</t>
  </si>
  <si>
    <t>1041.0000000000000000</t>
  </si>
  <si>
    <t>1570/NAFEZA SERVICE</t>
  </si>
  <si>
    <t>000001570/Invoice</t>
  </si>
  <si>
    <t>1042.0000000000000000</t>
  </si>
  <si>
    <t>PSD EG-90</t>
  </si>
  <si>
    <t>CashIn-000001064</t>
  </si>
  <si>
    <t>|1302|013|001|005|101000454|101000454||||3076|5013|Collect|||IMPORT||||</t>
  </si>
  <si>
    <t>1043.0000000000000000</t>
  </si>
  <si>
    <t>1607/STOR IMPORT PSD</t>
  </si>
  <si>
    <t>000001607/Invoice</t>
  </si>
  <si>
    <t>1044.0000000000000000</t>
  </si>
  <si>
    <t>PSD EG-91</t>
  </si>
  <si>
    <t>CashIn-000001065</t>
  </si>
  <si>
    <t>|1401|014|001|005|101000454|101000454||||3076|5013|Collect|||IMPORT||||</t>
  </si>
  <si>
    <t>1045.0000000000000000</t>
  </si>
  <si>
    <t>1606/G3ALA INVOICE PSD</t>
  </si>
  <si>
    <t>000001606/Invoice</t>
  </si>
  <si>
    <t>1046.0000000000000000</t>
  </si>
  <si>
    <t>PSD EG-92</t>
  </si>
  <si>
    <t>CashIn-000001066</t>
  </si>
  <si>
    <t>1047.0000000000000000</t>
  </si>
  <si>
    <t>1605/STOR SERVICE PSD</t>
  </si>
  <si>
    <t>000001605/Invoice</t>
  </si>
  <si>
    <t>1048.0000000000000000</t>
  </si>
  <si>
    <t>ALEXHO EG-184</t>
  </si>
  <si>
    <t>CashIn-000001077</t>
  </si>
  <si>
    <t>|1301|013|001|001|101004623|101004623||||3038|3077|Collect|||IMPORT||||</t>
  </si>
  <si>
    <t>O25-IMP-OC-626|‏ME_Q-20250107973-IMP-LCL‎|‏Sl-000001‎|‏Ag-000200‎|‏COSU6403916670‎|‏‎|‏‎|‏‎|‏‎|‏CMA CGM LISA MARIE-‎|‏CNSHA Shanghai‎|‏EGALY Alexandria, Egypt (old)‎|‏16/01/2025‎|‏‎|‏16/01/2025‎|‏‎|‏‎|‏16/01/2025‎|‏31/01/2025‎</t>
  </si>
  <si>
    <t>1049.0000000000000000</t>
  </si>
  <si>
    <t>101004623</t>
  </si>
  <si>
    <t>232349169</t>
  </si>
  <si>
    <t>1603/THC</t>
  </si>
  <si>
    <t>000001603/Invoice</t>
  </si>
  <si>
    <t>1050.0000000000000000</t>
  </si>
  <si>
    <t>ALEXHO EG-185</t>
  </si>
  <si>
    <t>CashIn-000001078</t>
  </si>
  <si>
    <t>1051.0000000000000000</t>
  </si>
  <si>
    <t>1604/NAFEZA SERVICE</t>
  </si>
  <si>
    <t>000001604/Invoice</t>
  </si>
  <si>
    <t>1052.0000000000000000</t>
  </si>
  <si>
    <t>ALEXHO EG-186</t>
  </si>
  <si>
    <t>CashIn-000001082</t>
  </si>
  <si>
    <t>1053.0000000000000000</t>
  </si>
  <si>
    <t>1078/THC</t>
  </si>
  <si>
    <t>000001078/Invoice</t>
  </si>
  <si>
    <t>1054.0000000000000000</t>
  </si>
  <si>
    <t>ALEXHO EG-187</t>
  </si>
  <si>
    <t>CashIn-000001083</t>
  </si>
  <si>
    <t>1055.0000000000000000</t>
  </si>
  <si>
    <t>1079/NAFEZA SERVICE</t>
  </si>
  <si>
    <t>000001079/Invoice</t>
  </si>
  <si>
    <t>1056.0000000000000000</t>
  </si>
  <si>
    <t>ALEXHO EG-188</t>
  </si>
  <si>
    <t>CashIn-000001084</t>
  </si>
  <si>
    <t>O25-IMP-OC-130|‏ME_Q-20241206406-IMP-LCL‎|‏Sl-000002‎|‏RP-000001‎|‏‎|‏‎|‏‎|‏‎|‏‎|‏CMA CGM LOIRE‎|‏CNSZX Shenzhen‎|‏696 ALEXANDRIA‎|‏14/01/2025‎|‏‎|‏14/01/2025‎|‏‎|‏‎|‏05/01/2025‎|‏31/01/2025‎</t>
  </si>
  <si>
    <t>1057.0000000000000000</t>
  </si>
  <si>
    <t>1611/THC</t>
  </si>
  <si>
    <t>000001611/Invoice</t>
  </si>
  <si>
    <t>1058.0000000000000000</t>
  </si>
  <si>
    <t>ALEXHO EG-189</t>
  </si>
  <si>
    <t>CashIn-000001085</t>
  </si>
  <si>
    <t>1059.0000000000000000</t>
  </si>
  <si>
    <t>1610/NAFEZA SERVICE</t>
  </si>
  <si>
    <t>000001610/Invoice</t>
  </si>
  <si>
    <t>1060.0000000000000000</t>
  </si>
  <si>
    <t>ALEXHO US-14</t>
  </si>
  <si>
    <t>CashIn-000001086</t>
  </si>
  <si>
    <t>1061.0000000000000000</t>
  </si>
  <si>
    <t>176/مطالبة نولون محصلة لصالح الغير</t>
  </si>
  <si>
    <t>000000176/OF-FW</t>
  </si>
  <si>
    <t>1062.0000000000000000</t>
  </si>
  <si>
    <t>POS_EG-30</t>
  </si>
  <si>
    <t>POS-000001088</t>
  </si>
  <si>
    <t>177/مطالبة نولون محصلة لصالح الغير</t>
  </si>
  <si>
    <t>1063.0000000000000000</t>
  </si>
  <si>
    <t>|1301|013|001|001|101000590||||||||||IMPORT||||</t>
  </si>
  <si>
    <t>1064.0000000000000000</t>
  </si>
  <si>
    <t>421103|1301|013|001|001|101000590||||||||||IMPORT||||</t>
  </si>
  <si>
    <t>1065.0000000000000000</t>
  </si>
  <si>
    <t>Merghem EG-12</t>
  </si>
  <si>
    <t>CashIn-000001089</t>
  </si>
  <si>
    <t>|1302|013|001|001|101001412|101001412||||3076|3336|Collect|||IMPORT||||</t>
  </si>
  <si>
    <t>1066.0000000000000000</t>
  </si>
  <si>
    <t>1616/STOR   IMPORT ALEX</t>
  </si>
  <si>
    <t>000001616/Invoice</t>
  </si>
  <si>
    <t>1067.0000000000000000</t>
  </si>
  <si>
    <t>Merghem EG-13</t>
  </si>
  <si>
    <t>CashIn-000001092</t>
  </si>
  <si>
    <t>|1302|013|001|001|101000485|101000485||||3075|3336|Collect|||IMPORT||||</t>
  </si>
  <si>
    <t>1068.0000000000000000</t>
  </si>
  <si>
    <t>1628/STOR   IMPORT ALEX</t>
  </si>
  <si>
    <t>000001628/Invoice</t>
  </si>
  <si>
    <t>1069.0000000000000000</t>
  </si>
  <si>
    <t>ALEXHO EG-190</t>
  </si>
  <si>
    <t>CashIn-000001102</t>
  </si>
  <si>
    <t>O25-IMP-OC-778|‏ME_Q-20250108534-IMP-FCL‎|‏Sl-000010‎|‏Ag-000213‎|‏MLTRLS2500106‎|‏‎|‏‎|‏‎|‏‎|‏AL BIDDA‎|‏TRIST Istanbul Port‎|‏EGALY Alexandria, Egypt (old)‎|‏‎|‏‎|‏‎|‏‎|‏‎|‏20/01/2025‎|‏31/01/2025‎</t>
  </si>
  <si>
    <t>1070.0000000000000000</t>
  </si>
  <si>
    <t>1618/INV</t>
  </si>
  <si>
    <t>000001618/Invoice</t>
  </si>
  <si>
    <t>1071.0000000000000000</t>
  </si>
  <si>
    <t>QNB_US_CA1-4</t>
  </si>
  <si>
    <t>BankIn-000001103</t>
  </si>
  <si>
    <t>1072.0000000000000000</t>
  </si>
  <si>
    <t>158/مطالبة نولون محصلة لصالح الغير</t>
  </si>
  <si>
    <t>000000158/OF-FW</t>
  </si>
  <si>
    <t>1073.0000000000000000</t>
  </si>
  <si>
    <t>ALEXHO EG-191</t>
  </si>
  <si>
    <t>CashIn-000001104</t>
  </si>
  <si>
    <t>|1301|013|001|001|101001970|101001970||||3330|3208|Collect|||IMPORT||||</t>
  </si>
  <si>
    <t>O25-IMP-OC-637|‏ME_Q-20241205327-IMP-LCL‎|‏RP-000007‎|‏RP-000001‎|‏‎|‏‎|‏‎|‏‎|‏‎|‏MSC MADELEINE‎|‏BEANR Antwerp‎|‏696 ALEXANDRIA‎|‏‎|‏31/12/2024‎|‏14/01/2025‎|‏‎|‏‎|‏16/01/2025‎|‏‎</t>
  </si>
  <si>
    <t>1074.0000000000000000</t>
  </si>
  <si>
    <t>1533/THC</t>
  </si>
  <si>
    <t>000001533/Invoice</t>
  </si>
  <si>
    <t>1075.0000000000000000</t>
  </si>
  <si>
    <t>ALEXHO EG-192</t>
  </si>
  <si>
    <t>CashIn-000001105</t>
  </si>
  <si>
    <t>1076.0000000000000000</t>
  </si>
  <si>
    <t>1534/NAFEZA SERVICE</t>
  </si>
  <si>
    <t>000001534/Invoice</t>
  </si>
  <si>
    <t>1077.0000000000000000</t>
  </si>
  <si>
    <t>ALEXHO US-15</t>
  </si>
  <si>
    <t>CashIn-000001107</t>
  </si>
  <si>
    <t>180/مطالبة نولون محصلة لصالح الغير</t>
  </si>
  <si>
    <t>1078.0000000000000000</t>
  </si>
  <si>
    <t>1079.0000000000000000</t>
  </si>
  <si>
    <t>|1301|013|001|001|101000519||||||||||IMPORT||||</t>
  </si>
  <si>
    <t>1080.0000000000000000</t>
  </si>
  <si>
    <t>421103|1301|013|001|001|101000519||||||||||IMPORT||||</t>
  </si>
  <si>
    <t>1081.0000000000000000</t>
  </si>
  <si>
    <t>CCC US-8</t>
  </si>
  <si>
    <t>BankIn-000001108</t>
  </si>
  <si>
    <t>|1201|012|001|002|101004285|101004285||||4091|4029|Payable|||IMPORT||||</t>
  </si>
  <si>
    <t>O25-IMP-OC-786|‏ME_Q-20241206390-IMP-FCL‎|‏Sl-000014‎|‏Ag-000173‎|‏MEDYILALY002382‎|‏‎|‏‎|‏‎|‏‎|‏MEDKON MIRA‎|‏TRYPO YILPORT‎|‏EGALY Alexandria, Egypt (old)‎|‏22/01/2025‎|‏‎|‏‎|‏‎|‏‎|‏20/01/2025‎|‏31/01/2025‎</t>
  </si>
  <si>
    <t>1082.0000000000000000</t>
  </si>
  <si>
    <t>101004285</t>
  </si>
  <si>
    <t>723371849</t>
  </si>
  <si>
    <t>1641/INV</t>
  </si>
  <si>
    <t>000001641/Invoice</t>
  </si>
  <si>
    <t>1083.0000000000000000</t>
  </si>
  <si>
    <t>CCC US-9</t>
  </si>
  <si>
    <t>BankIn-000001109</t>
  </si>
  <si>
    <t>O25-IMP-OC-712|‏ME_Q-20250107104-IMP-FCL‎|‏Sl-000014‎|‏Ag-000113‎|‏MEDYILALY002381‎|‏‎|‏‎|‏‎|‏‎|‏MEDKON MIRA‎|‏TRYPO YILPORT‎|‏EGALY Alexandria, Egypt (old)‎|‏23/01/2025‎|‏‎|‏‎|‏‎|‏‎|‏19/01/2025‎|‏31/01/2025‎</t>
  </si>
  <si>
    <t>1084.0000000000000000</t>
  </si>
  <si>
    <t>1642/INV</t>
  </si>
  <si>
    <t>000001642/Invoice</t>
  </si>
  <si>
    <t>1085.0000000000000000</t>
  </si>
  <si>
    <t>CIB_EG_CA-15</t>
  </si>
  <si>
    <t>NR-000001129</t>
  </si>
  <si>
    <t>2025-01-22</t>
  </si>
  <si>
    <t>122201|1301|013|001|001|101004624|101004624||||3042|3336|Prepaid|||IMPORT||||</t>
  </si>
  <si>
    <t>1646/THC</t>
  </si>
  <si>
    <t>000001646/Invoice</t>
  </si>
  <si>
    <t>543858109</t>
  </si>
  <si>
    <t>1086.0000000000000000</t>
  </si>
  <si>
    <t>101004624</t>
  </si>
  <si>
    <t>|1301|013|001|001|101004624|101004624||||3042|3336|Prepaid|||IMPORT||||</t>
  </si>
  <si>
    <t>706010205</t>
  </si>
  <si>
    <t>1087.0000000000000000</t>
  </si>
  <si>
    <t>1647/NAFEZA SERVICE</t>
  </si>
  <si>
    <t>000001647/Invoice</t>
  </si>
  <si>
    <t>1088.0000000000000000</t>
  </si>
  <si>
    <t>POS_EG-41</t>
  </si>
  <si>
    <t>POS-000001130</t>
  </si>
  <si>
    <t>|1301|013|001|001|101000502|101000502||||3075|3336|Collect|||IMPORT||||</t>
  </si>
  <si>
    <t>O25-IMP-OC-232|‏ME_Q-20241104700-IMP-LCL‎|‏RP-000001‎|‏RP-000001‎|‏‎|‏‎|‏‎|‏‎|‏‎|‏CMA CGM LISA MARIE-‎|‏CNSHA Shanghai‎|‏696 ALEXANDRIA‎|‏16/01/2025‎|‏‎|‏16/01/2025‎|‏‎|‏‎|‏08/01/2025‎|‏‎</t>
  </si>
  <si>
    <t>1089.0000000000000000</t>
  </si>
  <si>
    <t>101000502</t>
  </si>
  <si>
    <t>202580652</t>
  </si>
  <si>
    <t>1065/NAFEZA SERVICE</t>
  </si>
  <si>
    <t>000001065/Invoice</t>
  </si>
  <si>
    <t>1090.0000000000000000</t>
  </si>
  <si>
    <t>1066/THC</t>
  </si>
  <si>
    <t>000001066/Invoice</t>
  </si>
  <si>
    <t>1091.0000000000000000</t>
  </si>
  <si>
    <t>1069/NAFEZA SERVICE</t>
  </si>
  <si>
    <t>000001069/Invoice</t>
  </si>
  <si>
    <t>1092.0000000000000000</t>
  </si>
  <si>
    <t>1070/THC</t>
  </si>
  <si>
    <t>000001070/Invoice</t>
  </si>
  <si>
    <t>1093.0000000000000000</t>
  </si>
  <si>
    <t>1733/NAFEZA SERVICE</t>
  </si>
  <si>
    <t>000001733/Invoice</t>
  </si>
  <si>
    <t>1094.0000000000000000</t>
  </si>
  <si>
    <t>1734/THC</t>
  </si>
  <si>
    <t>000001734/Invoice</t>
  </si>
  <si>
    <t>1095.0000000000000000</t>
  </si>
  <si>
    <t>QNB_US_CA1-7</t>
  </si>
  <si>
    <t>BankIn-000001131</t>
  </si>
  <si>
    <t>1096.0000000000000000</t>
  </si>
  <si>
    <t>196/مطالبة نولون محصلة لصالح الغير</t>
  </si>
  <si>
    <t>000000196/OF-FW</t>
  </si>
  <si>
    <t>1097.0000000000000000</t>
  </si>
  <si>
    <t>POS_EG-43</t>
  </si>
  <si>
    <t>POS-000001132</t>
  </si>
  <si>
    <t>|1301|013|001|001|101000356|101000356||||MESCO LCL PSD SALES|3208|Collect|||IMPORT||||</t>
  </si>
  <si>
    <t>O25-IMP-OC-395|‏ME_Q-20250108209-IMP-LCL‎|‏Sl-000004‎|‏RP-000001‎|‏‎|‏‎|‏‎|‏‎|‏‎|‏TEOMAN A‎|‏ITGOA Genoa‎|‏696 ALEXANDRIA‎|‏11/01/2025‎|‏07/01/2025‎|‏11/01/2025‎|‏‎|‏‎|‏12/01/2025‎|‏31/01/2025‎</t>
  </si>
  <si>
    <t>1098.0000000000000000</t>
  </si>
  <si>
    <t>1721/NAFEZA SERVICE</t>
  </si>
  <si>
    <t>000001721/Invoice</t>
  </si>
  <si>
    <t>1099.0000000000000000</t>
  </si>
  <si>
    <t>QNB_US_CA1-9</t>
  </si>
  <si>
    <t>BankIn-000001133</t>
  </si>
  <si>
    <t>O25-IMP-AI-620|‏ME_Q-20250107933-IMP-AI‎|‏Al-000020‎|‏Ag-000121‎|‏876-14016214‎|‏‎|‏‎|‏‎|‏‎|‏‎|‏HKG HONG KONG‎|‏CAI CAIRO‎|‏‎|‏‎|‏15/01/2025‎|‏‎|‏‎|‏16/01/2025‎|‏31/01/2025‎</t>
  </si>
  <si>
    <t>1100.0000000000000000</t>
  </si>
  <si>
    <t>1084/INV</t>
  </si>
  <si>
    <t>000001084/Invoice</t>
  </si>
  <si>
    <t>1101.0000000000000000</t>
  </si>
  <si>
    <t>Airport EG-75</t>
  </si>
  <si>
    <t>CashIn-000001118</t>
  </si>
  <si>
    <t>O25-IMP-AI-839|‏ME_Q-20250108658-IMP-AI‎|‏Al-000003‎|‏Ag-000121‎|‏880-38823595‎|‏‎|‏‎|‏‎|‏‎|‏‎|‏SZX SHENZHEN‎|‏CAI CAIRO‎|‏‎|‏‎|‏21/01/2025‎|‏‎|‏‎|‏21/01/2025‎|‏31/01/2025‎</t>
  </si>
  <si>
    <t>1102.0000000000000000</t>
  </si>
  <si>
    <t>379/OFFICIAL</t>
  </si>
  <si>
    <t>000000379/OR-FW</t>
  </si>
  <si>
    <t>1103.0000000000000000</t>
  </si>
  <si>
    <t>Airport EG-76</t>
  </si>
  <si>
    <t>CashIn-000001119</t>
  </si>
  <si>
    <t>|1101|011|001|004|101000616|101000616||||3075|4012|Prepaid|||IMPORT||||</t>
  </si>
  <si>
    <t>O25-IMP-AI-839|‏‎|‏Al-000003‎|‏‎|‏880-38823595‎|‏‎|‏‎|‏‎|‏‎|‏‎|‏SZX SHENZHEN‎|‏CAI CAIRO‎|‏‎|‏‎|‏21/01/2025‎|‏‎|‏‎|‏21/01/2025‎|‏31/01/2025‎</t>
  </si>
  <si>
    <t>1104.0000000000000000</t>
  </si>
  <si>
    <t>1788/INV</t>
  </si>
  <si>
    <t>000001788/Invoice</t>
  </si>
  <si>
    <t>1105.0000000000000000</t>
  </si>
  <si>
    <t>CIB_US_CA-10</t>
  </si>
  <si>
    <t>BankIn-000001134</t>
  </si>
  <si>
    <t>|1201|012|001|002|101000049|101000049||||5035|4022|Payable|||EXPORT||||</t>
  </si>
  <si>
    <t>O25-EXP-OC-423|‏ME_Q-20250107586-EXP-FCL‎|‏Sl-000002‎|‏Ag-000149‎|‏ONEYCAIE06529400‎|‏‎|‏‎|‏‎|‏‎|‏‎|‏EGDAM Damietta‎|‏ESVLC Valencia‎|‏‎|‏‎|‏‎|‏‎|‏‎|‏12/01/2025‎|‏31/01/2025‎</t>
  </si>
  <si>
    <t>1106.0000000000000000</t>
  </si>
  <si>
    <t>101000049</t>
  </si>
  <si>
    <t>306006693</t>
  </si>
  <si>
    <t>531/INV</t>
  </si>
  <si>
    <t>000000531/Invoice</t>
  </si>
  <si>
    <t>1107.0000000000000000</t>
  </si>
  <si>
    <t>CIB_EG_CA-16</t>
  </si>
  <si>
    <t>BankIn-000001135</t>
  </si>
  <si>
    <t>1108.0000000000000000</t>
  </si>
  <si>
    <t>115/OFFICIAL</t>
  </si>
  <si>
    <t>000000115/OR-FW</t>
  </si>
  <si>
    <t>1109.0000000000000000</t>
  </si>
  <si>
    <t>Airport EG-77</t>
  </si>
  <si>
    <t>CashIn-000001120</t>
  </si>
  <si>
    <t>|1101|011|001|004|101000288|101000288||||3038|4012|Prepaid|||IMPORT||||</t>
  </si>
  <si>
    <t>O25-IMP-AI-856|‏‎|‏Al-000013‎|‏‎|‏229-17262976‎|‏‎|‏‎|‏‎|‏‎|‏‎|‏ICN SEOUL (INCHEON)‎|‏CAI CAIRO‎|‏‎|‏‎|‏21/01/2025‎|‏‎|‏‎|‏22/01/2025‎|‏31/01/2025‎</t>
  </si>
  <si>
    <t>1110.0000000000000000</t>
  </si>
  <si>
    <t>1800/INV</t>
  </si>
  <si>
    <t>000001800/Invoice</t>
  </si>
  <si>
    <t>1111.0000000000000000</t>
  </si>
  <si>
    <t>Airport EG-78</t>
  </si>
  <si>
    <t>CashIn-000001121</t>
  </si>
  <si>
    <t>1112.0000000000000000</t>
  </si>
  <si>
    <t>387/OFFICIAL</t>
  </si>
  <si>
    <t>000000387/OR-FW</t>
  </si>
  <si>
    <t>1113.0000000000000000</t>
  </si>
  <si>
    <t>Airport EG-79</t>
  </si>
  <si>
    <t>CashIn-000001122</t>
  </si>
  <si>
    <t>O25-IMP-AI-886|‏‎|‏Al-000007‎|‏‎|‏176-03945012‎|‏‎|‏‎|‏‎|‏‎|‏‎|‏AMD AHMEDABAD‎|‏CAI CAIRO‎|‏‎|‏‎|‏22/01/2025‎|‏‎|‏‎|‏22/01/2025‎|‏31/01/2025‎</t>
  </si>
  <si>
    <t>1114.0000000000000000</t>
  </si>
  <si>
    <t>1796/INV</t>
  </si>
  <si>
    <t>000001796/Invoice</t>
  </si>
  <si>
    <t>1115.0000000000000000</t>
  </si>
  <si>
    <t>Airport EG-80</t>
  </si>
  <si>
    <t>CashIn-000001123</t>
  </si>
  <si>
    <t>1116.0000000000000000</t>
  </si>
  <si>
    <t>385/OFFICIAL</t>
  </si>
  <si>
    <t>000000385/OR-FW</t>
  </si>
  <si>
    <t>1117.0000000000000000</t>
  </si>
  <si>
    <t>HSBC_US_CA-3</t>
  </si>
  <si>
    <t>BankIn-000001136</t>
  </si>
  <si>
    <t>|1201|012|001|001|101002060|101002060||||3075|3363|Payable|||EXPORT||||</t>
  </si>
  <si>
    <t>O25-EXP-OC-628|‏ME_Q-20250108079-EXP-FCL‎|‏Sl-000002‎|‏‎|‏CFA0752359‎|‏‎|‏‎|‏‎|‏‎|‏‎|‏EGALY Alexandria, Egypt (old)‎|‏TNSFA Sfax‎|‏‎|‏‎|‏‎|‏‎|‏‎|‏16/01/2025‎|‏31/01/2025‎</t>
  </si>
  <si>
    <t>1118.0000000000000000</t>
  </si>
  <si>
    <t>101002060</t>
  </si>
  <si>
    <t>202474305</t>
  </si>
  <si>
    <t>1789/INV</t>
  </si>
  <si>
    <t>000001789/Invoice</t>
  </si>
  <si>
    <t>1119.0000000000000000</t>
  </si>
  <si>
    <t>Airport EG-81</t>
  </si>
  <si>
    <t>CashIn-000001124</t>
  </si>
  <si>
    <t>|1101|011|001|004|101000206|101000206||||4019|4012|Prepaid|||IMPORT||||</t>
  </si>
  <si>
    <t>O25-IMP-AI-758|‏‎|‏Al-000001‎|‏‎|‏112-18067324‎|‏‎|‏‎|‏‎|‏‎|‏‎|‏PVG SHANGHAI‎|‏CAI CAIRO‎|‏‎|‏‎|‏19/01/2025‎|‏‎|‏‎|‏20/01/2025‎|‏31/01/2025‎</t>
  </si>
  <si>
    <t>1120.0000000000000000</t>
  </si>
  <si>
    <t>101000206</t>
  </si>
  <si>
    <t>205093299</t>
  </si>
  <si>
    <t>1805/INV</t>
  </si>
  <si>
    <t>000001805/Invoice</t>
  </si>
  <si>
    <t>1121.0000000000000000</t>
  </si>
  <si>
    <t>Airport EG-82</t>
  </si>
  <si>
    <t>CashIn-000001125</t>
  </si>
  <si>
    <t>1122.0000000000000000</t>
  </si>
  <si>
    <t>389/OFFICIAL</t>
  </si>
  <si>
    <t>000000389/OR-FW</t>
  </si>
  <si>
    <t>1123.0000000000000000</t>
  </si>
  <si>
    <t>QNB_EU_CA1-5</t>
  </si>
  <si>
    <t>BankIn-000001137</t>
  </si>
  <si>
    <t>|1201|012|001|001|101000228|101000228||||3068|3136|Payable|||IMPORT||||</t>
  </si>
  <si>
    <t>O25-IMP-OC-158|‏ME_Q-20241205695-IMP-FCL‎|‏Sl-000011‎|‏Ag-000115‎|‏YMJAU670008417‎|‏‎|‏‎|‏‎|‏‎|‏‎|‏DEHAM Hamburg‎|‏EGALY Alexandria, Egypt (old)‎|‏‎|‏‎|‏‎|‏‎|‏‎|‏05/01/2025‎|‏31/01/2025‎</t>
  </si>
  <si>
    <t>1124.0000000000000000</t>
  </si>
  <si>
    <t>101000228</t>
  </si>
  <si>
    <t>200214047</t>
  </si>
  <si>
    <t>1752/INV</t>
  </si>
  <si>
    <t>000001752/Invoice</t>
  </si>
  <si>
    <t>1125.0000000000000000</t>
  </si>
  <si>
    <t>POS_EG-48</t>
  </si>
  <si>
    <t>POS-000001138</t>
  </si>
  <si>
    <t>|1301|013|001|001|101001569|101001569||||3076|3208|Collect|||IMPORT||||</t>
  </si>
  <si>
    <t>O25-IMP-OC-637|‏ME_Q-20250108808-IMP-LCL‎|‏RP-000007‎|‏RP-000001‎|‏‎|‏‎|‏‎|‏‎|‏‎|‏MSC MADELEINE‎|‏BEANR Antwerp‎|‏696 ALEXANDRIA‎|‏‎|‏31/12/2024‎|‏14/01/2025‎|‏‎|‏‎|‏16/01/2025‎|‏‎</t>
  </si>
  <si>
    <t>1126.0000000000000000</t>
  </si>
  <si>
    <t>101001569</t>
  </si>
  <si>
    <t>100047912</t>
  </si>
  <si>
    <t>1812/THC</t>
  </si>
  <si>
    <t>000001812/Invoice</t>
  </si>
  <si>
    <t>1127.0000000000000000</t>
  </si>
  <si>
    <t>POS_EG-49</t>
  </si>
  <si>
    <t>POS-000001139</t>
  </si>
  <si>
    <t>1128.0000000000000000</t>
  </si>
  <si>
    <t>1811/NAFEZA SERVICE</t>
  </si>
  <si>
    <t>000001811/Invoice</t>
  </si>
  <si>
    <t>1129.0000000000000000</t>
  </si>
  <si>
    <t>POS_EG-42</t>
  </si>
  <si>
    <t>POS-000001140</t>
  </si>
  <si>
    <t>1130.0000000000000000</t>
  </si>
  <si>
    <t>1722/THC</t>
  </si>
  <si>
    <t>000001722/Invoice</t>
  </si>
  <si>
    <t>1131.0000000000000000</t>
  </si>
  <si>
    <t>POS_EG-40</t>
  </si>
  <si>
    <t>POS-000001141</t>
  </si>
  <si>
    <t>O25-IMP-OC-654|‏ME_Q-20250108436-IMP-LCL‎|‏Sl-000001‎|‏Ag-000200‎|‏COSU6404062110‎|‏‎|‏‎|‏‎|‏‎|‏CMA CGM RODOLPHE‎|‏CNSHA Shanghai‎|‏EGALY Alexandria, Egypt (old)‎|‏19/01/2025‎|‏‎|‏19/01/2025‎|‏‎|‏‎|‏16/01/2025‎|‏31/01/2025‎</t>
  </si>
  <si>
    <t>1132.0000000000000000</t>
  </si>
  <si>
    <t>1708/NAFEZA SERVICE</t>
  </si>
  <si>
    <t>000001708/Invoice</t>
  </si>
  <si>
    <t>1133.0000000000000000</t>
  </si>
  <si>
    <t>1709/THC</t>
  </si>
  <si>
    <t>000001709/Invoice</t>
  </si>
  <si>
    <t>1134.0000000000000000</t>
  </si>
  <si>
    <t>1711/NAFEZA SERVICE</t>
  </si>
  <si>
    <t>000001711/Invoice</t>
  </si>
  <si>
    <t>1135.0000000000000000</t>
  </si>
  <si>
    <t>1712/THC</t>
  </si>
  <si>
    <t>000001712/Invoice</t>
  </si>
  <si>
    <t>1136.0000000000000000</t>
  </si>
  <si>
    <t>QNB_US_CA1-5</t>
  </si>
  <si>
    <t>BankIn-000001142</t>
  </si>
  <si>
    <t>O25-IMP-OC-251|‏ME_Q-20250107970-IMP-LCL‎|‏Sl-000001‎|‏Ag-000122‎|‏OOLU8897956780‎|‏‎|‏‎|‏‎|‏‎|‏CMA CGM LISA MARIE-‎|‏CNSHA Shanghai‎|‏EGALY Alexandria, Egypt (old)‎|‏16/01/2025‎|‏19/11/2024‎|‏16/01/2025‎|‏‎|‏‎|‏15/01/2025‎|‏31/01/2025‎</t>
  </si>
  <si>
    <t>1137.0000000000000000</t>
  </si>
  <si>
    <t>152/مطالبة نولون محصلة لصالح الغير</t>
  </si>
  <si>
    <t>000000152/OF-FW</t>
  </si>
  <si>
    <t>1138.0000000000000000</t>
  </si>
  <si>
    <t>QNB_US_CA1-6</t>
  </si>
  <si>
    <t>BankIn-000001143</t>
  </si>
  <si>
    <t>O25-IMP-OC-500|‏ME_Q-20241104210-IMP-LCL‎|‏Sl-000002‎|‏RP-000001‎|‏‎|‏‎|‏‎|‏‎|‏‎|‏CMA CGM LOIRE‎|‏CNSZX Shenzhen‎|‏696 ALEXANDRIA‎|‏14/01/2025‎|‏‎|‏14/01/2025‎|‏‎|‏‎|‏14/01/2025‎|‏‎</t>
  </si>
  <si>
    <t>1139.0000000000000000</t>
  </si>
  <si>
    <t>109/مطالبة نولون محصلة لصالح الغير</t>
  </si>
  <si>
    <t>000000109/OF-FW</t>
  </si>
  <si>
    <t>1140.0000000000000000</t>
  </si>
  <si>
    <t>QNB_US_CA1-8</t>
  </si>
  <si>
    <t>BankIn-000001144</t>
  </si>
  <si>
    <t>O25-IMP-OC-500|‏ME_Q-20241104208-IMP-LCL‎|‏Sl-000002‎|‏RP-000001‎|‏‎|‏‎|‏‎|‏‎|‏‎|‏CMA CGM LOIRE‎|‏CNSZX Shenzhen‎|‏696 ALEXANDRIA‎|‏14/01/2025‎|‏‎|‏14/01/2025‎|‏‎|‏‎|‏14/01/2025‎|‏‎</t>
  </si>
  <si>
    <t>1141.0000000000000000</t>
  </si>
  <si>
    <t>108/مطالبة نولون محصلة لصالح الغير</t>
  </si>
  <si>
    <t>000000108/OF-FW</t>
  </si>
  <si>
    <t>1142.0000000000000000</t>
  </si>
  <si>
    <t>POS_EG-44</t>
  </si>
  <si>
    <t>POS-000001145</t>
  </si>
  <si>
    <t>|1301|013|001|001|101000356|101000356||||MESCO LCL PSD SALES|3336|Collect|||IMPORT||||</t>
  </si>
  <si>
    <t>O25-IMP-OC-241|‏ME_Q-20250107871-IMP-LCL‎|‏Sl-000016‎|‏Ag-000163‎|‏10166256‎|‏‎|‏‎|‏‎|‏‎|‏TURKON EGYPT‎|‏TRKMX KUMPORT‎|‏EGALY Alexandria, Egypt (old)‎|‏14/01/2025‎|‏‎|‏14/01/2025‎|‏‎|‏‎|‏08/01/2025‎|‏31/01/2025‎</t>
  </si>
  <si>
    <t>1143.0000000000000000</t>
  </si>
  <si>
    <t>1728/THC</t>
  </si>
  <si>
    <t>000001728/Invoice</t>
  </si>
  <si>
    <t>1144.0000000000000000</t>
  </si>
  <si>
    <t>POS_EG-45</t>
  </si>
  <si>
    <t>POS-000001146</t>
  </si>
  <si>
    <t>1145.0000000000000000</t>
  </si>
  <si>
    <t>1727/NAFEZA SERVICE</t>
  </si>
  <si>
    <t>000001727/Invoice</t>
  </si>
  <si>
    <t>1146.0000000000000000</t>
  </si>
  <si>
    <t>CIB_US_CA-7</t>
  </si>
  <si>
    <t>BankIn-000001147</t>
  </si>
  <si>
    <t>O25-IMP-OC-385|‏ME_Q-20250108416-IMP-LCL‎|‏Sl-000011‎|‏RP-000001‎|‏‎|‏‎|‏‎|‏‎|‏‎|‏EGY FUTURE‎|‏HKHKG Hong Kong‎|‏696 ALEXANDRIA‎|‏13/01/2025‎|‏‎|‏13/01/2025‎|‏‎|‏‎|‏11/01/2025‎|‏‎</t>
  </si>
  <si>
    <t>1147.0000000000000000</t>
  </si>
  <si>
    <t>173/مطالبة نولون محصلة لصالح الغير</t>
  </si>
  <si>
    <t>000000173/OF-FW</t>
  </si>
  <si>
    <t>1148.0000000000000000</t>
  </si>
  <si>
    <t>CIB_US_CA-8</t>
  </si>
  <si>
    <t>BankIn-000001148</t>
  </si>
  <si>
    <t>|1301|013|001|001|101000359|101000359||||3038|3077|Collect|||IMPORT||||</t>
  </si>
  <si>
    <t>O25-IMP-OC-626|‏ME_Q-20250108421-IMP-LCL‎|‏Sl-000001‎|‏Ag-000200‎|‏COSU6403916670‎|‏‎|‏‎|‏‎|‏‎|‏CMA CGM LISA MARIE-‎|‏CNSHA Shanghai‎|‏EGALY Alexandria, Egypt (old)‎|‏16/01/2025‎|‏‎|‏16/01/2025‎|‏‎|‏‎|‏16/01/2025‎|‏31/01/2025‎</t>
  </si>
  <si>
    <t>1149.0000000000000000</t>
  </si>
  <si>
    <t>172/مطالبة نولون محصلة لصالح الغير</t>
  </si>
  <si>
    <t>000000172/OF-FW</t>
  </si>
  <si>
    <t>1150.0000000000000000</t>
  </si>
  <si>
    <t>CIB_US_CA-9</t>
  </si>
  <si>
    <t>BankIn-000001149</t>
  </si>
  <si>
    <t>O25-IMP-OC-626|‏ME_Q-20250108419-IMP-LCL‎|‏Sl-000001‎|‏Ag-000200‎|‏COSU6403916670‎|‏‎|‏‎|‏‎|‏‎|‏CMA CGM LISA MARIE-‎|‏CNSHA Shanghai‎|‏EGALY Alexandria, Egypt (old)‎|‏16/01/2025‎|‏‎|‏16/01/2025‎|‏‎|‏‎|‏16/01/2025‎|‏31/01/2025‎</t>
  </si>
  <si>
    <t>1151.0000000000000000</t>
  </si>
  <si>
    <t>171/مطالبة نولون محصلة لصالح الغير</t>
  </si>
  <si>
    <t>000000171/OF-FW</t>
  </si>
  <si>
    <t>1152.0000000000000000</t>
  </si>
  <si>
    <t>POS_EG-46</t>
  </si>
  <si>
    <t>POS-000001150</t>
  </si>
  <si>
    <t>|1301|013|001|001|101001569|101001569||||3076|3336|Collect|||IMPORT||||</t>
  </si>
  <si>
    <t>O25-IMP-OC-724|‏ME_Q-20250108802-IMP-LCL‎|‏RP-000001‎|‏RP-000001‎|‏‎|‏‎|‏‎|‏‎|‏‎|‏CMA CGM LISA MARIE-‎|‏CNSHA Shanghai‎|‏696 ALEXANDRIA‎|‏‎|‏‎|‏16/01/2025‎|‏‎|‏‎|‏19/01/2025‎|‏‎</t>
  </si>
  <si>
    <t>1153.0000000000000000</t>
  </si>
  <si>
    <t>1813/THC</t>
  </si>
  <si>
    <t>000001813/Invoice</t>
  </si>
  <si>
    <t>1154.0000000000000000</t>
  </si>
  <si>
    <t>POS_EG-47</t>
  </si>
  <si>
    <t>POS-000001151</t>
  </si>
  <si>
    <t>1155.0000000000000000</t>
  </si>
  <si>
    <t>1814/NAFEZA SERVICE</t>
  </si>
  <si>
    <t>000001814/Invoice</t>
  </si>
  <si>
    <t>1156.0000000000000000</t>
  </si>
  <si>
    <t>ALEXHO EU-3</t>
  </si>
  <si>
    <t>CashIn-000001152</t>
  </si>
  <si>
    <t>|1301|013|001|001|101001373|101001373||||3038|3208|Collect|||IMPORT||||</t>
  </si>
  <si>
    <t>O25-IMP-OC-395|‏ME_Q-20241205697-IMP-LCL‎|‏Sl-000004‎|‏RP-000001‎|‏‎|‏‎|‏‎|‏‎|‏‎|‏TEOMAN A‎|‏ITGOA Genoa‎|‏696 ALEXANDRIA‎|‏11/01/2025‎|‏07/01/2025‎|‏11/01/2025‎|‏‎|‏‎|‏12/01/2025‎|‏31/01/2025‎</t>
  </si>
  <si>
    <t>1157.0000000000000000</t>
  </si>
  <si>
    <t>101001373</t>
  </si>
  <si>
    <t>100445861</t>
  </si>
  <si>
    <t>76/مطالبة نولون محصلة لصالح الغير</t>
  </si>
  <si>
    <t>000000076/OF-FW</t>
  </si>
  <si>
    <t>1158.0000000000000000</t>
  </si>
  <si>
    <t>ALEXHO EG-194</t>
  </si>
  <si>
    <t>CashIn-000001153</t>
  </si>
  <si>
    <t>1159.0000000000000000</t>
  </si>
  <si>
    <t>814/THC</t>
  </si>
  <si>
    <t>000000814/Invoice</t>
  </si>
  <si>
    <t>1160.0000000000000000</t>
  </si>
  <si>
    <t>ALEXHO EG-195</t>
  </si>
  <si>
    <t>CashIn-000001154</t>
  </si>
  <si>
    <t>1161.0000000000000000</t>
  </si>
  <si>
    <t>813/NAFEZA SERVICE</t>
  </si>
  <si>
    <t>000000813/Invoice</t>
  </si>
  <si>
    <t>1162.0000000000000000</t>
  </si>
  <si>
    <t>Merghem EG-14</t>
  </si>
  <si>
    <t>CashIn-000001157</t>
  </si>
  <si>
    <t>1163.0000000000000000</t>
  </si>
  <si>
    <t>1707/STOR   IMPORT ALEX</t>
  </si>
  <si>
    <t>000001707/Invoice</t>
  </si>
  <si>
    <t>1164.0000000000000000</t>
  </si>
  <si>
    <t>Merghem EG-15</t>
  </si>
  <si>
    <t>CashIn-000001159</t>
  </si>
  <si>
    <t>|1302|013|001|001|101002268|101002268||||3075|3208|Collect|||IMPORT||||</t>
  </si>
  <si>
    <t>1165.0000000000000000</t>
  </si>
  <si>
    <t>1716/STOR   IMPORT ALEX</t>
  </si>
  <si>
    <t>000001716/Invoice</t>
  </si>
  <si>
    <t>1166.0000000000000000</t>
  </si>
  <si>
    <t>ALEXHO EG-196</t>
  </si>
  <si>
    <t>CashIn-000001160</t>
  </si>
  <si>
    <t>O25-IMP-OC-358|‏ME_Q-20250108423-IMP-LCL‎|‏Sl-000001‎|‏Ag-000122‎|‏COSU6404501120‎|‏‎|‏‎|‏‎|‏‎|‏CMA CGM RODOLPHE‎|‏CNSHA Shanghai‎|‏EGALY Alexandria, Egypt (old)‎|‏19/01/2025‎|‏‎|‏19/01/2025‎|‏‎|‏‎|‏11/01/2025‎|‏31/01/2025‎</t>
  </si>
  <si>
    <t>1167.0000000000000000</t>
  </si>
  <si>
    <t>1564/THC</t>
  </si>
  <si>
    <t>000001564/Invoice</t>
  </si>
  <si>
    <t>1168.0000000000000000</t>
  </si>
  <si>
    <t>ALEXHO EG-197</t>
  </si>
  <si>
    <t>CashIn-000001161</t>
  </si>
  <si>
    <t>O25-IMP-OC-731|‏ME_Q-20250108439-IMP-LCL‎|‏Sl-000036‎|‏RP-000001‎|‏‎|‏‎|‏‎|‏‎|‏‎|‏CMA CGM RODOLPHE‎|‏KRPUS Busan‎|‏696 ALEXANDRIA‎|‏‎|‏25/12/2024‎|‏19/01/2025‎|‏‎|‏‎|‏20/01/2025‎|‏‎</t>
  </si>
  <si>
    <t>1169.0000000000000000</t>
  </si>
  <si>
    <t>1560/NAFEZA SERVICE</t>
  </si>
  <si>
    <t>000001560/Invoice</t>
  </si>
  <si>
    <t>1170.0000000000000000</t>
  </si>
  <si>
    <t>ALEXHO EG-198</t>
  </si>
  <si>
    <t>CashIn-000001162</t>
  </si>
  <si>
    <t>1171.0000000000000000</t>
  </si>
  <si>
    <t>1386/THC</t>
  </si>
  <si>
    <t>000001386/Invoice</t>
  </si>
  <si>
    <t>1172.0000000000000000</t>
  </si>
  <si>
    <t>ALEXHO EG-199</t>
  </si>
  <si>
    <t>CashIn-000001163</t>
  </si>
  <si>
    <t>1173.0000000000000000</t>
  </si>
  <si>
    <t>1385/NAFEZA SERVICE</t>
  </si>
  <si>
    <t>000001385/Invoice</t>
  </si>
  <si>
    <t>1174.0000000000000000</t>
  </si>
  <si>
    <t>ALEXHO EG-200</t>
  </si>
  <si>
    <t>CashIn-000001164</t>
  </si>
  <si>
    <t>O25-IMP-OC-731|‏ME_Q-20250108442-IMP-LCL‎|‏Sl-000036‎|‏RP-000001‎|‏‎|‏‎|‏‎|‏‎|‏‎|‏CMA CGM RODOLPHE‎|‏KRPUS Busan‎|‏696 ALEXANDRIA‎|‏‎|‏25/12/2024‎|‏19/01/2025‎|‏‎|‏‎|‏20/01/2025‎|‏‎</t>
  </si>
  <si>
    <t>1175.0000000000000000</t>
  </si>
  <si>
    <t>1567/THC</t>
  </si>
  <si>
    <t>000001567/Invoice</t>
  </si>
  <si>
    <t>1176.0000000000000000</t>
  </si>
  <si>
    <t>ALEXHO EG-201</t>
  </si>
  <si>
    <t>CashIn-000001165</t>
  </si>
  <si>
    <t>1177.0000000000000000</t>
  </si>
  <si>
    <t>1566/NAFEZA SERVICE</t>
  </si>
  <si>
    <t>000001566/Invoice</t>
  </si>
  <si>
    <t>1178.0000000000000000</t>
  </si>
  <si>
    <t>ALEXHO EG-202</t>
  </si>
  <si>
    <t>CashIn-000001166</t>
  </si>
  <si>
    <t>1179.0000000000000000</t>
  </si>
  <si>
    <t>1561/THC</t>
  </si>
  <si>
    <t>000001561/Invoice</t>
  </si>
  <si>
    <t>1180.0000000000000000</t>
  </si>
  <si>
    <t>ALEXHO EG-203</t>
  </si>
  <si>
    <t>CashIn-000001167</t>
  </si>
  <si>
    <t>1181.0000000000000000</t>
  </si>
  <si>
    <t>1565/NAFEZA SERVICE</t>
  </si>
  <si>
    <t>000001565/Invoice</t>
  </si>
  <si>
    <t>1182.0000000000000000</t>
  </si>
  <si>
    <t>PSD EG-93</t>
  </si>
  <si>
    <t>CashIn-000001168</t>
  </si>
  <si>
    <t>|1302|013|001|005|101001260|101001260||||3075|5013|Collect|||IMPORT||||</t>
  </si>
  <si>
    <t>1183.0000000000000000</t>
  </si>
  <si>
    <t>1724/STOR IMPORT PSD</t>
  </si>
  <si>
    <t>000001724/Invoice</t>
  </si>
  <si>
    <t>1184.0000000000000000</t>
  </si>
  <si>
    <t>PSD EG-94</t>
  </si>
  <si>
    <t>CashIn-000001169</t>
  </si>
  <si>
    <t>|1401|014|001|005|101001260|101001260||||3075|5013|Collect|||IMPORT||||</t>
  </si>
  <si>
    <t>1185.0000000000000000</t>
  </si>
  <si>
    <t>1723/G3ALA INVOICE PSD</t>
  </si>
  <si>
    <t>000001723/Invoice</t>
  </si>
  <si>
    <t>1186.0000000000000000</t>
  </si>
  <si>
    <t>ALEXHO US-16</t>
  </si>
  <si>
    <t>CashIn-000001170</t>
  </si>
  <si>
    <t>1187.0000000000000000</t>
  </si>
  <si>
    <t>165/مطالبة نولون محصلة لصالح الغير</t>
  </si>
  <si>
    <t>000000165/OF-FW</t>
  </si>
  <si>
    <t>1188.0000000000000000</t>
  </si>
  <si>
    <t>ALEXHO US-17</t>
  </si>
  <si>
    <t>CashIn-000001171</t>
  </si>
  <si>
    <t>1189.0000000000000000</t>
  </si>
  <si>
    <t>168/مطالبة نولون محصلة لصالح الغير</t>
  </si>
  <si>
    <t>000000168/OF-FW</t>
  </si>
  <si>
    <t>1190.0000000000000000</t>
  </si>
  <si>
    <t>ALEXHO US-18</t>
  </si>
  <si>
    <t>CashIn-000001172</t>
  </si>
  <si>
    <t>1191.0000000000000000</t>
  </si>
  <si>
    <t>167/مطالبة نولون محصلة لصالح الغير</t>
  </si>
  <si>
    <t>000000167/OF-FW</t>
  </si>
  <si>
    <t>1192.0000000000000000</t>
  </si>
  <si>
    <t>PSD EG-95</t>
  </si>
  <si>
    <t>CashIn-000001173</t>
  </si>
  <si>
    <t>|1301|013|001|005|101000554|101000554||||MESCO LCL PSD SALES|5013|Collect|||IMPORT||||</t>
  </si>
  <si>
    <t>O24-IMP-OC-1|‏ME_Q-20250106769-IMP-LCL‎|‏Sl-000007‎|‏Ag-000010‎|‏EGLV142403621723‎|‏‎|‏‎|‏‎|‏‎|‏EGY FUTURE‎|‏CNSHA Shanghai‎|‏EGPSD Port Said West‎|‏08/01/2025‎|‏30/11/2024‎|‏08/01/2025‎|‏‎|‏‎|‏02/01/2025‎|‏31/01/2025‎</t>
  </si>
  <si>
    <t>1193.0000000000000000</t>
  </si>
  <si>
    <t>359/NAFEZA SERVICE PSD</t>
  </si>
  <si>
    <t>000000359/Invoice</t>
  </si>
  <si>
    <t>1194.0000000000000000</t>
  </si>
  <si>
    <t>Merghem EG-16</t>
  </si>
  <si>
    <t>CashIn-000001174</t>
  </si>
  <si>
    <t>|1302|013|001|001|101004566|101004566||||3038|3336|Collect|||IMPORT||||</t>
  </si>
  <si>
    <t>1195.0000000000000000</t>
  </si>
  <si>
    <t>1742/STOR   IMPORT ALEX</t>
  </si>
  <si>
    <t>000001742/Invoice</t>
  </si>
  <si>
    <t>1196.0000000000000000</t>
  </si>
  <si>
    <t>ALEXHO EG-204</t>
  </si>
  <si>
    <t>CashIn-000001186</t>
  </si>
  <si>
    <t>O25-IMP-OC-385|‏ME_Q-20241002615-IMP-LCL‎|‏Sl-000011‎|‏RP-000001‎|‏‎|‏‎|‏‎|‏‎|‏‎|‏EGY FUTURE‎|‏HKHKG Hong Kong‎|‏696 ALEXANDRIA‎|‏13/01/2025‎|‏‎|‏13/01/2025‎|‏‎|‏‎|‏11/01/2025‎|‏‎</t>
  </si>
  <si>
    <t>1197.0000000000000000</t>
  </si>
  <si>
    <t>1777/THC</t>
  </si>
  <si>
    <t>000001777/Invoice</t>
  </si>
  <si>
    <t>1198.0000000000000000</t>
  </si>
  <si>
    <t>ALEXHO EG-205</t>
  </si>
  <si>
    <t>CashIn-000001187</t>
  </si>
  <si>
    <t>1199.0000000000000000</t>
  </si>
  <si>
    <t>1776/NAFEZA SERVICE</t>
  </si>
  <si>
    <t>000001776/Invoice</t>
  </si>
  <si>
    <t>1200.0000000000000000</t>
  </si>
  <si>
    <t>PSD EG-96</t>
  </si>
  <si>
    <t>CashIn-000001191</t>
  </si>
  <si>
    <t>|1401|014|001|005|101001659|101001659||||3042|5013|Prepaid|||IMPORT||||</t>
  </si>
  <si>
    <t>1201.0000000000000000</t>
  </si>
  <si>
    <t>1780/G3ALA INVOICE PSD</t>
  </si>
  <si>
    <t>000001780/Invoice</t>
  </si>
  <si>
    <t>1202.0000000000000000</t>
  </si>
  <si>
    <t>PSD EG-97</t>
  </si>
  <si>
    <t>CashIn-000001192</t>
  </si>
  <si>
    <t>|1302|013|001|005|101001659|101001659||||3042|5013|Prepaid|||IMPORT||||</t>
  </si>
  <si>
    <t>1203.0000000000000000</t>
  </si>
  <si>
    <t>1781/STOR IMPORT PSD</t>
  </si>
  <si>
    <t>000001781/Invoice</t>
  </si>
  <si>
    <t>1204.0000000000000000</t>
  </si>
  <si>
    <t>ALEXHO EG-206</t>
  </si>
  <si>
    <t>CashIn-000001198</t>
  </si>
  <si>
    <t>O25-IMP-OC-875|‏ME_Q-20250108746-IMP-FCL‎|‏RP-000007‎|‏Ag-000068‎|‏MEDUVM424077‎|‏‎|‏‎|‏‎|‏‎|‏‎|‏NLRTM Rotterdam‎|‏EGEDK Dekheila, Alexandria‎|‏‎|‏‎|‏‎|‏‎|‏‎|‏22/01/2025‎|‏31/01/2025‎</t>
  </si>
  <si>
    <t>1205.0000000000000000</t>
  </si>
  <si>
    <t>1784/INV</t>
  </si>
  <si>
    <t>000001784/Invoice</t>
  </si>
  <si>
    <t>1206.0000000000000000</t>
  </si>
  <si>
    <t>ALEXHO EG-207</t>
  </si>
  <si>
    <t>CashIn-000001199</t>
  </si>
  <si>
    <t>|1201|012|001|001|101002759|101002759||||FREEHAND|3142|Payable|||IMPORT||||</t>
  </si>
  <si>
    <t>O25-IMP-OC-881|‏ME_Q-20250108758-IMP-FCL‎|‏Sl-000002‎|‏Ag-000068‎|‏HBG1920321‎|‏‎|‏‎|‏‎|‏‎|‏‎|‏DEHAM Hamburg‎|‏EGALY Alexandria, Egypt (old)‎|‏‎|‏‎|‏‎|‏‎|‏‎|‏22/01/2025‎|‏31/01/2025‎</t>
  </si>
  <si>
    <t>1207.0000000000000000</t>
  </si>
  <si>
    <t>101002759</t>
  </si>
  <si>
    <t>324927835</t>
  </si>
  <si>
    <t>1783/INV</t>
  </si>
  <si>
    <t>000001783/Invoice</t>
  </si>
  <si>
    <t>1208.0000000000000000</t>
  </si>
  <si>
    <t>ALEXHO EG-208</t>
  </si>
  <si>
    <t>CashIn-000001200</t>
  </si>
  <si>
    <t>|1301|013|001|001|101000244|101000244||||3031|3208|Collect|||IMPORT||||</t>
  </si>
  <si>
    <t>O25-IMP-OC-409|‏ME_Q-20241206115-IMP-LCL‎|‏Sl-000079‎|‏RP-000001‎|‏‎|‏‎|‏‎|‏‎|‏‎|‏MAERSK NUBA‎|‏ESBCN Barcelona‎|‏696 ALEXANDRIA‎|‏14/01/2025‎|‏09/01/2025‎|‏14/01/2025‎|‏‎|‏‎|‏12/01/2025‎|‏‎</t>
  </si>
  <si>
    <t>1209.0000000000000000</t>
  </si>
  <si>
    <t>727/THC</t>
  </si>
  <si>
    <t>000000727/Invoice</t>
  </si>
  <si>
    <t>1210.0000000000000000</t>
  </si>
  <si>
    <t>ALEXHO EG-209</t>
  </si>
  <si>
    <t>CashIn-000001201</t>
  </si>
  <si>
    <t>1211.0000000000000000</t>
  </si>
  <si>
    <t>726/NAFEZA SERVICE</t>
  </si>
  <si>
    <t>000000726/Invoice</t>
  </si>
  <si>
    <t>1212.0000000000000000</t>
  </si>
  <si>
    <t>ALEXHO EG-210</t>
  </si>
  <si>
    <t>CashIn-000001208</t>
  </si>
  <si>
    <t>1213.0000000000000000</t>
  </si>
  <si>
    <t>1599/THC</t>
  </si>
  <si>
    <t>000001599/Invoice</t>
  </si>
  <si>
    <t>1214.0000000000000000</t>
  </si>
  <si>
    <t>ALEXHO EG-211</t>
  </si>
  <si>
    <t>CashIn-000001209</t>
  </si>
  <si>
    <t>1215.0000000000000000</t>
  </si>
  <si>
    <t>1600/NAFEZA SERVICE</t>
  </si>
  <si>
    <t>000001600/Invoice</t>
  </si>
  <si>
    <t>1216.0000000000000000</t>
  </si>
  <si>
    <t>ALEXHO EG-212</t>
  </si>
  <si>
    <t>CashIn-000001210</t>
  </si>
  <si>
    <t>1217.0000000000000000</t>
  </si>
  <si>
    <t>1598/THC</t>
  </si>
  <si>
    <t>000001598/Invoice</t>
  </si>
  <si>
    <t>1218.0000000000000000</t>
  </si>
  <si>
    <t>ALEXHO EG-213</t>
  </si>
  <si>
    <t>CashIn-000001211</t>
  </si>
  <si>
    <t>1219.0000000000000000</t>
  </si>
  <si>
    <t>1597/NAFEZA SERVICE</t>
  </si>
  <si>
    <t>000001597/Invoice</t>
  </si>
  <si>
    <t>1220.0000000000000000</t>
  </si>
  <si>
    <t>ALEXHO EG-214</t>
  </si>
  <si>
    <t>CashIn-000001212</t>
  </si>
  <si>
    <t>1221.0000000000000000</t>
  </si>
  <si>
    <t>1595/THC</t>
  </si>
  <si>
    <t>000001595/Invoice</t>
  </si>
  <si>
    <t>1222.0000000000000000</t>
  </si>
  <si>
    <t>ALEXHO EG-215</t>
  </si>
  <si>
    <t>CashIn-000001213</t>
  </si>
  <si>
    <t>1223.0000000000000000</t>
  </si>
  <si>
    <t>1596/NAFEZA SERVICE</t>
  </si>
  <si>
    <t>000001596/Invoice</t>
  </si>
  <si>
    <t>1224.0000000000000000</t>
  </si>
  <si>
    <t>PSD EG-98</t>
  </si>
  <si>
    <t>CashIn-000001214</t>
  </si>
  <si>
    <t>|1302|013|001|005|101000521|101000521||||3031|5013|Collect|||IMPORT||||</t>
  </si>
  <si>
    <t>1225.0000000000000000</t>
  </si>
  <si>
    <t>1802/STOR IMPORT PSD</t>
  </si>
  <si>
    <t>000001802/Invoice</t>
  </si>
  <si>
    <t>1226.0000000000000000</t>
  </si>
  <si>
    <t>PSD EG-99</t>
  </si>
  <si>
    <t>CashIn-000001215</t>
  </si>
  <si>
    <t>|1401|014|001|005|101000521|101000521||||3031|5013|Collect|||IMPORT||||</t>
  </si>
  <si>
    <t>1227.0000000000000000</t>
  </si>
  <si>
    <t>1801/G3ALA INVOICE PSD</t>
  </si>
  <si>
    <t>000001801/Invoice</t>
  </si>
  <si>
    <t>1228.0000000000000000</t>
  </si>
  <si>
    <t>ALEXHO EG-216</t>
  </si>
  <si>
    <t>CashIn-000001229</t>
  </si>
  <si>
    <t>|1301|013|001|001|101001175|101001175||||4019|3208|Collect|||IMPORT||||</t>
  </si>
  <si>
    <t>O25-IMP-OC-571|‏ME_Q-20250108661-IMP-LCL‎|‏RP-000007‎|‏RP-000001‎|‏‎|‏‎|‏‎|‏‎|‏‎|‏MSC EAGLE III‎|‏FRFOS Fos-sur-Mer‎|‏696 ALEXANDRIA‎|‏‎|‏30/12/2024‎|‏17/01/2025‎|‏‎|‏‎|‏15/01/2025‎|‏31/01/2025‎</t>
  </si>
  <si>
    <t>1229.0000000000000000</t>
  </si>
  <si>
    <t>101001175</t>
  </si>
  <si>
    <t>204980240</t>
  </si>
  <si>
    <t>1756/THC</t>
  </si>
  <si>
    <t>000001756/Invoice</t>
  </si>
  <si>
    <t>1230.0000000000000000</t>
  </si>
  <si>
    <t>ALEXHO EG-217</t>
  </si>
  <si>
    <t>CashIn-000001230</t>
  </si>
  <si>
    <t>1231.0000000000000000</t>
  </si>
  <si>
    <t>1755/NAFEZA SERVICE</t>
  </si>
  <si>
    <t>000001755/Invoice</t>
  </si>
  <si>
    <t>1232.0000000000000000</t>
  </si>
  <si>
    <t>Merghem EG-17</t>
  </si>
  <si>
    <t>CashIn-000001235</t>
  </si>
  <si>
    <t>|1302|013|001|001|101001642|101001642||||3038|3208|Collect|||IMPORT||||</t>
  </si>
  <si>
    <t>1233.0000000000000000</t>
  </si>
  <si>
    <t>1807/STOR   IMPORT ALEX</t>
  </si>
  <si>
    <t>000001807/Invoice</t>
  </si>
  <si>
    <t>1234.0000000000000000</t>
  </si>
  <si>
    <t>ALEXHO EG-218</t>
  </si>
  <si>
    <t>CashIn-000001236</t>
  </si>
  <si>
    <t>|1301|013|001|001|101000057|101000057||||3075|3208|Collect|||IMPORT||||</t>
  </si>
  <si>
    <t>O25-IMP-OC-108|‏ME_Q-20250108146-IMP-LCL‎|‏Sl-000002‎|‏RP-000001‎|‏‎|‏‎|‏‎|‏‎|‏‎|‏CMA CGM LISA MARIE-‎|‏CNSZX Shenzhen‎|‏696 ALEXANDRIA‎|‏16/01/2025‎|‏‎|‏16/01/2025‎|‏‎|‏‎|‏04/01/2025‎|‏‎</t>
  </si>
  <si>
    <t>1235.0000000000000000</t>
  </si>
  <si>
    <t>101000057</t>
  </si>
  <si>
    <t>239855175</t>
  </si>
  <si>
    <t>1242/THC</t>
  </si>
  <si>
    <t>000001242/Invoice</t>
  </si>
  <si>
    <t>1236.0000000000000000</t>
  </si>
  <si>
    <t>ALEXHO EG-219</t>
  </si>
  <si>
    <t>CashIn-000001237</t>
  </si>
  <si>
    <t>1237.0000000000000000</t>
  </si>
  <si>
    <t>1241/NAFEZA SERVICE</t>
  </si>
  <si>
    <t>000001241/Invoice</t>
  </si>
  <si>
    <t>1238.0000000000000000</t>
  </si>
  <si>
    <t>Merghem EG-18</t>
  </si>
  <si>
    <t>CashIn-000001238</t>
  </si>
  <si>
    <t>|1302|013|001|001|101000283|101000283||||3038|3336|Collect|||IMPORT||||</t>
  </si>
  <si>
    <t>1239.0000000000000000</t>
  </si>
  <si>
    <t>1810/STOR   IMPORT ALEX</t>
  </si>
  <si>
    <t>000001810/Invoice</t>
  </si>
  <si>
    <t>1240.0000000000000000</t>
  </si>
  <si>
    <t>Merghem EG-19</t>
  </si>
  <si>
    <t>CashIn-000001239</t>
  </si>
  <si>
    <t>1241.0000000000000000</t>
  </si>
  <si>
    <t>1806/STOR   IMPORT ALEX</t>
  </si>
  <si>
    <t>000001806/Invoice</t>
  </si>
  <si>
    <t>1242.0000000000000000</t>
  </si>
  <si>
    <t>ALEXHO US-19</t>
  </si>
  <si>
    <t>CashIn-000001249</t>
  </si>
  <si>
    <t>1243.0000000000000000</t>
  </si>
  <si>
    <t>212/مطالبة نولون محصلة لصالح الغير</t>
  </si>
  <si>
    <t>000000212/OF-FW</t>
  </si>
  <si>
    <t>1244.0000000000000000</t>
  </si>
  <si>
    <t>QNB_EG_CA1-7</t>
  </si>
  <si>
    <t>BankIn-000001266</t>
  </si>
  <si>
    <t>2025-01-23</t>
  </si>
  <si>
    <t>|1501|015|001|001|101004068|101004068||||KEYACCOUNT|3040|Payable|||EXPORT||||</t>
  </si>
  <si>
    <t>O25-EXP-OC-17|‏ME_Q-20250106592-EXP-FCL‎|‏Sl-000046‎|‏‎|‏‎|‏‎|‏‎|‏‎|‏‎|‏‎|‏EGSOK Sokhna Port‎|‏DJJIB Djibouti‎|‏‎|‏‎|‏‎|‏‎|‏‎|‏01/01/2025‎|‏31/01/2025‎</t>
  </si>
  <si>
    <t>1245.0000000000000000</t>
  </si>
  <si>
    <t>101004068</t>
  </si>
  <si>
    <t>655913947</t>
  </si>
  <si>
    <t>1849/INV</t>
  </si>
  <si>
    <t>000001849/Invoice</t>
  </si>
  <si>
    <t>1246.0000000000000000</t>
  </si>
  <si>
    <t>QNB_EG_CA1-8</t>
  </si>
  <si>
    <t>BankIn-000001267</t>
  </si>
  <si>
    <t>|1201|012|001|001|101004068|101004068||||KEYACCOUNT|3040|Payable|||EXPORT||||</t>
  </si>
  <si>
    <t>1247.0000000000000000</t>
  </si>
  <si>
    <t>400/OFFICIAL</t>
  </si>
  <si>
    <t>000000400/OR-FW</t>
  </si>
  <si>
    <t>1248.0000000000000000</t>
  </si>
  <si>
    <t>QNB_EU_CA1-6</t>
  </si>
  <si>
    <t>BankIn-000001268</t>
  </si>
  <si>
    <t>|1201|012|001|001|101004585|101004585||||4035|3142|Prepaid|||IMPORT||||</t>
  </si>
  <si>
    <t>O25-IMP-OC-299|‏‎|‏Sl-000002‎|‏‎|‏RTM1489321‎|‏‎|‏‎|‏‎|‏‎|‏‎|‏NLRTM Rotterdam‎|‏EGALY Alexandria, Egypt (old)‎|‏‎|‏‎|‏‎|‏‎|‏‎|‏09/01/2025‎|‏31/01/2025‎</t>
  </si>
  <si>
    <t>1249.0000000000000000</t>
  </si>
  <si>
    <t>101004585</t>
  </si>
  <si>
    <t>755124138</t>
  </si>
  <si>
    <t>1868/INV</t>
  </si>
  <si>
    <t>000001868/Invoice</t>
  </si>
  <si>
    <t>1250.0000000000000000</t>
  </si>
  <si>
    <t>POS_EG-50</t>
  </si>
  <si>
    <t>POS-000001269</t>
  </si>
  <si>
    <t>|1301|013|001|001|101001813|101001813||||4062|3208|Collect|||IMPORT||||</t>
  </si>
  <si>
    <t>O25-IMP-OC-571|‏ME_Q-20241104173-IMP-LCL‎|‏RP-000007‎|‏RP-000001‎|‏‎|‏‎|‏‎|‏‎|‏‎|‏MSC EAGLE III‎|‏FRFOS Fos-sur-Mer‎|‏696 ALEXANDRIA‎|‏‎|‏30/12/2024‎|‏17/01/2025‎|‏‎|‏‎|‏15/01/2025‎|‏31/01/2025‎</t>
  </si>
  <si>
    <t>1251.0000000000000000</t>
  </si>
  <si>
    <t>101001813</t>
  </si>
  <si>
    <t>100330371</t>
  </si>
  <si>
    <t>1508/THC</t>
  </si>
  <si>
    <t>000001508/Invoice</t>
  </si>
  <si>
    <t>1252.0000000000000000</t>
  </si>
  <si>
    <t>1509/NAFEZA SERVICE</t>
  </si>
  <si>
    <t>000001509/Invoice</t>
  </si>
  <si>
    <t>1253.0000000000000000</t>
  </si>
  <si>
    <t>HSBC_EU_CA-2</t>
  </si>
  <si>
    <t>BankIn-000001270</t>
  </si>
  <si>
    <t>1254.0000000000000000</t>
  </si>
  <si>
    <t>157/مطالبة نولون محصلة لصالح الغير</t>
  </si>
  <si>
    <t>000000157/OF-FW</t>
  </si>
  <si>
    <t>1255.0000000000000000</t>
  </si>
  <si>
    <t>QNB_US_CA1-10</t>
  </si>
  <si>
    <t>BankIn-000001271</t>
  </si>
  <si>
    <t>|1101|011|001|004|101004540|101004540||||3068|4012|Prepaid|||IMPORT||||</t>
  </si>
  <si>
    <t>O25-IMP-AI-325|‏‎|‏Al-000001‎|‏‎|‏112-12516873‎|‏‎|‏‎|‏‎|‏‎|‏‎|‏HKG HONG KONG‎|‏CAI CAIRO‎|‏‎|‏‎|‏11/01/2025‎|‏‎|‏‎|‏09/01/2025‎|‏31/01/2025‎</t>
  </si>
  <si>
    <t>1256.0000000000000000</t>
  </si>
  <si>
    <t>1882/INV</t>
  </si>
  <si>
    <t>000001882/Invoice</t>
  </si>
  <si>
    <t>1257.0000000000000000</t>
  </si>
  <si>
    <t>QNB_EG_CA1-9</t>
  </si>
  <si>
    <t>BankIn-000001272</t>
  </si>
  <si>
    <t>1258.0000000000000000</t>
  </si>
  <si>
    <t>1883/INV</t>
  </si>
  <si>
    <t>000001883/Invoice</t>
  </si>
  <si>
    <t>1259.0000000000000000</t>
  </si>
  <si>
    <t>QNB_EG_CA1-10</t>
  </si>
  <si>
    <t>BankIn-000001273</t>
  </si>
  <si>
    <t>1260.0000000000000000</t>
  </si>
  <si>
    <t>415/OFFICIAL</t>
  </si>
  <si>
    <t>000000415/OR-FW</t>
  </si>
  <si>
    <t>1261.0000000000000000</t>
  </si>
  <si>
    <t>QNB_EG_CA1-11</t>
  </si>
  <si>
    <t>BankIn-000001274</t>
  </si>
  <si>
    <t>O25-IMP-OC-560|‏ME_Q-20250108408-IMP-LCL‎|‏Sl-000009‎|‏RP-000001‎|‏‎|‏‎|‏‎|‏‎|‏‎|‏SAFEEN PRESTIGE‎|‏AEJEA Jebel Ali‎|‏696 ALEXANDRIA‎|‏‎|‏25/11/2024‎|‏15/01/2025‎|‏‎|‏‎|‏15/01/2025‎|‏‎</t>
  </si>
  <si>
    <t>1262.0000000000000000</t>
  </si>
  <si>
    <t>1499/NAFEZA SERVICE</t>
  </si>
  <si>
    <t>000001499/Invoice</t>
  </si>
  <si>
    <t>1263.0000000000000000</t>
  </si>
  <si>
    <t>1500/THC</t>
  </si>
  <si>
    <t>000001500/Invoice</t>
  </si>
  <si>
    <t>1264.0000000000000000</t>
  </si>
  <si>
    <t>NBE_US_CA-1</t>
  </si>
  <si>
    <t>BankIn-000001275</t>
  </si>
  <si>
    <t>NBE-US-CA</t>
  </si>
  <si>
    <t>|1201|012|001|001|101002156|101002156||||3038|3205|Payable|||IMPORT||||</t>
  </si>
  <si>
    <t>O25-IMP-OC-343|‏ME_Q-20241205284-IMP-FCL‎|‏Sl-000002‎|‏Ag-000067‎|‏NGP1894260‎|‏‎|‏‎|‏‎|‏‎|‏CMA CGM NIAGARA‎|‏CNNGB Ningbo‎|‏EGALY Alexandria, Egypt (old)‎|‏‎|‏‎|‏‎|‏‎|‏‎|‏10/01/2025‎|‏31/01/2025‎</t>
  </si>
  <si>
    <t>1265.0000000000000000</t>
  </si>
  <si>
    <t>101002156</t>
  </si>
  <si>
    <t>205017959</t>
  </si>
  <si>
    <t>1891/INV</t>
  </si>
  <si>
    <t>000001891/Invoice</t>
  </si>
  <si>
    <t>1266.0000000000000000</t>
  </si>
  <si>
    <t>NBE_EG_CF1-1</t>
  </si>
  <si>
    <t>BankIn-000001276</t>
  </si>
  <si>
    <t>NBE-EG-CF1</t>
  </si>
  <si>
    <t>1267.0000000000000000</t>
  </si>
  <si>
    <t>1892/INV</t>
  </si>
  <si>
    <t>000001892/Invoice</t>
  </si>
  <si>
    <t>1268.0000000000000000</t>
  </si>
  <si>
    <t>EBNK_EG_CA-1</t>
  </si>
  <si>
    <t>NR-000001277</t>
  </si>
  <si>
    <t>101000108</t>
  </si>
  <si>
    <t>|1301|013|001|001|101000108|101000108||||3038|3336|Collect|||IMPORT||||</t>
  </si>
  <si>
    <t>O25-IMP-OC-42|‏ME_Q-20241205202-IMP-LCL‎|‏RP-000007‎|‏RP-000001‎|‏‎|‏‎|‏‎|‏‎|‏‎|‏MSC DARIEN‎|‏BEANR Antwerp‎|‏EGEDK Dekheila, Alexandria‎|‏02/01/2025‎|‏‎|‏02/01/2025‎|‏‎|‏‎|‏02/01/2025‎|‏31/01/2025‎</t>
  </si>
  <si>
    <t>205085326</t>
  </si>
  <si>
    <t>1115/NAFEZA SERVICE</t>
  </si>
  <si>
    <t>000001115/Invoice</t>
  </si>
  <si>
    <t>EBNK-EG-CA</t>
  </si>
  <si>
    <t>25100039929</t>
  </si>
  <si>
    <t>1269.0000000000000000</t>
  </si>
  <si>
    <t>122201|1301|013|001|001|101000108|101000108||||3038|3336|Collect|||IMPORT||||</t>
  </si>
  <si>
    <t>1116/THC</t>
  </si>
  <si>
    <t>000001116/Invoice</t>
  </si>
  <si>
    <t>1270.0000000000000000</t>
  </si>
  <si>
    <t>1271.0000000000000000</t>
  </si>
  <si>
    <t>QNB_US_CA1-11</t>
  </si>
  <si>
    <t>BankIn-000001278</t>
  </si>
  <si>
    <t>|1301|013|001|001|101000003|101000003||||3031|3208|Collect|||IMPORT||||</t>
  </si>
  <si>
    <t>O25-IMP-OC-432|‏ME_Q-20241205157-IMP-LCL‎|‏Sl-000001‎|‏RP-000001‎|‏‎|‏‎|‏‎|‏‎|‏‎|‏CMA CGM RODOLPHE‎|‏CNSHA Shanghai‎|‏696 ALEXANDRIA‎|‏‎|‏22/12/2024‎|‏19/01/2025‎|‏‎|‏‎|‏12/01/2025‎|‏‎</t>
  </si>
  <si>
    <t>1272.0000000000000000</t>
  </si>
  <si>
    <t>101000003</t>
  </si>
  <si>
    <t>542608529</t>
  </si>
  <si>
    <t>184/مطالبة نولون محصلة لصالح الغير</t>
  </si>
  <si>
    <t>000000184/OF-FW</t>
  </si>
  <si>
    <t>1273.0000000000000000</t>
  </si>
  <si>
    <t>QNB_EG_CA1-12</t>
  </si>
  <si>
    <t>BankIn-000001279</t>
  </si>
  <si>
    <t>|1101|011|001|004|101001599|101001599||||3076|4012|Prepaid|||IMPORT||||</t>
  </si>
  <si>
    <t>O25-IMP-AI-870|‏‎|‏Al-000020‎|‏‎|‏876-14017732‎|‏‎|‏‎|‏‎|‏‎|‏‎|‏TFU CHENGDU TIANFU‎|‏CAI CAIRO‎|‏‎|‏‎|‏21/01/2025‎|‏‎|‏‎|‏22/01/2025‎|‏31/01/2025‎</t>
  </si>
  <si>
    <t>1274.0000000000000000</t>
  </si>
  <si>
    <t>427/OFFICIAL</t>
  </si>
  <si>
    <t>000000427/OR-FW</t>
  </si>
  <si>
    <t>1275.0000000000000000</t>
  </si>
  <si>
    <t>1918/INV</t>
  </si>
  <si>
    <t>000001918/Invoice</t>
  </si>
  <si>
    <t>1276.0000000000000000</t>
  </si>
  <si>
    <t>AGR_EU_CA-1</t>
  </si>
  <si>
    <t>NR-000001280</t>
  </si>
  <si>
    <t>101000386</t>
  </si>
  <si>
    <t>|1201|012|001|001|101000386|101000386||||3068|3136|Payable|||IMPORT||||</t>
  </si>
  <si>
    <t>O25-IMP-OC-412|‏ME_Q-20250107567-IMP-FCL‎|‏Sl-000002‎|‏Ag-000115‎|‏HBG1931238‎|‏‎|‏‎|‏‎|‏‎|‏‎|‏DEHAM Hamburg‎|‏EGPSD Port Said West‎|‏‎|‏‎|‏‎|‏‎|‏‎|‏12/01/2025‎|‏31/01/2025‎</t>
  </si>
  <si>
    <t>376347384</t>
  </si>
  <si>
    <t>1949/INV</t>
  </si>
  <si>
    <t>000001949/Invoice</t>
  </si>
  <si>
    <t>AGR-EU-CA</t>
  </si>
  <si>
    <t>016810000181</t>
  </si>
  <si>
    <t>1277.0000000000000000</t>
  </si>
  <si>
    <t>122203|1201|012|001|001|101000386|101000386||||3068|3136|Payable|||IMPORT||||</t>
  </si>
  <si>
    <t>1951/INV</t>
  </si>
  <si>
    <t>000001951/Invoice</t>
  </si>
  <si>
    <t>1278.0000000000000000</t>
  </si>
  <si>
    <t>1279.0000000000000000</t>
  </si>
  <si>
    <t>HSBC_EG_CA-4</t>
  </si>
  <si>
    <t>BankIn-000001281</t>
  </si>
  <si>
    <t>|1301|013|001|001|101000497|101000497||||3038|3336|Collect|||IMPORT||||</t>
  </si>
  <si>
    <t>O25-IMP-OC-558|‏ME_Q-20250108136-IMP-LCL‎|‏Sl-000036‎|‏Ag-000153‎|‏OOLU8897938810‎|‏‎|‏‎|‏‎|‏‎|‏CMA CGM LISA MARIE-‎|‏CNSHA Shanghai‎|‏EGALY Alexandria, Egypt (old)‎|‏16/01/2025‎|‏‎|‏16/01/2025‎|‏‎|‏‎|‏15/01/2025‎|‏31/01/2025‎</t>
  </si>
  <si>
    <t>1280.0000000000000000</t>
  </si>
  <si>
    <t>101000497</t>
  </si>
  <si>
    <t>342649825</t>
  </si>
  <si>
    <t>1569/NAFEZA SERVICE</t>
  </si>
  <si>
    <t>000001569/Invoice</t>
  </si>
  <si>
    <t>1281.0000000000000000</t>
  </si>
  <si>
    <t>HSBC_EG_CA-5</t>
  </si>
  <si>
    <t>BankIn-000001282</t>
  </si>
  <si>
    <t>1282.0000000000000000</t>
  </si>
  <si>
    <t>1568/THC</t>
  </si>
  <si>
    <t>000001568/Invoice</t>
  </si>
  <si>
    <t>1283.0000000000000000</t>
  </si>
  <si>
    <t>HSBC_US_CA-5</t>
  </si>
  <si>
    <t>BankIn-000001283</t>
  </si>
  <si>
    <t>1284.0000000000000000</t>
  </si>
  <si>
    <t>164/مطالبة نولون محصلة لصالح الغير</t>
  </si>
  <si>
    <t>000000164/OF-FW</t>
  </si>
  <si>
    <t>1285.0000000000000000</t>
  </si>
  <si>
    <t>HSBC_EG_CA-7</t>
  </si>
  <si>
    <t>BankIn-000001284</t>
  </si>
  <si>
    <t>O25-IMP-OC-558|‏ME_Q-20250108612-IMP-LCL‎|‏Sl-000036‎|‏Ag-000153‎|‏OOLU8897938810‎|‏‎|‏‎|‏‎|‏‎|‏CMA CGM LISA MARIE-‎|‏CNSHA Shanghai‎|‏EGALY Alexandria, Egypt (old)‎|‏16/01/2025‎|‏‎|‏16/01/2025‎|‏‎|‏‎|‏15/01/2025‎|‏31/01/2025‎</t>
  </si>
  <si>
    <t>1286.0000000000000000</t>
  </si>
  <si>
    <t>1725/THC</t>
  </si>
  <si>
    <t>000001725/Invoice</t>
  </si>
  <si>
    <t>1287.0000000000000000</t>
  </si>
  <si>
    <t>1726/NAFEZA SERVICE</t>
  </si>
  <si>
    <t>000001726/Invoice</t>
  </si>
  <si>
    <t>1288.0000000000000000</t>
  </si>
  <si>
    <t>HSBC_US_CA-6</t>
  </si>
  <si>
    <t>BankIn-000001285</t>
  </si>
  <si>
    <t>1289.0000000000000000</t>
  </si>
  <si>
    <t>192/مطالبة نولون محصلة لصالح الغير</t>
  </si>
  <si>
    <t>000000192/OF-FW</t>
  </si>
  <si>
    <t>1290.0000000000000000</t>
  </si>
  <si>
    <t>Airport EG-84</t>
  </si>
  <si>
    <t>CashIn-000001254</t>
  </si>
  <si>
    <t>|1101|011|001|004|101004626|101004626||||3075|4018|Collect|||IMPORT||||</t>
  </si>
  <si>
    <t>O25-IMP-AI-846|‏‎|‏Al-000019‎|‏‎|‏065-42255010‎|‏‎|‏‎|‏‎|‏‎|‏‎|‏ICN SEOUL (INCHEON)‎|‏CAI CAIRO‎|‏‎|‏‎|‏21/01/2025‎|‏‎|‏‎|‏21/01/2025‎|‏31/01/2025‎</t>
  </si>
  <si>
    <t>1291.0000000000000000</t>
  </si>
  <si>
    <t>101004626</t>
  </si>
  <si>
    <t>416119646</t>
  </si>
  <si>
    <t>440/OFFICIAL</t>
  </si>
  <si>
    <t>000000440/OR-FW</t>
  </si>
  <si>
    <t>1292.0000000000000000</t>
  </si>
  <si>
    <t>POS_EG-53</t>
  </si>
  <si>
    <t>POS-000001286</t>
  </si>
  <si>
    <t>|1302|013|001|001|101000041|101000041||||3031|3208|Collect|||IMPORT||||</t>
  </si>
  <si>
    <t>1293.0000000000000000</t>
  </si>
  <si>
    <t>1957/STOR   IMPORT ALEX</t>
  </si>
  <si>
    <t>000001957/Invoice</t>
  </si>
  <si>
    <t>1294.0000000000000000</t>
  </si>
  <si>
    <t>Airport EG-86</t>
  </si>
  <si>
    <t>CashIn-000001255</t>
  </si>
  <si>
    <t>|1101|011|001|004|101000041|101000041||||4018|4012|Prepaid|||IMPORT||||</t>
  </si>
  <si>
    <t>O25-IMP-AI-944|‏‎|‏Al-000004‎|‏‎|‏057-13913196‎|‏‎|‏‎|‏‎|‏‎|‏‎|‏WRO WROCLAW‎|‏CAI CAIRO‎|‏‎|‏‎|‏22/01/2025‎|‏‎|‏‎|‏23/01/2025‎|‏31/01/2025‎</t>
  </si>
  <si>
    <t>1295.0000000000000000</t>
  </si>
  <si>
    <t>1986/INV</t>
  </si>
  <si>
    <t>000001986/Invoice</t>
  </si>
  <si>
    <t>1296.0000000000000000</t>
  </si>
  <si>
    <t>Airport EG-87</t>
  </si>
  <si>
    <t>CashIn-000001256</t>
  </si>
  <si>
    <t>1297.0000000000000000</t>
  </si>
  <si>
    <t>458/OFFICIAL</t>
  </si>
  <si>
    <t>000000458/OR-FW</t>
  </si>
  <si>
    <t>1298.0000000000000000</t>
  </si>
  <si>
    <t>Airport EG-88</t>
  </si>
  <si>
    <t>CashIn-000001257</t>
  </si>
  <si>
    <t>O25-IMP-AI-959|‏‎|‏Al-000020‎|‏‎|‏876-13999086‎|‏‎|‏‎|‏‎|‏‎|‏‎|‏SGN HO CHI MINH CITY‎|‏CAI CAIRO‎|‏‎|‏‎|‏22/01/2025‎|‏‎|‏‎|‏23/01/2025‎|‏31/01/2025‎</t>
  </si>
  <si>
    <t>1299.0000000000000000</t>
  </si>
  <si>
    <t>2015/INV</t>
  </si>
  <si>
    <t>000002015/Invoice</t>
  </si>
  <si>
    <t>1300.0000000000000000</t>
  </si>
  <si>
    <t>Airport EG-89</t>
  </si>
  <si>
    <t>CashIn-000001258</t>
  </si>
  <si>
    <t>1301.0000000000000000</t>
  </si>
  <si>
    <t>472/OFFICIAL</t>
  </si>
  <si>
    <t>000000472/OR-FW</t>
  </si>
  <si>
    <t>1302.0000000000000000</t>
  </si>
  <si>
    <t>Airport EG-90</t>
  </si>
  <si>
    <t>CashIn-000001259</t>
  </si>
  <si>
    <t>O25-IMP-AI-960|‏‎|‏Al-000020‎|‏‎|‏876-13999086‎|‏‎|‏‎|‏‎|‏‎|‏‎|‏SGN HO CHI MINH CITY‎|‏CAI CAIRO‎|‏‎|‏‎|‏22/01/2025‎|‏‎|‏‎|‏23/01/2025‎|‏31/01/2025‎</t>
  </si>
  <si>
    <t>1303.0000000000000000</t>
  </si>
  <si>
    <t>2019/INV</t>
  </si>
  <si>
    <t>000002019/Invoice</t>
  </si>
  <si>
    <t>1304.0000000000000000</t>
  </si>
  <si>
    <t>Airport EG-91</t>
  </si>
  <si>
    <t>CashIn-000001260</t>
  </si>
  <si>
    <t>1305.0000000000000000</t>
  </si>
  <si>
    <t>475/OFFICIAL</t>
  </si>
  <si>
    <t>000000475/OR-FW</t>
  </si>
  <si>
    <t>1306.0000000000000000</t>
  </si>
  <si>
    <t>Airport EG-92</t>
  </si>
  <si>
    <t>CashIn-000001261</t>
  </si>
  <si>
    <t>O25-IMP-AI-961|‏‎|‏Al-000020‎|‏‎|‏876-13999086‎|‏‎|‏‎|‏‎|‏‎|‏‎|‏SGN HO CHI MINH CITY‎|‏CAI CAIRO‎|‏‎|‏‎|‏22/01/2025‎|‏‎|‏‎|‏23/01/2025‎|‏31/01/2025‎</t>
  </si>
  <si>
    <t>1307.0000000000000000</t>
  </si>
  <si>
    <t>2023/INV</t>
  </si>
  <si>
    <t>000002023/Invoice</t>
  </si>
  <si>
    <t>1308.0000000000000000</t>
  </si>
  <si>
    <t>Airport EG-93</t>
  </si>
  <si>
    <t>CashIn-000001262</t>
  </si>
  <si>
    <t>1309.0000000000000000</t>
  </si>
  <si>
    <t>476/OFFICIAL</t>
  </si>
  <si>
    <t>000000476/OR-FW</t>
  </si>
  <si>
    <t>1310.0000000000000000</t>
  </si>
  <si>
    <t>NBD_US_CA-4</t>
  </si>
  <si>
    <t>BankIn-000001287</t>
  </si>
  <si>
    <t>|1301|013|001|001|101004581|101004581||||3076|3208|Collect|||IMPORT||||</t>
  </si>
  <si>
    <t>O25-IMP-OC-130|‏ME_Q-20241104778-IMP-LCL‎|‏Sl-000002‎|‏RP-000001‎|‏‎|‏‎|‏‎|‏‎|‏‎|‏CMA CGM LOIRE‎|‏CNSZX Shenzhen‎|‏696 ALEXANDRIA‎|‏14/01/2025‎|‏‎|‏14/01/2025‎|‏‎|‏‎|‏05/01/2025‎|‏31/01/2025‎</t>
  </si>
  <si>
    <t>1311.0000000000000000</t>
  </si>
  <si>
    <t>101004581</t>
  </si>
  <si>
    <t>204955815</t>
  </si>
  <si>
    <t>206/مطالبة نولون محصلة لصالح الغير</t>
  </si>
  <si>
    <t>000000206/OF-FW</t>
  </si>
  <si>
    <t>1312.0000000000000000</t>
  </si>
  <si>
    <t>POS_EG-51</t>
  </si>
  <si>
    <t>POS-000001288</t>
  </si>
  <si>
    <t>O25-IMP-OC-241|‏ME_Q-20250108574-IMP-LCL‎|‏Sl-000016‎|‏Ag-000163‎|‏10166256‎|‏‎|‏‎|‏‎|‏‎|‏TURKON EGYPT‎|‏TRKMX KUMPORT‎|‏EGALY Alexandria, Egypt (old)‎|‏14/01/2025‎|‏‎|‏14/01/2025‎|‏‎|‏‎|‏08/01/2025‎|‏31/01/2025‎</t>
  </si>
  <si>
    <t>1313.0000000000000000</t>
  </si>
  <si>
    <t>1902/THC</t>
  </si>
  <si>
    <t>000001902/Invoice</t>
  </si>
  <si>
    <t>1314.0000000000000000</t>
  </si>
  <si>
    <t>1903/NAFEZA SERVICE</t>
  </si>
  <si>
    <t>000001903/Invoice</t>
  </si>
  <si>
    <t>1315.0000000000000000</t>
  </si>
  <si>
    <t>POS_EG-52</t>
  </si>
  <si>
    <t>POS-000001289</t>
  </si>
  <si>
    <t>|1302|013|001|001|101000968|101000968||||3076|3336|Collect|||IMPORT||||</t>
  </si>
  <si>
    <t>1316.0000000000000000</t>
  </si>
  <si>
    <t>1884/STOR SERVICE</t>
  </si>
  <si>
    <t>000001884/Invoice</t>
  </si>
  <si>
    <t>1317.0000000000000000</t>
  </si>
  <si>
    <t>1885/STOR   IMPORT ALEX</t>
  </si>
  <si>
    <t>000001885/Invoice</t>
  </si>
  <si>
    <t>1318.0000000000000000</t>
  </si>
  <si>
    <t>HSBC_EG_CA-3</t>
  </si>
  <si>
    <t>BankIn-000001290</t>
  </si>
  <si>
    <t>O25-IMP-OC-500|‏ME_Q-20250107988-IMP-LCL‎|‏Sl-000002‎|‏RP-000001‎|‏‎|‏‎|‏‎|‏‎|‏‎|‏CMA CGM LOIRE‎|‏CNSZX Shenzhen‎|‏696 ALEXANDRIA‎|‏14/01/2025‎|‏‎|‏14/01/2025‎|‏‎|‏‎|‏14/01/2025‎|‏‎</t>
  </si>
  <si>
    <t>1319.0000000000000000</t>
  </si>
  <si>
    <t>1655/THC</t>
  </si>
  <si>
    <t>000001655/Invoice</t>
  </si>
  <si>
    <t>1320.0000000000000000</t>
  </si>
  <si>
    <t>HSBC_US_CA-4</t>
  </si>
  <si>
    <t>BankIn-000001291</t>
  </si>
  <si>
    <t>1321.0000000000000000</t>
  </si>
  <si>
    <t>183/مطالبة نولون محصلة لصالح الغير</t>
  </si>
  <si>
    <t>000000183/OF-FW</t>
  </si>
  <si>
    <t>1322.0000000000000000</t>
  </si>
  <si>
    <t>HSBC_EG_CA-6</t>
  </si>
  <si>
    <t>BankIn-000001292</t>
  </si>
  <si>
    <t>1323.0000000000000000</t>
  </si>
  <si>
    <t>1654/NAFEZA SERVICE</t>
  </si>
  <si>
    <t>000001654/Invoice</t>
  </si>
  <si>
    <t>1324.0000000000000000</t>
  </si>
  <si>
    <t>QNB_US_CA1-14</t>
  </si>
  <si>
    <t>BankIn-000001293</t>
  </si>
  <si>
    <t>1325.0000000000000000</t>
  </si>
  <si>
    <t>179/مطالبة نولون محصلة لصالح الغير</t>
  </si>
  <si>
    <t>000000179/OF-FW</t>
  </si>
  <si>
    <t>1326.0000000000000000</t>
  </si>
  <si>
    <t>POS_EG-54</t>
  </si>
  <si>
    <t>POS-000001294</t>
  </si>
  <si>
    <t>|1302|013|001|001|101001488|101001488||||3076|3336|Collect|||IMPORT||||</t>
  </si>
  <si>
    <t>1327.0000000000000000</t>
  </si>
  <si>
    <t>2027/STOR   IMPORT ALEX</t>
  </si>
  <si>
    <t>000002027/Invoice</t>
  </si>
  <si>
    <t>1328.0000000000000000</t>
  </si>
  <si>
    <t>POS_EG-55</t>
  </si>
  <si>
    <t>POS-000001295</t>
  </si>
  <si>
    <t>|1302|013|001|001|101000492|101000492||||3038|3208|Collect|||IMPORT||||</t>
  </si>
  <si>
    <t>O25-IMP-OC-563|‏ME_Q-20241204872-IMP-LCL‎|‏RP-000007‎|‏RP-000001‎|‏‎|‏‎|‏‎|‏‎|‏‎|‏MSC EAGLE III‎|‏FRFOS Fos-sur-Mer‎|‏696 ALEXANDRIA‎|‏‎|‏30/12/2024‎|‏17/01/2025‎|‏‎|‏‎|‏15/01/2025‎|‏‎</t>
  </si>
  <si>
    <t>1329.0000000000000000</t>
  </si>
  <si>
    <t>101000492</t>
  </si>
  <si>
    <t>332918165</t>
  </si>
  <si>
    <t>2046/STOR   IMPORT ALEX</t>
  </si>
  <si>
    <t>000002046/Invoice</t>
  </si>
  <si>
    <t>1330.0000000000000000</t>
  </si>
  <si>
    <t>ALEXHO EG-220</t>
  </si>
  <si>
    <t>CashIn-000001296</t>
  </si>
  <si>
    <t>|1301|013|001|001|101000564|101000564||||3075|3336|Collect|||IMPORT||||</t>
  </si>
  <si>
    <t>O25-IMP-OC-107|‏ME_Q-20241002872-IMP-LCL‎|‏Sl-000009‎|‏RP-000001‎|‏‎|‏‎|‏‎|‏‎|‏‎|‏SAFEEN PRESTIGE‎|‏AEJEA Jebel Ali‎|‏696 ALEXANDRIA‎|‏02/01/2025‎|‏‎|‏02/01/2025‎|‏‎|‏‎|‏04/01/2025‎|‏‎</t>
  </si>
  <si>
    <t>1331.0000000000000000</t>
  </si>
  <si>
    <t>101000564</t>
  </si>
  <si>
    <t>205078559</t>
  </si>
  <si>
    <t>693/THC</t>
  </si>
  <si>
    <t>000000693/Invoice</t>
  </si>
  <si>
    <t>1332.0000000000000000</t>
  </si>
  <si>
    <t>ALEXHO EG-221</t>
  </si>
  <si>
    <t>CashIn-000001297</t>
  </si>
  <si>
    <t>1333.0000000000000000</t>
  </si>
  <si>
    <t>692/NAFEZA SERVICE</t>
  </si>
  <si>
    <t>000000692/Invoice</t>
  </si>
  <si>
    <t>1334.0000000000000000</t>
  </si>
  <si>
    <t>ALEXHO EG-222</t>
  </si>
  <si>
    <t>CashIn-000001298</t>
  </si>
  <si>
    <t>O25-IMP-OC-107|‏ME_Q-20241104030-IMP-LCL‎|‏Sl-000009‎|‏RP-000001‎|‏‎|‏‎|‏‎|‏‎|‏‎|‏SAFEEN PRESTIGE‎|‏AEJEA Jebel Ali‎|‏696 ALEXANDRIA‎|‏02/01/2025‎|‏‎|‏02/01/2025‎|‏‎|‏‎|‏04/01/2025‎|‏‎</t>
  </si>
  <si>
    <t>1335.0000000000000000</t>
  </si>
  <si>
    <t>695/THC</t>
  </si>
  <si>
    <t>000000695/Invoice</t>
  </si>
  <si>
    <t>1336.0000000000000000</t>
  </si>
  <si>
    <t>ALEXHO EG-223</t>
  </si>
  <si>
    <t>CashIn-000001299</t>
  </si>
  <si>
    <t>1337.0000000000000000</t>
  </si>
  <si>
    <t>694/NAFEZA SERVICE</t>
  </si>
  <si>
    <t>000000694/Invoice</t>
  </si>
  <si>
    <t>1338.0000000000000000</t>
  </si>
  <si>
    <t>PSD EG-100</t>
  </si>
  <si>
    <t>CashIn-000001301</t>
  </si>
  <si>
    <t>|1302|013|001|005|101004443|101004443||||3075|5013|Collect|||IMPORT||||</t>
  </si>
  <si>
    <t>1339.0000000000000000</t>
  </si>
  <si>
    <t>1864/STOR IMPORT PSD</t>
  </si>
  <si>
    <t>000001864/Invoice</t>
  </si>
  <si>
    <t>1340.0000000000000000</t>
  </si>
  <si>
    <t>PSD EG-101</t>
  </si>
  <si>
    <t>CashIn-000001302</t>
  </si>
  <si>
    <t>|1401|014|001|005|101004443|101004443||||3075|5013|Collect|||IMPORT||||</t>
  </si>
  <si>
    <t>1341.0000000000000000</t>
  </si>
  <si>
    <t>1863/G3ALA INVOICE PSD</t>
  </si>
  <si>
    <t>000001863/Invoice</t>
  </si>
  <si>
    <t>1342.0000000000000000</t>
  </si>
  <si>
    <t>PSD EG-102</t>
  </si>
  <si>
    <t>CashIn-000001303</t>
  </si>
  <si>
    <t>1343.0000000000000000</t>
  </si>
  <si>
    <t>1862/STOR SERVICE PSD</t>
  </si>
  <si>
    <t>000001862/Invoice</t>
  </si>
  <si>
    <t>1344.0000000000000000</t>
  </si>
  <si>
    <t>ALEXHO EG-224</t>
  </si>
  <si>
    <t>CashIn-000001304</t>
  </si>
  <si>
    <t>|1201|012|001|001|101000259|101000259||||3038|3039|Payable|||IMPORT||||</t>
  </si>
  <si>
    <t>O25-IMP-OC-887|‏ME_Q-20250108540-IMP-FCL‎|‏Sl-000001‎|‏‎|‏COEU9018769820‎|‏‎|‏‎|‏‎|‏‎|‏‎|‏ESBCN Barcelona‎|‏EGALY Alexandria, Egypt (old)‎|‏‎|‏‎|‏‎|‏‎|‏‎|‏22/01/2025‎|‏31/01/2025‎</t>
  </si>
  <si>
    <t>1345.0000000000000000</t>
  </si>
  <si>
    <t>101000259</t>
  </si>
  <si>
    <t>100249639</t>
  </si>
  <si>
    <t>1881/INV</t>
  </si>
  <si>
    <t>000001881/Invoice</t>
  </si>
  <si>
    <t>1346.0000000000000000</t>
  </si>
  <si>
    <t>ALEXHO EG-225</t>
  </si>
  <si>
    <t>CashIn-000001308</t>
  </si>
  <si>
    <t>|1301|013|001|001|101004605|101004605||||3076|3336|Collect|||IMPORT||||</t>
  </si>
  <si>
    <t>O25-IMP-OC-500|‏ME_Q-20250108428-IMP-LCL‎|‏Sl-000002‎|‏RP-000001‎|‏‎|‏‎|‏‎|‏‎|‏‎|‏CMA CGM LOIRE‎|‏CNSZX Shenzhen‎|‏696 ALEXANDRIA‎|‏14/01/2025‎|‏‎|‏14/01/2025‎|‏‎|‏‎|‏14/01/2025‎|‏‎</t>
  </si>
  <si>
    <t>1347.0000000000000000</t>
  </si>
  <si>
    <t>101004605</t>
  </si>
  <si>
    <t>315847069</t>
  </si>
  <si>
    <t>1887/THC</t>
  </si>
  <si>
    <t>000001887/Invoice</t>
  </si>
  <si>
    <t>1348.0000000000000000</t>
  </si>
  <si>
    <t>ALEXHO EG-226</t>
  </si>
  <si>
    <t>CashIn-000001309</t>
  </si>
  <si>
    <t>1349.0000000000000000</t>
  </si>
  <si>
    <t>1886/NAFEZA SERVICE</t>
  </si>
  <si>
    <t>000001886/Invoice</t>
  </si>
  <si>
    <t>1350.0000000000000000</t>
  </si>
  <si>
    <t>Merghem EG-20</t>
  </si>
  <si>
    <t>CashIn-000001310</t>
  </si>
  <si>
    <t>|1302|013|001|001|101001642|101001642||||3038|3336|Collect|||IMPORT||||</t>
  </si>
  <si>
    <t>1351.0000000000000000</t>
  </si>
  <si>
    <t>1857/STOR   IMPORT ALEX</t>
  </si>
  <si>
    <t>000001857/Invoice</t>
  </si>
  <si>
    <t>1352.0000000000000000</t>
  </si>
  <si>
    <t>ALEXHO US-20</t>
  </si>
  <si>
    <t>CashIn-000001311</t>
  </si>
  <si>
    <t>1353.0000000000000000</t>
  </si>
  <si>
    <t>216/مطالبة نولون محصلة لصالح الغير</t>
  </si>
  <si>
    <t>000000216/OF-FW</t>
  </si>
  <si>
    <t>1354.0000000000000000</t>
  </si>
  <si>
    <t>Merghem EG-21</t>
  </si>
  <si>
    <t>CashIn-000001312</t>
  </si>
  <si>
    <t>1355.0000000000000000</t>
  </si>
  <si>
    <t>1880/STOR SERVICE</t>
  </si>
  <si>
    <t>000001880/Invoice</t>
  </si>
  <si>
    <t>1356.0000000000000000</t>
  </si>
  <si>
    <t>ALEXHO EG-227</t>
  </si>
  <si>
    <t>CashIn-000001314</t>
  </si>
  <si>
    <t>1357.0000000000000000</t>
  </si>
  <si>
    <t>1779/THC</t>
  </si>
  <si>
    <t>000001779/Invoice</t>
  </si>
  <si>
    <t>1358.0000000000000000</t>
  </si>
  <si>
    <t>ALEXHO EG-228</t>
  </si>
  <si>
    <t>CashIn-000001315</t>
  </si>
  <si>
    <t>1359.0000000000000000</t>
  </si>
  <si>
    <t>1778/NAFEZA SERVICE</t>
  </si>
  <si>
    <t>000001778/Invoice</t>
  </si>
  <si>
    <t>1360.0000000000000000</t>
  </si>
  <si>
    <t>CCC US-10</t>
  </si>
  <si>
    <t>BankIn-000001316</t>
  </si>
  <si>
    <t>|1301|013|001|001|101000618|101000618||||3038|3336|Collect|||IMPORT||||</t>
  </si>
  <si>
    <t>O25-IMP-OC-241|‏ME_Q-20250108167-IMP-LCL‎|‏Sl-000016‎|‏Ag-000163‎|‏10166256‎|‏‎|‏‎|‏‎|‏‎|‏TURKON EGYPT‎|‏TRKMX KUMPORT‎|‏EGALY Alexandria, Egypt (old)‎|‏14/01/2025‎|‏‎|‏14/01/2025‎|‏‎|‏‎|‏08/01/2025‎|‏31/01/2025‎</t>
  </si>
  <si>
    <t>1361.0000000000000000</t>
  </si>
  <si>
    <t>101000618</t>
  </si>
  <si>
    <t>445590378</t>
  </si>
  <si>
    <t>141/مطالبة نولون محصلة لصالح الغير</t>
  </si>
  <si>
    <t>000000141/OF-FW</t>
  </si>
  <si>
    <t>1362.0000000000000000</t>
  </si>
  <si>
    <t>ALEXHO EG-229</t>
  </si>
  <si>
    <t>CashIn-000001328</t>
  </si>
  <si>
    <t>O25-IMP-OC-626|‏ME_Q-20250108504-IMP-LCL‎|‏Sl-000001‎|‏Ag-000200‎|‏COSU6403916670‎|‏‎|‏‎|‏‎|‏‎|‏CMA CGM LISA MARIE-‎|‏CNSHA Shanghai‎|‏EGALY Alexandria, Egypt (old)‎|‏16/01/2025‎|‏‎|‏16/01/2025‎|‏‎|‏‎|‏16/01/2025‎|‏31/01/2025‎</t>
  </si>
  <si>
    <t>166/مطالبة نولون محصلة لصالح الغير</t>
  </si>
  <si>
    <t>1363.0000000000000000</t>
  </si>
  <si>
    <t>101000274</t>
  </si>
  <si>
    <t>|1301|013|001|001|101000274||||||||||IMPORT||||</t>
  </si>
  <si>
    <t>494279915</t>
  </si>
  <si>
    <t>1364.0000000000000000</t>
  </si>
  <si>
    <t>421103|1301|013|001|001|101000274||||||||||IMPORT||||</t>
  </si>
  <si>
    <t>1365.0000000000000000</t>
  </si>
  <si>
    <t>ALEXHO EG-230</t>
  </si>
  <si>
    <t>CashIn-000001329</t>
  </si>
  <si>
    <t>|1301|013|001|001|101000274|101000274||||3095|3077|Collect|||IMPORT||||</t>
  </si>
  <si>
    <t>1366.0000000000000000</t>
  </si>
  <si>
    <t>1562/THC</t>
  </si>
  <si>
    <t>000001562/Invoice</t>
  </si>
  <si>
    <t>1367.0000000000000000</t>
  </si>
  <si>
    <t>ALEXHO EG-231</t>
  </si>
  <si>
    <t>CashIn-000001330</t>
  </si>
  <si>
    <t>1368.0000000000000000</t>
  </si>
  <si>
    <t>1563/NAFEZA SERVICE</t>
  </si>
  <si>
    <t>000001563/Invoice</t>
  </si>
  <si>
    <t>1369.0000000000000000</t>
  </si>
  <si>
    <t>Merghem EG-22</t>
  </si>
  <si>
    <t>CashIn-000001331</t>
  </si>
  <si>
    <t>|1302|013|001|001|101000236|101000236||||3038|3336|Collect|||IMPORT||||</t>
  </si>
  <si>
    <t>1370.0000000000000000</t>
  </si>
  <si>
    <t>1923/STOR SERVICE</t>
  </si>
  <si>
    <t>000001923/Invoice</t>
  </si>
  <si>
    <t>1371.0000000000000000</t>
  </si>
  <si>
    <t>Merghem EG-23</t>
  </si>
  <si>
    <t>CashIn-000001332</t>
  </si>
  <si>
    <t>1372.0000000000000000</t>
  </si>
  <si>
    <t>1924/STOR   IMPORT ALEX</t>
  </si>
  <si>
    <t>000001924/Invoice</t>
  </si>
  <si>
    <t>1373.0000000000000000</t>
  </si>
  <si>
    <t>Airport EG-83</t>
  </si>
  <si>
    <t>CashIn-000001333</t>
  </si>
  <si>
    <t>|1101|011|001|004|||||||||||IMPORT||||</t>
  </si>
  <si>
    <t>1919/INV</t>
  </si>
  <si>
    <t>1374.0000000000000000</t>
  </si>
  <si>
    <t>122202|1101|011|001|004|||||||||||IMPORT||||</t>
  </si>
  <si>
    <t>1375.0000000000000000</t>
  </si>
  <si>
    <t>|1101|011|001|004|101001599||||||||||IMPORT||||</t>
  </si>
  <si>
    <t>1376.0000000000000000</t>
  </si>
  <si>
    <t>421103|1101|011|001|004|101001599||||||||||IMPORT||||</t>
  </si>
  <si>
    <t>1377.0000000000000000</t>
  </si>
  <si>
    <t>Merghem EG-24</t>
  </si>
  <si>
    <t>CashIn-000001338</t>
  </si>
  <si>
    <t>|1302|013|001|001|101000543|101000543||||3031|3336|Collect|||IMPORT||||</t>
  </si>
  <si>
    <t>1378.0000000000000000</t>
  </si>
  <si>
    <t>1938/STOR   IMPORT ALEX</t>
  </si>
  <si>
    <t>000001938/Invoice</t>
  </si>
  <si>
    <t>1379.0000000000000000</t>
  </si>
  <si>
    <t>PSD EG-103</t>
  </si>
  <si>
    <t>CashIn-000001339</t>
  </si>
  <si>
    <t>O25-IMP-OC-410|‏ME_Q-20250107582-IMP-FCL‎|‏Sl-000002‎|‏Ag-000115‎|‏HBG1931175‎|‏‎|‏‎|‏‎|‏‎|‏‎|‏DEHAM Hamburg‎|‏EGPSD Port Said West‎|‏‎|‏‎|‏‎|‏‎|‏‎|‏12/01/2025‎|‏31/01/2025‎</t>
  </si>
  <si>
    <t>1380.0000000000000000</t>
  </si>
  <si>
    <t>1948/INV</t>
  </si>
  <si>
    <t>000001948/Invoice</t>
  </si>
  <si>
    <t>1381.0000000000000000</t>
  </si>
  <si>
    <t>PSD EG-104</t>
  </si>
  <si>
    <t>CashIn-000001340</t>
  </si>
  <si>
    <t>1382.0000000000000000</t>
  </si>
  <si>
    <t>1950/INV</t>
  </si>
  <si>
    <t>000001950/Invoice</t>
  </si>
  <si>
    <t>1383.0000000000000000</t>
  </si>
  <si>
    <t>Airport EG-85</t>
  </si>
  <si>
    <t>CashIn-000001343</t>
  </si>
  <si>
    <t>O25-IMP-AI-846|‏ME_Q-20250108668-IMP-AI‎|‏Al-000019‎|‏Ag-000081‎|‏065-42255010‎|‏‎|‏‎|‏‎|‏‎|‏‎|‏ICN SEOUL (INCHEON)‎|‏CAI CAIRO‎|‏‎|‏‎|‏21/01/2025‎|‏‎|‏‎|‏21/01/2025‎|‏31/01/2025‎</t>
  </si>
  <si>
    <t>1967/INV</t>
  </si>
  <si>
    <t>1384.0000000000000000</t>
  </si>
  <si>
    <t>122201|1101|011|001|004|||Ag-000081|Ag-000081|||||||IMPORT||||</t>
  </si>
  <si>
    <t>1385.0000000000000000</t>
  </si>
  <si>
    <t>|1101|011|001|004|101004626||||||||||IMPORT||||</t>
  </si>
  <si>
    <t>1386.0000000000000000</t>
  </si>
  <si>
    <t>QNB_US_CA1-13</t>
  </si>
  <si>
    <t>BankIn-000001348</t>
  </si>
  <si>
    <t>122202|1101|011|001|004|101004626|101004626||||3075|4018|Collect|||IMPORT||||</t>
  </si>
  <si>
    <t>1966/INV</t>
  </si>
  <si>
    <t>000001966/Invoice</t>
  </si>
  <si>
    <t>0000</t>
  </si>
  <si>
    <t>1387.0000000000000000</t>
  </si>
  <si>
    <t>1388.0000000000000000</t>
  </si>
  <si>
    <t>QNB_US_CA1-15</t>
  </si>
  <si>
    <t>NR-000001359</t>
  </si>
  <si>
    <t>122202|1101|011|001|004|101000206|101000206||||4019|4012|Prepaid|||IMPORT||||</t>
  </si>
  <si>
    <t>1804/INV</t>
  </si>
  <si>
    <t>000001804/Invoice</t>
  </si>
  <si>
    <t>421772778</t>
  </si>
  <si>
    <t>1389.0000000000000000</t>
  </si>
  <si>
    <t>1390.0000000000000000</t>
  </si>
  <si>
    <t>QNB_US_CA1-16</t>
  </si>
  <si>
    <t>NR-000001360</t>
  </si>
  <si>
    <t>122202|1201|012|001|002|101000206|101000206||||4019|4029|Payable|||IMPORT||||</t>
  </si>
  <si>
    <t>O25-IMP-OC-722|‏ME_Q-20250108434-IMP-FCL‎|‏Sl-000109‎|‏Ag-000067‎|‏CULVSHK2470770‎|‏‎|‏‎|‏‎|‏‎|‏‎|‏CNSZX Shenzhen‎|‏EGSOK Sokhna Port‎|‏‎|‏‎|‏‎|‏‎|‏‎|‏19/01/2025‎|‏31/01/2025‎</t>
  </si>
  <si>
    <t>2020/INV</t>
  </si>
  <si>
    <t>000002020/Invoice</t>
  </si>
  <si>
    <t>1391.0000000000000000</t>
  </si>
  <si>
    <t>|1201|012|001|002|101000206|101000206||||4019|4029|Payable|||IMPORT||||</t>
  </si>
  <si>
    <t>1392.0000000000000000</t>
  </si>
  <si>
    <t>Merghem EG-25</t>
  </si>
  <si>
    <t>CashIn-000001363</t>
  </si>
  <si>
    <t>|1302|013|001|001|101001593|101001593||||3076|3208|Collect|||IMPORT||||</t>
  </si>
  <si>
    <t>1393.0000000000000000</t>
  </si>
  <si>
    <t>2049/STOR   IMPORT ALEX</t>
  </si>
  <si>
    <t>000002049/Invoice</t>
  </si>
  <si>
    <t>1394.0000000000000000</t>
  </si>
  <si>
    <t>CCC EG-4</t>
  </si>
  <si>
    <t>CashIn-000001367</t>
  </si>
  <si>
    <t>CCC EG</t>
  </si>
  <si>
    <t>|1101|011|001|004|101004629|101004629||||4009|4012|Prepaid|||IMPORT||||</t>
  </si>
  <si>
    <t>O25-IMP-AI-857|‏‎|‏Al-000020‎|‏‎|‏876-14017500‎|‏‎|‏‎|‏‎|‏‎|‏‎|‏TFU CHENGDU TIANFU‎|‏CAI CAIRO‎|‏‎|‏‎|‏22/01/2025‎|‏‎|‏‎|‏22/01/2025‎|‏31/01/2025‎</t>
  </si>
  <si>
    <t>1395.0000000000000000</t>
  </si>
  <si>
    <t>101004629</t>
  </si>
  <si>
    <t>25203011300173</t>
  </si>
  <si>
    <t>2060/INV</t>
  </si>
  <si>
    <t>000002060/Invoice</t>
  </si>
  <si>
    <t>1396.0000000000000000</t>
  </si>
  <si>
    <t>CCC EG-5</t>
  </si>
  <si>
    <t>CashIn-000001368</t>
  </si>
  <si>
    <t>1397.0000000000000000</t>
  </si>
  <si>
    <t>480/OFFICIAL</t>
  </si>
  <si>
    <t>000000480/OR-FW</t>
  </si>
  <si>
    <t>1398.0000000000000000</t>
  </si>
  <si>
    <t>CCC US-11</t>
  </si>
  <si>
    <t>CashIn-000001369</t>
  </si>
  <si>
    <t>1399.0000000000000000</t>
  </si>
  <si>
    <t>2059/INV</t>
  </si>
  <si>
    <t>000002059/Invoice</t>
  </si>
  <si>
    <t>1400.0000000000000000</t>
  </si>
  <si>
    <t>CIB_EG_CA-17</t>
  </si>
  <si>
    <t>BankIn-000001379</t>
  </si>
  <si>
    <t>2025-01-26</t>
  </si>
  <si>
    <t>|1201|012|001|001|101000443|101000443||||3075|3039|Payable|||IMPORT||||</t>
  </si>
  <si>
    <t>O25-IMP-OC-492|‏ME_Q-20241205720-IMP-FCL‎|‏Sl-000009‎|‏Ag-000158‎|‏247993515‎|‏‎|‏‎|‏‎|‏‎|‏‎|‏ESBIO Bilbao‎|‏EGALY Alexandria, Egypt (old)‎|‏‎|‏‎|‏‎|‏‎|‏‎|‏13/01/2025‎|‏31/01/2025‎</t>
  </si>
  <si>
    <t>1401.0000000000000000</t>
  </si>
  <si>
    <t>2097/INV</t>
  </si>
  <si>
    <t>000002097/Invoice</t>
  </si>
  <si>
    <t>1402.0000000000000000</t>
  </si>
  <si>
    <t>CIB_US_CA-11</t>
  </si>
  <si>
    <t>BankIn-000001380</t>
  </si>
  <si>
    <t>1403.0000000000000000</t>
  </si>
  <si>
    <t>2096/INV</t>
  </si>
  <si>
    <t>000002096/Invoice</t>
  </si>
  <si>
    <t>1404.0000000000000000</t>
  </si>
  <si>
    <t>POS_EG-56</t>
  </si>
  <si>
    <t>POS-000001381</t>
  </si>
  <si>
    <t>|1301|013|001|001|101004628|101004628||||3038|3208|Collect|||IMPORT||||</t>
  </si>
  <si>
    <t>O25-IMP-OC-395|‏ME_Q-20241205961-IMP-LCL‎|‏Sl-000004‎|‏RP-000001‎|‏‎|‏‎|‏‎|‏‎|‏‎|‏TEOMAN A‎|‏ITGOA Genoa‎|‏696 ALEXANDRIA‎|‏11/01/2025‎|‏07/01/2025‎|‏11/01/2025‎|‏‎|‏‎|‏12/01/2025‎|‏31/01/2025‎</t>
  </si>
  <si>
    <t>1405.0000000000000000</t>
  </si>
  <si>
    <t>101004628</t>
  </si>
  <si>
    <t>310572533</t>
  </si>
  <si>
    <t>2125/NAFEZA SERVICE</t>
  </si>
  <si>
    <t>000002125/Invoice</t>
  </si>
  <si>
    <t>1406.0000000000000000</t>
  </si>
  <si>
    <t>2126/THC</t>
  </si>
  <si>
    <t>000002126/Invoice</t>
  </si>
  <si>
    <t>1407.0000000000000000</t>
  </si>
  <si>
    <t>POS_EG-58</t>
  </si>
  <si>
    <t>POS-000001382</t>
  </si>
  <si>
    <t>O25-IMP-OC-571|‏ME_Q-20250108316-IMP-LCL‎|‏RP-000007‎|‏RP-000001‎|‏‎|‏‎|‏‎|‏‎|‏‎|‏MSC EAGLE III‎|‏FRFOS Fos-sur-Mer‎|‏696 ALEXANDRIA‎|‏‎|‏30/12/2024‎|‏17/01/2025‎|‏‎|‏‎|‏15/01/2025‎|‏31/01/2025‎</t>
  </si>
  <si>
    <t>1408.0000000000000000</t>
  </si>
  <si>
    <t>1759/NAFEZA SERVICE</t>
  </si>
  <si>
    <t>000001759/Invoice</t>
  </si>
  <si>
    <t>1409.0000000000000000</t>
  </si>
  <si>
    <t>1760/THC</t>
  </si>
  <si>
    <t>000001760/Invoice</t>
  </si>
  <si>
    <t>1410.0000000000000000</t>
  </si>
  <si>
    <t>QNB_US_CA1-17</t>
  </si>
  <si>
    <t>BankIn-000001383</t>
  </si>
  <si>
    <t>|1201|012|001|001|101004632|101004632||||4062|3205|Payable|||IMPORT||||</t>
  </si>
  <si>
    <t>O25-IMP-OC-342|‏ME_Q-20241205334-IMP-FCL‎|‏Sl-000011‎|‏Ag-000115‎|‏YMJAU670008422‎|‏‎|‏‎|‏‎|‏‎|‏COSCO ANTWERP‎|‏NLRTM Rotterdam‎|‏EGEDK Dekheila, Alexandria‎|‏‎|‏‎|‏‎|‏‎|‏‎|‏10/01/2025‎|‏31/01/2025‎</t>
  </si>
  <si>
    <t>1411.0000000000000000</t>
  </si>
  <si>
    <t>101004632</t>
  </si>
  <si>
    <t>237501872</t>
  </si>
  <si>
    <t>2147/INV</t>
  </si>
  <si>
    <t>000002147/Invoice</t>
  </si>
  <si>
    <t>1412.0000000000000000</t>
  </si>
  <si>
    <t>POS_EG-59</t>
  </si>
  <si>
    <t>POS-000001384</t>
  </si>
  <si>
    <t>|1301|013|001|001|101000374|101000374||||3076|3208|Collect|||IMPORT||||</t>
  </si>
  <si>
    <t>O25-IMP-OC-409|‏ME_Q-20250107633-IMP-LCL‎|‏Sl-000079‎|‏RP-000001‎|‏‎|‏‎|‏‎|‏‎|‏‎|‏MAERSK NUBA‎|‏ESBCN Barcelona‎|‏696 ALEXANDRIA‎|‏14/01/2025‎|‏09/01/2025‎|‏14/01/2025‎|‏‎|‏‎|‏12/01/2025‎|‏‎</t>
  </si>
  <si>
    <t>1413.0000000000000000</t>
  </si>
  <si>
    <t>703/NAFEZA SERVICE</t>
  </si>
  <si>
    <t>000000703/Invoice</t>
  </si>
  <si>
    <t>1414.0000000000000000</t>
  </si>
  <si>
    <t>704/THC</t>
  </si>
  <si>
    <t>000000704/Invoice</t>
  </si>
  <si>
    <t>1415.0000000000000000</t>
  </si>
  <si>
    <t>AUB_EU_CA-2</t>
  </si>
  <si>
    <t>BankIn-000001385</t>
  </si>
  <si>
    <t>1416.0000000000000000</t>
  </si>
  <si>
    <t>61/مطالبة نولون محصلة لصالح الغير</t>
  </si>
  <si>
    <t>000000061/OF-FW</t>
  </si>
  <si>
    <t>1417.0000000000000000</t>
  </si>
  <si>
    <t>POS_EG-60</t>
  </si>
  <si>
    <t>POS-000001386</t>
  </si>
  <si>
    <t>|1302|013|001|001|101000061|101000061||||3075|3336|Collect|||IMPORT||||</t>
  </si>
  <si>
    <t>1418.0000000000000000</t>
  </si>
  <si>
    <t>2177/STOR   IMPORT ALEX</t>
  </si>
  <si>
    <t>000002177/Invoice</t>
  </si>
  <si>
    <t>1419.0000000000000000</t>
  </si>
  <si>
    <t>Airport EG-94</t>
  </si>
  <si>
    <t>CashIn-000001371</t>
  </si>
  <si>
    <t>O25-IMP-AI-946|‏‎|‏Al-000014‎|‏‎|‏020-35458706‎|‏‎|‏‎|‏‎|‏‎|‏‎|‏DEFRA FRANKFURT‎|‏CAI CAIRO‎|‏22/01/2025‎|‏‎|‏22/01/2025‎|‏‎|‏‎|‏23/01/2025‎|‏31/01/2025‎</t>
  </si>
  <si>
    <t>1420.0000000000000000</t>
  </si>
  <si>
    <t>1979/INV</t>
  </si>
  <si>
    <t>000001979/Invoice</t>
  </si>
  <si>
    <t>1421.0000000000000000</t>
  </si>
  <si>
    <t>Airport EG-95</t>
  </si>
  <si>
    <t>CashIn-000001372</t>
  </si>
  <si>
    <t>1422.0000000000000000</t>
  </si>
  <si>
    <t>444/OFFICIAL</t>
  </si>
  <si>
    <t>000000444/OR-FW</t>
  </si>
  <si>
    <t>1423.0000000000000000</t>
  </si>
  <si>
    <t>POS_EG-63</t>
  </si>
  <si>
    <t>POS-000001387</t>
  </si>
  <si>
    <t>|1302|013|001|001|101000242|101000242||||3075|3208|Collect|||IMPORT||||</t>
  </si>
  <si>
    <t>1424.0000000000000000</t>
  </si>
  <si>
    <t>2206/STOR   IMPORT ALEX</t>
  </si>
  <si>
    <t>000002206/Invoice</t>
  </si>
  <si>
    <t>1425.0000000000000000</t>
  </si>
  <si>
    <t>POS_EG-64</t>
  </si>
  <si>
    <t>POS-000001388</t>
  </si>
  <si>
    <t>|1302|013|001|001|101000502|101000502||||3075|3336|Collect|||IMPORT||||</t>
  </si>
  <si>
    <t>1426.0000000000000000</t>
  </si>
  <si>
    <t>2212/STOR   IMPORT ALEX</t>
  </si>
  <si>
    <t>000002212/Invoice</t>
  </si>
  <si>
    <t>1427.0000000000000000</t>
  </si>
  <si>
    <t>Airport EG-96</t>
  </si>
  <si>
    <t>CashIn-000001373</t>
  </si>
  <si>
    <t>O25-IMP-AI-890|‏‎|‏Al-000006‎|‏‎|‏077-56720834‎|‏‎|‏‎|‏‎|‏‎|‏‎|‏DEFRA FRANKFURT‎|‏CAI CAIRO‎|‏‎|‏‎|‏24/01/2025‎|‏‎|‏‎|‏22/01/2025‎|‏31/01/2025‎</t>
  </si>
  <si>
    <t>1428.0000000000000000</t>
  </si>
  <si>
    <t>513/OFFICIAL</t>
  </si>
  <si>
    <t>000000513/OR-FW</t>
  </si>
  <si>
    <t>1429.0000000000000000</t>
  </si>
  <si>
    <t>Airport EG-97</t>
  </si>
  <si>
    <t>CashIn-000001374</t>
  </si>
  <si>
    <t>1430.0000000000000000</t>
  </si>
  <si>
    <t>2213/INV</t>
  </si>
  <si>
    <t>000002213/Invoice</t>
  </si>
  <si>
    <t>1431.0000000000000000</t>
  </si>
  <si>
    <t>POS_EG-67</t>
  </si>
  <si>
    <t>POS-000001389</t>
  </si>
  <si>
    <t>|1302|013|001|001|101000590|101000590||||3075|3208|Collect|||IMPORT||||</t>
  </si>
  <si>
    <t>1432.0000000000000000</t>
  </si>
  <si>
    <t>2229/STOR   IMPORT ALEX</t>
  </si>
  <si>
    <t>000002229/Invoice</t>
  </si>
  <si>
    <t>1433.0000000000000000</t>
  </si>
  <si>
    <t>Airport EG-98</t>
  </si>
  <si>
    <t>CashIn-000001375</t>
  </si>
  <si>
    <t>O25-IMP-AI-864|‏‎|‏Al-000014‎|‏‎|‏020-01240223‎|‏‎|‏‎|‏‎|‏‎|‏‎|‏FRA FRANKFURT‎|‏CAI CAIRO‎|‏‎|‏‎|‏24/01/2025‎|‏‎|‏‎|‏22/01/2025‎|‏31/01/2025‎</t>
  </si>
  <si>
    <t>1434.0000000000000000</t>
  </si>
  <si>
    <t>2260/INV</t>
  </si>
  <si>
    <t>000002260/Invoice</t>
  </si>
  <si>
    <t>1435.0000000000000000</t>
  </si>
  <si>
    <t>Airport EG-99</t>
  </si>
  <si>
    <t>CashIn-000001376</t>
  </si>
  <si>
    <t>1436.0000000000000000</t>
  </si>
  <si>
    <t>520/OFFICIAL</t>
  </si>
  <si>
    <t>000000520/OR-FW</t>
  </si>
  <si>
    <t>1437.0000000000000000</t>
  </si>
  <si>
    <t>POS_EG-61</t>
  </si>
  <si>
    <t>POS-000001390</t>
  </si>
  <si>
    <t>|1301|013|001|001|101001248|101001248||||3075|3336|Collect|||IMPORT||||</t>
  </si>
  <si>
    <t>O25-IMP-OC-690|‏ME_Q-20250106860-IMP-LCL‎|‏Sl-000016‎|‏Ag-000163‎|‏10168492‎|‏‎|‏‎|‏‎|‏‎|‏GULBENIZ A‎|‏TRKMX KUMPORT‎|‏EGALY Alexandria, Egypt (old)‎|‏04/03/2025‎|‏‎|‏21/01/2025‎|‏‎|‏‎|‏19/01/2025‎|‏31/01/2025‎</t>
  </si>
  <si>
    <t>1438.0000000000000000</t>
  </si>
  <si>
    <t>101001248</t>
  </si>
  <si>
    <t>448132672</t>
  </si>
  <si>
    <t>1921/NAFEZA SERVICE</t>
  </si>
  <si>
    <t>000001921/Invoice</t>
  </si>
  <si>
    <t>1439.0000000000000000</t>
  </si>
  <si>
    <t>1922/THC</t>
  </si>
  <si>
    <t>000001922/Invoice</t>
  </si>
  <si>
    <t>1440.0000000000000000</t>
  </si>
  <si>
    <t>QNB_US_CA1-18</t>
  </si>
  <si>
    <t>BankIn-000001391</t>
  </si>
  <si>
    <t>|1301|013|001|005|101004404|101004404||||3038|5013|Collect|||IMPORT||||</t>
  </si>
  <si>
    <t>O25-IMP-OC-850|‏ME_Q-20250109062-IMP-LCL‎|‏Sl-000001‎|‏Ag-000087‎|‏COSU6399346080‎|‏‎|‏‎|‏‎|‏‎|‏CONTSHIP IVY‎|‏CNXSA Guangzhou2‎|‏EGPSD Port Said West‎|‏‎|‏13/11/2024‎|‏26/01/2025‎|‏‎|‏‎|‏21/01/2025‎|‏31/01/2025‎</t>
  </si>
  <si>
    <t>1441.0000000000000000</t>
  </si>
  <si>
    <t>101004404</t>
  </si>
  <si>
    <t>413134253</t>
  </si>
  <si>
    <t>248/مطالبة نولون محصلة لصالح الغير</t>
  </si>
  <si>
    <t>000000248/OF-FW</t>
  </si>
  <si>
    <t>1442.0000000000000000</t>
  </si>
  <si>
    <t>AAIB_US_CA-2</t>
  </si>
  <si>
    <t>BankIn-000001392</t>
  </si>
  <si>
    <t>|1301|013|001|001|101001649|101001649||||3068|3336|Collect|||IMPORT||||</t>
  </si>
  <si>
    <t>O25-IMP-OC-358|‏ME_Q-20250108538-IMP-LCL‎|‏Sl-000001‎|‏Ag-000122‎|‏COSU6404501120‎|‏‎|‏‎|‏‎|‏‎|‏CMA CGM RODOLPHE‎|‏CNSHA Shanghai‎|‏EGALY Alexandria, Egypt (old)‎|‏19/01/2025‎|‏‎|‏19/01/2025‎|‏‎|‏‎|‏11/01/2025‎|‏31/01/2025‎</t>
  </si>
  <si>
    <t>1443.0000000000000000</t>
  </si>
  <si>
    <t>101001649</t>
  </si>
  <si>
    <t>212467069</t>
  </si>
  <si>
    <t>210/مطالبة نولون محصلة لصالح الغير</t>
  </si>
  <si>
    <t>000000210/OF-FW</t>
  </si>
  <si>
    <t>1444.0000000000000000</t>
  </si>
  <si>
    <t>POS_EG-62</t>
  </si>
  <si>
    <t>POS-000001393</t>
  </si>
  <si>
    <t>|1302|013|001|001|101000188|101000188||||3076|3336|Collect|||IMPORT||||</t>
  </si>
  <si>
    <t>1445.0000000000000000</t>
  </si>
  <si>
    <t>2200/STOR   IMPORT ALEX</t>
  </si>
  <si>
    <t>000002200/Invoice</t>
  </si>
  <si>
    <t>1446.0000000000000000</t>
  </si>
  <si>
    <t>QNB_EG_CA1-14</t>
  </si>
  <si>
    <t>BankIn-000001394</t>
  </si>
  <si>
    <t>|1301|013|001|001|101004500|101004500||||3098|3336|Collect|||IMPORT||||</t>
  </si>
  <si>
    <t>O25-IMP-OC-500|‏ME_Q-20241103250-IMP-LCL‎|‏Sl-000002‎|‏RP-000001‎|‏‎|‏‎|‏‎|‏‎|‏‎|‏CMA CGM LOIRE‎|‏CNSZX Shenzhen‎|‏696 ALEXANDRIA‎|‏14/01/2025‎|‏‎|‏14/01/2025‎|‏‎|‏‎|‏14/01/2025‎|‏‎</t>
  </si>
  <si>
    <t>1447.0000000000000000</t>
  </si>
  <si>
    <t>101004500</t>
  </si>
  <si>
    <t>515998036</t>
  </si>
  <si>
    <t>1970/NAFEZA SERVICE</t>
  </si>
  <si>
    <t>000001970/Invoice</t>
  </si>
  <si>
    <t>1448.0000000000000000</t>
  </si>
  <si>
    <t>1971/THC</t>
  </si>
  <si>
    <t>000001971/Invoice</t>
  </si>
  <si>
    <t>1449.0000000000000000</t>
  </si>
  <si>
    <t>POS_EG-65</t>
  </si>
  <si>
    <t>POS-000001395</t>
  </si>
  <si>
    <t>|1301|013|001|001|101000784|101000784||||3095|3208|Collect|||IMPORT||||</t>
  </si>
  <si>
    <t>O25-IMP-OC-462|‏ME_Q-20250108392-IMP-LCL‎|‏Sl-000001‎|‏RP-000001‎|‏‎|‏‎|‏‎|‏‎|‏‎|‏CMA CGM RODOLPHE‎|‏CNNGB Ningbo‎|‏696 ALEXANDRIA‎|‏‎|‏28/12/2024‎|‏19/01/2025‎|‏‎|‏‎|‏13/01/2025‎|‏‎</t>
  </si>
  <si>
    <t>1450.0000000000000000</t>
  </si>
  <si>
    <t>101000784</t>
  </si>
  <si>
    <t>513490892</t>
  </si>
  <si>
    <t>2203/THC</t>
  </si>
  <si>
    <t>000002203/Invoice</t>
  </si>
  <si>
    <t>1451.0000000000000000</t>
  </si>
  <si>
    <t>2204/NAFEZA SERVICE</t>
  </si>
  <si>
    <t>000002204/Invoice</t>
  </si>
  <si>
    <t>1452.0000000000000000</t>
  </si>
  <si>
    <t>POS_EG-66</t>
  </si>
  <si>
    <t>POS-000001396</t>
  </si>
  <si>
    <t>|1301|013|001|001|101000454|101000454||||3076|3336|Collect|||IMPORT||||</t>
  </si>
  <si>
    <t>O25-IMP-OC-427|‏ME_Q-20250109086-IMP-LCL‎|‏Sl-000007‎|‏Ag-000010‎|‏EGLV142403853748‎|‏‎|‏‎|‏‎|‏‎|‏CMA CGM LISA MARIE-‎|‏CNSHA Shanghai‎|‏EGALY Alexandria, Egypt (old)‎|‏‎|‏‎|‏16/01/2025‎|‏‎|‏‎|‏13/01/2025‎|‏31/01/2025‎</t>
  </si>
  <si>
    <t>1453.0000000000000000</t>
  </si>
  <si>
    <t>|1301|013|001|001|101000454|101000454||||3076|3208|Collect|||IMPORT||||</t>
  </si>
  <si>
    <t>2232/THC</t>
  </si>
  <si>
    <t>000002232/Invoice</t>
  </si>
  <si>
    <t>1454.0000000000000000</t>
  </si>
  <si>
    <t>2233/NAFEZA SERVICE</t>
  </si>
  <si>
    <t>000002233/Invoice</t>
  </si>
  <si>
    <t>1455.0000000000000000</t>
  </si>
  <si>
    <t>2236/THC</t>
  </si>
  <si>
    <t>000002236/Invoice</t>
  </si>
  <si>
    <t>1456.0000000000000000</t>
  </si>
  <si>
    <t>2237/NAFEZA SERVICE</t>
  </si>
  <si>
    <t>000002237/Invoice</t>
  </si>
  <si>
    <t>1457.0000000000000000</t>
  </si>
  <si>
    <t>POS_EG-68</t>
  </si>
  <si>
    <t>POS-000001397</t>
  </si>
  <si>
    <t>|1301|013|001|001|101001520|101001520||||3076|3208|Collect|||IMPORT||||</t>
  </si>
  <si>
    <t>O25-IMP-OC-462|‏ME_Q-20250109104-IMP-LCL‎|‏Sl-000001‎|‏RP-000001‎|‏‎|‏‎|‏‎|‏‎|‏‎|‏CMA CGM RODOLPHE‎|‏CNNGB Ningbo‎|‏696 ALEXANDRIA‎|‏‎|‏28/12/2024‎|‏19/01/2025‎|‏‎|‏‎|‏13/01/2025‎|‏‎</t>
  </si>
  <si>
    <t>1458.0000000000000000</t>
  </si>
  <si>
    <t>101001520</t>
  </si>
  <si>
    <t>465068006</t>
  </si>
  <si>
    <t>2224/THC</t>
  </si>
  <si>
    <t>000002224/Invoice</t>
  </si>
  <si>
    <t>1459.0000000000000000</t>
  </si>
  <si>
    <t>2225/NAFEZA SERVICE</t>
  </si>
  <si>
    <t>000002225/Invoice</t>
  </si>
  <si>
    <t>1460.0000000000000000</t>
  </si>
  <si>
    <t>POS_EG-69</t>
  </si>
  <si>
    <t>POS-000001398</t>
  </si>
  <si>
    <t>|1302|013|001|001|101000191|101000191||||4051|3336|Collect|||IMPORT||||</t>
  </si>
  <si>
    <t>1461.0000000000000000</t>
  </si>
  <si>
    <t>2244/STOR   IMPORT ALEX</t>
  </si>
  <si>
    <t>000002244/Invoice</t>
  </si>
  <si>
    <t>1462.0000000000000000</t>
  </si>
  <si>
    <t>POS_EG-70</t>
  </si>
  <si>
    <t>POS-000001399</t>
  </si>
  <si>
    <t>|1301|013|001|001|101001581|101001581||||3075|3336|Collect|||IMPORT||||</t>
  </si>
  <si>
    <t>O25-IMP-OC-654|‏ME_Q-20250108437-IMP-LCL‎|‏Sl-000001‎|‏Ag-000200‎|‏COSU6404062110‎|‏‎|‏‎|‏‎|‏‎|‏CMA CGM RODOLPHE‎|‏CNSHA Shanghai‎|‏EGALY Alexandria, Egypt (old)‎|‏19/01/2025‎|‏‎|‏19/01/2025‎|‏‎|‏‎|‏16/01/2025‎|‏31/01/2025‎</t>
  </si>
  <si>
    <t>1463.0000000000000000</t>
  </si>
  <si>
    <t>101001581</t>
  </si>
  <si>
    <t>535788479</t>
  </si>
  <si>
    <t>2141/THC</t>
  </si>
  <si>
    <t>000002141/Invoice</t>
  </si>
  <si>
    <t>1464.0000000000000000</t>
  </si>
  <si>
    <t>2142/NAFEZA SERVICE</t>
  </si>
  <si>
    <t>000002142/Invoice</t>
  </si>
  <si>
    <t>1465.0000000000000000</t>
  </si>
  <si>
    <t>POS_EG-71</t>
  </si>
  <si>
    <t>POS-000001400</t>
  </si>
  <si>
    <t>|1301|013|001|001|101004631|101004631||||3075|3336|Collect|||IMPORT||||</t>
  </si>
  <si>
    <t>O25-IMP-OC-626|‏ME_Q-20250107964-IMP-LCL‎|‏Sl-000001‎|‏Ag-000200‎|‏COSU6403916670‎|‏‎|‏‎|‏‎|‏‎|‏CMA CGM LISA MARIE-‎|‏CNSHA Shanghai‎|‏EGALY Alexandria, Egypt (old)‎|‏16/01/2025‎|‏‎|‏16/01/2025‎|‏‎|‏‎|‏16/01/2025‎|‏31/01/2025‎</t>
  </si>
  <si>
    <t>1466.0000000000000000</t>
  </si>
  <si>
    <t>101004631</t>
  </si>
  <si>
    <t>565169297</t>
  </si>
  <si>
    <t>2246/NAFEZA SERVICE</t>
  </si>
  <si>
    <t>000002246/Invoice</t>
  </si>
  <si>
    <t>1467.0000000000000000</t>
  </si>
  <si>
    <t>2247/THC</t>
  </si>
  <si>
    <t>000002247/Invoice</t>
  </si>
  <si>
    <t>1468.0000000000000000</t>
  </si>
  <si>
    <t>CIB_US_CA-12</t>
  </si>
  <si>
    <t>BankIn-000001401</t>
  </si>
  <si>
    <t>|1301|013|001|001|101000609|101000609||||3031|5013|Collect|||IMPORT||||</t>
  </si>
  <si>
    <t>O25-IMP-OC-251|‏ME_Q-20241103763-IMP-LCL‎|‏Sl-000001‎|‏Ag-000122‎|‏OOLU8897956780‎|‏‎|‏‎|‏‎|‏‎|‏CMA CGM LISA MARIE-‎|‏CNSHA Shanghai‎|‏EGALY Alexandria, Egypt (old)‎|‏16/01/2025‎|‏19/11/2024‎|‏16/01/2025‎|‏‎|‏‎|‏08/01/2025‎|‏31/01/2025‎</t>
  </si>
  <si>
    <t>1469.0000000000000000</t>
  </si>
  <si>
    <t>101000609</t>
  </si>
  <si>
    <t>415984165</t>
  </si>
  <si>
    <t>228/مطالبة نولون محصلة لصالح الغير</t>
  </si>
  <si>
    <t>000000228/OF-FW</t>
  </si>
  <si>
    <t>1470.0000000000000000</t>
  </si>
  <si>
    <t>ALEXHO EG-232</t>
  </si>
  <si>
    <t>CashIn-000001402</t>
  </si>
  <si>
    <t>1471.0000000000000000</t>
  </si>
  <si>
    <t>1894/THC</t>
  </si>
  <si>
    <t>000001894/Invoice</t>
  </si>
  <si>
    <t>1472.0000000000000000</t>
  </si>
  <si>
    <t>ALEXHO EG-233</t>
  </si>
  <si>
    <t>CashIn-000001403</t>
  </si>
  <si>
    <t>1473.0000000000000000</t>
  </si>
  <si>
    <t>1895/NAFEZA SERVICE</t>
  </si>
  <si>
    <t>000001895/Invoice</t>
  </si>
  <si>
    <t>1474.0000000000000000</t>
  </si>
  <si>
    <t>ALEXHO EG-234</t>
  </si>
  <si>
    <t>CashIn-000001404</t>
  </si>
  <si>
    <t>|1301|013|001|001|101004627|101004627||||3042|3077|Prepaid|||IMPORT||||</t>
  </si>
  <si>
    <t>O25-IMP-OC-626|‏‎|‏Sl-000001‎|‏Ag-000200‎|‏COSU6403916670‎|‏‎|‏‎|‏‎|‏‎|‏CMA CGM LISA MARIE-‎|‏CNSHA Shanghai‎|‏EGALY Alexandria, Egypt (old)‎|‏16/01/2025‎|‏‎|‏16/01/2025‎|‏‎|‏‎|‏16/01/2025‎|‏31/01/2025‎</t>
  </si>
  <si>
    <t>1475.0000000000000000</t>
  </si>
  <si>
    <t>101004627</t>
  </si>
  <si>
    <t>291518516</t>
  </si>
  <si>
    <t>1972/THC</t>
  </si>
  <si>
    <t>000001972/Invoice</t>
  </si>
  <si>
    <t>1476.0000000000000000</t>
  </si>
  <si>
    <t>ALEXHO EG-235</t>
  </si>
  <si>
    <t>CashIn-000001405</t>
  </si>
  <si>
    <t>1477.0000000000000000</t>
  </si>
  <si>
    <t>1973/NAFEZA SERVICE</t>
  </si>
  <si>
    <t>000001973/Invoice</t>
  </si>
  <si>
    <t>1478.0000000000000000</t>
  </si>
  <si>
    <t>ALEXHO EG-236</t>
  </si>
  <si>
    <t>CashIn-000001407</t>
  </si>
  <si>
    <t>O25-IMP-OC-251|‏ME_Q-20250107959-IMP-LCL‎|‏Sl-000001‎|‏Ag-000122‎|‏OOLU8897956780‎|‏‎|‏‎|‏‎|‏‎|‏CMA CGM LISA MARIE-‎|‏CNSHA Shanghai‎|‏EGALY Alexandria, Egypt (old)‎|‏16/01/2025‎|‏19/11/2024‎|‏16/01/2025‎|‏‎|‏‎|‏15/01/2025‎|‏31/01/2025‎</t>
  </si>
  <si>
    <t>1479.0000000000000000</t>
  </si>
  <si>
    <t>2088/THC</t>
  </si>
  <si>
    <t>000002088/Invoice</t>
  </si>
  <si>
    <t>1480.0000000000000000</t>
  </si>
  <si>
    <t>ALEXHO EG-237</t>
  </si>
  <si>
    <t>CashIn-000001408</t>
  </si>
  <si>
    <t>1481.0000000000000000</t>
  </si>
  <si>
    <t>2089/NAFEZA SERVICE</t>
  </si>
  <si>
    <t>000002089/Invoice</t>
  </si>
  <si>
    <t>1482.0000000000000000</t>
  </si>
  <si>
    <t>PSD EG-105</t>
  </si>
  <si>
    <t>CashIn-000001409</t>
  </si>
  <si>
    <t>O25-IMP-OC-879|‏ME_Q-20250109016-IMP-LCL‎|‏Sl-000001‎|‏Ag-000087‎|‏COSU6402521761‎|‏‎|‏‎|‏‎|‏‎|‏‎|‏HKHKG Hong Kong‎|‏EGPSD Port Said West‎|‏‎|‏06/12/2024‎|‏26/01/2025‎|‏‎|‏‎|‏22/01/2025‎|‏31/01/2025‎</t>
  </si>
  <si>
    <t>1483.0000000000000000</t>
  </si>
  <si>
    <t>2113/NAFEZA SERVICE PSD</t>
  </si>
  <si>
    <t>000002113/Invoice</t>
  </si>
  <si>
    <t>1484.0000000000000000</t>
  </si>
  <si>
    <t>PSD EG-106</t>
  </si>
  <si>
    <t>CashIn-000001410</t>
  </si>
  <si>
    <t>|1301|013|001|005|101000047|101000047||||MESCO LCL PSD SALES|5013|Collect|||IMPORT||||</t>
  </si>
  <si>
    <t>O25-IMP-OC-850|‏ME_Q-20250109014-IMP-LCL‎|‏Sl-000001‎|‏Ag-000087‎|‏COSU6399346080‎|‏‎|‏‎|‏‎|‏‎|‏COSCO YANTIAN‎|‏HKHKG Hong Kong‎|‏EGPSD Port Said West‎|‏‎|‏13/11/2024‎|‏26/01/2025‎|‏‎|‏‎|‏22/01/2025‎|‏31/01/2025‎</t>
  </si>
  <si>
    <t>1485.0000000000000000</t>
  </si>
  <si>
    <t>2117/NAFEZA SERVICE PSD</t>
  </si>
  <si>
    <t>000002117/Invoice</t>
  </si>
  <si>
    <t>1486.0000000000000000</t>
  </si>
  <si>
    <t>ALEXHO EG-238</t>
  </si>
  <si>
    <t>CashIn-000001411</t>
  </si>
  <si>
    <t>O25-IMP-OC-7|‏ME_Q-20241104684-IMP-LCL‎|‏Sl-000002‎|‏Ag-000036‎|‏‎|‏‎|‏‎|‏‎|‏‎|‏CMA CGM CHOPIN‎|‏DEHAM Hamburg‎|‏696 ALEXANDRIA‎|‏01/01/2025‎|‏‎|‏01/01/2025‎|‏‎|‏‎|‏01/01/2025‎|‏‎</t>
  </si>
  <si>
    <t>93/مطالبة نولون محصلة لصالح الغير</t>
  </si>
  <si>
    <t>1487.0000000000000000</t>
  </si>
  <si>
    <t>101001527</t>
  </si>
  <si>
    <t>|1301|013|001|001|101001527||||||||||IMPORT||||</t>
  </si>
  <si>
    <t>227650476</t>
  </si>
  <si>
    <t>1488.0000000000000000</t>
  </si>
  <si>
    <t>421103|1301|013|001|001|101001527||||||||||IMPORT||||</t>
  </si>
  <si>
    <t>1489.0000000000000000</t>
  </si>
  <si>
    <t>ALEXHO EG-239</t>
  </si>
  <si>
    <t>CashIn-000001412</t>
  </si>
  <si>
    <t>|1301|013|001|001|101001527|101001527||||3038|3336|Collect|||IMPORT||||</t>
  </si>
  <si>
    <t>1490.0000000000000000</t>
  </si>
  <si>
    <t>1878/THC</t>
  </si>
  <si>
    <t>000001878/Invoice</t>
  </si>
  <si>
    <t>1491.0000000000000000</t>
  </si>
  <si>
    <t>ALEXHO EG-240</t>
  </si>
  <si>
    <t>CashIn-000001413</t>
  </si>
  <si>
    <t>1492.0000000000000000</t>
  </si>
  <si>
    <t>1879/NAFEZA SERVICE</t>
  </si>
  <si>
    <t>000001879/Invoice</t>
  </si>
  <si>
    <t>1493.0000000000000000</t>
  </si>
  <si>
    <t>ALEXHO EG-241</t>
  </si>
  <si>
    <t>CashIn-000001418</t>
  </si>
  <si>
    <t>|1301|013|001|001|101000277|101000277||||4061|3336|Collect|||IMPORT||||</t>
  </si>
  <si>
    <t>O24-IMP-OC-2|‏ME_Q-20241104245-IMP-LCL‎|‏Sl-000007‎|‏Ag-000010‎|‏EGLV142403893537‎|‏‎|‏‎|‏‎|‏‎|‏CMA CGM LISA MARIE-‎|‏CNSHA Shanghai‎|‏EGALY Alexandria, Egypt (old)‎|‏16/01/2025‎|‏‎|‏16/01/2025‎|‏‎|‏‎|‏05/01/2025‎|‏31/01/2025‎</t>
  </si>
  <si>
    <t>1494.0000000000000000</t>
  </si>
  <si>
    <t>101000277</t>
  </si>
  <si>
    <t>705997804</t>
  </si>
  <si>
    <t>1086/THC</t>
  </si>
  <si>
    <t>000001086/Invoice</t>
  </si>
  <si>
    <t>1495.0000000000000000</t>
  </si>
  <si>
    <t>ALEXHO EG-242</t>
  </si>
  <si>
    <t>CashIn-000001419</t>
  </si>
  <si>
    <t>1496.0000000000000000</t>
  </si>
  <si>
    <t>1085/NAFEZA SERVICE</t>
  </si>
  <si>
    <t>000001085/Invoice</t>
  </si>
  <si>
    <t>1497.0000000000000000</t>
  </si>
  <si>
    <t>ALEXHO EG-243</t>
  </si>
  <si>
    <t>CashIn-000001420</t>
  </si>
  <si>
    <t>|1301|013|001|001|101000277|101000277||||4061|3208|Collect|||IMPORT||||</t>
  </si>
  <si>
    <t>O25-IMP-OC-462|‏ME_Q-20241104407-IMP-LCL‎|‏Sl-000001‎|‏RP-000001‎|‏‎|‏‎|‏‎|‏‎|‏‎|‏CMA CGM RODOLPHE‎|‏CNNGB Ningbo‎|‏696 ALEXANDRIA‎|‏‎|‏28/12/2024‎|‏19/01/2025‎|‏‎|‏‎|‏13/01/2025‎|‏‎</t>
  </si>
  <si>
    <t>1498.0000000000000000</t>
  </si>
  <si>
    <t>1083/THC</t>
  </si>
  <si>
    <t>000001083/Invoice</t>
  </si>
  <si>
    <t>1499.0000000000000000</t>
  </si>
  <si>
    <t>ALEXHO EG-244</t>
  </si>
  <si>
    <t>CashIn-000001421</t>
  </si>
  <si>
    <t>1500.0000000000000000</t>
  </si>
  <si>
    <t>1082/NAFEZA SERVICE</t>
  </si>
  <si>
    <t>000001082/Invoice</t>
  </si>
  <si>
    <t>1501.0000000000000000</t>
  </si>
  <si>
    <t>ALEXHO EG-245</t>
  </si>
  <si>
    <t>CashIn-000001422</t>
  </si>
  <si>
    <t>O24-IMP-OC-2|‏ME_Q-20241104246-IMP-LCL‎|‏Sl-000007‎|‏Ag-000010‎|‏EGLV142403893537‎|‏‎|‏‎|‏‎|‏‎|‏CMA CGM LISA MARIE-‎|‏CNSHA Shanghai‎|‏EGALY Alexandria, Egypt (old)‎|‏16/01/2025‎|‏‎|‏16/01/2025‎|‏‎|‏‎|‏05/01/2025‎|‏31/01/2025‎</t>
  </si>
  <si>
    <t>1502.0000000000000000</t>
  </si>
  <si>
    <t>1088/THC</t>
  </si>
  <si>
    <t>000001088/Invoice</t>
  </si>
  <si>
    <t>1503.0000000000000000</t>
  </si>
  <si>
    <t>ALEXHO EG-246</t>
  </si>
  <si>
    <t>CashIn-000001423</t>
  </si>
  <si>
    <t>1504.0000000000000000</t>
  </si>
  <si>
    <t>1087/NAFEZA SERVICE</t>
  </si>
  <si>
    <t>000001087/Invoice</t>
  </si>
  <si>
    <t>1505.0000000000000000</t>
  </si>
  <si>
    <t>ALEXHO EG-247</t>
  </si>
  <si>
    <t>CashIn-000001424</t>
  </si>
  <si>
    <t>|1301|013|001|001|101000194|101000194||||3031|3336|Collect|||IMPORT||||</t>
  </si>
  <si>
    <t>O25-IMP-OC-427|‏ME_Q-20241103625-IMP-LCL‎|‏Sl-000007‎|‏Ag-000010‎|‏EGLV142403853748‎|‏‎|‏‎|‏‎|‏‎|‏CMA CGM LISA MARIE-‎|‏CNSHA Shanghai‎|‏EGALY Alexandria, Egypt (old)‎|‏‎|‏‎|‏16/01/2025‎|‏‎|‏‎|‏13/01/2025‎|‏31/01/2025‎</t>
  </si>
  <si>
    <t>1506.0000000000000000</t>
  </si>
  <si>
    <t>101000194</t>
  </si>
  <si>
    <t>548298610</t>
  </si>
  <si>
    <t>1718/THC</t>
  </si>
  <si>
    <t>000001718/Invoice</t>
  </si>
  <si>
    <t>1507.0000000000000000</t>
  </si>
  <si>
    <t>ALEXHO EG-248</t>
  </si>
  <si>
    <t>CashIn-000001425</t>
  </si>
  <si>
    <t>1508.0000000000000000</t>
  </si>
  <si>
    <t>1717/NAFEZA SERVICE</t>
  </si>
  <si>
    <t>000001717/Invoice</t>
  </si>
  <si>
    <t>1509.0000000000000000</t>
  </si>
  <si>
    <t>ALEXHO EG-249</t>
  </si>
  <si>
    <t>CashIn-000001426</t>
  </si>
  <si>
    <t>190/مطالبة نولون محصلة لصالح الغير</t>
  </si>
  <si>
    <t>1510.0000000000000000</t>
  </si>
  <si>
    <t>|1301|013|001|001|101000194||||||||||IMPORT||||</t>
  </si>
  <si>
    <t>1511.0000000000000000</t>
  </si>
  <si>
    <t>421103|1301|013|001|001|101000194||||||||||IMPORT||||</t>
  </si>
  <si>
    <t>1512.0000000000000000</t>
  </si>
  <si>
    <t>POS_EG-57</t>
  </si>
  <si>
    <t>POS-000001427</t>
  </si>
  <si>
    <t>122201|1301|013|001|001|||RP-000001|RP-000001|||||||IMPORT||||</t>
  </si>
  <si>
    <t>247/مطالبة نولون محصلة لصالح الغير</t>
  </si>
  <si>
    <t>1513.0000000000000000</t>
  </si>
  <si>
    <t>|1301|013|001|001|101004628||||||||||IMPORT||||</t>
  </si>
  <si>
    <t>1514.0000000000000000</t>
  </si>
  <si>
    <t>421103|1301|013|001|001|101004628||||||||||IMPORT||||</t>
  </si>
  <si>
    <t>1515.0000000000000000</t>
  </si>
  <si>
    <t>ALEXHO EG-250</t>
  </si>
  <si>
    <t>CashIn-000001428</t>
  </si>
  <si>
    <t>|1201|012|001|001|101000073|101000073||||FREEHAND|3142|Payable|||IMPORT||||</t>
  </si>
  <si>
    <t>O25-IMP-OC-733|‏ME_Q-20250108453-IMP-FCL‎|‏Sl-000009‎|‏Ag-000068‎|‏246755843‎|‏‎|‏‎|‏‎|‏‎|‏‎|‏DEHAM Hamburg‎|‏EGALY Alexandria, Egypt (old)‎|‏‎|‏‎|‏‎|‏‎|‏‎|‏20/01/2025‎|‏31/01/2025‎</t>
  </si>
  <si>
    <t>1516.0000000000000000</t>
  </si>
  <si>
    <t>101000073</t>
  </si>
  <si>
    <t>205034586</t>
  </si>
  <si>
    <t>2131/INV</t>
  </si>
  <si>
    <t>000002131/Invoice</t>
  </si>
  <si>
    <t>1517.0000000000000000</t>
  </si>
  <si>
    <t>PSD EG-107</t>
  </si>
  <si>
    <t>CashIn-000001435</t>
  </si>
  <si>
    <t>|1201|012|001|005|101001865|101001865||||FREEHAND|5026|Prepaid|||IMPORT||||</t>
  </si>
  <si>
    <t>O25-IMP-OC-769|‏ME_Q-20250108429-IMP-FCL‎|‏Sl-000002‎|‏Ag-000069‎|‏RTM1487317‎|‏‎|‏‎|‏‎|‏‎|‏CMA CGM LAMARTINE‎|‏NLRTM Rotterdam‎|‏EGPSD Port Said West‎|‏‎|‏‎|‏‎|‏‎|‏‎|‏20/01/2025‎|‏31/01/2025‎</t>
  </si>
  <si>
    <t>1518.0000000000000000</t>
  </si>
  <si>
    <t>2172/INV</t>
  </si>
  <si>
    <t>000002172/Invoice</t>
  </si>
  <si>
    <t>1519.0000000000000000</t>
  </si>
  <si>
    <t>PSD EG-108</t>
  </si>
  <si>
    <t>CashIn-000001436</t>
  </si>
  <si>
    <t>O25-IMP-OC-768|‏ME_Q-20250108426-IMP-FCL‎|‏Sl-000002‎|‏Ag-000069‎|‏RTM1487449‎|‏‎|‏‎|‏‎|‏‎|‏CMA CGM LAMARTINE‎|‏NLRTM Rotterdam‎|‏EGPSD Port Said West‎|‏‎|‏‎|‏‎|‏‎|‏‎|‏20/01/2025‎|‏31/01/2025‎</t>
  </si>
  <si>
    <t>1520.0000000000000000</t>
  </si>
  <si>
    <t>2174/INV</t>
  </si>
  <si>
    <t>000002174/Invoice</t>
  </si>
  <si>
    <t>1521.0000000000000000</t>
  </si>
  <si>
    <t>ALEXHO US-21</t>
  </si>
  <si>
    <t>CashIn-000001437</t>
  </si>
  <si>
    <t>|1601|016|001|001|201000174|201000174||||3084|4065|Payable|||IMPORT||||</t>
  </si>
  <si>
    <t>O25-IMP-OC-578|‏ME_Q-20250107995-IMP-FCL‎|‏Sl-000023‎|‏‎|‏‎|‏‎|‏‎|‏‎|‏‎|‏‎|‏DKAAL AALBORG‎|‏NOAES AALESUND‎|‏‎|‏‎|‏‎|‏‎|‏‎|‏15/01/2025‎|‏31/01/2025‎</t>
  </si>
  <si>
    <t>1522.0000000000000000</t>
  </si>
  <si>
    <t>201000174</t>
  </si>
  <si>
    <t>7718867390405</t>
  </si>
  <si>
    <t>2175/INV</t>
  </si>
  <si>
    <t>000002175/Invoice</t>
  </si>
  <si>
    <t>1523.0000000000000000</t>
  </si>
  <si>
    <t>QNB_US_CA1-19</t>
  </si>
  <si>
    <t>BankIn-000001438</t>
  </si>
  <si>
    <t>122202|1301|013|001|001|101004500|101004500||||3098|3336|Collect|||IMPORT||||</t>
  </si>
  <si>
    <t>224/مطالبة نولون محصلة لصالح الغير</t>
  </si>
  <si>
    <t>000000224/OF-FW</t>
  </si>
  <si>
    <t>1524.0000000000000000</t>
  </si>
  <si>
    <t>1525.0000000000000000</t>
  </si>
  <si>
    <t>QNB_US_CA1-20</t>
  </si>
  <si>
    <t>BankIn-000001439</t>
  </si>
  <si>
    <t>122202|1301|013|001|001|101000277|101000277||||4061|3336|Collect|||IMPORT||||</t>
  </si>
  <si>
    <t>113/مطالبة نولون محصلة لصالح الغير</t>
  </si>
  <si>
    <t>000000113/OF-FW</t>
  </si>
  <si>
    <t>1526.0000000000000000</t>
  </si>
  <si>
    <t>1527.0000000000000000</t>
  </si>
  <si>
    <t>QNB_US_CA1-21</t>
  </si>
  <si>
    <t>BankIn-000001440</t>
  </si>
  <si>
    <t>122202|1301|013|001|001|101000277|101000277||||4061|3208|Collect|||IMPORT||||</t>
  </si>
  <si>
    <t>111/مطالبة نولون محصلة لصالح الغير</t>
  </si>
  <si>
    <t>000000111/OF-FW</t>
  </si>
  <si>
    <t>1528.0000000000000000</t>
  </si>
  <si>
    <t>1529.0000000000000000</t>
  </si>
  <si>
    <t>QNB_US_CA1-22</t>
  </si>
  <si>
    <t>BankIn-000001441</t>
  </si>
  <si>
    <t>112/مطالبة نولون محصلة لصالح الغير</t>
  </si>
  <si>
    <t>000000112/OF-FW</t>
  </si>
  <si>
    <t>1530.0000000000000000</t>
  </si>
  <si>
    <t>1531.0000000000000000</t>
  </si>
  <si>
    <t>ALEXHO EG-251</t>
  </si>
  <si>
    <t>CashIn-000001442</t>
  </si>
  <si>
    <t>|1302|013|001|001|101000244|101000244||||3031|3208|Collect|||IMPORT||||</t>
  </si>
  <si>
    <t>1532.0000000000000000</t>
  </si>
  <si>
    <t>2187/STOR   IMPORT ALEX</t>
  </si>
  <si>
    <t>000002187/Invoice</t>
  </si>
  <si>
    <t>1533.0000000000000000</t>
  </si>
  <si>
    <t>ALEXHO EG-252</t>
  </si>
  <si>
    <t>CashIn-000001443</t>
  </si>
  <si>
    <t>|1301|013|001|001|101002700|101002700||||3031|3208|Collect|||IMPORT||||</t>
  </si>
  <si>
    <t>1534.0000000000000000</t>
  </si>
  <si>
    <t>101002700</t>
  </si>
  <si>
    <t>310700655</t>
  </si>
  <si>
    <t>2211/THC</t>
  </si>
  <si>
    <t>000002211/Invoice</t>
  </si>
  <si>
    <t>1535.0000000000000000</t>
  </si>
  <si>
    <t>ALEXHO EG-253</t>
  </si>
  <si>
    <t>CashIn-000001444</t>
  </si>
  <si>
    <t>1536.0000000000000000</t>
  </si>
  <si>
    <t>1656/NAFEZA SERVICE</t>
  </si>
  <si>
    <t>000001656/Invoice</t>
  </si>
  <si>
    <t>1537.0000000000000000</t>
  </si>
  <si>
    <t>ALEXHO EG-254</t>
  </si>
  <si>
    <t>CashIn-000001445</t>
  </si>
  <si>
    <t>|1301|013|001|001|101004630|101004630||||3042|3336|Prepaid|||IMPORT||||</t>
  </si>
  <si>
    <t>O25-IMP-OC-654|‏‎|‏Sl-000001‎|‏Ag-000200‎|‏COSU6404062110‎|‏‎|‏‎|‏‎|‏‎|‏CMA CGM RODOLPHE‎|‏CNSHA Shanghai‎|‏EGALY Alexandria, Egypt (old)‎|‏19/01/2025‎|‏‎|‏19/01/2025‎|‏‎|‏‎|‏16/01/2025‎|‏31/01/2025‎</t>
  </si>
  <si>
    <t>1538.0000000000000000</t>
  </si>
  <si>
    <t>101004630</t>
  </si>
  <si>
    <t>489580777</t>
  </si>
  <si>
    <t>2118/THC</t>
  </si>
  <si>
    <t>000002118/Invoice</t>
  </si>
  <si>
    <t>1539.0000000000000000</t>
  </si>
  <si>
    <t>ALEXHO EG-255</t>
  </si>
  <si>
    <t>CashIn-000001446</t>
  </si>
  <si>
    <t>1540.0000000000000000</t>
  </si>
  <si>
    <t>2119/NAFEZA SERVICE</t>
  </si>
  <si>
    <t>000002119/Invoice</t>
  </si>
  <si>
    <t>1541.0000000000000000</t>
  </si>
  <si>
    <t>ALEXHO EG-256</t>
  </si>
  <si>
    <t>CashIn-000001447</t>
  </si>
  <si>
    <t>|1301|013|001|001|101000011|101000011||||3031|3336|Collect|||IMPORT||||</t>
  </si>
  <si>
    <t>O25-IMP-OC-427|‏ME_Q-20250109083-IMP-LCL‎|‏Sl-000007‎|‏Ag-000010‎|‏EGLV142403853748‎|‏‎|‏‎|‏‎|‏‎|‏CMA CGM LISA MARIE-‎|‏CNSHA Shanghai‎|‏EGALY Alexandria, Egypt (old)‎|‏‎|‏‎|‏16/01/2025‎|‏‎|‏‎|‏13/01/2025‎|‏31/01/2025‎</t>
  </si>
  <si>
    <t>1542.0000000000000000</t>
  </si>
  <si>
    <t>101000011</t>
  </si>
  <si>
    <t>207410097</t>
  </si>
  <si>
    <t>2209/THC</t>
  </si>
  <si>
    <t>000002209/Invoice</t>
  </si>
  <si>
    <t>1543.0000000000000000</t>
  </si>
  <si>
    <t>ALEXHO EG-257</t>
  </si>
  <si>
    <t>CashIn-000001448</t>
  </si>
  <si>
    <t>1544.0000000000000000</t>
  </si>
  <si>
    <t>2210/NAFEZA SERVICE</t>
  </si>
  <si>
    <t>000002210/Invoice</t>
  </si>
  <si>
    <t>1545.0000000000000000</t>
  </si>
  <si>
    <t>ALEXHO US-22</t>
  </si>
  <si>
    <t>CashIn-000001449</t>
  </si>
  <si>
    <t>1546.0000000000000000</t>
  </si>
  <si>
    <t>252/مطالبة نولون محصلة لصالح الغير</t>
  </si>
  <si>
    <t>000000252/OF-FW</t>
  </si>
  <si>
    <t>1547.0000000000000000</t>
  </si>
  <si>
    <t>ALEXHO US-23</t>
  </si>
  <si>
    <t>CashIn-000001450</t>
  </si>
  <si>
    <t>1548.0000000000000000</t>
  </si>
  <si>
    <t>251/مطالبة نولون محصلة لصالح الغير</t>
  </si>
  <si>
    <t>000000251/OF-FW</t>
  </si>
  <si>
    <t>1549.0000000000000000</t>
  </si>
  <si>
    <t>Merghem EG-26</t>
  </si>
  <si>
    <t>CashIn-000001452</t>
  </si>
  <si>
    <t>|1302|013|001|001|101000503|101000503||||3075|3336|Collect|||IMPORT||||</t>
  </si>
  <si>
    <t>1550.0000000000000000</t>
  </si>
  <si>
    <t>2219/STOR   IMPORT ALEX</t>
  </si>
  <si>
    <t>000002219/Invoice</t>
  </si>
  <si>
    <t>1551.0000000000000000</t>
  </si>
  <si>
    <t>Merghem EG-27</t>
  </si>
  <si>
    <t>CashIn-000001453</t>
  </si>
  <si>
    <t>|1302|013|001|001|101000542|101000542||||3075|3336|Collect|||IMPORT||||</t>
  </si>
  <si>
    <t>1552.0000000000000000</t>
  </si>
  <si>
    <t>2215/STOR   IMPORT ALEX</t>
  </si>
  <si>
    <t>000002215/Invoice</t>
  </si>
  <si>
    <t>1553.0000000000000000</t>
  </si>
  <si>
    <t>Merghem EG-28</t>
  </si>
  <si>
    <t>CashIn-000001454</t>
  </si>
  <si>
    <t>|1302|013|001|001|101001218|101001218||||3075|3336|Collect|||IMPORT||||</t>
  </si>
  <si>
    <t>1554.0000000000000000</t>
  </si>
  <si>
    <t>2218/STOR   IMPORT ALEX</t>
  </si>
  <si>
    <t>000002218/Invoice</t>
  </si>
  <si>
    <t>1555.0000000000000000</t>
  </si>
  <si>
    <t>CCC EG-6</t>
  </si>
  <si>
    <t>BankIn-000001456</t>
  </si>
  <si>
    <t>AAIB-EG-CA</t>
  </si>
  <si>
    <t>|1301|013|001|001|101000174|101000174||||3038|3336|Collect|||IMPORT||||</t>
  </si>
  <si>
    <t>O25-IMP-OC-169|‏ME_Q-20250108397-IMP-LCL‎|‏Sl-000007‎|‏Ag-000010‎|‏EGLV142403974073‎|‏‎|‏‎|‏‎|‏‎|‏CMA CGM RODOLPHE‎|‏CNSHA Shanghai‎|‏EGALY Alexandria, Egypt (old)‎|‏19/01/2025‎|‏‎|‏19/01/2025‎|‏‎|‏‎|‏06/01/2025‎|‏31/01/2025‎</t>
  </si>
  <si>
    <t>1556.0000000000000000</t>
  </si>
  <si>
    <t>101000174</t>
  </si>
  <si>
    <t>349953554</t>
  </si>
  <si>
    <t>2230/THC</t>
  </si>
  <si>
    <t>000002230/Invoice</t>
  </si>
  <si>
    <t>1557.0000000000000000</t>
  </si>
  <si>
    <t>CCC EG-7</t>
  </si>
  <si>
    <t>BankIn-000001457</t>
  </si>
  <si>
    <t>1558.0000000000000000</t>
  </si>
  <si>
    <t>2231/NAFEZA SERVICE</t>
  </si>
  <si>
    <t>000002231/Invoice</t>
  </si>
  <si>
    <t>1559.0000000000000000</t>
  </si>
  <si>
    <t>CCC US-12</t>
  </si>
  <si>
    <t>BankIn-000001458</t>
  </si>
  <si>
    <t>1560.0000000000000000</t>
  </si>
  <si>
    <t>259/مطالبة نولون محصلة لصالح الغير</t>
  </si>
  <si>
    <t>000000259/OF-FW</t>
  </si>
  <si>
    <t>1561.0000000000000000</t>
  </si>
  <si>
    <t>Merghem EG-29</t>
  </si>
  <si>
    <t>CashIn-000001459</t>
  </si>
  <si>
    <t>1562.0000000000000000</t>
  </si>
  <si>
    <t>2241/STOR   IMPORT ALEX</t>
  </si>
  <si>
    <t>000002241/Invoice</t>
  </si>
  <si>
    <t>1563.0000000000000000</t>
  </si>
  <si>
    <t>ALEXHO EG-258</t>
  </si>
  <si>
    <t>CashIn-000001460</t>
  </si>
  <si>
    <t>O25-IMP-OC-626|‏ME_Q-20241104216-IMP-LCL‎|‏Sl-000001‎|‏Ag-000200‎|‏COSU6403916670‎|‏‎|‏‎|‏‎|‏‎|‏CMA CGM LISA MARIE-‎|‏CNSHA Shanghai‎|‏EGALY Alexandria, Egypt (old)‎|‏16/01/2025‎|‏‎|‏16/01/2025‎|‏‎|‏‎|‏16/01/2025‎|‏31/01/2025‎</t>
  </si>
  <si>
    <t>1564.0000000000000000</t>
  </si>
  <si>
    <t>2220/THC</t>
  </si>
  <si>
    <t>000002220/Invoice</t>
  </si>
  <si>
    <t>1565.0000000000000000</t>
  </si>
  <si>
    <t>ALEXHO EG-259</t>
  </si>
  <si>
    <t>CashIn-000001461</t>
  </si>
  <si>
    <t>1566.0000000000000000</t>
  </si>
  <si>
    <t>2221/NAFEZA SERVICE</t>
  </si>
  <si>
    <t>000002221/Invoice</t>
  </si>
  <si>
    <t>1567.0000000000000000</t>
  </si>
  <si>
    <t>ALEXHO US-24</t>
  </si>
  <si>
    <t>CashIn-000001462</t>
  </si>
  <si>
    <t>1568.0000000000000000</t>
  </si>
  <si>
    <t>255/مطالبة نولون محصلة لصالح الغير</t>
  </si>
  <si>
    <t>000000255/OF-FW</t>
  </si>
  <si>
    <t>1569.0000000000000000</t>
  </si>
  <si>
    <t>CCC EG-8</t>
  </si>
  <si>
    <t>BankIn-000001463</t>
  </si>
  <si>
    <t>|1201|012|001|001|101004586|101004586||||4076|3040|Payable|||EXPORT||||</t>
  </si>
  <si>
    <t>O25-EXP-OC-294|‏ME_Q-20250107011-EXP-FCL‎|‏Sl-000026‎|‏‎|‏‎|‏‎|‏‎|‏‎|‏‎|‏‎|‏EGDAM Damietta‎|‏SNDKR DAKAR‎|‏‎|‏‎|‏‎|‏‎|‏‎|‏09/01/2025‎|‏31/01/2025‎</t>
  </si>
  <si>
    <t>1570.0000000000000000</t>
  </si>
  <si>
    <t>101004586</t>
  </si>
  <si>
    <t>496944975</t>
  </si>
  <si>
    <t>516/OFFICIAL</t>
  </si>
  <si>
    <t>000000516/OR-FW</t>
  </si>
  <si>
    <t>1571.0000000000000000</t>
  </si>
  <si>
    <t>CCC US-13</t>
  </si>
  <si>
    <t>BankIn-000001464</t>
  </si>
  <si>
    <t>1572.0000000000000000</t>
  </si>
  <si>
    <t>2240/INV</t>
  </si>
  <si>
    <t>000002240/Invoice</t>
  </si>
  <si>
    <t>1573.0000000000000000</t>
  </si>
  <si>
    <t>ALEXHO EG-260</t>
  </si>
  <si>
    <t>CashIn-000001465</t>
  </si>
  <si>
    <t>|1301|013|001|001|101000251|101000251||||3031|3208|Collect|||IMPORT||||</t>
  </si>
  <si>
    <t>O25-IMP-OC-432|‏ME_Q-20241205394-IMP-LCL‎|‏Sl-000001‎|‏RP-000001‎|‏‎|‏‎|‏‎|‏‎|‏‎|‏CMA CGM RODOLPHE‎|‏CNSHA Shanghai‎|‏696 ALEXANDRIA‎|‏‎|‏22/12/2024‎|‏19/01/2025‎|‏‎|‏‎|‏12/01/2025‎|‏‎</t>
  </si>
  <si>
    <t>1574.0000000000000000</t>
  </si>
  <si>
    <t>101000251</t>
  </si>
  <si>
    <t>205005292</t>
  </si>
  <si>
    <t>2242/THC</t>
  </si>
  <si>
    <t>000002242/Invoice</t>
  </si>
  <si>
    <t>1575.0000000000000000</t>
  </si>
  <si>
    <t>ALEXHO EG-261</t>
  </si>
  <si>
    <t>CashIn-000001466</t>
  </si>
  <si>
    <t>1576.0000000000000000</t>
  </si>
  <si>
    <t>2243/NAFEZA SERVICE</t>
  </si>
  <si>
    <t>000002243/Invoice</t>
  </si>
  <si>
    <t>1577.0000000000000000</t>
  </si>
  <si>
    <t>ALEXHO EG-262</t>
  </si>
  <si>
    <t>CashIn-000001467</t>
  </si>
  <si>
    <t>|1301|013|001|001|101000735|101000735||||4043|3208|Collect|||IMPORT||||</t>
  </si>
  <si>
    <t>O25-IMP-OC-432|‏ME_Q-20250108505-IMP-LCL‎|‏Sl-000001‎|‏RP-000001‎|‏‎|‏‎|‏‎|‏‎|‏‎|‏CMA CGM RODOLPHE‎|‏CNSHA Shanghai‎|‏696 ALEXANDRIA‎|‏‎|‏22/12/2024‎|‏19/01/2025‎|‏‎|‏‎|‏12/01/2025‎|‏‎</t>
  </si>
  <si>
    <t>1578.0000000000000000</t>
  </si>
  <si>
    <t>101000735</t>
  </si>
  <si>
    <t>200015397</t>
  </si>
  <si>
    <t>2121/THC</t>
  </si>
  <si>
    <t>000002121/Invoice</t>
  </si>
  <si>
    <t>1579.0000000000000000</t>
  </si>
  <si>
    <t>ALEXHO EG-263</t>
  </si>
  <si>
    <t>CashIn-000001468</t>
  </si>
  <si>
    <t>1580.0000000000000000</t>
  </si>
  <si>
    <t>2120/NAFEZA SERVICE</t>
  </si>
  <si>
    <t>000002120/Invoice</t>
  </si>
  <si>
    <t>1581.0000000000000000</t>
  </si>
  <si>
    <t>ALEXHO EG-264</t>
  </si>
  <si>
    <t>CashIn-000001469</t>
  </si>
  <si>
    <t>|1301|013|001|001|101004211|101004211||||3076|3077|Collect|||IMPORT||||</t>
  </si>
  <si>
    <t>O25-IMP-OC-626|‏ME_Q-20250108928-IMP-LCL‎|‏Sl-000001‎|‏Ag-000200‎|‏COSU6403916670‎|‏‎|‏‎|‏‎|‏‎|‏CMA CGM LISA MARIE-‎|‏CNSHA Shanghai‎|‏EGALY Alexandria, Egypt (old)‎|‏16/01/2025‎|‏‎|‏16/01/2025‎|‏‎|‏‎|‏16/01/2025‎|‏31/01/2025‎</t>
  </si>
  <si>
    <t>1582.0000000000000000</t>
  </si>
  <si>
    <t>101004211</t>
  </si>
  <si>
    <t>704952882</t>
  </si>
  <si>
    <t>1974/THC</t>
  </si>
  <si>
    <t>000001974/Invoice</t>
  </si>
  <si>
    <t>1583.0000000000000000</t>
  </si>
  <si>
    <t>ALEXHO EG-265</t>
  </si>
  <si>
    <t>CashIn-000001470</t>
  </si>
  <si>
    <t>1584.0000000000000000</t>
  </si>
  <si>
    <t>1975/NAFEZA SERVICE</t>
  </si>
  <si>
    <t>000001975/Invoice</t>
  </si>
  <si>
    <t>1585.0000000000000000</t>
  </si>
  <si>
    <t>ALEXHO EG-266</t>
  </si>
  <si>
    <t>CashIn-000001472</t>
  </si>
  <si>
    <t>|1301|013|001|001|101000149|101000149||||3038|3208|Collect|||IMPORT||||</t>
  </si>
  <si>
    <t>O25-IMP-OC-462|‏ME_Q-20250108374-IMP-LCL‎|‏Sl-000001‎|‏RP-000001‎|‏‎|‏‎|‏‎|‏‎|‏‎|‏CMA CGM RODOLPHE‎|‏CNNGB Ningbo‎|‏696 ALEXANDRIA‎|‏‎|‏28/12/2024‎|‏19/01/2025‎|‏‎|‏‎|‏13/01/2025‎|‏‎</t>
  </si>
  <si>
    <t>1586.0000000000000000</t>
  </si>
  <si>
    <t>2252/THC</t>
  </si>
  <si>
    <t>000002252/Invoice</t>
  </si>
  <si>
    <t>1587.0000000000000000</t>
  </si>
  <si>
    <t>ALEXHO EG-267</t>
  </si>
  <si>
    <t>CashIn-000001473</t>
  </si>
  <si>
    <t>1588.0000000000000000</t>
  </si>
  <si>
    <t>2253/NAFEZA SERVICE</t>
  </si>
  <si>
    <t>000002253/Invoice</t>
  </si>
  <si>
    <t>1589.0000000000000000</t>
  </si>
  <si>
    <t>ALEXHO EG-268</t>
  </si>
  <si>
    <t>CashIn-000001474</t>
  </si>
  <si>
    <t>O25-IMP-OC-508|‏ME_Q-20250108487-IMP-LCL‎|‏Sl-000036‎|‏RP-000001‎|‏‎|‏‎|‏‎|‏‎|‏‎|‏OOCL KOBE‎|‏DEHAM Hamburg‎|‏696 ALEXANDRIA‎|‏‎|‏01/01/2025‎|‏21/01/2025‎|‏‎|‏‎|‏14/01/2025‎|‏‎</t>
  </si>
  <si>
    <t>1590.0000000000000000</t>
  </si>
  <si>
    <t>2256/THC</t>
  </si>
  <si>
    <t>000002256/Invoice</t>
  </si>
  <si>
    <t>1591.0000000000000000</t>
  </si>
  <si>
    <t>ALEXHO EG-269</t>
  </si>
  <si>
    <t>CashIn-000001476</t>
  </si>
  <si>
    <t>1592.0000000000000000</t>
  </si>
  <si>
    <t>2257/NAFEZA SERVICE</t>
  </si>
  <si>
    <t>000002257/Invoice</t>
  </si>
  <si>
    <t>1593.0000000000000000</t>
  </si>
  <si>
    <t>ALEXHO EG-270</t>
  </si>
  <si>
    <t>CashIn-000001477</t>
  </si>
  <si>
    <t>O25-IMP-OC-508|‏ME_Q-20250108489-IMP-LCL‎|‏Sl-000036‎|‏RP-000001‎|‏‎|‏‎|‏‎|‏‎|‏‎|‏OOCL KOBE‎|‏DEHAM Hamburg‎|‏696 ALEXANDRIA‎|‏‎|‏01/01/2025‎|‏21/01/2025‎|‏‎|‏‎|‏14/01/2025‎|‏‎</t>
  </si>
  <si>
    <t>1594.0000000000000000</t>
  </si>
  <si>
    <t>2262/THC</t>
  </si>
  <si>
    <t>000002262/Invoice</t>
  </si>
  <si>
    <t>1595.0000000000000000</t>
  </si>
  <si>
    <t>ALEXHO EG-271</t>
  </si>
  <si>
    <t>CashIn-000001478</t>
  </si>
  <si>
    <t>1596.0000000000000000</t>
  </si>
  <si>
    <t>2263/NAFEZA SERVICE</t>
  </si>
  <si>
    <t>000002263/Invoice</t>
  </si>
  <si>
    <t>1597.0000000000000000</t>
  </si>
  <si>
    <t>ALEXHO EU-4</t>
  </si>
  <si>
    <t>CashIn-000001479</t>
  </si>
  <si>
    <t>|1301|013|001|001|101000609|101000609||||3031|3208|Collect|||IMPORT||||</t>
  </si>
  <si>
    <t>O25-IMP-OC-888|‏ME_Q-20250109125-IMP-LCL‎|‏Sl-000004‎|‏RP-000001‎|‏‎|‏‎|‏‎|‏‎|‏‎|‏MARIO A‎|‏ITGOA Genoa‎|‏696 ALEXANDRIA‎|‏‎|‏21/01/2025‎|‏25/01/2025‎|‏‎|‏‎|‏23/01/2025‎|‏31/01/2025‎</t>
  </si>
  <si>
    <t>1598.0000000000000000</t>
  </si>
  <si>
    <t>270/مطالبة نولون محصلة لصالح الغير</t>
  </si>
  <si>
    <t>000000270/OF-FW</t>
  </si>
  <si>
    <t>1599.0000000000000000</t>
  </si>
  <si>
    <t>ALEXHO EG-272</t>
  </si>
  <si>
    <t>CashIn-000001480</t>
  </si>
  <si>
    <t>|1301|013|001|001|101000621|101000621||||3042|3208|Collect|||IMPORT||||</t>
  </si>
  <si>
    <t>O25-IMP-OC-530|‏ME_Q-20250109119-IMP-LCL‎|‏Sl-000036‎|‏RP-000001‎|‏‎|‏‎|‏‎|‏‎|‏‎|‏COSCO SHANGHAI‎|‏DEHAB Hambergen‎|‏696 ALEXANDRIA‎|‏‎|‏01/01/2025‎|‏20/01/2025‎|‏‎|‏‎|‏14/01/2025‎|‏‎</t>
  </si>
  <si>
    <t>1600.0000000000000000</t>
  </si>
  <si>
    <t>101000621</t>
  </si>
  <si>
    <t>545471214</t>
  </si>
  <si>
    <t>2276/THC</t>
  </si>
  <si>
    <t>000002276/Invoice</t>
  </si>
  <si>
    <t>1601.0000000000000000</t>
  </si>
  <si>
    <t>ALEXHO EG-273</t>
  </si>
  <si>
    <t>CashIn-000001481</t>
  </si>
  <si>
    <t>1602.0000000000000000</t>
  </si>
  <si>
    <t>2275/NAFEZA SERVICE</t>
  </si>
  <si>
    <t>000002275/Invoice</t>
  </si>
  <si>
    <t>1603.0000000000000000</t>
  </si>
  <si>
    <t>ALEXHO EU-5</t>
  </si>
  <si>
    <t>CashIn-000001484</t>
  </si>
  <si>
    <t>273/مطالبة نولون محصلة لصالح الغير</t>
  </si>
  <si>
    <t>1604.0000000000000000</t>
  </si>
  <si>
    <t>1605.0000000000000000</t>
  </si>
  <si>
    <t>|1301|013|001|001|101000621||||||||||IMPORT||||</t>
  </si>
  <si>
    <t>1606.0000000000000000</t>
  </si>
  <si>
    <t>421103|1301|013|001|001|101000621||||||||||IMPORT||||</t>
  </si>
  <si>
    <t>1607.0000000000000000</t>
  </si>
  <si>
    <t>Airport EG-100</t>
  </si>
  <si>
    <t>CashIn-000001502</t>
  </si>
  <si>
    <t>2025-01-27</t>
  </si>
  <si>
    <t>|1101|011|001|004|101002387|101002387||||FREEHAND|4012|Prepaid|||IMPORT||||</t>
  </si>
  <si>
    <t>O25-IMP-AI-1002|‏‎|‏Al-000006‎|‏‎|‏077-58635006‎|‏‎|‏‎|‏‎|‏‎|‏‎|‏IST ISTANBUL AIRPORT‎|‏CAI CAIRO‎|‏‎|‏‎|‏26/01/2025‎|‏‎|‏‎|‏26/01/2025‎|‏31/01/2025‎</t>
  </si>
  <si>
    <t>1608.0000000000000000</t>
  </si>
  <si>
    <t>2322/INV</t>
  </si>
  <si>
    <t>000002322/Invoice</t>
  </si>
  <si>
    <t>1609.0000000000000000</t>
  </si>
  <si>
    <t>Airport EG-101</t>
  </si>
  <si>
    <t>CashIn-000001503</t>
  </si>
  <si>
    <t>O25-IMP-AI-1002|‏‎|‏Al-000006‎|‏ALTUN LOJISTIK AS‎|‏077-58635006‎|‏‎|‏‎|‏‎|‏‎|‏‎|‏IST ISTANBUL AIRPORT‎|‏CAI CAIRO‎|‏‎|‏‎|‏26/01/2025‎|‏‎|‏‎|‏26/01/2025‎|‏31/01/2025‎</t>
  </si>
  <si>
    <t>1610.0000000000000000</t>
  </si>
  <si>
    <t>527/OFFICIAL</t>
  </si>
  <si>
    <t>000000527/OR-FW</t>
  </si>
  <si>
    <t>1611.0000000000000000</t>
  </si>
  <si>
    <t>Airport EG-102</t>
  </si>
  <si>
    <t>CashIn-000001504</t>
  </si>
  <si>
    <t>|1101|011|001|004|101000280|101000280||||3038|4012|Prepaid|||IMPORT||||</t>
  </si>
  <si>
    <t>O25-IMP-AI-914|‏‎|‏Al-000017‎|‏‎|‏157-31867566‎|‏‎|‏‎|‏‎|‏‎|‏‎|‏TPE TAIPEI‎|‏CAI CAIRO‎|‏‎|‏‎|‏25/01/2025‎|‏‎|‏‎|‏23/01/2025‎|‏31/01/2025‎</t>
  </si>
  <si>
    <t>1612.0000000000000000</t>
  </si>
  <si>
    <t>515/OFFICIAL</t>
  </si>
  <si>
    <t>000000515/OR-FW</t>
  </si>
  <si>
    <t>1613.0000000000000000</t>
  </si>
  <si>
    <t>CIB_EG_CA-18</t>
  </si>
  <si>
    <t>BankIn-000001524</t>
  </si>
  <si>
    <t>122201|1501|015|001|001|101000107|101000661||||3115|3115|Payable|||IMPORT||||</t>
  </si>
  <si>
    <t>1614.0000000000000000</t>
  </si>
  <si>
    <t>101000107</t>
  </si>
  <si>
    <t>|1501|015|001|001|101000107|101000661||||3115|3115|Payable|||IMPORT||||</t>
  </si>
  <si>
    <t>374758697</t>
  </si>
  <si>
    <t>1615.0000000000000000</t>
  </si>
  <si>
    <t>Airport EG-103</t>
  </si>
  <si>
    <t>CashIn-000001505</t>
  </si>
  <si>
    <t>1616.0000000000000000</t>
  </si>
  <si>
    <t>2235/INV</t>
  </si>
  <si>
    <t>000002235/Invoice</t>
  </si>
  <si>
    <t>1617.0000000000000000</t>
  </si>
  <si>
    <t>Airport EG-104</t>
  </si>
  <si>
    <t>CashIn-000001506</t>
  </si>
  <si>
    <t>|1101|011|001|004|101001101|101001101||||4076|4012|Prepaid|||IMPORT||||</t>
  </si>
  <si>
    <t>O25-IMP-AI-656|‏‎|‏Al-000006‎|‏‎|‏077-FRA-00018372‎|‏‎|‏‎|‏‎|‏‎|‏‎|‏FRA FRANKFURT‎|‏CAI CAIRO‎|‏‎|‏‎|‏16/01/2025‎|‏‎|‏‎|‏16/01/2025‎|‏31/01/2025‎</t>
  </si>
  <si>
    <t>1618.0000000000000000</t>
  </si>
  <si>
    <t>101001101</t>
  </si>
  <si>
    <t>515950610</t>
  </si>
  <si>
    <t>528/OFFICIAL</t>
  </si>
  <si>
    <t>000000528/OR-FW</t>
  </si>
  <si>
    <t>1619.0000000000000000</t>
  </si>
  <si>
    <t>CIB_EG_CA-19</t>
  </si>
  <si>
    <t>BankIn-000001525</t>
  </si>
  <si>
    <t>1620.0000000000000000</t>
  </si>
  <si>
    <t>2328/INV</t>
  </si>
  <si>
    <t>000002328/Invoice</t>
  </si>
  <si>
    <t>1621.0000000000000000</t>
  </si>
  <si>
    <t>CIB_EG_CA-20</t>
  </si>
  <si>
    <t>NR-000001526</t>
  </si>
  <si>
    <t>122201|1501|015|001|001|101000085|101000661||||3115|3115|Payable|||IMPORT||||</t>
  </si>
  <si>
    <t>000543858098</t>
  </si>
  <si>
    <t>1622.0000000000000000</t>
  </si>
  <si>
    <t>101000085</t>
  </si>
  <si>
    <t>|1501|015|001|001|101000085|101000661||||3115|3115|Payable|||IMPORT||||</t>
  </si>
  <si>
    <t>200227475</t>
  </si>
  <si>
    <t>1623.0000000000000000</t>
  </si>
  <si>
    <t>Airport EG-105</t>
  </si>
  <si>
    <t>CashIn-000001507</t>
  </si>
  <si>
    <t>|1101|011|001|004|101000406|101000406||||FREEHAND|4012|Prepaid|||IMPORT||||</t>
  </si>
  <si>
    <t>O25-IMP-AI-1009|‏‎|‏Al-000021‎|‏‎|‏077-29773494‎|‏‎|‏‎|‏‎|‏‎|‏‎|‏IST ISTANBUL AIRPORT‎|‏CAI CAIRO‎|‏‎|‏‎|‏26/01/2025‎|‏‎|‏‎|‏26/01/2025‎|‏31/01/2025‎</t>
  </si>
  <si>
    <t>1624.0000000000000000</t>
  </si>
  <si>
    <t>101000406</t>
  </si>
  <si>
    <t>100057993</t>
  </si>
  <si>
    <t>2376/INV</t>
  </si>
  <si>
    <t>000002376/Invoice</t>
  </si>
  <si>
    <t>1625.0000000000000000</t>
  </si>
  <si>
    <t>Airport EG-106</t>
  </si>
  <si>
    <t>CashIn-000001508</t>
  </si>
  <si>
    <t>1626.0000000000000000</t>
  </si>
  <si>
    <t>536/OFFICIAL</t>
  </si>
  <si>
    <t>000000536/OR-FW</t>
  </si>
  <si>
    <t>1627.0000000000000000</t>
  </si>
  <si>
    <t>Airport EG-107</t>
  </si>
  <si>
    <t>CashIn-000001509</t>
  </si>
  <si>
    <t>|1101|011|001|004|101001596|101001596||||3076|4018|Collect|||IMPORT||||</t>
  </si>
  <si>
    <t>1628.0000000000000000</t>
  </si>
  <si>
    <t>101001596</t>
  </si>
  <si>
    <t>247621838</t>
  </si>
  <si>
    <t>1091/INV</t>
  </si>
  <si>
    <t>000001091/Invoice</t>
  </si>
  <si>
    <t>1629.0000000000000000</t>
  </si>
  <si>
    <t>Airport EG-108</t>
  </si>
  <si>
    <t>CashIn-000001510</t>
  </si>
  <si>
    <t>1630.0000000000000000</t>
  </si>
  <si>
    <t>228/OFFICIAL</t>
  </si>
  <si>
    <t>000000228/OR-FW</t>
  </si>
  <si>
    <t>1631.0000000000000000</t>
  </si>
  <si>
    <t>Airport EG-109</t>
  </si>
  <si>
    <t>CashIn-000001511</t>
  </si>
  <si>
    <t>|1101|011|001|004|101000540|101000540||||3038|4012|Prepaid|||IMPORT||||</t>
  </si>
  <si>
    <t>O25-IMP-AI-975|‏‎|‏Al-000014‎|‏‎|‏020-35458883‎|‏‎|‏‎|‏‎|‏‎|‏‎|‏FRA FRANKFURT‎|‏CAI CAIRO‎|‏‎|‏‎|‏26/01/2025‎|‏‎|‏‎|‏23/01/2025‎|‏31/01/2025‎</t>
  </si>
  <si>
    <t>1632.0000000000000000</t>
  </si>
  <si>
    <t>101000540</t>
  </si>
  <si>
    <t>202451569</t>
  </si>
  <si>
    <t>543/OFFICIAL</t>
  </si>
  <si>
    <t>000000543/OR-FW</t>
  </si>
  <si>
    <t>1633.0000000000000000</t>
  </si>
  <si>
    <t>Airport EG-110</t>
  </si>
  <si>
    <t>CashIn-000001512</t>
  </si>
  <si>
    <t>1634.0000000000000000</t>
  </si>
  <si>
    <t>2407/INV</t>
  </si>
  <si>
    <t>000002407/Invoice</t>
  </si>
  <si>
    <t>1635.0000000000000000</t>
  </si>
  <si>
    <t>QNB_EU_CA1-7</t>
  </si>
  <si>
    <t>BankIn-000001527</t>
  </si>
  <si>
    <t>O25-IMP-OC-991|‏ME_Q-20241206237-IMP-FCL‎|‏Sl-000002‎|‏Ag-000025‎|‏ONEYLEHF00314800‎|‏‎|‏‎|‏‎|‏‎|‏‎|‏BEANR Antwerp‎|‏EGALY Alexandria, Egypt (old)‎|‏‎|‏‎|‏‎|‏‎|‏‎|‏24/01/2025‎|‏31/01/2025‎</t>
  </si>
  <si>
    <t>1636.0000000000000000</t>
  </si>
  <si>
    <t>2413/INV</t>
  </si>
  <si>
    <t>000002413/Invoice</t>
  </si>
  <si>
    <t>1637.0000000000000000</t>
  </si>
  <si>
    <t>Airport EG-111</t>
  </si>
  <si>
    <t>CashIn-000001513</t>
  </si>
  <si>
    <t>|1101|011|001|004|101003811|101003811||||FREEHAND|4012|Prepaid|||IMPORT||||</t>
  </si>
  <si>
    <t>O25-IMP-AI-1012|‏‎|‏Al-000021‎|‏‎|‏235-29773494‎|‏‎|‏‎|‏‎|‏‎|‏‎|‏IST ISTANBUL AIRPORT‎|‏CAI CAIRO‎|‏‎|‏‎|‏26/01/2025‎|‏‎|‏‎|‏26/01/2025‎|‏31/01/2025‎</t>
  </si>
  <si>
    <t>1638.0000000000000000</t>
  </si>
  <si>
    <t>2417/INV</t>
  </si>
  <si>
    <t>000002417/Invoice</t>
  </si>
  <si>
    <t>1639.0000000000000000</t>
  </si>
  <si>
    <t>Airport EG-112</t>
  </si>
  <si>
    <t>CashIn-000001514</t>
  </si>
  <si>
    <t>1640.0000000000000000</t>
  </si>
  <si>
    <t>545/OFFICIAL</t>
  </si>
  <si>
    <t>000000545/OR-FW</t>
  </si>
  <si>
    <t>1641.0000000000000000</t>
  </si>
  <si>
    <t>Airport EG-113</t>
  </si>
  <si>
    <t>CashIn-000001515</t>
  </si>
  <si>
    <t>|1101|011|001|004|101004573|101004573||||FREEHAND|4012|Prepaid|||IMPORT||||</t>
  </si>
  <si>
    <t>O25-IMP-AI-1001|‏‎|‏Al-000006‎|‏‎|‏077-58635006‎|‏‎|‏‎|‏‎|‏‎|‏‎|‏IST ISTANBUL AIRPORT‎|‏CAI CAIRO‎|‏‎|‏‎|‏25/01/2025‎|‏‎|‏‎|‏26/01/2025‎|‏31/01/2025‎</t>
  </si>
  <si>
    <t>1642.0000000000000000</t>
  </si>
  <si>
    <t>2418/INV</t>
  </si>
  <si>
    <t>000002418/Invoice</t>
  </si>
  <si>
    <t>1643.0000000000000000</t>
  </si>
  <si>
    <t>Airport EG-114</t>
  </si>
  <si>
    <t>CashIn-000001516</t>
  </si>
  <si>
    <t>1644.0000000000000000</t>
  </si>
  <si>
    <t>546/OFFICIAL</t>
  </si>
  <si>
    <t>000000546/OR-FW</t>
  </si>
  <si>
    <t>1645.0000000000000000</t>
  </si>
  <si>
    <t>EBNK_US_CA-3</t>
  </si>
  <si>
    <t>NR-000001528</t>
  </si>
  <si>
    <t>122202|1201|012|001|002|101000235|101000235||||4029|4029|Payable|||IMPORT||||</t>
  </si>
  <si>
    <t>O25-IMP-OC-566|‏ME_Q-20250107980-IMP-FCL‎|‏Sl-000024‎|‏Ag-000173‎|‏MERTMTBMCIST05263‎|‏‎|‏‎|‏‎|‏‎|‏‎|‏TRMER Mersin‎|‏EGALY Alexandria, Egypt (old)‎|‏‎|‏‎|‏‎|‏‎|‏‎|‏15/01/2025‎|‏31/01/2025‎</t>
  </si>
  <si>
    <t>1416/INV</t>
  </si>
  <si>
    <t>000001416/Invoice</t>
  </si>
  <si>
    <t>25100039945</t>
  </si>
  <si>
    <t>1646.0000000000000000</t>
  </si>
  <si>
    <t>101000235</t>
  </si>
  <si>
    <t>|1201|012|001|002|101000235|101000235||||4029|4029|Payable|||IMPORT||||</t>
  </si>
  <si>
    <t>100258190</t>
  </si>
  <si>
    <t>1647.0000000000000000</t>
  </si>
  <si>
    <t>NBD_EG_CA-1</t>
  </si>
  <si>
    <t>NR-000001529</t>
  </si>
  <si>
    <t>101000109</t>
  </si>
  <si>
    <t>|1301|013|001|001|101000109|101000109||||3038|3208|Collect|||IMPORT||||</t>
  </si>
  <si>
    <t>O25-IMP-OC-637|‏ME_Q-20241205320-IMP-LCL‎|‏RP-000007‎|‏RP-000001‎|‏‎|‏‎|‏‎|‏‎|‏‎|‏MSC MADELEINE‎|‏BEANR Antwerp‎|‏696 ALEXANDRIA‎|‏‎|‏31/12/2024‎|‏14/01/2025‎|‏‎|‏‎|‏16/01/2025‎|‏‎</t>
  </si>
  <si>
    <t>613541278</t>
  </si>
  <si>
    <t>1100/THC</t>
  </si>
  <si>
    <t>000001100/Invoice</t>
  </si>
  <si>
    <t>NBD-EG-CA</t>
  </si>
  <si>
    <t>11000010187925</t>
  </si>
  <si>
    <t>1648.0000000000000000</t>
  </si>
  <si>
    <t>122201|1301|013|001|001|101000109|101000109||||3038|3208|Collect|||IMPORT||||</t>
  </si>
  <si>
    <t>1101/NAFEZA SERVICE</t>
  </si>
  <si>
    <t>000001101/Invoice</t>
  </si>
  <si>
    <t>1649.0000000000000000</t>
  </si>
  <si>
    <t>1650.0000000000000000</t>
  </si>
  <si>
    <t>CIB_US_CA-13</t>
  </si>
  <si>
    <t>BankIn-000001530</t>
  </si>
  <si>
    <t>|1201|012|001|001|101004640|101004640||||3076|3136|Payable|||IMPORT||||</t>
  </si>
  <si>
    <t>O25-IMP-OC-900|‏ME_Q-20250108328-IMP-FCL‎|‏Sl-000119‎|‏Ag-000043‎|‏SASJEASOK03768‎|‏‎|‏‎|‏‎|‏‎|‏‎|‏AEJEA Jebel Ali‎|‏EGSOK Sokhna Port‎|‏‎|‏‎|‏‎|‏‎|‏‎|‏22/01/2025‎|‏31/01/2025‎</t>
  </si>
  <si>
    <t>1651.0000000000000000</t>
  </si>
  <si>
    <t>101004640</t>
  </si>
  <si>
    <t>200184512</t>
  </si>
  <si>
    <t>2436/INV</t>
  </si>
  <si>
    <t>000002436/Invoice</t>
  </si>
  <si>
    <t>1652.0000000000000000</t>
  </si>
  <si>
    <t>CIB_EG_CA-21</t>
  </si>
  <si>
    <t>BankIn-000001531</t>
  </si>
  <si>
    <t>1653.0000000000000000</t>
  </si>
  <si>
    <t>2437/INV</t>
  </si>
  <si>
    <t>000002437/Invoice</t>
  </si>
  <si>
    <t>1654.0000000000000000</t>
  </si>
  <si>
    <t>EBNK_EG_CA-2</t>
  </si>
  <si>
    <t>NR-000001532</t>
  </si>
  <si>
    <t>101001194</t>
  </si>
  <si>
    <t>|1301|013|001|001|101001194|101001194||||3042|3336|Prepaid|||IMPORT||||</t>
  </si>
  <si>
    <t>O24-IMP-OC-2|‏‎|‏Sl-000007‎|‏Ag-000010‎|‏EGLV142403893537‎|‏‎|‏‎|‏‎|‏‎|‏CMA CGM LISA MARIE-‎|‏CNSHA Shanghai‎|‏EGALY Alexandria, Egypt (old)‎|‏16/01/2025‎|‏‎|‏16/01/2025‎|‏‎|‏‎|‏31/12/2024‎|‏31/01/2025‎</t>
  </si>
  <si>
    <t>100036988</t>
  </si>
  <si>
    <t>1243/NAFEZA SERVICE</t>
  </si>
  <si>
    <t>000001243/Invoice</t>
  </si>
  <si>
    <t>47241719</t>
  </si>
  <si>
    <t>1655.0000000000000000</t>
  </si>
  <si>
    <t>122201|1301|013|001|001|101001194|101001194||||3042|3336|Prepaid|||IMPORT||||</t>
  </si>
  <si>
    <t>1244/THC</t>
  </si>
  <si>
    <t>000001244/Invoice</t>
  </si>
  <si>
    <t>1656.0000000000000000</t>
  </si>
  <si>
    <t>1657.0000000000000000</t>
  </si>
  <si>
    <t>EBNK_EG_CA-3</t>
  </si>
  <si>
    <t>NR-000001533</t>
  </si>
  <si>
    <t>|1301|013|001|001|101000235|101000235||||3038|3208|Collect|||IMPORT||||</t>
  </si>
  <si>
    <t>O25-IMP-OC-522|‏ME_Q-20241205626-IMP-LCL‎|‏RP-000007‎|‏RP-000001‎|‏‎|‏‎|‏‎|‏‎|‏‎|‏MSC ROMA‎|‏BEANR Antwerp‎|‏696 ALEXANDRIA‎|‏‎|‏08/01/2025‎|‏23/01/2025‎|‏‎|‏‎|‏14/01/2025‎|‏‎</t>
  </si>
  <si>
    <t>1852/NAFEZA SERVICE</t>
  </si>
  <si>
    <t>000001852/Invoice</t>
  </si>
  <si>
    <t>25100039961</t>
  </si>
  <si>
    <t>1658.0000000000000000</t>
  </si>
  <si>
    <t>122201|1301|013|001|001|101000235|101000235||||3038|3208|Collect|||IMPORT||||</t>
  </si>
  <si>
    <t>1853/THC</t>
  </si>
  <si>
    <t>000001853/Invoice</t>
  </si>
  <si>
    <t>1659.0000000000000000</t>
  </si>
  <si>
    <t>1660.0000000000000000</t>
  </si>
  <si>
    <t>AAIB_EG_CA-2</t>
  </si>
  <si>
    <t>BankIn-000001534</t>
  </si>
  <si>
    <t>O24-IMP-OC-2|‏ME_Q-20250108508-IMP-LCL‎|‏Sl-000007‎|‏Ag-000010‎|‏EGLV142403893537‎|‏‎|‏‎|‏‎|‏‎|‏CMA CGM LISA MARIE-‎|‏CNSHA Shanghai‎|‏EGALY Alexandria, Egypt (old)‎|‏16/01/2025‎|‏‎|‏16/01/2025‎|‏‎|‏‎|‏05/01/2025‎|‏31/01/2025‎</t>
  </si>
  <si>
    <t>1661.0000000000000000</t>
  </si>
  <si>
    <t>2099/THC</t>
  </si>
  <si>
    <t>000002099/Invoice</t>
  </si>
  <si>
    <t>1662.0000000000000000</t>
  </si>
  <si>
    <t>2100/NAFEZA SERVICE</t>
  </si>
  <si>
    <t>000002100/Invoice</t>
  </si>
  <si>
    <t>1663.0000000000000000</t>
  </si>
  <si>
    <t>POS_EG-80</t>
  </si>
  <si>
    <t>POS-000001535</t>
  </si>
  <si>
    <t>|1301|013|001|001|101000256|101000256||||3031|3336|Collect|||IMPORT||||</t>
  </si>
  <si>
    <t>O24-IMP-OC-2|‏ME_Q-20241104431-IMP-LCL‎|‏Sl-000007‎|‏Ag-000010‎|‏EGLV142403893537‎|‏‎|‏‎|‏‎|‏‎|‏CMA CGM LISA MARIE-‎|‏CNSHA Shanghai‎|‏EGALY Alexandria, Egypt (old)‎|‏16/01/2025‎|‏‎|‏16/01/2025‎|‏‎|‏‎|‏05/01/2025‎|‏31/01/2025‎</t>
  </si>
  <si>
    <t>1664.0000000000000000</t>
  </si>
  <si>
    <t>101000256</t>
  </si>
  <si>
    <t>379155826</t>
  </si>
  <si>
    <t>2424/THC</t>
  </si>
  <si>
    <t>000002424/Invoice</t>
  </si>
  <si>
    <t>1665.0000000000000000</t>
  </si>
  <si>
    <t>2425/NAFEZA SERVICE</t>
  </si>
  <si>
    <t>000002425/Invoice</t>
  </si>
  <si>
    <t>1666.0000000000000000</t>
  </si>
  <si>
    <t>AAIB_US_CA-3</t>
  </si>
  <si>
    <t>BankIn-000001536</t>
  </si>
  <si>
    <t>|1301|013|001|001|101000455|101000455||||3031|3336|Collect|||IMPORT||||</t>
  </si>
  <si>
    <t>O25-IMP-OC-295|‏ME_Q-20241205230-IMP-LCL‎|‏RP-000001‎|‏RP-000001‎|‏‎|‏‎|‏‎|‏‎|‏‎|‏CMA CGM LISA MARIE-‎|‏KRPUS Busan‎|‏696 ALEXANDRIA‎|‏16/01/2025‎|‏‎|‏16/01/2025‎|‏‎|‏‎|‏09/01/2025‎|‏31/01/2025‎</t>
  </si>
  <si>
    <t>1667.0000000000000000</t>
  </si>
  <si>
    <t>101000455</t>
  </si>
  <si>
    <t>486604950</t>
  </si>
  <si>
    <t>185/مطالبة نولون محصلة لصالح الغير</t>
  </si>
  <si>
    <t>000000185/OF-FW</t>
  </si>
  <si>
    <t>1668.0000000000000000</t>
  </si>
  <si>
    <t>AAIB_EG_CA-1</t>
  </si>
  <si>
    <t>BankIn-000001537</t>
  </si>
  <si>
    <t>1669.0000000000000000</t>
  </si>
  <si>
    <t>2028/NAFEZA SERVICE</t>
  </si>
  <si>
    <t>000002028/Invoice</t>
  </si>
  <si>
    <t>1670.0000000000000000</t>
  </si>
  <si>
    <t>2029/THC</t>
  </si>
  <si>
    <t>000002029/Invoice</t>
  </si>
  <si>
    <t>1671.0000000000000000</t>
  </si>
  <si>
    <t>QNB_US_CA1-23</t>
  </si>
  <si>
    <t>BankIn-000001538</t>
  </si>
  <si>
    <t>|1301|013|001|001|101000611|101000611||||3075|3336|Collect|||IMPORT||||</t>
  </si>
  <si>
    <t>O25-IMP-OC-407|‏ME_Q-20250108970-IMP-LCL‎|‏Sl-000002‎|‏RP-000001‎|‏‎|‏‎|‏‎|‏‎|‏‎|‏CMA CGM RODOLPHE‎|‏CNNGB Ningbo‎|‏696 ALEXANDRIA‎|‏‎|‏28/12/2024‎|‏19/01/2025‎|‏‎|‏‎|‏23/01/2025‎|‏‎</t>
  </si>
  <si>
    <t>1672.0000000000000000</t>
  </si>
  <si>
    <t>101000611</t>
  </si>
  <si>
    <t>200522469</t>
  </si>
  <si>
    <t>230/مطالبة نولون محصلة لصالح الغير</t>
  </si>
  <si>
    <t>000000230/OF-FW</t>
  </si>
  <si>
    <t>1673.0000000000000000</t>
  </si>
  <si>
    <t>POS_EG-72</t>
  </si>
  <si>
    <t>POS-000001539</t>
  </si>
  <si>
    <t>1674.0000000000000000</t>
  </si>
  <si>
    <t>2050/NAFEZA SERVICE</t>
  </si>
  <si>
    <t>000002050/Invoice</t>
  </si>
  <si>
    <t>1675.0000000000000000</t>
  </si>
  <si>
    <t>2051/THC</t>
  </si>
  <si>
    <t>000002051/Invoice</t>
  </si>
  <si>
    <t>1676.0000000000000000</t>
  </si>
  <si>
    <t>POS_EG-73</t>
  </si>
  <si>
    <t>POS-000001540</t>
  </si>
  <si>
    <t>|1301|013|001|001|101002207|101002207||||3042|3336|Prepaid|||IMPORT||||</t>
  </si>
  <si>
    <t>1677.0000000000000000</t>
  </si>
  <si>
    <t>101002207</t>
  </si>
  <si>
    <t>205108415</t>
  </si>
  <si>
    <t>2178/NAFEZA SERVICE</t>
  </si>
  <si>
    <t>000002178/Invoice</t>
  </si>
  <si>
    <t>1678.0000000000000000</t>
  </si>
  <si>
    <t>2179/THC</t>
  </si>
  <si>
    <t>000002179/Invoice</t>
  </si>
  <si>
    <t>1679.0000000000000000</t>
  </si>
  <si>
    <t>POS_EG-74</t>
  </si>
  <si>
    <t>POS-000001541</t>
  </si>
  <si>
    <t>|1302|013|001|001|101000040|101000040||||3038|3336|Collect|||IMPORT||||</t>
  </si>
  <si>
    <t>1680.0000000000000000</t>
  </si>
  <si>
    <t>2270/STOR   IMPORT ALEX</t>
  </si>
  <si>
    <t>000002270/Invoice</t>
  </si>
  <si>
    <t>1681.0000000000000000</t>
  </si>
  <si>
    <t>2334/STOR   IMPORT ALEX</t>
  </si>
  <si>
    <t>000002334/Invoice</t>
  </si>
  <si>
    <t>1682.0000000000000000</t>
  </si>
  <si>
    <t>2335/STOR SERVICE</t>
  </si>
  <si>
    <t>000002335/Invoice</t>
  </si>
  <si>
    <t>1683.0000000000000000</t>
  </si>
  <si>
    <t>POS_EG-75</t>
  </si>
  <si>
    <t>POS-000001542</t>
  </si>
  <si>
    <t>|1301|013|001|001|101001443|101001443||||3031|3336|Collect|||IMPORT||||</t>
  </si>
  <si>
    <t>O25-IMP-OC-427|‏ME_Q-20241002900-IMP-LCL‎|‏Sl-000007‎|‏Ag-000010‎|‏EGLV142403853748‎|‏‎|‏‎|‏‎|‏‎|‏CMA CGM LISA MARIE-‎|‏CNSHA Shanghai‎|‏EGALY Alexandria, Egypt (old)‎|‏‎|‏‎|‏16/01/2025‎|‏‎|‏‎|‏12/01/2025‎|‏31/01/2025‎</t>
  </si>
  <si>
    <t>1684.0000000000000000</t>
  </si>
  <si>
    <t>101001443</t>
  </si>
  <si>
    <t>753142244</t>
  </si>
  <si>
    <t>2339/THC</t>
  </si>
  <si>
    <t>000002339/Invoice</t>
  </si>
  <si>
    <t>1685.0000000000000000</t>
  </si>
  <si>
    <t>2340/NAFEZA SERVICE</t>
  </si>
  <si>
    <t>000002340/Invoice</t>
  </si>
  <si>
    <t>1686.0000000000000000</t>
  </si>
  <si>
    <t>2343/THC</t>
  </si>
  <si>
    <t>000002343/Invoice</t>
  </si>
  <si>
    <t>1687.0000000000000000</t>
  </si>
  <si>
    <t>2344/NAFEZA SERVICE</t>
  </si>
  <si>
    <t>000002344/Invoice</t>
  </si>
  <si>
    <t>1688.0000000000000000</t>
  </si>
  <si>
    <t>POS_EG-76</t>
  </si>
  <si>
    <t>POS-000001543</t>
  </si>
  <si>
    <t>1689.0000000000000000</t>
  </si>
  <si>
    <t>2341/STOR   IMPORT ALEX</t>
  </si>
  <si>
    <t>000002341/Invoice</t>
  </si>
  <si>
    <t>1690.0000000000000000</t>
  </si>
  <si>
    <t>2345/STOR   IMPORT ALEX</t>
  </si>
  <si>
    <t>000002345/Invoice</t>
  </si>
  <si>
    <t>1691.0000000000000000</t>
  </si>
  <si>
    <t>POS_EG-77</t>
  </si>
  <si>
    <t>POS-000001544</t>
  </si>
  <si>
    <t>|1301|013|001|001|101000801|101000801||||3075|3336|Collect|||IMPORT||||</t>
  </si>
  <si>
    <t>O25-IMP-OC-295|‏ME_Q-20241104403-IMP-LCL‎|‏RP-000001‎|‏RP-000001‎|‏‎|‏‎|‏‎|‏‎|‏‎|‏CMA CGM LISA MARIE-‎|‏KRPUS Busan‎|‏696 ALEXANDRIA‎|‏16/01/2025‎|‏‎|‏16/01/2025‎|‏‎|‏‎|‏09/01/2025‎|‏31/01/2025‎</t>
  </si>
  <si>
    <t>1692.0000000000000000</t>
  </si>
  <si>
    <t>101000801</t>
  </si>
  <si>
    <t>674924258</t>
  </si>
  <si>
    <t>1876/THC</t>
  </si>
  <si>
    <t>000001876/Invoice</t>
  </si>
  <si>
    <t>1693.0000000000000000</t>
  </si>
  <si>
    <t>1877/NAFEZA SERVICE</t>
  </si>
  <si>
    <t>000001877/Invoice</t>
  </si>
  <si>
    <t>1694.0000000000000000</t>
  </si>
  <si>
    <t>POS_EG-78</t>
  </si>
  <si>
    <t>POS-000001545</t>
  </si>
  <si>
    <t>O25-IMP-OC-500|‏ME_Q-20241104209-IMP-LCL‎|‏Sl-000002‎|‏RP-000001‎|‏‎|‏‎|‏‎|‏‎|‏‎|‏CMA CGM LOIRE‎|‏CNSZX Shenzhen‎|‏696 ALEXANDRIA‎|‏14/01/2025‎|‏‎|‏14/01/2025‎|‏‎|‏‎|‏14/01/2025‎|‏‎</t>
  </si>
  <si>
    <t>1695.0000000000000000</t>
  </si>
  <si>
    <t>1063/NAFEZA SERVICE</t>
  </si>
  <si>
    <t>000001063/Invoice</t>
  </si>
  <si>
    <t>1696.0000000000000000</t>
  </si>
  <si>
    <t>1064/THC</t>
  </si>
  <si>
    <t>000001064/Invoice</t>
  </si>
  <si>
    <t>1697.0000000000000000</t>
  </si>
  <si>
    <t>POS_EG-79</t>
  </si>
  <si>
    <t>POS-000001546</t>
  </si>
  <si>
    <t>|1301|013|001|001|101001415|101001415||||3038|3208|Collect|||IMPORT||||</t>
  </si>
  <si>
    <t>O25-IMP-OC-462|‏ME_Q-20241104371-IMP-LCL‎|‏Sl-000001‎|‏RP-000001‎|‏‎|‏‎|‏‎|‏‎|‏‎|‏CMA CGM RODOLPHE‎|‏CNNGB Ningbo‎|‏696 ALEXANDRIA‎|‏‎|‏28/12/2024‎|‏19/01/2025‎|‏‎|‏‎|‏13/01/2025‎|‏‎</t>
  </si>
  <si>
    <t>1698.0000000000000000</t>
  </si>
  <si>
    <t>101001415</t>
  </si>
  <si>
    <t>611374242</t>
  </si>
  <si>
    <t>2323/NAFEZA SERVICE</t>
  </si>
  <si>
    <t>000002323/Invoice</t>
  </si>
  <si>
    <t>1699.0000000000000000</t>
  </si>
  <si>
    <t>2324/THC</t>
  </si>
  <si>
    <t>000002324/Invoice</t>
  </si>
  <si>
    <t>1700.0000000000000000</t>
  </si>
  <si>
    <t>QNB_US_CF-2</t>
  </si>
  <si>
    <t>BankIn-000001547</t>
  </si>
  <si>
    <t>1701.0000000000000000</t>
  </si>
  <si>
    <t>107/مطالبة نولون محصلة لصالح الغير</t>
  </si>
  <si>
    <t>000000107/OF-FW</t>
  </si>
  <si>
    <t>1702.0000000000000000</t>
  </si>
  <si>
    <t>CCC EU-1</t>
  </si>
  <si>
    <t>BankIn-000001548</t>
  </si>
  <si>
    <t>|1201|012|001|001|101004634|101004634||||4051|3205|Payable|||IMPORT||||</t>
  </si>
  <si>
    <t>O25-IMP-OC-713|‏ME_Q-20241104618-IMP-FCL‎|‏RP-000007‎|‏Ag-000115‎|‏WECC2442SOK1031‎|‏‎|‏‎|‏‎|‏‎|‏‎|‏BEANR Antwerp‎|‏EGSOK Sokhna Port‎|‏‎|‏‎|‏‎|‏‎|‏‎|‏19/01/2025‎|‏31/01/2025‎</t>
  </si>
  <si>
    <t>1703.0000000000000000</t>
  </si>
  <si>
    <t>101004634</t>
  </si>
  <si>
    <t>669367559</t>
  </si>
  <si>
    <t>2319/INV</t>
  </si>
  <si>
    <t>000002319/Invoice</t>
  </si>
  <si>
    <t>1704.0000000000000000</t>
  </si>
  <si>
    <t>CCC EG-9</t>
  </si>
  <si>
    <t>CashIn-000001549</t>
  </si>
  <si>
    <t>1705.0000000000000000</t>
  </si>
  <si>
    <t>2318/INV</t>
  </si>
  <si>
    <t>000002318/Invoice</t>
  </si>
  <si>
    <t>1706.0000000000000000</t>
  </si>
  <si>
    <t>ALEXHO EG-275</t>
  </si>
  <si>
    <t>CashIn-000001550</t>
  </si>
  <si>
    <t>O25-IMP-OC-508|‏ME_Q-20250108493-IMP-LCL‎|‏Sl-000036‎|‏RP-000001‎|‏‎|‏‎|‏‎|‏‎|‏‎|‏OOCL KOBE‎|‏DEHAM Hamburg‎|‏696 ALEXANDRIA‎|‏‎|‏01/01/2025‎|‏21/01/2025‎|‏‎|‏‎|‏14/01/2025‎|‏‎</t>
  </si>
  <si>
    <t>1707.0000000000000000</t>
  </si>
  <si>
    <t>2104/THC</t>
  </si>
  <si>
    <t>000002104/Invoice</t>
  </si>
  <si>
    <t>1708.0000000000000000</t>
  </si>
  <si>
    <t>ALEXHO EG-276</t>
  </si>
  <si>
    <t>CashIn-000001551</t>
  </si>
  <si>
    <t>1709.0000000000000000</t>
  </si>
  <si>
    <t>2103/NAFEZA SERVICE</t>
  </si>
  <si>
    <t>000002103/Invoice</t>
  </si>
  <si>
    <t>1710.0000000000000000</t>
  </si>
  <si>
    <t>ALEXHO EG-277</t>
  </si>
  <si>
    <t>CashIn-000001552</t>
  </si>
  <si>
    <t>O25-IMP-OC-251|‏ME_Q-20250107958-IMP-LCL‎|‏Sl-000001‎|‏Ag-000122‎|‏OOLU8897956780‎|‏‎|‏‎|‏‎|‏‎|‏CMA CGM LISA MARIE-‎|‏CNSHA Shanghai‎|‏EGALY Alexandria, Egypt (old)‎|‏16/01/2025‎|‏19/11/2024‎|‏16/01/2025‎|‏‎|‏‎|‏15/01/2025‎|‏31/01/2025‎</t>
  </si>
  <si>
    <t>1711.0000000000000000</t>
  </si>
  <si>
    <t>2109/THC</t>
  </si>
  <si>
    <t>000002109/Invoice</t>
  </si>
  <si>
    <t>1712.0000000000000000</t>
  </si>
  <si>
    <t>ALEXHO EG-278</t>
  </si>
  <si>
    <t>CashIn-000001553</t>
  </si>
  <si>
    <t>1713.0000000000000000</t>
  </si>
  <si>
    <t>2108/NAFEZA SERVICE</t>
  </si>
  <si>
    <t>000002108/Invoice</t>
  </si>
  <si>
    <t>1714.0000000000000000</t>
  </si>
  <si>
    <t>Merghem EG-30</t>
  </si>
  <si>
    <t>CashIn-000001555</t>
  </si>
  <si>
    <t>1715.0000000000000000</t>
  </si>
  <si>
    <t>2325/STOR   IMPORT ALEX</t>
  </si>
  <si>
    <t>000002325/Invoice</t>
  </si>
  <si>
    <t>1716.0000000000000000</t>
  </si>
  <si>
    <t>CIB_EU_CA-4</t>
  </si>
  <si>
    <t>BankIn-000001556</t>
  </si>
  <si>
    <t>122203|1101|011|001|004|101001101|101001101||||4076|4012|Prepaid|||IMPORT||||</t>
  </si>
  <si>
    <t>2329/INV</t>
  </si>
  <si>
    <t>000002329/Invoice</t>
  </si>
  <si>
    <t>1717.0000000000000000</t>
  </si>
  <si>
    <t>1718.0000000000000000</t>
  </si>
  <si>
    <t>PSD EG-109</t>
  </si>
  <si>
    <t>CashIn-000001561</t>
  </si>
  <si>
    <t>1719.0000000000000000</t>
  </si>
  <si>
    <t>2137/THC PSD</t>
  </si>
  <si>
    <t>000002137/Invoice</t>
  </si>
  <si>
    <t>1720.0000000000000000</t>
  </si>
  <si>
    <t>PSD EG-110</t>
  </si>
  <si>
    <t>CashIn-000001562</t>
  </si>
  <si>
    <t>1721.0000000000000000</t>
  </si>
  <si>
    <t>2138/NAFEZA SERVICE PSD</t>
  </si>
  <si>
    <t>000002138/Invoice</t>
  </si>
  <si>
    <t>1722.0000000000000000</t>
  </si>
  <si>
    <t>ALEXHO US-25</t>
  </si>
  <si>
    <t>CashIn-000001566</t>
  </si>
  <si>
    <t>1723.0000000000000000</t>
  </si>
  <si>
    <t>279/مطالبة نولون محصلة لصالح الغير</t>
  </si>
  <si>
    <t>000000279/OF-FW</t>
  </si>
  <si>
    <t>1724.0000000000000000</t>
  </si>
  <si>
    <t>ALEXHO US-26</t>
  </si>
  <si>
    <t>CashIn-000001567</t>
  </si>
  <si>
    <t>O24-IMP-OC-2|‏ME_Q-20241104833-IMP-LCL‎|‏Sl-000007‎|‏Ag-000010‎|‏EGLV142403893537‎|‏‎|‏‎|‏‎|‏‎|‏CMA CGM LISA MARIE-‎|‏CNSHA Shanghai‎|‏EGALY Alexandria, Egypt (old)‎|‏16/01/2025‎|‏‎|‏16/01/2025‎|‏‎|‏‎|‏31/12/2024‎|‏31/01/2025‎</t>
  </si>
  <si>
    <t>1725.0000000000000000</t>
  </si>
  <si>
    <t>278/مطالبة نولون محصلة لصالح الغير</t>
  </si>
  <si>
    <t>000000278/OF-FW</t>
  </si>
  <si>
    <t>1726.0000000000000000</t>
  </si>
  <si>
    <t>PSD EG-111</t>
  </si>
  <si>
    <t>CashIn-000001569</t>
  </si>
  <si>
    <t>|1301|013|001|005|101001221|101001221||||3076|5013|Collect|||IMPORT||||</t>
  </si>
  <si>
    <t>O25-IMP-OC-879|‏ME_Q-20250109178-IMP-LCL‎|‏Sl-000001‎|‏Ag-000087‎|‏COSU6402521761‎|‏‎|‏‎|‏‎|‏‎|‏‎|‏CNNGB Ningbo‎|‏EGPSD Port Said West‎|‏‎|‏06/12/2024‎|‏26/01/2025‎|‏‎|‏‎|‏22/01/2025‎|‏31/01/2025‎</t>
  </si>
  <si>
    <t>1727.0000000000000000</t>
  </si>
  <si>
    <t>101001221</t>
  </si>
  <si>
    <t>459765329</t>
  </si>
  <si>
    <t>2353/THC PSD</t>
  </si>
  <si>
    <t>000002353/Invoice</t>
  </si>
  <si>
    <t>1728.0000000000000000</t>
  </si>
  <si>
    <t>PSD EG-112</t>
  </si>
  <si>
    <t>CashIn-000001570</t>
  </si>
  <si>
    <t>1729.0000000000000000</t>
  </si>
  <si>
    <t>2354/NAFEZA SERVICE PSD</t>
  </si>
  <si>
    <t>000002354/Invoice</t>
  </si>
  <si>
    <t>1730.0000000000000000</t>
  </si>
  <si>
    <t>ALEXHO EG-279</t>
  </si>
  <si>
    <t>CashIn-000001578</t>
  </si>
  <si>
    <t>43/مطالبة نولون محصلة لصالح الغير</t>
  </si>
  <si>
    <t>1731.0000000000000000</t>
  </si>
  <si>
    <t>|1301|013|001|001|101001970||||||||||IMPORT||||</t>
  </si>
  <si>
    <t>1732.0000000000000000</t>
  </si>
  <si>
    <t>421103|1301|013|001|001|101001970||||||||||IMPORT||||</t>
  </si>
  <si>
    <t>1733.0000000000000000</t>
  </si>
  <si>
    <t>ALEXHO EG-280</t>
  </si>
  <si>
    <t>CashIn-000001579</t>
  </si>
  <si>
    <t>1734.0000000000000000</t>
  </si>
  <si>
    <t>2369/THC</t>
  </si>
  <si>
    <t>000002369/Invoice</t>
  </si>
  <si>
    <t>1735.0000000000000000</t>
  </si>
  <si>
    <t>ALEXHO EG-281</t>
  </si>
  <si>
    <t>CashIn-000001580</t>
  </si>
  <si>
    <t>1736.0000000000000000</t>
  </si>
  <si>
    <t>1299/NAFEZA SERVICE</t>
  </si>
  <si>
    <t>000001299/Invoice</t>
  </si>
  <si>
    <t>1737.0000000000000000</t>
  </si>
  <si>
    <t>ALEXHO US-27</t>
  </si>
  <si>
    <t>CashIn-000001581</t>
  </si>
  <si>
    <t>|1201|012|001|001|||||||||||IMPORT||||</t>
  </si>
  <si>
    <t>O25-IMP-OC-901|‏ME_Q-20241205231-IMP-FCL‎|‏Sl-000002‎|‏Ag-000115‎|‏HBG1930744‎|‏‎|‏‎|‏‎|‏‎|‏‎|‏DEHAM Hamburg‎|‏EGPSD Port Said West‎|‏‎|‏‎|‏‎|‏‎|‏‎|‏22/01/2025‎|‏31/01/2025‎</t>
  </si>
  <si>
    <t>2377/INV</t>
  </si>
  <si>
    <t>1738.0000000000000000</t>
  </si>
  <si>
    <t>101000644</t>
  </si>
  <si>
    <t>|1201|012|001|001|101000644||||||||||IMPORT||||</t>
  </si>
  <si>
    <t>259330434</t>
  </si>
  <si>
    <t>1739.0000000000000000</t>
  </si>
  <si>
    <t>421103|1201|012|001|001|101000644||||||||||IMPORT||||</t>
  </si>
  <si>
    <t>1740.0000000000000000</t>
  </si>
  <si>
    <t>ALEXHO US-28</t>
  </si>
  <si>
    <t>CashIn-000001584</t>
  </si>
  <si>
    <t>1741.0000000000000000</t>
  </si>
  <si>
    <t>128/مطالبة نولون محصلة لصالح الغير</t>
  </si>
  <si>
    <t>000000128/OF-FW</t>
  </si>
  <si>
    <t>1742.0000000000000000</t>
  </si>
  <si>
    <t>Merghem EG-31</t>
  </si>
  <si>
    <t>CashIn-000001587</t>
  </si>
  <si>
    <t>1743.0000000000000000</t>
  </si>
  <si>
    <t>2381/STOR   IMPORT ALEX</t>
  </si>
  <si>
    <t>000002381/Invoice</t>
  </si>
  <si>
    <t>1744.0000000000000000</t>
  </si>
  <si>
    <t>Merghem EG-32</t>
  </si>
  <si>
    <t>CashIn-000001593</t>
  </si>
  <si>
    <t>|1302|013|001|001|101001402|101001402||||3075|3336|Collect|||IMPORT||||</t>
  </si>
  <si>
    <t>1745.0000000000000000</t>
  </si>
  <si>
    <t>2382/STOR   IMPORT ALEX</t>
  </si>
  <si>
    <t>000002382/Invoice</t>
  </si>
  <si>
    <t>1746.0000000000000000</t>
  </si>
  <si>
    <t>Merghem EG-33</t>
  </si>
  <si>
    <t>CashIn-000001597</t>
  </si>
  <si>
    <t>|1302|013|001|001|101001373|101001373||||3038|3208|Collect|||IMPORT||||</t>
  </si>
  <si>
    <t>1747.0000000000000000</t>
  </si>
  <si>
    <t>2383/STOR   IMPORT ALEX</t>
  </si>
  <si>
    <t>000002383/Invoice</t>
  </si>
  <si>
    <t>1748.0000000000000000</t>
  </si>
  <si>
    <t>ALEXHO EG-282</t>
  </si>
  <si>
    <t>CashIn-000001598</t>
  </si>
  <si>
    <t>|1301|013|001|001|101001448|101001448||||3042|3336|Prepaid|||IMPORT||||</t>
  </si>
  <si>
    <t>O25-IMP-OC-285|‏‎|‏Sl-000014‎|‏Ag-000203‎|‏MEDMARALY010433‎|‏‎|‏‎|‏‎|‏‎|‏MEDKON MIRA‎|‏TRMAD MARDAS‎|‏EGALY Alexandria, Egypt (old)‎|‏11/01/2025‎|‏‎|‏11/01/2025‎|‏‎|‏‎|‏08/01/2025‎|‏31/01/2025‎</t>
  </si>
  <si>
    <t>1749.0000000000000000</t>
  </si>
  <si>
    <t>101001448</t>
  </si>
  <si>
    <t>559370776</t>
  </si>
  <si>
    <t>1624/THC</t>
  </si>
  <si>
    <t>000001624/Invoice</t>
  </si>
  <si>
    <t>1750.0000000000000000</t>
  </si>
  <si>
    <t>ALEXHO EG-283</t>
  </si>
  <si>
    <t>CashIn-000001599</t>
  </si>
  <si>
    <t>1751.0000000000000000</t>
  </si>
  <si>
    <t>1625/NAFEZA SERVICE</t>
  </si>
  <si>
    <t>000001625/Invoice</t>
  </si>
  <si>
    <t>1752.0000000000000000</t>
  </si>
  <si>
    <t>PSD EG-113</t>
  </si>
  <si>
    <t>CashIn-000001600</t>
  </si>
  <si>
    <t>|1302|013|001|005|101000356|101000356||||MESCO LCL PSD SALES|5013|Collect|||IMPORT||||</t>
  </si>
  <si>
    <t>1753.0000000000000000</t>
  </si>
  <si>
    <t>2401/STOR IMPORT PSD</t>
  </si>
  <si>
    <t>000002401/Invoice</t>
  </si>
  <si>
    <t>1754.0000000000000000</t>
  </si>
  <si>
    <t>PSD EG-114</t>
  </si>
  <si>
    <t>CashIn-000001601</t>
  </si>
  <si>
    <t>|1401|014|001|005|101000356|101000356||||MESCO LCL PSD SALES|5013|Collect|||IMPORT||||</t>
  </si>
  <si>
    <t>1755.0000000000000000</t>
  </si>
  <si>
    <t>2400/G3ALA INVOICE PSD</t>
  </si>
  <si>
    <t>000002400/Invoice</t>
  </si>
  <si>
    <t>1756.0000000000000000</t>
  </si>
  <si>
    <t>ALEXHO EG-284</t>
  </si>
  <si>
    <t>CashIn-000001602</t>
  </si>
  <si>
    <t>O25-IMP-OC-731|‏ME_Q-20241205256-IMP-LCL‎|‏Sl-000036‎|‏RP-000001‎|‏‎|‏‎|‏‎|‏‎|‏‎|‏CMA CGM RODOLPHE‎|‏KRPUS Busan‎|‏696 ALEXANDRIA‎|‏‎|‏25/12/2024‎|‏19/01/2025‎|‏‎|‏‎|‏20/01/2025‎|‏‎</t>
  </si>
  <si>
    <t>1757.0000000000000000</t>
  </si>
  <si>
    <t>2394/THC</t>
  </si>
  <si>
    <t>000002394/Invoice</t>
  </si>
  <si>
    <t>1758.0000000000000000</t>
  </si>
  <si>
    <t>ALEXHO EG-285</t>
  </si>
  <si>
    <t>CashIn-000001603</t>
  </si>
  <si>
    <t>1759.0000000000000000</t>
  </si>
  <si>
    <t>2395/NAFEZA SERVICE</t>
  </si>
  <si>
    <t>000002395/Invoice</t>
  </si>
  <si>
    <t>1760.0000000000000000</t>
  </si>
  <si>
    <t>CCC US-14</t>
  </si>
  <si>
    <t>BankIn-000001606</t>
  </si>
  <si>
    <t>|1201|012|001|002|101004637|101004637||||4019|4029|Payable|||IMPORT||||</t>
  </si>
  <si>
    <t>O25-IMP-OC-242|‏ME_Q-20250107151-IMP-FCL‎|‏Sl-000004‎|‏Ag-000173‎|‏IST000024378‎|‏‎|‏‎|‏‎|‏‎|‏‎|‏TRIZT Izmit‎|‏EGALY Alexandria, Egypt (old)‎|‏‎|‏‎|‏‎|‏‎|‏‎|‏08/01/2025‎|‏31/01/2025‎</t>
  </si>
  <si>
    <t>1761.0000000000000000</t>
  </si>
  <si>
    <t>101004637</t>
  </si>
  <si>
    <t>538028890</t>
  </si>
  <si>
    <t>2355/INV</t>
  </si>
  <si>
    <t>000002355/Invoice</t>
  </si>
  <si>
    <t>1762.0000000000000000</t>
  </si>
  <si>
    <t>ALEXHO EG-286</t>
  </si>
  <si>
    <t>CashIn-000001608</t>
  </si>
  <si>
    <t>|1301|013|001|001|101000246|101000246||||3042|3336|Prepaid|||IMPORT||||</t>
  </si>
  <si>
    <t>1763.0000000000000000</t>
  </si>
  <si>
    <t>101000246</t>
  </si>
  <si>
    <t>450532720</t>
  </si>
  <si>
    <t>2385/THC</t>
  </si>
  <si>
    <t>000002385/Invoice</t>
  </si>
  <si>
    <t>1764.0000000000000000</t>
  </si>
  <si>
    <t>ALEXHO EG-287</t>
  </si>
  <si>
    <t>CashIn-000001609</t>
  </si>
  <si>
    <t>1765.0000000000000000</t>
  </si>
  <si>
    <t>2386/NAFEZA SERVICE</t>
  </si>
  <si>
    <t>000002386/Invoice</t>
  </si>
  <si>
    <t>1766.0000000000000000</t>
  </si>
  <si>
    <t>ALEXHO EG-288</t>
  </si>
  <si>
    <t>CashIn-000001610</t>
  </si>
  <si>
    <t>|1301|013|001|001|101003169|101003169||||3031|5013|Collect|||IMPORT||||</t>
  </si>
  <si>
    <t>1767.0000000000000000</t>
  </si>
  <si>
    <t>101003169</t>
  </si>
  <si>
    <t>445655283</t>
  </si>
  <si>
    <t>2033/THC</t>
  </si>
  <si>
    <t>000002033/Invoice</t>
  </si>
  <si>
    <t>1768.0000000000000000</t>
  </si>
  <si>
    <t>ALEXHO EG-289</t>
  </si>
  <si>
    <t>CashIn-000001611</t>
  </si>
  <si>
    <t>1769.0000000000000000</t>
  </si>
  <si>
    <t>2032/NAFEZA SERVICE</t>
  </si>
  <si>
    <t>000002032/Invoice</t>
  </si>
  <si>
    <t>1770.0000000000000000</t>
  </si>
  <si>
    <t>PSD EG-115</t>
  </si>
  <si>
    <t>CashIn-000001615</t>
  </si>
  <si>
    <t>|1302|013|001|005|101004549|101004549||||3076|5013|Collect|||IMPORT||||</t>
  </si>
  <si>
    <t>1771.0000000000000000</t>
  </si>
  <si>
    <t>2411/STOR IMPORT PSD</t>
  </si>
  <si>
    <t>000002411/Invoice</t>
  </si>
  <si>
    <t>1772.0000000000000000</t>
  </si>
  <si>
    <t>PSD EG-116</t>
  </si>
  <si>
    <t>CashIn-000001616</t>
  </si>
  <si>
    <t>|1401|014|001|005|101004549|101004549||||3076|5013|Collect|||IMPORT||||</t>
  </si>
  <si>
    <t>1773.0000000000000000</t>
  </si>
  <si>
    <t>2410/G3ALA INVOICE PSD</t>
  </si>
  <si>
    <t>000002410/Invoice</t>
  </si>
  <si>
    <t>1774.0000000000000000</t>
  </si>
  <si>
    <t>ALEXHO EG-290</t>
  </si>
  <si>
    <t>CashIn-000001617</t>
  </si>
  <si>
    <t>1775.0000000000000000</t>
  </si>
  <si>
    <t>2412/INV</t>
  </si>
  <si>
    <t>000002412/Invoice</t>
  </si>
  <si>
    <t>1776.0000000000000000</t>
  </si>
  <si>
    <t>CCC US-15</t>
  </si>
  <si>
    <t>BankIn-000001618</t>
  </si>
  <si>
    <t>|1201|012|001|002|101004625|101004625||||4006|4022|Payable|||EXPORT||||</t>
  </si>
  <si>
    <t>O25-EXP-OC-830|‏ME_Q-20250108609-EXP-FCL‎|‏Sl-000004‎|‏‎|‏PSD000001219‎|‏‎|‏‎|‏‎|‏‎|‏‎|‏EGPSD Port Said West‎|‏TRAMP AMBARLI‎|‏‎|‏‎|‏‎|‏‎|‏‎|‏21/01/2025‎|‏31/01/2025‎</t>
  </si>
  <si>
    <t>1777.0000000000000000</t>
  </si>
  <si>
    <t>101004625</t>
  </si>
  <si>
    <t>463516508</t>
  </si>
  <si>
    <t>1658/INV</t>
  </si>
  <si>
    <t>000001658/Invoice</t>
  </si>
  <si>
    <t>1778.0000000000000000</t>
  </si>
  <si>
    <t>ALEXHO EG-291</t>
  </si>
  <si>
    <t>CashIn-000001619</t>
  </si>
  <si>
    <t>|1301|013|001|001|101004636|101004636||||3042|3336|Prepaid|||IMPORT||||</t>
  </si>
  <si>
    <t>1779.0000000000000000</t>
  </si>
  <si>
    <t>101004636</t>
  </si>
  <si>
    <t>752328298</t>
  </si>
  <si>
    <t>2363/THC</t>
  </si>
  <si>
    <t>000002363/Invoice</t>
  </si>
  <si>
    <t>1780.0000000000000000</t>
  </si>
  <si>
    <t>ALEXHO EG-292</t>
  </si>
  <si>
    <t>CashIn-000001620</t>
  </si>
  <si>
    <t>1781.0000000000000000</t>
  </si>
  <si>
    <t>2364/NAFEZA SERVICE</t>
  </si>
  <si>
    <t>000002364/Invoice</t>
  </si>
  <si>
    <t>1782.0000000000000000</t>
  </si>
  <si>
    <t>ALEXHO US-29</t>
  </si>
  <si>
    <t>CashIn-000001621</t>
  </si>
  <si>
    <t>1783.0000000000000000</t>
  </si>
  <si>
    <t>274/مطالبة نولون محصلة لصالح الغير</t>
  </si>
  <si>
    <t>000000274/OF-FW</t>
  </si>
  <si>
    <t>1784.0000000000000000</t>
  </si>
  <si>
    <t>ALEXHO EG-293</t>
  </si>
  <si>
    <t>CashIn-000001622</t>
  </si>
  <si>
    <t>O25-IMP-OC-731|‏ME_Q-20250108443-IMP-LCL‎|‏Sl-000036‎|‏RP-000001‎|‏‎|‏‎|‏‎|‏‎|‏‎|‏CMA CGM RODOLPHE‎|‏KRPUS Busan‎|‏696 ALEXANDRIA‎|‏‎|‏25/12/2024‎|‏19/01/2025‎|‏‎|‏‎|‏20/01/2025‎|‏‎</t>
  </si>
  <si>
    <t>268/مطالبة نولون محصلة لصالح الغير</t>
  </si>
  <si>
    <t>1785.0000000000000000</t>
  </si>
  <si>
    <t>101002507</t>
  </si>
  <si>
    <t>|1301|013|001|001|101002507||||||||||IMPORT||||</t>
  </si>
  <si>
    <t>259-644-846</t>
  </si>
  <si>
    <t>1786.0000000000000000</t>
  </si>
  <si>
    <t>421103|1301|013|001|001|101002507||||||||||IMPORT||||</t>
  </si>
  <si>
    <t>1787.0000000000000000</t>
  </si>
  <si>
    <t>ALEXHO EG-294</t>
  </si>
  <si>
    <t>CashIn-000001623</t>
  </si>
  <si>
    <t>|1301|013|001|001|101002507|101002507||||3038|3208|Collect|||IMPORT||||</t>
  </si>
  <si>
    <t>1788.0000000000000000</t>
  </si>
  <si>
    <t>2265/THC</t>
  </si>
  <si>
    <t>000002265/Invoice</t>
  </si>
  <si>
    <t>1789.0000000000000000</t>
  </si>
  <si>
    <t>ALEXHO EG-295</t>
  </si>
  <si>
    <t>CashIn-000001624</t>
  </si>
  <si>
    <t>1790.0000000000000000</t>
  </si>
  <si>
    <t>2264/NAFEZA SERVICE</t>
  </si>
  <si>
    <t>000002264/Invoice</t>
  </si>
  <si>
    <t>1791.0000000000000000</t>
  </si>
  <si>
    <t>ALEXHO EG-296</t>
  </si>
  <si>
    <t>CashIn-000001627</t>
  </si>
  <si>
    <t>O25-IMP-OC-516|‏ME_Q-20241205387-IMP-LCL‎|‏Sl-000002‎|‏RP-000001‎|‏‎|‏‎|‏‎|‏‎|‏‎|‏CMA CGM LAMARTINE‎|‏DEHAB Hambergen‎|‏696 ALEXANDRIA‎|‏‎|‏24/12/2024‎|‏28/01/2025‎|‏‎|‏‎|‏14/01/2025‎|‏‎</t>
  </si>
  <si>
    <t>1792.0000000000000000</t>
  </si>
  <si>
    <t>1848/THC</t>
  </si>
  <si>
    <t>000001848/Invoice</t>
  </si>
  <si>
    <t>1793.0000000000000000</t>
  </si>
  <si>
    <t>ALEXHO EG-297</t>
  </si>
  <si>
    <t>CashIn-000001628</t>
  </si>
  <si>
    <t>1794.0000000000000000</t>
  </si>
  <si>
    <t>1847/NAFEZA SERVICE</t>
  </si>
  <si>
    <t>000001847/Invoice</t>
  </si>
  <si>
    <t>1795.0000000000000000</t>
  </si>
  <si>
    <t>ALEXHO EG-298</t>
  </si>
  <si>
    <t>CashIn-000001629</t>
  </si>
  <si>
    <t>|1301|013|001|001|101000027|101000027||||3038|3208|Collect|||IMPORT||||</t>
  </si>
  <si>
    <t>O25-IMP-OC-407|‏ME_Q-20250108366-IMP-LCL‎|‏Sl-000002‎|‏RP-000001‎|‏‎|‏‎|‏‎|‏‎|‏‎|‏CMA CGM RODOLPHE‎|‏CNNGB Ningbo‎|‏696 ALEXANDRIA‎|‏‎|‏28/12/2024‎|‏19/01/2025‎|‏‎|‏‎|‏12/01/2025‎|‏‎</t>
  </si>
  <si>
    <t>1796.0000000000000000</t>
  </si>
  <si>
    <t>101000027</t>
  </si>
  <si>
    <t>205066658</t>
  </si>
  <si>
    <t>2434/THC</t>
  </si>
  <si>
    <t>000002434/Invoice</t>
  </si>
  <si>
    <t>1797.0000000000000000</t>
  </si>
  <si>
    <t>ALEXHO EG-299</t>
  </si>
  <si>
    <t>CashIn-000001630</t>
  </si>
  <si>
    <t>1798.0000000000000000</t>
  </si>
  <si>
    <t>2435/NAFEZA SERVICE</t>
  </si>
  <si>
    <t>000002435/Invoice</t>
  </si>
  <si>
    <t>1799.0000000000000000</t>
  </si>
  <si>
    <t>ALEXHO EG-300</t>
  </si>
  <si>
    <t>CashIn-000001638</t>
  </si>
  <si>
    <t>2025-01-28</t>
  </si>
  <si>
    <t>1800.0000000000000000</t>
  </si>
  <si>
    <t>1801.0000000000000000</t>
  </si>
  <si>
    <t>QNB_US_CA1-24</t>
  </si>
  <si>
    <t>BankIn-000001661</t>
  </si>
  <si>
    <t>O25-IMP-OC-169|‏ME_Q-20241205023-IMP-LCL‎|‏Sl-000007‎|‏Ag-000010‎|‏EGLV142403974073‎|‏‎|‏‎|‏‎|‏‎|‏CMA CGM RODOLPHE‎|‏CNSHA Shanghai‎|‏EGALY Alexandria, Egypt (old)‎|‏19/01/2025‎|‏‎|‏19/01/2025‎|‏‎|‏‎|‏06/01/2025‎|‏31/01/2025‎</t>
  </si>
  <si>
    <t>1802.0000000000000000</t>
  </si>
  <si>
    <t>199/مطالبة نولون محصلة لصالح الغير</t>
  </si>
  <si>
    <t>000000199/OF-FW</t>
  </si>
  <si>
    <t>1803.0000000000000000</t>
  </si>
  <si>
    <t>QNB_US_CA1-25</t>
  </si>
  <si>
    <t>BankIn-000001662</t>
  </si>
  <si>
    <t>O25-IMP-OC-169|‏ME_Q-20241205021-IMP-LCL‎|‏Sl-000007‎|‏Ag-000010‎|‏EGLV142403974073‎|‏‎|‏‎|‏‎|‏‎|‏CMA CGM RODOLPHE‎|‏CNSHA Shanghai‎|‏EGALY Alexandria, Egypt (old)‎|‏19/01/2025‎|‏‎|‏19/01/2025‎|‏‎|‏‎|‏06/01/2025‎|‏31/01/2025‎</t>
  </si>
  <si>
    <t>1804.0000000000000000</t>
  </si>
  <si>
    <t>201/مطالبة نولون محصلة لصالح الغير</t>
  </si>
  <si>
    <t>000000201/OF-FW</t>
  </si>
  <si>
    <t>1805.0000000000000000</t>
  </si>
  <si>
    <t>Airport EG-115</t>
  </si>
  <si>
    <t>CashIn-000001639</t>
  </si>
  <si>
    <t>O25-IMP-AI-1065|‏‎|‏Al-000020‎|‏‎|‏876-TWL25010493‎|‏‎|‏‎|‏‎|‏‎|‏‎|‏TFU CHENGDU TIANFU‎|‏CAI CAIRO‎|‏‎|‏‎|‏23/01/2025‎|‏‎|‏‎|‏27/01/2025‎|‏31/01/2025‎</t>
  </si>
  <si>
    <t>1806.0000000000000000</t>
  </si>
  <si>
    <t>2519/INV</t>
  </si>
  <si>
    <t>000002519/Invoice</t>
  </si>
  <si>
    <t>1807.0000000000000000</t>
  </si>
  <si>
    <t>Airport EG-116</t>
  </si>
  <si>
    <t>CashIn-000001640</t>
  </si>
  <si>
    <t>1808.0000000000000000</t>
  </si>
  <si>
    <t>571/OFFICIAL</t>
  </si>
  <si>
    <t>000000571/OR-FW</t>
  </si>
  <si>
    <t>1809.0000000000000000</t>
  </si>
  <si>
    <t>Airport EG-117</t>
  </si>
  <si>
    <t>CashIn-000001641</t>
  </si>
  <si>
    <t>O25-IMP-AI-1069|‏‎|‏Al-000020‎|‏‎|‏876-13977250‎|‏‎|‏‎|‏‎|‏‎|‏‎|‏TFU CHENGDU TIANFU‎|‏CAI CAIRO‎|‏‎|‏‎|‏23/01/2025‎|‏‎|‏‎|‏28/01/2025‎|‏31/01/2025‎</t>
  </si>
  <si>
    <t>1810.0000000000000000</t>
  </si>
  <si>
    <t>2521/INV</t>
  </si>
  <si>
    <t>000002521/Invoice</t>
  </si>
  <si>
    <t>1811.0000000000000000</t>
  </si>
  <si>
    <t>Airport EG-118</t>
  </si>
  <si>
    <t>CashIn-000001642</t>
  </si>
  <si>
    <t>1812.0000000000000000</t>
  </si>
  <si>
    <t>572/OFFICIAL</t>
  </si>
  <si>
    <t>000000572/OR-FW</t>
  </si>
  <si>
    <t>1813.0000000000000000</t>
  </si>
  <si>
    <t>POS_EG-82</t>
  </si>
  <si>
    <t>POS-000001663</t>
  </si>
  <si>
    <t>1814.0000000000000000</t>
  </si>
  <si>
    <t>1740/THC</t>
  </si>
  <si>
    <t>000001740/Invoice</t>
  </si>
  <si>
    <t>1815.0000000000000000</t>
  </si>
  <si>
    <t>1741/NAFEZA SERVICE</t>
  </si>
  <si>
    <t>000001741/Invoice</t>
  </si>
  <si>
    <t>1816.0000000000000000</t>
  </si>
  <si>
    <t>1745/THC</t>
  </si>
  <si>
    <t>000001745/Invoice</t>
  </si>
  <si>
    <t>1817.0000000000000000</t>
  </si>
  <si>
    <t>1746/NAFEZA SERVICE</t>
  </si>
  <si>
    <t>000001746/Invoice</t>
  </si>
  <si>
    <t>1818.0000000000000000</t>
  </si>
  <si>
    <t>CIB_US_CA-14</t>
  </si>
  <si>
    <t>BankIn-000001664</t>
  </si>
  <si>
    <t>O25-IMP-OC-50|‏ME_Q-20241205669-IMP-FCL‎|‏Sl-000011‎|‏Ag-000067‎|‏YMJAR243052431‎|‏‎|‏‎|‏‎|‏‎|‏‎|‏CNJIU Jiujiang‎|‏EGSOK Sokhna Port‎|‏‎|‏‎|‏‎|‏‎|‏‎|‏02/01/2025‎|‏31/01/2025‎</t>
  </si>
  <si>
    <t>1819.0000000000000000</t>
  </si>
  <si>
    <t>2536/INV</t>
  </si>
  <si>
    <t>000002536/Invoice</t>
  </si>
  <si>
    <t>1820.0000000000000000</t>
  </si>
  <si>
    <t>CIB_US_CA-15</t>
  </si>
  <si>
    <t>BankIn-000001665</t>
  </si>
  <si>
    <t>O25-IMP-OC-981|‏ME_Q-20250107423-IMP-FCL‎|‏Sl-000081‎|‏Ag-000067‎|‏SLGS763091‎|‏‎|‏‎|‏‎|‏‎|‏‎|‏CNNSA Nansha‎|‏EGSOK Sokhna Port‎|‏‎|‏‎|‏‎|‏‎|‏‎|‏23/01/2025‎|‏31/01/2025‎</t>
  </si>
  <si>
    <t>1821.0000000000000000</t>
  </si>
  <si>
    <t>2538/INV</t>
  </si>
  <si>
    <t>000002538/Invoice</t>
  </si>
  <si>
    <t>1822.0000000000000000</t>
  </si>
  <si>
    <t>AAIB_US_CA-6</t>
  </si>
  <si>
    <t>BankIn-000001666</t>
  </si>
  <si>
    <t>O25-IMP-OC-169|‏ME_Q-20250108494-IMP-LCL‎|‏Sl-000007‎|‏Ag-000010‎|‏EGLV142403974073‎|‏‎|‏‎|‏‎|‏‎|‏CMA CGM RODOLPHE‎|‏CNSHA Shanghai‎|‏EGALY Alexandria, Egypt (old)‎|‏19/01/2025‎|‏‎|‏19/01/2025‎|‏‎|‏‎|‏06/01/2025‎|‏31/01/2025‎</t>
  </si>
  <si>
    <t>1823.0000000000000000</t>
  </si>
  <si>
    <t>260/مطالبة نولون محصلة لصالح الغير</t>
  </si>
  <si>
    <t>000000260/OF-FW</t>
  </si>
  <si>
    <t>1824.0000000000000000</t>
  </si>
  <si>
    <t>QNB_US_CA1-28</t>
  </si>
  <si>
    <t>BankIn-000001667</t>
  </si>
  <si>
    <t>|1201|012|001|001|101000646|101000646||||4051|3205|Payable|||IMPORT||||</t>
  </si>
  <si>
    <t>O25-IMP-OC-495|‏ME_Q-20241205597-IMP-FCL‎|‏Sl-000052‎|‏Ag-000067‎|‏EPIRCHNSCN013301‎|‏‎|‏‎|‏‎|‏‎|‏KMTC CHENNAI‎|‏CNSZX Shenzhen‎|‏EGALY Alexandria, Egypt (old)‎|‏‎|‏‎|‏‎|‏‎|‏‎|‏13/01/2025‎|‏31/01/2025‎</t>
  </si>
  <si>
    <t>1825.0000000000000000</t>
  </si>
  <si>
    <t>101000646</t>
  </si>
  <si>
    <t>723495599</t>
  </si>
  <si>
    <t>2575/INV</t>
  </si>
  <si>
    <t>000002575/Invoice</t>
  </si>
  <si>
    <t>1826.0000000000000000</t>
  </si>
  <si>
    <t>AAIB_EG_CA-7</t>
  </si>
  <si>
    <t>BankIn-000001668</t>
  </si>
  <si>
    <t>1827.0000000000000000</t>
  </si>
  <si>
    <t>2239/THC</t>
  </si>
  <si>
    <t>000002239/Invoice</t>
  </si>
  <si>
    <t>1828.0000000000000000</t>
  </si>
  <si>
    <t>POS_EG-85</t>
  </si>
  <si>
    <t>POS-000001669</t>
  </si>
  <si>
    <t>|1301|013|001|001|101000450|101000450||||3042|3336|Prepaid|||IMPORT||||</t>
  </si>
  <si>
    <t>1829.0000000000000000</t>
  </si>
  <si>
    <t>101000450</t>
  </si>
  <si>
    <t>431124604</t>
  </si>
  <si>
    <t>2598/NAFEZA SERVICE</t>
  </si>
  <si>
    <t>000002598/Invoice</t>
  </si>
  <si>
    <t>1830.0000000000000000</t>
  </si>
  <si>
    <t>2599/THC</t>
  </si>
  <si>
    <t>000002599/Invoice</t>
  </si>
  <si>
    <t>1831.0000000000000000</t>
  </si>
  <si>
    <t>AAIB_EG_CA-8</t>
  </si>
  <si>
    <t>BankIn-000001670</t>
  </si>
  <si>
    <t>1832.0000000000000000</t>
  </si>
  <si>
    <t>2238/NAFEZA SERVICE</t>
  </si>
  <si>
    <t>000002238/Invoice</t>
  </si>
  <si>
    <t>1833.0000000000000000</t>
  </si>
  <si>
    <t>CIB_US_CA-17</t>
  </si>
  <si>
    <t>NR-000001671</t>
  </si>
  <si>
    <t>122202|1301|013|001|005|301000002|301000002||||3038|5013|Collect|||IMPORT||||</t>
  </si>
  <si>
    <t>O25-IMP-OC-879|‏ME_Q-20250108620-IMP-LCL‎|‏Sl-000001‎|‏Ag-000087‎|‏COSU6402521761‎|‏‎|‏‎|‏‎|‏‎|‏‎|‏CNXSA Guangzhou2‎|‏EGPSD Port Said West‎|‏‎|‏06/12/2024‎|‏26/01/2025‎|‏‎|‏‎|‏22/01/2025‎|‏31/01/2025‎</t>
  </si>
  <si>
    <t>237/مطالبة نولون محصلة لصالح الغير</t>
  </si>
  <si>
    <t>000000237/OF-FW</t>
  </si>
  <si>
    <t>543393894</t>
  </si>
  <si>
    <t>1834.0000000000000000</t>
  </si>
  <si>
    <t>|1301|013|001|005|301000002|301000002||||3038|5013|Collect|||IMPORT||||</t>
  </si>
  <si>
    <t>1835.0000000000000000</t>
  </si>
  <si>
    <t>POS_EG-87</t>
  </si>
  <si>
    <t>POS-000001672</t>
  </si>
  <si>
    <t>|1301|013|001|001|101004589|101004589||||3042|3336|Prepaid|||IMPORT||||</t>
  </si>
  <si>
    <t>1836.0000000000000000</t>
  </si>
  <si>
    <t>101004589</t>
  </si>
  <si>
    <t>205119840</t>
  </si>
  <si>
    <t>2419/THC</t>
  </si>
  <si>
    <t>000002419/Invoice</t>
  </si>
  <si>
    <t>1837.0000000000000000</t>
  </si>
  <si>
    <t>2420/NAFEZA SERVICE</t>
  </si>
  <si>
    <t>000002420/Invoice</t>
  </si>
  <si>
    <t>1838.0000000000000000</t>
  </si>
  <si>
    <t>Airport EG-119</t>
  </si>
  <si>
    <t>CashIn-000001643</t>
  </si>
  <si>
    <t>|1101|011|001|004|101003382|101003382||||3076|4012|Prepaid|||IMPORT||||</t>
  </si>
  <si>
    <t>O25-IMP-AI-844|‏‎|‏Al-000020‎|‏‎|‏876-TWL25010611‎|‏‎|‏‎|‏‎|‏‎|‏‎|‏PVG SHANGHAI‎|‏CAI CAIRO‎|‏‎|‏‎|‏21/01/2025‎|‏‎|‏‎|‏21/01/2025‎|‏31/01/2025‎</t>
  </si>
  <si>
    <t>1839.0000000000000000</t>
  </si>
  <si>
    <t>101003382</t>
  </si>
  <si>
    <t>489306667</t>
  </si>
  <si>
    <t>2336/INV</t>
  </si>
  <si>
    <t>000002336/Invoice</t>
  </si>
  <si>
    <t>1840.0000000000000000</t>
  </si>
  <si>
    <t>Airport EG-120</t>
  </si>
  <si>
    <t>CashIn-000001644</t>
  </si>
  <si>
    <t>1841.0000000000000000</t>
  </si>
  <si>
    <t>526/OFFICIAL</t>
  </si>
  <si>
    <t>000000526/OR-FW</t>
  </si>
  <si>
    <t>1842.0000000000000000</t>
  </si>
  <si>
    <t>Airport EG-121</t>
  </si>
  <si>
    <t>CashIn-000001645</t>
  </si>
  <si>
    <t>O25-IMP-AI-852|‏‎|‏Al-000006‎|‏‎|‏077-58792425‎|‏‎|‏‎|‏‎|‏‎|‏‎|‏MXP MILAN MALPENSA‎|‏CAI CAIRO‎|‏‎|‏‎|‏25/01/2025‎|‏‎|‏‎|‏21/01/2025‎|‏31/01/2025‎</t>
  </si>
  <si>
    <t>1843.0000000000000000</t>
  </si>
  <si>
    <t>2557/INV</t>
  </si>
  <si>
    <t>000002557/Invoice</t>
  </si>
  <si>
    <t>1844.0000000000000000</t>
  </si>
  <si>
    <t>Airport EG-122</t>
  </si>
  <si>
    <t>CashIn-000001646</t>
  </si>
  <si>
    <t>1845.0000000000000000</t>
  </si>
  <si>
    <t>575/OFFICIAL</t>
  </si>
  <si>
    <t>000000575/OR-FW</t>
  </si>
  <si>
    <t>1846.0000000000000000</t>
  </si>
  <si>
    <t>POS_EG-91</t>
  </si>
  <si>
    <t>POS-000001673</t>
  </si>
  <si>
    <t>|1301|013|001|001|101000750|101000750||||3076|3208|Collect|||IMPORT||||</t>
  </si>
  <si>
    <t>O25-IMP-OC-530|‏ME_Q-20241205574-IMP-LCL‎|‏Sl-000036‎|‏RP-000001‎|‏‎|‏‎|‏‎|‏‎|‏‎|‏COSCO SHANGHAI‎|‏DEHAB Hambergen‎|‏696 ALEXANDRIA‎|‏‎|‏01/01/2025‎|‏20/01/2025‎|‏‎|‏‎|‏14/01/2025‎|‏‎</t>
  </si>
  <si>
    <t>1847.0000000000000000</t>
  </si>
  <si>
    <t>101000750</t>
  </si>
  <si>
    <t>|1301|013|001|001|101000750|101000750||||3076|3336|Collect|||IMPORT||||</t>
  </si>
  <si>
    <t>545599504</t>
  </si>
  <si>
    <t>803/NAFEZA SERVICE</t>
  </si>
  <si>
    <t>000000803/Invoice</t>
  </si>
  <si>
    <t>1848.0000000000000000</t>
  </si>
  <si>
    <t>804/THC</t>
  </si>
  <si>
    <t>000000804/Invoice</t>
  </si>
  <si>
    <t>1849.0000000000000000</t>
  </si>
  <si>
    <t>1888/NAFEZA SERVICE</t>
  </si>
  <si>
    <t>000001888/Invoice</t>
  </si>
  <si>
    <t>1850.0000000000000000</t>
  </si>
  <si>
    <t>1889/THC</t>
  </si>
  <si>
    <t>000001889/Invoice</t>
  </si>
  <si>
    <t>1851.0000000000000000</t>
  </si>
  <si>
    <t>Airport EG-123</t>
  </si>
  <si>
    <t>CashIn-000001647</t>
  </si>
  <si>
    <t>O25-IMP-AI-891|‏‎|‏Al-000006‎|‏‎|‏077-58360945‎|‏‎|‏‎|‏‎|‏‎|‏‎|‏NRT TOKYO‎|‏CAI CAIRO‎|‏‎|‏‎|‏27/01/2025‎|‏‎|‏‎|‏22/01/2025‎|‏31/01/2025‎</t>
  </si>
  <si>
    <t>1852.0000000000000000</t>
  </si>
  <si>
    <t>2637/INV</t>
  </si>
  <si>
    <t>000002637/Invoice</t>
  </si>
  <si>
    <t>1853.0000000000000000</t>
  </si>
  <si>
    <t>Airport EG-124</t>
  </si>
  <si>
    <t>CashIn-000001648</t>
  </si>
  <si>
    <t>1854.0000000000000000</t>
  </si>
  <si>
    <t>585/OFFICIAL</t>
  </si>
  <si>
    <t>000000585/OR-FW</t>
  </si>
  <si>
    <t>1855.0000000000000000</t>
  </si>
  <si>
    <t>Airport EG-125</t>
  </si>
  <si>
    <t>CashIn-000001649</t>
  </si>
  <si>
    <t>|1101|011|001|004|101002211|101002211||||FREEHAND|4012|Prepaid|||IMPORT||||</t>
  </si>
  <si>
    <t>O25-IMP-AI-1011|‏‎|‏Al-000021‎|‏‎|‏235-29773494‎|‏‎|‏‎|‏‎|‏‎|‏‎|‏IST ISTANBUL AIRPORT‎|‏CAI CAIRO‎|‏‎|‏‎|‏26/01/2025‎|‏‎|‏‎|‏26/01/2025‎|‏31/01/2025‎</t>
  </si>
  <si>
    <t>1856.0000000000000000</t>
  </si>
  <si>
    <t>101002211</t>
  </si>
  <si>
    <t>205114067</t>
  </si>
  <si>
    <t>2650/INV</t>
  </si>
  <si>
    <t>000002650/Invoice</t>
  </si>
  <si>
    <t>1857.0000000000000000</t>
  </si>
  <si>
    <t>Airport EG-126</t>
  </si>
  <si>
    <t>CashIn-000001650</t>
  </si>
  <si>
    <t>1858.0000000000000000</t>
  </si>
  <si>
    <t>587/OFFICIAL</t>
  </si>
  <si>
    <t>000000587/OR-FW</t>
  </si>
  <si>
    <t>1859.0000000000000000</t>
  </si>
  <si>
    <t>CIB_EG_CA-22</t>
  </si>
  <si>
    <t>NR-000001674</t>
  </si>
  <si>
    <t>000543858177</t>
  </si>
  <si>
    <t>1860.0000000000000000</t>
  </si>
  <si>
    <t>1861.0000000000000000</t>
  </si>
  <si>
    <t>NBE_EG_CF1-3</t>
  </si>
  <si>
    <t>NR-000001675</t>
  </si>
  <si>
    <t>O25-IMP-OC-913|‏ME_Q-20250109204-IMP-LCL‎|‏Sl-000002‎|‏RP-000001‎|‏‎|‏‎|‏‎|‏‎|‏‎|‏GULBENIZ A‎|‏NY NEW YORK‎|‏696 ALEXANDRIA‎|‏‎|‏24/12/2024‎|‏22/01/2025‎|‏‎|‏‎|‏23/01/2025‎|‏‎</t>
  </si>
  <si>
    <t>2662/THC</t>
  </si>
  <si>
    <t>000002662/Invoice</t>
  </si>
  <si>
    <t>20068500933755</t>
  </si>
  <si>
    <t>1862.0000000000000000</t>
  </si>
  <si>
    <t>1863.0000000000000000</t>
  </si>
  <si>
    <t>POS_EG-94</t>
  </si>
  <si>
    <t>POS-000001676</t>
  </si>
  <si>
    <t>|1301|013|001|001|101000449|101000449||||3076|3208|Collect|||IMPORT||||</t>
  </si>
  <si>
    <t>O25-IMP-OC-432|‏ME_Q-20250109372-IMP-LCL‎|‏Sl-000001‎|‏RP-000001‎|‏‎|‏‎|‏‎|‏‎|‏‎|‏CMA CGM RODOLPHE‎|‏CNSHA Shanghai‎|‏696 ALEXANDRIA‎|‏‎|‏22/12/2024‎|‏19/01/2025‎|‏‎|‏‎|‏12/01/2025‎|‏‎</t>
  </si>
  <si>
    <t>1864.0000000000000000</t>
  </si>
  <si>
    <t>101000449</t>
  </si>
  <si>
    <t>535265883</t>
  </si>
  <si>
    <t>2632/THC</t>
  </si>
  <si>
    <t>000002632/Invoice</t>
  </si>
  <si>
    <t>1865.0000000000000000</t>
  </si>
  <si>
    <t>2633/NAFEZA SERVICE</t>
  </si>
  <si>
    <t>000002633/Invoice</t>
  </si>
  <si>
    <t>1866.0000000000000000</t>
  </si>
  <si>
    <t>CIB_EG_CA-23</t>
  </si>
  <si>
    <t>BankIn-000001677</t>
  </si>
  <si>
    <t>|1101|011|001|004|101000135|101000135||||3095|4012|Prepaid|||IMPORT||||</t>
  </si>
  <si>
    <t>O25-IMP-AI-847|‏‎|‏Al-000020‎|‏‎|‏876-14044962‎|‏‎|‏‎|‏‎|‏‎|‏‎|‏PVG SHANGHAI‎|‏CAI CAIRO‎|‏‎|‏‎|‏25/01/2025‎|‏‎|‏‎|‏21/01/2025‎|‏31/01/2025‎</t>
  </si>
  <si>
    <t>1867.0000000000000000</t>
  </si>
  <si>
    <t>101000135</t>
  </si>
  <si>
    <t>205101348</t>
  </si>
  <si>
    <t>2673/INV</t>
  </si>
  <si>
    <t>000002673/Invoice</t>
  </si>
  <si>
    <t>1868.0000000000000000</t>
  </si>
  <si>
    <t>CIB_EG_CA-24</t>
  </si>
  <si>
    <t>BankIn-000001678</t>
  </si>
  <si>
    <t>1869.0000000000000000</t>
  </si>
  <si>
    <t>589/OFFICIAL</t>
  </si>
  <si>
    <t>000000589/OR-FW</t>
  </si>
  <si>
    <t>1870.0000000000000000</t>
  </si>
  <si>
    <t>CIB_US_CA-18</t>
  </si>
  <si>
    <t>BankIn-000001679</t>
  </si>
  <si>
    <t>1871.0000000000000000</t>
  </si>
  <si>
    <t>2672/INV</t>
  </si>
  <si>
    <t>000002672/Invoice</t>
  </si>
  <si>
    <t>1872.0000000000000000</t>
  </si>
  <si>
    <t>QNB_US_CA1-29</t>
  </si>
  <si>
    <t>BankIn-000001680</t>
  </si>
  <si>
    <t>1873.0000000000000000</t>
  </si>
  <si>
    <t>2669/INV</t>
  </si>
  <si>
    <t>000002669/Invoice</t>
  </si>
  <si>
    <t>1874.0000000000000000</t>
  </si>
  <si>
    <t>QNB_EG_CA1-18</t>
  </si>
  <si>
    <t>NR-000001681</t>
  </si>
  <si>
    <t>122201|1501|015|001|001|101000031|101000661||||3115|3115|Payable|||IMPORT||||</t>
  </si>
  <si>
    <t>68730824</t>
  </si>
  <si>
    <t>1875.0000000000000000</t>
  </si>
  <si>
    <t>101000031</t>
  </si>
  <si>
    <t>|1501|015|001|001|101000031|101000661||||3115|3115|Payable|||IMPORT||||</t>
  </si>
  <si>
    <t>200012436</t>
  </si>
  <si>
    <t>1876.0000000000000000</t>
  </si>
  <si>
    <t>AAIB_EG_CA-12</t>
  </si>
  <si>
    <t>BankIn-000001682</t>
  </si>
  <si>
    <t>O24-IMP-OC-2|‏ME_Q-20250108376-IMP-LCL‎|‏Sl-000007‎|‏Ag-000010‎|‏EGLV142403893537‎|‏‎|‏‎|‏‎|‏‎|‏CMA CGM LISA MARIE-‎|‏CNSHA Shanghai‎|‏EGALY Alexandria, Egypt (old)‎|‏16/01/2025‎|‏‎|‏16/01/2025‎|‏‎|‏‎|‏31/12/2024‎|‏31/01/2025‎</t>
  </si>
  <si>
    <t>1877.0000000000000000</t>
  </si>
  <si>
    <t>2227/NAFEZA SERVICE</t>
  </si>
  <si>
    <t>000002227/Invoice</t>
  </si>
  <si>
    <t>1878.0000000000000000</t>
  </si>
  <si>
    <t>AAIB_US_CA-7</t>
  </si>
  <si>
    <t>BankIn-000001683</t>
  </si>
  <si>
    <t>O24-IMP-OC-2|‏ME_Q-20250108571-IMP-LCL‎|‏Sl-000007‎|‏Ag-000010‎|‏EGLV142403893537‎|‏‎|‏‎|‏‎|‏‎|‏CMA CGM LISA MARIE-‎|‏CNSHA Shanghai‎|‏EGALY Alexandria, Egypt (old)‎|‏16/01/2025‎|‏‎|‏16/01/2025‎|‏‎|‏‎|‏05/01/2025‎|‏31/01/2025‎</t>
  </si>
  <si>
    <t>1879.0000000000000000</t>
  </si>
  <si>
    <t>256/مطالبة نولون محصلة لصالح الغير</t>
  </si>
  <si>
    <t>000000256/OF-FW</t>
  </si>
  <si>
    <t>1880.0000000000000000</t>
  </si>
  <si>
    <t>AAIB_EG_CA-9</t>
  </si>
  <si>
    <t>BankIn-000001684</t>
  </si>
  <si>
    <t>1881.0000000000000000</t>
  </si>
  <si>
    <t>2223/THC</t>
  </si>
  <si>
    <t>000002223/Invoice</t>
  </si>
  <si>
    <t>1882.0000000000000000</t>
  </si>
  <si>
    <t>AAIB_EG_CA-11</t>
  </si>
  <si>
    <t>BankIn-000001685</t>
  </si>
  <si>
    <t>1883.0000000000000000</t>
  </si>
  <si>
    <t>2228/THC</t>
  </si>
  <si>
    <t>000002228/Invoice</t>
  </si>
  <si>
    <t>1884.0000000000000000</t>
  </si>
  <si>
    <t>AAIB_US_CA-8</t>
  </si>
  <si>
    <t>BankIn-000001686</t>
  </si>
  <si>
    <t>1885.0000000000000000</t>
  </si>
  <si>
    <t>258/مطالبة نولون محصلة لصالح الغير</t>
  </si>
  <si>
    <t>000000258/OF-FW</t>
  </si>
  <si>
    <t>1886.0000000000000000</t>
  </si>
  <si>
    <t>AAIB_EG_CA-10</t>
  </si>
  <si>
    <t>BankIn-000001687</t>
  </si>
  <si>
    <t>1887.0000000000000000</t>
  </si>
  <si>
    <t>2222/NAFEZA SERVICE</t>
  </si>
  <si>
    <t>000002222/Invoice</t>
  </si>
  <si>
    <t>1888.0000000000000000</t>
  </si>
  <si>
    <t>POS_EG-81</t>
  </si>
  <si>
    <t>POS-000001688</t>
  </si>
  <si>
    <t>|1301|013|001|001|101004635|101004635||||3042|3336|Prepaid|||IMPORT||||</t>
  </si>
  <si>
    <t>1889.0000000000000000</t>
  </si>
  <si>
    <t>101004635</t>
  </si>
  <si>
    <t>281348677</t>
  </si>
  <si>
    <t>2337/THC</t>
  </si>
  <si>
    <t>000002337/Invoice</t>
  </si>
  <si>
    <t>1890.0000000000000000</t>
  </si>
  <si>
    <t>2338/NAFEZA SERVICE</t>
  </si>
  <si>
    <t>000002338/Invoice</t>
  </si>
  <si>
    <t>1891.0000000000000000</t>
  </si>
  <si>
    <t>CIB_US_CA-16</t>
  </si>
  <si>
    <t>BankIn-000001689</t>
  </si>
  <si>
    <t>|1301|013|001|001|101000469|101000469||||4051|3336|Collect|||IMPORT||||</t>
  </si>
  <si>
    <t>O25-IMP-OC-427|‏ME_Q-20250108660-IMP-LCL‎|‏Sl-000007‎|‏Ag-000010‎|‏EGLV142403853748‎|‏‎|‏‎|‏‎|‏‎|‏CMA CGM LISA MARIE-‎|‏CNSHA Shanghai‎|‏EGALY Alexandria, Egypt (old)‎|‏‎|‏‎|‏16/01/2025‎|‏‎|‏‎|‏12/01/2025‎|‏31/01/2025‎</t>
  </si>
  <si>
    <t>1892.0000000000000000</t>
  </si>
  <si>
    <t>101000469</t>
  </si>
  <si>
    <t>543070476</t>
  </si>
  <si>
    <t>225/مطالبة نولون محصلة لصالح الغير</t>
  </si>
  <si>
    <t>000000225/OF-FW</t>
  </si>
  <si>
    <t>1893.0000000000000000</t>
  </si>
  <si>
    <t>AAIB_US_CA-5</t>
  </si>
  <si>
    <t>BankIn-000001690</t>
  </si>
  <si>
    <t>O25-IMP-OC-427|‏ME_Q-20250108378-IMP-LCL‎|‏Sl-000007‎|‏Ag-000010‎|‏EGLV142403853748‎|‏‎|‏‎|‏‎|‏‎|‏CMA CGM LISA MARIE-‎|‏CNSHA Shanghai‎|‏EGALY Alexandria, Egypt (old)‎|‏‎|‏‎|‏16/01/2025‎|‏‎|‏‎|‏12/01/2025‎|‏31/01/2025‎</t>
  </si>
  <si>
    <t>1894.0000000000000000</t>
  </si>
  <si>
    <t>194/مطالبة نولون محصلة لصالح الغير</t>
  </si>
  <si>
    <t>000000194/OF-FW</t>
  </si>
  <si>
    <t>1895.0000000000000000</t>
  </si>
  <si>
    <t>POS_EG-83</t>
  </si>
  <si>
    <t>POS-000001691</t>
  </si>
  <si>
    <t>|1301|013|001|001|101000188|101000188||||3076|3208|Collect|||IMPORT||||</t>
  </si>
  <si>
    <t>O25-IMP-OC-407|‏ME_Q-20250108877-IMP-LCL‎|‏Sl-000002‎|‏RP-000001‎|‏‎|‏‎|‏‎|‏‎|‏‎|‏CMA CGM RODOLPHE‎|‏CNNGB Ningbo‎|‏696 ALEXANDRIA‎|‏‎|‏28/12/2024‎|‏19/01/2025‎|‏‎|‏‎|‏12/01/2025‎|‏‎</t>
  </si>
  <si>
    <t>1896.0000000000000000</t>
  </si>
  <si>
    <t>2563/THC</t>
  </si>
  <si>
    <t>000002563/Invoice</t>
  </si>
  <si>
    <t>1897.0000000000000000</t>
  </si>
  <si>
    <t>2564/NAFEZA SERVICE</t>
  </si>
  <si>
    <t>000002564/Invoice</t>
  </si>
  <si>
    <t>1898.0000000000000000</t>
  </si>
  <si>
    <t>AAIB_US_CA-9</t>
  </si>
  <si>
    <t>BankIn-000001692</t>
  </si>
  <si>
    <t>O25-IMP-OC-427|‏ME_Q-20250108575-IMP-LCL‎|‏Sl-000007‎|‏Ag-000010‎|‏EGLV142403853748‎|‏‎|‏‎|‏‎|‏‎|‏CMA CGM LISA MARIE-‎|‏CNSHA Shanghai‎|‏EGALY Alexandria, Egypt (old)‎|‏‎|‏‎|‏16/01/2025‎|‏‎|‏‎|‏12/01/2025‎|‏31/01/2025‎</t>
  </si>
  <si>
    <t>1899.0000000000000000</t>
  </si>
  <si>
    <t>311/مطالبة نولون محصلة لصالح الغير</t>
  </si>
  <si>
    <t>000000311/OF-FW</t>
  </si>
  <si>
    <t>1900.0000000000000000</t>
  </si>
  <si>
    <t>AAIB_EG_CA-3</t>
  </si>
  <si>
    <t>BankIn-000001693</t>
  </si>
  <si>
    <t>1901.0000000000000000</t>
  </si>
  <si>
    <t>2600/THC</t>
  </si>
  <si>
    <t>000002600/Invoice</t>
  </si>
  <si>
    <t>1902.0000000000000000</t>
  </si>
  <si>
    <t>AAIB_EG_CA-4</t>
  </si>
  <si>
    <t>BankIn-000001694</t>
  </si>
  <si>
    <t>1903.0000000000000000</t>
  </si>
  <si>
    <t>2601/NAFEZA SERVICE</t>
  </si>
  <si>
    <t>000002601/Invoice</t>
  </si>
  <si>
    <t>1904.0000000000000000</t>
  </si>
  <si>
    <t>POS_EG-84</t>
  </si>
  <si>
    <t>POS-000001695</t>
  </si>
  <si>
    <t>|1302|013|001|001|101000479|101000479||||3031|3336|Collect|||IMPORT||||</t>
  </si>
  <si>
    <t>1905.0000000000000000</t>
  </si>
  <si>
    <t>2595/STOR   IMPORT ALEX</t>
  </si>
  <si>
    <t>000002595/Invoice</t>
  </si>
  <si>
    <t>1906.0000000000000000</t>
  </si>
  <si>
    <t>AAIB_EG_CA-5</t>
  </si>
  <si>
    <t>BankIn-000001696</t>
  </si>
  <si>
    <t>1907.0000000000000000</t>
  </si>
  <si>
    <t>1729/THC</t>
  </si>
  <si>
    <t>000001729/Invoice</t>
  </si>
  <si>
    <t>1908.0000000000000000</t>
  </si>
  <si>
    <t>AAIB_EG_CA-6</t>
  </si>
  <si>
    <t>BankIn-000001697</t>
  </si>
  <si>
    <t>1909.0000000000000000</t>
  </si>
  <si>
    <t>1730/NAFEZA SERVICE</t>
  </si>
  <si>
    <t>000001730/Invoice</t>
  </si>
  <si>
    <t>1910.0000000000000000</t>
  </si>
  <si>
    <t>POS_EG-86</t>
  </si>
  <si>
    <t>POS-000001698</t>
  </si>
  <si>
    <t>|1301|013|001|001|101004639|101004639||||3075|3336|Collect|||IMPORT||||</t>
  </si>
  <si>
    <t>O25-IMP-OC-626|‏ME_Q-20250107961-IMP-LCL‎|‏Sl-000001‎|‏Ag-000200‎|‏COSU6403916670‎|‏‎|‏‎|‏‎|‏‎|‏CMA CGM LISA MARIE-‎|‏CNSHA Shanghai‎|‏EGALY Alexandria, Egypt (old)‎|‏16/01/2025‎|‏‎|‏16/01/2025‎|‏‎|‏‎|‏16/01/2025‎|‏31/01/2025‎</t>
  </si>
  <si>
    <t>1911.0000000000000000</t>
  </si>
  <si>
    <t>101004639</t>
  </si>
  <si>
    <t>379161486</t>
  </si>
  <si>
    <t>2566/THC</t>
  </si>
  <si>
    <t>000002566/Invoice</t>
  </si>
  <si>
    <t>1912.0000000000000000</t>
  </si>
  <si>
    <t>2567/NAFEZA SERVICE</t>
  </si>
  <si>
    <t>000002567/Invoice</t>
  </si>
  <si>
    <t>1913.0000000000000000</t>
  </si>
  <si>
    <t>NBE_US_CA-2</t>
  </si>
  <si>
    <t>BankIn-000001699</t>
  </si>
  <si>
    <t>|1301|013|001|001|101001584|101001584||||3031|3336|Collect|||IMPORT||||</t>
  </si>
  <si>
    <t>O25-IMP-OC-358|‏ME_Q-20250108454-IMP-LCL‎|‏Sl-000001‎|‏Ag-000122‎|‏COSU6404501120‎|‏‎|‏‎|‏‎|‏‎|‏CMA CGM RODOLPHE‎|‏CNSHA Shanghai‎|‏EGALY Alexandria, Egypt (old)‎|‏19/01/2025‎|‏‎|‏19/01/2025‎|‏‎|‏‎|‏11/01/2025‎|‏31/01/2025‎</t>
  </si>
  <si>
    <t>1914.0000000000000000</t>
  </si>
  <si>
    <t>101001584</t>
  </si>
  <si>
    <t>438236955</t>
  </si>
  <si>
    <t>235/مطالبة نولون محصلة لصالح الغير</t>
  </si>
  <si>
    <t>000000235/OF-FW</t>
  </si>
  <si>
    <t>1915.0000000000000000</t>
  </si>
  <si>
    <t>236/مطالبة نولون محصلة لصالح الغير</t>
  </si>
  <si>
    <t>000000236/OF-FW</t>
  </si>
  <si>
    <t>1916.0000000000000000</t>
  </si>
  <si>
    <t>NBE_EG_CF1-2</t>
  </si>
  <si>
    <t>BankIn-000001700</t>
  </si>
  <si>
    <t>1917.0000000000000000</t>
  </si>
  <si>
    <t>2090/THC</t>
  </si>
  <si>
    <t>000002090/Invoice</t>
  </si>
  <si>
    <t>1918.0000000000000000</t>
  </si>
  <si>
    <t>2091/NAFEZA SERVICE</t>
  </si>
  <si>
    <t>000002091/Invoice</t>
  </si>
  <si>
    <t>1919.0000000000000000</t>
  </si>
  <si>
    <t>2094/THC</t>
  </si>
  <si>
    <t>000002094/Invoice</t>
  </si>
  <si>
    <t>1920.0000000000000000</t>
  </si>
  <si>
    <t>2095/NAFEZA SERVICE</t>
  </si>
  <si>
    <t>000002095/Invoice</t>
  </si>
  <si>
    <t>1921.0000000000000000</t>
  </si>
  <si>
    <t>POS_EG-88</t>
  </si>
  <si>
    <t>POS-000001701</t>
  </si>
  <si>
    <t>|1302|013|001|001|101000057|101000057||||3075|3208|Collect|||IMPORT||||</t>
  </si>
  <si>
    <t>1922.0000000000000000</t>
  </si>
  <si>
    <t>2629/STOR   IMPORT ALEX</t>
  </si>
  <si>
    <t>000002629/Invoice</t>
  </si>
  <si>
    <t>1923.0000000000000000</t>
  </si>
  <si>
    <t>POS_EG-89</t>
  </si>
  <si>
    <t>POS-000001702</t>
  </si>
  <si>
    <t>|1301|013|001|001|101000401|101000401||||3031|3336|Collect|||IMPORT||||</t>
  </si>
  <si>
    <t>O25-IMP-OC-251|‏ME_Q-20250109219-IMP-LCL‎|‏Sl-000001‎|‏Ag-000122‎|‏OOLU8897956780‎|‏‎|‏‎|‏‎|‏‎|‏CMA CGM LISA MARIE-‎|‏CNSHA Shanghai‎|‏EGALY Alexandria, Egypt (old)‎|‏16/01/2025‎|‏19/11/2024‎|‏16/01/2025‎|‏‎|‏‎|‏15/01/2025‎|‏31/01/2025‎</t>
  </si>
  <si>
    <t>1924.0000000000000000</t>
  </si>
  <si>
    <t>101000401</t>
  </si>
  <si>
    <t>530866080</t>
  </si>
  <si>
    <t>2404/THC</t>
  </si>
  <si>
    <t>000002404/Invoice</t>
  </si>
  <si>
    <t>1925.0000000000000000</t>
  </si>
  <si>
    <t>2405/NAFEZA SERVICE</t>
  </si>
  <si>
    <t>000002405/Invoice</t>
  </si>
  <si>
    <t>1926.0000000000000000</t>
  </si>
  <si>
    <t>2616/THC</t>
  </si>
  <si>
    <t>000002616/Invoice</t>
  </si>
  <si>
    <t>1927.0000000000000000</t>
  </si>
  <si>
    <t>2617/NAFEZA SERVICE</t>
  </si>
  <si>
    <t>000002617/Invoice</t>
  </si>
  <si>
    <t>1928.0000000000000000</t>
  </si>
  <si>
    <t>POS_EG-90</t>
  </si>
  <si>
    <t>POS-000001703</t>
  </si>
  <si>
    <t>|1302|013|001|001|101000519|101000519||||3038|3336|Collect|||IMPORT||||</t>
  </si>
  <si>
    <t>1929.0000000000000000</t>
  </si>
  <si>
    <t>2639/STOR   IMPORT ALEX</t>
  </si>
  <si>
    <t>000002639/Invoice</t>
  </si>
  <si>
    <t>1930.0000000000000000</t>
  </si>
  <si>
    <t>CIB_EU_CA-5</t>
  </si>
  <si>
    <t>BankIn-000001704</t>
  </si>
  <si>
    <t>1931.0000000000000000</t>
  </si>
  <si>
    <t>156/مطالبة نولون محصلة لصالح الغير</t>
  </si>
  <si>
    <t>000000156/OF-FW</t>
  </si>
  <si>
    <t>1932.0000000000000000</t>
  </si>
  <si>
    <t>POS_EG-92</t>
  </si>
  <si>
    <t>POS-000001705</t>
  </si>
  <si>
    <t>|1302|013|001|001|101000359|101000359||||3038|3336|Collect|||IMPORT||||</t>
  </si>
  <si>
    <t>1933.0000000000000000</t>
  </si>
  <si>
    <t>2657/STOR   IMPORT ALEX</t>
  </si>
  <si>
    <t>000002657/Invoice</t>
  </si>
  <si>
    <t>1934.0000000000000000</t>
  </si>
  <si>
    <t>2664/STOR   IMPORT ALEX</t>
  </si>
  <si>
    <t>000002664/Invoice</t>
  </si>
  <si>
    <t>1935.0000000000000000</t>
  </si>
  <si>
    <t>POS_EG-93</t>
  </si>
  <si>
    <t>POS-000001706</t>
  </si>
  <si>
    <t>1936.0000000000000000</t>
  </si>
  <si>
    <t>2666/STOR SERVICE</t>
  </si>
  <si>
    <t>000002666/Invoice</t>
  </si>
  <si>
    <t>1937.0000000000000000</t>
  </si>
  <si>
    <t>ALEXHO EG-301</t>
  </si>
  <si>
    <t>CashIn-000001707</t>
  </si>
  <si>
    <t>|1301|013|001|001|101000190|101000190||||4019|3336|Collect|||IMPORT||||</t>
  </si>
  <si>
    <t>O25-IMP-OC-558|‏ME_Q-20250109184-IMP-LCL‎|‏Sl-000036‎|‏Ag-000153‎|‏OOLU8897938810‎|‏‎|‏‎|‏‎|‏‎|‏CMA CGM LISA MARIE-‎|‏CNSHA Shanghai‎|‏EGALY Alexandria, Egypt (old)‎|‏16/01/2025‎|‏‎|‏16/01/2025‎|‏‎|‏‎|‏15/01/2025‎|‏31/01/2025‎</t>
  </si>
  <si>
    <t>1938.0000000000000000</t>
  </si>
  <si>
    <t>101000190</t>
  </si>
  <si>
    <t>204936926</t>
  </si>
  <si>
    <t>2438/THC</t>
  </si>
  <si>
    <t>000002438/Invoice</t>
  </si>
  <si>
    <t>1939.0000000000000000</t>
  </si>
  <si>
    <t>ALEXHO EG-302</t>
  </si>
  <si>
    <t>CashIn-000001708</t>
  </si>
  <si>
    <t>1940.0000000000000000</t>
  </si>
  <si>
    <t>2439/NAFEZA SERVICE</t>
  </si>
  <si>
    <t>000002439/Invoice</t>
  </si>
  <si>
    <t>1941.0000000000000000</t>
  </si>
  <si>
    <t>ALEXHO US-30</t>
  </si>
  <si>
    <t>CashIn-000001709</t>
  </si>
  <si>
    <t>1942.0000000000000000</t>
  </si>
  <si>
    <t>288/مطالبة نولون محصلة لصالح الغير</t>
  </si>
  <si>
    <t>000000288/OF-FW</t>
  </si>
  <si>
    <t>1943.0000000000000000</t>
  </si>
  <si>
    <t>QNB_EG_CA1-15</t>
  </si>
  <si>
    <t>NR-000001713</t>
  </si>
  <si>
    <t>122201|1201|012|001|002|101000049|101000049||||5035|4022|Payable|||EXPORT||||</t>
  </si>
  <si>
    <t>O25-EXP-OC-1063|‏ME_Q-20250109275-EXP-FCL‎|‏Sl-000015‎|‏Ag-000149‎|‏ONEYCAIF00390900‎|‏‎|‏‎|‏‎|‏‎|‏‎|‏EGDAM Damietta‎|‏ESVLC Valencia‎|‏‎|‏‎|‏‎|‏‎|‏‎|‏27/01/2025‎|‏31/01/2025‎</t>
  </si>
  <si>
    <t>2461/INV</t>
  </si>
  <si>
    <t>000002461/Invoice</t>
  </si>
  <si>
    <t>65859474</t>
  </si>
  <si>
    <t>1944.0000000000000000</t>
  </si>
  <si>
    <t>1945.0000000000000000</t>
  </si>
  <si>
    <t>QNB_US_CA1-26</t>
  </si>
  <si>
    <t>NR-000001714</t>
  </si>
  <si>
    <t>122202|1201|012|001|002|101000049|101000049||||5035|4022|Payable|||EXPORT||||</t>
  </si>
  <si>
    <t>2462/INV</t>
  </si>
  <si>
    <t>000002462/Invoice</t>
  </si>
  <si>
    <t>67013122</t>
  </si>
  <si>
    <t>1946.0000000000000000</t>
  </si>
  <si>
    <t>1947.0000000000000000</t>
  </si>
  <si>
    <t>QNB_EG_CA1-16</t>
  </si>
  <si>
    <t>NR-000001715</t>
  </si>
  <si>
    <t>O25-EXP-OC-1064|‏ME_Q-20250109290-EXP-FCL‎|‏Sl-000015‎|‏Ag-000149‎|‏ONEYCAIF00389300‎|‏‎|‏‎|‏‎|‏‎|‏‎|‏EGDAM Damietta‎|‏ESVLC Valencia‎|‏‎|‏‎|‏‎|‏‎|‏‎|‏27/01/2025‎|‏31/01/2025‎</t>
  </si>
  <si>
    <t>2465/INV</t>
  </si>
  <si>
    <t>000002465/Invoice</t>
  </si>
  <si>
    <t>65859473</t>
  </si>
  <si>
    <t>1948.0000000000000000</t>
  </si>
  <si>
    <t>1949.0000000000000000</t>
  </si>
  <si>
    <t>QNB_US_CA1-27</t>
  </si>
  <si>
    <t>NR-000001716</t>
  </si>
  <si>
    <t>2464/INV</t>
  </si>
  <si>
    <t>000002464/Invoice</t>
  </si>
  <si>
    <t>67013123</t>
  </si>
  <si>
    <t>1950.0000000000000000</t>
  </si>
  <si>
    <t>1951.0000000000000000</t>
  </si>
  <si>
    <t>CCC US-16</t>
  </si>
  <si>
    <t>BankIn-000001730</t>
  </si>
  <si>
    <t>|1301|013|001|001|101000595|101000595||||3038|3208|Collect|||IMPORT||||</t>
  </si>
  <si>
    <t>O25-IMP-OC-843|‏ME_Q-20250108817-IMP-LCL‎|‏Sl-000003‎|‏RP-000001‎|‏‎|‏‎|‏‎|‏‎|‏‎|‏GH FOEHN‎|‏INNSA Nhava Sheva‎|‏696 ALEXANDRIA‎|‏‎|‏29/11/2024‎|‏26/01/2025‎|‏‎|‏‎|‏21/01/2025‎|‏‎</t>
  </si>
  <si>
    <t>1952.0000000000000000</t>
  </si>
  <si>
    <t>298/مطالبة نولون محصلة لصالح الغير</t>
  </si>
  <si>
    <t>000000298/OF-FW</t>
  </si>
  <si>
    <t>1953.0000000000000000</t>
  </si>
  <si>
    <t>CCC EG-10</t>
  </si>
  <si>
    <t>BankIn-000001731</t>
  </si>
  <si>
    <t>1954.0000000000000000</t>
  </si>
  <si>
    <t>2533/NAFEZA SERVICE</t>
  </si>
  <si>
    <t>000002533/Invoice</t>
  </si>
  <si>
    <t>1955.0000000000000000</t>
  </si>
  <si>
    <t>CCC EG-11</t>
  </si>
  <si>
    <t>BankIn-000001732</t>
  </si>
  <si>
    <t>1956.0000000000000000</t>
  </si>
  <si>
    <t>2534/THC</t>
  </si>
  <si>
    <t>000002534/Invoice</t>
  </si>
  <si>
    <t>1957.0000000000000000</t>
  </si>
  <si>
    <t>ALEXHO EG-303</t>
  </si>
  <si>
    <t>CashIn-000001733</t>
  </si>
  <si>
    <t>1958.0000000000000000</t>
  </si>
  <si>
    <t>2537/INV</t>
  </si>
  <si>
    <t>000002537/Invoice</t>
  </si>
  <si>
    <t>1959.0000000000000000</t>
  </si>
  <si>
    <t>ALEXHO EG-304</t>
  </si>
  <si>
    <t>CashIn-000001734</t>
  </si>
  <si>
    <t>1960.0000000000000000</t>
  </si>
  <si>
    <t>2535/INV</t>
  </si>
  <si>
    <t>000002535/Invoice</t>
  </si>
  <si>
    <t>1961.0000000000000000</t>
  </si>
  <si>
    <t>ALEXHO EG-305</t>
  </si>
  <si>
    <t>CashIn-000001736</t>
  </si>
  <si>
    <t>|1301|013|001|001|101000294|101000294||||3038|5013|Collect|||IMPORT||||</t>
  </si>
  <si>
    <t>O25-IMP-OC-251|‏ME_Q-20241104013-IMP-LCL‎|‏Sl-000001‎|‏Ag-000122‎|‏OOLU8897956780‎|‏‎|‏‎|‏‎|‏‎|‏CMA CGM LISA MARIE-‎|‏CNSHA Shanghai‎|‏EGALY Alexandria, Egypt (old)‎|‏16/01/2025‎|‏19/11/2024‎|‏16/01/2025‎|‏‎|‏‎|‏08/01/2025‎|‏31/01/2025‎</t>
  </si>
  <si>
    <t>1962.0000000000000000</t>
  </si>
  <si>
    <t>101000294</t>
  </si>
  <si>
    <t>204918480</t>
  </si>
  <si>
    <t>2539/THC</t>
  </si>
  <si>
    <t>000002539/Invoice</t>
  </si>
  <si>
    <t>1963.0000000000000000</t>
  </si>
  <si>
    <t>ALEXHO EG-306</t>
  </si>
  <si>
    <t>CashIn-000001737</t>
  </si>
  <si>
    <t>1964.0000000000000000</t>
  </si>
  <si>
    <t>2540/NAFEZA SERVICE</t>
  </si>
  <si>
    <t>000002540/Invoice</t>
  </si>
  <si>
    <t>1965.0000000000000000</t>
  </si>
  <si>
    <t>ALEXHO US-31</t>
  </si>
  <si>
    <t>CashIn-000001738</t>
  </si>
  <si>
    <t>1966.0000000000000000</t>
  </si>
  <si>
    <t>299/مطالبة نولون محصلة لصالح الغير</t>
  </si>
  <si>
    <t>000000299/OF-FW</t>
  </si>
  <si>
    <t>1967.0000000000000000</t>
  </si>
  <si>
    <t>PSD EG-117</t>
  </si>
  <si>
    <t>CashIn-000001739</t>
  </si>
  <si>
    <t>O25-IMP-OC-916|‏ME_Q-20250109349-IMP-LCL‎|‏Sl-000007‎|‏Ag-000010‎|‏EGLV142403964213‎|‏‎|‏‎|‏‎|‏‎|‏CMA CGM RODOLPHE‎|‏CNSHA Shanghai‎|‏666 PORT SAID WEST‎|‏‎|‏22/12/2024‎|‏27/01/2025‎|‏‎|‏‎|‏23/01/2025‎|‏31/01/2025‎</t>
  </si>
  <si>
    <t>1968.0000000000000000</t>
  </si>
  <si>
    <t>2559/THC PSD</t>
  </si>
  <si>
    <t>000002559/Invoice</t>
  </si>
  <si>
    <t>1969.0000000000000000</t>
  </si>
  <si>
    <t>PSD EG-118</t>
  </si>
  <si>
    <t>CashIn-000001740</t>
  </si>
  <si>
    <t>1970.0000000000000000</t>
  </si>
  <si>
    <t>2558/NAFEZA SERVICE PSD</t>
  </si>
  <si>
    <t>000002558/Invoice</t>
  </si>
  <si>
    <t>1971.0000000000000000</t>
  </si>
  <si>
    <t>ALEXHO EG-307</t>
  </si>
  <si>
    <t>CashIn-000001741</t>
  </si>
  <si>
    <t>1972.0000000000000000</t>
  </si>
  <si>
    <t>1988/THC</t>
  </si>
  <si>
    <t>000001988/Invoice</t>
  </si>
  <si>
    <t>1973.0000000000000000</t>
  </si>
  <si>
    <t>ALEXHO EG-308</t>
  </si>
  <si>
    <t>CashIn-000001742</t>
  </si>
  <si>
    <t>1974.0000000000000000</t>
  </si>
  <si>
    <t>1989/NAFEZA SERVICE</t>
  </si>
  <si>
    <t>000001989/Invoice</t>
  </si>
  <si>
    <t>1975.0000000000000000</t>
  </si>
  <si>
    <t>Merghem EG-34</t>
  </si>
  <si>
    <t>CashIn-000001743</t>
  </si>
  <si>
    <t>|1302|013|001|001|101000630|101000630||||3075|3336|Collect|||IMPORT||||</t>
  </si>
  <si>
    <t>1976.0000000000000000</t>
  </si>
  <si>
    <t>2580/STOR   IMPORT ALEX</t>
  </si>
  <si>
    <t>000002580/Invoice</t>
  </si>
  <si>
    <t>1977.0000000000000000</t>
  </si>
  <si>
    <t>QNB_EG_CA1-17</t>
  </si>
  <si>
    <t>NR-000001744</t>
  </si>
  <si>
    <t>O25-IMP-OC-533|‏ME_Q-20250107808-IMP-FCL‎|‏Sl-000010‎|‏Ag-000163‎|‏MLTRLS2424911‎|‏‎|‏‎|‏‎|‏‎|‏‎|‏TRMAD MARDAS‎|‏EGALY Alexandria, Egypt (old)‎|‏‎|‏‎|‏‎|‏‎|‏‎|‏14/01/2025‎|‏31/01/2025‎</t>
  </si>
  <si>
    <t>2553/INV</t>
  </si>
  <si>
    <t>000002553/Invoice</t>
  </si>
  <si>
    <t>01102109</t>
  </si>
  <si>
    <t>1978.0000000000000000</t>
  </si>
  <si>
    <t>1979.0000000000000000</t>
  </si>
  <si>
    <t>ALEXHO EG-309</t>
  </si>
  <si>
    <t>CashIn-000001745</t>
  </si>
  <si>
    <t>O25-IMP-OC-945|‏ME_Q-20250108541-IMP-FCL‎|‏Sl-000002‎|‏‎|‏VIE0230318‎|‏‎|‏‎|‏‎|‏‎|‏‎|‏SIKOP Koper‎|‏EGALY Alexandria, Egypt (old)‎|‏‎|‏‎|‏‎|‏‎|‏‎|‏23/01/2025‎|‏31/01/2025‎</t>
  </si>
  <si>
    <t>1980.0000000000000000</t>
  </si>
  <si>
    <t>2551/INV</t>
  </si>
  <si>
    <t>000002551/Invoice</t>
  </si>
  <si>
    <t>1981.0000000000000000</t>
  </si>
  <si>
    <t>ALEXHO EG-310</t>
  </si>
  <si>
    <t>CashIn-000001746</t>
  </si>
  <si>
    <t>O25-IMP-OC-22|‏ME_Q-20241205564-IMP-LCL‎|‏RP-000001‎|‏RP-000001‎|‏‎|‏‎|‏‎|‏‎|‏‎|‏MAERSK NARMADA‎|‏ESBCN Barcelona‎|‏696 ALEXANDRIA‎|‏01/01/2025‎|‏‎|‏01/01/2025‎|‏‎|‏‎|‏01/01/2025‎|‏‎</t>
  </si>
  <si>
    <t>121/مطالبة نولون محصلة لصالح الغير</t>
  </si>
  <si>
    <t>1982.0000000000000000</t>
  </si>
  <si>
    <t>1983.0000000000000000</t>
  </si>
  <si>
    <t>1984.0000000000000000</t>
  </si>
  <si>
    <t>1985.0000000000000000</t>
  </si>
  <si>
    <t>1986.0000000000000000</t>
  </si>
  <si>
    <t>ALEXHO EG-311</t>
  </si>
  <si>
    <t>CashIn-000001747</t>
  </si>
  <si>
    <t>1987.0000000000000000</t>
  </si>
  <si>
    <t>1130/THC</t>
  </si>
  <si>
    <t>000001130/Invoice</t>
  </si>
  <si>
    <t>1988.0000000000000000</t>
  </si>
  <si>
    <t>ALEXHO EG-312</t>
  </si>
  <si>
    <t>CashIn-000001748</t>
  </si>
  <si>
    <t>1989.0000000000000000</t>
  </si>
  <si>
    <t>1129/NAFEZA SERVICE</t>
  </si>
  <si>
    <t>000001129/Invoice</t>
  </si>
  <si>
    <t>1990.0000000000000000</t>
  </si>
  <si>
    <t>ALEXHO EG-313</t>
  </si>
  <si>
    <t>CashIn-000001751</t>
  </si>
  <si>
    <t>|1301|013|001|001|101001154|101001154||||3031|3077|Collect|||IMPORT||||</t>
  </si>
  <si>
    <t>O25-IMP-OC-626|‏ME_Q-20250107822-IMP-LCL‎|‏Sl-000001‎|‏Ag-000200‎|‏COSU6403916670‎|‏‎|‏‎|‏‎|‏‎|‏CMA CGM LISA MARIE-‎|‏CNSHA Shanghai‎|‏EGALY Alexandria, Egypt (old)‎|‏16/01/2025‎|‏‎|‏16/01/2025‎|‏‎|‏‎|‏16/01/2025‎|‏31/01/2025‎</t>
  </si>
  <si>
    <t>1991.0000000000000000</t>
  </si>
  <si>
    <t>101001154</t>
  </si>
  <si>
    <t>266828507</t>
  </si>
  <si>
    <t>2611/THC</t>
  </si>
  <si>
    <t>000002611/Invoice</t>
  </si>
  <si>
    <t>1992.0000000000000000</t>
  </si>
  <si>
    <t>Merghem EG-35</t>
  </si>
  <si>
    <t>CashIn-000001752</t>
  </si>
  <si>
    <t>|1302|013|001|001|101004438|101004438||||3075|3336|Collect|||IMPORT||||</t>
  </si>
  <si>
    <t>1993.0000000000000000</t>
  </si>
  <si>
    <t>2615/STOR   IMPORT ALEX</t>
  </si>
  <si>
    <t>000002615/Invoice</t>
  </si>
  <si>
    <t>1994.0000000000000000</t>
  </si>
  <si>
    <t>ALEXHO EG-314</t>
  </si>
  <si>
    <t>CashIn-000001753</t>
  </si>
  <si>
    <t>1995.0000000000000000</t>
  </si>
  <si>
    <t>2612/NAFEZA SERVICE</t>
  </si>
  <si>
    <t>000002612/Invoice</t>
  </si>
  <si>
    <t>1996.0000000000000000</t>
  </si>
  <si>
    <t>ALEXHO US-33</t>
  </si>
  <si>
    <t>CashIn-000001755</t>
  </si>
  <si>
    <t>O25-IMP-OC-654|‏ME_Q-20250109208-IMP-LCL‎|‏Sl-000001‎|‏Ag-000200‎|‏COSU6404062110‎|‏‎|‏‎|‏‎|‏‎|‏CMA CGM RODOLPHE‎|‏CNSHA Shanghai‎|‏EGALY Alexandria, Egypt (old)‎|‏19/01/2025‎|‏‎|‏19/01/2025‎|‏‎|‏‎|‏16/01/2025‎|‏31/01/2025‎</t>
  </si>
  <si>
    <t>1997.0000000000000000</t>
  </si>
  <si>
    <t>284/مطالبة نولون محصلة لصالح الغير</t>
  </si>
  <si>
    <t>000000284/OF-FW</t>
  </si>
  <si>
    <t>1998.0000000000000000</t>
  </si>
  <si>
    <t>ALEXHO US-34</t>
  </si>
  <si>
    <t>CashIn-000001756</t>
  </si>
  <si>
    <t>1999.0000000000000000</t>
  </si>
  <si>
    <t>313/مطالبة نولون محصلة لصالح الغير</t>
  </si>
  <si>
    <t>000000313/OF-FW</t>
  </si>
  <si>
    <t>2000.0000000000000000</t>
  </si>
  <si>
    <t>ALEXHO EG-315</t>
  </si>
  <si>
    <t>CashIn-000001758</t>
  </si>
  <si>
    <t>O25-IMP-OC-823|‏ME_Q-20241205641-IMP-LCL‎|‏Sl-000002‎|‏RP-000001‎|‏‎|‏‎|‏‎|‏‎|‏‎|‏CMA CGM ALCAZAR‎|‏DEHAM Hamburg‎|‏696 ALEXANDRIA‎|‏‎|‏25/12/2024‎|‏26/01/2025‎|‏‎|‏‎|‏21/01/2025‎|‏‎</t>
  </si>
  <si>
    <t>2001.0000000000000000</t>
  </si>
  <si>
    <t>2269/THC</t>
  </si>
  <si>
    <t>000002269/Invoice</t>
  </si>
  <si>
    <t>2002.0000000000000000</t>
  </si>
  <si>
    <t>ALEXHO EG-316</t>
  </si>
  <si>
    <t>CashIn-000001759</t>
  </si>
  <si>
    <t>2003.0000000000000000</t>
  </si>
  <si>
    <t>2268/NAFEZA SERVICE</t>
  </si>
  <si>
    <t>000002268/Invoice</t>
  </si>
  <si>
    <t>2004.0000000000000000</t>
  </si>
  <si>
    <t>ALEXHO EG-317</t>
  </si>
  <si>
    <t>CashIn-000001760</t>
  </si>
  <si>
    <t>|1302|013|001|001|101002700|101002700||||3031|3208|Collect|||IMPORT||||</t>
  </si>
  <si>
    <t>2005.0000000000000000</t>
  </si>
  <si>
    <t>2634/STOR   IMPORT ALEX</t>
  </si>
  <si>
    <t>000002634/Invoice</t>
  </si>
  <si>
    <t>2006.0000000000000000</t>
  </si>
  <si>
    <t>ALEXHO EU-7</t>
  </si>
  <si>
    <t>CashIn-000001761</t>
  </si>
  <si>
    <t>|1301|013|001|001|101000127|101000127||||3076|3208|Collect|||IMPORT||||</t>
  </si>
  <si>
    <t>O25-IMP-OC-820|‏ME_Q-20241205409-IMP-LCL‎|‏Sl-000002‎|‏RP-000001‎|‏‎|‏‎|‏‎|‏‎|‏‎|‏CMA CGM ALCAZAR‎|‏DEHAB Hambergen‎|‏696 ALEXANDRIA‎|‏‎|‏25/12/2024‎|‏26/01/2025‎|‏‎|‏‎|‏21/01/2025‎|‏‎</t>
  </si>
  <si>
    <t>2007.0000000000000000</t>
  </si>
  <si>
    <t>314/مطالبة نولون محصلة لصالح الغير</t>
  </si>
  <si>
    <t>000000314/OF-FW</t>
  </si>
  <si>
    <t>2008.0000000000000000</t>
  </si>
  <si>
    <t>ALEXHO EG-318</t>
  </si>
  <si>
    <t>CashIn-000001763</t>
  </si>
  <si>
    <t>|1301|013|001|001|101004638|101004638||||3042|3336|Prepaid|||IMPORT||||</t>
  </si>
  <si>
    <t>2009.0000000000000000</t>
  </si>
  <si>
    <t>101004638</t>
  </si>
  <si>
    <t>559802382</t>
  </si>
  <si>
    <t>2655/THC</t>
  </si>
  <si>
    <t>000002655/Invoice</t>
  </si>
  <si>
    <t>2010.0000000000000000</t>
  </si>
  <si>
    <t>ALEXHO EG-319</t>
  </si>
  <si>
    <t>CashIn-000001764</t>
  </si>
  <si>
    <t>2011.0000000000000000</t>
  </si>
  <si>
    <t>2656/NAFEZA SERVICE</t>
  </si>
  <si>
    <t>000002656/Invoice</t>
  </si>
  <si>
    <t>2012.0000000000000000</t>
  </si>
  <si>
    <t>ALEXHO EG-320</t>
  </si>
  <si>
    <t>CashIn-000001766</t>
  </si>
  <si>
    <t>2013.0000000000000000</t>
  </si>
  <si>
    <t>2663/NAFEZA SERVICE</t>
  </si>
  <si>
    <t>000002663/Invoice</t>
  </si>
  <si>
    <t>2014.0000000000000000</t>
  </si>
  <si>
    <t>ALEXHO US-35</t>
  </si>
  <si>
    <t>CashIn-000001767</t>
  </si>
  <si>
    <t>|1301|013|001|001|101004644|101004644||||3076|3208|Collect|||IMPORT||||</t>
  </si>
  <si>
    <t>2015.0000000000000000</t>
  </si>
  <si>
    <t>101004644</t>
  </si>
  <si>
    <t>731583140</t>
  </si>
  <si>
    <t>316/مطالبة نولون محصلة لصالح الغير</t>
  </si>
  <si>
    <t>000000316/OF-FW</t>
  </si>
  <si>
    <t>2016.0000000000000000</t>
  </si>
  <si>
    <t>Merghem EG-36</t>
  </si>
  <si>
    <t>CashIn-000001768</t>
  </si>
  <si>
    <t>|1302|013|001|001|101000547|101000547||||4051|3336|Collect|||IMPORT||||</t>
  </si>
  <si>
    <t>2017.0000000000000000</t>
  </si>
  <si>
    <t>2665/STOR   IMPORT ALEX</t>
  </si>
  <si>
    <t>000002665/Invoice</t>
  </si>
  <si>
    <t>2018.0000000000000000</t>
  </si>
  <si>
    <t>ALEXHO US-36</t>
  </si>
  <si>
    <t>CashIn-000001769</t>
  </si>
  <si>
    <t>O25-IMP-OC-169|‏ME_Q-20241205022-IMP-LCL‎|‏Sl-000007‎|‏Ag-000010‎|‏EGLV142403974073‎|‏‎|‏‎|‏‎|‏‎|‏CMA CGM RODOLPHE‎|‏CNSHA Shanghai‎|‏EGALY Alexandria, Egypt (old)‎|‏19/01/2025‎|‏‎|‏19/01/2025‎|‏‎|‏‎|‏06/01/2025‎|‏31/01/2025‎</t>
  </si>
  <si>
    <t>308/مطالبة نولون محصلة لصالح الغير</t>
  </si>
  <si>
    <t>2019.0000000000000000</t>
  </si>
  <si>
    <t>2020.0000000000000000</t>
  </si>
  <si>
    <t>|1301|013|001|001|101000502||||||||||IMPORT||||</t>
  </si>
  <si>
    <t>2021.0000000000000000</t>
  </si>
  <si>
    <t>421103|1301|013|001|001|101000502||||||||||IMPORT||||</t>
  </si>
  <si>
    <t>2022.0000000000000000</t>
  </si>
  <si>
    <t>ALEXHO EG-322</t>
  </si>
  <si>
    <t>CashIn-000001773</t>
  </si>
  <si>
    <t>2023.0000000000000000</t>
  </si>
  <si>
    <t>2585/NAFEZA SERVICE</t>
  </si>
  <si>
    <t>000002585/Invoice</t>
  </si>
  <si>
    <t>2024.0000000000000000</t>
  </si>
  <si>
    <t>ALEXHO EG-323</t>
  </si>
  <si>
    <t>CashIn-000001774</t>
  </si>
  <si>
    <t>2025.0000000000000000</t>
  </si>
  <si>
    <t>2586/THC</t>
  </si>
  <si>
    <t>000002586/Invoice</t>
  </si>
  <si>
    <t>2026.0000000000000000</t>
  </si>
  <si>
    <t>ALEXHO EG-324</t>
  </si>
  <si>
    <t>CashIn-000001775</t>
  </si>
  <si>
    <t>|1301|013|001|001|101000283|101000283||||3075|3336|Collect|||IMPORT||||</t>
  </si>
  <si>
    <t>O25-IMP-OC-233|‏ME_Q-20250109081-IMP-LCL‎|‏Sl-000011‎|‏RP-000001‎|‏‎|‏‎|‏‎|‏‎|‏‎|‏ZEPHYR LUMOS‎|‏HKHKG Hong Kong‎|‏696 ALEXANDRIA‎|‏‎|‏‎|‏23/01/2025‎|‏‎|‏‎|‏23/01/2025‎|‏‎</t>
  </si>
  <si>
    <t>2027.0000000000000000</t>
  </si>
  <si>
    <t>2591/THC</t>
  </si>
  <si>
    <t>000002591/Invoice</t>
  </si>
  <si>
    <t>2028.0000000000000000</t>
  </si>
  <si>
    <t>ALEXHO EG-325</t>
  </si>
  <si>
    <t>CashIn-000001776</t>
  </si>
  <si>
    <t>2029.0000000000000000</t>
  </si>
  <si>
    <t>2592/NAFEZA SERVICE</t>
  </si>
  <si>
    <t>000002592/Invoice</t>
  </si>
  <si>
    <t>2030.0000000000000000</t>
  </si>
  <si>
    <t>ALEXHO US-37</t>
  </si>
  <si>
    <t>CashIn-000001794</t>
  </si>
  <si>
    <t>O25-IMP-OC-855|‏ME_Q-20241206210-IMP-FCL‎|‏Sl-000035‎|‏Ag-000146‎|‏NP440389‎|‏‎|‏‎|‏‎|‏‎|‏JOLLY ORO‎|‏ITGOA Genoa‎|‏EGALY Alexandria, Egypt (old)‎|‏‎|‏‎|‏‎|‏‎|‏‎|‏21/01/2025‎|‏31/01/2025‎</t>
  </si>
  <si>
    <t>2621/INV</t>
  </si>
  <si>
    <t>2031.0000000000000000</t>
  </si>
  <si>
    <t>2032.0000000000000000</t>
  </si>
  <si>
    <t>|1201|012|001|001|101004593||||||||||IMPORT||||</t>
  </si>
  <si>
    <t>2033.0000000000000000</t>
  </si>
  <si>
    <t>421103|1201|012|001|001|101004593||||||||||IMPORT||||</t>
  </si>
  <si>
    <t>2034.0000000000000000</t>
  </si>
  <si>
    <t>ALEXHO EG-327</t>
  </si>
  <si>
    <t>CashIn-000001795</t>
  </si>
  <si>
    <t>|1301|013|001|001|101000616|101000616||||3075|3336|Collect|||IMPORT||||</t>
  </si>
  <si>
    <t>O25-IMP-OC-233|‏ME_Q-20250109123-IMP-LCL‎|‏Sl-000011‎|‏RP-000001‎|‏‎|‏‎|‏‎|‏‎|‏‎|‏ZEPHYR LUMOS‎|‏HKHKG Hong Kong‎|‏696 ALEXANDRIA‎|‏‎|‏‎|‏23/01/2025‎|‏‎|‏‎|‏23/01/2025‎|‏‎</t>
  </si>
  <si>
    <t>2035.0000000000000000</t>
  </si>
  <si>
    <t>2671/THC</t>
  </si>
  <si>
    <t>000002671/Invoice</t>
  </si>
  <si>
    <t>2036.0000000000000000</t>
  </si>
  <si>
    <t>ALEXHO EG-328</t>
  </si>
  <si>
    <t>CashIn-000001796</t>
  </si>
  <si>
    <t>2037.0000000000000000</t>
  </si>
  <si>
    <t>2670/NAFEZA SERVICE</t>
  </si>
  <si>
    <t>000002670/Invoice</t>
  </si>
  <si>
    <t>2038.0000000000000000</t>
  </si>
  <si>
    <t>AAIB_US_CA-10</t>
  </si>
  <si>
    <t>BankIn-000001804</t>
  </si>
  <si>
    <t>122202|1301|013|001|001|101000174|101000174||||3038|3336|Collect|||IMPORT||||</t>
  </si>
  <si>
    <t>238/مطالبة نولون محصلة لصالح الغير</t>
  </si>
  <si>
    <t>000000238/OF-FW</t>
  </si>
  <si>
    <t>2039.0000000000000000</t>
  </si>
  <si>
    <t>2040.0000000000000000</t>
  </si>
  <si>
    <t>HSBC_US_CA-7</t>
  </si>
  <si>
    <t>BankIn-000001805</t>
  </si>
  <si>
    <t>2041.0000000000000000</t>
  </si>
  <si>
    <t>2042.0000000000000000</t>
  </si>
  <si>
    <t>Airport EG-127</t>
  </si>
  <si>
    <t>CashIn-000001806</t>
  </si>
  <si>
    <t>2025-01-29</t>
  </si>
  <si>
    <t>O25-IMP-AI-1042|‏‎|‏Al-000019‎|‏‎|‏065-48711611‎|‏‎|‏‎|‏‎|‏‎|‏‎|‏DXB DUBAI‎|‏CAI CAIRO‎|‏‎|‏‎|‏26/01/2025‎|‏‎|‏‎|‏27/01/2025‎|‏31/01/2025‎</t>
  </si>
  <si>
    <t>2043.0000000000000000</t>
  </si>
  <si>
    <t>549/OFFICIAL</t>
  </si>
  <si>
    <t>000000549/OR-FW</t>
  </si>
  <si>
    <t>2044.0000000000000000</t>
  </si>
  <si>
    <t>Airport EG-128</t>
  </si>
  <si>
    <t>CashIn-000001807</t>
  </si>
  <si>
    <t>2045.0000000000000000</t>
  </si>
  <si>
    <t>2422/INV</t>
  </si>
  <si>
    <t>000002422/Invoice</t>
  </si>
  <si>
    <t>2046.0000000000000000</t>
  </si>
  <si>
    <t>Airport EG-129</t>
  </si>
  <si>
    <t>CashIn-000001808</t>
  </si>
  <si>
    <t>O25-IMP-AI-976|‏‎|‏Al-000017‎|‏‎|‏157-LGL25010061‎|‏‎|‏‎|‏‎|‏‎|‏‎|‏BKK BANGKOK‎|‏CAI CAIRO‎|‏‎|‏‎|‏27/01/2025‎|‏‎|‏‎|‏23/01/2025‎|‏31/01/2025‎</t>
  </si>
  <si>
    <t>2047.0000000000000000</t>
  </si>
  <si>
    <t>2622/INV</t>
  </si>
  <si>
    <t>000002622/Invoice</t>
  </si>
  <si>
    <t>2048.0000000000000000</t>
  </si>
  <si>
    <t>Airport EG-130</t>
  </si>
  <si>
    <t>CashIn-000001809</t>
  </si>
  <si>
    <t>2049.0000000000000000</t>
  </si>
  <si>
    <t>583/OFFICIAL</t>
  </si>
  <si>
    <t>000000583/OR-FW</t>
  </si>
  <si>
    <t>2050.0000000000000000</t>
  </si>
  <si>
    <t>HSBC_US_CA-8</t>
  </si>
  <si>
    <t>BankIn-000001836</t>
  </si>
  <si>
    <t>O25-IMP-OC-233|‏ME_Q-20241205898-IMP-LCL‎|‏Sl-000011‎|‏RP-000001‎|‏‎|‏‎|‏‎|‏‎|‏‎|‏ZEPHYR LUMOS‎|‏HKHKG Hong Kong‎|‏696 ALEXANDRIA‎|‏‎|‏‎|‏23/01/2025‎|‏‎|‏‎|‏23/01/2025‎|‏‎</t>
  </si>
  <si>
    <t>2051.0000000000000000</t>
  </si>
  <si>
    <t>271/مطالبة نولون محصلة لصالح الغير</t>
  </si>
  <si>
    <t>000000271/OF-FW</t>
  </si>
  <si>
    <t>2052.0000000000000000</t>
  </si>
  <si>
    <t>HSBC_EG_CA-8</t>
  </si>
  <si>
    <t>BankIn-000001837</t>
  </si>
  <si>
    <t>2053.0000000000000000</t>
  </si>
  <si>
    <t>2271/NAFEZA SERVICE</t>
  </si>
  <si>
    <t>000002271/Invoice</t>
  </si>
  <si>
    <t>2054.0000000000000000</t>
  </si>
  <si>
    <t>2272/THC</t>
  </si>
  <si>
    <t>000002272/Invoice</t>
  </si>
  <si>
    <t>2055.0000000000000000</t>
  </si>
  <si>
    <t>POS_EG-96</t>
  </si>
  <si>
    <t>POS-000001838</t>
  </si>
  <si>
    <t>|1301|013|001|001|101001442|101001442||||3042|3336|Collect|||IMPORT||||</t>
  </si>
  <si>
    <t>O25-IMP-OC-431|‏ME_Q-20250107025-IMP-LCL‎|‏Sl-000016‎|‏RP-000001‎|‏‎|‏‎|‏‎|‏‎|‏‎|‏GULBENIZ A‎|‏NY NEW YORK‎|‏696 ALEXANDRIA‎|‏‎|‏‎|‏22/01/2025‎|‏‎|‏‎|‏12/01/2025‎|‏‎</t>
  </si>
  <si>
    <t>2056.0000000000000000</t>
  </si>
  <si>
    <t>101001442</t>
  </si>
  <si>
    <t>207505195</t>
  </si>
  <si>
    <t>2710/THC</t>
  </si>
  <si>
    <t>000002710/Invoice</t>
  </si>
  <si>
    <t>2057.0000000000000000</t>
  </si>
  <si>
    <t>2711/NAFEZA SERVICE</t>
  </si>
  <si>
    <t>000002711/Invoice</t>
  </si>
  <si>
    <t>2058.0000000000000000</t>
  </si>
  <si>
    <t>Airport EG-131</t>
  </si>
  <si>
    <t>CashIn-000001810</t>
  </si>
  <si>
    <t>O25-IMP-AI-861|‏‎|‏Al-000007‎|‏‎|‏176-76277305‎|‏‎|‏‎|‏‎|‏‎|‏‎|‏LHE LAHORE‎|‏CAI CAIRO‎|‏‎|‏‎|‏24/01/2025‎|‏‎|‏‎|‏22/01/2025‎|‏31/01/2025‎</t>
  </si>
  <si>
    <t>2059.0000000000000000</t>
  </si>
  <si>
    <t>2368/INV</t>
  </si>
  <si>
    <t>000002368/Invoice</t>
  </si>
  <si>
    <t>2060.0000000000000000</t>
  </si>
  <si>
    <t>Airport EG-132</t>
  </si>
  <si>
    <t>CashIn-000001811</t>
  </si>
  <si>
    <t>2061.0000000000000000</t>
  </si>
  <si>
    <t>530/OFFICIAL</t>
  </si>
  <si>
    <t>000000530/OR-FW</t>
  </si>
  <si>
    <t>2062.0000000000000000</t>
  </si>
  <si>
    <t>Airport EG-133</t>
  </si>
  <si>
    <t>CashIn-000001812</t>
  </si>
  <si>
    <t>O25-IMP-AI-862|‏‎|‏Al-000007‎|‏‎|‏176-76277305‎|‏‎|‏‎|‏‎|‏‎|‏‎|‏LHE LAHORE‎|‏CAI CAIRO‎|‏‎|‏‎|‏24/01/2025‎|‏‎|‏‎|‏22/01/2025‎|‏31/01/2025‎</t>
  </si>
  <si>
    <t>2063.0000000000000000</t>
  </si>
  <si>
    <t>2366/INV</t>
  </si>
  <si>
    <t>000002366/Invoice</t>
  </si>
  <si>
    <t>2064.0000000000000000</t>
  </si>
  <si>
    <t>Airport EG-134</t>
  </si>
  <si>
    <t>CashIn-000001813</t>
  </si>
  <si>
    <t>2065.0000000000000000</t>
  </si>
  <si>
    <t>531/OFFICIAL</t>
  </si>
  <si>
    <t>000000531/OR-FW</t>
  </si>
  <si>
    <t>2066.0000000000000000</t>
  </si>
  <si>
    <t>Airport EG-135</t>
  </si>
  <si>
    <t>CashIn-000001814</t>
  </si>
  <si>
    <t>O25-IMP-AI-863|‏‎|‏Al-000007‎|‏‎|‏176-76277305‎|‏‎|‏‎|‏‎|‏‎|‏‎|‏LHE LAHORE‎|‏CAI CAIRO‎|‏‎|‏‎|‏24/01/2025‎|‏‎|‏‎|‏22/01/2025‎|‏31/01/2025‎</t>
  </si>
  <si>
    <t>2067.0000000000000000</t>
  </si>
  <si>
    <t>2350/INV</t>
  </si>
  <si>
    <t>000002350/Invoice</t>
  </si>
  <si>
    <t>2068.0000000000000000</t>
  </si>
  <si>
    <t>Airport EG-136</t>
  </si>
  <si>
    <t>CashIn-000001815</t>
  </si>
  <si>
    <t>2069.0000000000000000</t>
  </si>
  <si>
    <t>529/OFFICIAL</t>
  </si>
  <si>
    <t>000000529/OR-FW</t>
  </si>
  <si>
    <t>2070.0000000000000000</t>
  </si>
  <si>
    <t>ALEXHO EG-333</t>
  </si>
  <si>
    <t>CashIn-000001816</t>
  </si>
  <si>
    <t>3032</t>
  </si>
  <si>
    <t>|1201|012|001|001|301000007|301000007|3032|3032|16410|3115|3115|Payable|||IMPORT||||</t>
  </si>
  <si>
    <t>O25-IMP-OC-591|‏ME_Q-20250108048-IMP-FCL‎|‏RP-000007‎|‏‎|‏‎|‏‎|‏‎|‏‎|‏AK503R‎|‏MAUREN‎|‏AUMEL Melbourne (AUSTRALIA)‎|‏EGALY Alexandria, Egypt (old)‎|‏‎|‏‎|‏‎|‏‎|‏‎|‏15/01/2025‎|‏31/01/2025‎</t>
  </si>
  <si>
    <t>حسام إبراهيم معوض</t>
  </si>
  <si>
    <t>617</t>
  </si>
  <si>
    <t>2071.0000000000000000</t>
  </si>
  <si>
    <t>2072.0000000000000000</t>
  </si>
  <si>
    <t>ALEXHO EG-334</t>
  </si>
  <si>
    <t>CashIn-000001817</t>
  </si>
  <si>
    <t>124101|1501|015|001|001|301000007|301000007|3057|3057|16517|3115|3115|Payable|||IMPORT||||</t>
  </si>
  <si>
    <t>محمد عبد الدايم</t>
  </si>
  <si>
    <t>616</t>
  </si>
  <si>
    <t>2073.0000000000000000</t>
  </si>
  <si>
    <t>124101|1201|012|001|001|301000007|301000007|3057|3057|16410|3115|3115|Payable|||IMPORT||||</t>
  </si>
  <si>
    <t>2074.0000000000000000</t>
  </si>
  <si>
    <t>3057</t>
  </si>
  <si>
    <t>|1201|012|001|001|301000007|301000007|3057|3057|16410|3115|3115|Payable|||IMPORT||||</t>
  </si>
  <si>
    <t>2075.0000000000000000</t>
  </si>
  <si>
    <t>2076.0000000000000000</t>
  </si>
  <si>
    <t>ALEXHO EG-335</t>
  </si>
  <si>
    <t>CashIn-000001818</t>
  </si>
  <si>
    <t>O25-IMP-OC-607|‏ME_Q-20250108064-IMP-FCL‎|‏RP-000007‎|‏‎|‏‎|‏‎|‏‎|‏‎|‏AD501R‎|‏MED CERKEZKOY‎|‏AUMEL Melbourne (AUSTRALIA)‎|‏EGALY Alexandria, Egypt (old)‎|‏‎|‏‎|‏‎|‏‎|‏‎|‏15/01/2025‎|‏31/01/2025‎</t>
  </si>
  <si>
    <t>659</t>
  </si>
  <si>
    <t>2077.0000000000000000</t>
  </si>
  <si>
    <t>2078.0000000000000000</t>
  </si>
  <si>
    <t>2079.0000000000000000</t>
  </si>
  <si>
    <t>2080.0000000000000000</t>
  </si>
  <si>
    <t>ALEXHO EG-337</t>
  </si>
  <si>
    <t>CashIn-000001819</t>
  </si>
  <si>
    <t>O25-IMP-OC-426|‏ME_Q-20250107428-IMP-FCL‎|‏RP-000007‎|‏‎|‏‎|‏‎|‏‎|‏‎|‏AA452A‎|‏MSC MADISON II‎|‏AUMEL Melbourne (AUSTRALIA)‎|‏EGALY Alexandria, Egypt (old)‎|‏‎|‏‎|‏‎|‏‎|‏‎|‏12/01/2025‎|‏31/01/2025‎</t>
  </si>
  <si>
    <t>428</t>
  </si>
  <si>
    <t>2081.0000000000000000</t>
  </si>
  <si>
    <t>2082.0000000000000000</t>
  </si>
  <si>
    <t>2083.0000000000000000</t>
  </si>
  <si>
    <t>2084.0000000000000000</t>
  </si>
  <si>
    <t>ALEXHO EG-338</t>
  </si>
  <si>
    <t>CashIn-000001820</t>
  </si>
  <si>
    <t>430</t>
  </si>
  <si>
    <t>2085.0000000000000000</t>
  </si>
  <si>
    <t>2086.0000000000000000</t>
  </si>
  <si>
    <t>Airport EG-137</t>
  </si>
  <si>
    <t>CashIn-000001821</t>
  </si>
  <si>
    <t>O25-IMP-AI-973|‏‎|‏Al-000007‎|‏‎|‏176-03945060‎|‏‎|‏‎|‏‎|‏‎|‏‎|‏AMD AHMEDABAD‎|‏CAI CAIRO‎|‏‎|‏‎|‏27/01/2025‎|‏‎|‏‎|‏23/01/2025‎|‏31/01/2025‎</t>
  </si>
  <si>
    <t>2087.0000000000000000</t>
  </si>
  <si>
    <t>2630/INV</t>
  </si>
  <si>
    <t>000002630/Invoice</t>
  </si>
  <si>
    <t>2088.0000000000000000</t>
  </si>
  <si>
    <t>Airport EG-138</t>
  </si>
  <si>
    <t>CashIn-000001822</t>
  </si>
  <si>
    <t>2089.0000000000000000</t>
  </si>
  <si>
    <t>584/OFFICIAL</t>
  </si>
  <si>
    <t>000000584/OR-FW</t>
  </si>
  <si>
    <t>2090.0000000000000000</t>
  </si>
  <si>
    <t>Airport EG-139</t>
  </si>
  <si>
    <t>CashIn-000001823</t>
  </si>
  <si>
    <t>|1101|011|001|004|101000454|101000454||||3076|4012|Prepaid|||IMPORT||||</t>
  </si>
  <si>
    <t>O25-IMP-AI-859|‏‎|‏Al-000020‎|‏‎|‏876-13977213‎|‏‎|‏‎|‏‎|‏‎|‏‎|‏TFU CHENGDU TIANFU‎|‏CAI CAIRO‎|‏‎|‏‎|‏21/01/2025‎|‏‎|‏‎|‏22/01/2025‎|‏31/01/2025‎</t>
  </si>
  <si>
    <t>2091.0000000000000000</t>
  </si>
  <si>
    <t>2317/INV</t>
  </si>
  <si>
    <t>000002317/Invoice</t>
  </si>
  <si>
    <t>2092.0000000000000000</t>
  </si>
  <si>
    <t>Airport EG-140</t>
  </si>
  <si>
    <t>CashIn-000001824</t>
  </si>
  <si>
    <t>2093.0000000000000000</t>
  </si>
  <si>
    <t>523/OFFICIAL</t>
  </si>
  <si>
    <t>000000523/OR-FW</t>
  </si>
  <si>
    <t>2094.0000000000000000</t>
  </si>
  <si>
    <t>POS_EG-102</t>
  </si>
  <si>
    <t>POS-000001839</t>
  </si>
  <si>
    <t>|1301|013|001|001|101000454|101000454||||3075|3336|Collect|||IMPORT||||</t>
  </si>
  <si>
    <t>O25-IMP-OC-233|‏ME_Q-20250109511-IMP-LCL‎|‏Sl-000011‎|‏RP-000001‎|‏‎|‏‎|‏‎|‏‎|‏‎|‏ZEPHYR LUMOS‎|‏HKHKG Hong Kong‎|‏696 ALEXANDRIA‎|‏‎|‏‎|‏23/01/2025‎|‏‎|‏‎|‏23/01/2025‎|‏‎</t>
  </si>
  <si>
    <t>2095.0000000000000000</t>
  </si>
  <si>
    <t>2819/THC</t>
  </si>
  <si>
    <t>000002819/Invoice</t>
  </si>
  <si>
    <t>2096.0000000000000000</t>
  </si>
  <si>
    <t>2820/NAFEZA SERVICE</t>
  </si>
  <si>
    <t>000002820/Invoice</t>
  </si>
  <si>
    <t>2097.0000000000000000</t>
  </si>
  <si>
    <t>POS_EG-103</t>
  </si>
  <si>
    <t>POS-000001840</t>
  </si>
  <si>
    <t>O25-IMP-OC-169|‏ME_Q-20241205310-IMP-LCL‎|‏Sl-000007‎|‏Ag-000010‎|‏EGLV142403974073‎|‏‎|‏‎|‏‎|‏‎|‏CMA CGM RODOLPHE‎|‏CNSHA Shanghai‎|‏EGALY Alexandria, Egypt (old)‎|‏19/01/2025‎|‏‎|‏19/01/2025‎|‏‎|‏‎|‏06/01/2025‎|‏31/01/2025‎</t>
  </si>
  <si>
    <t>2098.0000000000000000</t>
  </si>
  <si>
    <t>2796/THC</t>
  </si>
  <si>
    <t>000002796/Invoice</t>
  </si>
  <si>
    <t>2099.0000000000000000</t>
  </si>
  <si>
    <t>2797/NAFEZA SERVICE</t>
  </si>
  <si>
    <t>000002797/Invoice</t>
  </si>
  <si>
    <t>2100.0000000000000000</t>
  </si>
  <si>
    <t>QNB_EG_CA1-20</t>
  </si>
  <si>
    <t>NR-000001841</t>
  </si>
  <si>
    <t>101000231</t>
  </si>
  <si>
    <t>|1301|013|001|001|101000231|101000231||||3042|3336|Prepaid|||IMPORT||||</t>
  </si>
  <si>
    <t>315666064</t>
  </si>
  <si>
    <t>2198/NAFEZA SERVICE</t>
  </si>
  <si>
    <t>000002198/Invoice</t>
  </si>
  <si>
    <t>65219540</t>
  </si>
  <si>
    <t>2101.0000000000000000</t>
  </si>
  <si>
    <t>122201|1301|013|001|001|101000231|101000231||||3042|3336|Prepaid|||IMPORT||||</t>
  </si>
  <si>
    <t>2199/THC</t>
  </si>
  <si>
    <t>000002199/Invoice</t>
  </si>
  <si>
    <t>2102.0000000000000000</t>
  </si>
  <si>
    <t>2103.0000000000000000</t>
  </si>
  <si>
    <t>QNB_EU_CA1-8</t>
  </si>
  <si>
    <t>BankIn-000001842</t>
  </si>
  <si>
    <t>|1101|011|001|004|101001820|101001820||||3075|4018|Collect|||IMPORT||||</t>
  </si>
  <si>
    <t>O25-IMP-AI-330|‏ME_Q-20250107417-IMP-AI‎|‏Al-000006‎|‏Ag-000144‎|‏077-56720845‎|‏‎|‏‎|‏‎|‏‎|‏‎|‏FRA FRANKFURT‎|‏CAI CAIRO‎|‏‎|‏‎|‏10/01/2025‎|‏‎|‏‎|‏09/01/2025‎|‏31/01/2025‎</t>
  </si>
  <si>
    <t>2104.0000000000000000</t>
  </si>
  <si>
    <t>101001820</t>
  </si>
  <si>
    <t>100335950</t>
  </si>
  <si>
    <t>2837/INV</t>
  </si>
  <si>
    <t>000002837/Invoice</t>
  </si>
  <si>
    <t>2105.0000000000000000</t>
  </si>
  <si>
    <t>Airport EG-141</t>
  </si>
  <si>
    <t>CashIn-000001825</t>
  </si>
  <si>
    <t>2106.0000000000000000</t>
  </si>
  <si>
    <t>2836/INV</t>
  </si>
  <si>
    <t>000002836/Invoice</t>
  </si>
  <si>
    <t>2107.0000000000000000</t>
  </si>
  <si>
    <t>Airport EG-142</t>
  </si>
  <si>
    <t>CashIn-000001826</t>
  </si>
  <si>
    <t>2108.0000000000000000</t>
  </si>
  <si>
    <t>608/OFFICIAL</t>
  </si>
  <si>
    <t>000000608/OR-FW</t>
  </si>
  <si>
    <t>2109.0000000000000000</t>
  </si>
  <si>
    <t>AUB_US_CA-3</t>
  </si>
  <si>
    <t>BankIn-000001843</t>
  </si>
  <si>
    <t>|1301|013|001|001|101000511|101000511||||3042|3336|Collect|||IMPORT||||</t>
  </si>
  <si>
    <t>2110.0000000000000000</t>
  </si>
  <si>
    <t>325/مطالبة نولون محصلة لصالح الغير</t>
  </si>
  <si>
    <t>000000325/OF-FW</t>
  </si>
  <si>
    <t>2111.0000000000000000</t>
  </si>
  <si>
    <t>QNB_EG_CA1-21</t>
  </si>
  <si>
    <t>BankIn-000001844</t>
  </si>
  <si>
    <t>|1301|013|001|001|101004590|101004590||||3042|3336|Prepaid|||IMPORT||||</t>
  </si>
  <si>
    <t>2112.0000000000000000</t>
  </si>
  <si>
    <t>101004590</t>
  </si>
  <si>
    <t>486655377</t>
  </si>
  <si>
    <t>2693/NAFEZA SERVICE</t>
  </si>
  <si>
    <t>000002693/Invoice</t>
  </si>
  <si>
    <t>2113.0000000000000000</t>
  </si>
  <si>
    <t>2694/THC</t>
  </si>
  <si>
    <t>000002694/Invoice</t>
  </si>
  <si>
    <t>2114.0000000000000000</t>
  </si>
  <si>
    <t>POS_EG-104</t>
  </si>
  <si>
    <t>POS-000001845</t>
  </si>
  <si>
    <t>O25-IMP-OC-20|‏ME_Q-20241205254-IMP-LCL‎|‏RP-000001‎|‏RP-000001‎|‏‎|‏‎|‏‎|‏‎|‏‎|‏MAERSK NARMADA‎|‏ESBCN Barcelona‎|‏696 ALEXANDRIA‎|‏01/01/2025‎|‏‎|‏01/01/2025‎|‏‎|‏‎|‏01/01/2025‎|‏‎</t>
  </si>
  <si>
    <t>2115.0000000000000000</t>
  </si>
  <si>
    <t>2841/THC</t>
  </si>
  <si>
    <t>000002841/Invoice</t>
  </si>
  <si>
    <t>2116.0000000000000000</t>
  </si>
  <si>
    <t>2842/NAFEZA SERVICE</t>
  </si>
  <si>
    <t>000002842/Invoice</t>
  </si>
  <si>
    <t>2117.0000000000000000</t>
  </si>
  <si>
    <t>POS_EG-107</t>
  </si>
  <si>
    <t>POS-000001846</t>
  </si>
  <si>
    <t>|1301|013|001|001|101000256|101000256||||3031|3208|Collect|||IMPORT||||</t>
  </si>
  <si>
    <t>O25-IMP-OC-721|‏ME_Q-20241104111-IMP-LCL‎|‏Sl-000011‎|‏RP-000001‎|‏‎|‏‎|‏‎|‏‎|‏‎|‏EGY FUTURE‎|‏SGSIN Singapore‎|‏696 ALEXANDRIA‎|‏‎|‏13/12/2024‎|‏22/01/2025‎|‏‎|‏‎|‏19/01/2025‎|‏31/01/2025‎</t>
  </si>
  <si>
    <t>2118.0000000000000000</t>
  </si>
  <si>
    <t>2850/THC</t>
  </si>
  <si>
    <t>000002850/Invoice</t>
  </si>
  <si>
    <t>2119.0000000000000000</t>
  </si>
  <si>
    <t>2851/NAFEZA SERVICE</t>
  </si>
  <si>
    <t>000002851/Invoice</t>
  </si>
  <si>
    <t>2120.0000000000000000</t>
  </si>
  <si>
    <t>POS_EG-97</t>
  </si>
  <si>
    <t>POS-000001847</t>
  </si>
  <si>
    <t>|1301|013|001|001|101000288|101000288||||3038|3336|Collect|||IMPORT||||</t>
  </si>
  <si>
    <t>O25-IMP-OC-690|‏ME_Q-20250106863-IMP-LCL‎|‏Sl-000016‎|‏Ag-000163‎|‏10168492‎|‏‎|‏‎|‏‎|‏‎|‏GULBENIZ A‎|‏TRKMX KUMPORT‎|‏EGALY Alexandria, Egypt (old)‎|‏04/03/2025‎|‏‎|‏21/01/2025‎|‏‎|‏‎|‏19/01/2025‎|‏31/01/2025‎</t>
  </si>
  <si>
    <t>2121.0000000000000000</t>
  </si>
  <si>
    <t>2571/THC</t>
  </si>
  <si>
    <t>000002571/Invoice</t>
  </si>
  <si>
    <t>2122.0000000000000000</t>
  </si>
  <si>
    <t>2572/NAFEZA SERVICE</t>
  </si>
  <si>
    <t>000002572/Invoice</t>
  </si>
  <si>
    <t>2123.0000000000000000</t>
  </si>
  <si>
    <t>POS_EG-98</t>
  </si>
  <si>
    <t>POS-000001848</t>
  </si>
  <si>
    <t>|1301|013|001|001|101000151|101000151||||3038|3336|Collect|||IMPORT||||</t>
  </si>
  <si>
    <t>O25-IMP-OC-690|‏ME_Q-20250108459-IMP-LCL‎|‏Sl-000016‎|‏Ag-000163‎|‏10168492‎|‏‎|‏‎|‏‎|‏‎|‏GULBENIZ A‎|‏TRKMX KUMPORT‎|‏EGALY Alexandria, Egypt (old)‎|‏04/03/2025‎|‏‎|‏21/01/2025‎|‏‎|‏‎|‏19/01/2025‎|‏31/01/2025‎</t>
  </si>
  <si>
    <t>2124.0000000000000000</t>
  </si>
  <si>
    <t>101000151</t>
  </si>
  <si>
    <t>327952229</t>
  </si>
  <si>
    <t>2593/THC</t>
  </si>
  <si>
    <t>000002593/Invoice</t>
  </si>
  <si>
    <t>2125.0000000000000000</t>
  </si>
  <si>
    <t>2594/NAFEZA SERVICE</t>
  </si>
  <si>
    <t>000002594/Invoice</t>
  </si>
  <si>
    <t>2126.0000000000000000</t>
  </si>
  <si>
    <t>POS_EG-95</t>
  </si>
  <si>
    <t>POS-000001849</t>
  </si>
  <si>
    <t>|1302|013|001|001|101004605|101004605||||3076|3336|Collect|||IMPORT||||</t>
  </si>
  <si>
    <t>2127.0000000000000000</t>
  </si>
  <si>
    <t>2709/STOR   IMPORT ALEX</t>
  </si>
  <si>
    <t>000002709/Invoice</t>
  </si>
  <si>
    <t>2128.0000000000000000</t>
  </si>
  <si>
    <t>POS_EG-99</t>
  </si>
  <si>
    <t>POS-000001850</t>
  </si>
  <si>
    <t>|1301|013|001|001|101001358|101001358||||3076|5013|Collect|||IMPORT||||</t>
  </si>
  <si>
    <t>O25-IMP-OC-251|‏ME_Q-20241104233-IMP-LCL‎|‏Sl-000001‎|‏Ag-000122‎|‏OOLU8897956780‎|‏‎|‏‎|‏‎|‏‎|‏CMA CGM LISA MARIE-‎|‏CNSHA Shanghai‎|‏EGALY Alexandria, Egypt (old)‎|‏16/01/2025‎|‏19/11/2024‎|‏16/01/2025‎|‏‎|‏‎|‏08/01/2025‎|‏31/01/2025‎</t>
  </si>
  <si>
    <t>2129.0000000000000000</t>
  </si>
  <si>
    <t>101001358</t>
  </si>
  <si>
    <t>339900067</t>
  </si>
  <si>
    <t>2782/THC</t>
  </si>
  <si>
    <t>000002782/Invoice</t>
  </si>
  <si>
    <t>2130.0000000000000000</t>
  </si>
  <si>
    <t>2783/NAFEZA SERVICE</t>
  </si>
  <si>
    <t>000002783/Invoice</t>
  </si>
  <si>
    <t>2131.0000000000000000</t>
  </si>
  <si>
    <t>POS_EG-100</t>
  </si>
  <si>
    <t>POS-000001851</t>
  </si>
  <si>
    <t>|1302|013|001|001|101000584|101000584||||3038|3336|Collect|||IMPORT||||</t>
  </si>
  <si>
    <t>2132.0000000000000000</t>
  </si>
  <si>
    <t>2791/STOR   IMPORT ALEX</t>
  </si>
  <si>
    <t>000002791/Invoice</t>
  </si>
  <si>
    <t>2133.0000000000000000</t>
  </si>
  <si>
    <t>QNB_EG_CA1-19</t>
  </si>
  <si>
    <t>BankIn-000001852</t>
  </si>
  <si>
    <t>O25-IMP-OC-385|‏ME_Q-20241002414-IMP-LCL‎|‏Sl-000011‎|‏RP-000001‎|‏‎|‏‎|‏‎|‏‎|‏‎|‏EGY FUTURE‎|‏HKHKG Hong Kong‎|‏696 ALEXANDRIA‎|‏13/01/2025‎|‏‎|‏13/01/2025‎|‏‎|‏‎|‏11/01/2025‎|‏‎</t>
  </si>
  <si>
    <t>2134.0000000000000000</t>
  </si>
  <si>
    <t>2527/THC</t>
  </si>
  <si>
    <t>000002527/Invoice</t>
  </si>
  <si>
    <t>2135.0000000000000000</t>
  </si>
  <si>
    <t>2528/NAFEZA SERVICE</t>
  </si>
  <si>
    <t>000002528/Invoice</t>
  </si>
  <si>
    <t>2136.0000000000000000</t>
  </si>
  <si>
    <t>AUB_US_CA-2</t>
  </si>
  <si>
    <t>BankIn-000001853</t>
  </si>
  <si>
    <t>|1301|013|001|001|101000511|101000511||||3076|5013|Collect|||IMPORT||||</t>
  </si>
  <si>
    <t>2137.0000000000000000</t>
  </si>
  <si>
    <t>330/مطالبة نولون محصلة لصالح الغير</t>
  </si>
  <si>
    <t>000000330/OF-FW</t>
  </si>
  <si>
    <t>2138.0000000000000000</t>
  </si>
  <si>
    <t>2139.0000000000000000</t>
  </si>
  <si>
    <t>EBNK_EG_CA-4</t>
  </si>
  <si>
    <t>NR-000001854</t>
  </si>
  <si>
    <t>O25-IMP-OC-407|‏ME_Q-20241205367-IMP-LCL‎|‏Sl-000002‎|‏RP-000001‎|‏‎|‏‎|‏‎|‏‎|‏‎|‏CMA CGM RODOLPHE‎|‏CNNGB Ningbo‎|‏696 ALEXANDRIA‎|‏‎|‏28/12/2024‎|‏19/01/2025‎|‏‎|‏‎|‏12/01/2025‎|‏‎</t>
  </si>
  <si>
    <t>2000/NAFEZA SERVICE</t>
  </si>
  <si>
    <t>000002000/Invoice</t>
  </si>
  <si>
    <t>25100039992</t>
  </si>
  <si>
    <t>2140.0000000000000000</t>
  </si>
  <si>
    <t>2001/THC</t>
  </si>
  <si>
    <t>000002001/Invoice</t>
  </si>
  <si>
    <t>2141.0000000000000000</t>
  </si>
  <si>
    <t>2142.0000000000000000</t>
  </si>
  <si>
    <t>POS_EG-105</t>
  </si>
  <si>
    <t>POS-000001855</t>
  </si>
  <si>
    <t>O25-IMP-OC-241|‏ME_Q-20250107520-IMP-LCL‎|‏Sl-000016‎|‏Ag-000163‎|‏10166256‎|‏‎|‏‎|‏‎|‏‎|‏TURKON EGYPT‎|‏TRKMX KUMPORT‎|‏EGALY Alexandria, Egypt (old)‎|‏14/01/2025‎|‏‎|‏14/01/2025‎|‏‎|‏‎|‏08/01/2025‎|‏31/01/2025‎</t>
  </si>
  <si>
    <t>2143.0000000000000000</t>
  </si>
  <si>
    <t>2674/THC</t>
  </si>
  <si>
    <t>000002674/Invoice</t>
  </si>
  <si>
    <t>2144.0000000000000000</t>
  </si>
  <si>
    <t>2675/NAFEZA SERVICE</t>
  </si>
  <si>
    <t>000002675/Invoice</t>
  </si>
  <si>
    <t>2145.0000000000000000</t>
  </si>
  <si>
    <t>POS_EG-106</t>
  </si>
  <si>
    <t>POS-000001856</t>
  </si>
  <si>
    <t>O25-IMP-OC-358|‏ME_Q-20241104710-IMP-LCL‎|‏Sl-000001‎|‏Ag-000122‎|‏COSU6404501120‎|‏‎|‏‎|‏‎|‏‎|‏CMA CGM RODOLPHE‎|‏CNSHA Shanghai‎|‏EGALY Alexandria, Egypt (old)‎|‏19/01/2025‎|‏‎|‏19/01/2025‎|‏‎|‏‎|‏11/01/2025‎|‏31/01/2025‎</t>
  </si>
  <si>
    <t>2146.0000000000000000</t>
  </si>
  <si>
    <t>2843/THC</t>
  </si>
  <si>
    <t>000002843/Invoice</t>
  </si>
  <si>
    <t>2147.0000000000000000</t>
  </si>
  <si>
    <t>2844/NAFEZA SERVICE</t>
  </si>
  <si>
    <t>000002844/Invoice</t>
  </si>
  <si>
    <t>2148.0000000000000000</t>
  </si>
  <si>
    <t>PSD EG-119</t>
  </si>
  <si>
    <t>CashIn-000001858</t>
  </si>
  <si>
    <t>O25-IMP-OC-879|‏‎|‏Sl-000001‎|‏Ag-000087‎|‏COSU6402521761‎|‏‎|‏‎|‏‎|‏‎|‏‎|‏TWKHH Kaohsiung‎|‏EGPSD Port Said West‎|‏‎|‏06/12/2024‎|‏26/01/2025‎|‏‎|‏‎|‏22/01/2025‎|‏31/01/2025‎</t>
  </si>
  <si>
    <t>2149.0000000000000000</t>
  </si>
  <si>
    <t>2457/THC PSD</t>
  </si>
  <si>
    <t>000002457/Invoice</t>
  </si>
  <si>
    <t>2150.0000000000000000</t>
  </si>
  <si>
    <t>PSD EG-120</t>
  </si>
  <si>
    <t>CashIn-000001860</t>
  </si>
  <si>
    <t>2151.0000000000000000</t>
  </si>
  <si>
    <t>2456/NAFEZA SERVICE PSD</t>
  </si>
  <si>
    <t>000002456/Invoice</t>
  </si>
  <si>
    <t>2152.0000000000000000</t>
  </si>
  <si>
    <t>ALEXHO US-38</t>
  </si>
  <si>
    <t>CashIn-000001862</t>
  </si>
  <si>
    <t>|1301|013|001|001|101001172|101001172||||3038|3208|Collect|||IMPORT||||</t>
  </si>
  <si>
    <t>O25-IMP-OC-518|‏ME_Q-20250109352-IMP-LCL‎|‏Sl-000002‎|‏RP-000001‎|‏‎|‏‎|‏‎|‏‎|‏‎|‏CMA CGM LAMARTINE‎|‏DEHAB Hambergen‎|‏696 ALEXANDRIA‎|‏‎|‏24/12/2024‎|‏28/01/2025‎|‏‎|‏‎|‏14/01/2025‎|‏‎</t>
  </si>
  <si>
    <t>2153.0000000000000000</t>
  </si>
  <si>
    <t>101001172</t>
  </si>
  <si>
    <t>205053068</t>
  </si>
  <si>
    <t>328/مطالبة نولون محصلة لصالح الغير</t>
  </si>
  <si>
    <t>000000328/OF-FW</t>
  </si>
  <si>
    <t>2154.0000000000000000</t>
  </si>
  <si>
    <t>ALEXHO EG-329</t>
  </si>
  <si>
    <t>CashIn-000001863</t>
  </si>
  <si>
    <t>2155.0000000000000000</t>
  </si>
  <si>
    <t>2713/THC</t>
  </si>
  <si>
    <t>000002713/Invoice</t>
  </si>
  <si>
    <t>2156.0000000000000000</t>
  </si>
  <si>
    <t>ALEXHO EG-330</t>
  </si>
  <si>
    <t>CashIn-000001864</t>
  </si>
  <si>
    <t>2157.0000000000000000</t>
  </si>
  <si>
    <t>2712/NAFEZA SERVICE</t>
  </si>
  <si>
    <t>000002712/Invoice</t>
  </si>
  <si>
    <t>2158.0000000000000000</t>
  </si>
  <si>
    <t>AGR_US_CA-1</t>
  </si>
  <si>
    <t>BankIn-000001867</t>
  </si>
  <si>
    <t>122202|1301|013|001|001|||RP-000001|RP-000001|||||||IMPORT||||</t>
  </si>
  <si>
    <t>O25-IMP-OC-188|‏ME_Q-20241204934-IMP-LCL‎|‏Sl-000036‎|‏RP-000001‎|‏‎|‏‎|‏‎|‏‎|‏‎|‏COSCO ANTWERP‎|‏DEHAM Hamburg‎|‏EGEDK Dekheila, Alexandria‎|‏14/01/2025‎|‏‎|‏15/01/2025‎|‏‎|‏‎|‏06/01/2025‎|‏‎</t>
  </si>
  <si>
    <t>72/مطالبة نولون محصلة لصالح الغير</t>
  </si>
  <si>
    <t>2159.0000000000000000</t>
  </si>
  <si>
    <t>2160.0000000000000000</t>
  </si>
  <si>
    <t>2161.0000000000000000</t>
  </si>
  <si>
    <t>AGR_US_CA-2</t>
  </si>
  <si>
    <t>BankIn-000001868</t>
  </si>
  <si>
    <t>217/مطالبة نولون محصلة لصالح الغير</t>
  </si>
  <si>
    <t>2162.0000000000000000</t>
  </si>
  <si>
    <t>2163.0000000000000000</t>
  </si>
  <si>
    <t>2164.0000000000000000</t>
  </si>
  <si>
    <t>ALEXHO EU-8</t>
  </si>
  <si>
    <t>CashIn-000001871</t>
  </si>
  <si>
    <t>|1301|013|001|001|101000492|101000492||||3038|3208|Collect|||IMPORT||||</t>
  </si>
  <si>
    <t>2165.0000000000000000</t>
  </si>
  <si>
    <t>182/مطالبة نولون محصلة لصالح الغير</t>
  </si>
  <si>
    <t>000000182/OF-FW</t>
  </si>
  <si>
    <t>2166.0000000000000000</t>
  </si>
  <si>
    <t>ALEXHO EG-331</t>
  </si>
  <si>
    <t>CashIn-000001872</t>
  </si>
  <si>
    <t>2167.0000000000000000</t>
  </si>
  <si>
    <t>1652/THC</t>
  </si>
  <si>
    <t>000001652/Invoice</t>
  </si>
  <si>
    <t>2168.0000000000000000</t>
  </si>
  <si>
    <t>ALEXHO EG-332</t>
  </si>
  <si>
    <t>CashIn-000001873</t>
  </si>
  <si>
    <t>2169.0000000000000000</t>
  </si>
  <si>
    <t>1653/NAFEZA SERVICE</t>
  </si>
  <si>
    <t>000001653/Invoice</t>
  </si>
  <si>
    <t>2170.0000000000000000</t>
  </si>
  <si>
    <t>Merghem EG-37</t>
  </si>
  <si>
    <t>CashIn-000001880</t>
  </si>
  <si>
    <t>|1302|013|001|001|101000611|101000611||||3075|3336|Collect|||IMPORT||||</t>
  </si>
  <si>
    <t>2171.0000000000000000</t>
  </si>
  <si>
    <t>2733/STOR   IMPORT ALEX</t>
  </si>
  <si>
    <t>000002733/Invoice</t>
  </si>
  <si>
    <t>2172.0000000000000000</t>
  </si>
  <si>
    <t>ALEXHO EG-339</t>
  </si>
  <si>
    <t>CashIn-000001887</t>
  </si>
  <si>
    <t>|1301|013|001|001|101001597|101001597||||3075|3208|Collect|||IMPORT||||</t>
  </si>
  <si>
    <t>O25-IMP-OC-407|‏ME_Q-20250108438-IMP-LCL‎|‏Sl-000002‎|‏RP-000001‎|‏‎|‏‎|‏‎|‏‎|‏‎|‏CMA CGM RODOLPHE‎|‏CNNGB Ningbo‎|‏696 ALEXANDRIA‎|‏‎|‏28/12/2024‎|‏19/01/2025‎|‏‎|‏‎|‏12/01/2025‎|‏‎</t>
  </si>
  <si>
    <t>2173.0000000000000000</t>
  </si>
  <si>
    <t>101001597</t>
  </si>
  <si>
    <t>523399189</t>
  </si>
  <si>
    <t>2742/THC</t>
  </si>
  <si>
    <t>000002742/Invoice</t>
  </si>
  <si>
    <t>2174.0000000000000000</t>
  </si>
  <si>
    <t>ALEXHO EG-340</t>
  </si>
  <si>
    <t>CashIn-000001888</t>
  </si>
  <si>
    <t>2175.0000000000000000</t>
  </si>
  <si>
    <t>2739/NAFEZA SERVICE</t>
  </si>
  <si>
    <t>000002739/Invoice</t>
  </si>
  <si>
    <t>2176.0000000000000000</t>
  </si>
  <si>
    <t>PSD EG-121</t>
  </si>
  <si>
    <t>CashIn-000001889</t>
  </si>
  <si>
    <t>|1301|013|001|005|101000131|101000131||||MESCO LCL PSD SALES|5013|Prepaid|||IMPORT||||</t>
  </si>
  <si>
    <t>O25-IMP-OC-916|‏‎|‏Sl-000007‎|‏Ag-000010‎|‏EGLV142403964213‎|‏‎|‏‎|‏‎|‏‎|‏CMA CGM RODOLPHE‎|‏CNSHA Shanghai‎|‏666 PORT SAID WEST‎|‏‎|‏22/12/2024‎|‏27/01/2025‎|‏‎|‏‎|‏23/01/2025‎|‏31/01/2025‎</t>
  </si>
  <si>
    <t>2177.0000000000000000</t>
  </si>
  <si>
    <t>2779/THC PSD</t>
  </si>
  <si>
    <t>000002779/Invoice</t>
  </si>
  <si>
    <t>2178.0000000000000000</t>
  </si>
  <si>
    <t>PSD EG-122</t>
  </si>
  <si>
    <t>CashIn-000001890</t>
  </si>
  <si>
    <t>2179.0000000000000000</t>
  </si>
  <si>
    <t>2780/NAFEZA SERVICE PSD</t>
  </si>
  <si>
    <t>000002780/Invoice</t>
  </si>
  <si>
    <t>2180.0000000000000000</t>
  </si>
  <si>
    <t>PSD EG-123</t>
  </si>
  <si>
    <t>CashIn-000001891</t>
  </si>
  <si>
    <t>|1301|013|001|005|101000446|101000446||||3038|5013|Collect|||IMPORT||||</t>
  </si>
  <si>
    <t>2181.0000000000000000</t>
  </si>
  <si>
    <t>2605/THC PSD</t>
  </si>
  <si>
    <t>000002605/Invoice</t>
  </si>
  <si>
    <t>2182.0000000000000000</t>
  </si>
  <si>
    <t>ALEXHO EG-341</t>
  </si>
  <si>
    <t>CashIn-000001900</t>
  </si>
  <si>
    <t>|1301|013|001|001|101000352|101000352||||KEYACCOUNT|3208|Collect|||IMPORT||||</t>
  </si>
  <si>
    <t>O25-IMP-OC-395|‏ME_Q-20241205264-IMP-LCL‎|‏Sl-000004‎|‏RP-000001‎|‏‎|‏‎|‏‎|‏‎|‏‎|‏TEOMAN A‎|‏ITGOA Genoa‎|‏696 ALEXANDRIA‎|‏11/01/2025‎|‏07/01/2025‎|‏11/01/2025‎|‏‎|‏‎|‏12/01/2025‎|‏31/01/2025‎</t>
  </si>
  <si>
    <t>2183.0000000000000000</t>
  </si>
  <si>
    <t>101000352</t>
  </si>
  <si>
    <t>281323062</t>
  </si>
  <si>
    <t>626/THC</t>
  </si>
  <si>
    <t>000000626/Invoice</t>
  </si>
  <si>
    <t>2184.0000000000000000</t>
  </si>
  <si>
    <t>ALEXHO EG-342</t>
  </si>
  <si>
    <t>CashIn-000001901</t>
  </si>
  <si>
    <t>2185.0000000000000000</t>
  </si>
  <si>
    <t>625/NAFEZA SERVICE</t>
  </si>
  <si>
    <t>000000625/Invoice</t>
  </si>
  <si>
    <t>2186.0000000000000000</t>
  </si>
  <si>
    <t>ALEXHO EG-343</t>
  </si>
  <si>
    <t>CashIn-000001905</t>
  </si>
  <si>
    <t>|1301|013|001|001|101000393|101000393||||4006|3208|Collect|||IMPORT||||</t>
  </si>
  <si>
    <t>O25-IMP-OC-998|‏ME_Q-20250109011-IMP-LCL‎|‏Sl-000079‎|‏RP-000001‎|‏‎|‏‎|‏‎|‏‎|‏‎|‏MARIO A‎|‏ESBCN Barcelona‎|‏696 ALEXANDRIA‎|‏‎|‏18/01/2025‎|‏25/01/2025‎|‏‎|‏‎|‏26/01/2025‎|‏‎</t>
  </si>
  <si>
    <t>2187.0000000000000000</t>
  </si>
  <si>
    <t>101000393</t>
  </si>
  <si>
    <t>735909636</t>
  </si>
  <si>
    <t>2776/THC</t>
  </si>
  <si>
    <t>000002776/Invoice</t>
  </si>
  <si>
    <t>2188.0000000000000000</t>
  </si>
  <si>
    <t>ALEXHO EG-344</t>
  </si>
  <si>
    <t>CashIn-000001906</t>
  </si>
  <si>
    <t>2189.0000000000000000</t>
  </si>
  <si>
    <t>2777/NAFEZA SERVICE</t>
  </si>
  <si>
    <t>000002777/Invoice</t>
  </si>
  <si>
    <t>2190.0000000000000000</t>
  </si>
  <si>
    <t>ALEXHO EG-345</t>
  </si>
  <si>
    <t>CashIn-000001907</t>
  </si>
  <si>
    <t>O25-IMP-OC-929|‏ME_Q-20250109010-IMP-LCL‎|‏Sl-000004‎|‏RP-000001‎|‏‎|‏‎|‏‎|‏‎|‏‎|‏MARIO A‎|‏ITGOA Genoa‎|‏EGALY Alexandria, Egypt (old)‎|‏‎|‏21/01/2025‎|‏25/01/2025‎|‏‎|‏‎|‏23/01/2025‎|‏‎</t>
  </si>
  <si>
    <t>2191.0000000000000000</t>
  </si>
  <si>
    <t>2751/THC</t>
  </si>
  <si>
    <t>000002751/Invoice</t>
  </si>
  <si>
    <t>2192.0000000000000000</t>
  </si>
  <si>
    <t>ALEXHO EG-346</t>
  </si>
  <si>
    <t>CashIn-000001908</t>
  </si>
  <si>
    <t>2193.0000000000000000</t>
  </si>
  <si>
    <t>2752/NAFEZA SERVICE</t>
  </si>
  <si>
    <t>000002752/Invoice</t>
  </si>
  <si>
    <t>2194.0000000000000000</t>
  </si>
  <si>
    <t>ALEXHO EG-347</t>
  </si>
  <si>
    <t>CashIn-000001909</t>
  </si>
  <si>
    <t>O25-IMP-OC-707|‏ME_Q-20241205532-IMP-FCL‎|‏Sl-000009‎|‏Ag-000141‎|‏248230758‎|‏‎|‏‎|‏‎|‏‎|‏‎|‏ESVLC Valencia‎|‏EGALY Alexandria, Egypt (old)‎|‏‎|‏‎|‏‎|‏‎|‏‎|‏19/01/2025‎|‏31/01/2025‎</t>
  </si>
  <si>
    <t>2195.0000000000000000</t>
  </si>
  <si>
    <t>2737/INV</t>
  </si>
  <si>
    <t>000002737/Invoice</t>
  </si>
  <si>
    <t>2196.0000000000000000</t>
  </si>
  <si>
    <t>ALEXHO EG-348</t>
  </si>
  <si>
    <t>CashIn-000001910</t>
  </si>
  <si>
    <t>O25-IMP-OC-888|‏ME_Q-20250108614-IMP-LCL‎|‏Sl-000004‎|‏RP-000001‎|‏‎|‏‎|‏‎|‏‎|‏‎|‏MARIO A‎|‏ITGOA Genoa‎|‏696 ALEXANDRIA‎|‏‎|‏21/01/2025‎|‏25/01/2025‎|‏‎|‏‎|‏22/01/2025‎|‏31/01/2025‎</t>
  </si>
  <si>
    <t>2197.0000000000000000</t>
  </si>
  <si>
    <t>2274/THC</t>
  </si>
  <si>
    <t>000002274/Invoice</t>
  </si>
  <si>
    <t>2198.0000000000000000</t>
  </si>
  <si>
    <t>ALEXHO EG-349</t>
  </si>
  <si>
    <t>CashIn-000001911</t>
  </si>
  <si>
    <t>2199.0000000000000000</t>
  </si>
  <si>
    <t>2273/NAFEZA SERVICE</t>
  </si>
  <si>
    <t>000002273/Invoice</t>
  </si>
  <si>
    <t>2200.0000000000000000</t>
  </si>
  <si>
    <t>ALEXHO EU-9</t>
  </si>
  <si>
    <t>CashIn-000001912</t>
  </si>
  <si>
    <t>2201.0000000000000000</t>
  </si>
  <si>
    <t>272/مطالبة نولون محصلة لصالح الغير</t>
  </si>
  <si>
    <t>000000272/OF-FW</t>
  </si>
  <si>
    <t>2202.0000000000000000</t>
  </si>
  <si>
    <t>ALEXHO EG-350</t>
  </si>
  <si>
    <t>CashIn-000001914</t>
  </si>
  <si>
    <t>2203.0000000000000000</t>
  </si>
  <si>
    <t>2748/INV</t>
  </si>
  <si>
    <t>000002748/Invoice</t>
  </si>
  <si>
    <t>2204.0000000000000000</t>
  </si>
  <si>
    <t>ALEXHO EG-351</t>
  </si>
  <si>
    <t>CashIn-000001915</t>
  </si>
  <si>
    <t>|1301|013|001|001|101000318|101000318||||3042|3336|Prepaid|||IMPORT||||</t>
  </si>
  <si>
    <t>O25-IMP-OC-832|‏‎|‏Sl-000001‎|‏Ag-000010‎|‏COSU6402667600‎|‏‎|‏‎|‏‎|‏‎|‏DELPHIS GDANSK‎|‏CNSHA Shanghai‎|‏EGEDK Dekheila, Alexandria‎|‏25/01/2025‎|‏‎|‏25/01/2025‎|‏‎|‏‎|‏21/01/2025‎|‏31/01/2025‎</t>
  </si>
  <si>
    <t>2205.0000000000000000</t>
  </si>
  <si>
    <t>101000318</t>
  </si>
  <si>
    <t>204928273</t>
  </si>
  <si>
    <t>2793/THC</t>
  </si>
  <si>
    <t>000002793/Invoice</t>
  </si>
  <si>
    <t>2206.0000000000000000</t>
  </si>
  <si>
    <t>ALEXHO EG-352</t>
  </si>
  <si>
    <t>CashIn-000001916</t>
  </si>
  <si>
    <t>2207.0000000000000000</t>
  </si>
  <si>
    <t>2794/NAFEZA SERVICE</t>
  </si>
  <si>
    <t>000002794/Invoice</t>
  </si>
  <si>
    <t>2208.0000000000000000</t>
  </si>
  <si>
    <t>QNB_US_CA1-30</t>
  </si>
  <si>
    <t>BankIn-000001924</t>
  </si>
  <si>
    <t>122202|1301|013|001|001|101004438|101004438||||3075|3336|Collect|||IMPORT||||</t>
  </si>
  <si>
    <t>296/مطالبة نولون محصلة لصالح الغير</t>
  </si>
  <si>
    <t>000000296/OF-FW</t>
  </si>
  <si>
    <t>2209.0000000000000000</t>
  </si>
  <si>
    <t>2210.0000000000000000</t>
  </si>
  <si>
    <t>POS_EG-101</t>
  </si>
  <si>
    <t>POS-000001929</t>
  </si>
  <si>
    <t>122201|1301|013|001|001|||Ag-000163|Ag-000163|||||||IMPORT||||</t>
  </si>
  <si>
    <t>307/مطالبة نولون محصلة لصالح الغير</t>
  </si>
  <si>
    <t>2211.0000000000000000</t>
  </si>
  <si>
    <t>|1301|013|001|001|101000151||||||||||IMPORT||||</t>
  </si>
  <si>
    <t>2212.0000000000000000</t>
  </si>
  <si>
    <t>421103|1301|013|001|001|101000151||||||||||IMPORT||||</t>
  </si>
  <si>
    <t>2213.0000000000000000</t>
  </si>
  <si>
    <t>Merghem EG-38</t>
  </si>
  <si>
    <t>CashIn-000001931</t>
  </si>
  <si>
    <t>|1302|013|001|001|101000501|101000501||||3075|3208|Collect|||IMPORT||||</t>
  </si>
  <si>
    <t>2214.0000000000000000</t>
  </si>
  <si>
    <t>2826/STOR   IMPORT ALEX</t>
  </si>
  <si>
    <t>000002826/Invoice</t>
  </si>
  <si>
    <t>2215.0000000000000000</t>
  </si>
  <si>
    <t>ALEXHO EG-353</t>
  </si>
  <si>
    <t>CashIn-000001933</t>
  </si>
  <si>
    <t>|1301|013|001|001|101000145|101000145||||3075|3208|Collect|||IMPORT||||</t>
  </si>
  <si>
    <t>O25-IMP-OC-482|‏ME_Q-20241104380-IMP-LCL‎|‏Sl-000011‎|‏RP-000001‎|‏‎|‏‎|‏‎|‏‎|‏‎|‏MSC MADELEINE‎|‏LONDON LHR‎|‏696 ALEXANDRIA‎|‏14/01/2025‎|‏24/12/2024‎|‏14/01/2025‎|‏‎|‏‎|‏13/01/2025‎|‏‎</t>
  </si>
  <si>
    <t>2216.0000000000000000</t>
  </si>
  <si>
    <t>825/THC</t>
  </si>
  <si>
    <t>000000825/Invoice</t>
  </si>
  <si>
    <t>2217.0000000000000000</t>
  </si>
  <si>
    <t>ALEXHO EG-354</t>
  </si>
  <si>
    <t>CashIn-000001934</t>
  </si>
  <si>
    <t>2218.0000000000000000</t>
  </si>
  <si>
    <t>824/NAFEZA SERVICE</t>
  </si>
  <si>
    <t>000000824/Invoice</t>
  </si>
  <si>
    <t>2219.0000000000000000</t>
  </si>
  <si>
    <t>ALEXHO EG-355</t>
  </si>
  <si>
    <t>CashIn-000001935</t>
  </si>
  <si>
    <t>O25-IMP-OC-690|‏ME_Q-20250107226-IMP-LCL‎|‏Sl-000016‎|‏Ag-000163‎|‏10168492‎|‏‎|‏‎|‏‎|‏‎|‏GULBENIZ A‎|‏TRKMX KUMPORT‎|‏EGALY Alexandria, Egypt (old)‎|‏04/03/2025‎|‏‎|‏21/01/2025‎|‏‎|‏‎|‏19/01/2025‎|‏31/01/2025‎</t>
  </si>
  <si>
    <t>2220.0000000000000000</t>
  </si>
  <si>
    <t>2788/THC</t>
  </si>
  <si>
    <t>000002788/Invoice</t>
  </si>
  <si>
    <t>2221.0000000000000000</t>
  </si>
  <si>
    <t>ALEXHO EG-356</t>
  </si>
  <si>
    <t>CashIn-000001936</t>
  </si>
  <si>
    <t>2222.0000000000000000</t>
  </si>
  <si>
    <t>2787/NAFEZA SERVICE</t>
  </si>
  <si>
    <t>000002787/Invoice</t>
  </si>
  <si>
    <t>2223.0000000000000000</t>
  </si>
  <si>
    <t>ALEXHO EG-357</t>
  </si>
  <si>
    <t>CashIn-000001937</t>
  </si>
  <si>
    <t>|1301|013|001|001|101001522|101001522||||3042|3336|Prepaid|||IMPORT||||</t>
  </si>
  <si>
    <t>2224.0000000000000000</t>
  </si>
  <si>
    <t>101001522</t>
  </si>
  <si>
    <t>705995607</t>
  </si>
  <si>
    <t>2726/THC</t>
  </si>
  <si>
    <t>000002726/Invoice</t>
  </si>
  <si>
    <t>2225.0000000000000000</t>
  </si>
  <si>
    <t>ALEXHO EG-358</t>
  </si>
  <si>
    <t>CashIn-000001938</t>
  </si>
  <si>
    <t>2226.0000000000000000</t>
  </si>
  <si>
    <t>2727/NAFEZA SERVICE</t>
  </si>
  <si>
    <t>000002727/Invoice</t>
  </si>
  <si>
    <t>2227.0000000000000000</t>
  </si>
  <si>
    <t>CCC EG-12</t>
  </si>
  <si>
    <t>BankIn-000001943</t>
  </si>
  <si>
    <t>|1201|012|001|002|101001466|101001466||||5035|4022|Payable|||EXPORT||||</t>
  </si>
  <si>
    <t>O25-EXP-OC-1031|‏ME_Q-20250109175-EXP-FCL‎|‏Sl-000011‎|‏Ag-000149‎|‏YMJAU587021431‎|‏‎|‏‎|‏‎|‏‎|‏‎|‏EGDAM Damietta‎|‏ESVLC Valencia‎|‏‎|‏‎|‏‎|‏‎|‏‎|‏27/01/2025‎|‏31/01/2025‎</t>
  </si>
  <si>
    <t>2228.0000000000000000</t>
  </si>
  <si>
    <t>101001466</t>
  </si>
  <si>
    <t>256956138</t>
  </si>
  <si>
    <t>2373/INV</t>
  </si>
  <si>
    <t>000002373/Invoice</t>
  </si>
  <si>
    <t>2229.0000000000000000</t>
  </si>
  <si>
    <t>CCC US-17</t>
  </si>
  <si>
    <t>BankIn-000001944</t>
  </si>
  <si>
    <t>2230.0000000000000000</t>
  </si>
  <si>
    <t>2374/INV</t>
  </si>
  <si>
    <t>000002374/Invoice</t>
  </si>
  <si>
    <t>2231.0000000000000000</t>
  </si>
  <si>
    <t>PSD EG-124</t>
  </si>
  <si>
    <t>CashIn-000001945</t>
  </si>
  <si>
    <t>|1301|013|001|005|101001450|101001450||||3075|5013|Collect|||IMPORT||||</t>
  </si>
  <si>
    <t>O25-IMP-OC-916|‏ME_Q-20250109060-IMP-LCL‎|‏Sl-000007‎|‏Ag-000010‎|‏EGLV142403964213‎|‏‎|‏‎|‏‎|‏‎|‏CMA CGM RODOLPHE‎|‏CNSHA Shanghai‎|‏666 PORT SAID WEST‎|‏‎|‏22/12/2024‎|‏27/01/2025‎|‏‎|‏‎|‏23/01/2025‎|‏31/01/2025‎</t>
  </si>
  <si>
    <t>2232.0000000000000000</t>
  </si>
  <si>
    <t>101001450</t>
  </si>
  <si>
    <t>385985452</t>
  </si>
  <si>
    <t>2839/THC PSD</t>
  </si>
  <si>
    <t>000002839/Invoice</t>
  </si>
  <si>
    <t>2233.0000000000000000</t>
  </si>
  <si>
    <t>PSD EG-125</t>
  </si>
  <si>
    <t>CashIn-000001946</t>
  </si>
  <si>
    <t>2234.0000000000000000</t>
  </si>
  <si>
    <t>2840/NAFEZA SERVICE PSD</t>
  </si>
  <si>
    <t>000002840/Invoice</t>
  </si>
  <si>
    <t>2235.0000000000000000</t>
  </si>
  <si>
    <t>ALEXHO EG-359</t>
  </si>
  <si>
    <t>CashIn-000001947</t>
  </si>
  <si>
    <t>|1301|013|001|001|101001557|101001557||||3075|3208|Collect|||IMPORT||||</t>
  </si>
  <si>
    <t>O25-IMP-OC-933|‏ME_Q-20250109535-IMP-LCL‎|‏Sl-000003‎|‏RP-000001‎|‏‎|‏‎|‏‎|‏‎|‏‎|‏GH FOEHN‎|‏INNSA Nhava Sheva‎|‏696 ALEXANDRIA‎|‏‎|‏16/12/2024‎|‏26/01/2025‎|‏‎|‏‎|‏23/01/2025‎|‏‎</t>
  </si>
  <si>
    <t>2236.0000000000000000</t>
  </si>
  <si>
    <t>101001557</t>
  </si>
  <si>
    <t>508734967</t>
  </si>
  <si>
    <t>2857/THC</t>
  </si>
  <si>
    <t>000002857/Invoice</t>
  </si>
  <si>
    <t>2237.0000000000000000</t>
  </si>
  <si>
    <t>ALEXHO EG-360</t>
  </si>
  <si>
    <t>CashIn-000001948</t>
  </si>
  <si>
    <t>2238.0000000000000000</t>
  </si>
  <si>
    <t>2858/NAFEZA SERVICE</t>
  </si>
  <si>
    <t>000002858/Invoice</t>
  </si>
  <si>
    <t>2239.0000000000000000</t>
  </si>
  <si>
    <t>Merghem EG-39</t>
  </si>
  <si>
    <t>CashIn-000001949</t>
  </si>
  <si>
    <t>|1302|013|001|001|101001545|101001545||||3038|3208|Collect|||IMPORT||||</t>
  </si>
  <si>
    <t>2240.0000000000000000</t>
  </si>
  <si>
    <t>2852/STOR   IMPORT ALEX</t>
  </si>
  <si>
    <t>000002852/Invoice</t>
  </si>
  <si>
    <t>2241.0000000000000000</t>
  </si>
  <si>
    <t>Merghem EG-40</t>
  </si>
  <si>
    <t>CashIn-000001950</t>
  </si>
  <si>
    <t>|1302|013|001|001|101000047|101000047||||MESCO LCL PSD SALES|3336|Collect|||IMPORT||||</t>
  </si>
  <si>
    <t>2242.0000000000000000</t>
  </si>
  <si>
    <t>2861/STOR SERVICE</t>
  </si>
  <si>
    <t>000002861/Invoice</t>
  </si>
  <si>
    <t>2243.0000000000000000</t>
  </si>
  <si>
    <t>Merghem EG-41</t>
  </si>
  <si>
    <t>CashIn-000001951</t>
  </si>
  <si>
    <t>2244.0000000000000000</t>
  </si>
  <si>
    <t>2859/STOR SERVICE</t>
  </si>
  <si>
    <t>000002859/Invoice</t>
  </si>
  <si>
    <t>2245.0000000000000000</t>
  </si>
  <si>
    <t>ALEXHO EG-361</t>
  </si>
  <si>
    <t>CashIn-000001952</t>
  </si>
  <si>
    <t>|1302|013|001|001|101000470|101000470||||KEYACCOUNT|3208|Collect|||IMPORT||||</t>
  </si>
  <si>
    <t>2246.0000000000000000</t>
  </si>
  <si>
    <t>2835/STOR   IMPORT ALEX</t>
  </si>
  <si>
    <t>000002835/Invoice</t>
  </si>
  <si>
    <t>2247.0000000000000000</t>
  </si>
  <si>
    <t>Merghem EG-42</t>
  </si>
  <si>
    <t>CashIn-000001953</t>
  </si>
  <si>
    <t>2248.0000000000000000</t>
  </si>
  <si>
    <t>2855/STOR SERVICE</t>
  </si>
  <si>
    <t>000002855/Invoice</t>
  </si>
  <si>
    <t>2249.0000000000000000</t>
  </si>
  <si>
    <t>PSD EG-126</t>
  </si>
  <si>
    <t>CashIn-000001972</t>
  </si>
  <si>
    <t>2250.0000000000000000</t>
  </si>
  <si>
    <t>2606/NAFEZA SERVICE PSD</t>
  </si>
  <si>
    <t>000002606/Invoice</t>
  </si>
  <si>
    <t>2251.0000000000000000</t>
  </si>
  <si>
    <t>Airport EG-143</t>
  </si>
  <si>
    <t>CashIn-000001975</t>
  </si>
  <si>
    <t>2025-01-30</t>
  </si>
  <si>
    <t>124101|1101|011|001|004|301000001|301000001|4030|4030|16545|FREEHAND|4008|Collect|||IMPORT||||</t>
  </si>
  <si>
    <t>O25-IMP-AI-582|‏‎|‏Al-000006‎|‏‎|‏077-51561963‎|‏‎|‏‎|‏‎|‏‎|‏‎|‏CAI CAIRO‎|‏IST ISTANBUL AIRPORT‎|‏‎|‏‎|‏‎|‏‎|‏‎|‏15/01/2025‎|‏28/02/2025‎</t>
  </si>
  <si>
    <t>564</t>
  </si>
  <si>
    <t>2252.0000000000000000</t>
  </si>
  <si>
    <t>|1101|011|001|004|301000001|301000001|4030|4030|16545|FREEHAND|4008|Collect|||IMPORT||||</t>
  </si>
  <si>
    <t>2253.0000000000000000</t>
  </si>
  <si>
    <t>2254.0000000000000000</t>
  </si>
  <si>
    <t>CIB_US_CA-20</t>
  </si>
  <si>
    <t>BankIn-000001995</t>
  </si>
  <si>
    <t>2255.0000000000000000</t>
  </si>
  <si>
    <t>337/مطالبة نولون محصلة لصالح الغير</t>
  </si>
  <si>
    <t>000000337/OF-FW</t>
  </si>
  <si>
    <t>2256.0000000000000000</t>
  </si>
  <si>
    <t>HSBC_US_CA-10</t>
  </si>
  <si>
    <t>BankIn-000001996</t>
  </si>
  <si>
    <t>|1301|013|001|001|101000194|101000194||||3031|3208|Collect|||IMPORT||||</t>
  </si>
  <si>
    <t>O25-IMP-OC-432|‏ME_Q-20241104430-IMP-LCL‎|‏Sl-000001‎|‏RP-000001‎|‏‎|‏‎|‏‎|‏‎|‏‎|‏CMA CGM RODOLPHE‎|‏CNSHA Shanghai‎|‏696 ALEXANDRIA‎|‏‎|‏22/12/2024‎|‏19/01/2025‎|‏‎|‏‎|‏12/01/2025‎|‏‎</t>
  </si>
  <si>
    <t>2257.0000000000000000</t>
  </si>
  <si>
    <t>250/مطالبة نولون محصلة لصالح الغير</t>
  </si>
  <si>
    <t>000000250/OF-FW</t>
  </si>
  <si>
    <t>2258.0000000000000000</t>
  </si>
  <si>
    <t>HSBC_EG_CA-9</t>
  </si>
  <si>
    <t>BankIn-000001997</t>
  </si>
  <si>
    <t>2259.0000000000000000</t>
  </si>
  <si>
    <t>2154/THC</t>
  </si>
  <si>
    <t>000002154/Invoice</t>
  </si>
  <si>
    <t>2260.0000000000000000</t>
  </si>
  <si>
    <t>2155/NAFEZA SERVICE</t>
  </si>
  <si>
    <t>000002155/Invoice</t>
  </si>
  <si>
    <t>2261.0000000000000000</t>
  </si>
  <si>
    <t>NBD_EU_CA-1</t>
  </si>
  <si>
    <t>BankIn-000001998</t>
  </si>
  <si>
    <t>NBD-EU-CA</t>
  </si>
  <si>
    <t>|1301|013|001|001|101001147|101001147||||3038|3208|Collect|||IMPORT||||</t>
  </si>
  <si>
    <t>O25-IMP-OC-823|‏ME_Q-20241205276-IMP-LCL‎|‏Sl-000002‎|‏RP-000001‎|‏‎|‏‎|‏‎|‏‎|‏‎|‏CMA CGM ALCAZAR‎|‏DEHAM Hamburg‎|‏696 ALEXANDRIA‎|‏‎|‏25/12/2024‎|‏26/01/2025‎|‏‎|‏‎|‏21/01/2025‎|‏‎</t>
  </si>
  <si>
    <t>2262.0000000000000000</t>
  </si>
  <si>
    <t>101001147</t>
  </si>
  <si>
    <t>305931520</t>
  </si>
  <si>
    <t>309/مطالبة نولون محصلة لصالح الغير</t>
  </si>
  <si>
    <t>000000309/OF-FW</t>
  </si>
  <si>
    <t>2263.0000000000000000</t>
  </si>
  <si>
    <t>NBD_EG_CA-2</t>
  </si>
  <si>
    <t>BankIn-000001999</t>
  </si>
  <si>
    <t>2264.0000000000000000</t>
  </si>
  <si>
    <t>2588/THC</t>
  </si>
  <si>
    <t>000002588/Invoice</t>
  </si>
  <si>
    <t>2265.0000000000000000</t>
  </si>
  <si>
    <t>2589/NAFEZA SERVICE</t>
  </si>
  <si>
    <t>000002589/Invoice</t>
  </si>
  <si>
    <t>2266.0000000000000000</t>
  </si>
  <si>
    <t>POS_EG-110</t>
  </si>
  <si>
    <t>POS-000002000</t>
  </si>
  <si>
    <t>O25-IMP-OC-820|‏ME_Q-20250109176-IMP-LCL‎|‏Sl-000002‎|‏RP-000001‎|‏‎|‏‎|‏‎|‏‎|‏‎|‏CMA CGM ALCAZAR‎|‏DEHAB Hambergen‎|‏696 ALEXANDRIA‎|‏‎|‏25/12/2024‎|‏26/01/2025‎|‏‎|‏‎|‏21/01/2025‎|‏‎</t>
  </si>
  <si>
    <t>2267.0000000000000000</t>
  </si>
  <si>
    <t>2351/THC</t>
  </si>
  <si>
    <t>000002351/Invoice</t>
  </si>
  <si>
    <t>2268.0000000000000000</t>
  </si>
  <si>
    <t>2352/NAFEZA SERVICE</t>
  </si>
  <si>
    <t>000002352/Invoice</t>
  </si>
  <si>
    <t>2269.0000000000000000</t>
  </si>
  <si>
    <t>Airport EG-144</t>
  </si>
  <si>
    <t>CashIn-000001976</t>
  </si>
  <si>
    <t>O25-IMP-AI-988|‏‎|‏Al-000011‎|‏‎|‏615-63112722‎|‏‎|‏‎|‏‎|‏‎|‏‎|‏MAA CHENNAI‎|‏CAI CAIRO‎|‏‎|‏‎|‏29/01/2025‎|‏‎|‏‎|‏24/01/2025‎|‏31/01/2025‎</t>
  </si>
  <si>
    <t>2270.0000000000000000</t>
  </si>
  <si>
    <t>2948/INV</t>
  </si>
  <si>
    <t>000002948/Invoice</t>
  </si>
  <si>
    <t>2271.0000000000000000</t>
  </si>
  <si>
    <t>Airport EG-145</t>
  </si>
  <si>
    <t>CashIn-000001977</t>
  </si>
  <si>
    <t>2272.0000000000000000</t>
  </si>
  <si>
    <t>620/OFFICIAL</t>
  </si>
  <si>
    <t>000000620/OR-FW</t>
  </si>
  <si>
    <t>2273.0000000000000000</t>
  </si>
  <si>
    <t>EBNK_US_CA-4</t>
  </si>
  <si>
    <t>BankIn-000002001</t>
  </si>
  <si>
    <t>|1301|013|001|001|101001399|101001399||||3038|3208|Collect|||IMPORT||||</t>
  </si>
  <si>
    <t>O25-IMP-OC-998|‏ME_Q-20250109329-IMP-LCL‎|‏Sl-000079‎|‏RP-000001‎|‏‎|‏‎|‏‎|‏‎|‏‎|‏MARIO A‎|‏ESBCN Barcelona‎|‏696 ALEXANDRIA‎|‏‎|‏18/01/2025‎|‏25/01/2025‎|‏‎|‏‎|‏26/01/2025‎|‏‎</t>
  </si>
  <si>
    <t>2274.0000000000000000</t>
  </si>
  <si>
    <t>101001399</t>
  </si>
  <si>
    <t>523458207</t>
  </si>
  <si>
    <t>327/مطالبة نولون محصلة لصالح الغير</t>
  </si>
  <si>
    <t>000000327/OF-FW</t>
  </si>
  <si>
    <t>2275.0000000000000000</t>
  </si>
  <si>
    <t>EBNK_EG_CA-5</t>
  </si>
  <si>
    <t>BankIn-000002002</t>
  </si>
  <si>
    <t>2276.0000000000000000</t>
  </si>
  <si>
    <t>2975/NAFEZA SERVICE</t>
  </si>
  <si>
    <t>000002975/Invoice</t>
  </si>
  <si>
    <t>2277.0000000000000000</t>
  </si>
  <si>
    <t>2976/THC</t>
  </si>
  <si>
    <t>000002976/Invoice</t>
  </si>
  <si>
    <t>2278.0000000000000000</t>
  </si>
  <si>
    <t>POS_EG-112</t>
  </si>
  <si>
    <t>POS-000002003</t>
  </si>
  <si>
    <t>|1301|013|001|001|101000450|101000450||||3042|5013|Prepaid|||IMPORT||||</t>
  </si>
  <si>
    <t>O25-IMP-OC-569|‏‎|‏Sl-000001‎|‏Ag-000010‎|‏6401483610‎|‏‎|‏‎|‏‎|‏‎|‏EGY FUTURE‎|‏CNSHA Shanghai‎|‏EGEDK Dekheila, Alexandria‎|‏25/01/2025‎|‏30/11/2024‎|‏25/01/2025‎|‏‎|‏‎|‏15/01/2025‎|‏31/01/2025‎</t>
  </si>
  <si>
    <t>2279.0000000000000000</t>
  </si>
  <si>
    <t>2744/THC</t>
  </si>
  <si>
    <t>000002744/Invoice</t>
  </si>
  <si>
    <t>2280.0000000000000000</t>
  </si>
  <si>
    <t>POS_EG-113</t>
  </si>
  <si>
    <t>POS-000002004</t>
  </si>
  <si>
    <t>2281.0000000000000000</t>
  </si>
  <si>
    <t>2743/NAFEZA SERVICE</t>
  </si>
  <si>
    <t>000002743/Invoice</t>
  </si>
  <si>
    <t>2282.0000000000000000</t>
  </si>
  <si>
    <t>HSBC_US_CA-11</t>
  </si>
  <si>
    <t>BankIn-000002005</t>
  </si>
  <si>
    <t>|1301|013|001|001|101000097|101000097||||3031|3208|Collect|||IMPORT||||</t>
  </si>
  <si>
    <t>O25-IMP-OC-816|‏ME_Q-20241104827-IMP-LCL‎|‏Sl-000002‎|‏RP-000001‎|‏‎|‏‎|‏‎|‏‎|‏‎|‏CMA CGM ALCAZAR‎|‏DEHAM Hamburg‎|‏696 ALEXANDRIA‎|‏‎|‏24/12/2024‎|‏26/01/2025‎|‏‎|‏‎|‏21/01/2025‎|‏‎</t>
  </si>
  <si>
    <t>2283.0000000000000000</t>
  </si>
  <si>
    <t>101000097</t>
  </si>
  <si>
    <t>210740035</t>
  </si>
  <si>
    <t>218/مطالبة نولون محصلة لصالح الغير</t>
  </si>
  <si>
    <t>000000218/OF-FW</t>
  </si>
  <si>
    <t>2284.0000000000000000</t>
  </si>
  <si>
    <t>Airport EG-146</t>
  </si>
  <si>
    <t>CashIn-000001978</t>
  </si>
  <si>
    <t>|1101|011|001|004|101000093|101000093||||4076|4012|Prepaid|||IMPORT||||</t>
  </si>
  <si>
    <t>O25-IMP-AI-974|‏‎|‏Al-000006‎|‏‎|‏077-58634494‎|‏‎|‏‎|‏‎|‏‎|‏‎|‏IST ISTANBUL AIRPORT‎|‏CAI CAIRO‎|‏‎|‏‎|‏25/01/2025‎|‏‎|‏‎|‏23/01/2025‎|‏31/01/2025‎</t>
  </si>
  <si>
    <t>2285.0000000000000000</t>
  </si>
  <si>
    <t>101000093</t>
  </si>
  <si>
    <t>347663338</t>
  </si>
  <si>
    <t>2250/INV</t>
  </si>
  <si>
    <t>000002250/Invoice</t>
  </si>
  <si>
    <t>2286.0000000000000000</t>
  </si>
  <si>
    <t>Airport EG-147</t>
  </si>
  <si>
    <t>CashIn-000001979</t>
  </si>
  <si>
    <t>2287.0000000000000000</t>
  </si>
  <si>
    <t>519/OFFICIAL</t>
  </si>
  <si>
    <t>000000519/OR-FW</t>
  </si>
  <si>
    <t>2288.0000000000000000</t>
  </si>
  <si>
    <t>Airport EG-148</t>
  </si>
  <si>
    <t>CashIn-000001980</t>
  </si>
  <si>
    <t>|1101|011|001|004|101000602|101000602||||3038|4012|Prepaid|||IMPORT||||</t>
  </si>
  <si>
    <t>O25-IMP-AI-1136|‏‎|‏Al-000001‎|‏‎|‏112-18367370‎|‏‎|‏‎|‏‎|‏‎|‏‎|‏PVG SHANGHAI‎|‏CAI CAIRO‎|‏‎|‏‎|‏29/01/2025‎|‏‎|‏‎|‏30/01/2025‎|‏31/01/2025‎</t>
  </si>
  <si>
    <t>2289.0000000000000000</t>
  </si>
  <si>
    <t>101000602</t>
  </si>
  <si>
    <t>611372975</t>
  </si>
  <si>
    <t>2978/INV</t>
  </si>
  <si>
    <t>000002978/Invoice</t>
  </si>
  <si>
    <t>2290.0000000000000000</t>
  </si>
  <si>
    <t>Airport EG-149</t>
  </si>
  <si>
    <t>CashIn-000001981</t>
  </si>
  <si>
    <t>2291.0000000000000000</t>
  </si>
  <si>
    <t>626/OFFICIAL</t>
  </si>
  <si>
    <t>000000626/OR-FW</t>
  </si>
  <si>
    <t>2292.0000000000000000</t>
  </si>
  <si>
    <t>POS_EG-114</t>
  </si>
  <si>
    <t>POS-000002006</t>
  </si>
  <si>
    <t>|1301|013|001|001|101000267|101000267||||3075|3336|Collect|||IMPORT||||</t>
  </si>
  <si>
    <t>O25-IMP-OC-690|‏ME_Q-20250108953-IMP-LCL‎|‏Sl-000016‎|‏Ag-000163‎|‏10168492‎|‏‎|‏‎|‏‎|‏‎|‏GULBENIZ A‎|‏TRKMX KUMPORT‎|‏EGALY Alexandria, Egypt (old)‎|‏04/03/2025‎|‏‎|‏21/01/2025‎|‏‎|‏‎|‏19/01/2025‎|‏31/01/2025‎</t>
  </si>
  <si>
    <t>2293.0000000000000000</t>
  </si>
  <si>
    <t>2258/NAFEZA SERVICE</t>
  </si>
  <si>
    <t>000002258/Invoice</t>
  </si>
  <si>
    <t>2294.0000000000000000</t>
  </si>
  <si>
    <t>2259/THC</t>
  </si>
  <si>
    <t>000002259/Invoice</t>
  </si>
  <si>
    <t>2295.0000000000000000</t>
  </si>
  <si>
    <t>HSBC_US_CA-9</t>
  </si>
  <si>
    <t>BankIn-000002007</t>
  </si>
  <si>
    <t>O24-IMP-OC-2|‏ME_Q-20241104167-IMP-LCL‎|‏Sl-000007‎|‏Ag-000010‎|‏EGLV142403893537‎|‏‎|‏‎|‏‎|‏‎|‏CMA CGM LISA MARIE-‎|‏CNSHA Shanghai‎|‏EGALY Alexandria, Egypt (old)‎|‏16/01/2025‎|‏‎|‏16/01/2025‎|‏‎|‏‎|‏05/01/2025‎|‏31/01/2025‎</t>
  </si>
  <si>
    <t>2296.0000000000000000</t>
  </si>
  <si>
    <t>189/مطالبة نولون محصلة لصالح الغير</t>
  </si>
  <si>
    <t>000000189/OF-FW</t>
  </si>
  <si>
    <t>2297.0000000000000000</t>
  </si>
  <si>
    <t>HSBC_EG_CA-10</t>
  </si>
  <si>
    <t>BankIn-000002008</t>
  </si>
  <si>
    <t>2298.0000000000000000</t>
  </si>
  <si>
    <t>1714/NAFEZA SERVICE</t>
  </si>
  <si>
    <t>000001714/Invoice</t>
  </si>
  <si>
    <t>2299.0000000000000000</t>
  </si>
  <si>
    <t>1715/THC</t>
  </si>
  <si>
    <t>000001715/Invoice</t>
  </si>
  <si>
    <t>2300.0000000000000000</t>
  </si>
  <si>
    <t>POS_EG-117</t>
  </si>
  <si>
    <t>POS-000002009</t>
  </si>
  <si>
    <t>|1301|013|001|001|101001280|101001280||||3075|3208|Collect|||IMPORT||||</t>
  </si>
  <si>
    <t>O25-IMP-OC-813|‏ME_Q-20241205188-IMP-LCL‎|‏Sl-000036‎|‏RP-000001‎|‏‎|‏‎|‏‎|‏‎|‏‎|‏DELPHIS GDANSK‎|‏CNSHA Shanghai‎|‏696 ALEXANDRIA‎|‏‎|‏22/11/2024‎|‏25/01/2025‎|‏‎|‏‎|‏21/01/2025‎|‏‎</t>
  </si>
  <si>
    <t>2301.0000000000000000</t>
  </si>
  <si>
    <t>101001280</t>
  </si>
  <si>
    <t>200983636</t>
  </si>
  <si>
    <t>2254/NAFEZA SERVICE</t>
  </si>
  <si>
    <t>000002254/Invoice</t>
  </si>
  <si>
    <t>2302.0000000000000000</t>
  </si>
  <si>
    <t>2255/THC</t>
  </si>
  <si>
    <t>000002255/Invoice</t>
  </si>
  <si>
    <t>2303.0000000000000000</t>
  </si>
  <si>
    <t>POS_EG-108</t>
  </si>
  <si>
    <t>POS-000002010</t>
  </si>
  <si>
    <t>|1302|013|001|001|101000171|101000171||||3038|3336|Collect|||IMPORT||||</t>
  </si>
  <si>
    <t>2304.0000000000000000</t>
  </si>
  <si>
    <t>2923/STOR   IMPORT ALEX</t>
  </si>
  <si>
    <t>000002923/Invoice</t>
  </si>
  <si>
    <t>2305.0000000000000000</t>
  </si>
  <si>
    <t>POS_EG-109</t>
  </si>
  <si>
    <t>POS-000002011</t>
  </si>
  <si>
    <t>2306.0000000000000000</t>
  </si>
  <si>
    <t>2936/STOR   IMPORT ALEX</t>
  </si>
  <si>
    <t>000002936/Invoice</t>
  </si>
  <si>
    <t>2307.0000000000000000</t>
  </si>
  <si>
    <t>2940/STOR SERVICE</t>
  </si>
  <si>
    <t>000002940/Invoice</t>
  </si>
  <si>
    <t>2308.0000000000000000</t>
  </si>
  <si>
    <t>POS_EG-111</t>
  </si>
  <si>
    <t>POS-000002012</t>
  </si>
  <si>
    <t>|1302|013|001|001|101000801|101000801||||3075|3336|Collect|||IMPORT||||</t>
  </si>
  <si>
    <t>2309.0000000000000000</t>
  </si>
  <si>
    <t>2981/STOR   IMPORT ALEX</t>
  </si>
  <si>
    <t>000002981/Invoice</t>
  </si>
  <si>
    <t>2310.0000000000000000</t>
  </si>
  <si>
    <t>QNB_EG_CA1-22</t>
  </si>
  <si>
    <t>BankIn-000002013</t>
  </si>
  <si>
    <t>|1301|013|001|001|101001467|101001467||||3031|3336|Collect|||IMPORT||||</t>
  </si>
  <si>
    <t>O25-IMP-OC-182|‏ME_Q-20241104702-IMP-LCL‎|‏Sl-000002‎|‏RP-000001‎|‏‎|‏‎|‏‎|‏‎|‏‎|‏CMA CGM TOKYO‎|‏DEHAM Hamburg‎|‏696 ALEXANDRIA‎|‏13/01/2025‎|‏‎|‏13/01/2025‎|‏‎|‏‎|‏06/01/2025‎|‏‎</t>
  </si>
  <si>
    <t>2311.0000000000000000</t>
  </si>
  <si>
    <t>101001467</t>
  </si>
  <si>
    <t>207355355</t>
  </si>
  <si>
    <t>765/THC</t>
  </si>
  <si>
    <t>000000765/Invoice</t>
  </si>
  <si>
    <t>2312.0000000000000000</t>
  </si>
  <si>
    <t>QNB_EG_CA1-23</t>
  </si>
  <si>
    <t>BankIn-000002014</t>
  </si>
  <si>
    <t>2313.0000000000000000</t>
  </si>
  <si>
    <t>764/NAFEZA SERVICE</t>
  </si>
  <si>
    <t>000000764/Invoice</t>
  </si>
  <si>
    <t>2314.0000000000000000</t>
  </si>
  <si>
    <t>QNB_EU_CA1-9</t>
  </si>
  <si>
    <t>BankIn-000002015</t>
  </si>
  <si>
    <t>2315.0000000000000000</t>
  </si>
  <si>
    <t>70/مطالبة نولون محصلة لصالح الغير</t>
  </si>
  <si>
    <t>000000070/OF-FW</t>
  </si>
  <si>
    <t>2316.0000000000000000</t>
  </si>
  <si>
    <t>POS_EG-115</t>
  </si>
  <si>
    <t>POS-000002016</t>
  </si>
  <si>
    <t>2317.0000000000000000</t>
  </si>
  <si>
    <t>|1302|013|001|001|101000359|101000359||||3038|3077|Collect|||IMPORT||||</t>
  </si>
  <si>
    <t>3045/STOR SERVICE</t>
  </si>
  <si>
    <t>000003045/Invoice</t>
  </si>
  <si>
    <t>2318.0000000000000000</t>
  </si>
  <si>
    <t>3046/STOR   IMPORT ALEX</t>
  </si>
  <si>
    <t>000003046/Invoice</t>
  </si>
  <si>
    <t>2319.0000000000000000</t>
  </si>
  <si>
    <t>3051/STOR SERVICE</t>
  </si>
  <si>
    <t>000003051/Invoice</t>
  </si>
  <si>
    <t>2320.0000000000000000</t>
  </si>
  <si>
    <t>3052/STOR   IMPORT ALEX</t>
  </si>
  <si>
    <t>000003052/Invoice</t>
  </si>
  <si>
    <t>2321.0000000000000000</t>
  </si>
  <si>
    <t>POS_EG-116</t>
  </si>
  <si>
    <t>POS-000002017</t>
  </si>
  <si>
    <t>|1302|013|001|001|101000095|101000095||||3075|3208|Collect|||IMPORT||||</t>
  </si>
  <si>
    <t>2322.0000000000000000</t>
  </si>
  <si>
    <t>3070/STOR   IMPORT ALEX</t>
  </si>
  <si>
    <t>000003070/Invoice</t>
  </si>
  <si>
    <t>2323.0000000000000000</t>
  </si>
  <si>
    <t>POS_EG-118</t>
  </si>
  <si>
    <t>POS-000002018</t>
  </si>
  <si>
    <t>|1302|013|001|001|101000679|101000679||||3075|3208|Collect|||IMPORT||||</t>
  </si>
  <si>
    <t>2324.0000000000000000</t>
  </si>
  <si>
    <t>3090/STOR   IMPORT ALEX</t>
  </si>
  <si>
    <t>000003090/Invoice</t>
  </si>
  <si>
    <t>2325.0000000000000000</t>
  </si>
  <si>
    <t>POS_EG-119</t>
  </si>
  <si>
    <t>POS-000002019</t>
  </si>
  <si>
    <t>|1302|013|001|001|101000546|101000546||||3038|3208|Collect|||IMPORT||||</t>
  </si>
  <si>
    <t>2326.0000000000000000</t>
  </si>
  <si>
    <t>3087/STOR   IMPORT ALEX</t>
  </si>
  <si>
    <t>000003087/Invoice</t>
  </si>
  <si>
    <t>2327.0000000000000000</t>
  </si>
  <si>
    <t>3091/STOR   IMPORT ALEX</t>
  </si>
  <si>
    <t>000003091/Invoice</t>
  </si>
  <si>
    <t>2328.0000000000000000</t>
  </si>
  <si>
    <t>POS_EG-120</t>
  </si>
  <si>
    <t>POS-000002020</t>
  </si>
  <si>
    <t>2329.0000000000000000</t>
  </si>
  <si>
    <t>3107/STOR SERVICE</t>
  </si>
  <si>
    <t>000003107/Invoice</t>
  </si>
  <si>
    <t>2330.0000000000000000</t>
  </si>
  <si>
    <t>ALEXHO EG-362</t>
  </si>
  <si>
    <t>CashIn-000002028</t>
  </si>
  <si>
    <t>|1301|013|001|001|101004647|101004647||||3031|3208|Collect|||IMPORT||||</t>
  </si>
  <si>
    <t>O25-IMP-OC-888|‏ME_Q-20250107691-IMP-LCL‎|‏Sl-000004‎|‏RP-000001‎|‏‎|‏‎|‏‎|‏‎|‏‎|‏MARIO A‎|‏ITGOA Genoa‎|‏696 ALEXANDRIA‎|‏‎|‏21/01/2025‎|‏25/01/2025‎|‏‎|‏‎|‏22/01/2025‎|‏31/01/2025‎</t>
  </si>
  <si>
    <t>2331.0000000000000000</t>
  </si>
  <si>
    <t>101004647</t>
  </si>
  <si>
    <t>200802267</t>
  </si>
  <si>
    <t>2827/THC</t>
  </si>
  <si>
    <t>000002827/Invoice</t>
  </si>
  <si>
    <t>2332.0000000000000000</t>
  </si>
  <si>
    <t>CIB_EG_CA-25</t>
  </si>
  <si>
    <t>BankIn-000002029</t>
  </si>
  <si>
    <t>122201|1301|013|001|001|101004647|101004647||||3031|3208|Collect|||IMPORT||||</t>
  </si>
  <si>
    <t>2828/NAFEZA SERVICE</t>
  </si>
  <si>
    <t>000002828/Invoice</t>
  </si>
  <si>
    <t>2333.0000000000000000</t>
  </si>
  <si>
    <t>2334.0000000000000000</t>
  </si>
  <si>
    <t>CIB_US_CA-19</t>
  </si>
  <si>
    <t>BankIn-000002030</t>
  </si>
  <si>
    <t>344/مطالبة نولون محصلة لصالح الغير</t>
  </si>
  <si>
    <t>2335.0000000000000000</t>
  </si>
  <si>
    <t>|1301|013|001|001|101004647||||||||||IMPORT||||</t>
  </si>
  <si>
    <t>2336.0000000000000000</t>
  </si>
  <si>
    <t>421103|1301|013|001|001|101004647||||||||||IMPORT||||</t>
  </si>
  <si>
    <t>2337.0000000000000000</t>
  </si>
  <si>
    <t>Merghem EG-43</t>
  </si>
  <si>
    <t>CashIn-000002031</t>
  </si>
  <si>
    <t>|1302|013|001|001|101001527|101001527||||3038|3336|Collect|||IMPORT||||</t>
  </si>
  <si>
    <t>2338.0000000000000000</t>
  </si>
  <si>
    <t>2913/STOR   IMPORT ALEX</t>
  </si>
  <si>
    <t>000002913/Invoice</t>
  </si>
  <si>
    <t>2339.0000000000000000</t>
  </si>
  <si>
    <t>ALEXHO EG-363</t>
  </si>
  <si>
    <t>CashIn-000002035</t>
  </si>
  <si>
    <t>O25-IMP-OC-888|‏ME_Q-20250108617-IMP-LCL‎|‏Sl-000004‎|‏RP-000001‎|‏‎|‏‎|‏‎|‏‎|‏‎|‏MARIO A‎|‏ITGOA Genoa‎|‏696 ALEXANDRIA‎|‏‎|‏21/01/2025‎|‏25/01/2025‎|‏‎|‏‎|‏22/01/2025‎|‏31/01/2025‎</t>
  </si>
  <si>
    <t>2340.0000000000000000</t>
  </si>
  <si>
    <t>2523/THC</t>
  </si>
  <si>
    <t>000002523/Invoice</t>
  </si>
  <si>
    <t>2341.0000000000000000</t>
  </si>
  <si>
    <t>ALEXHO EG-364</t>
  </si>
  <si>
    <t>CashIn-000002036</t>
  </si>
  <si>
    <t>2342.0000000000000000</t>
  </si>
  <si>
    <t>2524/NAFEZA SERVICE</t>
  </si>
  <si>
    <t>000002524/Invoice</t>
  </si>
  <si>
    <t>2343.0000000000000000</t>
  </si>
  <si>
    <t>ALEXHO EG-365</t>
  </si>
  <si>
    <t>CashIn-000002037</t>
  </si>
  <si>
    <t>O25-IMP-OC-888|‏ME_Q-20250108618-IMP-LCL‎|‏Sl-000004‎|‏RP-000001‎|‏‎|‏‎|‏‎|‏‎|‏‎|‏MARIO A‎|‏ITGOA Genoa‎|‏696 ALEXANDRIA‎|‏‎|‏21/01/2025‎|‏25/01/2025‎|‏‎|‏‎|‏22/01/2025‎|‏31/01/2025‎</t>
  </si>
  <si>
    <t>2344.0000000000000000</t>
  </si>
  <si>
    <t>2326/THC</t>
  </si>
  <si>
    <t>000002326/Invoice</t>
  </si>
  <si>
    <t>2345.0000000000000000</t>
  </si>
  <si>
    <t>ALEXHO EG-366</t>
  </si>
  <si>
    <t>CashIn-000002038</t>
  </si>
  <si>
    <t>2346.0000000000000000</t>
  </si>
  <si>
    <t>2327/NAFEZA SERVICE</t>
  </si>
  <si>
    <t>000002327/Invoice</t>
  </si>
  <si>
    <t>2347.0000000000000000</t>
  </si>
  <si>
    <t>ALEXHO EG-367</t>
  </si>
  <si>
    <t>CashIn-000002039</t>
  </si>
  <si>
    <t>O25-IMP-OC-888|‏ME_Q-20250108607-IMP-LCL‎|‏Sl-000004‎|‏RP-000001‎|‏‎|‏‎|‏‎|‏‎|‏‎|‏MARIO A‎|‏ITGOA Genoa‎|‏696 ALEXANDRIA‎|‏‎|‏21/01/2025‎|‏25/01/2025‎|‏‎|‏‎|‏22/01/2025‎|‏31/01/2025‎</t>
  </si>
  <si>
    <t>2348.0000000000000000</t>
  </si>
  <si>
    <t>2330/THC</t>
  </si>
  <si>
    <t>000002330/Invoice</t>
  </si>
  <si>
    <t>2349.0000000000000000</t>
  </si>
  <si>
    <t>ALEXHO EG-368</t>
  </si>
  <si>
    <t>CashIn-000002040</t>
  </si>
  <si>
    <t>2350.0000000000000000</t>
  </si>
  <si>
    <t>2331/NAFEZA SERVICE</t>
  </si>
  <si>
    <t>000002331/Invoice</t>
  </si>
  <si>
    <t>2351.0000000000000000</t>
  </si>
  <si>
    <t>ALEXHO EG-369</t>
  </si>
  <si>
    <t>CashIn-000002041</t>
  </si>
  <si>
    <t>O25-IMP-OC-823|‏ME_Q-20250108605-IMP-LCL‎|‏Sl-000002‎|‏RP-000001‎|‏‎|‏‎|‏‎|‏‎|‏‎|‏CMA CGM ALCAZAR‎|‏DEHAM Hamburg‎|‏696 ALEXANDRIA‎|‏‎|‏25/12/2024‎|‏26/01/2025‎|‏‎|‏‎|‏21/01/2025‎|‏‎</t>
  </si>
  <si>
    <t>2352.0000000000000000</t>
  </si>
  <si>
    <t>2332/THC</t>
  </si>
  <si>
    <t>000002332/Invoice</t>
  </si>
  <si>
    <t>2353.0000000000000000</t>
  </si>
  <si>
    <t>ALEXHO EG-370</t>
  </si>
  <si>
    <t>CashIn-000002042</t>
  </si>
  <si>
    <t>2354.0000000000000000</t>
  </si>
  <si>
    <t>2333/NAFEZA SERVICE</t>
  </si>
  <si>
    <t>000002333/Invoice</t>
  </si>
  <si>
    <t>2355.0000000000000000</t>
  </si>
  <si>
    <t>Merghem EG-44</t>
  </si>
  <si>
    <t>CashIn-000002043</t>
  </si>
  <si>
    <t>|1302|013|001|001|101000246|101000246||||3042|3336|Prepaid|||IMPORT||||</t>
  </si>
  <si>
    <t>2356.0000000000000000</t>
  </si>
  <si>
    <t>2916/STOR   IMPORT ALEX</t>
  </si>
  <si>
    <t>000002916/Invoice</t>
  </si>
  <si>
    <t>2357.0000000000000000</t>
  </si>
  <si>
    <t>Merghem EG-45</t>
  </si>
  <si>
    <t>CashIn-000002044</t>
  </si>
  <si>
    <t>2358.0000000000000000</t>
  </si>
  <si>
    <t>2917/STOR SERVICE</t>
  </si>
  <si>
    <t>000002917/Invoice</t>
  </si>
  <si>
    <t>2359.0000000000000000</t>
  </si>
  <si>
    <t>PSD US-5</t>
  </si>
  <si>
    <t>CashIn-000002045</t>
  </si>
  <si>
    <t>|1301|013|001|005|101004649|101004649||||3042|5013|Prepaid|||IMPORT||||</t>
  </si>
  <si>
    <t>2360.0000000000000000</t>
  </si>
  <si>
    <t>101004649</t>
  </si>
  <si>
    <t>701372559</t>
  </si>
  <si>
    <t>351/مطالبة نولون محصلة لصالح الغير</t>
  </si>
  <si>
    <t>000000351/OF-FW</t>
  </si>
  <si>
    <t>2361.0000000000000000</t>
  </si>
  <si>
    <t>PSD EG-127</t>
  </si>
  <si>
    <t>CashIn-000002046</t>
  </si>
  <si>
    <t>2362.0000000000000000</t>
  </si>
  <si>
    <t>2924/THC PSD</t>
  </si>
  <si>
    <t>000002924/Invoice</t>
  </si>
  <si>
    <t>2363.0000000000000000</t>
  </si>
  <si>
    <t>PSD EG-128</t>
  </si>
  <si>
    <t>CashIn-000002047</t>
  </si>
  <si>
    <t>2364.0000000000000000</t>
  </si>
  <si>
    <t>2925/NAFEZA SERVICE PSD</t>
  </si>
  <si>
    <t>000002925/Invoice</t>
  </si>
  <si>
    <t>2365.0000000000000000</t>
  </si>
  <si>
    <t>ALEXHO EG-371</t>
  </si>
  <si>
    <t>CashIn-000002048</t>
  </si>
  <si>
    <t>|1201|012|001|001|101003639|101003639||||3057|3115|Payable|||IMPORT||||</t>
  </si>
  <si>
    <t>O25-IMP-OC-243|‏ME_Q-20250107184-IMP-FCL‎|‏Sl-000004‎|‏‎|‏BEY000001825‎|‏‎|‏‎|‏‎|‏‎|‏‎|‏LBBEY Beirut‎|‏EGALY Alexandria, Egypt (old)‎|‏‎|‏‎|‏‎|‏‎|‏‎|‏08/01/2025‎|‏31/01/2025‎</t>
  </si>
  <si>
    <t>2366.0000000000000000</t>
  </si>
  <si>
    <t>101003639</t>
  </si>
  <si>
    <t>538128534</t>
  </si>
  <si>
    <t>594/OFFICIAL</t>
  </si>
  <si>
    <t>000000594/OR-FW</t>
  </si>
  <si>
    <t>2367.0000000000000000</t>
  </si>
  <si>
    <t>ALEXHO EG-372</t>
  </si>
  <si>
    <t>CashIn-000002049</t>
  </si>
  <si>
    <t>|1501|015|001|001|101000492|101000492||||3057|3115|Payable|||IMPORT||||</t>
  </si>
  <si>
    <t>O25-IMP-OC-1085|‏ME_Q-20250109374-IMP-FCL‎|‏RP-000001‎|‏‎|‏‎|‏‎|‏‎|‏‎|‏‎|‏‎|‏CNSHA Shanghai‎|‏EGALY Alexandria, Egypt (old)‎|‏‎|‏‎|‏‎|‏‎|‏‎|‏28/01/2025‎|‏31/01/2025‎</t>
  </si>
  <si>
    <t>2368.0000000000000000</t>
  </si>
  <si>
    <t>2725/INV</t>
  </si>
  <si>
    <t>000002725/Invoice</t>
  </si>
  <si>
    <t>2369.0000000000000000</t>
  </si>
  <si>
    <t>ALEXHO EG-373</t>
  </si>
  <si>
    <t>CashIn-000002050</t>
  </si>
  <si>
    <t>|1501|015|001|001|101003639|101003639||||3057|3115|Payable|||IMPORT||||</t>
  </si>
  <si>
    <t>2370.0000000000000000</t>
  </si>
  <si>
    <t>2728/INV</t>
  </si>
  <si>
    <t>000002728/Invoice</t>
  </si>
  <si>
    <t>2371.0000000000000000</t>
  </si>
  <si>
    <t>Merghem EG-46</t>
  </si>
  <si>
    <t>CashIn-000002059</t>
  </si>
  <si>
    <t>|1302|013|001|001|101004564|101004564||||3076|3336|Collect|||IMPORT||||</t>
  </si>
  <si>
    <t>2372.0000000000000000</t>
  </si>
  <si>
    <t>2935/STOR   IMPORT ALEX</t>
  </si>
  <si>
    <t>000002935/Invoice</t>
  </si>
  <si>
    <t>2373.0000000000000000</t>
  </si>
  <si>
    <t>Merghem EG-47</t>
  </si>
  <si>
    <t>CashIn-000002060</t>
  </si>
  <si>
    <t>2374.0000000000000000</t>
  </si>
  <si>
    <t>2934/STOR SERVICE</t>
  </si>
  <si>
    <t>000002934/Invoice</t>
  </si>
  <si>
    <t>2375.0000000000000000</t>
  </si>
  <si>
    <t>ALEXHO EG-374</t>
  </si>
  <si>
    <t>CashIn-000002061</t>
  </si>
  <si>
    <t>|1301|013|001|001|101001681|101001681||||3075|3208|Collect|||IMPORT||||</t>
  </si>
  <si>
    <t>O25-IMP-OC-816|‏ME_Q-20250108606-IMP-LCL‎|‏Sl-000002‎|‏RP-000001‎|‏‎|‏‎|‏‎|‏‎|‏‎|‏CMA CGM ALCAZAR‎|‏DEHAM Hamburg‎|‏696 ALEXANDRIA‎|‏‎|‏24/12/2024‎|‏26/01/2025‎|‏‎|‏‎|‏21/01/2025‎|‏‎</t>
  </si>
  <si>
    <t>2376.0000000000000000</t>
  </si>
  <si>
    <t>101001681</t>
  </si>
  <si>
    <t>100037054</t>
  </si>
  <si>
    <t>2448/THC</t>
  </si>
  <si>
    <t>000002448/Invoice</t>
  </si>
  <si>
    <t>2377.0000000000000000</t>
  </si>
  <si>
    <t>Merghem EG-48</t>
  </si>
  <si>
    <t>CashIn-000002062</t>
  </si>
  <si>
    <t>|1302|013|001|001|101000149|101000149||||3038|3208|Collect|||IMPORT||||</t>
  </si>
  <si>
    <t>2378.0000000000000000</t>
  </si>
  <si>
    <t>2939/STOR   IMPORT ALEX</t>
  </si>
  <si>
    <t>000002939/Invoice</t>
  </si>
  <si>
    <t>2379.0000000000000000</t>
  </si>
  <si>
    <t>ALEXHO EG-375</t>
  </si>
  <si>
    <t>CashIn-000002063</t>
  </si>
  <si>
    <t>2380.0000000000000000</t>
  </si>
  <si>
    <t>2449/NAFEZA SERVICE</t>
  </si>
  <si>
    <t>000002449/Invoice</t>
  </si>
  <si>
    <t>2381.0000000000000000</t>
  </si>
  <si>
    <t>ALEXHO EG-376</t>
  </si>
  <si>
    <t>CashIn-000002064</t>
  </si>
  <si>
    <t>O25-IMP-OC-462|‏ME_Q-20250108372-IMP-LCL‎|‏Sl-000001‎|‏RP-000001‎|‏‎|‏‎|‏‎|‏‎|‏‎|‏CMA CGM RODOLPHE‎|‏CNNGB Ningbo‎|‏696 ALEXANDRIA‎|‏‎|‏28/12/2024‎|‏19/01/2025‎|‏‎|‏‎|‏13/01/2025‎|‏‎</t>
  </si>
  <si>
    <t>2382.0000000000000000</t>
  </si>
  <si>
    <t>2389/THC</t>
  </si>
  <si>
    <t>000002389/Invoice</t>
  </si>
  <si>
    <t>2383.0000000000000000</t>
  </si>
  <si>
    <t>ALEXHO EG-377</t>
  </si>
  <si>
    <t>CashIn-000002065</t>
  </si>
  <si>
    <t>2384.0000000000000000</t>
  </si>
  <si>
    <t>2390/NAFEZA SERVICE</t>
  </si>
  <si>
    <t>000002390/Invoice</t>
  </si>
  <si>
    <t>2385.0000000000000000</t>
  </si>
  <si>
    <t>ALEXHO EG-378</t>
  </si>
  <si>
    <t>CashIn-000002066</t>
  </si>
  <si>
    <t>|1201|012|001|001|101000540|101000540||||3038|3039|Payable|||IMPORT||||</t>
  </si>
  <si>
    <t>O25-IMP-OC-1133|‏ME_Q-20250109547-IMP-FCL‎|‏Sl-000002‎|‏Ag-000113‎|‏ISB1650228‎|‏‎|‏‎|‏‎|‏‎|‏‎|‏TRALI Aliaga‎|‏EGALY Alexandria, Egypt (old)‎|‏‎|‏‎|‏‎|‏‎|‏‎|‏29/01/2025‎|‏31/01/2025‎</t>
  </si>
  <si>
    <t>2386.0000000000000000</t>
  </si>
  <si>
    <t>2937/INV</t>
  </si>
  <si>
    <t>000002937/Invoice</t>
  </si>
  <si>
    <t>2387.0000000000000000</t>
  </si>
  <si>
    <t>ALEXHO EG-379</t>
  </si>
  <si>
    <t>CashIn-000002067</t>
  </si>
  <si>
    <t>O25-IMP-OC-813|‏ME_Q-20240901614-IMP-LCL‎|‏Sl-000036‎|‏RP-000001‎|‏‎|‏‎|‏‎|‏‎|‏‎|‏DELPHIS GDANSK‎|‏CNSHA Shanghai‎|‏696 ALEXANDRIA‎|‏‎|‏22/11/2024‎|‏25/01/2025‎|‏‎|‏‎|‏21/01/2025‎|‏‎</t>
  </si>
  <si>
    <t>355/مطالبة نولون محصلة لصالح الغير</t>
  </si>
  <si>
    <t>2388.0000000000000000</t>
  </si>
  <si>
    <t>101002960</t>
  </si>
  <si>
    <t>|1301|013|001|001|101002960||||||||||IMPORT||||</t>
  </si>
  <si>
    <t>379066513</t>
  </si>
  <si>
    <t>2389.0000000000000000</t>
  </si>
  <si>
    <t>421103|1301|013|001|001|101002960||||||||||IMPORT||||</t>
  </si>
  <si>
    <t>2390.0000000000000000</t>
  </si>
  <si>
    <t>ALEXHO EG-380</t>
  </si>
  <si>
    <t>CashIn-000002068</t>
  </si>
  <si>
    <t>|1301|013|001|001|101002960|101002960||||3076|3208|Collect|||IMPORT||||</t>
  </si>
  <si>
    <t>2391.0000000000000000</t>
  </si>
  <si>
    <t>2942/NAFEZA SERVICE</t>
  </si>
  <si>
    <t>000002942/Invoice</t>
  </si>
  <si>
    <t>2392.0000000000000000</t>
  </si>
  <si>
    <t>ALEXHO EG-381</t>
  </si>
  <si>
    <t>CashIn-000002069</t>
  </si>
  <si>
    <t>2393.0000000000000000</t>
  </si>
  <si>
    <t>2941/THC</t>
  </si>
  <si>
    <t>000002941/Invoice</t>
  </si>
  <si>
    <t>2394.0000000000000000</t>
  </si>
  <si>
    <t>ALEXHO EG-382</t>
  </si>
  <si>
    <t>CashIn-000002071</t>
  </si>
  <si>
    <t>|1301|013|001|001|101000257|101000257||||3031|3208|Collect|||IMPORT||||</t>
  </si>
  <si>
    <t>O25-IMP-OC-820|‏ME_Q-20250109082-IMP-LCL‎|‏Sl-000002‎|‏RP-000001‎|‏‎|‏‎|‏‎|‏‎|‏‎|‏CMA CGM ALCAZAR‎|‏DEHAB Hambergen‎|‏696 ALEXANDRIA‎|‏‎|‏25/12/2024‎|‏26/01/2025‎|‏‎|‏‎|‏21/01/2025‎|‏‎</t>
  </si>
  <si>
    <t>2395.0000000000000000</t>
  </si>
  <si>
    <t>2930/THC</t>
  </si>
  <si>
    <t>000002930/Invoice</t>
  </si>
  <si>
    <t>2396.0000000000000000</t>
  </si>
  <si>
    <t>ALEXHO EG-383</t>
  </si>
  <si>
    <t>CashIn-000002072</t>
  </si>
  <si>
    <t>2397.0000000000000000</t>
  </si>
  <si>
    <t>2929/NAFEZA SERVICE</t>
  </si>
  <si>
    <t>000002929/Invoice</t>
  </si>
  <si>
    <t>2398.0000000000000000</t>
  </si>
  <si>
    <t>Merghem EG-49</t>
  </si>
  <si>
    <t>CashIn-000002073</t>
  </si>
  <si>
    <t>2399.0000000000000000</t>
  </si>
  <si>
    <t>2952/STOR SERVICE</t>
  </si>
  <si>
    <t>000002952/Invoice</t>
  </si>
  <si>
    <t>2400.0000000000000000</t>
  </si>
  <si>
    <t>Merghem EG-50</t>
  </si>
  <si>
    <t>CashIn-000002074</t>
  </si>
  <si>
    <t>2401.0000000000000000</t>
  </si>
  <si>
    <t>2946/STOR SERVICE</t>
  </si>
  <si>
    <t>000002946/Invoice</t>
  </si>
  <si>
    <t>2402.0000000000000000</t>
  </si>
  <si>
    <t>Merghem EG-51</t>
  </si>
  <si>
    <t>CashIn-000002075</t>
  </si>
  <si>
    <t>2403.0000000000000000</t>
  </si>
  <si>
    <t>2953/STOR   IMPORT ALEX</t>
  </si>
  <si>
    <t>000002953/Invoice</t>
  </si>
  <si>
    <t>2404.0000000000000000</t>
  </si>
  <si>
    <t>Merghem EG-52</t>
  </si>
  <si>
    <t>CashIn-000002076</t>
  </si>
  <si>
    <t>2405.0000000000000000</t>
  </si>
  <si>
    <t>2947/STOR   IMPORT ALEX</t>
  </si>
  <si>
    <t>000002947/Invoice</t>
  </si>
  <si>
    <t>2406.0000000000000000</t>
  </si>
  <si>
    <t>ALEXHO EG-384</t>
  </si>
  <si>
    <t>CashIn-000002077</t>
  </si>
  <si>
    <t>|1301|013|001|001|101000142|101000142||||3075|3208|Collect|||IMPORT||||</t>
  </si>
  <si>
    <t>O25-IMP-OC-813|‏‎|‏Sl-000036‎|‏RP-000001‎|‏‎|‏‎|‏‎|‏‎|‏‎|‏DELPHIS GDANSK‎|‏CNSHA Shanghai‎|‏696 ALEXANDRIA‎|‏‎|‏22/11/2024‎|‏25/01/2025‎|‏‎|‏‎|‏21/01/2025‎|‏‎</t>
  </si>
  <si>
    <t>2407.0000000000000000</t>
  </si>
  <si>
    <t>2954/THC</t>
  </si>
  <si>
    <t>000002954/Invoice</t>
  </si>
  <si>
    <t>2408.0000000000000000</t>
  </si>
  <si>
    <t>ALEXHO EG-385</t>
  </si>
  <si>
    <t>CashIn-000002078</t>
  </si>
  <si>
    <t>2409.0000000000000000</t>
  </si>
  <si>
    <t>2955/NAFEZA SERVICE</t>
  </si>
  <si>
    <t>000002955/Invoice</t>
  </si>
  <si>
    <t>2410.0000000000000000</t>
  </si>
  <si>
    <t>ALEXHO EG-386</t>
  </si>
  <si>
    <t>CashIn-000002086</t>
  </si>
  <si>
    <t>O25-IMP-OC-741|‏ME_Q-20250109635-IMP-LCL‎|‏Sl-000010‎|‏Ag-000203‎|‏MLTRLS2500470‎|‏‎|‏‎|‏‎|‏‎|‏AL BIDDA‎|‏TRMAD MARDAS‎|‏EGALY Alexandria, Egypt (old)‎|‏27/01/2025‎|‏‎|‏27/01/2025‎|‏‎|‏‎|‏20/01/2025‎|‏31/01/2025‎</t>
  </si>
  <si>
    <t>2411.0000000000000000</t>
  </si>
  <si>
    <t>2972/THC</t>
  </si>
  <si>
    <t>000002972/Invoice</t>
  </si>
  <si>
    <t>2412.0000000000000000</t>
  </si>
  <si>
    <t>ALEXHO EG-387</t>
  </si>
  <si>
    <t>CashIn-000002087</t>
  </si>
  <si>
    <t>2413.0000000000000000</t>
  </si>
  <si>
    <t>2973/NAFEZA SERVICE</t>
  </si>
  <si>
    <t>000002973/Invoice</t>
  </si>
  <si>
    <t>2414.0000000000000000</t>
  </si>
  <si>
    <t>Merghem EG-53</t>
  </si>
  <si>
    <t>CashIn-000002088</t>
  </si>
  <si>
    <t>|1302|013|001|001|101000011|101000011||||3031|3336|Collect|||IMPORT||||</t>
  </si>
  <si>
    <t>2415.0000000000000000</t>
  </si>
  <si>
    <t>2968/STOR   IMPORT ALEX</t>
  </si>
  <si>
    <t>000002968/Invoice</t>
  </si>
  <si>
    <t>2416.0000000000000000</t>
  </si>
  <si>
    <t>Merghem EG-54</t>
  </si>
  <si>
    <t>CashIn-000002089</t>
  </si>
  <si>
    <t>2417.0000000000000000</t>
  </si>
  <si>
    <t>2967/STOR SERVICE</t>
  </si>
  <si>
    <t>000002967/Invoice</t>
  </si>
  <si>
    <t>2418.0000000000000000</t>
  </si>
  <si>
    <t>ALEXHO EU-10</t>
  </si>
  <si>
    <t>CashIn-000002090</t>
  </si>
  <si>
    <t>O25-IMP-OC-395|‏ME_Q-20250107881-IMP-LCL‎|‏Sl-000004‎|‏RP-000001‎|‏‎|‏‎|‏‎|‏‎|‏‎|‏TEOMAN A‎|‏ITGOA Genoa‎|‏696 ALEXANDRIA‎|‏11/01/2025‎|‏07/01/2025‎|‏11/01/2025‎|‏‎|‏‎|‏12/01/2025‎|‏31/01/2025‎</t>
  </si>
  <si>
    <t>2419.0000000000000000</t>
  </si>
  <si>
    <t>352/مطالبة نولون محصلة لصالح الغير</t>
  </si>
  <si>
    <t>000000352/OF-FW</t>
  </si>
  <si>
    <t>2420.0000000000000000</t>
  </si>
  <si>
    <t>ALEXHO EU-11</t>
  </si>
  <si>
    <t>CashIn-000002091</t>
  </si>
  <si>
    <t>O25-IMP-OC-888|‏ME_Q-20241205566-IMP-LCL‎|‏Sl-000004‎|‏RP-000001‎|‏‎|‏‎|‏‎|‏‎|‏‎|‏MARIO A‎|‏ITGOA Genoa‎|‏696 ALEXANDRIA‎|‏‎|‏21/01/2025‎|‏25/01/2025‎|‏‎|‏‎|‏23/01/2025‎|‏31/01/2025‎</t>
  </si>
  <si>
    <t>2421.0000000000000000</t>
  </si>
  <si>
    <t>354/مطالبة نولون محصلة لصالح الغير</t>
  </si>
  <si>
    <t>000000354/OF-FW</t>
  </si>
  <si>
    <t>2422.0000000000000000</t>
  </si>
  <si>
    <t>ALEXHO EG-388</t>
  </si>
  <si>
    <t>CashIn-000002092</t>
  </si>
  <si>
    <t>2423.0000000000000000</t>
  </si>
  <si>
    <t>2926/THC</t>
  </si>
  <si>
    <t>000002926/Invoice</t>
  </si>
  <si>
    <t>2424.0000000000000000</t>
  </si>
  <si>
    <t>ALEXHO EG-389</t>
  </si>
  <si>
    <t>CashIn-000002093</t>
  </si>
  <si>
    <t>2425.0000000000000000</t>
  </si>
  <si>
    <t>2927/NAFEZA SERVICE</t>
  </si>
  <si>
    <t>000002927/Invoice</t>
  </si>
  <si>
    <t>2426.0000000000000000</t>
  </si>
  <si>
    <t>ALEXHO EG-390</t>
  </si>
  <si>
    <t>CashIn-000002094</t>
  </si>
  <si>
    <t>2427.0000000000000000</t>
  </si>
  <si>
    <t>2931/THC</t>
  </si>
  <si>
    <t>000002931/Invoice</t>
  </si>
  <si>
    <t>2428.0000000000000000</t>
  </si>
  <si>
    <t>ALEXHO EG-391</t>
  </si>
  <si>
    <t>CashIn-000002095</t>
  </si>
  <si>
    <t>2429.0000000000000000</t>
  </si>
  <si>
    <t>2932/NAFEZA SERVICE</t>
  </si>
  <si>
    <t>000002932/Invoice</t>
  </si>
  <si>
    <t>2430.0000000000000000</t>
  </si>
  <si>
    <t>ALEXHO EG-392</t>
  </si>
  <si>
    <t>CashIn-000002098</t>
  </si>
  <si>
    <t>|1301|013|001|001|101000326|101000326||||3075|3208|Collect|||IMPORT||||</t>
  </si>
  <si>
    <t>O25-IMP-OC-518|‏ME_Q-20241104477-IMP-LCL‎|‏Sl-000002‎|‏RP-000001‎|‏‎|‏‎|‏‎|‏‎|‏‎|‏CMA CGM LAMARTINE‎|‏DEHAB Hambergen‎|‏696 ALEXANDRIA‎|‏‎|‏24/12/2024‎|‏28/01/2025‎|‏‎|‏‎|‏14/01/2025‎|‏‎</t>
  </si>
  <si>
    <t>2431.0000000000000000</t>
  </si>
  <si>
    <t>101000326</t>
  </si>
  <si>
    <t>523429738</t>
  </si>
  <si>
    <t>1593/THC</t>
  </si>
  <si>
    <t>000001593/Invoice</t>
  </si>
  <si>
    <t>2432.0000000000000000</t>
  </si>
  <si>
    <t>ALEXHO EG-393</t>
  </si>
  <si>
    <t>CashIn-000002099</t>
  </si>
  <si>
    <t>2433.0000000000000000</t>
  </si>
  <si>
    <t>1592/NAFEZA SERVICE</t>
  </si>
  <si>
    <t>000001592/Invoice</t>
  </si>
  <si>
    <t>2434.0000000000000000</t>
  </si>
  <si>
    <t>Merghem EG-55</t>
  </si>
  <si>
    <t>CashIn-000002102</t>
  </si>
  <si>
    <t>|1302|013|001|001|101000021|101000021||||3075|3336|Collect|||IMPORT||||</t>
  </si>
  <si>
    <t>O25-IMP-OC-169|‏ME_Q-20241205386-IMP-LCL‎|‏Sl-000007‎|‏Ag-000010‎|‏EGLV142403974073‎|‏‎|‏‎|‏‎|‏‎|‏CMA CGM RODOLPHE‎|‏CNSHA Shanghai‎|‏EGALY Alexandria, Egypt (old)‎|‏19/01/2025‎|‏‎|‏19/01/2025‎|‏‎|‏‎|‏06/01/2025‎|‏31/01/2025‎</t>
  </si>
  <si>
    <t>2435.0000000000000000</t>
  </si>
  <si>
    <t>101000021</t>
  </si>
  <si>
    <t>349992878</t>
  </si>
  <si>
    <t>2987/STOR SERVICE</t>
  </si>
  <si>
    <t>000002987/Invoice</t>
  </si>
  <si>
    <t>2436.0000000000000000</t>
  </si>
  <si>
    <t>ALEXHO EG-394</t>
  </si>
  <si>
    <t>CashIn-000002103</t>
  </si>
  <si>
    <t>O25-IMP-OC-888|‏ME_Q-20241206391-IMP-LCL‎|‏Sl-000004‎|‏RP-000001‎|‏‎|‏‎|‏‎|‏‎|‏‎|‏MARIO A‎|‏ITGOA Genoa‎|‏696 ALEXANDRIA‎|‏‎|‏21/01/2025‎|‏25/01/2025‎|‏‎|‏‎|‏22/01/2025‎|‏31/01/2025‎</t>
  </si>
  <si>
    <t>2437.0000000000000000</t>
  </si>
  <si>
    <t>2115/THC</t>
  </si>
  <si>
    <t>000002115/Invoice</t>
  </si>
  <si>
    <t>2438.0000000000000000</t>
  </si>
  <si>
    <t>ALEXHO EG-395</t>
  </si>
  <si>
    <t>CashIn-000002104</t>
  </si>
  <si>
    <t>2439.0000000000000000</t>
  </si>
  <si>
    <t>2116/NAFEZA SERVICE</t>
  </si>
  <si>
    <t>000002116/Invoice</t>
  </si>
  <si>
    <t>2440.0000000000000000</t>
  </si>
  <si>
    <t>NBD_US_CA-5</t>
  </si>
  <si>
    <t>BankIn-000002106</t>
  </si>
  <si>
    <t>353/مطالبة نولون محصلة لصالح الغير</t>
  </si>
  <si>
    <t>2441.0000000000000000</t>
  </si>
  <si>
    <t>|1301|013|001|001|101000257||||||||||IMPORT||||</t>
  </si>
  <si>
    <t>2442.0000000000000000</t>
  </si>
  <si>
    <t>421103|1301|013|001|001|101000257||||||||||IMPORT||||</t>
  </si>
  <si>
    <t>2443.0000000000000000</t>
  </si>
  <si>
    <t>Merghem EG-56</t>
  </si>
  <si>
    <t>CashIn-000002107</t>
  </si>
  <si>
    <t>2444.0000000000000000</t>
  </si>
  <si>
    <t>3002/STOR SERVICE</t>
  </si>
  <si>
    <t>000003002/Invoice</t>
  </si>
  <si>
    <t>2445.0000000000000000</t>
  </si>
  <si>
    <t>Merghem EG-57</t>
  </si>
  <si>
    <t>CashIn-000002108</t>
  </si>
  <si>
    <t>2446.0000000000000000</t>
  </si>
  <si>
    <t>3007/STOR SERVICE</t>
  </si>
  <si>
    <t>000003007/Invoice</t>
  </si>
  <si>
    <t>2447.0000000000000000</t>
  </si>
  <si>
    <t>ALEXHO EG-396</t>
  </si>
  <si>
    <t>CashIn-000002113</t>
  </si>
  <si>
    <t>O25-IMP-OC-522|‏ME_Q-20241205823-IMP-LCL‎|‏RP-000007‎|‏RP-000001‎|‏‎|‏‎|‏‎|‏‎|‏‎|‏MSC ROMA‎|‏BEANR Antwerp‎|‏696 ALEXANDRIA‎|‏‎|‏08/01/2025‎|‏23/01/2025‎|‏‎|‏‎|‏14/01/2025‎|‏‎</t>
  </si>
  <si>
    <t>301/مطالبة نولون محصلة لصالح الغير</t>
  </si>
  <si>
    <t>2448.0000000000000000</t>
  </si>
  <si>
    <t>101000486</t>
  </si>
  <si>
    <t>|1301|013|001|001|101000486||||||||||IMPORT||||</t>
  </si>
  <si>
    <t>100504957</t>
  </si>
  <si>
    <t>2449.0000000000000000</t>
  </si>
  <si>
    <t>421103|1301|013|001|001|101000486||||||||||IMPORT||||</t>
  </si>
  <si>
    <t>2450.0000000000000000</t>
  </si>
  <si>
    <t>ALEXHO EG-397</t>
  </si>
  <si>
    <t>CashIn-000002114</t>
  </si>
  <si>
    <t>|1301|013|001|001|101000486|101000486||||3038|3208|Collect|||IMPORT||||</t>
  </si>
  <si>
    <t>2451.0000000000000000</t>
  </si>
  <si>
    <t>2555/NAFEZA SERVICE</t>
  </si>
  <si>
    <t>000002555/Invoice</t>
  </si>
  <si>
    <t>2452.0000000000000000</t>
  </si>
  <si>
    <t>ALEXHO EG-398</t>
  </si>
  <si>
    <t>CashIn-000002115</t>
  </si>
  <si>
    <t>2453.0000000000000000</t>
  </si>
  <si>
    <t>2554/THC</t>
  </si>
  <si>
    <t>000002554/Invoice</t>
  </si>
  <si>
    <t>2454.0000000000000000</t>
  </si>
  <si>
    <t>ALEXHO EG-399</t>
  </si>
  <si>
    <t>CashIn-000002116</t>
  </si>
  <si>
    <t>|1301|013|001|001|101000123|101000123||||3038|3208|Collect|||IMPORT||||</t>
  </si>
  <si>
    <t>O25-IMP-OC-823|‏ME_Q-20241205822-IMP-LCL‎|‏Sl-000002‎|‏RP-000001‎|‏‎|‏‎|‏‎|‏‎|‏‎|‏CMA CGM ALCAZAR‎|‏DEHAM Hamburg‎|‏696 ALEXANDRIA‎|‏‎|‏25/12/2024‎|‏26/01/2025‎|‏‎|‏‎|‏27/01/2025‎|‏‎</t>
  </si>
  <si>
    <t>2455.0000000000000000</t>
  </si>
  <si>
    <t>2718/THC</t>
  </si>
  <si>
    <t>000002718/Invoice</t>
  </si>
  <si>
    <t>2456.0000000000000000</t>
  </si>
  <si>
    <t>ALEXHO EG-400</t>
  </si>
  <si>
    <t>CashIn-000002117</t>
  </si>
  <si>
    <t>2457.0000000000000000</t>
  </si>
  <si>
    <t>2719/NAFEZA SERVICE</t>
  </si>
  <si>
    <t>000002719/Invoice</t>
  </si>
  <si>
    <t>2458.0000000000000000</t>
  </si>
  <si>
    <t>Merghem EG-58</t>
  </si>
  <si>
    <t>CashIn-000002119</t>
  </si>
  <si>
    <t>|1302|013|001|001|101000142|101000142||||3075|3336|Collect|||IMPORT||||</t>
  </si>
  <si>
    <t>2459.0000000000000000</t>
  </si>
  <si>
    <t>3039/STOR   IMPORT ALEX</t>
  </si>
  <si>
    <t>000003039/Invoice</t>
  </si>
  <si>
    <t>2460.0000000000000000</t>
  </si>
  <si>
    <t>Merghem EG-59</t>
  </si>
  <si>
    <t>CashIn-000002121</t>
  </si>
  <si>
    <t>2461.0000000000000000</t>
  </si>
  <si>
    <t>3042/STOR SERVICE</t>
  </si>
  <si>
    <t>000003042/Invoice</t>
  </si>
  <si>
    <t>2462.0000000000000000</t>
  </si>
  <si>
    <t>Merghem EG-60</t>
  </si>
  <si>
    <t>CashIn-000002122</t>
  </si>
  <si>
    <t>|1302|013|001|001|101000160|101000160||||3038|3336|Collect|||IMPORT||||</t>
  </si>
  <si>
    <t>2463.0000000000000000</t>
  </si>
  <si>
    <t>3050/STOR SERVICE</t>
  </si>
  <si>
    <t>000003050/Invoice</t>
  </si>
  <si>
    <t>2464.0000000000000000</t>
  </si>
  <si>
    <t>Merghem EG-61</t>
  </si>
  <si>
    <t>CashIn-000002123</t>
  </si>
  <si>
    <t>2465.0000000000000000</t>
  </si>
  <si>
    <t>3048/STOR   IMPORT ALEX</t>
  </si>
  <si>
    <t>000003048/Invoice</t>
  </si>
  <si>
    <t>2466.0000000000000000</t>
  </si>
  <si>
    <t>ALEXHO EG-401</t>
  </si>
  <si>
    <t>CashIn-000002125</t>
  </si>
  <si>
    <t>|1301|013|001|001|101000246|101000246||||3031|3208|Collect|||IMPORT||||</t>
  </si>
  <si>
    <t>O25-IMP-OC-843|‏ME_Q-20241002756-IMP-LCL‎|‏Sl-000003‎|‏RP-000001‎|‏‎|‏‎|‏‎|‏‎|‏‎|‏GH FOEHN‎|‏INNSA Nhava Sheva‎|‏696 ALEXANDRIA‎|‏‎|‏29/11/2024‎|‏26/01/2025‎|‏‎|‏‎|‏21/01/2025‎|‏‎</t>
  </si>
  <si>
    <t>2467.0000000000000000</t>
  </si>
  <si>
    <t>3037/THC</t>
  </si>
  <si>
    <t>000003037/Invoice</t>
  </si>
  <si>
    <t>2468.0000000000000000</t>
  </si>
  <si>
    <t>ALEXHO EG-402</t>
  </si>
  <si>
    <t>CashIn-000002126</t>
  </si>
  <si>
    <t>2469.0000000000000000</t>
  </si>
  <si>
    <t>3038/NAFEZA SERVICE</t>
  </si>
  <si>
    <t>000003038/Invoice</t>
  </si>
  <si>
    <t>2470.0000000000000000</t>
  </si>
  <si>
    <t>Merghem EG-62</t>
  </si>
  <si>
    <t>CashIn-000002128</t>
  </si>
  <si>
    <t>2471.0000000000000000</t>
  </si>
  <si>
    <t>3077/STOR SERVICE</t>
  </si>
  <si>
    <t>000003077/Invoice</t>
  </si>
  <si>
    <t>2472.0000000000000000</t>
  </si>
  <si>
    <t>ALEXHO EG-403</t>
  </si>
  <si>
    <t>CashIn-000002129</t>
  </si>
  <si>
    <t>O25-IMP-OC-888|‏ME_Q-20241206197-IMP-LCL‎|‏Sl-000004‎|‏RP-000001‎|‏‎|‏‎|‏‎|‏‎|‏‎|‏MARIO A‎|‏ITGOA Genoa‎|‏696 ALEXANDRIA‎|‏‎|‏21/01/2025‎|‏25/01/2025‎|‏‎|‏‎|‏22/01/2025‎|‏31/01/2025‎</t>
  </si>
  <si>
    <t>2473.0000000000000000</t>
  </si>
  <si>
    <t>3067/THC</t>
  </si>
  <si>
    <t>000003067/Invoice</t>
  </si>
  <si>
    <t>2474.0000000000000000</t>
  </si>
  <si>
    <t>ALEXHO EG-404</t>
  </si>
  <si>
    <t>CashIn-000002130</t>
  </si>
  <si>
    <t>2475.0000000000000000</t>
  </si>
  <si>
    <t>3068/NAFEZA SERVICE</t>
  </si>
  <si>
    <t>000003068/Invoice</t>
  </si>
  <si>
    <t>2476.0000000000000000</t>
  </si>
  <si>
    <t>ALEXHO EG-405</t>
  </si>
  <si>
    <t>CashIn-000002131</t>
  </si>
  <si>
    <t>O25-IMP-OC-522|‏ME_Q-20241205943-IMP-LCL‎|‏RP-000007‎|‏RP-000001‎|‏‎|‏‎|‏‎|‏‎|‏‎|‏MSC ROMA‎|‏BEANR Antwerp‎|‏696 ALEXANDRIA‎|‏‎|‏08/01/2025‎|‏23/01/2025‎|‏‎|‏‎|‏14/01/2025‎|‏‎</t>
  </si>
  <si>
    <t>2477.0000000000000000</t>
  </si>
  <si>
    <t>3071/THC</t>
  </si>
  <si>
    <t>000003071/Invoice</t>
  </si>
  <si>
    <t>2478.0000000000000000</t>
  </si>
  <si>
    <t>ALEXHO EG-406</t>
  </si>
  <si>
    <t>CashIn-000002132</t>
  </si>
  <si>
    <t>2479.0000000000000000</t>
  </si>
  <si>
    <t>3072/NAFEZA SERVICE</t>
  </si>
  <si>
    <t>000003072/Invoice</t>
  </si>
  <si>
    <t>2480.0000000000000000</t>
  </si>
  <si>
    <t>ALEXHO EG-407</t>
  </si>
  <si>
    <t>CashIn-000002134</t>
  </si>
  <si>
    <t>|1301|013|001|001|101000115|101000115||||MESCO LCL PSD SALES|3208|Collect|||IMPORT||||</t>
  </si>
  <si>
    <t>O25-IMP-OC-819|‏ME_Q-20250108600-IMP-LCL‎|‏Sl-000002‎|‏RP-000001‎|‏‎|‏‎|‏‎|‏‎|‏‎|‏CMA CGM ALCAZAR‎|‏DEHAB Hambergen‎|‏696 ALEXANDRIA‎|‏‎|‏24/12/2024‎|‏26/01/2025‎|‏‎|‏‎|‏21/01/2025‎|‏‎</t>
  </si>
  <si>
    <t>2481.0000000000000000</t>
  </si>
  <si>
    <t>101000115</t>
  </si>
  <si>
    <t>100259340</t>
  </si>
  <si>
    <t>3055/NAFEZA SERVICE</t>
  </si>
  <si>
    <t>000003055/Invoice</t>
  </si>
  <si>
    <t>2482.0000000000000000</t>
  </si>
  <si>
    <t>QNB_US_CA1-31</t>
  </si>
  <si>
    <t>NR-000002135</t>
  </si>
  <si>
    <t>122202|1301|013|001|001|101000016|101000016||||3076|3208|Collect|||IMPORT||||</t>
  </si>
  <si>
    <t>320/مطالبة نولون محصلة لصالح الغير</t>
  </si>
  <si>
    <t>000000320/OF-FW</t>
  </si>
  <si>
    <t>62321018</t>
  </si>
  <si>
    <t>2483.0000000000000000</t>
  </si>
  <si>
    <t>2484.0000000000000000</t>
  </si>
  <si>
    <t>ALEXHO EG-408</t>
  </si>
  <si>
    <t>CashIn-000002136</t>
  </si>
  <si>
    <t>2485.0000000000000000</t>
  </si>
  <si>
    <t>3080/THC</t>
  </si>
  <si>
    <t>000003080/Invoice</t>
  </si>
  <si>
    <t>2486.0000000000000000</t>
  </si>
  <si>
    <t>ALEXHO EG-409</t>
  </si>
  <si>
    <t>CashIn-000002137</t>
  </si>
  <si>
    <t>2487.0000000000000000</t>
  </si>
  <si>
    <t>1900/NAFEZA SERVICE</t>
  </si>
  <si>
    <t>000001900/Invoice</t>
  </si>
  <si>
    <t>2488.0000000000000000</t>
  </si>
  <si>
    <t>ALEXHO EG-410</t>
  </si>
  <si>
    <t>CashIn-000002138</t>
  </si>
  <si>
    <t>|1301|013|001|001|101004633|101004633||||3031|3208|Collect|||IMPORT||||</t>
  </si>
  <si>
    <t>2489.0000000000000000</t>
  </si>
  <si>
    <t>101004633</t>
  </si>
  <si>
    <t>454603762</t>
  </si>
  <si>
    <t>3100/THC</t>
  </si>
  <si>
    <t>000003100/Invoice</t>
  </si>
  <si>
    <t>2490.0000000000000000</t>
  </si>
  <si>
    <t>ALEXHO EG-411</t>
  </si>
  <si>
    <t>CashIn-000002139</t>
  </si>
  <si>
    <t>2491.0000000000000000</t>
  </si>
  <si>
    <t>3099/NAFEZA SERVICE</t>
  </si>
  <si>
    <t>000003099/Invoice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</si>
</sst>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sco221-my.sharepoint.com/personal/maboushady_mesco-eg_com/Documents/Desktop/Customer%20Payment%20Journal-Customer%20payment%20journal%20line..xlsx" TargetMode="External"/><Relationship Id="rId1" Type="http://schemas.openxmlformats.org/officeDocument/2006/relationships/externalLinkPath" Target="/personal/maboushady_mesco-eg_com/Documents/Desktop/Customer%20Payment%20Journal-Customer%20payment%20journal%20line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_payment_journal_line"/>
    </sheetNames>
    <sheetDataSet>
      <sheetData sheetId="0" refreshError="1">
        <row r="1">
          <cell r="B1" t="str">
            <v>PAYMENTID</v>
          </cell>
          <cell r="C1" t="str">
            <v>LINENUMBER</v>
          </cell>
          <cell r="D1" t="str">
            <v>ACCOUNTDISPLAYVALUE</v>
          </cell>
          <cell r="E1" t="str">
            <v>ACCOUNTTYPE</v>
          </cell>
          <cell r="F1" t="str">
            <v>BANKTRANSACTIONTYPE</v>
          </cell>
          <cell r="G1" t="str">
            <v>CALCULATEWITHHOLDINGTAX</v>
          </cell>
          <cell r="H1" t="str">
            <v>CENTRALBANKIMPORTDATE</v>
          </cell>
          <cell r="I1" t="str">
            <v>CENTRALBANKPURPOSECODE</v>
          </cell>
          <cell r="J1" t="str">
            <v>CENTRALBANKPURPOSETEXT</v>
          </cell>
          <cell r="K1" t="str">
            <v>COMPANY</v>
          </cell>
          <cell r="L1" t="str">
            <v>CREDITAMOUNT</v>
          </cell>
          <cell r="AL1" t="str">
            <v>PAYMENTID</v>
          </cell>
          <cell r="AM1" t="str">
            <v>PAYMENTMETHODNAME</v>
          </cell>
          <cell r="AN1" t="str">
            <v>PAYMENTNOTES</v>
          </cell>
          <cell r="AO1" t="str">
            <v>PAYMENTREFERENCE</v>
          </cell>
          <cell r="AP1" t="str">
            <v>PAYMENTSPECIFICATION</v>
          </cell>
          <cell r="AQ1" t="str">
            <v>POSTDATEDCHECKBANKBRANCH</v>
          </cell>
          <cell r="AR1" t="str">
            <v>POSTDATEDCHECKBANKNAME</v>
          </cell>
          <cell r="AS1" t="str">
            <v>POSTDATEDCHECKCASHIERDISPLAYVALUE</v>
          </cell>
          <cell r="AT1" t="str">
            <v>POSTDATEDCHECKISREPLACEMENTCHECK</v>
          </cell>
          <cell r="AU1" t="str">
            <v>POSTDATEDCHECKMATURITYDATE</v>
          </cell>
          <cell r="AV1" t="str">
            <v>POSTDATEDCHECKNUMBER</v>
          </cell>
          <cell r="AW1" t="str">
            <v>POSTDATEDCHECKORIGINALCHECKNUMBER</v>
          </cell>
          <cell r="AX1" t="str">
            <v>POSTDATEDCHECKREASONFORSTOP</v>
          </cell>
          <cell r="AY1" t="str">
            <v>POSTDATEDCHECKRECEIVEDDATE</v>
          </cell>
          <cell r="AZ1" t="str">
            <v>POSTDATEDCHECKREPLACEMENTCOMMENTS</v>
          </cell>
          <cell r="BA1" t="str">
            <v>POSTDATEDCHECKSALESPERSONDISPLAYVALUE</v>
          </cell>
          <cell r="BB1" t="str">
            <v>POSTDATEDCHECKSTOPPAYMENT</v>
          </cell>
          <cell r="BC1" t="str">
            <v>POSTINGPROFILE</v>
          </cell>
          <cell r="BD1" t="str">
            <v>REPORTINGCURRENCYEXCHRATE</v>
          </cell>
          <cell r="BE1" t="str">
            <v>REPORTINGCURRENCYEXCHRATESECONDARY</v>
          </cell>
          <cell r="BF1" t="str">
            <v>SECONDARYEXCHANGERATE</v>
          </cell>
          <cell r="BG1" t="str">
            <v>SETTLEVOUCHER</v>
          </cell>
          <cell r="BH1" t="str">
            <v>TAXGROUP</v>
          </cell>
          <cell r="BI1" t="str">
            <v>TAXITEMGROUP</v>
          </cell>
          <cell r="BJ1" t="str">
            <v>THIRDPARTYBANKACCOUNTID</v>
          </cell>
          <cell r="BK1" t="str">
            <v>TRANSACTIONDATE</v>
          </cell>
          <cell r="BL1" t="str">
            <v>TRANSACTIONTEXT</v>
          </cell>
          <cell r="BM1" t="str">
            <v>USEABANKDEPOSITSLIP</v>
          </cell>
          <cell r="BN1" t="str">
            <v>USESALESTAXDIRECTIONFROMMAINACCOUNT</v>
          </cell>
          <cell r="BO1" t="str">
            <v>VOUCHER</v>
          </cell>
        </row>
        <row r="2">
          <cell r="B2">
            <v>202095</v>
          </cell>
          <cell r="C2" t="str">
            <v>1.0000000000000000</v>
          </cell>
          <cell r="D2" t="str">
            <v>101000267</v>
          </cell>
          <cell r="E2" t="str">
            <v>Cust</v>
          </cell>
          <cell r="G2" t="str">
            <v>No</v>
          </cell>
          <cell r="H2" t="str">
            <v>1900-01-01 00:00:00</v>
          </cell>
          <cell r="K2" t="str">
            <v>M-P</v>
          </cell>
          <cell r="L2">
            <v>1653</v>
          </cell>
          <cell r="AL2">
            <v>202095</v>
          </cell>
          <cell r="BC2" t="str">
            <v>Cust-PP</v>
          </cell>
          <cell r="BD2" t="str">
            <v>1.9665683382497540</v>
          </cell>
          <cell r="BE2" t="str">
            <v>.0000000000000000</v>
          </cell>
          <cell r="BF2" t="str">
            <v>.0000000000000000</v>
          </cell>
          <cell r="BG2" t="str">
            <v>SelectedTransact</v>
          </cell>
          <cell r="BH2" t="str">
            <v>Taxable</v>
          </cell>
          <cell r="BK2" t="str">
            <v>2025-01-04 00:00:00</v>
          </cell>
          <cell r="BL2" t="str">
            <v>Airport EG-1</v>
          </cell>
          <cell r="BM2" t="str">
            <v>No</v>
          </cell>
          <cell r="BN2" t="str">
            <v>No</v>
          </cell>
          <cell r="BO2" t="str">
            <v>CPay-000000001</v>
          </cell>
        </row>
        <row r="3">
          <cell r="B3">
            <v>202096</v>
          </cell>
          <cell r="C3" t="str">
            <v>2.0000000000000000</v>
          </cell>
          <cell r="D3" t="str">
            <v>101000267</v>
          </cell>
          <cell r="E3" t="str">
            <v>Cust</v>
          </cell>
          <cell r="G3" t="str">
            <v>No</v>
          </cell>
          <cell r="H3" t="str">
            <v>1900-01-01 00:00:00</v>
          </cell>
          <cell r="K3" t="str">
            <v>M-P</v>
          </cell>
          <cell r="L3">
            <v>1229.1500000000001</v>
          </cell>
          <cell r="AL3">
            <v>202096</v>
          </cell>
          <cell r="BC3" t="str">
            <v>Cust-PP</v>
          </cell>
          <cell r="BD3" t="str">
            <v>1.9665683382497540</v>
          </cell>
          <cell r="BE3" t="str">
            <v>.0000000000000000</v>
          </cell>
          <cell r="BF3" t="str">
            <v>.0000000000000000</v>
          </cell>
          <cell r="BG3" t="str">
            <v>SelectedTransact</v>
          </cell>
          <cell r="BH3" t="str">
            <v>Taxable</v>
          </cell>
          <cell r="BK3" t="str">
            <v>2025-01-04 00:00:00</v>
          </cell>
          <cell r="BL3" t="str">
            <v>Airport EG-2</v>
          </cell>
          <cell r="BM3" t="str">
            <v>No</v>
          </cell>
          <cell r="BN3" t="str">
            <v>No</v>
          </cell>
          <cell r="BO3" t="str">
            <v>CPay-000000002</v>
          </cell>
        </row>
        <row r="4">
          <cell r="B4">
            <v>202097</v>
          </cell>
          <cell r="C4" t="str">
            <v>3.0000000000000000</v>
          </cell>
          <cell r="D4" t="str">
            <v>101000267</v>
          </cell>
          <cell r="E4" t="str">
            <v>Cust</v>
          </cell>
          <cell r="G4" t="str">
            <v>No</v>
          </cell>
          <cell r="H4" t="str">
            <v>1900-01-01 00:00:00</v>
          </cell>
          <cell r="K4" t="str">
            <v>M-P</v>
          </cell>
          <cell r="L4">
            <v>1653</v>
          </cell>
          <cell r="AL4">
            <v>202097</v>
          </cell>
          <cell r="BC4" t="str">
            <v>Cust-PP</v>
          </cell>
          <cell r="BD4" t="str">
            <v>1.9665683382497540</v>
          </cell>
          <cell r="BE4" t="str">
            <v>.0000000000000000</v>
          </cell>
          <cell r="BF4" t="str">
            <v>.0000000000000000</v>
          </cell>
          <cell r="BG4" t="str">
            <v>SelectedTransact</v>
          </cell>
          <cell r="BH4" t="str">
            <v>Taxable</v>
          </cell>
          <cell r="BK4" t="str">
            <v>2025-01-04 00:00:00</v>
          </cell>
          <cell r="BL4" t="str">
            <v>Airport EG-3</v>
          </cell>
          <cell r="BM4" t="str">
            <v>No</v>
          </cell>
          <cell r="BN4" t="str">
            <v>No</v>
          </cell>
          <cell r="BO4" t="str">
            <v>CPay-000000003</v>
          </cell>
        </row>
        <row r="5">
          <cell r="B5">
            <v>202098</v>
          </cell>
          <cell r="C5" t="str">
            <v>4.0000000000000000</v>
          </cell>
          <cell r="D5" t="str">
            <v>101000267</v>
          </cell>
          <cell r="E5" t="str">
            <v>Cust</v>
          </cell>
          <cell r="G5" t="str">
            <v>No</v>
          </cell>
          <cell r="H5" t="str">
            <v>1900-01-01 00:00:00</v>
          </cell>
          <cell r="K5" t="str">
            <v>M-P</v>
          </cell>
          <cell r="L5">
            <v>704.52</v>
          </cell>
          <cell r="AL5">
            <v>202098</v>
          </cell>
          <cell r="BC5" t="str">
            <v>Cust-PP</v>
          </cell>
          <cell r="BD5" t="str">
            <v>1.9665683382497540</v>
          </cell>
          <cell r="BE5" t="str">
            <v>.0000000000000000</v>
          </cell>
          <cell r="BF5" t="str">
            <v>.0000000000000000</v>
          </cell>
          <cell r="BG5" t="str">
            <v>SelectedTransact</v>
          </cell>
          <cell r="BH5" t="str">
            <v>Taxable</v>
          </cell>
          <cell r="BK5" t="str">
            <v>2025-01-04 00:00:00</v>
          </cell>
          <cell r="BL5" t="str">
            <v>Airport EG-4</v>
          </cell>
          <cell r="BM5" t="str">
            <v>No</v>
          </cell>
          <cell r="BN5" t="str">
            <v>No</v>
          </cell>
          <cell r="BO5" t="str">
            <v>CPay-000000004</v>
          </cell>
        </row>
        <row r="6">
          <cell r="B6">
            <v>202193</v>
          </cell>
          <cell r="C6" t="str">
            <v>5.0000000000000000</v>
          </cell>
          <cell r="D6" t="str">
            <v>101003811</v>
          </cell>
          <cell r="E6" t="str">
            <v>Cust</v>
          </cell>
          <cell r="G6" t="str">
            <v>No</v>
          </cell>
          <cell r="H6" t="str">
            <v>1900-01-01 00:00:00</v>
          </cell>
          <cell r="K6" t="str">
            <v>M-P</v>
          </cell>
          <cell r="L6">
            <v>2052</v>
          </cell>
          <cell r="AL6">
            <v>202193</v>
          </cell>
          <cell r="BC6" t="str">
            <v>Cust-PP</v>
          </cell>
          <cell r="BD6" t="str">
            <v>1.9665683382497540</v>
          </cell>
          <cell r="BE6" t="str">
            <v>.0000000000000000</v>
          </cell>
          <cell r="BF6" t="str">
            <v>.0000000000000000</v>
          </cell>
          <cell r="BG6" t="str">
            <v>SelectedTransact</v>
          </cell>
          <cell r="BH6" t="str">
            <v>Taxable</v>
          </cell>
          <cell r="BK6" t="str">
            <v>2025-01-06 00:00:00</v>
          </cell>
          <cell r="BL6" t="str">
            <v>Airport EG-5</v>
          </cell>
          <cell r="BM6" t="str">
            <v>No</v>
          </cell>
          <cell r="BN6" t="str">
            <v>No</v>
          </cell>
          <cell r="BO6" t="str">
            <v>CPay-000000005</v>
          </cell>
        </row>
        <row r="7">
          <cell r="B7">
            <v>202194</v>
          </cell>
          <cell r="C7" t="str">
            <v>6.0000000000000000</v>
          </cell>
          <cell r="D7" t="str">
            <v>101003811</v>
          </cell>
          <cell r="E7" t="str">
            <v>Cust</v>
          </cell>
          <cell r="G7" t="str">
            <v>No</v>
          </cell>
          <cell r="H7" t="str">
            <v>1900-01-01 00:00:00</v>
          </cell>
          <cell r="K7" t="str">
            <v>M-P</v>
          </cell>
          <cell r="L7">
            <v>372.32</v>
          </cell>
          <cell r="AL7">
            <v>202194</v>
          </cell>
          <cell r="BC7" t="str">
            <v>Cust-PP</v>
          </cell>
          <cell r="BD7" t="str">
            <v>1.9665683382497540</v>
          </cell>
          <cell r="BE7" t="str">
            <v>.0000000000000000</v>
          </cell>
          <cell r="BF7" t="str">
            <v>.0000000000000000</v>
          </cell>
          <cell r="BG7" t="str">
            <v>SelectedTransact</v>
          </cell>
          <cell r="BH7" t="str">
            <v>Taxable</v>
          </cell>
          <cell r="BK7" t="str">
            <v>2025-01-06 00:00:00</v>
          </cell>
          <cell r="BL7" t="str">
            <v>Airport EG-6</v>
          </cell>
          <cell r="BM7" t="str">
            <v>No</v>
          </cell>
          <cell r="BN7" t="str">
            <v>No</v>
          </cell>
          <cell r="BO7" t="str">
            <v>CPay-000000006</v>
          </cell>
        </row>
        <row r="8">
          <cell r="B8">
            <v>202208</v>
          </cell>
          <cell r="C8" t="str">
            <v>7.0000000000000000</v>
          </cell>
          <cell r="D8" t="str">
            <v>101002387</v>
          </cell>
          <cell r="E8" t="str">
            <v>Cust</v>
          </cell>
          <cell r="G8" t="str">
            <v>No</v>
          </cell>
          <cell r="H8" t="str">
            <v>1900-01-01 00:00:00</v>
          </cell>
          <cell r="K8" t="str">
            <v>M-P</v>
          </cell>
          <cell r="L8">
            <v>2052</v>
          </cell>
          <cell r="AL8">
            <v>202208</v>
          </cell>
          <cell r="BC8" t="str">
            <v>Cust-PP</v>
          </cell>
          <cell r="BD8" t="str">
            <v>1.9665683382497540</v>
          </cell>
          <cell r="BE8" t="str">
            <v>.0000000000000000</v>
          </cell>
          <cell r="BF8" t="str">
            <v>.0000000000000000</v>
          </cell>
          <cell r="BG8" t="str">
            <v>SelectedTransact</v>
          </cell>
          <cell r="BH8" t="str">
            <v>Taxable</v>
          </cell>
          <cell r="BK8" t="str">
            <v>2025-01-08 00:00:00</v>
          </cell>
          <cell r="BL8" t="str">
            <v>Airport EG-7</v>
          </cell>
          <cell r="BM8" t="str">
            <v>No</v>
          </cell>
          <cell r="BN8" t="str">
            <v>No</v>
          </cell>
          <cell r="BO8" t="str">
            <v>CPay-000000007</v>
          </cell>
        </row>
        <row r="9">
          <cell r="B9">
            <v>202209</v>
          </cell>
          <cell r="C9" t="str">
            <v>8.0000000000000000</v>
          </cell>
          <cell r="D9" t="str">
            <v>101002387</v>
          </cell>
          <cell r="E9" t="str">
            <v>Cust</v>
          </cell>
          <cell r="G9" t="str">
            <v>No</v>
          </cell>
          <cell r="H9" t="str">
            <v>1900-01-01 00:00:00</v>
          </cell>
          <cell r="K9" t="str">
            <v>M-P</v>
          </cell>
          <cell r="L9">
            <v>262.2</v>
          </cell>
          <cell r="AL9">
            <v>202209</v>
          </cell>
          <cell r="BC9" t="str">
            <v>Cust-PP</v>
          </cell>
          <cell r="BD9" t="str">
            <v>1.9665683382497540</v>
          </cell>
          <cell r="BE9" t="str">
            <v>.0000000000000000</v>
          </cell>
          <cell r="BF9" t="str">
            <v>.0000000000000000</v>
          </cell>
          <cell r="BG9" t="str">
            <v>SelectedTransact</v>
          </cell>
          <cell r="BH9" t="str">
            <v>Taxable</v>
          </cell>
          <cell r="BK9" t="str">
            <v>2025-01-08 00:00:00</v>
          </cell>
          <cell r="BL9" t="str">
            <v>Airport EG-8</v>
          </cell>
          <cell r="BM9" t="str">
            <v>No</v>
          </cell>
          <cell r="BN9" t="str">
            <v>No</v>
          </cell>
          <cell r="BO9" t="str">
            <v>CPay-000000008</v>
          </cell>
        </row>
        <row r="10">
          <cell r="B10">
            <v>202252</v>
          </cell>
          <cell r="C10" t="str">
            <v>9.0000000000000000</v>
          </cell>
          <cell r="D10" t="str">
            <v>101000267</v>
          </cell>
          <cell r="E10" t="str">
            <v>Cust</v>
          </cell>
          <cell r="G10" t="str">
            <v>No</v>
          </cell>
          <cell r="H10" t="str">
            <v>1900-01-01 00:00:00</v>
          </cell>
          <cell r="K10" t="str">
            <v>M-P</v>
          </cell>
          <cell r="L10">
            <v>1653</v>
          </cell>
          <cell r="AL10">
            <v>202252</v>
          </cell>
          <cell r="BC10" t="str">
            <v>Cust-PP</v>
          </cell>
          <cell r="BD10" t="str">
            <v>1.9665683382497540</v>
          </cell>
          <cell r="BE10" t="str">
            <v>.0000000000000000</v>
          </cell>
          <cell r="BF10" t="str">
            <v>.0000000000000000</v>
          </cell>
          <cell r="BG10" t="str">
            <v>SelectedTransact</v>
          </cell>
          <cell r="BH10" t="str">
            <v>Taxable</v>
          </cell>
          <cell r="BK10" t="str">
            <v>2025-01-08 00:00:00</v>
          </cell>
          <cell r="BL10" t="str">
            <v>Airport EG-9</v>
          </cell>
          <cell r="BM10" t="str">
            <v>No</v>
          </cell>
          <cell r="BN10" t="str">
            <v>No</v>
          </cell>
          <cell r="BO10" t="str">
            <v>CPay-000000009</v>
          </cell>
        </row>
        <row r="11">
          <cell r="B11">
            <v>202253</v>
          </cell>
          <cell r="C11" t="str">
            <v>10.0000000000000000</v>
          </cell>
          <cell r="D11" t="str">
            <v>101000267</v>
          </cell>
          <cell r="E11" t="str">
            <v>Cust</v>
          </cell>
          <cell r="G11" t="str">
            <v>No</v>
          </cell>
          <cell r="H11" t="str">
            <v>1900-01-01 00:00:00</v>
          </cell>
          <cell r="K11" t="str">
            <v>M-P</v>
          </cell>
          <cell r="L11">
            <v>714.78</v>
          </cell>
          <cell r="AL11">
            <v>202253</v>
          </cell>
          <cell r="BC11" t="str">
            <v>Cust-PP</v>
          </cell>
          <cell r="BD11" t="str">
            <v>1.9665683382497540</v>
          </cell>
          <cell r="BE11" t="str">
            <v>.0000000000000000</v>
          </cell>
          <cell r="BF11" t="str">
            <v>.0000000000000000</v>
          </cell>
          <cell r="BG11" t="str">
            <v>SelectedTransact</v>
          </cell>
          <cell r="BH11" t="str">
            <v>Taxable</v>
          </cell>
          <cell r="BK11" t="str">
            <v>2025-01-08 00:00:00</v>
          </cell>
          <cell r="BL11" t="str">
            <v>Airport EG-10</v>
          </cell>
          <cell r="BM11" t="str">
            <v>No</v>
          </cell>
          <cell r="BN11" t="str">
            <v>No</v>
          </cell>
          <cell r="BO11" t="str">
            <v>CPay-000000010</v>
          </cell>
        </row>
        <row r="12">
          <cell r="B12">
            <v>202311</v>
          </cell>
          <cell r="C12" t="str">
            <v>11.0000000000000000</v>
          </cell>
          <cell r="D12" t="str">
            <v>101004542</v>
          </cell>
          <cell r="E12" t="str">
            <v>Cust</v>
          </cell>
          <cell r="G12" t="str">
            <v>No</v>
          </cell>
          <cell r="H12" t="str">
            <v>1900-01-01 00:00:00</v>
          </cell>
          <cell r="K12" t="str">
            <v>M-P</v>
          </cell>
          <cell r="L12">
            <v>1653</v>
          </cell>
          <cell r="AL12">
            <v>202311</v>
          </cell>
          <cell r="BC12" t="str">
            <v>Cust-PP</v>
          </cell>
          <cell r="BD12" t="str">
            <v>1.9665683382497540</v>
          </cell>
          <cell r="BE12" t="str">
            <v>.0000000000000000</v>
          </cell>
          <cell r="BF12" t="str">
            <v>.0000000000000000</v>
          </cell>
          <cell r="BG12" t="str">
            <v>SelectedTransact</v>
          </cell>
          <cell r="BH12" t="str">
            <v>Taxable</v>
          </cell>
          <cell r="BK12" t="str">
            <v>2025-01-09 00:00:00</v>
          </cell>
          <cell r="BL12" t="str">
            <v>Airport EG-11</v>
          </cell>
          <cell r="BM12" t="str">
            <v>No</v>
          </cell>
          <cell r="BN12" t="str">
            <v>No</v>
          </cell>
          <cell r="BO12" t="str">
            <v>CPay-000000011</v>
          </cell>
        </row>
        <row r="13">
          <cell r="B13">
            <v>202312</v>
          </cell>
          <cell r="C13" t="str">
            <v>12.0000000000000000</v>
          </cell>
          <cell r="D13" t="str">
            <v>101004542</v>
          </cell>
          <cell r="E13" t="str">
            <v>Cust</v>
          </cell>
          <cell r="G13" t="str">
            <v>No</v>
          </cell>
          <cell r="H13" t="str">
            <v>1900-01-01 00:00:00</v>
          </cell>
          <cell r="K13" t="str">
            <v>M-P</v>
          </cell>
          <cell r="L13">
            <v>3109.46</v>
          </cell>
          <cell r="AL13">
            <v>202312</v>
          </cell>
          <cell r="BC13" t="str">
            <v>Cust-PP</v>
          </cell>
          <cell r="BD13" t="str">
            <v>1.9665683382497540</v>
          </cell>
          <cell r="BE13" t="str">
            <v>.0000000000000000</v>
          </cell>
          <cell r="BF13" t="str">
            <v>.0000000000000000</v>
          </cell>
          <cell r="BG13" t="str">
            <v>SelectedTransact</v>
          </cell>
          <cell r="BH13" t="str">
            <v>Taxable</v>
          </cell>
          <cell r="BK13" t="str">
            <v>2025-01-09 00:00:00</v>
          </cell>
          <cell r="BL13" t="str">
            <v>Airport EG-12</v>
          </cell>
          <cell r="BM13" t="str">
            <v>No</v>
          </cell>
          <cell r="BN13" t="str">
            <v>No</v>
          </cell>
          <cell r="BO13" t="str">
            <v>CPay-000000012</v>
          </cell>
        </row>
        <row r="14">
          <cell r="B14">
            <v>202314</v>
          </cell>
          <cell r="C14" t="str">
            <v>13.0000000000000000</v>
          </cell>
          <cell r="D14" t="str">
            <v>101000314</v>
          </cell>
          <cell r="E14" t="str">
            <v>Cust</v>
          </cell>
          <cell r="G14" t="str">
            <v>No</v>
          </cell>
          <cell r="H14" t="str">
            <v>1900-01-01 00:00:00</v>
          </cell>
          <cell r="K14" t="str">
            <v>M-P</v>
          </cell>
          <cell r="L14">
            <v>1653</v>
          </cell>
          <cell r="AL14">
            <v>202314</v>
          </cell>
          <cell r="BC14" t="str">
            <v>Cust-PP</v>
          </cell>
          <cell r="BD14" t="str">
            <v>1.9665683382497540</v>
          </cell>
          <cell r="BE14" t="str">
            <v>.0000000000000000</v>
          </cell>
          <cell r="BF14" t="str">
            <v>.0000000000000000</v>
          </cell>
          <cell r="BG14" t="str">
            <v>SelectedTransact</v>
          </cell>
          <cell r="BH14" t="str">
            <v>Taxable</v>
          </cell>
          <cell r="BK14" t="str">
            <v>2025-01-09 00:00:00</v>
          </cell>
          <cell r="BL14" t="str">
            <v>Airport EG-13</v>
          </cell>
          <cell r="BM14" t="str">
            <v>No</v>
          </cell>
          <cell r="BN14" t="str">
            <v>No</v>
          </cell>
          <cell r="BO14" t="str">
            <v>CPay-000000013</v>
          </cell>
        </row>
        <row r="15">
          <cell r="B15">
            <v>202315</v>
          </cell>
          <cell r="C15" t="str">
            <v>14.0000000000000000</v>
          </cell>
          <cell r="D15" t="str">
            <v>101000314</v>
          </cell>
          <cell r="E15" t="str">
            <v>Cust</v>
          </cell>
          <cell r="G15" t="str">
            <v>No</v>
          </cell>
          <cell r="H15" t="str">
            <v>1900-01-01 00:00:00</v>
          </cell>
          <cell r="K15" t="str">
            <v>M-P</v>
          </cell>
          <cell r="L15">
            <v>798</v>
          </cell>
          <cell r="AL15">
            <v>202315</v>
          </cell>
          <cell r="BC15" t="str">
            <v>Cust-PP</v>
          </cell>
          <cell r="BD15" t="str">
            <v>1.9665683382497540</v>
          </cell>
          <cell r="BE15" t="str">
            <v>.0000000000000000</v>
          </cell>
          <cell r="BF15" t="str">
            <v>.0000000000000000</v>
          </cell>
          <cell r="BG15" t="str">
            <v>SelectedTransact</v>
          </cell>
          <cell r="BH15" t="str">
            <v>Taxable</v>
          </cell>
          <cell r="BK15" t="str">
            <v>2025-01-09 00:00:00</v>
          </cell>
          <cell r="BL15" t="str">
            <v>Airport EG-14</v>
          </cell>
          <cell r="BM15" t="str">
            <v>No</v>
          </cell>
          <cell r="BN15" t="str">
            <v>No</v>
          </cell>
          <cell r="BO15" t="str">
            <v>CPay-000000014</v>
          </cell>
        </row>
        <row r="16">
          <cell r="B16">
            <v>202369</v>
          </cell>
          <cell r="C16" t="str">
            <v>15.0000000000000000</v>
          </cell>
          <cell r="D16" t="str">
            <v>101000554</v>
          </cell>
          <cell r="E16" t="str">
            <v>Cust</v>
          </cell>
          <cell r="G16" t="str">
            <v>No</v>
          </cell>
          <cell r="H16" t="str">
            <v>1900-01-01 00:00:00</v>
          </cell>
          <cell r="K16" t="str">
            <v>M-P</v>
          </cell>
          <cell r="L16">
            <v>1653</v>
          </cell>
          <cell r="AL16">
            <v>202369</v>
          </cell>
          <cell r="BC16" t="str">
            <v>Cust-PP</v>
          </cell>
          <cell r="BD16" t="str">
            <v>1.9665683382497540</v>
          </cell>
          <cell r="BE16" t="str">
            <v>.0000000000000000</v>
          </cell>
          <cell r="BF16" t="str">
            <v>.0000000000000000</v>
          </cell>
          <cell r="BG16" t="str">
            <v>SelectedTransact</v>
          </cell>
          <cell r="BH16" t="str">
            <v>Taxable</v>
          </cell>
          <cell r="BK16" t="str">
            <v>2025-01-09 00:00:00</v>
          </cell>
          <cell r="BL16" t="str">
            <v>Airport EG-15</v>
          </cell>
          <cell r="BM16" t="str">
            <v>No</v>
          </cell>
          <cell r="BN16" t="str">
            <v>No</v>
          </cell>
          <cell r="BO16" t="str">
            <v>CPay-000000015</v>
          </cell>
        </row>
        <row r="17">
          <cell r="B17">
            <v>202370</v>
          </cell>
          <cell r="C17" t="str">
            <v>16.0000000000000000</v>
          </cell>
          <cell r="D17" t="str">
            <v>101000554</v>
          </cell>
          <cell r="E17" t="str">
            <v>Cust</v>
          </cell>
          <cell r="G17" t="str">
            <v>No</v>
          </cell>
          <cell r="H17" t="str">
            <v>1900-01-01 00:00:00</v>
          </cell>
          <cell r="K17" t="str">
            <v>M-P</v>
          </cell>
          <cell r="L17">
            <v>1333.12</v>
          </cell>
          <cell r="AL17">
            <v>202370</v>
          </cell>
          <cell r="BC17" t="str">
            <v>Cust-PP</v>
          </cell>
          <cell r="BD17" t="str">
            <v>1.9665683382497540</v>
          </cell>
          <cell r="BE17" t="str">
            <v>.0000000000000000</v>
          </cell>
          <cell r="BF17" t="str">
            <v>.0000000000000000</v>
          </cell>
          <cell r="BG17" t="str">
            <v>SelectedTransact</v>
          </cell>
          <cell r="BH17" t="str">
            <v>Taxable</v>
          </cell>
          <cell r="BK17" t="str">
            <v>2025-01-09 00:00:00</v>
          </cell>
          <cell r="BL17" t="str">
            <v>Airport EG-16</v>
          </cell>
          <cell r="BM17" t="str">
            <v>No</v>
          </cell>
          <cell r="BN17" t="str">
            <v>No</v>
          </cell>
          <cell r="BO17" t="str">
            <v>CPay-000000016</v>
          </cell>
        </row>
        <row r="18">
          <cell r="B18">
            <v>202371</v>
          </cell>
          <cell r="C18" t="str">
            <v>17.0000000000000000</v>
          </cell>
          <cell r="D18" t="str">
            <v>101000454</v>
          </cell>
          <cell r="E18" t="str">
            <v>Cust</v>
          </cell>
          <cell r="G18" t="str">
            <v>No</v>
          </cell>
          <cell r="H18" t="str">
            <v>1900-01-01 00:00:00</v>
          </cell>
          <cell r="K18" t="str">
            <v>M-P</v>
          </cell>
          <cell r="L18">
            <v>432.63</v>
          </cell>
          <cell r="AL18">
            <v>202371</v>
          </cell>
          <cell r="BC18" t="str">
            <v>Cust-PP</v>
          </cell>
          <cell r="BD18" t="str">
            <v>1.9665683382497540</v>
          </cell>
          <cell r="BE18" t="str">
            <v>.0000000000000000</v>
          </cell>
          <cell r="BF18" t="str">
            <v>.0000000000000000</v>
          </cell>
          <cell r="BG18" t="str">
            <v>SelectedTransact</v>
          </cell>
          <cell r="BH18" t="str">
            <v>Taxable</v>
          </cell>
          <cell r="BK18" t="str">
            <v>2025-01-09 00:00:00</v>
          </cell>
          <cell r="BL18" t="str">
            <v>Airport EG-17</v>
          </cell>
          <cell r="BM18" t="str">
            <v>No</v>
          </cell>
          <cell r="BN18" t="str">
            <v>No</v>
          </cell>
          <cell r="BO18" t="str">
            <v>CPay-000000017</v>
          </cell>
        </row>
        <row r="19">
          <cell r="B19">
            <v>202372</v>
          </cell>
          <cell r="C19" t="str">
            <v>18.0000000000000000</v>
          </cell>
          <cell r="D19" t="str">
            <v>101000454</v>
          </cell>
          <cell r="E19" t="str">
            <v>Cust</v>
          </cell>
          <cell r="G19" t="str">
            <v>No</v>
          </cell>
          <cell r="H19" t="str">
            <v>1900-01-01 00:00:00</v>
          </cell>
          <cell r="K19" t="str">
            <v>M-P</v>
          </cell>
          <cell r="L19">
            <v>1653</v>
          </cell>
          <cell r="AL19">
            <v>202372</v>
          </cell>
          <cell r="BC19" t="str">
            <v>Cust-PP</v>
          </cell>
          <cell r="BD19" t="str">
            <v>1.9665683382497540</v>
          </cell>
          <cell r="BE19" t="str">
            <v>.0000000000000000</v>
          </cell>
          <cell r="BF19" t="str">
            <v>.0000000000000000</v>
          </cell>
          <cell r="BG19" t="str">
            <v>SelectedTransact</v>
          </cell>
          <cell r="BH19" t="str">
            <v>Taxable</v>
          </cell>
          <cell r="BK19" t="str">
            <v>2025-01-09 00:00:00</v>
          </cell>
          <cell r="BL19" t="str">
            <v>Airport EG-18</v>
          </cell>
          <cell r="BM19" t="str">
            <v>No</v>
          </cell>
          <cell r="BN19" t="str">
            <v>No</v>
          </cell>
          <cell r="BO19" t="str">
            <v>CPay-000000018</v>
          </cell>
        </row>
        <row r="20">
          <cell r="B20">
            <v>202425</v>
          </cell>
          <cell r="C20" t="str">
            <v>19.0000000000000000</v>
          </cell>
          <cell r="D20" t="str">
            <v>101000267</v>
          </cell>
          <cell r="E20" t="str">
            <v>Cust</v>
          </cell>
          <cell r="G20" t="str">
            <v>No</v>
          </cell>
          <cell r="H20" t="str">
            <v>1900-01-01 00:00:00</v>
          </cell>
          <cell r="K20" t="str">
            <v>M-P</v>
          </cell>
          <cell r="L20">
            <v>1653</v>
          </cell>
          <cell r="AL20">
            <v>202425</v>
          </cell>
          <cell r="BC20" t="str">
            <v>Cust-PP</v>
          </cell>
          <cell r="BD20" t="str">
            <v>1.9665683382497540</v>
          </cell>
          <cell r="BE20" t="str">
            <v>.0000000000000000</v>
          </cell>
          <cell r="BF20" t="str">
            <v>.0000000000000000</v>
          </cell>
          <cell r="BG20" t="str">
            <v>SelectedTransact</v>
          </cell>
          <cell r="BH20" t="str">
            <v>Taxable</v>
          </cell>
          <cell r="BK20" t="str">
            <v>2025-01-11 00:00:00</v>
          </cell>
          <cell r="BL20" t="str">
            <v>Airport EG-19</v>
          </cell>
          <cell r="BM20" t="str">
            <v>No</v>
          </cell>
          <cell r="BN20" t="str">
            <v>No</v>
          </cell>
          <cell r="BO20" t="str">
            <v>CPay-000000019</v>
          </cell>
        </row>
        <row r="21">
          <cell r="B21">
            <v>202426</v>
          </cell>
          <cell r="C21" t="str">
            <v>20.0000000000000000</v>
          </cell>
          <cell r="D21" t="str">
            <v>101000267</v>
          </cell>
          <cell r="E21" t="str">
            <v>Cust</v>
          </cell>
          <cell r="G21" t="str">
            <v>No</v>
          </cell>
          <cell r="H21" t="str">
            <v>1900-01-01 00:00:00</v>
          </cell>
          <cell r="K21" t="str">
            <v>M-P</v>
          </cell>
          <cell r="L21">
            <v>516.53</v>
          </cell>
          <cell r="AL21">
            <v>202426</v>
          </cell>
          <cell r="BC21" t="str">
            <v>Cust-PP</v>
          </cell>
          <cell r="BD21" t="str">
            <v>1.9665683382497540</v>
          </cell>
          <cell r="BE21" t="str">
            <v>.0000000000000000</v>
          </cell>
          <cell r="BF21" t="str">
            <v>.0000000000000000</v>
          </cell>
          <cell r="BG21" t="str">
            <v>SelectedTransact</v>
          </cell>
          <cell r="BH21" t="str">
            <v>Taxable</v>
          </cell>
          <cell r="BK21" t="str">
            <v>2025-01-11 00:00:00</v>
          </cell>
          <cell r="BL21" t="str">
            <v>Airport EG-20</v>
          </cell>
          <cell r="BM21" t="str">
            <v>No</v>
          </cell>
          <cell r="BN21" t="str">
            <v>No</v>
          </cell>
          <cell r="BO21" t="str">
            <v>CPay-000000020</v>
          </cell>
        </row>
        <row r="22">
          <cell r="B22">
            <v>202467</v>
          </cell>
          <cell r="C22" t="str">
            <v>21.0000000000000000</v>
          </cell>
          <cell r="D22" t="str">
            <v>101000205</v>
          </cell>
          <cell r="E22" t="str">
            <v>Cust</v>
          </cell>
          <cell r="G22" t="str">
            <v>No</v>
          </cell>
          <cell r="H22" t="str">
            <v>1900-01-01 00:00:00</v>
          </cell>
          <cell r="K22" t="str">
            <v>M-P</v>
          </cell>
          <cell r="L22">
            <v>2283.42</v>
          </cell>
          <cell r="AL22">
            <v>202467</v>
          </cell>
          <cell r="BC22" t="str">
            <v>Cust-PP</v>
          </cell>
          <cell r="BD22" t="str">
            <v>1.9665683382497540</v>
          </cell>
          <cell r="BE22" t="str">
            <v>.0000000000000000</v>
          </cell>
          <cell r="BF22" t="str">
            <v>.0000000000000000</v>
          </cell>
          <cell r="BG22" t="str">
            <v>SelectedTransact</v>
          </cell>
          <cell r="BH22" t="str">
            <v>Taxable</v>
          </cell>
          <cell r="BK22" t="str">
            <v>2025-01-12 00:00:00</v>
          </cell>
          <cell r="BL22" t="str">
            <v>Airport EG-21</v>
          </cell>
          <cell r="BM22" t="str">
            <v>No</v>
          </cell>
          <cell r="BN22" t="str">
            <v>No</v>
          </cell>
          <cell r="BO22" t="str">
            <v>CPay-000000021</v>
          </cell>
        </row>
        <row r="23">
          <cell r="B23">
            <v>202468</v>
          </cell>
          <cell r="C23" t="str">
            <v>22.0000000000000000</v>
          </cell>
          <cell r="D23" t="str">
            <v>101000205</v>
          </cell>
          <cell r="E23" t="str">
            <v>Cust</v>
          </cell>
          <cell r="G23" t="str">
            <v>No</v>
          </cell>
          <cell r="H23" t="str">
            <v>1900-01-01 00:00:00</v>
          </cell>
          <cell r="K23" t="str">
            <v>M-P</v>
          </cell>
          <cell r="L23">
            <v>1653</v>
          </cell>
          <cell r="AL23">
            <v>202468</v>
          </cell>
          <cell r="BC23" t="str">
            <v>Cust-PP</v>
          </cell>
          <cell r="BD23" t="str">
            <v>1.9665683382497540</v>
          </cell>
          <cell r="BE23" t="str">
            <v>.0000000000000000</v>
          </cell>
          <cell r="BF23" t="str">
            <v>.0000000000000000</v>
          </cell>
          <cell r="BG23" t="str">
            <v>SelectedTransact</v>
          </cell>
          <cell r="BH23" t="str">
            <v>Taxable</v>
          </cell>
          <cell r="BK23" t="str">
            <v>2025-01-12 00:00:00</v>
          </cell>
          <cell r="BL23" t="str">
            <v>Airport EG-22</v>
          </cell>
          <cell r="BM23" t="str">
            <v>No</v>
          </cell>
          <cell r="BN23" t="str">
            <v>No</v>
          </cell>
          <cell r="BO23" t="str">
            <v>CPay-000000022</v>
          </cell>
        </row>
        <row r="24">
          <cell r="B24">
            <v>202469</v>
          </cell>
          <cell r="C24" t="str">
            <v>23.0000000000000000</v>
          </cell>
          <cell r="D24" t="str">
            <v>101000205</v>
          </cell>
          <cell r="E24" t="str">
            <v>Cust</v>
          </cell>
          <cell r="G24" t="str">
            <v>No</v>
          </cell>
          <cell r="H24" t="str">
            <v>1900-01-01 00:00:00</v>
          </cell>
          <cell r="K24" t="str">
            <v>M-P</v>
          </cell>
          <cell r="L24">
            <v>1653</v>
          </cell>
          <cell r="AL24">
            <v>202469</v>
          </cell>
          <cell r="BC24" t="str">
            <v>Cust-PP</v>
          </cell>
          <cell r="BD24" t="str">
            <v>1.9665683382497540</v>
          </cell>
          <cell r="BE24" t="str">
            <v>.0000000000000000</v>
          </cell>
          <cell r="BF24" t="str">
            <v>.0000000000000000</v>
          </cell>
          <cell r="BG24" t="str">
            <v>SelectedTransact</v>
          </cell>
          <cell r="BH24" t="str">
            <v>Taxable</v>
          </cell>
          <cell r="BK24" t="str">
            <v>2025-01-12 00:00:00</v>
          </cell>
          <cell r="BL24" t="str">
            <v>Airport EG-23</v>
          </cell>
          <cell r="BM24" t="str">
            <v>No</v>
          </cell>
          <cell r="BN24" t="str">
            <v>No</v>
          </cell>
          <cell r="BO24" t="str">
            <v>CPay-000000023</v>
          </cell>
        </row>
        <row r="25">
          <cell r="B25">
            <v>202470</v>
          </cell>
          <cell r="C25" t="str">
            <v>24.0000000000000000</v>
          </cell>
          <cell r="D25" t="str">
            <v>101000205</v>
          </cell>
          <cell r="E25" t="str">
            <v>Cust</v>
          </cell>
          <cell r="G25" t="str">
            <v>No</v>
          </cell>
          <cell r="H25" t="str">
            <v>1900-01-01 00:00:00</v>
          </cell>
          <cell r="K25" t="str">
            <v>M-P</v>
          </cell>
          <cell r="L25">
            <v>1437.08</v>
          </cell>
          <cell r="AL25">
            <v>202470</v>
          </cell>
          <cell r="BC25" t="str">
            <v>Cust-PP</v>
          </cell>
          <cell r="BD25" t="str">
            <v>1.9665683382497540</v>
          </cell>
          <cell r="BE25" t="str">
            <v>.0000000000000000</v>
          </cell>
          <cell r="BF25" t="str">
            <v>.0000000000000000</v>
          </cell>
          <cell r="BG25" t="str">
            <v>SelectedTransact</v>
          </cell>
          <cell r="BH25" t="str">
            <v>Taxable</v>
          </cell>
          <cell r="BK25" t="str">
            <v>2025-01-12 00:00:00</v>
          </cell>
          <cell r="BL25" t="str">
            <v>Airport EG-24</v>
          </cell>
          <cell r="BM25" t="str">
            <v>No</v>
          </cell>
          <cell r="BN25" t="str">
            <v>No</v>
          </cell>
          <cell r="BO25" t="str">
            <v>CPay-000000024</v>
          </cell>
        </row>
        <row r="26">
          <cell r="B26">
            <v>202471</v>
          </cell>
          <cell r="C26" t="str">
            <v>25.0000000000000000</v>
          </cell>
          <cell r="D26" t="str">
            <v>101000205</v>
          </cell>
          <cell r="E26" t="str">
            <v>Cust</v>
          </cell>
          <cell r="G26" t="str">
            <v>No</v>
          </cell>
          <cell r="H26" t="str">
            <v>1900-01-01 00:00:00</v>
          </cell>
          <cell r="K26" t="str">
            <v>M-P</v>
          </cell>
          <cell r="L26">
            <v>1653</v>
          </cell>
          <cell r="AL26">
            <v>202471</v>
          </cell>
          <cell r="BC26" t="str">
            <v>Cust-PP</v>
          </cell>
          <cell r="BD26" t="str">
            <v>1.9665683382497540</v>
          </cell>
          <cell r="BE26" t="str">
            <v>.0000000000000000</v>
          </cell>
          <cell r="BF26" t="str">
            <v>.0000000000000000</v>
          </cell>
          <cell r="BG26" t="str">
            <v>SelectedTransact</v>
          </cell>
          <cell r="BH26" t="str">
            <v>Taxable</v>
          </cell>
          <cell r="BK26" t="str">
            <v>2025-01-12 00:00:00</v>
          </cell>
          <cell r="BL26" t="str">
            <v>Airport EG-25</v>
          </cell>
          <cell r="BM26" t="str">
            <v>No</v>
          </cell>
          <cell r="BN26" t="str">
            <v>No</v>
          </cell>
          <cell r="BO26" t="str">
            <v>CPay-000000025</v>
          </cell>
        </row>
        <row r="27">
          <cell r="B27">
            <v>202472</v>
          </cell>
          <cell r="C27" t="str">
            <v>26.0000000000000000</v>
          </cell>
          <cell r="D27" t="str">
            <v>101000205</v>
          </cell>
          <cell r="E27" t="str">
            <v>Cust</v>
          </cell>
          <cell r="G27" t="str">
            <v>No</v>
          </cell>
          <cell r="H27" t="str">
            <v>1900-01-01 00:00:00</v>
          </cell>
          <cell r="K27" t="str">
            <v>M-P</v>
          </cell>
          <cell r="L27">
            <v>833.34</v>
          </cell>
          <cell r="AL27">
            <v>202472</v>
          </cell>
          <cell r="BC27" t="str">
            <v>Cust-PP</v>
          </cell>
          <cell r="BD27" t="str">
            <v>1.9665683382497540</v>
          </cell>
          <cell r="BE27" t="str">
            <v>.0000000000000000</v>
          </cell>
          <cell r="BF27" t="str">
            <v>.0000000000000000</v>
          </cell>
          <cell r="BG27" t="str">
            <v>SelectedTransact</v>
          </cell>
          <cell r="BH27" t="str">
            <v>Taxable</v>
          </cell>
          <cell r="BK27" t="str">
            <v>2025-01-12 00:00:00</v>
          </cell>
          <cell r="BL27" t="str">
            <v>Airport EG-26</v>
          </cell>
          <cell r="BM27" t="str">
            <v>No</v>
          </cell>
          <cell r="BN27" t="str">
            <v>No</v>
          </cell>
          <cell r="BO27" t="str">
            <v>CPay-000000026</v>
          </cell>
        </row>
        <row r="28">
          <cell r="B28">
            <v>202473</v>
          </cell>
          <cell r="C28" t="str">
            <v>27.0000000000000000</v>
          </cell>
          <cell r="D28" t="str">
            <v>101000267</v>
          </cell>
          <cell r="E28" t="str">
            <v>Cust</v>
          </cell>
          <cell r="G28" t="str">
            <v>No</v>
          </cell>
          <cell r="H28" t="str">
            <v>1900-01-01 00:00:00</v>
          </cell>
          <cell r="K28" t="str">
            <v>M-P</v>
          </cell>
          <cell r="L28">
            <v>1653</v>
          </cell>
          <cell r="AL28">
            <v>202473</v>
          </cell>
          <cell r="BC28" t="str">
            <v>Cust-PP</v>
          </cell>
          <cell r="BD28" t="str">
            <v>1.9665683382497540</v>
          </cell>
          <cell r="BE28" t="str">
            <v>.0000000000000000</v>
          </cell>
          <cell r="BF28" t="str">
            <v>.0000000000000000</v>
          </cell>
          <cell r="BG28" t="str">
            <v>SelectedTransact</v>
          </cell>
          <cell r="BH28" t="str">
            <v>Taxable</v>
          </cell>
          <cell r="BK28" t="str">
            <v>2025-01-12 00:00:00</v>
          </cell>
          <cell r="BL28" t="str">
            <v>Airport EG-27</v>
          </cell>
          <cell r="BM28" t="str">
            <v>No</v>
          </cell>
          <cell r="BN28" t="str">
            <v>No</v>
          </cell>
          <cell r="BO28" t="str">
            <v>CPay-000000027</v>
          </cell>
        </row>
        <row r="29">
          <cell r="B29">
            <v>202474</v>
          </cell>
          <cell r="C29" t="str">
            <v>28.0000000000000000</v>
          </cell>
          <cell r="D29" t="str">
            <v>101000267</v>
          </cell>
          <cell r="E29" t="str">
            <v>Cust</v>
          </cell>
          <cell r="G29" t="str">
            <v>No</v>
          </cell>
          <cell r="H29" t="str">
            <v>1900-01-01 00:00:00</v>
          </cell>
          <cell r="K29" t="str">
            <v>M-P</v>
          </cell>
          <cell r="L29">
            <v>1387.84</v>
          </cell>
          <cell r="AL29">
            <v>202474</v>
          </cell>
          <cell r="BC29" t="str">
            <v>Cust-PP</v>
          </cell>
          <cell r="BD29" t="str">
            <v>1.9665683382497540</v>
          </cell>
          <cell r="BE29" t="str">
            <v>.0000000000000000</v>
          </cell>
          <cell r="BF29" t="str">
            <v>.0000000000000000</v>
          </cell>
          <cell r="BG29" t="str">
            <v>SelectedTransact</v>
          </cell>
          <cell r="BH29" t="str">
            <v>Taxable</v>
          </cell>
          <cell r="BK29" t="str">
            <v>2025-01-12 00:00:00</v>
          </cell>
          <cell r="BL29" t="str">
            <v>Airport EG-28</v>
          </cell>
          <cell r="BM29" t="str">
            <v>No</v>
          </cell>
          <cell r="BN29" t="str">
            <v>No</v>
          </cell>
          <cell r="BO29" t="str">
            <v>CPay-000000028</v>
          </cell>
        </row>
        <row r="30">
          <cell r="B30">
            <v>202509</v>
          </cell>
          <cell r="C30" t="str">
            <v>29.0000000000000000</v>
          </cell>
          <cell r="D30" t="str">
            <v>101004557</v>
          </cell>
          <cell r="E30" t="str">
            <v>Cust</v>
          </cell>
          <cell r="G30" t="str">
            <v>No</v>
          </cell>
          <cell r="H30" t="str">
            <v>1900-01-01 00:00:00</v>
          </cell>
          <cell r="K30" t="str">
            <v>M-P</v>
          </cell>
          <cell r="L30">
            <v>2052</v>
          </cell>
          <cell r="AL30">
            <v>202509</v>
          </cell>
          <cell r="BC30" t="str">
            <v>Cust-PP</v>
          </cell>
          <cell r="BD30" t="str">
            <v>1.9665683382497540</v>
          </cell>
          <cell r="BE30" t="str">
            <v>.0000000000000000</v>
          </cell>
          <cell r="BF30" t="str">
            <v>.0000000000000000</v>
          </cell>
          <cell r="BG30" t="str">
            <v>SelectedTransact</v>
          </cell>
          <cell r="BH30" t="str">
            <v>Taxable</v>
          </cell>
          <cell r="BK30" t="str">
            <v>2025-01-13 00:00:00</v>
          </cell>
          <cell r="BL30" t="str">
            <v>Airport EG-29</v>
          </cell>
          <cell r="BM30" t="str">
            <v>No</v>
          </cell>
          <cell r="BN30" t="str">
            <v>No</v>
          </cell>
          <cell r="BO30" t="str">
            <v>CPay-000000029</v>
          </cell>
        </row>
        <row r="31">
          <cell r="B31">
            <v>202510</v>
          </cell>
          <cell r="C31" t="str">
            <v>30.0000000000000000</v>
          </cell>
          <cell r="D31" t="str">
            <v>101004557</v>
          </cell>
          <cell r="E31" t="str">
            <v>Cust</v>
          </cell>
          <cell r="G31" t="str">
            <v>No</v>
          </cell>
          <cell r="H31" t="str">
            <v>1900-01-01 00:00:00</v>
          </cell>
          <cell r="K31" t="str">
            <v>M-P</v>
          </cell>
          <cell r="L31">
            <v>199.5</v>
          </cell>
          <cell r="AL31">
            <v>202510</v>
          </cell>
          <cell r="BC31" t="str">
            <v>Cust-PP</v>
          </cell>
          <cell r="BD31" t="str">
            <v>1.9665683382497540</v>
          </cell>
          <cell r="BE31" t="str">
            <v>.0000000000000000</v>
          </cell>
          <cell r="BF31" t="str">
            <v>.0000000000000000</v>
          </cell>
          <cell r="BG31" t="str">
            <v>SelectedTransact</v>
          </cell>
          <cell r="BH31" t="str">
            <v>Taxable</v>
          </cell>
          <cell r="BK31" t="str">
            <v>2025-01-13 00:00:00</v>
          </cell>
          <cell r="BL31" t="str">
            <v>Airport EG-30</v>
          </cell>
          <cell r="BM31" t="str">
            <v>No</v>
          </cell>
          <cell r="BN31" t="str">
            <v>No</v>
          </cell>
          <cell r="BO31" t="str">
            <v>CPay-000000030</v>
          </cell>
        </row>
        <row r="32">
          <cell r="B32">
            <v>202542</v>
          </cell>
          <cell r="C32" t="str">
            <v>31.0000000000000000</v>
          </cell>
          <cell r="D32" t="str">
            <v>101000209</v>
          </cell>
          <cell r="E32" t="str">
            <v>Cust</v>
          </cell>
          <cell r="G32" t="str">
            <v>No</v>
          </cell>
          <cell r="H32" t="str">
            <v>1900-01-01 00:00:00</v>
          </cell>
          <cell r="K32" t="str">
            <v>M-P</v>
          </cell>
          <cell r="L32">
            <v>1653</v>
          </cell>
          <cell r="AL32">
            <v>202542</v>
          </cell>
          <cell r="BC32" t="str">
            <v>Cust-PP</v>
          </cell>
          <cell r="BD32" t="str">
            <v>1.9665683382497540</v>
          </cell>
          <cell r="BE32" t="str">
            <v>.0000000000000000</v>
          </cell>
          <cell r="BF32" t="str">
            <v>.0000000000000000</v>
          </cell>
          <cell r="BG32" t="str">
            <v>SelectedTransact</v>
          </cell>
          <cell r="BH32" t="str">
            <v>Taxable</v>
          </cell>
          <cell r="BK32" t="str">
            <v>2025-01-13 00:00:00</v>
          </cell>
          <cell r="BL32" t="str">
            <v>Airport EG-31</v>
          </cell>
          <cell r="BM32" t="str">
            <v>No</v>
          </cell>
          <cell r="BN32" t="str">
            <v>No</v>
          </cell>
          <cell r="BO32" t="str">
            <v>CPay-000000031</v>
          </cell>
        </row>
        <row r="33">
          <cell r="B33">
            <v>202543</v>
          </cell>
          <cell r="C33" t="str">
            <v>32.0000000000000000</v>
          </cell>
          <cell r="D33" t="str">
            <v>101000209</v>
          </cell>
          <cell r="E33" t="str">
            <v>Cust</v>
          </cell>
          <cell r="G33" t="str">
            <v>No</v>
          </cell>
          <cell r="H33" t="str">
            <v>1900-01-01 00:00:00</v>
          </cell>
          <cell r="K33" t="str">
            <v>M-P</v>
          </cell>
          <cell r="L33">
            <v>262.2</v>
          </cell>
          <cell r="AL33">
            <v>202543</v>
          </cell>
          <cell r="BC33" t="str">
            <v>Cust-PP</v>
          </cell>
          <cell r="BD33" t="str">
            <v>1.9665683382497540</v>
          </cell>
          <cell r="BE33" t="str">
            <v>.0000000000000000</v>
          </cell>
          <cell r="BF33" t="str">
            <v>.0000000000000000</v>
          </cell>
          <cell r="BG33" t="str">
            <v>SelectedTransact</v>
          </cell>
          <cell r="BH33" t="str">
            <v>Taxable</v>
          </cell>
          <cell r="BK33" t="str">
            <v>2025-01-13 00:00:00</v>
          </cell>
          <cell r="BL33" t="str">
            <v>Airport EG-32</v>
          </cell>
          <cell r="BM33" t="str">
            <v>No</v>
          </cell>
          <cell r="BN33" t="str">
            <v>No</v>
          </cell>
          <cell r="BO33" t="str">
            <v>CPay-000000032</v>
          </cell>
        </row>
        <row r="34">
          <cell r="B34">
            <v>202600</v>
          </cell>
          <cell r="C34" t="str">
            <v>33.0000000000000000</v>
          </cell>
          <cell r="D34" t="str">
            <v>101000616</v>
          </cell>
          <cell r="E34" t="str">
            <v>Cust</v>
          </cell>
          <cell r="G34" t="str">
            <v>No</v>
          </cell>
          <cell r="H34" t="str">
            <v>1900-01-01 00:00:00</v>
          </cell>
          <cell r="K34" t="str">
            <v>M-P</v>
          </cell>
          <cell r="L34">
            <v>1653</v>
          </cell>
          <cell r="AL34">
            <v>202600</v>
          </cell>
          <cell r="BC34" t="str">
            <v>Cust-PP</v>
          </cell>
          <cell r="BD34" t="str">
            <v>1.9665683382497540</v>
          </cell>
          <cell r="BE34" t="str">
            <v>.0000000000000000</v>
          </cell>
          <cell r="BF34" t="str">
            <v>.0000000000000000</v>
          </cell>
          <cell r="BG34" t="str">
            <v>SelectedTransact</v>
          </cell>
          <cell r="BH34" t="str">
            <v>Taxable</v>
          </cell>
          <cell r="BK34" t="str">
            <v>2025-01-14 00:00:00</v>
          </cell>
          <cell r="BL34" t="str">
            <v>Airport EG-34</v>
          </cell>
          <cell r="BM34" t="str">
            <v>No</v>
          </cell>
          <cell r="BN34" t="str">
            <v>No</v>
          </cell>
          <cell r="BO34" t="str">
            <v>CPay-000000033</v>
          </cell>
        </row>
        <row r="35">
          <cell r="B35">
            <v>202601</v>
          </cell>
          <cell r="C35" t="str">
            <v>34.0000000000000000</v>
          </cell>
          <cell r="D35" t="str">
            <v>101000616</v>
          </cell>
          <cell r="E35" t="str">
            <v>Cust</v>
          </cell>
          <cell r="G35" t="str">
            <v>No</v>
          </cell>
          <cell r="H35" t="str">
            <v>1900-01-01 00:00:00</v>
          </cell>
          <cell r="K35" t="str">
            <v>M-P</v>
          </cell>
          <cell r="L35">
            <v>262.2</v>
          </cell>
          <cell r="AL35">
            <v>202601</v>
          </cell>
          <cell r="BC35" t="str">
            <v>Cust-PP</v>
          </cell>
          <cell r="BD35" t="str">
            <v>1.9665683382497540</v>
          </cell>
          <cell r="BE35" t="str">
            <v>.0000000000000000</v>
          </cell>
          <cell r="BF35" t="str">
            <v>.0000000000000000</v>
          </cell>
          <cell r="BG35" t="str">
            <v>SelectedTransact</v>
          </cell>
          <cell r="BH35" t="str">
            <v>Taxable</v>
          </cell>
          <cell r="BK35" t="str">
            <v>2025-01-14 00:00:00</v>
          </cell>
          <cell r="BL35" t="str">
            <v>Airport EG-35</v>
          </cell>
          <cell r="BM35" t="str">
            <v>No</v>
          </cell>
          <cell r="BN35" t="str">
            <v>No</v>
          </cell>
          <cell r="BO35" t="str">
            <v>CPay-000000034</v>
          </cell>
        </row>
        <row r="36">
          <cell r="B36">
            <v>202640</v>
          </cell>
          <cell r="C36" t="str">
            <v>35.0000000000000000</v>
          </cell>
          <cell r="D36" t="str">
            <v>101000040</v>
          </cell>
          <cell r="E36" t="str">
            <v>Cust</v>
          </cell>
          <cell r="G36" t="str">
            <v>No</v>
          </cell>
          <cell r="H36" t="str">
            <v>1900-01-01 00:00:00</v>
          </cell>
          <cell r="K36" t="str">
            <v>M-P</v>
          </cell>
          <cell r="L36">
            <v>274</v>
          </cell>
          <cell r="AL36">
            <v>202640</v>
          </cell>
          <cell r="BC36" t="str">
            <v>Cust-PP</v>
          </cell>
          <cell r="BD36" t="str">
            <v>1.9665683382497540</v>
          </cell>
          <cell r="BE36" t="str">
            <v>.0000000000000000</v>
          </cell>
          <cell r="BF36" t="str">
            <v>.0000000000000000</v>
          </cell>
          <cell r="BG36" t="str">
            <v>SelectedTransact</v>
          </cell>
          <cell r="BH36" t="str">
            <v>Taxable</v>
          </cell>
          <cell r="BK36" t="str">
            <v>2025-01-15 00:00:00</v>
          </cell>
          <cell r="BL36" t="str">
            <v>Airport EG-36</v>
          </cell>
          <cell r="BM36" t="str">
            <v>No</v>
          </cell>
          <cell r="BN36" t="str">
            <v>No</v>
          </cell>
          <cell r="BO36" t="str">
            <v>CPay-000000035</v>
          </cell>
        </row>
        <row r="37">
          <cell r="B37">
            <v>202641</v>
          </cell>
          <cell r="C37" t="str">
            <v>36.0000000000000000</v>
          </cell>
          <cell r="D37" t="str">
            <v>101000040</v>
          </cell>
          <cell r="E37" t="str">
            <v>Cust</v>
          </cell>
          <cell r="G37" t="str">
            <v>No</v>
          </cell>
          <cell r="H37" t="str">
            <v>1900-01-01 00:00:00</v>
          </cell>
          <cell r="K37" t="str">
            <v>M-P</v>
          </cell>
          <cell r="L37">
            <v>1653</v>
          </cell>
          <cell r="AL37">
            <v>202641</v>
          </cell>
          <cell r="BC37" t="str">
            <v>Cust-PP</v>
          </cell>
          <cell r="BD37" t="str">
            <v>1.9665683382497540</v>
          </cell>
          <cell r="BE37" t="str">
            <v>.0000000000000000</v>
          </cell>
          <cell r="BF37" t="str">
            <v>.0000000000000000</v>
          </cell>
          <cell r="BG37" t="str">
            <v>SelectedTransact</v>
          </cell>
          <cell r="BH37" t="str">
            <v>Taxable</v>
          </cell>
          <cell r="BK37" t="str">
            <v>2025-01-15 00:00:00</v>
          </cell>
          <cell r="BL37" t="str">
            <v>Airport EG-37</v>
          </cell>
          <cell r="BM37" t="str">
            <v>No</v>
          </cell>
          <cell r="BN37" t="str">
            <v>No</v>
          </cell>
          <cell r="BO37" t="str">
            <v>CPay-000000036</v>
          </cell>
        </row>
        <row r="38">
          <cell r="B38">
            <v>202657</v>
          </cell>
          <cell r="C38" t="str">
            <v>37.0000000000000000</v>
          </cell>
          <cell r="D38" t="str">
            <v>101004542</v>
          </cell>
          <cell r="E38" t="str">
            <v>Cust</v>
          </cell>
          <cell r="G38" t="str">
            <v>No</v>
          </cell>
          <cell r="H38" t="str">
            <v>1900-01-01 00:00:00</v>
          </cell>
          <cell r="K38" t="str">
            <v>M-P</v>
          </cell>
          <cell r="L38">
            <v>1653</v>
          </cell>
          <cell r="AL38">
            <v>202657</v>
          </cell>
          <cell r="BC38" t="str">
            <v>Cust-PP</v>
          </cell>
          <cell r="BD38" t="str">
            <v>1.9665683382497540</v>
          </cell>
          <cell r="BE38" t="str">
            <v>.0000000000000000</v>
          </cell>
          <cell r="BF38" t="str">
            <v>.0000000000000000</v>
          </cell>
          <cell r="BG38" t="str">
            <v>SelectedTransact</v>
          </cell>
          <cell r="BH38" t="str">
            <v>Taxable</v>
          </cell>
          <cell r="BK38" t="str">
            <v>2025-01-15 00:00:00</v>
          </cell>
          <cell r="BL38" t="str">
            <v>Airport EG-38</v>
          </cell>
          <cell r="BM38" t="str">
            <v>No</v>
          </cell>
          <cell r="BN38" t="str">
            <v>No</v>
          </cell>
          <cell r="BO38" t="str">
            <v>CPay-000000037</v>
          </cell>
        </row>
        <row r="39">
          <cell r="B39">
            <v>202658</v>
          </cell>
          <cell r="C39" t="str">
            <v>38.0000000000000000</v>
          </cell>
          <cell r="D39" t="str">
            <v>101004542</v>
          </cell>
          <cell r="E39" t="str">
            <v>Cust</v>
          </cell>
          <cell r="G39" t="str">
            <v>No</v>
          </cell>
          <cell r="H39" t="str">
            <v>1900-01-01 00:00:00</v>
          </cell>
          <cell r="K39" t="str">
            <v>M-P</v>
          </cell>
          <cell r="L39">
            <v>7047.48</v>
          </cell>
          <cell r="AL39">
            <v>202658</v>
          </cell>
          <cell r="BC39" t="str">
            <v>Cust-PP</v>
          </cell>
          <cell r="BD39" t="str">
            <v>1.9665683382497540</v>
          </cell>
          <cell r="BE39" t="str">
            <v>.0000000000000000</v>
          </cell>
          <cell r="BF39" t="str">
            <v>.0000000000000000</v>
          </cell>
          <cell r="BG39" t="str">
            <v>SelectedTransact</v>
          </cell>
          <cell r="BH39" t="str">
            <v>Taxable</v>
          </cell>
          <cell r="BK39" t="str">
            <v>2025-01-15 00:00:00</v>
          </cell>
          <cell r="BL39" t="str">
            <v>Airport EG-39</v>
          </cell>
          <cell r="BM39" t="str">
            <v>No</v>
          </cell>
          <cell r="BN39" t="str">
            <v>No</v>
          </cell>
          <cell r="BO39" t="str">
            <v>CPay-000000038</v>
          </cell>
        </row>
        <row r="40">
          <cell r="B40">
            <v>202691</v>
          </cell>
          <cell r="C40" t="str">
            <v>39.0000000000000000</v>
          </cell>
          <cell r="D40" t="str">
            <v>101000554</v>
          </cell>
          <cell r="E40" t="str">
            <v>Cust</v>
          </cell>
          <cell r="G40" t="str">
            <v>No</v>
          </cell>
          <cell r="H40" t="str">
            <v>1900-01-01 00:00:00</v>
          </cell>
          <cell r="K40" t="str">
            <v>M-P</v>
          </cell>
          <cell r="L40">
            <v>1653</v>
          </cell>
          <cell r="AL40">
            <v>202691</v>
          </cell>
          <cell r="BC40" t="str">
            <v>Cust-PP</v>
          </cell>
          <cell r="BD40" t="str">
            <v>1.9665683382497540</v>
          </cell>
          <cell r="BE40" t="str">
            <v>.0000000000000000</v>
          </cell>
          <cell r="BF40" t="str">
            <v>.0000000000000000</v>
          </cell>
          <cell r="BG40" t="str">
            <v>SelectedTransact</v>
          </cell>
          <cell r="BH40" t="str">
            <v>Taxable</v>
          </cell>
          <cell r="BK40" t="str">
            <v>2025-01-16 00:00:00</v>
          </cell>
          <cell r="BL40" t="str">
            <v>Airport EG-40</v>
          </cell>
          <cell r="BM40" t="str">
            <v>No</v>
          </cell>
          <cell r="BN40" t="str">
            <v>No</v>
          </cell>
          <cell r="BO40" t="str">
            <v>CPay-000000039</v>
          </cell>
        </row>
        <row r="41">
          <cell r="B41">
            <v>202692</v>
          </cell>
          <cell r="C41" t="str">
            <v>40.0000000000000000</v>
          </cell>
          <cell r="D41" t="str">
            <v>101000554</v>
          </cell>
          <cell r="E41" t="str">
            <v>Cust</v>
          </cell>
          <cell r="G41" t="str">
            <v>No</v>
          </cell>
          <cell r="H41" t="str">
            <v>1900-01-01 00:00:00</v>
          </cell>
          <cell r="K41" t="str">
            <v>M-P</v>
          </cell>
          <cell r="L41">
            <v>199.5</v>
          </cell>
          <cell r="AL41">
            <v>202692</v>
          </cell>
          <cell r="BC41" t="str">
            <v>Cust-PP</v>
          </cell>
          <cell r="BD41" t="str">
            <v>1.9665683382497540</v>
          </cell>
          <cell r="BE41" t="str">
            <v>.0000000000000000</v>
          </cell>
          <cell r="BF41" t="str">
            <v>.0000000000000000</v>
          </cell>
          <cell r="BG41" t="str">
            <v>SelectedTransact</v>
          </cell>
          <cell r="BH41" t="str">
            <v>Taxable</v>
          </cell>
          <cell r="BK41" t="str">
            <v>2025-01-16 00:00:00</v>
          </cell>
          <cell r="BL41" t="str">
            <v>Airport EG-41</v>
          </cell>
          <cell r="BM41" t="str">
            <v>No</v>
          </cell>
          <cell r="BN41" t="str">
            <v>No</v>
          </cell>
          <cell r="BO41" t="str">
            <v>CPay-000000040</v>
          </cell>
        </row>
        <row r="42">
          <cell r="B42">
            <v>202717</v>
          </cell>
          <cell r="C42" t="str">
            <v>41.0000000000000000</v>
          </cell>
          <cell r="D42" t="str">
            <v>101000314</v>
          </cell>
          <cell r="E42" t="str">
            <v>Cust</v>
          </cell>
          <cell r="G42" t="str">
            <v>No</v>
          </cell>
          <cell r="H42" t="str">
            <v>1900-01-01 00:00:00</v>
          </cell>
          <cell r="K42" t="str">
            <v>M-P</v>
          </cell>
          <cell r="L42">
            <v>285</v>
          </cell>
          <cell r="AL42">
            <v>202717</v>
          </cell>
          <cell r="BC42" t="str">
            <v>Cust-PP</v>
          </cell>
          <cell r="BD42" t="str">
            <v>1.9665683382497540</v>
          </cell>
          <cell r="BE42" t="str">
            <v>.0000000000000000</v>
          </cell>
          <cell r="BF42" t="str">
            <v>.0000000000000000</v>
          </cell>
          <cell r="BG42" t="str">
            <v>SelectedTransact</v>
          </cell>
          <cell r="BH42" t="str">
            <v>Taxable</v>
          </cell>
          <cell r="BK42" t="str">
            <v>2025-01-16 00:00:00</v>
          </cell>
          <cell r="BL42" t="str">
            <v>Airport EG-42</v>
          </cell>
          <cell r="BM42" t="str">
            <v>No</v>
          </cell>
          <cell r="BN42" t="str">
            <v>No</v>
          </cell>
          <cell r="BO42" t="str">
            <v>CPay-000000041</v>
          </cell>
        </row>
        <row r="43">
          <cell r="B43">
            <v>202718</v>
          </cell>
          <cell r="C43" t="str">
            <v>42.0000000000000000</v>
          </cell>
          <cell r="D43" t="str">
            <v>101000314</v>
          </cell>
          <cell r="E43" t="str">
            <v>Cust</v>
          </cell>
          <cell r="G43" t="str">
            <v>No</v>
          </cell>
          <cell r="H43" t="str">
            <v>1900-01-01 00:00:00</v>
          </cell>
          <cell r="K43" t="str">
            <v>M-P</v>
          </cell>
          <cell r="L43">
            <v>1653</v>
          </cell>
          <cell r="AL43">
            <v>202718</v>
          </cell>
          <cell r="BC43" t="str">
            <v>Cust-PP</v>
          </cell>
          <cell r="BD43" t="str">
            <v>1.9665683382497540</v>
          </cell>
          <cell r="BE43" t="str">
            <v>.0000000000000000</v>
          </cell>
          <cell r="BF43" t="str">
            <v>.0000000000000000</v>
          </cell>
          <cell r="BG43" t="str">
            <v>SelectedTransact</v>
          </cell>
          <cell r="BH43" t="str">
            <v>Taxable</v>
          </cell>
          <cell r="BK43" t="str">
            <v>2025-01-16 00:00:00</v>
          </cell>
          <cell r="BL43" t="str">
            <v>Airport EG-43</v>
          </cell>
          <cell r="BM43" t="str">
            <v>No</v>
          </cell>
          <cell r="BN43" t="str">
            <v>No</v>
          </cell>
          <cell r="BO43" t="str">
            <v>CPay-000000042</v>
          </cell>
        </row>
        <row r="44">
          <cell r="B44">
            <v>202719</v>
          </cell>
          <cell r="C44" t="str">
            <v>43.0000000000000000</v>
          </cell>
          <cell r="D44" t="str">
            <v>101000314</v>
          </cell>
          <cell r="E44" t="str">
            <v>Cust</v>
          </cell>
          <cell r="G44" t="str">
            <v>No</v>
          </cell>
          <cell r="H44" t="str">
            <v>1900-01-01 00:00:00</v>
          </cell>
          <cell r="K44" t="str">
            <v>M-P</v>
          </cell>
          <cell r="L44">
            <v>370.5</v>
          </cell>
          <cell r="AL44">
            <v>202719</v>
          </cell>
          <cell r="BC44" t="str">
            <v>Cust-PP</v>
          </cell>
          <cell r="BD44" t="str">
            <v>1.9665683382497540</v>
          </cell>
          <cell r="BE44" t="str">
            <v>.0000000000000000</v>
          </cell>
          <cell r="BF44" t="str">
            <v>.0000000000000000</v>
          </cell>
          <cell r="BG44" t="str">
            <v>SelectedTransact</v>
          </cell>
          <cell r="BH44" t="str">
            <v>Taxable</v>
          </cell>
          <cell r="BK44" t="str">
            <v>2025-01-16 00:00:00</v>
          </cell>
          <cell r="BL44" t="str">
            <v>Airport EG-44</v>
          </cell>
          <cell r="BM44" t="str">
            <v>No</v>
          </cell>
          <cell r="BN44" t="str">
            <v>No</v>
          </cell>
          <cell r="BO44" t="str">
            <v>CPay-000000043</v>
          </cell>
        </row>
        <row r="45">
          <cell r="B45">
            <v>202720</v>
          </cell>
          <cell r="C45" t="str">
            <v>44.0000000000000000</v>
          </cell>
          <cell r="D45" t="str">
            <v>101000314</v>
          </cell>
          <cell r="E45" t="str">
            <v>Cust</v>
          </cell>
          <cell r="G45" t="str">
            <v>No</v>
          </cell>
          <cell r="H45" t="str">
            <v>1900-01-01 00:00:00</v>
          </cell>
          <cell r="K45" t="str">
            <v>M-P</v>
          </cell>
          <cell r="L45">
            <v>1653</v>
          </cell>
          <cell r="AL45">
            <v>202720</v>
          </cell>
          <cell r="BC45" t="str">
            <v>Cust-PP</v>
          </cell>
          <cell r="BD45" t="str">
            <v>1.9665683382497540</v>
          </cell>
          <cell r="BE45" t="str">
            <v>.0000000000000000</v>
          </cell>
          <cell r="BF45" t="str">
            <v>.0000000000000000</v>
          </cell>
          <cell r="BG45" t="str">
            <v>SelectedTransact</v>
          </cell>
          <cell r="BH45" t="str">
            <v>Taxable</v>
          </cell>
          <cell r="BK45" t="str">
            <v>2025-01-16 00:00:00</v>
          </cell>
          <cell r="BL45" t="str">
            <v>Airport EG-45</v>
          </cell>
          <cell r="BM45" t="str">
            <v>No</v>
          </cell>
          <cell r="BN45" t="str">
            <v>No</v>
          </cell>
          <cell r="BO45" t="str">
            <v>CPay-000000044</v>
          </cell>
        </row>
        <row r="46">
          <cell r="B46">
            <v>202739</v>
          </cell>
          <cell r="C46" t="str">
            <v>45.0000000000000000</v>
          </cell>
          <cell r="D46" t="str">
            <v>101000288</v>
          </cell>
          <cell r="E46" t="str">
            <v>Cust</v>
          </cell>
          <cell r="G46" t="str">
            <v>No</v>
          </cell>
          <cell r="H46" t="str">
            <v>1900-01-01 00:00:00</v>
          </cell>
          <cell r="K46" t="str">
            <v>M-P</v>
          </cell>
          <cell r="L46">
            <v>1653</v>
          </cell>
          <cell r="AL46">
            <v>202739</v>
          </cell>
          <cell r="BC46" t="str">
            <v>Cust-PP</v>
          </cell>
          <cell r="BD46" t="str">
            <v>1.9665683382497540</v>
          </cell>
          <cell r="BE46" t="str">
            <v>.0000000000000000</v>
          </cell>
          <cell r="BF46" t="str">
            <v>.0000000000000000</v>
          </cell>
          <cell r="BG46" t="str">
            <v>SelectedTransact</v>
          </cell>
          <cell r="BH46" t="str">
            <v>Taxable</v>
          </cell>
          <cell r="BK46" t="str">
            <v>2025-01-16 00:00:00</v>
          </cell>
          <cell r="BL46" t="str">
            <v>Airport EG-46</v>
          </cell>
          <cell r="BM46" t="str">
            <v>No</v>
          </cell>
          <cell r="BN46" t="str">
            <v>No</v>
          </cell>
          <cell r="BO46" t="str">
            <v>CPay-000000045</v>
          </cell>
        </row>
        <row r="47">
          <cell r="B47">
            <v>202740</v>
          </cell>
          <cell r="C47" t="str">
            <v>46.0000000000000000</v>
          </cell>
          <cell r="D47" t="str">
            <v>101000288</v>
          </cell>
          <cell r="E47" t="str">
            <v>Cust</v>
          </cell>
          <cell r="G47" t="str">
            <v>No</v>
          </cell>
          <cell r="H47" t="str">
            <v>1900-01-01 00:00:00</v>
          </cell>
          <cell r="K47" t="str">
            <v>M-P</v>
          </cell>
          <cell r="L47">
            <v>1140</v>
          </cell>
          <cell r="AL47">
            <v>202740</v>
          </cell>
          <cell r="BC47" t="str">
            <v>Cust-PP</v>
          </cell>
          <cell r="BD47" t="str">
            <v>1.9665683382497540</v>
          </cell>
          <cell r="BE47" t="str">
            <v>.0000000000000000</v>
          </cell>
          <cell r="BF47" t="str">
            <v>.0000000000000000</v>
          </cell>
          <cell r="BG47" t="str">
            <v>SelectedTransact</v>
          </cell>
          <cell r="BH47" t="str">
            <v>Taxable</v>
          </cell>
          <cell r="BK47" t="str">
            <v>2025-01-16 00:00:00</v>
          </cell>
          <cell r="BL47" t="str">
            <v>Airport EG-47</v>
          </cell>
          <cell r="BM47" t="str">
            <v>No</v>
          </cell>
          <cell r="BN47" t="str">
            <v>No</v>
          </cell>
          <cell r="BO47" t="str">
            <v>CPay-000000046</v>
          </cell>
        </row>
        <row r="48">
          <cell r="B48">
            <v>405973</v>
          </cell>
          <cell r="C48" t="str">
            <v>47.0000000000000000</v>
          </cell>
          <cell r="D48" t="str">
            <v>101000584</v>
          </cell>
          <cell r="E48" t="str">
            <v>Cust</v>
          </cell>
          <cell r="G48" t="str">
            <v>No</v>
          </cell>
          <cell r="H48" t="str">
            <v>1900-01-01 00:00:00</v>
          </cell>
          <cell r="K48" t="str">
            <v>M-P</v>
          </cell>
          <cell r="L48">
            <v>2500</v>
          </cell>
          <cell r="AL48">
            <v>405973</v>
          </cell>
          <cell r="BC48" t="str">
            <v>Cust-PP</v>
          </cell>
          <cell r="BD48" t="str">
            <v>1.9665683382497540</v>
          </cell>
          <cell r="BE48" t="str">
            <v>.0000000000000000</v>
          </cell>
          <cell r="BF48" t="str">
            <v>.0000000000000000</v>
          </cell>
          <cell r="BG48" t="str">
            <v>SelectedTransact</v>
          </cell>
          <cell r="BH48" t="str">
            <v>Taxable</v>
          </cell>
          <cell r="BK48" t="str">
            <v>2025-01-16 00:00:00</v>
          </cell>
          <cell r="BL48" t="str">
            <v>Airport EG-48</v>
          </cell>
          <cell r="BM48" t="str">
            <v>No</v>
          </cell>
          <cell r="BN48" t="str">
            <v>No</v>
          </cell>
          <cell r="BO48" t="str">
            <v>CPay-000000047</v>
          </cell>
        </row>
        <row r="49">
          <cell r="B49">
            <v>405974</v>
          </cell>
          <cell r="C49" t="str">
            <v>48.0000000000000000</v>
          </cell>
          <cell r="D49" t="str">
            <v>101000584</v>
          </cell>
          <cell r="E49" t="str">
            <v>Cust</v>
          </cell>
          <cell r="G49" t="str">
            <v>No</v>
          </cell>
          <cell r="H49" t="str">
            <v>1900-01-01 00:00:00</v>
          </cell>
          <cell r="K49" t="str">
            <v>M-P</v>
          </cell>
          <cell r="L49">
            <v>855</v>
          </cell>
          <cell r="AL49">
            <v>405974</v>
          </cell>
          <cell r="BC49" t="str">
            <v>Cust-PP</v>
          </cell>
          <cell r="BD49" t="str">
            <v>1.9665683382497540</v>
          </cell>
          <cell r="BE49" t="str">
            <v>.0000000000000000</v>
          </cell>
          <cell r="BF49" t="str">
            <v>.0000000000000000</v>
          </cell>
          <cell r="BG49" t="str">
            <v>SelectedTransact</v>
          </cell>
          <cell r="BH49" t="str">
            <v>Taxable</v>
          </cell>
          <cell r="BK49" t="str">
            <v>2025-01-16 00:00:00</v>
          </cell>
          <cell r="BL49" t="str">
            <v>Airport EG-49</v>
          </cell>
          <cell r="BM49" t="str">
            <v>No</v>
          </cell>
          <cell r="BN49" t="str">
            <v>No</v>
          </cell>
          <cell r="BO49" t="str">
            <v>CPay-000000048</v>
          </cell>
        </row>
        <row r="50">
          <cell r="B50">
            <v>202805</v>
          </cell>
          <cell r="C50" t="str">
            <v>49.0000000000000000</v>
          </cell>
          <cell r="D50" t="str">
            <v>101000266</v>
          </cell>
          <cell r="E50" t="str">
            <v>Cust</v>
          </cell>
          <cell r="G50" t="str">
            <v>No</v>
          </cell>
          <cell r="H50" t="str">
            <v>1900-01-01 00:00:00</v>
          </cell>
          <cell r="K50" t="str">
            <v>M-P</v>
          </cell>
          <cell r="L50">
            <v>1653</v>
          </cell>
          <cell r="AL50">
            <v>202805</v>
          </cell>
          <cell r="BC50" t="str">
            <v>Cust-PP</v>
          </cell>
          <cell r="BD50" t="str">
            <v>1.9665683382497540</v>
          </cell>
          <cell r="BE50" t="str">
            <v>.0000000000000000</v>
          </cell>
          <cell r="BF50" t="str">
            <v>.0000000000000000</v>
          </cell>
          <cell r="BG50" t="str">
            <v>SelectedTransact</v>
          </cell>
          <cell r="BH50" t="str">
            <v>Taxable</v>
          </cell>
          <cell r="BK50" t="str">
            <v>2025-01-18 00:00:00</v>
          </cell>
          <cell r="BL50" t="str">
            <v>Airport EG-50</v>
          </cell>
          <cell r="BM50" t="str">
            <v>No</v>
          </cell>
          <cell r="BN50" t="str">
            <v>No</v>
          </cell>
          <cell r="BO50" t="str">
            <v>CPay-000000049</v>
          </cell>
        </row>
        <row r="51">
          <cell r="B51">
            <v>202806</v>
          </cell>
          <cell r="C51" t="str">
            <v>50.0000000000000000</v>
          </cell>
          <cell r="D51" t="str">
            <v>101000266</v>
          </cell>
          <cell r="E51" t="str">
            <v>Cust</v>
          </cell>
          <cell r="G51" t="str">
            <v>No</v>
          </cell>
          <cell r="H51" t="str">
            <v>1900-01-01 00:00:00</v>
          </cell>
          <cell r="K51" t="str">
            <v>M-P</v>
          </cell>
          <cell r="L51">
            <v>597.82000000000005</v>
          </cell>
          <cell r="AL51">
            <v>202806</v>
          </cell>
          <cell r="BC51" t="str">
            <v>Cust-PP</v>
          </cell>
          <cell r="BD51" t="str">
            <v>1.9665683382497540</v>
          </cell>
          <cell r="BE51" t="str">
            <v>.0000000000000000</v>
          </cell>
          <cell r="BF51" t="str">
            <v>.0000000000000000</v>
          </cell>
          <cell r="BG51" t="str">
            <v>SelectedTransact</v>
          </cell>
          <cell r="BH51" t="str">
            <v>Taxable</v>
          </cell>
          <cell r="BK51" t="str">
            <v>2025-01-18 00:00:00</v>
          </cell>
          <cell r="BL51" t="str">
            <v>Airport EG-51</v>
          </cell>
          <cell r="BM51" t="str">
            <v>No</v>
          </cell>
          <cell r="BN51" t="str">
            <v>No</v>
          </cell>
          <cell r="BO51" t="str">
            <v>CPay-000000050</v>
          </cell>
        </row>
        <row r="52">
          <cell r="B52">
            <v>202811</v>
          </cell>
          <cell r="C52" t="str">
            <v>51.0000000000000000</v>
          </cell>
          <cell r="D52" t="str">
            <v>101000205</v>
          </cell>
          <cell r="E52" t="str">
            <v>Cust</v>
          </cell>
          <cell r="G52" t="str">
            <v>No</v>
          </cell>
          <cell r="H52" t="str">
            <v>1900-01-01 00:00:00</v>
          </cell>
          <cell r="K52" t="str">
            <v>M-P</v>
          </cell>
          <cell r="L52">
            <v>2502.3000000000002</v>
          </cell>
          <cell r="AL52">
            <v>202811</v>
          </cell>
          <cell r="BC52" t="str">
            <v>Cust-PP</v>
          </cell>
          <cell r="BD52" t="str">
            <v>1.9665683382497540</v>
          </cell>
          <cell r="BE52" t="str">
            <v>.0000000000000000</v>
          </cell>
          <cell r="BF52" t="str">
            <v>.0000000000000000</v>
          </cell>
          <cell r="BG52" t="str">
            <v>SelectedTransact</v>
          </cell>
          <cell r="BH52" t="str">
            <v>Taxable</v>
          </cell>
          <cell r="BK52" t="str">
            <v>2025-01-18 00:00:00</v>
          </cell>
          <cell r="BL52" t="str">
            <v>Airport EG-52</v>
          </cell>
          <cell r="BM52" t="str">
            <v>No</v>
          </cell>
          <cell r="BN52" t="str">
            <v>No</v>
          </cell>
          <cell r="BO52" t="str">
            <v>CPay-000000051</v>
          </cell>
        </row>
        <row r="53">
          <cell r="B53">
            <v>202812</v>
          </cell>
          <cell r="C53" t="str">
            <v>52.0000000000000000</v>
          </cell>
          <cell r="D53" t="str">
            <v>101000205</v>
          </cell>
          <cell r="E53" t="str">
            <v>Cust</v>
          </cell>
          <cell r="G53" t="str">
            <v>No</v>
          </cell>
          <cell r="H53" t="str">
            <v>1900-01-01 00:00:00</v>
          </cell>
          <cell r="K53" t="str">
            <v>M-P</v>
          </cell>
          <cell r="L53">
            <v>1653</v>
          </cell>
          <cell r="AL53">
            <v>202812</v>
          </cell>
          <cell r="BC53" t="str">
            <v>Cust-PP</v>
          </cell>
          <cell r="BD53" t="str">
            <v>1.9665683382497540</v>
          </cell>
          <cell r="BE53" t="str">
            <v>.0000000000000000</v>
          </cell>
          <cell r="BF53" t="str">
            <v>.0000000000000000</v>
          </cell>
          <cell r="BG53" t="str">
            <v>SelectedTransact</v>
          </cell>
          <cell r="BH53" t="str">
            <v>Taxable</v>
          </cell>
          <cell r="BK53" t="str">
            <v>2025-01-18 00:00:00</v>
          </cell>
          <cell r="BL53" t="str">
            <v>Airport EG-53</v>
          </cell>
          <cell r="BM53" t="str">
            <v>No</v>
          </cell>
          <cell r="BN53" t="str">
            <v>No</v>
          </cell>
          <cell r="BO53" t="str">
            <v>CPay-000000052</v>
          </cell>
        </row>
        <row r="54">
          <cell r="B54">
            <v>202824</v>
          </cell>
          <cell r="C54" t="str">
            <v>53.0000000000000000</v>
          </cell>
          <cell r="D54" t="str">
            <v>101002387</v>
          </cell>
          <cell r="E54" t="str">
            <v>Cust</v>
          </cell>
          <cell r="G54" t="str">
            <v>No</v>
          </cell>
          <cell r="H54" t="str">
            <v>1900-01-01 00:00:00</v>
          </cell>
          <cell r="K54" t="str">
            <v>M-P</v>
          </cell>
          <cell r="L54">
            <v>2052</v>
          </cell>
          <cell r="AL54">
            <v>202824</v>
          </cell>
          <cell r="BC54" t="str">
            <v>Cust-PP</v>
          </cell>
          <cell r="BD54" t="str">
            <v>1.9665683382497540</v>
          </cell>
          <cell r="BE54" t="str">
            <v>.0000000000000000</v>
          </cell>
          <cell r="BF54" t="str">
            <v>.0000000000000000</v>
          </cell>
          <cell r="BG54" t="str">
            <v>SelectedTransact</v>
          </cell>
          <cell r="BH54" t="str">
            <v>Taxable</v>
          </cell>
          <cell r="BK54" t="str">
            <v>2025-01-19 00:00:00</v>
          </cell>
          <cell r="BL54" t="str">
            <v>Airport EG-54</v>
          </cell>
          <cell r="BM54" t="str">
            <v>No</v>
          </cell>
          <cell r="BN54" t="str">
            <v>No</v>
          </cell>
          <cell r="BO54" t="str">
            <v>CPay-000000053</v>
          </cell>
        </row>
        <row r="55">
          <cell r="B55">
            <v>202825</v>
          </cell>
          <cell r="C55" t="str">
            <v>54.0000000000000000</v>
          </cell>
          <cell r="D55" t="str">
            <v>101002387</v>
          </cell>
          <cell r="E55" t="str">
            <v>Cust</v>
          </cell>
          <cell r="G55" t="str">
            <v>No</v>
          </cell>
          <cell r="H55" t="str">
            <v>1900-01-01 00:00:00</v>
          </cell>
          <cell r="K55" t="str">
            <v>M-P</v>
          </cell>
          <cell r="L55">
            <v>751.26</v>
          </cell>
          <cell r="AL55">
            <v>202825</v>
          </cell>
          <cell r="BC55" t="str">
            <v>Cust-PP</v>
          </cell>
          <cell r="BD55" t="str">
            <v>1.9665683382497540</v>
          </cell>
          <cell r="BE55" t="str">
            <v>.0000000000000000</v>
          </cell>
          <cell r="BF55" t="str">
            <v>.0000000000000000</v>
          </cell>
          <cell r="BG55" t="str">
            <v>SelectedTransact</v>
          </cell>
          <cell r="BH55" t="str">
            <v>Taxable</v>
          </cell>
          <cell r="BK55" t="str">
            <v>2025-01-19 00:00:00</v>
          </cell>
          <cell r="BL55" t="str">
            <v>Airport EG-55</v>
          </cell>
          <cell r="BM55" t="str">
            <v>No</v>
          </cell>
          <cell r="BN55" t="str">
            <v>No</v>
          </cell>
          <cell r="BO55" t="str">
            <v>CPay-000000054</v>
          </cell>
        </row>
        <row r="56">
          <cell r="B56">
            <v>202896</v>
          </cell>
          <cell r="C56" t="str">
            <v>55.0000000000000000</v>
          </cell>
          <cell r="D56" t="str">
            <v>101004573</v>
          </cell>
          <cell r="E56" t="str">
            <v>Cust</v>
          </cell>
          <cell r="G56" t="str">
            <v>No</v>
          </cell>
          <cell r="H56" t="str">
            <v>1900-01-01 00:00:00</v>
          </cell>
          <cell r="K56" t="str">
            <v>M-P</v>
          </cell>
          <cell r="L56">
            <v>2052</v>
          </cell>
          <cell r="AL56">
            <v>202896</v>
          </cell>
          <cell r="BC56" t="str">
            <v>Cust-PP</v>
          </cell>
          <cell r="BD56" t="str">
            <v>1.9665683382497540</v>
          </cell>
          <cell r="BE56" t="str">
            <v>.0000000000000000</v>
          </cell>
          <cell r="BF56" t="str">
            <v>.0000000000000000</v>
          </cell>
          <cell r="BG56" t="str">
            <v>SelectedTransact</v>
          </cell>
          <cell r="BH56" t="str">
            <v>Taxable</v>
          </cell>
          <cell r="BK56" t="str">
            <v>2025-01-19 00:00:00</v>
          </cell>
          <cell r="BL56" t="str">
            <v>Airport EG-58</v>
          </cell>
          <cell r="BM56" t="str">
            <v>No</v>
          </cell>
          <cell r="BN56" t="str">
            <v>No</v>
          </cell>
          <cell r="BO56" t="str">
            <v>CPay-000000055</v>
          </cell>
        </row>
        <row r="57">
          <cell r="B57">
            <v>202897</v>
          </cell>
          <cell r="C57" t="str">
            <v>56.0000000000000000</v>
          </cell>
          <cell r="D57" t="str">
            <v>101004573</v>
          </cell>
          <cell r="E57" t="str">
            <v>Cust</v>
          </cell>
          <cell r="G57" t="str">
            <v>No</v>
          </cell>
          <cell r="H57" t="str">
            <v>1900-01-01 00:00:00</v>
          </cell>
          <cell r="K57" t="str">
            <v>M-P</v>
          </cell>
          <cell r="L57">
            <v>1659.61</v>
          </cell>
          <cell r="AL57">
            <v>202897</v>
          </cell>
          <cell r="BC57" t="str">
            <v>Cust-PP</v>
          </cell>
          <cell r="BD57" t="str">
            <v>1.9665683382497540</v>
          </cell>
          <cell r="BE57" t="str">
            <v>.0000000000000000</v>
          </cell>
          <cell r="BF57" t="str">
            <v>.0000000000000000</v>
          </cell>
          <cell r="BG57" t="str">
            <v>SelectedTransact</v>
          </cell>
          <cell r="BH57" t="str">
            <v>Taxable</v>
          </cell>
          <cell r="BK57" t="str">
            <v>2025-01-19 00:00:00</v>
          </cell>
          <cell r="BL57" t="str">
            <v>Airport EG-59</v>
          </cell>
          <cell r="BM57" t="str">
            <v>No</v>
          </cell>
          <cell r="BN57" t="str">
            <v>No</v>
          </cell>
          <cell r="BO57" t="str">
            <v>CPay-000000056</v>
          </cell>
        </row>
        <row r="58">
          <cell r="B58">
            <v>202901</v>
          </cell>
          <cell r="C58" t="str">
            <v>57.0000000000000000</v>
          </cell>
          <cell r="D58" t="str">
            <v>101001625</v>
          </cell>
          <cell r="E58" t="str">
            <v>Cust</v>
          </cell>
          <cell r="G58" t="str">
            <v>No</v>
          </cell>
          <cell r="H58" t="str">
            <v>1900-01-01 00:00:00</v>
          </cell>
          <cell r="K58" t="str">
            <v>M-P</v>
          </cell>
          <cell r="L58">
            <v>2052</v>
          </cell>
          <cell r="AL58">
            <v>202901</v>
          </cell>
          <cell r="BC58" t="str">
            <v>Cust-PP</v>
          </cell>
          <cell r="BD58" t="str">
            <v>1.9665683382497540</v>
          </cell>
          <cell r="BE58" t="str">
            <v>.0000000000000000</v>
          </cell>
          <cell r="BF58" t="str">
            <v>.0000000000000000</v>
          </cell>
          <cell r="BG58" t="str">
            <v>SelectedTransact</v>
          </cell>
          <cell r="BH58" t="str">
            <v>Taxable</v>
          </cell>
          <cell r="BK58" t="str">
            <v>2025-01-19 00:00:00</v>
          </cell>
          <cell r="BL58" t="str">
            <v>Airport EG-60</v>
          </cell>
          <cell r="BM58" t="str">
            <v>No</v>
          </cell>
          <cell r="BN58" t="str">
            <v>No</v>
          </cell>
          <cell r="BO58" t="str">
            <v>CPay-000000057</v>
          </cell>
        </row>
        <row r="59">
          <cell r="B59">
            <v>202903</v>
          </cell>
          <cell r="C59" t="str">
            <v>58.0000000000000000</v>
          </cell>
          <cell r="D59" t="str">
            <v>101001625</v>
          </cell>
          <cell r="E59" t="str">
            <v>Cust</v>
          </cell>
          <cell r="G59" t="str">
            <v>No</v>
          </cell>
          <cell r="H59" t="str">
            <v>1900-01-01 00:00:00</v>
          </cell>
          <cell r="K59" t="str">
            <v>M-P</v>
          </cell>
          <cell r="L59">
            <v>262.2</v>
          </cell>
          <cell r="AL59">
            <v>202903</v>
          </cell>
          <cell r="BC59" t="str">
            <v>Cust-PP</v>
          </cell>
          <cell r="BD59" t="str">
            <v>1.9665683382497540</v>
          </cell>
          <cell r="BE59" t="str">
            <v>.0000000000000000</v>
          </cell>
          <cell r="BF59" t="str">
            <v>.0000000000000000</v>
          </cell>
          <cell r="BG59" t="str">
            <v>SelectedTransact</v>
          </cell>
          <cell r="BH59" t="str">
            <v>Taxable</v>
          </cell>
          <cell r="BK59" t="str">
            <v>2025-01-19 00:00:00</v>
          </cell>
          <cell r="BL59" t="str">
            <v>Airport EG-61</v>
          </cell>
          <cell r="BM59" t="str">
            <v>No</v>
          </cell>
          <cell r="BN59" t="str">
            <v>No</v>
          </cell>
          <cell r="BO59" t="str">
            <v>CPay-000000058</v>
          </cell>
        </row>
        <row r="60">
          <cell r="B60">
            <v>203005</v>
          </cell>
          <cell r="C60" t="str">
            <v>59.0000000000000000</v>
          </cell>
          <cell r="D60" t="str">
            <v>101000475</v>
          </cell>
          <cell r="E60" t="str">
            <v>Cust</v>
          </cell>
          <cell r="G60" t="str">
            <v>No</v>
          </cell>
          <cell r="H60" t="str">
            <v>1900-01-01 00:00:00</v>
          </cell>
          <cell r="K60" t="str">
            <v>M-P</v>
          </cell>
          <cell r="L60">
            <v>755.14</v>
          </cell>
          <cell r="AL60">
            <v>203005</v>
          </cell>
          <cell r="BC60" t="str">
            <v>Cust-PP</v>
          </cell>
          <cell r="BD60" t="str">
            <v>1.9665683382497540</v>
          </cell>
          <cell r="BE60" t="str">
            <v>.0000000000000000</v>
          </cell>
          <cell r="BF60" t="str">
            <v>.0000000000000000</v>
          </cell>
          <cell r="BG60" t="str">
            <v>SelectedTransact</v>
          </cell>
          <cell r="BH60" t="str">
            <v>Taxable</v>
          </cell>
          <cell r="BK60" t="str">
            <v>2025-01-20 00:00:00</v>
          </cell>
          <cell r="BL60" t="str">
            <v>Airport EG-64</v>
          </cell>
          <cell r="BM60" t="str">
            <v>No</v>
          </cell>
          <cell r="BN60" t="str">
            <v>No</v>
          </cell>
          <cell r="BO60" t="str">
            <v>CPay-000000059</v>
          </cell>
        </row>
        <row r="61">
          <cell r="B61">
            <v>203006</v>
          </cell>
          <cell r="C61" t="str">
            <v>60.0000000000000000</v>
          </cell>
          <cell r="D61" t="str">
            <v>101000475</v>
          </cell>
          <cell r="E61" t="str">
            <v>Cust</v>
          </cell>
          <cell r="G61" t="str">
            <v>No</v>
          </cell>
          <cell r="H61" t="str">
            <v>1900-01-01 00:00:00</v>
          </cell>
          <cell r="K61" t="str">
            <v>M-P</v>
          </cell>
          <cell r="L61">
            <v>1653</v>
          </cell>
          <cell r="AL61">
            <v>203006</v>
          </cell>
          <cell r="BC61" t="str">
            <v>Cust-PP</v>
          </cell>
          <cell r="BD61" t="str">
            <v>1.9665683382497540</v>
          </cell>
          <cell r="BE61" t="str">
            <v>.0000000000000000</v>
          </cell>
          <cell r="BF61" t="str">
            <v>.0000000000000000</v>
          </cell>
          <cell r="BG61" t="str">
            <v>SelectedTransact</v>
          </cell>
          <cell r="BH61" t="str">
            <v>Taxable</v>
          </cell>
          <cell r="BK61" t="str">
            <v>2025-01-20 00:00:00</v>
          </cell>
          <cell r="BL61" t="str">
            <v>Airport EG-65</v>
          </cell>
          <cell r="BM61" t="str">
            <v>No</v>
          </cell>
          <cell r="BN61" t="str">
            <v>No</v>
          </cell>
          <cell r="BO61" t="str">
            <v>CPay-000000060</v>
          </cell>
        </row>
        <row r="62">
          <cell r="B62">
            <v>203023</v>
          </cell>
          <cell r="C62" t="str">
            <v>61.0000000000000000</v>
          </cell>
          <cell r="D62" t="str">
            <v>101000292</v>
          </cell>
          <cell r="E62" t="str">
            <v>Cust</v>
          </cell>
          <cell r="G62" t="str">
            <v>No</v>
          </cell>
          <cell r="H62" t="str">
            <v>1900-01-01 00:00:00</v>
          </cell>
          <cell r="K62" t="str">
            <v>M-P</v>
          </cell>
          <cell r="L62">
            <v>1653</v>
          </cell>
          <cell r="AL62">
            <v>203023</v>
          </cell>
          <cell r="BC62" t="str">
            <v>Cust-PP</v>
          </cell>
          <cell r="BD62" t="str">
            <v>1.9665683382497540</v>
          </cell>
          <cell r="BE62" t="str">
            <v>.0000000000000000</v>
          </cell>
          <cell r="BF62" t="str">
            <v>.0000000000000000</v>
          </cell>
          <cell r="BG62" t="str">
            <v>SelectedTransact</v>
          </cell>
          <cell r="BH62" t="str">
            <v>Taxable</v>
          </cell>
          <cell r="BK62" t="str">
            <v>2025-01-20 00:00:00</v>
          </cell>
          <cell r="BL62" t="str">
            <v>Airport EG-66</v>
          </cell>
          <cell r="BM62" t="str">
            <v>No</v>
          </cell>
          <cell r="BN62" t="str">
            <v>No</v>
          </cell>
          <cell r="BO62" t="str">
            <v>CPay-000000061</v>
          </cell>
        </row>
        <row r="63">
          <cell r="B63">
            <v>203024</v>
          </cell>
          <cell r="C63" t="str">
            <v>62.0000000000000000</v>
          </cell>
          <cell r="D63" t="str">
            <v>101000292</v>
          </cell>
          <cell r="E63" t="str">
            <v>Cust</v>
          </cell>
          <cell r="G63" t="str">
            <v>No</v>
          </cell>
          <cell r="H63" t="str">
            <v>1900-01-01 00:00:00</v>
          </cell>
          <cell r="K63" t="str">
            <v>M-P</v>
          </cell>
          <cell r="L63">
            <v>669.18</v>
          </cell>
          <cell r="AL63">
            <v>203024</v>
          </cell>
          <cell r="BC63" t="str">
            <v>Cust-PP</v>
          </cell>
          <cell r="BD63" t="str">
            <v>1.9665683382497540</v>
          </cell>
          <cell r="BE63" t="str">
            <v>.0000000000000000</v>
          </cell>
          <cell r="BF63" t="str">
            <v>.0000000000000000</v>
          </cell>
          <cell r="BG63" t="str">
            <v>SelectedTransact</v>
          </cell>
          <cell r="BH63" t="str">
            <v>Taxable</v>
          </cell>
          <cell r="BK63" t="str">
            <v>2025-01-20 00:00:00</v>
          </cell>
          <cell r="BL63" t="str">
            <v>Airport EG-67</v>
          </cell>
          <cell r="BM63" t="str">
            <v>No</v>
          </cell>
          <cell r="BN63" t="str">
            <v>No</v>
          </cell>
          <cell r="BO63" t="str">
            <v>CPay-000000062</v>
          </cell>
        </row>
        <row r="64">
          <cell r="B64">
            <v>203033</v>
          </cell>
          <cell r="C64" t="str">
            <v>63.0000000000000000</v>
          </cell>
          <cell r="D64" t="str">
            <v>101000314</v>
          </cell>
          <cell r="E64" t="str">
            <v>Cust</v>
          </cell>
          <cell r="G64" t="str">
            <v>No</v>
          </cell>
          <cell r="H64" t="str">
            <v>1900-01-01 00:00:00</v>
          </cell>
          <cell r="K64" t="str">
            <v>M-P</v>
          </cell>
          <cell r="L64">
            <v>1653</v>
          </cell>
          <cell r="AL64">
            <v>203033</v>
          </cell>
          <cell r="BC64" t="str">
            <v>Cust-PP</v>
          </cell>
          <cell r="BD64" t="str">
            <v>1.9665683382497540</v>
          </cell>
          <cell r="BE64" t="str">
            <v>.0000000000000000</v>
          </cell>
          <cell r="BF64" t="str">
            <v>.0000000000000000</v>
          </cell>
          <cell r="BG64" t="str">
            <v>SelectedTransact</v>
          </cell>
          <cell r="BH64" t="str">
            <v>Taxable</v>
          </cell>
          <cell r="BK64" t="str">
            <v>2025-01-20 00:00:00</v>
          </cell>
          <cell r="BL64" t="str">
            <v>Airport EG-68</v>
          </cell>
          <cell r="BM64" t="str">
            <v>No</v>
          </cell>
          <cell r="BN64" t="str">
            <v>No</v>
          </cell>
          <cell r="BO64" t="str">
            <v>CPay-000000063</v>
          </cell>
        </row>
        <row r="65">
          <cell r="B65">
            <v>203034</v>
          </cell>
          <cell r="C65" t="str">
            <v>64.0000000000000000</v>
          </cell>
          <cell r="D65" t="str">
            <v>101000314</v>
          </cell>
          <cell r="E65" t="str">
            <v>Cust</v>
          </cell>
          <cell r="G65" t="str">
            <v>No</v>
          </cell>
          <cell r="H65" t="str">
            <v>1900-01-01 00:00:00</v>
          </cell>
          <cell r="K65" t="str">
            <v>M-P</v>
          </cell>
          <cell r="L65">
            <v>262.2</v>
          </cell>
          <cell r="AL65">
            <v>203034</v>
          </cell>
          <cell r="BC65" t="str">
            <v>Cust-PP</v>
          </cell>
          <cell r="BD65" t="str">
            <v>1.9665683382497540</v>
          </cell>
          <cell r="BE65" t="str">
            <v>.0000000000000000</v>
          </cell>
          <cell r="BF65" t="str">
            <v>.0000000000000000</v>
          </cell>
          <cell r="BG65" t="str">
            <v>SelectedTransact</v>
          </cell>
          <cell r="BH65" t="str">
            <v>Taxable</v>
          </cell>
          <cell r="BK65" t="str">
            <v>2025-01-20 00:00:00</v>
          </cell>
          <cell r="BL65" t="str">
            <v>Airport EG-69</v>
          </cell>
          <cell r="BM65" t="str">
            <v>No</v>
          </cell>
          <cell r="BN65" t="str">
            <v>No</v>
          </cell>
          <cell r="BO65" t="str">
            <v>CPay-000000064</v>
          </cell>
        </row>
        <row r="66">
          <cell r="B66">
            <v>203035</v>
          </cell>
          <cell r="C66" t="str">
            <v>65.0000000000000000</v>
          </cell>
          <cell r="D66" t="str">
            <v>101000314</v>
          </cell>
          <cell r="E66" t="str">
            <v>Cust</v>
          </cell>
          <cell r="G66" t="str">
            <v>No</v>
          </cell>
          <cell r="H66" t="str">
            <v>1900-01-01 00:00:00</v>
          </cell>
          <cell r="K66" t="str">
            <v>M-P</v>
          </cell>
          <cell r="L66">
            <v>1653</v>
          </cell>
          <cell r="AL66">
            <v>203035</v>
          </cell>
          <cell r="BC66" t="str">
            <v>Cust-PP</v>
          </cell>
          <cell r="BD66" t="str">
            <v>1.9665683382497540</v>
          </cell>
          <cell r="BE66" t="str">
            <v>.0000000000000000</v>
          </cell>
          <cell r="BF66" t="str">
            <v>.0000000000000000</v>
          </cell>
          <cell r="BG66" t="str">
            <v>SelectedTransact</v>
          </cell>
          <cell r="BH66" t="str">
            <v>Taxable</v>
          </cell>
          <cell r="BK66" t="str">
            <v>2025-01-20 00:00:00</v>
          </cell>
          <cell r="BL66" t="str">
            <v>Airport EG-70</v>
          </cell>
          <cell r="BM66" t="str">
            <v>No</v>
          </cell>
          <cell r="BN66" t="str">
            <v>No</v>
          </cell>
          <cell r="BO66" t="str">
            <v>CPay-000000065</v>
          </cell>
        </row>
        <row r="67">
          <cell r="B67">
            <v>203036</v>
          </cell>
          <cell r="C67" t="str">
            <v>66.0000000000000000</v>
          </cell>
          <cell r="D67" t="str">
            <v>101000314</v>
          </cell>
          <cell r="E67" t="str">
            <v>Cust</v>
          </cell>
          <cell r="G67" t="str">
            <v>No</v>
          </cell>
          <cell r="H67" t="str">
            <v>1900-01-01 00:00:00</v>
          </cell>
          <cell r="K67" t="str">
            <v>M-P</v>
          </cell>
          <cell r="L67">
            <v>199.5</v>
          </cell>
          <cell r="AL67">
            <v>203036</v>
          </cell>
          <cell r="BC67" t="str">
            <v>Cust-PP</v>
          </cell>
          <cell r="BD67" t="str">
            <v>1.9665683382497540</v>
          </cell>
          <cell r="BE67" t="str">
            <v>.0000000000000000</v>
          </cell>
          <cell r="BF67" t="str">
            <v>.0000000000000000</v>
          </cell>
          <cell r="BG67" t="str">
            <v>SelectedTransact</v>
          </cell>
          <cell r="BH67" t="str">
            <v>Taxable</v>
          </cell>
          <cell r="BK67" t="str">
            <v>2025-01-20 00:00:00</v>
          </cell>
          <cell r="BL67" t="str">
            <v>Airport EG-71</v>
          </cell>
          <cell r="BM67" t="str">
            <v>No</v>
          </cell>
          <cell r="BN67" t="str">
            <v>No</v>
          </cell>
          <cell r="BO67" t="str">
            <v>CPay-000000066</v>
          </cell>
        </row>
        <row r="68">
          <cell r="B68">
            <v>203046</v>
          </cell>
          <cell r="C68" t="str">
            <v>67.0000000000000000</v>
          </cell>
          <cell r="D68" t="str">
            <v>101004600</v>
          </cell>
          <cell r="E68" t="str">
            <v>Cust</v>
          </cell>
          <cell r="G68" t="str">
            <v>No</v>
          </cell>
          <cell r="H68" t="str">
            <v>1900-01-01 00:00:00</v>
          </cell>
          <cell r="K68" t="str">
            <v>M-P</v>
          </cell>
          <cell r="L68">
            <v>10000</v>
          </cell>
          <cell r="AL68">
            <v>203046</v>
          </cell>
          <cell r="BC68" t="str">
            <v>Cust-PP</v>
          </cell>
          <cell r="BD68" t="str">
            <v>1.9665683382497540</v>
          </cell>
          <cell r="BE68" t="str">
            <v>.0000000000000000</v>
          </cell>
          <cell r="BF68" t="str">
            <v>.0000000000000000</v>
          </cell>
          <cell r="BG68" t="str">
            <v>SelectedTransact</v>
          </cell>
          <cell r="BH68" t="str">
            <v>Taxable</v>
          </cell>
          <cell r="BK68" t="str">
            <v>2025-01-20 00:00:00</v>
          </cell>
          <cell r="BL68" t="str">
            <v>Airport EG-72</v>
          </cell>
          <cell r="BM68" t="str">
            <v>No</v>
          </cell>
          <cell r="BN68" t="str">
            <v>No</v>
          </cell>
          <cell r="BO68" t="str">
            <v>CPay-000000067</v>
          </cell>
        </row>
        <row r="69">
          <cell r="B69">
            <v>203124</v>
          </cell>
          <cell r="C69" t="str">
            <v>68.0000000000000000</v>
          </cell>
          <cell r="D69" t="str">
            <v>101000040</v>
          </cell>
          <cell r="E69" t="str">
            <v>Cust</v>
          </cell>
          <cell r="G69" t="str">
            <v>No</v>
          </cell>
          <cell r="H69" t="str">
            <v>1900-01-01 00:00:00</v>
          </cell>
          <cell r="K69" t="str">
            <v>M-P</v>
          </cell>
          <cell r="L69">
            <v>1653</v>
          </cell>
          <cell r="AL69">
            <v>203124</v>
          </cell>
          <cell r="BC69" t="str">
            <v>Cust-PP</v>
          </cell>
          <cell r="BD69" t="str">
            <v>1.9665683382497540</v>
          </cell>
          <cell r="BE69" t="str">
            <v>.0000000000000000</v>
          </cell>
          <cell r="BF69" t="str">
            <v>.0000000000000000</v>
          </cell>
          <cell r="BG69" t="str">
            <v>SelectedTransact</v>
          </cell>
          <cell r="BH69" t="str">
            <v>Taxable</v>
          </cell>
          <cell r="BK69" t="str">
            <v>2025-01-21 00:00:00</v>
          </cell>
          <cell r="BL69" t="str">
            <v>Airport EG-73</v>
          </cell>
          <cell r="BM69" t="str">
            <v>No</v>
          </cell>
          <cell r="BN69" t="str">
            <v>No</v>
          </cell>
          <cell r="BO69" t="str">
            <v>CPay-000000068</v>
          </cell>
        </row>
        <row r="70">
          <cell r="B70">
            <v>203125</v>
          </cell>
          <cell r="C70" t="str">
            <v>69.0000000000000000</v>
          </cell>
          <cell r="D70" t="str">
            <v>101000040</v>
          </cell>
          <cell r="E70" t="str">
            <v>Cust</v>
          </cell>
          <cell r="G70" t="str">
            <v>No</v>
          </cell>
          <cell r="H70" t="str">
            <v>1900-01-01 00:00:00</v>
          </cell>
          <cell r="K70" t="str">
            <v>M-P</v>
          </cell>
          <cell r="L70">
            <v>1535.58</v>
          </cell>
          <cell r="AL70">
            <v>203125</v>
          </cell>
          <cell r="BC70" t="str">
            <v>Cust-PP</v>
          </cell>
          <cell r="BD70" t="str">
            <v>1.9665683382497540</v>
          </cell>
          <cell r="BE70" t="str">
            <v>.0000000000000000</v>
          </cell>
          <cell r="BF70" t="str">
            <v>.0000000000000000</v>
          </cell>
          <cell r="BG70" t="str">
            <v>SelectedTransact</v>
          </cell>
          <cell r="BH70" t="str">
            <v>Taxable</v>
          </cell>
          <cell r="BK70" t="str">
            <v>2025-01-21 00:00:00</v>
          </cell>
          <cell r="BL70" t="str">
            <v>Airport EG-74</v>
          </cell>
          <cell r="BM70" t="str">
            <v>No</v>
          </cell>
          <cell r="BN70" t="str">
            <v>No</v>
          </cell>
          <cell r="BO70" t="str">
            <v>CPay-000000069</v>
          </cell>
        </row>
        <row r="71">
          <cell r="B71">
            <v>203256</v>
          </cell>
          <cell r="C71" t="str">
            <v>70.0000000000000000</v>
          </cell>
          <cell r="D71" t="str">
            <v>101000616</v>
          </cell>
          <cell r="E71" t="str">
            <v>Cust</v>
          </cell>
          <cell r="G71" t="str">
            <v>No</v>
          </cell>
          <cell r="H71" t="str">
            <v>1900-01-01 00:00:00</v>
          </cell>
          <cell r="K71" t="str">
            <v>M-P</v>
          </cell>
          <cell r="L71">
            <v>262.2</v>
          </cell>
          <cell r="AL71">
            <v>203256</v>
          </cell>
          <cell r="BC71" t="str">
            <v>Cust-PP</v>
          </cell>
          <cell r="BD71" t="str">
            <v>1.9665683382497540</v>
          </cell>
          <cell r="BE71" t="str">
            <v>.0000000000000000</v>
          </cell>
          <cell r="BF71" t="str">
            <v>.0000000000000000</v>
          </cell>
          <cell r="BG71" t="str">
            <v>SelectedTransact</v>
          </cell>
          <cell r="BH71" t="str">
            <v>Taxable</v>
          </cell>
          <cell r="BK71" t="str">
            <v>2025-01-22 00:00:00</v>
          </cell>
          <cell r="BL71" t="str">
            <v>Airport EG-75</v>
          </cell>
          <cell r="BM71" t="str">
            <v>No</v>
          </cell>
          <cell r="BN71" t="str">
            <v>No</v>
          </cell>
          <cell r="BO71" t="str">
            <v>CPay-000000070</v>
          </cell>
        </row>
        <row r="72">
          <cell r="B72">
            <v>203257</v>
          </cell>
          <cell r="C72" t="str">
            <v>71.0000000000000000</v>
          </cell>
          <cell r="D72" t="str">
            <v>101000616</v>
          </cell>
          <cell r="E72" t="str">
            <v>Cust</v>
          </cell>
          <cell r="G72" t="str">
            <v>No</v>
          </cell>
          <cell r="H72" t="str">
            <v>1900-01-01 00:00:00</v>
          </cell>
          <cell r="K72" t="str">
            <v>M-P</v>
          </cell>
          <cell r="L72">
            <v>1653</v>
          </cell>
          <cell r="AL72">
            <v>203257</v>
          </cell>
          <cell r="BC72" t="str">
            <v>Cust-PP</v>
          </cell>
          <cell r="BD72" t="str">
            <v>1.9665683382497540</v>
          </cell>
          <cell r="BE72" t="str">
            <v>.0000000000000000</v>
          </cell>
          <cell r="BF72" t="str">
            <v>.0000000000000000</v>
          </cell>
          <cell r="BG72" t="str">
            <v>SelectedTransact</v>
          </cell>
          <cell r="BH72" t="str">
            <v>Taxable</v>
          </cell>
          <cell r="BK72" t="str">
            <v>2025-01-22 00:00:00</v>
          </cell>
          <cell r="BL72" t="str">
            <v>Airport EG-76</v>
          </cell>
          <cell r="BM72" t="str">
            <v>No</v>
          </cell>
          <cell r="BN72" t="str">
            <v>No</v>
          </cell>
          <cell r="BO72" t="str">
            <v>CPay-000000071</v>
          </cell>
        </row>
        <row r="73">
          <cell r="B73">
            <v>203263</v>
          </cell>
          <cell r="C73" t="str">
            <v>72.0000000000000000</v>
          </cell>
          <cell r="D73" t="str">
            <v>101000288</v>
          </cell>
          <cell r="E73" t="str">
            <v>Cust</v>
          </cell>
          <cell r="G73" t="str">
            <v>No</v>
          </cell>
          <cell r="H73" t="str">
            <v>1900-01-01 00:00:00</v>
          </cell>
          <cell r="K73" t="str">
            <v>M-P</v>
          </cell>
          <cell r="L73">
            <v>1653</v>
          </cell>
          <cell r="AL73">
            <v>203263</v>
          </cell>
          <cell r="BC73" t="str">
            <v>Cust-PP</v>
          </cell>
          <cell r="BD73" t="str">
            <v>1.9665683382497540</v>
          </cell>
          <cell r="BE73" t="str">
            <v>.0000000000000000</v>
          </cell>
          <cell r="BF73" t="str">
            <v>.0000000000000000</v>
          </cell>
          <cell r="BG73" t="str">
            <v>SelectedTransact</v>
          </cell>
          <cell r="BH73" t="str">
            <v>Taxable</v>
          </cell>
          <cell r="BK73" t="str">
            <v>2025-01-22 00:00:00</v>
          </cell>
          <cell r="BL73" t="str">
            <v>Airport EG-77</v>
          </cell>
          <cell r="BM73" t="str">
            <v>No</v>
          </cell>
          <cell r="BN73" t="str">
            <v>No</v>
          </cell>
          <cell r="BO73" t="str">
            <v>CPay-000000072</v>
          </cell>
        </row>
        <row r="74">
          <cell r="B74">
            <v>203264</v>
          </cell>
          <cell r="C74" t="str">
            <v>73.0000000000000000</v>
          </cell>
          <cell r="D74" t="str">
            <v>101000288</v>
          </cell>
          <cell r="E74" t="str">
            <v>Cust</v>
          </cell>
          <cell r="G74" t="str">
            <v>No</v>
          </cell>
          <cell r="H74" t="str">
            <v>1900-01-01 00:00:00</v>
          </cell>
          <cell r="K74" t="str">
            <v>M-P</v>
          </cell>
          <cell r="L74">
            <v>1140</v>
          </cell>
          <cell r="AL74">
            <v>203264</v>
          </cell>
          <cell r="BC74" t="str">
            <v>Cust-PP</v>
          </cell>
          <cell r="BD74" t="str">
            <v>1.9665683382497540</v>
          </cell>
          <cell r="BE74" t="str">
            <v>.0000000000000000</v>
          </cell>
          <cell r="BF74" t="str">
            <v>.0000000000000000</v>
          </cell>
          <cell r="BG74" t="str">
            <v>SelectedTransact</v>
          </cell>
          <cell r="BH74" t="str">
            <v>Taxable</v>
          </cell>
          <cell r="BK74" t="str">
            <v>2025-01-22 00:00:00</v>
          </cell>
          <cell r="BL74" t="str">
            <v>Airport EG-78</v>
          </cell>
          <cell r="BM74" t="str">
            <v>No</v>
          </cell>
          <cell r="BN74" t="str">
            <v>No</v>
          </cell>
          <cell r="BO74" t="str">
            <v>CPay-000000073</v>
          </cell>
        </row>
        <row r="75">
          <cell r="B75">
            <v>203265</v>
          </cell>
          <cell r="C75" t="str">
            <v>74.0000000000000000</v>
          </cell>
          <cell r="D75" t="str">
            <v>101000288</v>
          </cell>
          <cell r="E75" t="str">
            <v>Cust</v>
          </cell>
          <cell r="G75" t="str">
            <v>No</v>
          </cell>
          <cell r="H75" t="str">
            <v>1900-01-01 00:00:00</v>
          </cell>
          <cell r="K75" t="str">
            <v>M-P</v>
          </cell>
          <cell r="L75">
            <v>1653</v>
          </cell>
          <cell r="AL75">
            <v>203265</v>
          </cell>
          <cell r="BC75" t="str">
            <v>Cust-PP</v>
          </cell>
          <cell r="BD75" t="str">
            <v>1.9665683382497540</v>
          </cell>
          <cell r="BE75" t="str">
            <v>.0000000000000000</v>
          </cell>
          <cell r="BF75" t="str">
            <v>.0000000000000000</v>
          </cell>
          <cell r="BG75" t="str">
            <v>SelectedTransact</v>
          </cell>
          <cell r="BH75" t="str">
            <v>Taxable</v>
          </cell>
          <cell r="BK75" t="str">
            <v>2025-01-22 00:00:00</v>
          </cell>
          <cell r="BL75" t="str">
            <v>Airport EG-79</v>
          </cell>
          <cell r="BM75" t="str">
            <v>No</v>
          </cell>
          <cell r="BN75" t="str">
            <v>No</v>
          </cell>
          <cell r="BO75" t="str">
            <v>CPay-000000074</v>
          </cell>
        </row>
        <row r="76">
          <cell r="B76">
            <v>203266</v>
          </cell>
          <cell r="C76" t="str">
            <v>75.0000000000000000</v>
          </cell>
          <cell r="D76" t="str">
            <v>101000288</v>
          </cell>
          <cell r="E76" t="str">
            <v>Cust</v>
          </cell>
          <cell r="G76" t="str">
            <v>No</v>
          </cell>
          <cell r="H76" t="str">
            <v>1900-01-01 00:00:00</v>
          </cell>
          <cell r="K76" t="str">
            <v>M-P</v>
          </cell>
          <cell r="L76">
            <v>1145.7</v>
          </cell>
          <cell r="AL76">
            <v>203266</v>
          </cell>
          <cell r="BC76" t="str">
            <v>Cust-PP</v>
          </cell>
          <cell r="BD76" t="str">
            <v>1.9665683382497540</v>
          </cell>
          <cell r="BE76" t="str">
            <v>.0000000000000000</v>
          </cell>
          <cell r="BF76" t="str">
            <v>.0000000000000000</v>
          </cell>
          <cell r="BG76" t="str">
            <v>SelectedTransact</v>
          </cell>
          <cell r="BH76" t="str">
            <v>Taxable</v>
          </cell>
          <cell r="BK76" t="str">
            <v>2025-01-22 00:00:00</v>
          </cell>
          <cell r="BL76" t="str">
            <v>Airport EG-80</v>
          </cell>
          <cell r="BM76" t="str">
            <v>No</v>
          </cell>
          <cell r="BN76" t="str">
            <v>No</v>
          </cell>
          <cell r="BO76" t="str">
            <v>CPay-000000075</v>
          </cell>
        </row>
        <row r="77">
          <cell r="B77">
            <v>203278</v>
          </cell>
          <cell r="C77" t="str">
            <v>76.0000000000000000</v>
          </cell>
          <cell r="D77" t="str">
            <v>101000206</v>
          </cell>
          <cell r="E77" t="str">
            <v>Cust</v>
          </cell>
          <cell r="G77" t="str">
            <v>No</v>
          </cell>
          <cell r="H77" t="str">
            <v>1900-01-01 00:00:00</v>
          </cell>
          <cell r="K77" t="str">
            <v>M-P</v>
          </cell>
          <cell r="L77">
            <v>1450</v>
          </cell>
          <cell r="AL77">
            <v>203278</v>
          </cell>
          <cell r="BC77" t="str">
            <v>Cust-PP</v>
          </cell>
          <cell r="BD77" t="str">
            <v>1.9665683382497540</v>
          </cell>
          <cell r="BE77" t="str">
            <v>.0000000000000000</v>
          </cell>
          <cell r="BF77" t="str">
            <v>.0000000000000000</v>
          </cell>
          <cell r="BG77" t="str">
            <v>SelectedTransact</v>
          </cell>
          <cell r="BH77" t="str">
            <v>Taxable</v>
          </cell>
          <cell r="BK77" t="str">
            <v>2025-01-22 00:00:00</v>
          </cell>
          <cell r="BL77" t="str">
            <v>Airport EG-81</v>
          </cell>
          <cell r="BM77" t="str">
            <v>No</v>
          </cell>
          <cell r="BN77" t="str">
            <v>No</v>
          </cell>
          <cell r="BO77" t="str">
            <v>CPay-000000076</v>
          </cell>
        </row>
        <row r="78">
          <cell r="B78">
            <v>203281</v>
          </cell>
          <cell r="C78" t="str">
            <v>77.0000000000000000</v>
          </cell>
          <cell r="D78" t="str">
            <v>101000206</v>
          </cell>
          <cell r="E78" t="str">
            <v>Cust</v>
          </cell>
          <cell r="G78" t="str">
            <v>No</v>
          </cell>
          <cell r="H78" t="str">
            <v>1900-01-01 00:00:00</v>
          </cell>
          <cell r="K78" t="str">
            <v>M-P</v>
          </cell>
          <cell r="L78">
            <v>262.2</v>
          </cell>
          <cell r="AL78">
            <v>203281</v>
          </cell>
          <cell r="BC78" t="str">
            <v>Cust-PP</v>
          </cell>
          <cell r="BD78" t="str">
            <v>1.9665683382497540</v>
          </cell>
          <cell r="BE78" t="str">
            <v>.0000000000000000</v>
          </cell>
          <cell r="BF78" t="str">
            <v>.0000000000000000</v>
          </cell>
          <cell r="BG78" t="str">
            <v>SelectedTransact</v>
          </cell>
          <cell r="BH78" t="str">
            <v>Taxable</v>
          </cell>
          <cell r="BK78" t="str">
            <v>2025-01-22 00:00:00</v>
          </cell>
          <cell r="BL78" t="str">
            <v>Airport EG-82</v>
          </cell>
          <cell r="BM78" t="str">
            <v>No</v>
          </cell>
          <cell r="BN78" t="str">
            <v>No</v>
          </cell>
          <cell r="BO78" t="str">
            <v>CPay-000000077</v>
          </cell>
        </row>
        <row r="79">
          <cell r="B79">
            <v>203390</v>
          </cell>
          <cell r="C79" t="str">
            <v>78.0000000000000000</v>
          </cell>
          <cell r="D79" t="str">
            <v>101004626</v>
          </cell>
          <cell r="E79" t="str">
            <v>Cust</v>
          </cell>
          <cell r="G79" t="str">
            <v>No</v>
          </cell>
          <cell r="H79" t="str">
            <v>1900-01-01 00:00:00</v>
          </cell>
          <cell r="K79" t="str">
            <v>M-P</v>
          </cell>
          <cell r="L79">
            <v>657.78</v>
          </cell>
          <cell r="AL79">
            <v>203390</v>
          </cell>
          <cell r="BC79" t="str">
            <v>Cust-PP</v>
          </cell>
          <cell r="BD79" t="str">
            <v>1.9665683382497540</v>
          </cell>
          <cell r="BE79" t="str">
            <v>.0000000000000000</v>
          </cell>
          <cell r="BF79" t="str">
            <v>.0000000000000000</v>
          </cell>
          <cell r="BG79" t="str">
            <v>SelectedTransact</v>
          </cell>
          <cell r="BH79" t="str">
            <v>Taxable</v>
          </cell>
          <cell r="BK79" t="str">
            <v>2025-01-23 00:00:00</v>
          </cell>
          <cell r="BL79" t="str">
            <v>Airport EG-84</v>
          </cell>
          <cell r="BM79" t="str">
            <v>No</v>
          </cell>
          <cell r="BN79" t="str">
            <v>No</v>
          </cell>
          <cell r="BO79" t="str">
            <v>CPay-000000078</v>
          </cell>
        </row>
        <row r="80">
          <cell r="B80">
            <v>203407</v>
          </cell>
          <cell r="C80" t="str">
            <v>79.0000000000000000</v>
          </cell>
          <cell r="D80" t="str">
            <v>101000041</v>
          </cell>
          <cell r="E80" t="str">
            <v>Cust</v>
          </cell>
          <cell r="G80" t="str">
            <v>No</v>
          </cell>
          <cell r="H80" t="str">
            <v>1900-01-01 00:00:00</v>
          </cell>
          <cell r="K80" t="str">
            <v>M-P</v>
          </cell>
          <cell r="L80">
            <v>1653</v>
          </cell>
          <cell r="AL80">
            <v>203407</v>
          </cell>
          <cell r="BC80" t="str">
            <v>Cust-PP</v>
          </cell>
          <cell r="BD80" t="str">
            <v>1.9665683382497540</v>
          </cell>
          <cell r="BE80" t="str">
            <v>.0000000000000000</v>
          </cell>
          <cell r="BF80" t="str">
            <v>.0000000000000000</v>
          </cell>
          <cell r="BG80" t="str">
            <v>SelectedTransact</v>
          </cell>
          <cell r="BH80" t="str">
            <v>Taxable</v>
          </cell>
          <cell r="BK80" t="str">
            <v>2025-01-23 00:00:00</v>
          </cell>
          <cell r="BL80" t="str">
            <v>Airport EG-86</v>
          </cell>
          <cell r="BM80" t="str">
            <v>No</v>
          </cell>
          <cell r="BN80" t="str">
            <v>No</v>
          </cell>
          <cell r="BO80" t="str">
            <v>CPay-000000079</v>
          </cell>
        </row>
        <row r="81">
          <cell r="B81">
            <v>203408</v>
          </cell>
          <cell r="C81" t="str">
            <v>80.0000000000000000</v>
          </cell>
          <cell r="D81" t="str">
            <v>101000041</v>
          </cell>
          <cell r="E81" t="str">
            <v>Cust</v>
          </cell>
          <cell r="G81" t="str">
            <v>No</v>
          </cell>
          <cell r="H81" t="str">
            <v>1900-01-01 00:00:00</v>
          </cell>
          <cell r="K81" t="str">
            <v>M-P</v>
          </cell>
          <cell r="L81">
            <v>1425</v>
          </cell>
          <cell r="AL81">
            <v>203408</v>
          </cell>
          <cell r="BC81" t="str">
            <v>Cust-PP</v>
          </cell>
          <cell r="BD81" t="str">
            <v>1.9665683382497540</v>
          </cell>
          <cell r="BE81" t="str">
            <v>.0000000000000000</v>
          </cell>
          <cell r="BF81" t="str">
            <v>.0000000000000000</v>
          </cell>
          <cell r="BG81" t="str">
            <v>SelectedTransact</v>
          </cell>
          <cell r="BH81" t="str">
            <v>Taxable</v>
          </cell>
          <cell r="BK81" t="str">
            <v>2025-01-23 00:00:00</v>
          </cell>
          <cell r="BL81" t="str">
            <v>Airport EG-87</v>
          </cell>
          <cell r="BM81" t="str">
            <v>No</v>
          </cell>
          <cell r="BN81" t="str">
            <v>No</v>
          </cell>
          <cell r="BO81" t="str">
            <v>CPay-000000080</v>
          </cell>
        </row>
        <row r="82">
          <cell r="B82">
            <v>203411</v>
          </cell>
          <cell r="C82" t="str">
            <v>81.0000000000000000</v>
          </cell>
          <cell r="D82" t="str">
            <v>101000205</v>
          </cell>
          <cell r="E82" t="str">
            <v>Cust</v>
          </cell>
          <cell r="G82" t="str">
            <v>No</v>
          </cell>
          <cell r="H82" t="str">
            <v>1900-01-01 00:00:00</v>
          </cell>
          <cell r="K82" t="str">
            <v>M-P</v>
          </cell>
          <cell r="L82">
            <v>1653</v>
          </cell>
          <cell r="AL82">
            <v>203411</v>
          </cell>
          <cell r="BC82" t="str">
            <v>Cust-PP</v>
          </cell>
          <cell r="BD82" t="str">
            <v>1.9665683382497540</v>
          </cell>
          <cell r="BE82" t="str">
            <v>.0000000000000000</v>
          </cell>
          <cell r="BF82" t="str">
            <v>.0000000000000000</v>
          </cell>
          <cell r="BG82" t="str">
            <v>SelectedTransact</v>
          </cell>
          <cell r="BH82" t="str">
            <v>Taxable</v>
          </cell>
          <cell r="BK82" t="str">
            <v>2025-01-23 00:00:00</v>
          </cell>
          <cell r="BL82" t="str">
            <v>Airport EG-88</v>
          </cell>
          <cell r="BM82" t="str">
            <v>No</v>
          </cell>
          <cell r="BN82" t="str">
            <v>No</v>
          </cell>
          <cell r="BO82" t="str">
            <v>CPay-000000081</v>
          </cell>
        </row>
        <row r="83">
          <cell r="B83">
            <v>203413</v>
          </cell>
          <cell r="C83" t="str">
            <v>82.0000000000000000</v>
          </cell>
          <cell r="D83" t="str">
            <v>101000205</v>
          </cell>
          <cell r="E83" t="str">
            <v>Cust</v>
          </cell>
          <cell r="G83" t="str">
            <v>No</v>
          </cell>
          <cell r="H83" t="str">
            <v>1900-01-01 00:00:00</v>
          </cell>
          <cell r="K83" t="str">
            <v>M-P</v>
          </cell>
          <cell r="L83">
            <v>1440.73</v>
          </cell>
          <cell r="AL83">
            <v>203413</v>
          </cell>
          <cell r="BC83" t="str">
            <v>Cust-PP</v>
          </cell>
          <cell r="BD83" t="str">
            <v>1.9665683382497540</v>
          </cell>
          <cell r="BE83" t="str">
            <v>.0000000000000000</v>
          </cell>
          <cell r="BF83" t="str">
            <v>.0000000000000000</v>
          </cell>
          <cell r="BG83" t="str">
            <v>SelectedTransact</v>
          </cell>
          <cell r="BH83" t="str">
            <v>Taxable</v>
          </cell>
          <cell r="BK83" t="str">
            <v>2025-01-23 00:00:00</v>
          </cell>
          <cell r="BL83" t="str">
            <v>Airport EG-89</v>
          </cell>
          <cell r="BM83" t="str">
            <v>No</v>
          </cell>
          <cell r="BN83" t="str">
            <v>No</v>
          </cell>
          <cell r="BO83" t="str">
            <v>CPay-000000082</v>
          </cell>
        </row>
        <row r="84">
          <cell r="B84">
            <v>203415</v>
          </cell>
          <cell r="C84" t="str">
            <v>83.0000000000000000</v>
          </cell>
          <cell r="D84" t="str">
            <v>101000267</v>
          </cell>
          <cell r="E84" t="str">
            <v>Cust</v>
          </cell>
          <cell r="G84" t="str">
            <v>No</v>
          </cell>
          <cell r="H84" t="str">
            <v>1900-01-01 00:00:00</v>
          </cell>
          <cell r="K84" t="str">
            <v>M-P</v>
          </cell>
          <cell r="L84">
            <v>1653</v>
          </cell>
          <cell r="AL84">
            <v>203415</v>
          </cell>
          <cell r="BC84" t="str">
            <v>Cust-PP</v>
          </cell>
          <cell r="BD84" t="str">
            <v>1.9665683382497540</v>
          </cell>
          <cell r="BE84" t="str">
            <v>.0000000000000000</v>
          </cell>
          <cell r="BF84" t="str">
            <v>.0000000000000000</v>
          </cell>
          <cell r="BG84" t="str">
            <v>SelectedTransact</v>
          </cell>
          <cell r="BH84" t="str">
            <v>Taxable</v>
          </cell>
          <cell r="BK84" t="str">
            <v>2025-01-23 00:00:00</v>
          </cell>
          <cell r="BL84" t="str">
            <v>Airport EG-90</v>
          </cell>
          <cell r="BM84" t="str">
            <v>No</v>
          </cell>
          <cell r="BN84" t="str">
            <v>No</v>
          </cell>
          <cell r="BO84" t="str">
            <v>CPay-000000083</v>
          </cell>
        </row>
        <row r="85">
          <cell r="B85">
            <v>203416</v>
          </cell>
          <cell r="C85" t="str">
            <v>84.0000000000000000</v>
          </cell>
          <cell r="D85" t="str">
            <v>101000267</v>
          </cell>
          <cell r="E85" t="str">
            <v>Cust</v>
          </cell>
          <cell r="G85" t="str">
            <v>No</v>
          </cell>
          <cell r="H85" t="str">
            <v>1900-01-01 00:00:00</v>
          </cell>
          <cell r="K85" t="str">
            <v>M-P</v>
          </cell>
          <cell r="L85">
            <v>558.49</v>
          </cell>
          <cell r="AL85">
            <v>203416</v>
          </cell>
          <cell r="BC85" t="str">
            <v>Cust-PP</v>
          </cell>
          <cell r="BD85" t="str">
            <v>1.9665683382497540</v>
          </cell>
          <cell r="BE85" t="str">
            <v>.0000000000000000</v>
          </cell>
          <cell r="BF85" t="str">
            <v>.0000000000000000</v>
          </cell>
          <cell r="BG85" t="str">
            <v>SelectedTransact</v>
          </cell>
          <cell r="BH85" t="str">
            <v>Taxable</v>
          </cell>
          <cell r="BK85" t="str">
            <v>2025-01-23 00:00:00</v>
          </cell>
          <cell r="BL85" t="str">
            <v>Airport EG-91</v>
          </cell>
          <cell r="BM85" t="str">
            <v>No</v>
          </cell>
          <cell r="BN85" t="str">
            <v>No</v>
          </cell>
          <cell r="BO85" t="str">
            <v>CPay-000000084</v>
          </cell>
        </row>
        <row r="86">
          <cell r="B86">
            <v>203417</v>
          </cell>
          <cell r="C86" t="str">
            <v>85.0000000000000000</v>
          </cell>
          <cell r="D86" t="str">
            <v>101000267</v>
          </cell>
          <cell r="E86" t="str">
            <v>Cust</v>
          </cell>
          <cell r="G86" t="str">
            <v>No</v>
          </cell>
          <cell r="H86" t="str">
            <v>1900-01-01 00:00:00</v>
          </cell>
          <cell r="K86" t="str">
            <v>M-P</v>
          </cell>
          <cell r="L86">
            <v>1653</v>
          </cell>
          <cell r="AL86">
            <v>203417</v>
          </cell>
          <cell r="BC86" t="str">
            <v>Cust-PP</v>
          </cell>
          <cell r="BD86" t="str">
            <v>1.9665683382497540</v>
          </cell>
          <cell r="BE86" t="str">
            <v>.0000000000000000</v>
          </cell>
          <cell r="BF86" t="str">
            <v>.0000000000000000</v>
          </cell>
          <cell r="BG86" t="str">
            <v>SelectedTransact</v>
          </cell>
          <cell r="BH86" t="str">
            <v>Taxable</v>
          </cell>
          <cell r="BK86" t="str">
            <v>2025-01-23 00:00:00</v>
          </cell>
          <cell r="BL86" t="str">
            <v>Airport EG-92</v>
          </cell>
          <cell r="BM86" t="str">
            <v>No</v>
          </cell>
          <cell r="BN86" t="str">
            <v>No</v>
          </cell>
          <cell r="BO86" t="str">
            <v>CPay-000000085</v>
          </cell>
        </row>
        <row r="87">
          <cell r="B87">
            <v>203418</v>
          </cell>
          <cell r="C87" t="str">
            <v>86.0000000000000000</v>
          </cell>
          <cell r="D87" t="str">
            <v>101000267</v>
          </cell>
          <cell r="E87" t="str">
            <v>Cust</v>
          </cell>
          <cell r="G87" t="str">
            <v>No</v>
          </cell>
          <cell r="H87" t="str">
            <v>1900-01-01 00:00:00</v>
          </cell>
          <cell r="K87" t="str">
            <v>M-P</v>
          </cell>
          <cell r="L87">
            <v>382.81</v>
          </cell>
          <cell r="AL87">
            <v>203418</v>
          </cell>
          <cell r="BC87" t="str">
            <v>Cust-PP</v>
          </cell>
          <cell r="BD87" t="str">
            <v>1.9665683382497540</v>
          </cell>
          <cell r="BE87" t="str">
            <v>.0000000000000000</v>
          </cell>
          <cell r="BF87" t="str">
            <v>.0000000000000000</v>
          </cell>
          <cell r="BG87" t="str">
            <v>SelectedTransact</v>
          </cell>
          <cell r="BH87" t="str">
            <v>Taxable</v>
          </cell>
          <cell r="BK87" t="str">
            <v>2025-01-23 00:00:00</v>
          </cell>
          <cell r="BL87" t="str">
            <v>Airport EG-93</v>
          </cell>
          <cell r="BM87" t="str">
            <v>No</v>
          </cell>
          <cell r="BN87" t="str">
            <v>No</v>
          </cell>
          <cell r="BO87" t="str">
            <v>CPay-000000086</v>
          </cell>
        </row>
        <row r="88">
          <cell r="B88">
            <v>317156</v>
          </cell>
          <cell r="C88" t="str">
            <v>87.0000000000000000</v>
          </cell>
          <cell r="D88" t="str">
            <v>101001599</v>
          </cell>
          <cell r="E88" t="str">
            <v>Cust</v>
          </cell>
          <cell r="G88" t="str">
            <v>No</v>
          </cell>
          <cell r="H88" t="str">
            <v>1900-01-01 00:00:00</v>
          </cell>
          <cell r="K88" t="str">
            <v>M-P</v>
          </cell>
          <cell r="L88">
            <v>540</v>
          </cell>
          <cell r="AL88">
            <v>317156</v>
          </cell>
          <cell r="BC88" t="str">
            <v>Cust-PP</v>
          </cell>
          <cell r="BD88" t="str">
            <v>100.0000000000000000</v>
          </cell>
          <cell r="BE88" t="str">
            <v>.0000000000000000</v>
          </cell>
          <cell r="BF88" t="str">
            <v>.0000000000000000</v>
          </cell>
          <cell r="BG88" t="str">
            <v>SelectedTransact</v>
          </cell>
          <cell r="BH88" t="str">
            <v>Taxable</v>
          </cell>
          <cell r="BK88" t="str">
            <v>2025-01-23 00:00:00</v>
          </cell>
          <cell r="BL88" t="str">
            <v>Airport EG-83</v>
          </cell>
          <cell r="BM88" t="str">
            <v>No</v>
          </cell>
          <cell r="BN88" t="str">
            <v>No</v>
          </cell>
          <cell r="BO88" t="str">
            <v>CPay-000000087</v>
          </cell>
        </row>
        <row r="89">
          <cell r="B89">
            <v>317157</v>
          </cell>
          <cell r="C89" t="str">
            <v>88.0000000000000000</v>
          </cell>
          <cell r="D89" t="str">
            <v>101004626</v>
          </cell>
          <cell r="E89" t="str">
            <v>Cust</v>
          </cell>
          <cell r="G89" t="str">
            <v>No</v>
          </cell>
          <cell r="H89" t="str">
            <v>1900-01-01 00:00:00</v>
          </cell>
          <cell r="K89" t="str">
            <v>M-P</v>
          </cell>
          <cell r="L89">
            <v>1653</v>
          </cell>
          <cell r="AL89">
            <v>317157</v>
          </cell>
          <cell r="BC89" t="str">
            <v>Cust-PP</v>
          </cell>
          <cell r="BD89" t="str">
            <v>1.9665683382497540</v>
          </cell>
          <cell r="BE89" t="str">
            <v>.0000000000000000</v>
          </cell>
          <cell r="BF89" t="str">
            <v>.0000000000000000</v>
          </cell>
          <cell r="BG89" t="str">
            <v>SelectedTransact</v>
          </cell>
          <cell r="BH89" t="str">
            <v>Taxable</v>
          </cell>
          <cell r="BK89" t="str">
            <v>2025-01-23 00:00:00</v>
          </cell>
          <cell r="BL89" t="str">
            <v>Airport EG-85</v>
          </cell>
          <cell r="BM89" t="str">
            <v>No</v>
          </cell>
          <cell r="BN89" t="str">
            <v>No</v>
          </cell>
          <cell r="BO89" t="str">
            <v>CPay-000000088</v>
          </cell>
        </row>
        <row r="90">
          <cell r="B90">
            <v>203478</v>
          </cell>
          <cell r="C90" t="str">
            <v>89.0000000000000000</v>
          </cell>
          <cell r="D90" t="str">
            <v>101004542</v>
          </cell>
          <cell r="E90" t="str">
            <v>Cust</v>
          </cell>
          <cell r="G90" t="str">
            <v>No</v>
          </cell>
          <cell r="H90" t="str">
            <v>1900-01-01 00:00:00</v>
          </cell>
          <cell r="K90" t="str">
            <v>M-P</v>
          </cell>
          <cell r="L90">
            <v>1653</v>
          </cell>
          <cell r="AL90">
            <v>203478</v>
          </cell>
          <cell r="BC90" t="str">
            <v>Cust-PP</v>
          </cell>
          <cell r="BD90" t="str">
            <v>1.9665683382497540</v>
          </cell>
          <cell r="BE90" t="str">
            <v>.0000000000000000</v>
          </cell>
          <cell r="BF90" t="str">
            <v>.0000000000000000</v>
          </cell>
          <cell r="BG90" t="str">
            <v>SelectedTransact</v>
          </cell>
          <cell r="BH90" t="str">
            <v>Taxable</v>
          </cell>
          <cell r="BK90" t="str">
            <v>2025-01-26 00:00:00</v>
          </cell>
          <cell r="BL90" t="str">
            <v>Airport EG-94</v>
          </cell>
          <cell r="BM90" t="str">
            <v>No</v>
          </cell>
          <cell r="BN90" t="str">
            <v>No</v>
          </cell>
          <cell r="BO90" t="str">
            <v>CPay-000000089</v>
          </cell>
        </row>
        <row r="91">
          <cell r="B91">
            <v>203479</v>
          </cell>
          <cell r="C91" t="str">
            <v>90.0000000000000000</v>
          </cell>
          <cell r="D91" t="str">
            <v>101004542</v>
          </cell>
          <cell r="E91" t="str">
            <v>Cust</v>
          </cell>
          <cell r="G91" t="str">
            <v>No</v>
          </cell>
          <cell r="H91" t="str">
            <v>1900-01-01 00:00:00</v>
          </cell>
          <cell r="K91" t="str">
            <v>M-P</v>
          </cell>
          <cell r="L91">
            <v>2821.64</v>
          </cell>
          <cell r="AL91">
            <v>203479</v>
          </cell>
          <cell r="BC91" t="str">
            <v>Cust-PP</v>
          </cell>
          <cell r="BD91" t="str">
            <v>1.9665683382497540</v>
          </cell>
          <cell r="BE91" t="str">
            <v>.0000000000000000</v>
          </cell>
          <cell r="BF91" t="str">
            <v>.0000000000000000</v>
          </cell>
          <cell r="BG91" t="str">
            <v>SelectedTransact</v>
          </cell>
          <cell r="BH91" t="str">
            <v>Taxable</v>
          </cell>
          <cell r="BK91" t="str">
            <v>2025-01-26 00:00:00</v>
          </cell>
          <cell r="BL91" t="str">
            <v>Airport EG-95</v>
          </cell>
          <cell r="BM91" t="str">
            <v>No</v>
          </cell>
          <cell r="BN91" t="str">
            <v>No</v>
          </cell>
          <cell r="BO91" t="str">
            <v>CPay-000000090</v>
          </cell>
        </row>
        <row r="92">
          <cell r="B92">
            <v>203496</v>
          </cell>
          <cell r="C92" t="str">
            <v>91.0000000000000000</v>
          </cell>
          <cell r="D92" t="str">
            <v>101000040</v>
          </cell>
          <cell r="E92" t="str">
            <v>Cust</v>
          </cell>
          <cell r="G92" t="str">
            <v>No</v>
          </cell>
          <cell r="H92" t="str">
            <v>1900-01-01 00:00:00</v>
          </cell>
          <cell r="K92" t="str">
            <v>M-P</v>
          </cell>
          <cell r="L92">
            <v>199.5</v>
          </cell>
          <cell r="AL92">
            <v>203496</v>
          </cell>
          <cell r="BC92" t="str">
            <v>Cust-PP</v>
          </cell>
          <cell r="BD92" t="str">
            <v>1.9665683382497540</v>
          </cell>
          <cell r="BE92" t="str">
            <v>.0000000000000000</v>
          </cell>
          <cell r="BF92" t="str">
            <v>.0000000000000000</v>
          </cell>
          <cell r="BG92" t="str">
            <v>SelectedTransact</v>
          </cell>
          <cell r="BH92" t="str">
            <v>Taxable</v>
          </cell>
          <cell r="BK92" t="str">
            <v>2025-01-26 00:00:00</v>
          </cell>
          <cell r="BL92" t="str">
            <v>Airport EG-96</v>
          </cell>
          <cell r="BM92" t="str">
            <v>No</v>
          </cell>
          <cell r="BN92" t="str">
            <v>No</v>
          </cell>
          <cell r="BO92" t="str">
            <v>CPay-000000091</v>
          </cell>
        </row>
        <row r="93">
          <cell r="B93">
            <v>203497</v>
          </cell>
          <cell r="C93" t="str">
            <v>92.0000000000000000</v>
          </cell>
          <cell r="D93" t="str">
            <v>101000040</v>
          </cell>
          <cell r="E93" t="str">
            <v>Cust</v>
          </cell>
          <cell r="G93" t="str">
            <v>No</v>
          </cell>
          <cell r="H93" t="str">
            <v>1900-01-01 00:00:00</v>
          </cell>
          <cell r="K93" t="str">
            <v>M-P</v>
          </cell>
          <cell r="L93">
            <v>1653</v>
          </cell>
          <cell r="AL93">
            <v>203497</v>
          </cell>
          <cell r="BC93" t="str">
            <v>Cust-PP</v>
          </cell>
          <cell r="BD93" t="str">
            <v>1.9665683382497540</v>
          </cell>
          <cell r="BE93" t="str">
            <v>.0000000000000000</v>
          </cell>
          <cell r="BF93" t="str">
            <v>.0000000000000000</v>
          </cell>
          <cell r="BG93" t="str">
            <v>SelectedTransact</v>
          </cell>
          <cell r="BH93" t="str">
            <v>Taxable</v>
          </cell>
          <cell r="BK93" t="str">
            <v>2025-01-26 00:00:00</v>
          </cell>
          <cell r="BL93" t="str">
            <v>Airport EG-97</v>
          </cell>
          <cell r="BM93" t="str">
            <v>No</v>
          </cell>
          <cell r="BN93" t="str">
            <v>No</v>
          </cell>
          <cell r="BO93" t="str">
            <v>CPay-000000092</v>
          </cell>
        </row>
        <row r="94">
          <cell r="B94">
            <v>203527</v>
          </cell>
          <cell r="C94" t="str">
            <v>93.0000000000000000</v>
          </cell>
          <cell r="D94" t="str">
            <v>101000314</v>
          </cell>
          <cell r="E94" t="str">
            <v>Cust</v>
          </cell>
          <cell r="G94" t="str">
            <v>No</v>
          </cell>
          <cell r="H94" t="str">
            <v>1900-01-01 00:00:00</v>
          </cell>
          <cell r="K94" t="str">
            <v>M-P</v>
          </cell>
          <cell r="L94">
            <v>1653</v>
          </cell>
          <cell r="AL94">
            <v>203527</v>
          </cell>
          <cell r="BC94" t="str">
            <v>Cust-PP</v>
          </cell>
          <cell r="BD94" t="str">
            <v>1.9665683382497540</v>
          </cell>
          <cell r="BE94" t="str">
            <v>.0000000000000000</v>
          </cell>
          <cell r="BF94" t="str">
            <v>.0000000000000000</v>
          </cell>
          <cell r="BG94" t="str">
            <v>SelectedTransact</v>
          </cell>
          <cell r="BH94" t="str">
            <v>Taxable</v>
          </cell>
          <cell r="BK94" t="str">
            <v>2025-01-26 00:00:00</v>
          </cell>
          <cell r="BL94" t="str">
            <v>Airport EG-98</v>
          </cell>
          <cell r="BM94" t="str">
            <v>No</v>
          </cell>
          <cell r="BN94" t="str">
            <v>No</v>
          </cell>
          <cell r="BO94" t="str">
            <v>CPay-000000093</v>
          </cell>
        </row>
        <row r="95">
          <cell r="B95">
            <v>203528</v>
          </cell>
          <cell r="C95" t="str">
            <v>94.0000000000000000</v>
          </cell>
          <cell r="D95" t="str">
            <v>101000314</v>
          </cell>
          <cell r="E95" t="str">
            <v>Cust</v>
          </cell>
          <cell r="G95" t="str">
            <v>No</v>
          </cell>
          <cell r="H95" t="str">
            <v>1900-01-01 00:00:00</v>
          </cell>
          <cell r="K95" t="str">
            <v>M-P</v>
          </cell>
          <cell r="L95">
            <v>2867.1</v>
          </cell>
          <cell r="AL95">
            <v>203528</v>
          </cell>
          <cell r="BC95" t="str">
            <v>Cust-PP</v>
          </cell>
          <cell r="BD95" t="str">
            <v>1.9665683382497540</v>
          </cell>
          <cell r="BE95" t="str">
            <v>.0000000000000000</v>
          </cell>
          <cell r="BF95" t="str">
            <v>.0000000000000000</v>
          </cell>
          <cell r="BG95" t="str">
            <v>SelectedTransact</v>
          </cell>
          <cell r="BH95" t="str">
            <v>Taxable</v>
          </cell>
          <cell r="BK95" t="str">
            <v>2025-01-26 00:00:00</v>
          </cell>
          <cell r="BL95" t="str">
            <v>Airport EG-99</v>
          </cell>
          <cell r="BM95" t="str">
            <v>No</v>
          </cell>
          <cell r="BN95" t="str">
            <v>No</v>
          </cell>
          <cell r="BO95" t="str">
            <v>CPay-000000094</v>
          </cell>
        </row>
        <row r="96">
          <cell r="B96">
            <v>203571</v>
          </cell>
          <cell r="C96" t="str">
            <v>95.0000000000000000</v>
          </cell>
          <cell r="D96" t="str">
            <v>101002387</v>
          </cell>
          <cell r="E96" t="str">
            <v>Cust</v>
          </cell>
          <cell r="G96" t="str">
            <v>No</v>
          </cell>
          <cell r="H96" t="str">
            <v>1900-01-01 00:00:00</v>
          </cell>
          <cell r="K96" t="str">
            <v>M-P</v>
          </cell>
          <cell r="L96">
            <v>2052</v>
          </cell>
          <cell r="AL96">
            <v>203571</v>
          </cell>
          <cell r="BC96" t="str">
            <v>Cust-PP</v>
          </cell>
          <cell r="BD96" t="str">
            <v>1.9665683382497540</v>
          </cell>
          <cell r="BE96" t="str">
            <v>.0000000000000000</v>
          </cell>
          <cell r="BF96" t="str">
            <v>.0000000000000000</v>
          </cell>
          <cell r="BG96" t="str">
            <v>SelectedTransact</v>
          </cell>
          <cell r="BH96" t="str">
            <v>Taxable</v>
          </cell>
          <cell r="BK96" t="str">
            <v>2025-01-27 00:00:00</v>
          </cell>
          <cell r="BL96" t="str">
            <v>Airport EG-100</v>
          </cell>
          <cell r="BM96" t="str">
            <v>No</v>
          </cell>
          <cell r="BN96" t="str">
            <v>No</v>
          </cell>
          <cell r="BO96" t="str">
            <v>CPay-000000095</v>
          </cell>
        </row>
        <row r="97">
          <cell r="B97">
            <v>203572</v>
          </cell>
          <cell r="C97" t="str">
            <v>96.0000000000000000</v>
          </cell>
          <cell r="D97" t="str">
            <v>101002387</v>
          </cell>
          <cell r="E97" t="str">
            <v>Cust</v>
          </cell>
          <cell r="G97" t="str">
            <v>No</v>
          </cell>
          <cell r="H97" t="str">
            <v>1900-01-01 00:00:00</v>
          </cell>
          <cell r="K97" t="str">
            <v>M-P</v>
          </cell>
          <cell r="L97">
            <v>285</v>
          </cell>
          <cell r="AL97">
            <v>203572</v>
          </cell>
          <cell r="BC97" t="str">
            <v>Cust-PP</v>
          </cell>
          <cell r="BD97" t="str">
            <v>1.9665683382497540</v>
          </cell>
          <cell r="BE97" t="str">
            <v>.0000000000000000</v>
          </cell>
          <cell r="BF97" t="str">
            <v>.0000000000000000</v>
          </cell>
          <cell r="BG97" t="str">
            <v>SelectedTransact</v>
          </cell>
          <cell r="BH97" t="str">
            <v>Taxable</v>
          </cell>
          <cell r="BK97" t="str">
            <v>2025-01-27 00:00:00</v>
          </cell>
          <cell r="BL97" t="str">
            <v>Airport EG-101</v>
          </cell>
          <cell r="BM97" t="str">
            <v>No</v>
          </cell>
          <cell r="BN97" t="str">
            <v>No</v>
          </cell>
          <cell r="BO97" t="str">
            <v>CPay-000000096</v>
          </cell>
        </row>
        <row r="98">
          <cell r="B98">
            <v>203573</v>
          </cell>
          <cell r="C98" t="str">
            <v>97.0000000000000000</v>
          </cell>
          <cell r="D98" t="str">
            <v>101000280</v>
          </cell>
          <cell r="E98" t="str">
            <v>Cust</v>
          </cell>
          <cell r="G98" t="str">
            <v>No</v>
          </cell>
          <cell r="H98" t="str">
            <v>1900-01-01 00:00:00</v>
          </cell>
          <cell r="K98" t="str">
            <v>M-P</v>
          </cell>
          <cell r="L98">
            <v>380.19</v>
          </cell>
          <cell r="AL98">
            <v>203573</v>
          </cell>
          <cell r="BC98" t="str">
            <v>Cust-PP</v>
          </cell>
          <cell r="BD98" t="str">
            <v>1.9665683382497540</v>
          </cell>
          <cell r="BE98" t="str">
            <v>.0000000000000000</v>
          </cell>
          <cell r="BF98" t="str">
            <v>.0000000000000000</v>
          </cell>
          <cell r="BG98" t="str">
            <v>SelectedTransact</v>
          </cell>
          <cell r="BH98" t="str">
            <v>Taxable</v>
          </cell>
          <cell r="BK98" t="str">
            <v>2025-01-27 00:00:00</v>
          </cell>
          <cell r="BL98" t="str">
            <v>Airport EG-102</v>
          </cell>
          <cell r="BM98" t="str">
            <v>No</v>
          </cell>
          <cell r="BN98" t="str">
            <v>No</v>
          </cell>
          <cell r="BO98" t="str">
            <v>CPay-000000097</v>
          </cell>
        </row>
        <row r="99">
          <cell r="B99">
            <v>203575</v>
          </cell>
          <cell r="C99" t="str">
            <v>98.0000000000000000</v>
          </cell>
          <cell r="D99" t="str">
            <v>101000280</v>
          </cell>
          <cell r="E99" t="str">
            <v>Cust</v>
          </cell>
          <cell r="G99" t="str">
            <v>No</v>
          </cell>
          <cell r="H99" t="str">
            <v>1900-01-01 00:00:00</v>
          </cell>
          <cell r="K99" t="str">
            <v>M-P</v>
          </cell>
          <cell r="L99">
            <v>1653</v>
          </cell>
          <cell r="AL99">
            <v>203575</v>
          </cell>
          <cell r="BC99" t="str">
            <v>Cust-PP</v>
          </cell>
          <cell r="BD99" t="str">
            <v>1.9665683382497540</v>
          </cell>
          <cell r="BE99" t="str">
            <v>.0000000000000000</v>
          </cell>
          <cell r="BF99" t="str">
            <v>.0000000000000000</v>
          </cell>
          <cell r="BG99" t="str">
            <v>SelectedTransact</v>
          </cell>
          <cell r="BH99" t="str">
            <v>Taxable</v>
          </cell>
          <cell r="BK99" t="str">
            <v>2025-01-27 00:00:00</v>
          </cell>
          <cell r="BL99" t="str">
            <v>Airport EG-103</v>
          </cell>
          <cell r="BM99" t="str">
            <v>No</v>
          </cell>
          <cell r="BN99" t="str">
            <v>No</v>
          </cell>
          <cell r="BO99" t="str">
            <v>CPay-000000098</v>
          </cell>
        </row>
        <row r="100">
          <cell r="B100">
            <v>203578</v>
          </cell>
          <cell r="C100" t="str">
            <v>99.0000000000000000</v>
          </cell>
          <cell r="D100" t="str">
            <v>101001101</v>
          </cell>
          <cell r="E100" t="str">
            <v>Cust</v>
          </cell>
          <cell r="G100" t="str">
            <v>No</v>
          </cell>
          <cell r="H100" t="str">
            <v>1900-01-01 00:00:00</v>
          </cell>
          <cell r="K100" t="str">
            <v>M-P</v>
          </cell>
          <cell r="L100">
            <v>199.5</v>
          </cell>
          <cell r="AL100">
            <v>203578</v>
          </cell>
          <cell r="BC100" t="str">
            <v>Cust-PP</v>
          </cell>
          <cell r="BD100" t="str">
            <v>1.9665683382497540</v>
          </cell>
          <cell r="BE100" t="str">
            <v>.0000000000000000</v>
          </cell>
          <cell r="BF100" t="str">
            <v>.0000000000000000</v>
          </cell>
          <cell r="BG100" t="str">
            <v>SelectedTransact</v>
          </cell>
          <cell r="BH100" t="str">
            <v>Taxable</v>
          </cell>
          <cell r="BK100" t="str">
            <v>2025-01-27 00:00:00</v>
          </cell>
          <cell r="BL100" t="str">
            <v>Airport EG-104</v>
          </cell>
          <cell r="BM100" t="str">
            <v>No</v>
          </cell>
          <cell r="BN100" t="str">
            <v>No</v>
          </cell>
          <cell r="BO100" t="str">
            <v>CPay-000000099</v>
          </cell>
        </row>
        <row r="101">
          <cell r="B101">
            <v>203612</v>
          </cell>
          <cell r="C101" t="str">
            <v>100.0000000000000000</v>
          </cell>
          <cell r="D101" t="str">
            <v>101000406</v>
          </cell>
          <cell r="E101" t="str">
            <v>Cust</v>
          </cell>
          <cell r="G101" t="str">
            <v>No</v>
          </cell>
          <cell r="H101" t="str">
            <v>1900-01-01 00:00:00</v>
          </cell>
          <cell r="K101" t="str">
            <v>M-P</v>
          </cell>
          <cell r="L101">
            <v>2052</v>
          </cell>
          <cell r="AL101">
            <v>203612</v>
          </cell>
          <cell r="BC101" t="str">
            <v>Cust-PP</v>
          </cell>
          <cell r="BD101" t="str">
            <v>1.9665683382497540</v>
          </cell>
          <cell r="BE101" t="str">
            <v>.0000000000000000</v>
          </cell>
          <cell r="BF101" t="str">
            <v>.0000000000000000</v>
          </cell>
          <cell r="BG101" t="str">
            <v>SelectedTransact</v>
          </cell>
          <cell r="BH101" t="str">
            <v>Taxable</v>
          </cell>
          <cell r="BK101" t="str">
            <v>2025-01-27 00:00:00</v>
          </cell>
          <cell r="BL101" t="str">
            <v>Airport EG-105</v>
          </cell>
          <cell r="BM101" t="str">
            <v>No</v>
          </cell>
          <cell r="BN101" t="str">
            <v>No</v>
          </cell>
          <cell r="BO101" t="str">
            <v>CPay-000000100</v>
          </cell>
        </row>
        <row r="102">
          <cell r="B102">
            <v>203613</v>
          </cell>
          <cell r="C102" t="str">
            <v>101.0000000000000000</v>
          </cell>
          <cell r="D102" t="str">
            <v>101000406</v>
          </cell>
          <cell r="E102" t="str">
            <v>Cust</v>
          </cell>
          <cell r="G102" t="str">
            <v>No</v>
          </cell>
          <cell r="H102" t="str">
            <v>1900-01-01 00:00:00</v>
          </cell>
          <cell r="K102" t="str">
            <v>M-P</v>
          </cell>
          <cell r="L102">
            <v>1674.2</v>
          </cell>
          <cell r="AL102">
            <v>203613</v>
          </cell>
          <cell r="BC102" t="str">
            <v>Cust-PP</v>
          </cell>
          <cell r="BD102" t="str">
            <v>1.9665683382497540</v>
          </cell>
          <cell r="BE102" t="str">
            <v>.0000000000000000</v>
          </cell>
          <cell r="BF102" t="str">
            <v>.0000000000000000</v>
          </cell>
          <cell r="BG102" t="str">
            <v>SelectedTransact</v>
          </cell>
          <cell r="BH102" t="str">
            <v>Taxable</v>
          </cell>
          <cell r="BK102" t="str">
            <v>2025-01-27 00:00:00</v>
          </cell>
          <cell r="BL102" t="str">
            <v>Airport EG-106</v>
          </cell>
          <cell r="BM102" t="str">
            <v>No</v>
          </cell>
          <cell r="BN102" t="str">
            <v>No</v>
          </cell>
          <cell r="BO102" t="str">
            <v>CPay-000000101</v>
          </cell>
        </row>
        <row r="103">
          <cell r="B103">
            <v>203619</v>
          </cell>
          <cell r="C103" t="str">
            <v>102.0000000000000000</v>
          </cell>
          <cell r="D103" t="str">
            <v>101001596</v>
          </cell>
          <cell r="E103" t="str">
            <v>Cust</v>
          </cell>
          <cell r="G103" t="str">
            <v>No</v>
          </cell>
          <cell r="H103" t="str">
            <v>1900-01-01 00:00:00</v>
          </cell>
          <cell r="K103" t="str">
            <v>M-P</v>
          </cell>
          <cell r="L103">
            <v>1653</v>
          </cell>
          <cell r="AL103">
            <v>203619</v>
          </cell>
          <cell r="BC103" t="str">
            <v>Cust-PP</v>
          </cell>
          <cell r="BD103" t="str">
            <v>1.9665683382497540</v>
          </cell>
          <cell r="BE103" t="str">
            <v>.0000000000000000</v>
          </cell>
          <cell r="BF103" t="str">
            <v>.0000000000000000</v>
          </cell>
          <cell r="BG103" t="str">
            <v>SelectedTransact</v>
          </cell>
          <cell r="BH103" t="str">
            <v>Taxable</v>
          </cell>
          <cell r="BK103" t="str">
            <v>2025-01-27 00:00:00</v>
          </cell>
          <cell r="BL103" t="str">
            <v>Airport EG-107</v>
          </cell>
          <cell r="BM103" t="str">
            <v>No</v>
          </cell>
          <cell r="BN103" t="str">
            <v>No</v>
          </cell>
          <cell r="BO103" t="str">
            <v>CPay-000000102</v>
          </cell>
        </row>
        <row r="104">
          <cell r="B104">
            <v>203621</v>
          </cell>
          <cell r="C104" t="str">
            <v>103.0000000000000000</v>
          </cell>
          <cell r="D104" t="str">
            <v>101001596</v>
          </cell>
          <cell r="E104" t="str">
            <v>Cust</v>
          </cell>
          <cell r="G104" t="str">
            <v>No</v>
          </cell>
          <cell r="H104" t="str">
            <v>1900-01-01 00:00:00</v>
          </cell>
          <cell r="K104" t="str">
            <v>M-P</v>
          </cell>
          <cell r="L104">
            <v>262.2</v>
          </cell>
          <cell r="AL104">
            <v>203621</v>
          </cell>
          <cell r="BC104" t="str">
            <v>Cust-PP</v>
          </cell>
          <cell r="BD104" t="str">
            <v>1.9665683382497540</v>
          </cell>
          <cell r="BE104" t="str">
            <v>.0000000000000000</v>
          </cell>
          <cell r="BF104" t="str">
            <v>.0000000000000000</v>
          </cell>
          <cell r="BG104" t="str">
            <v>SelectedTransact</v>
          </cell>
          <cell r="BH104" t="str">
            <v>Taxable</v>
          </cell>
          <cell r="BK104" t="str">
            <v>2025-01-27 00:00:00</v>
          </cell>
          <cell r="BL104" t="str">
            <v>Airport EG-108</v>
          </cell>
          <cell r="BM104" t="str">
            <v>No</v>
          </cell>
          <cell r="BN104" t="str">
            <v>No</v>
          </cell>
          <cell r="BO104" t="str">
            <v>CPay-000000103</v>
          </cell>
        </row>
        <row r="105">
          <cell r="B105">
            <v>203653</v>
          </cell>
          <cell r="C105" t="str">
            <v>104.0000000000000000</v>
          </cell>
          <cell r="D105" t="str">
            <v>101000540</v>
          </cell>
          <cell r="E105" t="str">
            <v>Cust</v>
          </cell>
          <cell r="G105" t="str">
            <v>No</v>
          </cell>
          <cell r="H105" t="str">
            <v>1900-01-01 00:00:00</v>
          </cell>
          <cell r="K105" t="str">
            <v>M-P</v>
          </cell>
          <cell r="L105">
            <v>3450.78</v>
          </cell>
          <cell r="AL105">
            <v>203653</v>
          </cell>
          <cell r="BC105" t="str">
            <v>Cust-PP</v>
          </cell>
          <cell r="BD105" t="str">
            <v>1.9665683382497540</v>
          </cell>
          <cell r="BE105" t="str">
            <v>.0000000000000000</v>
          </cell>
          <cell r="BF105" t="str">
            <v>.0000000000000000</v>
          </cell>
          <cell r="BG105" t="str">
            <v>SelectedTransact</v>
          </cell>
          <cell r="BH105" t="str">
            <v>Taxable</v>
          </cell>
          <cell r="BK105" t="str">
            <v>2025-01-27 00:00:00</v>
          </cell>
          <cell r="BL105" t="str">
            <v>Airport EG-109</v>
          </cell>
          <cell r="BM105" t="str">
            <v>No</v>
          </cell>
          <cell r="BN105" t="str">
            <v>No</v>
          </cell>
          <cell r="BO105" t="str">
            <v>CPay-000000104</v>
          </cell>
        </row>
        <row r="106">
          <cell r="B106">
            <v>203654</v>
          </cell>
          <cell r="C106" t="str">
            <v>105.0000000000000000</v>
          </cell>
          <cell r="D106" t="str">
            <v>101000540</v>
          </cell>
          <cell r="E106" t="str">
            <v>Cust</v>
          </cell>
          <cell r="G106" t="str">
            <v>No</v>
          </cell>
          <cell r="H106" t="str">
            <v>1900-01-01 00:00:00</v>
          </cell>
          <cell r="K106" t="str">
            <v>M-P</v>
          </cell>
          <cell r="L106">
            <v>1653</v>
          </cell>
          <cell r="AL106">
            <v>203654</v>
          </cell>
          <cell r="BC106" t="str">
            <v>Cust-PP</v>
          </cell>
          <cell r="BD106" t="str">
            <v>1.9665683382497540</v>
          </cell>
          <cell r="BE106" t="str">
            <v>.0000000000000000</v>
          </cell>
          <cell r="BF106" t="str">
            <v>.0000000000000000</v>
          </cell>
          <cell r="BG106" t="str">
            <v>SelectedTransact</v>
          </cell>
          <cell r="BH106" t="str">
            <v>Taxable</v>
          </cell>
          <cell r="BK106" t="str">
            <v>2025-01-27 00:00:00</v>
          </cell>
          <cell r="BL106" t="str">
            <v>Airport EG-110</v>
          </cell>
          <cell r="BM106" t="str">
            <v>No</v>
          </cell>
          <cell r="BN106" t="str">
            <v>No</v>
          </cell>
          <cell r="BO106" t="str">
            <v>CPay-000000105</v>
          </cell>
        </row>
        <row r="107">
          <cell r="B107">
            <v>203659</v>
          </cell>
          <cell r="C107" t="str">
            <v>106.0000000000000000</v>
          </cell>
          <cell r="D107" t="str">
            <v>101003811</v>
          </cell>
          <cell r="E107" t="str">
            <v>Cust</v>
          </cell>
          <cell r="G107" t="str">
            <v>No</v>
          </cell>
          <cell r="H107" t="str">
            <v>1900-01-01 00:00:00</v>
          </cell>
          <cell r="K107" t="str">
            <v>M-P</v>
          </cell>
          <cell r="L107">
            <v>2052</v>
          </cell>
          <cell r="AL107">
            <v>203659</v>
          </cell>
          <cell r="BC107" t="str">
            <v>Cust-PP</v>
          </cell>
          <cell r="BD107" t="str">
            <v>1.9665683382497540</v>
          </cell>
          <cell r="BE107" t="str">
            <v>.0000000000000000</v>
          </cell>
          <cell r="BF107" t="str">
            <v>.0000000000000000</v>
          </cell>
          <cell r="BG107" t="str">
            <v>SelectedTransact</v>
          </cell>
          <cell r="BH107" t="str">
            <v>Taxable</v>
          </cell>
          <cell r="BK107" t="str">
            <v>2025-01-27 00:00:00</v>
          </cell>
          <cell r="BL107" t="str">
            <v>Airport EG-111</v>
          </cell>
          <cell r="BM107" t="str">
            <v>No</v>
          </cell>
          <cell r="BN107" t="str">
            <v>No</v>
          </cell>
          <cell r="BO107" t="str">
            <v>CPay-000000106</v>
          </cell>
        </row>
        <row r="108">
          <cell r="B108">
            <v>203660</v>
          </cell>
          <cell r="C108" t="str">
            <v>107.0000000000000000</v>
          </cell>
          <cell r="D108" t="str">
            <v>101003811</v>
          </cell>
          <cell r="E108" t="str">
            <v>Cust</v>
          </cell>
          <cell r="G108" t="str">
            <v>No</v>
          </cell>
          <cell r="H108" t="str">
            <v>1900-01-01 00:00:00</v>
          </cell>
          <cell r="K108" t="str">
            <v>M-P</v>
          </cell>
          <cell r="L108">
            <v>1334.94</v>
          </cell>
          <cell r="AL108">
            <v>203660</v>
          </cell>
          <cell r="BC108" t="str">
            <v>Cust-PP</v>
          </cell>
          <cell r="BD108" t="str">
            <v>1.9665683382497540</v>
          </cell>
          <cell r="BE108" t="str">
            <v>.0000000000000000</v>
          </cell>
          <cell r="BF108" t="str">
            <v>.0000000000000000</v>
          </cell>
          <cell r="BG108" t="str">
            <v>SelectedTransact</v>
          </cell>
          <cell r="BH108" t="str">
            <v>Taxable</v>
          </cell>
          <cell r="BK108" t="str">
            <v>2025-01-27 00:00:00</v>
          </cell>
          <cell r="BL108" t="str">
            <v>Airport EG-112</v>
          </cell>
          <cell r="BM108" t="str">
            <v>No</v>
          </cell>
          <cell r="BN108" t="str">
            <v>No</v>
          </cell>
          <cell r="BO108" t="str">
            <v>CPay-000000107</v>
          </cell>
        </row>
        <row r="109">
          <cell r="B109">
            <v>203661</v>
          </cell>
          <cell r="C109" t="str">
            <v>108.0000000000000000</v>
          </cell>
          <cell r="D109" t="str">
            <v>101004573</v>
          </cell>
          <cell r="E109" t="str">
            <v>Cust</v>
          </cell>
          <cell r="G109" t="str">
            <v>No</v>
          </cell>
          <cell r="H109" t="str">
            <v>1900-01-01 00:00:00</v>
          </cell>
          <cell r="K109" t="str">
            <v>M-P</v>
          </cell>
          <cell r="L109">
            <v>2052</v>
          </cell>
          <cell r="AL109">
            <v>203661</v>
          </cell>
          <cell r="BC109" t="str">
            <v>Cust-PP</v>
          </cell>
          <cell r="BD109" t="str">
            <v>1.9665683382497540</v>
          </cell>
          <cell r="BE109" t="str">
            <v>.0000000000000000</v>
          </cell>
          <cell r="BF109" t="str">
            <v>.0000000000000000</v>
          </cell>
          <cell r="BG109" t="str">
            <v>SelectedTransact</v>
          </cell>
          <cell r="BH109" t="str">
            <v>Taxable</v>
          </cell>
          <cell r="BK109" t="str">
            <v>2025-01-27 00:00:00</v>
          </cell>
          <cell r="BL109" t="str">
            <v>Airport EG-113</v>
          </cell>
          <cell r="BM109" t="str">
            <v>No</v>
          </cell>
          <cell r="BN109" t="str">
            <v>No</v>
          </cell>
          <cell r="BO109" t="str">
            <v>CPay-000000108</v>
          </cell>
        </row>
        <row r="110">
          <cell r="B110">
            <v>203662</v>
          </cell>
          <cell r="C110" t="str">
            <v>109.0000000000000000</v>
          </cell>
          <cell r="D110" t="str">
            <v>101004573</v>
          </cell>
          <cell r="E110" t="str">
            <v>Cust</v>
          </cell>
          <cell r="G110" t="str">
            <v>No</v>
          </cell>
          <cell r="H110" t="str">
            <v>1900-01-01 00:00:00</v>
          </cell>
          <cell r="K110" t="str">
            <v>M-P</v>
          </cell>
          <cell r="L110">
            <v>199.5</v>
          </cell>
          <cell r="AL110">
            <v>203662</v>
          </cell>
          <cell r="BC110" t="str">
            <v>Cust-PP</v>
          </cell>
          <cell r="BD110" t="str">
            <v>1.9665683382497540</v>
          </cell>
          <cell r="BE110" t="str">
            <v>.0000000000000000</v>
          </cell>
          <cell r="BF110" t="str">
            <v>.0000000000000000</v>
          </cell>
          <cell r="BG110" t="str">
            <v>SelectedTransact</v>
          </cell>
          <cell r="BH110" t="str">
            <v>Taxable</v>
          </cell>
          <cell r="BK110" t="str">
            <v>2025-01-27 00:00:00</v>
          </cell>
          <cell r="BL110" t="str">
            <v>Airport EG-114</v>
          </cell>
          <cell r="BM110" t="str">
            <v>No</v>
          </cell>
          <cell r="BN110" t="str">
            <v>No</v>
          </cell>
          <cell r="BO110" t="str">
            <v>CPay-000000109</v>
          </cell>
        </row>
        <row r="111">
          <cell r="B111">
            <v>203715</v>
          </cell>
          <cell r="C111" t="str">
            <v>110.0000000000000000</v>
          </cell>
          <cell r="D111" t="str">
            <v>101000616</v>
          </cell>
          <cell r="E111" t="str">
            <v>Cust</v>
          </cell>
          <cell r="G111" t="str">
            <v>No</v>
          </cell>
          <cell r="H111" t="str">
            <v>1900-01-01 00:00:00</v>
          </cell>
          <cell r="K111" t="str">
            <v>M-P</v>
          </cell>
          <cell r="L111">
            <v>1653</v>
          </cell>
          <cell r="AL111">
            <v>203715</v>
          </cell>
          <cell r="BC111" t="str">
            <v>Cust-PP</v>
          </cell>
          <cell r="BD111" t="str">
            <v>1.9665683382497540</v>
          </cell>
          <cell r="BE111" t="str">
            <v>.0000000000000000</v>
          </cell>
          <cell r="BF111" t="str">
            <v>.0000000000000000</v>
          </cell>
          <cell r="BG111" t="str">
            <v>SelectedTransact</v>
          </cell>
          <cell r="BH111" t="str">
            <v>Taxable</v>
          </cell>
          <cell r="BK111" t="str">
            <v>2025-01-28 00:00:00</v>
          </cell>
          <cell r="BL111" t="str">
            <v>Airport EG-115</v>
          </cell>
          <cell r="BM111" t="str">
            <v>No</v>
          </cell>
          <cell r="BN111" t="str">
            <v>No</v>
          </cell>
          <cell r="BO111" t="str">
            <v>CPay-000000110</v>
          </cell>
        </row>
        <row r="112">
          <cell r="B112">
            <v>203720</v>
          </cell>
          <cell r="C112" t="str">
            <v>111.0000000000000000</v>
          </cell>
          <cell r="D112" t="str">
            <v>101000616</v>
          </cell>
          <cell r="E112" t="str">
            <v>Cust</v>
          </cell>
          <cell r="G112" t="str">
            <v>No</v>
          </cell>
          <cell r="H112" t="str">
            <v>1900-01-01 00:00:00</v>
          </cell>
          <cell r="K112" t="str">
            <v>M-P</v>
          </cell>
          <cell r="L112">
            <v>414.28</v>
          </cell>
          <cell r="AL112">
            <v>203720</v>
          </cell>
          <cell r="BC112" t="str">
            <v>Cust-PP</v>
          </cell>
          <cell r="BD112" t="str">
            <v>1.9665683382497540</v>
          </cell>
          <cell r="BE112" t="str">
            <v>.0000000000000000</v>
          </cell>
          <cell r="BF112" t="str">
            <v>.0000000000000000</v>
          </cell>
          <cell r="BG112" t="str">
            <v>SelectedTransact</v>
          </cell>
          <cell r="BH112" t="str">
            <v>Taxable</v>
          </cell>
          <cell r="BK112" t="str">
            <v>2025-01-28 00:00:00</v>
          </cell>
          <cell r="BL112" t="str">
            <v>Airport EG-116</v>
          </cell>
          <cell r="BM112" t="str">
            <v>No</v>
          </cell>
          <cell r="BN112" t="str">
            <v>No</v>
          </cell>
          <cell r="BO112" t="str">
            <v>CPay-000000111</v>
          </cell>
        </row>
        <row r="113">
          <cell r="B113">
            <v>203721</v>
          </cell>
          <cell r="C113" t="str">
            <v>112.0000000000000000</v>
          </cell>
          <cell r="D113" t="str">
            <v>101000616</v>
          </cell>
          <cell r="E113" t="str">
            <v>Cust</v>
          </cell>
          <cell r="G113" t="str">
            <v>No</v>
          </cell>
          <cell r="H113" t="str">
            <v>1900-01-01 00:00:00</v>
          </cell>
          <cell r="K113" t="str">
            <v>M-P</v>
          </cell>
          <cell r="L113">
            <v>1653</v>
          </cell>
          <cell r="AL113">
            <v>203721</v>
          </cell>
          <cell r="BC113" t="str">
            <v>Cust-PP</v>
          </cell>
          <cell r="BD113" t="str">
            <v>1.9665683382497540</v>
          </cell>
          <cell r="BE113" t="str">
            <v>.0000000000000000</v>
          </cell>
          <cell r="BF113" t="str">
            <v>.0000000000000000</v>
          </cell>
          <cell r="BG113" t="str">
            <v>SelectedTransact</v>
          </cell>
          <cell r="BH113" t="str">
            <v>Taxable</v>
          </cell>
          <cell r="BK113" t="str">
            <v>2025-01-28 00:00:00</v>
          </cell>
          <cell r="BL113" t="str">
            <v>Airport EG-117</v>
          </cell>
          <cell r="BM113" t="str">
            <v>No</v>
          </cell>
          <cell r="BN113" t="str">
            <v>No</v>
          </cell>
          <cell r="BO113" t="str">
            <v>CPay-000000112</v>
          </cell>
        </row>
        <row r="114">
          <cell r="B114">
            <v>203722</v>
          </cell>
          <cell r="C114" t="str">
            <v>113.0000000000000000</v>
          </cell>
          <cell r="D114" t="str">
            <v>101000616</v>
          </cell>
          <cell r="E114" t="str">
            <v>Cust</v>
          </cell>
          <cell r="G114" t="str">
            <v>No</v>
          </cell>
          <cell r="H114" t="str">
            <v>1900-01-01 00:00:00</v>
          </cell>
          <cell r="K114" t="str">
            <v>M-P</v>
          </cell>
          <cell r="L114">
            <v>304.14999999999998</v>
          </cell>
          <cell r="AL114">
            <v>203722</v>
          </cell>
          <cell r="BC114" t="str">
            <v>Cust-PP</v>
          </cell>
          <cell r="BD114" t="str">
            <v>1.9665683382497540</v>
          </cell>
          <cell r="BE114" t="str">
            <v>.0000000000000000</v>
          </cell>
          <cell r="BF114" t="str">
            <v>.0000000000000000</v>
          </cell>
          <cell r="BG114" t="str">
            <v>SelectedTransact</v>
          </cell>
          <cell r="BH114" t="str">
            <v>Taxable</v>
          </cell>
          <cell r="BK114" t="str">
            <v>2025-01-28 00:00:00</v>
          </cell>
          <cell r="BL114" t="str">
            <v>Airport EG-118</v>
          </cell>
          <cell r="BM114" t="str">
            <v>No</v>
          </cell>
          <cell r="BN114" t="str">
            <v>No</v>
          </cell>
          <cell r="BO114" t="str">
            <v>CPay-000000113</v>
          </cell>
        </row>
        <row r="115">
          <cell r="B115">
            <v>203788</v>
          </cell>
          <cell r="C115" t="str">
            <v>114.0000000000000000</v>
          </cell>
          <cell r="D115" t="str">
            <v>101003382</v>
          </cell>
          <cell r="E115" t="str">
            <v>Cust</v>
          </cell>
          <cell r="G115" t="str">
            <v>No</v>
          </cell>
          <cell r="H115" t="str">
            <v>1900-01-01 00:00:00</v>
          </cell>
          <cell r="K115" t="str">
            <v>M-P</v>
          </cell>
          <cell r="L115">
            <v>1653</v>
          </cell>
          <cell r="AL115">
            <v>203788</v>
          </cell>
          <cell r="BC115" t="str">
            <v>Cust-PP</v>
          </cell>
          <cell r="BD115" t="str">
            <v>1.9665683382497540</v>
          </cell>
          <cell r="BE115" t="str">
            <v>.0000000000000000</v>
          </cell>
          <cell r="BF115" t="str">
            <v>.0000000000000000</v>
          </cell>
          <cell r="BG115" t="str">
            <v>SelectedTransact</v>
          </cell>
          <cell r="BH115" t="str">
            <v>Taxable</v>
          </cell>
          <cell r="BK115" t="str">
            <v>2025-01-28 00:00:00</v>
          </cell>
          <cell r="BL115" t="str">
            <v>Airport EG-119</v>
          </cell>
          <cell r="BM115" t="str">
            <v>No</v>
          </cell>
          <cell r="BN115" t="str">
            <v>No</v>
          </cell>
          <cell r="BO115" t="str">
            <v>CPay-000000114</v>
          </cell>
        </row>
        <row r="116">
          <cell r="B116">
            <v>203789</v>
          </cell>
          <cell r="C116" t="str">
            <v>115.0000000000000000</v>
          </cell>
          <cell r="D116" t="str">
            <v>101003382</v>
          </cell>
          <cell r="E116" t="str">
            <v>Cust</v>
          </cell>
          <cell r="G116" t="str">
            <v>No</v>
          </cell>
          <cell r="H116" t="str">
            <v>1900-01-01 00:00:00</v>
          </cell>
          <cell r="K116" t="str">
            <v>M-P</v>
          </cell>
          <cell r="L116">
            <v>262.2</v>
          </cell>
          <cell r="AL116">
            <v>203789</v>
          </cell>
          <cell r="BC116" t="str">
            <v>Cust-PP</v>
          </cell>
          <cell r="BD116" t="str">
            <v>1.9665683382497540</v>
          </cell>
          <cell r="BE116" t="str">
            <v>.0000000000000000</v>
          </cell>
          <cell r="BF116" t="str">
            <v>.0000000000000000</v>
          </cell>
          <cell r="BG116" t="str">
            <v>SelectedTransact</v>
          </cell>
          <cell r="BH116" t="str">
            <v>Taxable</v>
          </cell>
          <cell r="BK116" t="str">
            <v>2025-01-28 00:00:00</v>
          </cell>
          <cell r="BL116" t="str">
            <v>Airport EG-120</v>
          </cell>
          <cell r="BM116" t="str">
            <v>No</v>
          </cell>
          <cell r="BN116" t="str">
            <v>No</v>
          </cell>
          <cell r="BO116" t="str">
            <v>CPay-000000115</v>
          </cell>
        </row>
        <row r="117">
          <cell r="B117">
            <v>203808</v>
          </cell>
          <cell r="C117" t="str">
            <v>116.0000000000000000</v>
          </cell>
          <cell r="D117" t="str">
            <v>101000314</v>
          </cell>
          <cell r="E117" t="str">
            <v>Cust</v>
          </cell>
          <cell r="G117" t="str">
            <v>No</v>
          </cell>
          <cell r="H117" t="str">
            <v>1900-01-01 00:00:00</v>
          </cell>
          <cell r="K117" t="str">
            <v>M-P</v>
          </cell>
          <cell r="L117">
            <v>1653</v>
          </cell>
          <cell r="AL117">
            <v>203808</v>
          </cell>
          <cell r="BC117" t="str">
            <v>Cust-PP</v>
          </cell>
          <cell r="BD117" t="str">
            <v>1.9665683382497540</v>
          </cell>
          <cell r="BE117" t="str">
            <v>.0000000000000000</v>
          </cell>
          <cell r="BF117" t="str">
            <v>.0000000000000000</v>
          </cell>
          <cell r="BG117" t="str">
            <v>SelectedTransact</v>
          </cell>
          <cell r="BH117" t="str">
            <v>Taxable</v>
          </cell>
          <cell r="BK117" t="str">
            <v>2025-01-28 00:00:00</v>
          </cell>
          <cell r="BL117" t="str">
            <v>Airport EG-121</v>
          </cell>
          <cell r="BM117" t="str">
            <v>No</v>
          </cell>
          <cell r="BN117" t="str">
            <v>No</v>
          </cell>
          <cell r="BO117" t="str">
            <v>CPay-000000116</v>
          </cell>
        </row>
        <row r="118">
          <cell r="B118">
            <v>203809</v>
          </cell>
          <cell r="C118" t="str">
            <v>117.0000000000000000</v>
          </cell>
          <cell r="D118" t="str">
            <v>101000314</v>
          </cell>
          <cell r="E118" t="str">
            <v>Cust</v>
          </cell>
          <cell r="G118" t="str">
            <v>No</v>
          </cell>
          <cell r="H118" t="str">
            <v>1900-01-01 00:00:00</v>
          </cell>
          <cell r="K118" t="str">
            <v>M-P</v>
          </cell>
          <cell r="L118">
            <v>199.5</v>
          </cell>
          <cell r="AL118">
            <v>203809</v>
          </cell>
          <cell r="BC118" t="str">
            <v>Cust-PP</v>
          </cell>
          <cell r="BD118" t="str">
            <v>1.9665683382497540</v>
          </cell>
          <cell r="BE118" t="str">
            <v>.0000000000000000</v>
          </cell>
          <cell r="BF118" t="str">
            <v>.0000000000000000</v>
          </cell>
          <cell r="BG118" t="str">
            <v>SelectedTransact</v>
          </cell>
          <cell r="BH118" t="str">
            <v>Taxable</v>
          </cell>
          <cell r="BK118" t="str">
            <v>2025-01-28 00:00:00</v>
          </cell>
          <cell r="BL118" t="str">
            <v>Airport EG-122</v>
          </cell>
          <cell r="BM118" t="str">
            <v>No</v>
          </cell>
          <cell r="BN118" t="str">
            <v>No</v>
          </cell>
          <cell r="BO118" t="str">
            <v>CPay-000000117</v>
          </cell>
        </row>
        <row r="119">
          <cell r="B119">
            <v>203811</v>
          </cell>
          <cell r="C119" t="str">
            <v>118.0000000000000000</v>
          </cell>
          <cell r="D119" t="str">
            <v>101000314</v>
          </cell>
          <cell r="E119" t="str">
            <v>Cust</v>
          </cell>
          <cell r="G119" t="str">
            <v>No</v>
          </cell>
          <cell r="H119" t="str">
            <v>1900-01-01 00:00:00</v>
          </cell>
          <cell r="K119" t="str">
            <v>M-P</v>
          </cell>
          <cell r="L119">
            <v>1653</v>
          </cell>
          <cell r="AL119">
            <v>203811</v>
          </cell>
          <cell r="BC119" t="str">
            <v>Cust-PP</v>
          </cell>
          <cell r="BD119" t="str">
            <v>1.9665683382497540</v>
          </cell>
          <cell r="BE119" t="str">
            <v>.0000000000000000</v>
          </cell>
          <cell r="BF119" t="str">
            <v>.0000000000000000</v>
          </cell>
          <cell r="BG119" t="str">
            <v>SelectedTransact</v>
          </cell>
          <cell r="BH119" t="str">
            <v>Taxable</v>
          </cell>
          <cell r="BK119" t="str">
            <v>2025-01-28 00:00:00</v>
          </cell>
          <cell r="BL119" t="str">
            <v>Airport EG-123</v>
          </cell>
          <cell r="BM119" t="str">
            <v>No</v>
          </cell>
          <cell r="BN119" t="str">
            <v>No</v>
          </cell>
          <cell r="BO119" t="str">
            <v>CPay-000000118</v>
          </cell>
        </row>
        <row r="120">
          <cell r="B120">
            <v>203812</v>
          </cell>
          <cell r="C120" t="str">
            <v>119.0000000000000000</v>
          </cell>
          <cell r="D120" t="str">
            <v>101000314</v>
          </cell>
          <cell r="E120" t="str">
            <v>Cust</v>
          </cell>
          <cell r="G120" t="str">
            <v>No</v>
          </cell>
          <cell r="H120" t="str">
            <v>1900-01-01 00:00:00</v>
          </cell>
          <cell r="K120" t="str">
            <v>M-P</v>
          </cell>
          <cell r="L120">
            <v>199.5</v>
          </cell>
          <cell r="AL120">
            <v>203812</v>
          </cell>
          <cell r="BC120" t="str">
            <v>Cust-PP</v>
          </cell>
          <cell r="BD120" t="str">
            <v>1.9665683382497540</v>
          </cell>
          <cell r="BE120" t="str">
            <v>.0000000000000000</v>
          </cell>
          <cell r="BF120" t="str">
            <v>.0000000000000000</v>
          </cell>
          <cell r="BG120" t="str">
            <v>SelectedTransact</v>
          </cell>
          <cell r="BH120" t="str">
            <v>Taxable</v>
          </cell>
          <cell r="BK120" t="str">
            <v>2025-01-28 00:00:00</v>
          </cell>
          <cell r="BL120" t="str">
            <v>Airport EG-124</v>
          </cell>
          <cell r="BM120" t="str">
            <v>No</v>
          </cell>
          <cell r="BN120" t="str">
            <v>No</v>
          </cell>
          <cell r="BO120" t="str">
            <v>CPay-000000119</v>
          </cell>
        </row>
        <row r="121">
          <cell r="B121">
            <v>203813</v>
          </cell>
          <cell r="C121" t="str">
            <v>120.0000000000000000</v>
          </cell>
          <cell r="D121" t="str">
            <v>101002211</v>
          </cell>
          <cell r="E121" t="str">
            <v>Cust</v>
          </cell>
          <cell r="G121" t="str">
            <v>No</v>
          </cell>
          <cell r="H121" t="str">
            <v>1900-01-01 00:00:00</v>
          </cell>
          <cell r="K121" t="str">
            <v>M-P</v>
          </cell>
          <cell r="L121">
            <v>2052</v>
          </cell>
          <cell r="AL121">
            <v>203813</v>
          </cell>
          <cell r="BC121" t="str">
            <v>Cust-PP</v>
          </cell>
          <cell r="BD121" t="str">
            <v>1.9665683382497540</v>
          </cell>
          <cell r="BE121" t="str">
            <v>.0000000000000000</v>
          </cell>
          <cell r="BF121" t="str">
            <v>.0000000000000000</v>
          </cell>
          <cell r="BG121" t="str">
            <v>SelectedTransact</v>
          </cell>
          <cell r="BH121" t="str">
            <v>Taxable</v>
          </cell>
          <cell r="BK121" t="str">
            <v>2025-01-28 00:00:00</v>
          </cell>
          <cell r="BL121" t="str">
            <v>Airport EG-125</v>
          </cell>
          <cell r="BM121" t="str">
            <v>No</v>
          </cell>
          <cell r="BN121" t="str">
            <v>No</v>
          </cell>
          <cell r="BO121" t="str">
            <v>CPay-000000120</v>
          </cell>
        </row>
        <row r="122">
          <cell r="B122">
            <v>203814</v>
          </cell>
          <cell r="C122" t="str">
            <v>121.0000000000000000</v>
          </cell>
          <cell r="D122" t="str">
            <v>101002211</v>
          </cell>
          <cell r="E122" t="str">
            <v>Cust</v>
          </cell>
          <cell r="G122" t="str">
            <v>No</v>
          </cell>
          <cell r="H122" t="str">
            <v>1900-01-01 00:00:00</v>
          </cell>
          <cell r="K122" t="str">
            <v>M-P</v>
          </cell>
          <cell r="L122">
            <v>576.84</v>
          </cell>
          <cell r="AL122">
            <v>203814</v>
          </cell>
          <cell r="BC122" t="str">
            <v>Cust-PP</v>
          </cell>
          <cell r="BD122" t="str">
            <v>1.9665683382497540</v>
          </cell>
          <cell r="BE122" t="str">
            <v>.0000000000000000</v>
          </cell>
          <cell r="BF122" t="str">
            <v>.0000000000000000</v>
          </cell>
          <cell r="BG122" t="str">
            <v>SelectedTransact</v>
          </cell>
          <cell r="BH122" t="str">
            <v>Taxable</v>
          </cell>
          <cell r="BK122" t="str">
            <v>2025-01-28 00:00:00</v>
          </cell>
          <cell r="BL122" t="str">
            <v>Airport EG-126</v>
          </cell>
          <cell r="BM122" t="str">
            <v>No</v>
          </cell>
          <cell r="BN122" t="str">
            <v>No</v>
          </cell>
          <cell r="BO122" t="str">
            <v>CPay-000000121</v>
          </cell>
        </row>
        <row r="123">
          <cell r="B123">
            <v>203884</v>
          </cell>
          <cell r="C123" t="str">
            <v>122.0000000000000000</v>
          </cell>
          <cell r="D123" t="str">
            <v>101000266</v>
          </cell>
          <cell r="E123" t="str">
            <v>Cust</v>
          </cell>
          <cell r="G123" t="str">
            <v>No</v>
          </cell>
          <cell r="H123" t="str">
            <v>1900-01-01 00:00:00</v>
          </cell>
          <cell r="K123" t="str">
            <v>M-P</v>
          </cell>
          <cell r="L123">
            <v>578.15</v>
          </cell>
          <cell r="AL123">
            <v>203884</v>
          </cell>
          <cell r="BC123" t="str">
            <v>Cust-PP</v>
          </cell>
          <cell r="BD123" t="str">
            <v>1.9665683382497540</v>
          </cell>
          <cell r="BE123" t="str">
            <v>.0000000000000000</v>
          </cell>
          <cell r="BF123" t="str">
            <v>.0000000000000000</v>
          </cell>
          <cell r="BG123" t="str">
            <v>SelectedTransact</v>
          </cell>
          <cell r="BH123" t="str">
            <v>Taxable</v>
          </cell>
          <cell r="BK123" t="str">
            <v>2025-01-29 00:00:00</v>
          </cell>
          <cell r="BL123" t="str">
            <v>Airport EG-127</v>
          </cell>
          <cell r="BM123" t="str">
            <v>No</v>
          </cell>
          <cell r="BN123" t="str">
            <v>No</v>
          </cell>
          <cell r="BO123" t="str">
            <v>CPay-000000122</v>
          </cell>
        </row>
        <row r="124">
          <cell r="B124">
            <v>203885</v>
          </cell>
          <cell r="C124" t="str">
            <v>123.0000000000000000</v>
          </cell>
          <cell r="D124" t="str">
            <v>101000266</v>
          </cell>
          <cell r="E124" t="str">
            <v>Cust</v>
          </cell>
          <cell r="G124" t="str">
            <v>No</v>
          </cell>
          <cell r="H124" t="str">
            <v>1900-01-01 00:00:00</v>
          </cell>
          <cell r="K124" t="str">
            <v>M-P</v>
          </cell>
          <cell r="L124">
            <v>1653</v>
          </cell>
          <cell r="AL124">
            <v>203885</v>
          </cell>
          <cell r="BC124" t="str">
            <v>Cust-PP</v>
          </cell>
          <cell r="BD124" t="str">
            <v>1.9665683382497540</v>
          </cell>
          <cell r="BE124" t="str">
            <v>.0000000000000000</v>
          </cell>
          <cell r="BF124" t="str">
            <v>.0000000000000000</v>
          </cell>
          <cell r="BG124" t="str">
            <v>SelectedTransact</v>
          </cell>
          <cell r="BH124" t="str">
            <v>Taxable</v>
          </cell>
          <cell r="BK124" t="str">
            <v>2025-01-29 00:00:00</v>
          </cell>
          <cell r="BL124" t="str">
            <v>Airport EG-128</v>
          </cell>
          <cell r="BM124" t="str">
            <v>No</v>
          </cell>
          <cell r="BN124" t="str">
            <v>No</v>
          </cell>
          <cell r="BO124" t="str">
            <v>CPay-000000123</v>
          </cell>
        </row>
        <row r="125">
          <cell r="B125">
            <v>203889</v>
          </cell>
          <cell r="C125" t="str">
            <v>124.0000000000000000</v>
          </cell>
          <cell r="D125" t="str">
            <v>101000205</v>
          </cell>
          <cell r="E125" t="str">
            <v>Cust</v>
          </cell>
          <cell r="G125" t="str">
            <v>No</v>
          </cell>
          <cell r="H125" t="str">
            <v>1900-01-01 00:00:00</v>
          </cell>
          <cell r="K125" t="str">
            <v>M-P</v>
          </cell>
          <cell r="L125">
            <v>1653</v>
          </cell>
          <cell r="AL125">
            <v>203889</v>
          </cell>
          <cell r="BC125" t="str">
            <v>Cust-PP</v>
          </cell>
          <cell r="BD125" t="str">
            <v>1.9665683382497540</v>
          </cell>
          <cell r="BE125" t="str">
            <v>.0000000000000000</v>
          </cell>
          <cell r="BF125" t="str">
            <v>.0000000000000000</v>
          </cell>
          <cell r="BG125" t="str">
            <v>SelectedTransact</v>
          </cell>
          <cell r="BH125" t="str">
            <v>Taxable</v>
          </cell>
          <cell r="BK125" t="str">
            <v>2025-01-29 00:00:00</v>
          </cell>
          <cell r="BL125" t="str">
            <v>Airport EG-129</v>
          </cell>
          <cell r="BM125" t="str">
            <v>No</v>
          </cell>
          <cell r="BN125" t="str">
            <v>No</v>
          </cell>
          <cell r="BO125" t="str">
            <v>CPay-000000124</v>
          </cell>
        </row>
        <row r="126">
          <cell r="B126">
            <v>203890</v>
          </cell>
          <cell r="C126" t="str">
            <v>125.0000000000000000</v>
          </cell>
          <cell r="D126" t="str">
            <v>101000205</v>
          </cell>
          <cell r="E126" t="str">
            <v>Cust</v>
          </cell>
          <cell r="G126" t="str">
            <v>No</v>
          </cell>
          <cell r="H126" t="str">
            <v>1900-01-01 00:00:00</v>
          </cell>
          <cell r="K126" t="str">
            <v>M-P</v>
          </cell>
          <cell r="L126">
            <v>661.2</v>
          </cell>
          <cell r="AL126">
            <v>203890</v>
          </cell>
          <cell r="BC126" t="str">
            <v>Cust-PP</v>
          </cell>
          <cell r="BD126" t="str">
            <v>1.9665683382497540</v>
          </cell>
          <cell r="BE126" t="str">
            <v>.0000000000000000</v>
          </cell>
          <cell r="BF126" t="str">
            <v>.0000000000000000</v>
          </cell>
          <cell r="BG126" t="str">
            <v>SelectedTransact</v>
          </cell>
          <cell r="BH126" t="str">
            <v>Taxable</v>
          </cell>
          <cell r="BK126" t="str">
            <v>2025-01-29 00:00:00</v>
          </cell>
          <cell r="BL126" t="str">
            <v>Airport EG-130</v>
          </cell>
          <cell r="BM126" t="str">
            <v>No</v>
          </cell>
          <cell r="BN126" t="str">
            <v>No</v>
          </cell>
          <cell r="BO126" t="str">
            <v>CPay-000000125</v>
          </cell>
        </row>
        <row r="127">
          <cell r="B127">
            <v>203909</v>
          </cell>
          <cell r="C127" t="str">
            <v>126.0000000000000000</v>
          </cell>
          <cell r="D127" t="str">
            <v>101000266</v>
          </cell>
          <cell r="E127" t="str">
            <v>Cust</v>
          </cell>
          <cell r="G127" t="str">
            <v>No</v>
          </cell>
          <cell r="H127" t="str">
            <v>1900-01-01 00:00:00</v>
          </cell>
          <cell r="K127" t="str">
            <v>M-P</v>
          </cell>
          <cell r="L127">
            <v>1653</v>
          </cell>
          <cell r="AL127">
            <v>203909</v>
          </cell>
          <cell r="BC127" t="str">
            <v>Cust-PP</v>
          </cell>
          <cell r="BD127" t="str">
            <v>1.9665683382497540</v>
          </cell>
          <cell r="BE127" t="str">
            <v>.0000000000000000</v>
          </cell>
          <cell r="BF127" t="str">
            <v>.0000000000000000</v>
          </cell>
          <cell r="BG127" t="str">
            <v>SelectedTransact</v>
          </cell>
          <cell r="BH127" t="str">
            <v>Taxable</v>
          </cell>
          <cell r="BK127" t="str">
            <v>2025-01-29 00:00:00</v>
          </cell>
          <cell r="BL127" t="str">
            <v>Airport EG-131</v>
          </cell>
          <cell r="BM127" t="str">
            <v>No</v>
          </cell>
          <cell r="BN127" t="str">
            <v>No</v>
          </cell>
          <cell r="BO127" t="str">
            <v>CPay-000000126</v>
          </cell>
        </row>
        <row r="128">
          <cell r="B128">
            <v>203910</v>
          </cell>
          <cell r="C128" t="str">
            <v>127.0000000000000000</v>
          </cell>
          <cell r="D128" t="str">
            <v>101000266</v>
          </cell>
          <cell r="E128" t="str">
            <v>Cust</v>
          </cell>
          <cell r="G128" t="str">
            <v>No</v>
          </cell>
          <cell r="H128" t="str">
            <v>1900-01-01 00:00:00</v>
          </cell>
          <cell r="K128" t="str">
            <v>M-P</v>
          </cell>
          <cell r="L128">
            <v>262.2</v>
          </cell>
          <cell r="AL128">
            <v>203910</v>
          </cell>
          <cell r="BC128" t="str">
            <v>Cust-PP</v>
          </cell>
          <cell r="BD128" t="str">
            <v>1.9665683382497540</v>
          </cell>
          <cell r="BE128" t="str">
            <v>.0000000000000000</v>
          </cell>
          <cell r="BF128" t="str">
            <v>.0000000000000000</v>
          </cell>
          <cell r="BG128" t="str">
            <v>SelectedTransact</v>
          </cell>
          <cell r="BH128" t="str">
            <v>Taxable</v>
          </cell>
          <cell r="BK128" t="str">
            <v>2025-01-29 00:00:00</v>
          </cell>
          <cell r="BL128" t="str">
            <v>Airport EG-132</v>
          </cell>
          <cell r="BM128" t="str">
            <v>No</v>
          </cell>
          <cell r="BN128" t="str">
            <v>No</v>
          </cell>
          <cell r="BO128" t="str">
            <v>CPay-000000127</v>
          </cell>
        </row>
        <row r="129">
          <cell r="B129">
            <v>203911</v>
          </cell>
          <cell r="C129" t="str">
            <v>128.0000000000000000</v>
          </cell>
          <cell r="D129" t="str">
            <v>101000266</v>
          </cell>
          <cell r="E129" t="str">
            <v>Cust</v>
          </cell>
          <cell r="G129" t="str">
            <v>No</v>
          </cell>
          <cell r="H129" t="str">
            <v>1900-01-01 00:00:00</v>
          </cell>
          <cell r="K129" t="str">
            <v>M-P</v>
          </cell>
          <cell r="L129">
            <v>1653</v>
          </cell>
          <cell r="AL129">
            <v>203911</v>
          </cell>
          <cell r="BC129" t="str">
            <v>Cust-PP</v>
          </cell>
          <cell r="BD129" t="str">
            <v>1.9665683382497540</v>
          </cell>
          <cell r="BE129" t="str">
            <v>.0000000000000000</v>
          </cell>
          <cell r="BF129" t="str">
            <v>.0000000000000000</v>
          </cell>
          <cell r="BG129" t="str">
            <v>SelectedTransact</v>
          </cell>
          <cell r="BH129" t="str">
            <v>Taxable</v>
          </cell>
          <cell r="BK129" t="str">
            <v>2025-01-29 00:00:00</v>
          </cell>
          <cell r="BL129" t="str">
            <v>Airport EG-133</v>
          </cell>
          <cell r="BM129" t="str">
            <v>No</v>
          </cell>
          <cell r="BN129" t="str">
            <v>No</v>
          </cell>
          <cell r="BO129" t="str">
            <v>CPay-000000128</v>
          </cell>
        </row>
        <row r="130">
          <cell r="B130">
            <v>203912</v>
          </cell>
          <cell r="C130" t="str">
            <v>129.0000000000000000</v>
          </cell>
          <cell r="D130" t="str">
            <v>101000266</v>
          </cell>
          <cell r="E130" t="str">
            <v>Cust</v>
          </cell>
          <cell r="G130" t="str">
            <v>No</v>
          </cell>
          <cell r="H130" t="str">
            <v>1900-01-01 00:00:00</v>
          </cell>
          <cell r="K130" t="str">
            <v>M-P</v>
          </cell>
          <cell r="L130">
            <v>262.2</v>
          </cell>
          <cell r="AL130">
            <v>203912</v>
          </cell>
          <cell r="BC130" t="str">
            <v>Cust-PP</v>
          </cell>
          <cell r="BD130" t="str">
            <v>1.9665683382497540</v>
          </cell>
          <cell r="BE130" t="str">
            <v>.0000000000000000</v>
          </cell>
          <cell r="BF130" t="str">
            <v>.0000000000000000</v>
          </cell>
          <cell r="BG130" t="str">
            <v>SelectedTransact</v>
          </cell>
          <cell r="BH130" t="str">
            <v>Taxable</v>
          </cell>
          <cell r="BK130" t="str">
            <v>2025-01-29 00:00:00</v>
          </cell>
          <cell r="BL130" t="str">
            <v>Airport EG-134</v>
          </cell>
          <cell r="BM130" t="str">
            <v>No</v>
          </cell>
          <cell r="BN130" t="str">
            <v>No</v>
          </cell>
          <cell r="BO130" t="str">
            <v>CPay-000000129</v>
          </cell>
        </row>
        <row r="131">
          <cell r="B131">
            <v>203913</v>
          </cell>
          <cell r="C131" t="str">
            <v>130.0000000000000000</v>
          </cell>
          <cell r="D131" t="str">
            <v>101000266</v>
          </cell>
          <cell r="E131" t="str">
            <v>Cust</v>
          </cell>
          <cell r="G131" t="str">
            <v>No</v>
          </cell>
          <cell r="H131" t="str">
            <v>1900-01-01 00:00:00</v>
          </cell>
          <cell r="K131" t="str">
            <v>M-P</v>
          </cell>
          <cell r="L131">
            <v>1653</v>
          </cell>
          <cell r="AL131">
            <v>203913</v>
          </cell>
          <cell r="BC131" t="str">
            <v>Cust-PP</v>
          </cell>
          <cell r="BD131" t="str">
            <v>1.9665683382497540</v>
          </cell>
          <cell r="BE131" t="str">
            <v>.0000000000000000</v>
          </cell>
          <cell r="BF131" t="str">
            <v>.0000000000000000</v>
          </cell>
          <cell r="BG131" t="str">
            <v>SelectedTransact</v>
          </cell>
          <cell r="BH131" t="str">
            <v>Taxable</v>
          </cell>
          <cell r="BK131" t="str">
            <v>2025-01-29 00:00:00</v>
          </cell>
          <cell r="BL131" t="str">
            <v>Airport EG-135</v>
          </cell>
          <cell r="BM131" t="str">
            <v>No</v>
          </cell>
          <cell r="BN131" t="str">
            <v>No</v>
          </cell>
          <cell r="BO131" t="str">
            <v>CPay-000000130</v>
          </cell>
        </row>
        <row r="132">
          <cell r="B132">
            <v>203914</v>
          </cell>
          <cell r="C132" t="str">
            <v>131.0000000000000000</v>
          </cell>
          <cell r="D132" t="str">
            <v>101000266</v>
          </cell>
          <cell r="E132" t="str">
            <v>Cust</v>
          </cell>
          <cell r="G132" t="str">
            <v>No</v>
          </cell>
          <cell r="H132" t="str">
            <v>1900-01-01 00:00:00</v>
          </cell>
          <cell r="K132" t="str">
            <v>M-P</v>
          </cell>
          <cell r="L132">
            <v>262.2</v>
          </cell>
          <cell r="AL132">
            <v>203914</v>
          </cell>
          <cell r="BC132" t="str">
            <v>Cust-PP</v>
          </cell>
          <cell r="BD132" t="str">
            <v>1.9665683382497540</v>
          </cell>
          <cell r="BE132" t="str">
            <v>.0000000000000000</v>
          </cell>
          <cell r="BF132" t="str">
            <v>.0000000000000000</v>
          </cell>
          <cell r="BG132" t="str">
            <v>SelectedTransact</v>
          </cell>
          <cell r="BH132" t="str">
            <v>Taxable</v>
          </cell>
          <cell r="BK132" t="str">
            <v>2025-01-29 00:00:00</v>
          </cell>
          <cell r="BL132" t="str">
            <v>Airport EG-136</v>
          </cell>
          <cell r="BM132" t="str">
            <v>No</v>
          </cell>
          <cell r="BN132" t="str">
            <v>No</v>
          </cell>
          <cell r="BO132" t="str">
            <v>CPay-000000131</v>
          </cell>
        </row>
        <row r="133">
          <cell r="B133">
            <v>203938</v>
          </cell>
          <cell r="C133" t="str">
            <v>132.0000000000000000</v>
          </cell>
          <cell r="D133" t="str">
            <v>101000288</v>
          </cell>
          <cell r="E133" t="str">
            <v>Cust</v>
          </cell>
          <cell r="G133" t="str">
            <v>No</v>
          </cell>
          <cell r="H133" t="str">
            <v>1900-01-01 00:00:00</v>
          </cell>
          <cell r="K133" t="str">
            <v>M-P</v>
          </cell>
          <cell r="L133">
            <v>1653</v>
          </cell>
          <cell r="AL133">
            <v>203938</v>
          </cell>
          <cell r="BC133" t="str">
            <v>Cust-PP</v>
          </cell>
          <cell r="BD133" t="str">
            <v>1.9665683382497540</v>
          </cell>
          <cell r="BE133" t="str">
            <v>.0000000000000000</v>
          </cell>
          <cell r="BF133" t="str">
            <v>.0000000000000000</v>
          </cell>
          <cell r="BG133" t="str">
            <v>SelectedTransact</v>
          </cell>
          <cell r="BH133" t="str">
            <v>Taxable</v>
          </cell>
          <cell r="BK133" t="str">
            <v>2025-01-29 00:00:00</v>
          </cell>
          <cell r="BL133" t="str">
            <v>Airport EG-137</v>
          </cell>
          <cell r="BM133" t="str">
            <v>No</v>
          </cell>
          <cell r="BN133" t="str">
            <v>No</v>
          </cell>
          <cell r="BO133" t="str">
            <v>CPay-000000132</v>
          </cell>
        </row>
        <row r="134">
          <cell r="B134">
            <v>203939</v>
          </cell>
          <cell r="C134" t="str">
            <v>133.0000000000000000</v>
          </cell>
          <cell r="D134" t="str">
            <v>101000288</v>
          </cell>
          <cell r="E134" t="str">
            <v>Cust</v>
          </cell>
          <cell r="G134" t="str">
            <v>No</v>
          </cell>
          <cell r="H134" t="str">
            <v>1900-01-01 00:00:00</v>
          </cell>
          <cell r="K134" t="str">
            <v>M-P</v>
          </cell>
          <cell r="L134">
            <v>487.69</v>
          </cell>
          <cell r="AL134">
            <v>203939</v>
          </cell>
          <cell r="BC134" t="str">
            <v>Cust-PP</v>
          </cell>
          <cell r="BD134" t="str">
            <v>1.9665683382497540</v>
          </cell>
          <cell r="BE134" t="str">
            <v>.0000000000000000</v>
          </cell>
          <cell r="BF134" t="str">
            <v>.0000000000000000</v>
          </cell>
          <cell r="BG134" t="str">
            <v>SelectedTransact</v>
          </cell>
          <cell r="BH134" t="str">
            <v>Taxable</v>
          </cell>
          <cell r="BK134" t="str">
            <v>2025-01-29 00:00:00</v>
          </cell>
          <cell r="BL134" t="str">
            <v>Airport EG-138</v>
          </cell>
          <cell r="BM134" t="str">
            <v>No</v>
          </cell>
          <cell r="BN134" t="str">
            <v>No</v>
          </cell>
          <cell r="BO134" t="str">
            <v>CPay-000000133</v>
          </cell>
        </row>
        <row r="135">
          <cell r="B135">
            <v>203956</v>
          </cell>
          <cell r="C135" t="str">
            <v>134.0000000000000000</v>
          </cell>
          <cell r="D135" t="str">
            <v>101000454</v>
          </cell>
          <cell r="E135" t="str">
            <v>Cust</v>
          </cell>
          <cell r="G135" t="str">
            <v>No</v>
          </cell>
          <cell r="H135" t="str">
            <v>1900-01-01 00:00:00</v>
          </cell>
          <cell r="K135" t="str">
            <v>M-P</v>
          </cell>
          <cell r="L135">
            <v>1653</v>
          </cell>
          <cell r="AL135">
            <v>203956</v>
          </cell>
          <cell r="BC135" t="str">
            <v>Cust-PP</v>
          </cell>
          <cell r="BD135" t="str">
            <v>1.9665683382497540</v>
          </cell>
          <cell r="BE135" t="str">
            <v>.0000000000000000</v>
          </cell>
          <cell r="BF135" t="str">
            <v>.0000000000000000</v>
          </cell>
          <cell r="BG135" t="str">
            <v>SelectedTransact</v>
          </cell>
          <cell r="BH135" t="str">
            <v>Taxable</v>
          </cell>
          <cell r="BK135" t="str">
            <v>2025-01-29 00:00:00</v>
          </cell>
          <cell r="BL135" t="str">
            <v>Airport EG-139</v>
          </cell>
          <cell r="BM135" t="str">
            <v>No</v>
          </cell>
          <cell r="BN135" t="str">
            <v>No</v>
          </cell>
          <cell r="BO135" t="str">
            <v>CPay-000000134</v>
          </cell>
        </row>
        <row r="136">
          <cell r="B136">
            <v>203957</v>
          </cell>
          <cell r="C136" t="str">
            <v>135.0000000000000000</v>
          </cell>
          <cell r="D136" t="str">
            <v>101000454</v>
          </cell>
          <cell r="E136" t="str">
            <v>Cust</v>
          </cell>
          <cell r="G136" t="str">
            <v>No</v>
          </cell>
          <cell r="H136" t="str">
            <v>1900-01-01 00:00:00</v>
          </cell>
          <cell r="K136" t="str">
            <v>M-P</v>
          </cell>
          <cell r="L136">
            <v>351.35</v>
          </cell>
          <cell r="AL136">
            <v>203957</v>
          </cell>
          <cell r="BC136" t="str">
            <v>Cust-PP</v>
          </cell>
          <cell r="BD136" t="str">
            <v>1.9665683382497540</v>
          </cell>
          <cell r="BE136" t="str">
            <v>.0000000000000000</v>
          </cell>
          <cell r="BF136" t="str">
            <v>.0000000000000000</v>
          </cell>
          <cell r="BG136" t="str">
            <v>SelectedTransact</v>
          </cell>
          <cell r="BH136" t="str">
            <v>Taxable</v>
          </cell>
          <cell r="BK136" t="str">
            <v>2025-01-29 00:00:00</v>
          </cell>
          <cell r="BL136" t="str">
            <v>Airport EG-140</v>
          </cell>
          <cell r="BM136" t="str">
            <v>No</v>
          </cell>
          <cell r="BN136" t="str">
            <v>No</v>
          </cell>
          <cell r="BO136" t="str">
            <v>CPay-000000135</v>
          </cell>
        </row>
        <row r="137">
          <cell r="B137">
            <v>204004</v>
          </cell>
          <cell r="C137" t="str">
            <v>136.0000000000000000</v>
          </cell>
          <cell r="D137" t="str">
            <v>101001820</v>
          </cell>
          <cell r="E137" t="str">
            <v>Cust</v>
          </cell>
          <cell r="G137" t="str">
            <v>No</v>
          </cell>
          <cell r="H137" t="str">
            <v>1900-01-01 00:00:00</v>
          </cell>
          <cell r="K137" t="str">
            <v>M-P</v>
          </cell>
          <cell r="L137">
            <v>1653</v>
          </cell>
          <cell r="AL137">
            <v>204004</v>
          </cell>
          <cell r="BC137" t="str">
            <v>Cust-PP</v>
          </cell>
          <cell r="BD137" t="str">
            <v>1.9665683382497540</v>
          </cell>
          <cell r="BE137" t="str">
            <v>.0000000000000000</v>
          </cell>
          <cell r="BF137" t="str">
            <v>.0000000000000000</v>
          </cell>
          <cell r="BG137" t="str">
            <v>SelectedTransact</v>
          </cell>
          <cell r="BH137" t="str">
            <v>Taxable</v>
          </cell>
          <cell r="BK137" t="str">
            <v>2025-01-29 00:00:00</v>
          </cell>
          <cell r="BL137" t="str">
            <v>Airport EG-141</v>
          </cell>
          <cell r="BM137" t="str">
            <v>No</v>
          </cell>
          <cell r="BN137" t="str">
            <v>No</v>
          </cell>
          <cell r="BO137" t="str">
            <v>CPay-000000136</v>
          </cell>
        </row>
        <row r="138">
          <cell r="B138">
            <v>204006</v>
          </cell>
          <cell r="C138" t="str">
            <v>137.0000000000000000</v>
          </cell>
          <cell r="D138" t="str">
            <v>101001820</v>
          </cell>
          <cell r="E138" t="str">
            <v>Cust</v>
          </cell>
          <cell r="G138" t="str">
            <v>No</v>
          </cell>
          <cell r="H138" t="str">
            <v>1900-01-01 00:00:00</v>
          </cell>
          <cell r="K138" t="str">
            <v>M-P</v>
          </cell>
          <cell r="L138">
            <v>199.5</v>
          </cell>
          <cell r="AL138">
            <v>204006</v>
          </cell>
          <cell r="BC138" t="str">
            <v>Cust-PP</v>
          </cell>
          <cell r="BD138" t="str">
            <v>1.9665683382497540</v>
          </cell>
          <cell r="BE138" t="str">
            <v>.0000000000000000</v>
          </cell>
          <cell r="BF138" t="str">
            <v>.0000000000000000</v>
          </cell>
          <cell r="BG138" t="str">
            <v>SelectedTransact</v>
          </cell>
          <cell r="BH138" t="str">
            <v>Taxable</v>
          </cell>
          <cell r="BK138" t="str">
            <v>2025-01-29 00:00:00</v>
          </cell>
          <cell r="BL138" t="str">
            <v>Airport EG-142</v>
          </cell>
          <cell r="BM138" t="str">
            <v>No</v>
          </cell>
          <cell r="BN138" t="str">
            <v>No</v>
          </cell>
          <cell r="BO138" t="str">
            <v>CPay-000000137</v>
          </cell>
        </row>
        <row r="139">
          <cell r="B139">
            <v>204113</v>
          </cell>
          <cell r="C139" t="str">
            <v>138.0000000000000000</v>
          </cell>
          <cell r="D139" t="str">
            <v>101000267</v>
          </cell>
          <cell r="E139" t="str">
            <v>Cust</v>
          </cell>
          <cell r="G139" t="str">
            <v>No</v>
          </cell>
          <cell r="H139" t="str">
            <v>1900-01-01 00:00:00</v>
          </cell>
          <cell r="K139" t="str">
            <v>M-P</v>
          </cell>
          <cell r="L139">
            <v>1653</v>
          </cell>
          <cell r="AL139">
            <v>204113</v>
          </cell>
          <cell r="BC139" t="str">
            <v>Cust-PP</v>
          </cell>
          <cell r="BD139" t="str">
            <v>1.9665683382497540</v>
          </cell>
          <cell r="BE139" t="str">
            <v>.0000000000000000</v>
          </cell>
          <cell r="BF139" t="str">
            <v>.0000000000000000</v>
          </cell>
          <cell r="BG139" t="str">
            <v>SelectedTransact</v>
          </cell>
          <cell r="BH139" t="str">
            <v>Taxable</v>
          </cell>
          <cell r="BK139" t="str">
            <v>2025-01-30 00:00:00</v>
          </cell>
          <cell r="BL139" t="str">
            <v>Airport EG-144</v>
          </cell>
          <cell r="BM139" t="str">
            <v>No</v>
          </cell>
          <cell r="BN139" t="str">
            <v>No</v>
          </cell>
          <cell r="BO139" t="str">
            <v>CPay-000000138</v>
          </cell>
        </row>
        <row r="140">
          <cell r="B140">
            <v>204114</v>
          </cell>
          <cell r="C140" t="str">
            <v>139.0000000000000000</v>
          </cell>
          <cell r="D140" t="str">
            <v>101000267</v>
          </cell>
          <cell r="E140" t="str">
            <v>Cust</v>
          </cell>
          <cell r="G140" t="str">
            <v>No</v>
          </cell>
          <cell r="H140" t="str">
            <v>1900-01-01 00:00:00</v>
          </cell>
          <cell r="K140" t="str">
            <v>M-P</v>
          </cell>
          <cell r="L140">
            <v>1026</v>
          </cell>
          <cell r="AL140">
            <v>204114</v>
          </cell>
          <cell r="BC140" t="str">
            <v>Cust-PP</v>
          </cell>
          <cell r="BD140" t="str">
            <v>1.9665683382497540</v>
          </cell>
          <cell r="BE140" t="str">
            <v>.0000000000000000</v>
          </cell>
          <cell r="BF140" t="str">
            <v>.0000000000000000</v>
          </cell>
          <cell r="BG140" t="str">
            <v>SelectedTransact</v>
          </cell>
          <cell r="BH140" t="str">
            <v>Taxable</v>
          </cell>
          <cell r="BK140" t="str">
            <v>2025-01-30 00:00:00</v>
          </cell>
          <cell r="BL140" t="str">
            <v>Airport EG-145</v>
          </cell>
          <cell r="BM140" t="str">
            <v>No</v>
          </cell>
          <cell r="BN140" t="str">
            <v>No</v>
          </cell>
          <cell r="BO140" t="str">
            <v>CPay-000000139</v>
          </cell>
        </row>
        <row r="141">
          <cell r="B141">
            <v>204162</v>
          </cell>
          <cell r="C141" t="str">
            <v>140.0000000000000000</v>
          </cell>
          <cell r="D141" t="str">
            <v>101000093</v>
          </cell>
          <cell r="E141" t="str">
            <v>Cust</v>
          </cell>
          <cell r="G141" t="str">
            <v>No</v>
          </cell>
          <cell r="H141" t="str">
            <v>1900-01-01 00:00:00</v>
          </cell>
          <cell r="K141" t="str">
            <v>M-P</v>
          </cell>
          <cell r="L141">
            <v>1653</v>
          </cell>
          <cell r="AL141">
            <v>204162</v>
          </cell>
          <cell r="BC141" t="str">
            <v>Cust-PP</v>
          </cell>
          <cell r="BD141" t="str">
            <v>1.9665683382497540</v>
          </cell>
          <cell r="BE141" t="str">
            <v>.0000000000000000</v>
          </cell>
          <cell r="BF141" t="str">
            <v>.0000000000000000</v>
          </cell>
          <cell r="BG141" t="str">
            <v>SelectedTransact</v>
          </cell>
          <cell r="BH141" t="str">
            <v>Taxable</v>
          </cell>
          <cell r="BK141" t="str">
            <v>2025-01-30 00:00:00</v>
          </cell>
          <cell r="BL141" t="str">
            <v>Airport EG-146</v>
          </cell>
          <cell r="BM141" t="str">
            <v>No</v>
          </cell>
          <cell r="BN141" t="str">
            <v>No</v>
          </cell>
          <cell r="BO141" t="str">
            <v>CPay-000000140</v>
          </cell>
        </row>
        <row r="142">
          <cell r="B142">
            <v>204164</v>
          </cell>
          <cell r="C142" t="str">
            <v>141.0000000000000000</v>
          </cell>
          <cell r="D142" t="str">
            <v>101000093</v>
          </cell>
          <cell r="E142" t="str">
            <v>Cust</v>
          </cell>
          <cell r="G142" t="str">
            <v>No</v>
          </cell>
          <cell r="H142" t="str">
            <v>1900-01-01 00:00:00</v>
          </cell>
          <cell r="K142" t="str">
            <v>M-P</v>
          </cell>
          <cell r="L142">
            <v>285</v>
          </cell>
          <cell r="AL142">
            <v>204164</v>
          </cell>
          <cell r="BC142" t="str">
            <v>Cust-PP</v>
          </cell>
          <cell r="BD142" t="str">
            <v>1.9665683382497540</v>
          </cell>
          <cell r="BE142" t="str">
            <v>.0000000000000000</v>
          </cell>
          <cell r="BF142" t="str">
            <v>.0000000000000000</v>
          </cell>
          <cell r="BG142" t="str">
            <v>SelectedTransact</v>
          </cell>
          <cell r="BH142" t="str">
            <v>Taxable</v>
          </cell>
          <cell r="BK142" t="str">
            <v>2025-01-30 00:00:00</v>
          </cell>
          <cell r="BL142" t="str">
            <v>Airport EG-147</v>
          </cell>
          <cell r="BM142" t="str">
            <v>No</v>
          </cell>
          <cell r="BN142" t="str">
            <v>No</v>
          </cell>
          <cell r="BO142" t="str">
            <v>CPay-000000141</v>
          </cell>
        </row>
        <row r="143">
          <cell r="B143">
            <v>204171</v>
          </cell>
          <cell r="C143" t="str">
            <v>142.0000000000000000</v>
          </cell>
          <cell r="D143" t="str">
            <v>101000602</v>
          </cell>
          <cell r="E143" t="str">
            <v>Cust</v>
          </cell>
          <cell r="G143" t="str">
            <v>No</v>
          </cell>
          <cell r="H143" t="str">
            <v>1900-01-01 00:00:00</v>
          </cell>
          <cell r="K143" t="str">
            <v>M-P</v>
          </cell>
          <cell r="L143">
            <v>1653</v>
          </cell>
          <cell r="AL143">
            <v>204171</v>
          </cell>
          <cell r="BC143" t="str">
            <v>Cust-PP</v>
          </cell>
          <cell r="BD143" t="str">
            <v>1.9665683382497540</v>
          </cell>
          <cell r="BE143" t="str">
            <v>.0000000000000000</v>
          </cell>
          <cell r="BF143" t="str">
            <v>.0000000000000000</v>
          </cell>
          <cell r="BG143" t="str">
            <v>SelectedTransact</v>
          </cell>
          <cell r="BH143" t="str">
            <v>Taxable</v>
          </cell>
          <cell r="BK143" t="str">
            <v>2025-01-30 00:00:00</v>
          </cell>
          <cell r="BL143" t="str">
            <v>Airport EG-148</v>
          </cell>
          <cell r="BM143" t="str">
            <v>No</v>
          </cell>
          <cell r="BN143" t="str">
            <v>No</v>
          </cell>
          <cell r="BO143" t="str">
            <v>CPay-000000142</v>
          </cell>
        </row>
        <row r="144">
          <cell r="B144">
            <v>204173</v>
          </cell>
          <cell r="C144" t="str">
            <v>143.0000000000000000</v>
          </cell>
          <cell r="D144" t="str">
            <v>101000602</v>
          </cell>
          <cell r="E144" t="str">
            <v>Cust</v>
          </cell>
          <cell r="G144" t="str">
            <v>No</v>
          </cell>
          <cell r="H144" t="str">
            <v>1900-01-01 00:00:00</v>
          </cell>
          <cell r="K144" t="str">
            <v>M-P</v>
          </cell>
          <cell r="L144">
            <v>270.07</v>
          </cell>
          <cell r="AL144">
            <v>204173</v>
          </cell>
          <cell r="BC144" t="str">
            <v>Cust-PP</v>
          </cell>
          <cell r="BD144" t="str">
            <v>1.9665683382497540</v>
          </cell>
          <cell r="BE144" t="str">
            <v>.0000000000000000</v>
          </cell>
          <cell r="BF144" t="str">
            <v>.0000000000000000</v>
          </cell>
          <cell r="BG144" t="str">
            <v>SelectedTransact</v>
          </cell>
          <cell r="BH144" t="str">
            <v>Taxable</v>
          </cell>
          <cell r="BK144" t="str">
            <v>2025-01-30 00:00:00</v>
          </cell>
          <cell r="BL144" t="str">
            <v>Airport EG-149</v>
          </cell>
          <cell r="BM144" t="str">
            <v>No</v>
          </cell>
          <cell r="BN144" t="str">
            <v>No</v>
          </cell>
          <cell r="BO144" t="str">
            <v>CPay-000000143</v>
          </cell>
        </row>
        <row r="145">
          <cell r="B145" t="str">
            <v>225209</v>
          </cell>
          <cell r="C145" t="str">
            <v>1.0000000000000000</v>
          </cell>
          <cell r="E145" t="str">
            <v>Cust</v>
          </cell>
          <cell r="G145" t="str">
            <v>No</v>
          </cell>
          <cell r="H145" t="str">
            <v>1900-01-01 00:00:00</v>
          </cell>
          <cell r="K145" t="str">
            <v>M-P</v>
          </cell>
          <cell r="L145" t="str">
            <v>1653.000000</v>
          </cell>
          <cell r="AL145" t="str">
            <v>225209</v>
          </cell>
          <cell r="BC145" t="str">
            <v>Cust-PP</v>
          </cell>
          <cell r="BD145" t="str">
            <v>1.9801980198019800</v>
          </cell>
          <cell r="BE145" t="str">
            <v>.0000000000000000</v>
          </cell>
          <cell r="BF145" t="str">
            <v>.0000000000000000</v>
          </cell>
          <cell r="BG145" t="str">
            <v>None</v>
          </cell>
          <cell r="BK145" t="str">
            <v>2025-02-02 00:00:00</v>
          </cell>
          <cell r="BL145" t="str">
            <v>Airport EG-150</v>
          </cell>
          <cell r="BM145" t="str">
            <v>No</v>
          </cell>
          <cell r="BN145" t="str">
            <v>No</v>
          </cell>
          <cell r="BO145" t="str">
            <v>CPay-000000002</v>
          </cell>
        </row>
        <row r="146">
          <cell r="B146" t="str">
            <v>225210</v>
          </cell>
          <cell r="C146" t="str">
            <v>2.0000000000000000</v>
          </cell>
          <cell r="E146" t="str">
            <v>Cust</v>
          </cell>
          <cell r="G146" t="str">
            <v>No</v>
          </cell>
          <cell r="H146" t="str">
            <v>1900-01-01 00:00:00</v>
          </cell>
          <cell r="K146" t="str">
            <v>M-P</v>
          </cell>
          <cell r="L146" t="str">
            <v>3604.000000</v>
          </cell>
          <cell r="AL146" t="str">
            <v>225210</v>
          </cell>
          <cell r="BC146" t="str">
            <v>Cust-PP</v>
          </cell>
          <cell r="BD146" t="str">
            <v>1.9801980198019800</v>
          </cell>
          <cell r="BE146" t="str">
            <v>.0000000000000000</v>
          </cell>
          <cell r="BF146" t="str">
            <v>.0000000000000000</v>
          </cell>
          <cell r="BG146" t="str">
            <v>None</v>
          </cell>
          <cell r="BK146" t="str">
            <v>2025-02-02 00:00:00</v>
          </cell>
          <cell r="BL146" t="str">
            <v>Airport EG-151</v>
          </cell>
          <cell r="BM146" t="str">
            <v>No</v>
          </cell>
          <cell r="BN146" t="str">
            <v>No</v>
          </cell>
          <cell r="BO146" t="str">
            <v>CPay-000000002</v>
          </cell>
        </row>
        <row r="147">
          <cell r="B147" t="str">
            <v>225211</v>
          </cell>
          <cell r="C147" t="str">
            <v>3.0000000000000000</v>
          </cell>
          <cell r="E147" t="str">
            <v>Cust</v>
          </cell>
          <cell r="G147" t="str">
            <v>No</v>
          </cell>
          <cell r="H147" t="str">
            <v>1900-01-01 00:00:00</v>
          </cell>
          <cell r="K147" t="str">
            <v>M-P</v>
          </cell>
          <cell r="L147" t="str">
            <v>1653.000000</v>
          </cell>
          <cell r="AL147" t="str">
            <v>225211</v>
          </cell>
          <cell r="BC147" t="str">
            <v>Cust-PP</v>
          </cell>
          <cell r="BD147" t="str">
            <v>1.9801980198019800</v>
          </cell>
          <cell r="BE147" t="str">
            <v>.0000000000000000</v>
          </cell>
          <cell r="BF147" t="str">
            <v>.0000000000000000</v>
          </cell>
          <cell r="BG147" t="str">
            <v>None</v>
          </cell>
          <cell r="BK147" t="str">
            <v>2025-02-02 00:00:00</v>
          </cell>
          <cell r="BL147" t="str">
            <v>Airport EG-152</v>
          </cell>
          <cell r="BM147" t="str">
            <v>No</v>
          </cell>
          <cell r="BN147" t="str">
            <v>No</v>
          </cell>
          <cell r="BO147" t="str">
            <v>CPay-000000002</v>
          </cell>
        </row>
        <row r="148">
          <cell r="B148" t="str">
            <v>225212</v>
          </cell>
          <cell r="C148" t="str">
            <v>4.0000000000000000</v>
          </cell>
          <cell r="E148" t="str">
            <v>Cust</v>
          </cell>
          <cell r="G148" t="str">
            <v>No</v>
          </cell>
          <cell r="H148" t="str">
            <v>1900-01-01 00:00:00</v>
          </cell>
          <cell r="K148" t="str">
            <v>M-P</v>
          </cell>
          <cell r="L148" t="str">
            <v>729.600000</v>
          </cell>
          <cell r="AL148" t="str">
            <v>225212</v>
          </cell>
          <cell r="BC148" t="str">
            <v>Cust-PP</v>
          </cell>
          <cell r="BD148" t="str">
            <v>1.9801980198019800</v>
          </cell>
          <cell r="BE148" t="str">
            <v>.0000000000000000</v>
          </cell>
          <cell r="BF148" t="str">
            <v>.0000000000000000</v>
          </cell>
          <cell r="BG148" t="str">
            <v>None</v>
          </cell>
          <cell r="BK148" t="str">
            <v>2025-02-02 00:00:00</v>
          </cell>
          <cell r="BL148" t="str">
            <v>Airport EG-153</v>
          </cell>
          <cell r="BM148" t="str">
            <v>No</v>
          </cell>
          <cell r="BN148" t="str">
            <v>No</v>
          </cell>
          <cell r="BO148" t="str">
            <v>CPay-000000002</v>
          </cell>
        </row>
        <row r="149">
          <cell r="B149" t="str">
            <v>225237</v>
          </cell>
          <cell r="C149" t="str">
            <v>5.0000000000000000</v>
          </cell>
          <cell r="E149" t="str">
            <v>Cust</v>
          </cell>
          <cell r="G149" t="str">
            <v>No</v>
          </cell>
          <cell r="H149" t="str">
            <v>1900-01-01 00:00:00</v>
          </cell>
          <cell r="K149" t="str">
            <v>M-P</v>
          </cell>
          <cell r="L149" t="str">
            <v>2052.000000</v>
          </cell>
          <cell r="AL149" t="str">
            <v>225237</v>
          </cell>
          <cell r="BC149" t="str">
            <v>Cust-PP</v>
          </cell>
          <cell r="BD149" t="str">
            <v>1.9801980198019800</v>
          </cell>
          <cell r="BE149" t="str">
            <v>.0000000000000000</v>
          </cell>
          <cell r="BF149" t="str">
            <v>.0000000000000000</v>
          </cell>
          <cell r="BG149" t="str">
            <v>None</v>
          </cell>
          <cell r="BK149" t="str">
            <v>2025-02-02 00:00:00</v>
          </cell>
          <cell r="BL149" t="str">
            <v>Airport EG-154</v>
          </cell>
          <cell r="BM149" t="str">
            <v>No</v>
          </cell>
          <cell r="BN149" t="str">
            <v>No</v>
          </cell>
          <cell r="BO149" t="str">
            <v>CPay-000000002</v>
          </cell>
        </row>
        <row r="150">
          <cell r="B150" t="str">
            <v>225238</v>
          </cell>
          <cell r="C150" t="str">
            <v>6.0000000000000000</v>
          </cell>
          <cell r="E150" t="str">
            <v>Cust</v>
          </cell>
          <cell r="G150" t="str">
            <v>No</v>
          </cell>
          <cell r="H150" t="str">
            <v>1900-01-01 00:00:00</v>
          </cell>
          <cell r="K150" t="str">
            <v>M-P</v>
          </cell>
          <cell r="L150" t="str">
            <v>285.000000</v>
          </cell>
          <cell r="AL150" t="str">
            <v>225238</v>
          </cell>
          <cell r="BC150" t="str">
            <v>Cust-PP</v>
          </cell>
          <cell r="BD150" t="str">
            <v>1.9801980198019800</v>
          </cell>
          <cell r="BE150" t="str">
            <v>.0000000000000000</v>
          </cell>
          <cell r="BF150" t="str">
            <v>.0000000000000000</v>
          </cell>
          <cell r="BG150" t="str">
            <v>None</v>
          </cell>
          <cell r="BK150" t="str">
            <v>2025-02-02 00:00:00</v>
          </cell>
          <cell r="BL150" t="str">
            <v>Airport EG-155</v>
          </cell>
          <cell r="BM150" t="str">
            <v>No</v>
          </cell>
          <cell r="BN150" t="str">
            <v>No</v>
          </cell>
          <cell r="BO150" t="str">
            <v>CPay-000000002</v>
          </cell>
        </row>
        <row r="151">
          <cell r="B151" t="str">
            <v>225250</v>
          </cell>
          <cell r="C151" t="str">
            <v>7.0000000000000000</v>
          </cell>
          <cell r="E151" t="str">
            <v>Cust</v>
          </cell>
          <cell r="G151" t="str">
            <v>No</v>
          </cell>
          <cell r="H151" t="str">
            <v>1900-01-01 00:00:00</v>
          </cell>
          <cell r="K151" t="str">
            <v>M-P</v>
          </cell>
          <cell r="L151" t="str">
            <v>1653.000000</v>
          </cell>
          <cell r="AL151" t="str">
            <v>225250</v>
          </cell>
          <cell r="BC151" t="str">
            <v>Cust-PP</v>
          </cell>
          <cell r="BD151" t="str">
            <v>1.9801980198019800</v>
          </cell>
          <cell r="BE151" t="str">
            <v>.0000000000000000</v>
          </cell>
          <cell r="BF151" t="str">
            <v>.0000000000000000</v>
          </cell>
          <cell r="BG151" t="str">
            <v>None</v>
          </cell>
          <cell r="BK151" t="str">
            <v>2025-02-02 00:00:00</v>
          </cell>
          <cell r="BL151" t="str">
            <v>Airport EG-156</v>
          </cell>
          <cell r="BM151" t="str">
            <v>No</v>
          </cell>
          <cell r="BN151" t="str">
            <v>No</v>
          </cell>
          <cell r="BO151" t="str">
            <v>CPay-000000002</v>
          </cell>
        </row>
        <row r="152">
          <cell r="B152" t="str">
            <v>225251</v>
          </cell>
          <cell r="C152" t="str">
            <v>8.0000000000000000</v>
          </cell>
          <cell r="E152" t="str">
            <v>Cust</v>
          </cell>
          <cell r="G152" t="str">
            <v>No</v>
          </cell>
          <cell r="H152" t="str">
            <v>1900-01-01 00:00:00</v>
          </cell>
          <cell r="K152" t="str">
            <v>M-P</v>
          </cell>
          <cell r="L152" t="str">
            <v>370.500000</v>
          </cell>
          <cell r="AL152" t="str">
            <v>225251</v>
          </cell>
          <cell r="BC152" t="str">
            <v>Cust-PP</v>
          </cell>
          <cell r="BD152" t="str">
            <v>1.9801980198019800</v>
          </cell>
          <cell r="BE152" t="str">
            <v>.0000000000000000</v>
          </cell>
          <cell r="BF152" t="str">
            <v>.0000000000000000</v>
          </cell>
          <cell r="BG152" t="str">
            <v>None</v>
          </cell>
          <cell r="BK152" t="str">
            <v>2025-02-02 00:00:00</v>
          </cell>
          <cell r="BL152" t="str">
            <v>Airport EG-157</v>
          </cell>
          <cell r="BM152" t="str">
            <v>No</v>
          </cell>
          <cell r="BN152" t="str">
            <v>No</v>
          </cell>
          <cell r="BO152" t="str">
            <v>CPay-000000002</v>
          </cell>
        </row>
        <row r="153">
          <cell r="B153" t="str">
            <v>225255</v>
          </cell>
          <cell r="C153" t="str">
            <v>9.0000000000000000</v>
          </cell>
          <cell r="E153" t="str">
            <v>Cust</v>
          </cell>
          <cell r="G153" t="str">
            <v>No</v>
          </cell>
          <cell r="H153" t="str">
            <v>1900-01-01 00:00:00</v>
          </cell>
          <cell r="K153" t="str">
            <v>M-P</v>
          </cell>
          <cell r="L153" t="str">
            <v>1653.000000</v>
          </cell>
          <cell r="AL153" t="str">
            <v>225255</v>
          </cell>
          <cell r="BC153" t="str">
            <v>Cust-PP</v>
          </cell>
          <cell r="BD153" t="str">
            <v>1.9801980198019800</v>
          </cell>
          <cell r="BE153" t="str">
            <v>.0000000000000000</v>
          </cell>
          <cell r="BF153" t="str">
            <v>.0000000000000000</v>
          </cell>
          <cell r="BG153" t="str">
            <v>None</v>
          </cell>
          <cell r="BK153" t="str">
            <v>2025-02-02 00:00:00</v>
          </cell>
          <cell r="BL153" t="str">
            <v>Airport EG-158</v>
          </cell>
          <cell r="BM153" t="str">
            <v>No</v>
          </cell>
          <cell r="BN153" t="str">
            <v>No</v>
          </cell>
          <cell r="BO153" t="str">
            <v>CPay-000000002</v>
          </cell>
        </row>
        <row r="154">
          <cell r="B154" t="str">
            <v>225256</v>
          </cell>
          <cell r="C154" t="str">
            <v>10.0000000000000000</v>
          </cell>
          <cell r="E154" t="str">
            <v>Cust</v>
          </cell>
          <cell r="G154" t="str">
            <v>No</v>
          </cell>
          <cell r="H154" t="str">
            <v>1900-01-01 00:00:00</v>
          </cell>
          <cell r="K154" t="str">
            <v>M-P</v>
          </cell>
          <cell r="L154" t="str">
            <v>733.930000</v>
          </cell>
          <cell r="AL154" t="str">
            <v>225256</v>
          </cell>
          <cell r="BC154" t="str">
            <v>Cust-PP</v>
          </cell>
          <cell r="BD154" t="str">
            <v>1.9801980198019800</v>
          </cell>
          <cell r="BE154" t="str">
            <v>.0000000000000000</v>
          </cell>
          <cell r="BF154" t="str">
            <v>.0000000000000000</v>
          </cell>
          <cell r="BG154" t="str">
            <v>None</v>
          </cell>
          <cell r="BK154" t="str">
            <v>2025-02-02 00:00:00</v>
          </cell>
          <cell r="BL154" t="str">
            <v>Airport EG-159</v>
          </cell>
          <cell r="BM154" t="str">
            <v>No</v>
          </cell>
          <cell r="BN154" t="str">
            <v>No</v>
          </cell>
          <cell r="BO154" t="str">
            <v>CPay-000000002</v>
          </cell>
        </row>
        <row r="155">
          <cell r="B155" t="str">
            <v>225297</v>
          </cell>
          <cell r="C155" t="str">
            <v>11.0000000000000000</v>
          </cell>
          <cell r="E155" t="str">
            <v>Cust</v>
          </cell>
          <cell r="G155" t="str">
            <v>No</v>
          </cell>
          <cell r="H155" t="str">
            <v>1900-01-01 00:00:00</v>
          </cell>
          <cell r="K155" t="str">
            <v>M-P</v>
          </cell>
          <cell r="L155" t="str">
            <v>1653.000000</v>
          </cell>
          <cell r="AL155" t="str">
            <v>225297</v>
          </cell>
          <cell r="BC155" t="str">
            <v>Cust-PP</v>
          </cell>
          <cell r="BD155" t="str">
            <v>1.9801980198019800</v>
          </cell>
          <cell r="BE155" t="str">
            <v>.0000000000000000</v>
          </cell>
          <cell r="BF155" t="str">
            <v>.0000000000000000</v>
          </cell>
          <cell r="BG155" t="str">
            <v>None</v>
          </cell>
          <cell r="BK155" t="str">
            <v>2025-02-03 00:00:00</v>
          </cell>
          <cell r="BL155" t="str">
            <v>Airport EG-160</v>
          </cell>
          <cell r="BM155" t="str">
            <v>No</v>
          </cell>
          <cell r="BN155" t="str">
            <v>No</v>
          </cell>
          <cell r="BO155" t="str">
            <v>CPay-000000002</v>
          </cell>
        </row>
        <row r="156">
          <cell r="B156" t="str">
            <v>225298</v>
          </cell>
          <cell r="C156" t="str">
            <v>12.0000000000000000</v>
          </cell>
          <cell r="E156" t="str">
            <v>Cust</v>
          </cell>
          <cell r="G156" t="str">
            <v>No</v>
          </cell>
          <cell r="H156" t="str">
            <v>1900-01-01 00:00:00</v>
          </cell>
          <cell r="K156" t="str">
            <v>M-P</v>
          </cell>
          <cell r="L156" t="str">
            <v>199.500000</v>
          </cell>
          <cell r="AL156" t="str">
            <v>225298</v>
          </cell>
          <cell r="BC156" t="str">
            <v>Cust-PP</v>
          </cell>
          <cell r="BD156" t="str">
            <v>1.9801980198019800</v>
          </cell>
          <cell r="BE156" t="str">
            <v>.0000000000000000</v>
          </cell>
          <cell r="BF156" t="str">
            <v>.0000000000000000</v>
          </cell>
          <cell r="BG156" t="str">
            <v>None</v>
          </cell>
          <cell r="BK156" t="str">
            <v>2025-02-03 00:00:00</v>
          </cell>
          <cell r="BL156" t="str">
            <v>Airport EG-161</v>
          </cell>
          <cell r="BM156" t="str">
            <v>No</v>
          </cell>
          <cell r="BN156" t="str">
            <v>No</v>
          </cell>
          <cell r="BO156" t="str">
            <v>CPay-000000002</v>
          </cell>
        </row>
        <row r="157">
          <cell r="B157" t="str">
            <v>225321</v>
          </cell>
          <cell r="C157" t="str">
            <v>13.0000000000000000</v>
          </cell>
          <cell r="E157" t="str">
            <v>Cust</v>
          </cell>
          <cell r="G157" t="str">
            <v>No</v>
          </cell>
          <cell r="H157" t="str">
            <v>1900-01-01 00:00:00</v>
          </cell>
          <cell r="K157" t="str">
            <v>M-P</v>
          </cell>
          <cell r="L157" t="str">
            <v>1450.000000</v>
          </cell>
          <cell r="AL157" t="str">
            <v>225321</v>
          </cell>
          <cell r="BC157" t="str">
            <v>Cust-PP</v>
          </cell>
          <cell r="BD157" t="str">
            <v>1.9801980198019800</v>
          </cell>
          <cell r="BE157" t="str">
            <v>.0000000000000000</v>
          </cell>
          <cell r="BF157" t="str">
            <v>.0000000000000000</v>
          </cell>
          <cell r="BG157" t="str">
            <v>None</v>
          </cell>
          <cell r="BK157" t="str">
            <v>2025-02-03 00:00:00</v>
          </cell>
          <cell r="BL157" t="str">
            <v>Airport EG-162</v>
          </cell>
          <cell r="BM157" t="str">
            <v>No</v>
          </cell>
          <cell r="BN157" t="str">
            <v>No</v>
          </cell>
          <cell r="BO157" t="str">
            <v>CPay-000000002</v>
          </cell>
        </row>
        <row r="158">
          <cell r="B158" t="str">
            <v>225325</v>
          </cell>
          <cell r="C158" t="str">
            <v>14.0000000000000000</v>
          </cell>
          <cell r="E158" t="str">
            <v>Cust</v>
          </cell>
          <cell r="G158" t="str">
            <v>No</v>
          </cell>
          <cell r="H158" t="str">
            <v>1900-01-01 00:00:00</v>
          </cell>
          <cell r="K158" t="str">
            <v>M-P</v>
          </cell>
          <cell r="L158" t="str">
            <v>262.200000</v>
          </cell>
          <cell r="AL158" t="str">
            <v>225325</v>
          </cell>
          <cell r="BC158" t="str">
            <v>Cust-PP</v>
          </cell>
          <cell r="BD158" t="str">
            <v>1.9801980198019800</v>
          </cell>
          <cell r="BE158" t="str">
            <v>.0000000000000000</v>
          </cell>
          <cell r="BF158" t="str">
            <v>.0000000000000000</v>
          </cell>
          <cell r="BG158" t="str">
            <v>None</v>
          </cell>
          <cell r="BK158" t="str">
            <v>2025-02-03 00:00:00</v>
          </cell>
          <cell r="BL158" t="str">
            <v>Airport EG-163</v>
          </cell>
          <cell r="BM158" t="str">
            <v>No</v>
          </cell>
          <cell r="BN158" t="str">
            <v>No</v>
          </cell>
          <cell r="BO158" t="str">
            <v>CPay-000000002</v>
          </cell>
        </row>
        <row r="159">
          <cell r="B159" t="str">
            <v>225360</v>
          </cell>
          <cell r="C159" t="str">
            <v>15.0000000000000000</v>
          </cell>
          <cell r="E159" t="str">
            <v>Cust</v>
          </cell>
          <cell r="G159" t="str">
            <v>No</v>
          </cell>
          <cell r="H159" t="str">
            <v>1900-01-01 00:00:00</v>
          </cell>
          <cell r="K159" t="str">
            <v>M-P</v>
          </cell>
          <cell r="L159" t="str">
            <v>1653.000000</v>
          </cell>
          <cell r="AL159" t="str">
            <v>225360</v>
          </cell>
          <cell r="BC159" t="str">
            <v>Cust-PP</v>
          </cell>
          <cell r="BD159" t="str">
            <v>1.9801980198019800</v>
          </cell>
          <cell r="BE159" t="str">
            <v>.0000000000000000</v>
          </cell>
          <cell r="BF159" t="str">
            <v>.0000000000000000</v>
          </cell>
          <cell r="BG159" t="str">
            <v>None</v>
          </cell>
          <cell r="BK159" t="str">
            <v>2025-02-03 00:00:00</v>
          </cell>
          <cell r="BL159" t="str">
            <v>Airport EG-165</v>
          </cell>
          <cell r="BM159" t="str">
            <v>No</v>
          </cell>
          <cell r="BN159" t="str">
            <v>No</v>
          </cell>
          <cell r="BO159" t="str">
            <v>CPay-000000002</v>
          </cell>
        </row>
        <row r="160">
          <cell r="B160" t="str">
            <v>225361</v>
          </cell>
          <cell r="C160" t="str">
            <v>16.0000000000000000</v>
          </cell>
          <cell r="E160" t="str">
            <v>Cust</v>
          </cell>
          <cell r="G160" t="str">
            <v>No</v>
          </cell>
          <cell r="H160" t="str">
            <v>1900-01-01 00:00:00</v>
          </cell>
          <cell r="K160" t="str">
            <v>M-P</v>
          </cell>
          <cell r="L160" t="str">
            <v>199.500000</v>
          </cell>
          <cell r="AL160" t="str">
            <v>225361</v>
          </cell>
          <cell r="BC160" t="str">
            <v>Cust-PP</v>
          </cell>
          <cell r="BD160" t="str">
            <v>1.9801980198019800</v>
          </cell>
          <cell r="BE160" t="str">
            <v>.0000000000000000</v>
          </cell>
          <cell r="BF160" t="str">
            <v>.0000000000000000</v>
          </cell>
          <cell r="BG160" t="str">
            <v>None</v>
          </cell>
          <cell r="BK160" t="str">
            <v>2025-02-03 00:00:00</v>
          </cell>
          <cell r="BL160" t="str">
            <v>Airport EG-166</v>
          </cell>
          <cell r="BM160" t="str">
            <v>No</v>
          </cell>
          <cell r="BN160" t="str">
            <v>No</v>
          </cell>
          <cell r="BO160" t="str">
            <v>CPay-000000002</v>
          </cell>
        </row>
        <row r="161">
          <cell r="B161" t="str">
            <v>225370</v>
          </cell>
          <cell r="C161" t="str">
            <v>17.0000000000000000</v>
          </cell>
          <cell r="E161" t="str">
            <v>Cust</v>
          </cell>
          <cell r="G161" t="str">
            <v>No</v>
          </cell>
          <cell r="H161" t="str">
            <v>1900-01-01 00:00:00</v>
          </cell>
          <cell r="K161" t="str">
            <v>M-P</v>
          </cell>
          <cell r="L161" t="str">
            <v>1653.000000</v>
          </cell>
          <cell r="AL161" t="str">
            <v>225370</v>
          </cell>
          <cell r="BC161" t="str">
            <v>Cust-PP</v>
          </cell>
          <cell r="BD161" t="str">
            <v>1.9801980198019800</v>
          </cell>
          <cell r="BE161" t="str">
            <v>.0000000000000000</v>
          </cell>
          <cell r="BF161" t="str">
            <v>.0000000000000000</v>
          </cell>
          <cell r="BG161" t="str">
            <v>None</v>
          </cell>
          <cell r="BK161" t="str">
            <v>2025-02-03 00:00:00</v>
          </cell>
          <cell r="BL161" t="str">
            <v>Airport EG-167</v>
          </cell>
          <cell r="BM161" t="str">
            <v>No</v>
          </cell>
          <cell r="BN161" t="str">
            <v>No</v>
          </cell>
          <cell r="BO161" t="str">
            <v>CPay-000000002</v>
          </cell>
        </row>
        <row r="162">
          <cell r="B162" t="str">
            <v>225371</v>
          </cell>
          <cell r="C162" t="str">
            <v>18.0000000000000000</v>
          </cell>
          <cell r="E162" t="str">
            <v>Cust</v>
          </cell>
          <cell r="G162" t="str">
            <v>No</v>
          </cell>
          <cell r="H162" t="str">
            <v>1900-01-01 00:00:00</v>
          </cell>
          <cell r="K162" t="str">
            <v>M-P</v>
          </cell>
          <cell r="L162" t="str">
            <v>471.960000</v>
          </cell>
          <cell r="AL162" t="str">
            <v>225371</v>
          </cell>
          <cell r="BC162" t="str">
            <v>Cust-PP</v>
          </cell>
          <cell r="BD162" t="str">
            <v>1.9801980198019800</v>
          </cell>
          <cell r="BE162" t="str">
            <v>.0000000000000000</v>
          </cell>
          <cell r="BF162" t="str">
            <v>.0000000000000000</v>
          </cell>
          <cell r="BG162" t="str">
            <v>None</v>
          </cell>
          <cell r="BK162" t="str">
            <v>2025-02-03 00:00:00</v>
          </cell>
          <cell r="BL162" t="str">
            <v>Airport EG-168</v>
          </cell>
          <cell r="BM162" t="str">
            <v>No</v>
          </cell>
          <cell r="BN162" t="str">
            <v>No</v>
          </cell>
          <cell r="BO162" t="str">
            <v>CPay-000000002</v>
          </cell>
        </row>
        <row r="163">
          <cell r="B163" t="str">
            <v>225375</v>
          </cell>
          <cell r="C163" t="str">
            <v>19.0000000000000000</v>
          </cell>
          <cell r="E163" t="str">
            <v>Cust</v>
          </cell>
          <cell r="G163" t="str">
            <v>No</v>
          </cell>
          <cell r="H163" t="str">
            <v>1900-01-01 00:00:00</v>
          </cell>
          <cell r="K163" t="str">
            <v>M-P</v>
          </cell>
          <cell r="L163" t="str">
            <v>1653.000000</v>
          </cell>
          <cell r="AL163" t="str">
            <v>225375</v>
          </cell>
          <cell r="BC163" t="str">
            <v>Cust-PP</v>
          </cell>
          <cell r="BD163" t="str">
            <v>1.9801980198019800</v>
          </cell>
          <cell r="BE163" t="str">
            <v>.0000000000000000</v>
          </cell>
          <cell r="BF163" t="str">
            <v>.0000000000000000</v>
          </cell>
          <cell r="BG163" t="str">
            <v>None</v>
          </cell>
          <cell r="BK163" t="str">
            <v>2025-02-03 00:00:00</v>
          </cell>
          <cell r="BL163" t="str">
            <v>Airport EG-169</v>
          </cell>
          <cell r="BM163" t="str">
            <v>No</v>
          </cell>
          <cell r="BN163" t="str">
            <v>No</v>
          </cell>
          <cell r="BO163" t="str">
            <v>CPay-000000002</v>
          </cell>
        </row>
        <row r="164">
          <cell r="B164" t="str">
            <v>225376</v>
          </cell>
          <cell r="C164" t="str">
            <v>20.0000000000000000</v>
          </cell>
          <cell r="E164" t="str">
            <v>Cust</v>
          </cell>
          <cell r="G164" t="str">
            <v>No</v>
          </cell>
          <cell r="H164" t="str">
            <v>1900-01-01 00:00:00</v>
          </cell>
          <cell r="K164" t="str">
            <v>M-P</v>
          </cell>
          <cell r="L164" t="str">
            <v>199.500000</v>
          </cell>
          <cell r="AL164" t="str">
            <v>225376</v>
          </cell>
          <cell r="BC164" t="str">
            <v>Cust-PP</v>
          </cell>
          <cell r="BD164" t="str">
            <v>1.9801980198019800</v>
          </cell>
          <cell r="BE164" t="str">
            <v>.0000000000000000</v>
          </cell>
          <cell r="BF164" t="str">
            <v>.0000000000000000</v>
          </cell>
          <cell r="BG164" t="str">
            <v>None</v>
          </cell>
          <cell r="BK164" t="str">
            <v>2025-02-03 00:00:00</v>
          </cell>
          <cell r="BL164" t="str">
            <v>Airport EG-170</v>
          </cell>
          <cell r="BM164" t="str">
            <v>No</v>
          </cell>
          <cell r="BN164" t="str">
            <v>No</v>
          </cell>
          <cell r="BO164" t="str">
            <v>CPay-000000002</v>
          </cell>
        </row>
        <row r="165">
          <cell r="B165" t="str">
            <v>317182</v>
          </cell>
          <cell r="C165" t="str">
            <v>21.0000000000000000</v>
          </cell>
          <cell r="E165" t="str">
            <v>Cust</v>
          </cell>
          <cell r="G165" t="str">
            <v>No</v>
          </cell>
          <cell r="H165" t="str">
            <v>1900-01-01 00:00:00</v>
          </cell>
          <cell r="K165" t="str">
            <v>M-P</v>
          </cell>
          <cell r="L165" t="str">
            <v>1195.630000</v>
          </cell>
          <cell r="AL165" t="str">
            <v>317182</v>
          </cell>
          <cell r="BC165" t="str">
            <v>Cust-PP</v>
          </cell>
          <cell r="BD165" t="str">
            <v>1.9801980198019800</v>
          </cell>
          <cell r="BE165" t="str">
            <v>.0000000000000000</v>
          </cell>
          <cell r="BF165" t="str">
            <v>.0000000000000000</v>
          </cell>
          <cell r="BG165" t="str">
            <v>None</v>
          </cell>
          <cell r="BK165" t="str">
            <v>2025-02-03 00:00:00</v>
          </cell>
          <cell r="BL165" t="str">
            <v>Airport EG-164</v>
          </cell>
          <cell r="BM165" t="str">
            <v>No</v>
          </cell>
          <cell r="BN165" t="str">
            <v>No</v>
          </cell>
          <cell r="BO165" t="str">
            <v>CPay-000000002</v>
          </cell>
        </row>
        <row r="166">
          <cell r="B166" t="str">
            <v>225435</v>
          </cell>
          <cell r="C166" t="str">
            <v>22.0000000000000000</v>
          </cell>
          <cell r="E166" t="str">
            <v>Cust</v>
          </cell>
          <cell r="G166" t="str">
            <v>No</v>
          </cell>
          <cell r="H166" t="str">
            <v>1900-01-01 00:00:00</v>
          </cell>
          <cell r="K166" t="str">
            <v>M-P</v>
          </cell>
          <cell r="L166" t="str">
            <v>2052.000000</v>
          </cell>
          <cell r="AL166" t="str">
            <v>225435</v>
          </cell>
          <cell r="BC166" t="str">
            <v>Cust-PP</v>
          </cell>
          <cell r="BD166" t="str">
            <v>1.9801980198019800</v>
          </cell>
          <cell r="BE166" t="str">
            <v>.0000000000000000</v>
          </cell>
          <cell r="BF166" t="str">
            <v>.0000000000000000</v>
          </cell>
          <cell r="BG166" t="str">
            <v>None</v>
          </cell>
          <cell r="BK166" t="str">
            <v>2025-02-04 00:00:00</v>
          </cell>
          <cell r="BL166" t="str">
            <v>Airport EG-172</v>
          </cell>
          <cell r="BM166" t="str">
            <v>No</v>
          </cell>
          <cell r="BN166" t="str">
            <v>No</v>
          </cell>
          <cell r="BO166" t="str">
            <v>CPay-000000002</v>
          </cell>
        </row>
        <row r="167">
          <cell r="B167" t="str">
            <v>225436</v>
          </cell>
          <cell r="C167" t="str">
            <v>23.0000000000000000</v>
          </cell>
          <cell r="E167" t="str">
            <v>Cust</v>
          </cell>
          <cell r="G167" t="str">
            <v>No</v>
          </cell>
          <cell r="H167" t="str">
            <v>1900-01-01 00:00:00</v>
          </cell>
          <cell r="K167" t="str">
            <v>M-P</v>
          </cell>
          <cell r="L167" t="str">
            <v>1938.000000</v>
          </cell>
          <cell r="AL167" t="str">
            <v>225436</v>
          </cell>
          <cell r="BC167" t="str">
            <v>Cust-PP</v>
          </cell>
          <cell r="BD167" t="str">
            <v>1.9801980198019800</v>
          </cell>
          <cell r="BE167" t="str">
            <v>.0000000000000000</v>
          </cell>
          <cell r="BF167" t="str">
            <v>.0000000000000000</v>
          </cell>
          <cell r="BG167" t="str">
            <v>None</v>
          </cell>
          <cell r="BK167" t="str">
            <v>2025-02-04 00:00:00</v>
          </cell>
          <cell r="BL167" t="str">
            <v>Airport EG-173</v>
          </cell>
          <cell r="BM167" t="str">
            <v>No</v>
          </cell>
          <cell r="BN167" t="str">
            <v>No</v>
          </cell>
          <cell r="BO167" t="str">
            <v>CPay-000000002</v>
          </cell>
        </row>
        <row r="168">
          <cell r="B168" t="str">
            <v>225474</v>
          </cell>
          <cell r="C168" t="str">
            <v>24.0000000000000000</v>
          </cell>
          <cell r="E168" t="str">
            <v>Cust</v>
          </cell>
          <cell r="G168" t="str">
            <v>No</v>
          </cell>
          <cell r="H168" t="str">
            <v>1900-01-01 00:00:00</v>
          </cell>
          <cell r="K168" t="str">
            <v>M-P</v>
          </cell>
          <cell r="L168" t="str">
            <v>1653.000000</v>
          </cell>
          <cell r="AL168" t="str">
            <v>225474</v>
          </cell>
          <cell r="BC168" t="str">
            <v>Cust-PP</v>
          </cell>
          <cell r="BD168" t="str">
            <v>1.9801980198019800</v>
          </cell>
          <cell r="BE168" t="str">
            <v>.0000000000000000</v>
          </cell>
          <cell r="BF168" t="str">
            <v>.0000000000000000</v>
          </cell>
          <cell r="BG168" t="str">
            <v>None</v>
          </cell>
          <cell r="BK168" t="str">
            <v>2025-02-04 00:00:00</v>
          </cell>
          <cell r="BL168" t="str">
            <v>Airport EG-174</v>
          </cell>
          <cell r="BM168" t="str">
            <v>No</v>
          </cell>
          <cell r="BN168" t="str">
            <v>No</v>
          </cell>
          <cell r="BO168" t="str">
            <v>CPay-000000002</v>
          </cell>
        </row>
        <row r="169">
          <cell r="B169" t="str">
            <v>225475</v>
          </cell>
          <cell r="C169" t="str">
            <v>25.0000000000000000</v>
          </cell>
          <cell r="E169" t="str">
            <v>Cust</v>
          </cell>
          <cell r="G169" t="str">
            <v>No</v>
          </cell>
          <cell r="H169" t="str">
            <v>1900-01-01 00:00:00</v>
          </cell>
          <cell r="K169" t="str">
            <v>M-P</v>
          </cell>
          <cell r="L169" t="str">
            <v>678.300000</v>
          </cell>
          <cell r="AL169" t="str">
            <v>225475</v>
          </cell>
          <cell r="BC169" t="str">
            <v>Cust-PP</v>
          </cell>
          <cell r="BD169" t="str">
            <v>1.9801980198019800</v>
          </cell>
          <cell r="BE169" t="str">
            <v>.0000000000000000</v>
          </cell>
          <cell r="BF169" t="str">
            <v>.0000000000000000</v>
          </cell>
          <cell r="BG169" t="str">
            <v>None</v>
          </cell>
          <cell r="BK169" t="str">
            <v>2025-02-04 00:00:00</v>
          </cell>
          <cell r="BL169" t="str">
            <v>Airport EG-175</v>
          </cell>
          <cell r="BM169" t="str">
            <v>No</v>
          </cell>
          <cell r="BN169" t="str">
            <v>No</v>
          </cell>
          <cell r="BO169" t="str">
            <v>CPay-000000002</v>
          </cell>
        </row>
        <row r="170">
          <cell r="B170" t="str">
            <v>225484</v>
          </cell>
          <cell r="C170" t="str">
            <v>26.0000000000000000</v>
          </cell>
          <cell r="E170" t="str">
            <v>Cust</v>
          </cell>
          <cell r="G170" t="str">
            <v>No</v>
          </cell>
          <cell r="H170" t="str">
            <v>1900-01-01 00:00:00</v>
          </cell>
          <cell r="K170" t="str">
            <v>M-P</v>
          </cell>
          <cell r="L170" t="str">
            <v>4730.000000</v>
          </cell>
          <cell r="AL170" t="str">
            <v>225484</v>
          </cell>
          <cell r="BC170" t="str">
            <v>Cust-PP</v>
          </cell>
          <cell r="BD170" t="str">
            <v>1.9801980198019800</v>
          </cell>
          <cell r="BE170" t="str">
            <v>.0000000000000000</v>
          </cell>
          <cell r="BF170" t="str">
            <v>.0000000000000000</v>
          </cell>
          <cell r="BG170" t="str">
            <v>None</v>
          </cell>
          <cell r="BK170" t="str">
            <v>2025-02-04 00:00:00</v>
          </cell>
          <cell r="BL170" t="str">
            <v>Airport EG-176</v>
          </cell>
          <cell r="BM170" t="str">
            <v>No</v>
          </cell>
          <cell r="BN170" t="str">
            <v>No</v>
          </cell>
          <cell r="BO170" t="str">
            <v>CPay-000000002</v>
          </cell>
        </row>
        <row r="171">
          <cell r="B171" t="str">
            <v>225520</v>
          </cell>
          <cell r="C171" t="str">
            <v>27.0000000000000000</v>
          </cell>
          <cell r="E171" t="str">
            <v>Cust</v>
          </cell>
          <cell r="G171" t="str">
            <v>No</v>
          </cell>
          <cell r="H171" t="str">
            <v>1900-01-01 00:00:00</v>
          </cell>
          <cell r="K171" t="str">
            <v>M-P</v>
          </cell>
          <cell r="L171" t="str">
            <v>1653.000000</v>
          </cell>
          <cell r="AL171" t="str">
            <v>225520</v>
          </cell>
          <cell r="BC171" t="str">
            <v>Cust-PP</v>
          </cell>
          <cell r="BD171" t="str">
            <v>1.9801980198019800</v>
          </cell>
          <cell r="BE171" t="str">
            <v>.0000000000000000</v>
          </cell>
          <cell r="BF171" t="str">
            <v>.0000000000000000</v>
          </cell>
          <cell r="BG171" t="str">
            <v>None</v>
          </cell>
          <cell r="BK171" t="str">
            <v>2025-02-04 00:00:00</v>
          </cell>
          <cell r="BL171" t="str">
            <v>Airport EG-177</v>
          </cell>
          <cell r="BM171" t="str">
            <v>No</v>
          </cell>
          <cell r="BN171" t="str">
            <v>No</v>
          </cell>
          <cell r="BO171" t="str">
            <v>CPay-000000002</v>
          </cell>
        </row>
        <row r="172">
          <cell r="B172" t="str">
            <v>225521</v>
          </cell>
          <cell r="C172" t="str">
            <v>28.0000000000000000</v>
          </cell>
          <cell r="E172" t="str">
            <v>Cust</v>
          </cell>
          <cell r="G172" t="str">
            <v>No</v>
          </cell>
          <cell r="H172" t="str">
            <v>1900-01-01 00:00:00</v>
          </cell>
          <cell r="K172" t="str">
            <v>M-P</v>
          </cell>
          <cell r="L172" t="str">
            <v>199.500000</v>
          </cell>
          <cell r="AL172" t="str">
            <v>225521</v>
          </cell>
          <cell r="BC172" t="str">
            <v>Cust-PP</v>
          </cell>
          <cell r="BD172" t="str">
            <v>1.9801980198019800</v>
          </cell>
          <cell r="BE172" t="str">
            <v>.0000000000000000</v>
          </cell>
          <cell r="BF172" t="str">
            <v>.0000000000000000</v>
          </cell>
          <cell r="BG172" t="str">
            <v>None</v>
          </cell>
          <cell r="BK172" t="str">
            <v>2025-02-04 00:00:00</v>
          </cell>
          <cell r="BL172" t="str">
            <v>Airport EG-178</v>
          </cell>
          <cell r="BM172" t="str">
            <v>No</v>
          </cell>
          <cell r="BN172" t="str">
            <v>No</v>
          </cell>
          <cell r="BO172" t="str">
            <v>CPay-000000002</v>
          </cell>
        </row>
        <row r="173">
          <cell r="B173" t="str">
            <v>225588</v>
          </cell>
          <cell r="C173" t="str">
            <v>29.0000000000000000</v>
          </cell>
          <cell r="E173" t="str">
            <v>Cust</v>
          </cell>
          <cell r="G173" t="str">
            <v>No</v>
          </cell>
          <cell r="H173" t="str">
            <v>1900-01-01 00:00:00</v>
          </cell>
          <cell r="K173" t="str">
            <v>M-P</v>
          </cell>
          <cell r="L173" t="str">
            <v>262.200000</v>
          </cell>
          <cell r="AL173" t="str">
            <v>225588</v>
          </cell>
          <cell r="BC173" t="str">
            <v>Cust-PP</v>
          </cell>
          <cell r="BD173" t="str">
            <v>1.9801980198019800</v>
          </cell>
          <cell r="BE173" t="str">
            <v>.0000000000000000</v>
          </cell>
          <cell r="BF173" t="str">
            <v>.0000000000000000</v>
          </cell>
          <cell r="BG173" t="str">
            <v>None</v>
          </cell>
          <cell r="BK173" t="str">
            <v>2025-02-05 00:00:00</v>
          </cell>
          <cell r="BL173" t="str">
            <v>Airport EG-179</v>
          </cell>
          <cell r="BM173" t="str">
            <v>No</v>
          </cell>
          <cell r="BN173" t="str">
            <v>No</v>
          </cell>
          <cell r="BO173" t="str">
            <v>CPay-000000002</v>
          </cell>
        </row>
        <row r="174">
          <cell r="B174" t="str">
            <v>225590</v>
          </cell>
          <cell r="C174" t="str">
            <v>30.0000000000000000</v>
          </cell>
          <cell r="E174" t="str">
            <v>Cust</v>
          </cell>
          <cell r="G174" t="str">
            <v>No</v>
          </cell>
          <cell r="H174" t="str">
            <v>1900-01-01 00:00:00</v>
          </cell>
          <cell r="K174" t="str">
            <v>M-P</v>
          </cell>
          <cell r="L174" t="str">
            <v>262.200000</v>
          </cell>
          <cell r="AL174" t="str">
            <v>225590</v>
          </cell>
          <cell r="BC174" t="str">
            <v>Cust-PP</v>
          </cell>
          <cell r="BD174" t="str">
            <v>1.9801980198019800</v>
          </cell>
          <cell r="BE174" t="str">
            <v>.0000000000000000</v>
          </cell>
          <cell r="BF174" t="str">
            <v>.0000000000000000</v>
          </cell>
          <cell r="BG174" t="str">
            <v>None</v>
          </cell>
          <cell r="BK174" t="str">
            <v>2025-02-05 00:00:00</v>
          </cell>
          <cell r="BL174" t="str">
            <v>Airport EG-180</v>
          </cell>
          <cell r="BM174" t="str">
            <v>No</v>
          </cell>
          <cell r="BN174" t="str">
            <v>No</v>
          </cell>
          <cell r="BO174" t="str">
            <v>CPay-000000002</v>
          </cell>
        </row>
        <row r="175">
          <cell r="B175" t="str">
            <v>225591</v>
          </cell>
          <cell r="C175" t="str">
            <v>31.0000000000000000</v>
          </cell>
          <cell r="E175" t="str">
            <v>Cust</v>
          </cell>
          <cell r="G175" t="str">
            <v>No</v>
          </cell>
          <cell r="H175" t="str">
            <v>1900-01-01 00:00:00</v>
          </cell>
          <cell r="K175" t="str">
            <v>M-P</v>
          </cell>
          <cell r="L175" t="str">
            <v>1000.000000</v>
          </cell>
          <cell r="AL175" t="str">
            <v>225591</v>
          </cell>
          <cell r="BC175" t="str">
            <v>Cust-PP</v>
          </cell>
          <cell r="BD175" t="str">
            <v>1.9801980198019800</v>
          </cell>
          <cell r="BE175" t="str">
            <v>.0000000000000000</v>
          </cell>
          <cell r="BF175" t="str">
            <v>.0000000000000000</v>
          </cell>
          <cell r="BG175" t="str">
            <v>None</v>
          </cell>
          <cell r="BK175" t="str">
            <v>2025-02-05 00:00:00</v>
          </cell>
          <cell r="BL175" t="str">
            <v>Airport EG-181</v>
          </cell>
          <cell r="BM175" t="str">
            <v>No</v>
          </cell>
          <cell r="BN175" t="str">
            <v>No</v>
          </cell>
          <cell r="BO175" t="str">
            <v>CPay-000000002</v>
          </cell>
        </row>
        <row r="176">
          <cell r="B176" t="str">
            <v>225598</v>
          </cell>
          <cell r="C176" t="str">
            <v>32.0000000000000000</v>
          </cell>
          <cell r="E176" t="str">
            <v>Cust</v>
          </cell>
          <cell r="G176" t="str">
            <v>No</v>
          </cell>
          <cell r="H176" t="str">
            <v>1900-01-01 00:00:00</v>
          </cell>
          <cell r="K176" t="str">
            <v>M-P</v>
          </cell>
          <cell r="L176" t="str">
            <v>1140.000000</v>
          </cell>
          <cell r="AL176" t="str">
            <v>225598</v>
          </cell>
          <cell r="BC176" t="str">
            <v>Cust-PP</v>
          </cell>
          <cell r="BD176" t="str">
            <v>1.9801980198019800</v>
          </cell>
          <cell r="BE176" t="str">
            <v>.0000000000000000</v>
          </cell>
          <cell r="BF176" t="str">
            <v>.0000000000000000</v>
          </cell>
          <cell r="BG176" t="str">
            <v>None</v>
          </cell>
          <cell r="BK176" t="str">
            <v>2025-02-05 00:00:00</v>
          </cell>
          <cell r="BL176" t="str">
            <v>Airport EG-182</v>
          </cell>
          <cell r="BM176" t="str">
            <v>No</v>
          </cell>
          <cell r="BN176" t="str">
            <v>No</v>
          </cell>
          <cell r="BO176" t="str">
            <v>CPay-000000002</v>
          </cell>
        </row>
        <row r="177">
          <cell r="B177" t="str">
            <v>225615</v>
          </cell>
          <cell r="C177" t="str">
            <v>33.0000000000000000</v>
          </cell>
          <cell r="E177" t="str">
            <v>Cust</v>
          </cell>
          <cell r="G177" t="str">
            <v>No</v>
          </cell>
          <cell r="H177" t="str">
            <v>1900-01-01 00:00:00</v>
          </cell>
          <cell r="K177" t="str">
            <v>M-P</v>
          </cell>
          <cell r="L177" t="str">
            <v>1653.000000</v>
          </cell>
          <cell r="AL177" t="str">
            <v>225615</v>
          </cell>
          <cell r="BC177" t="str">
            <v>Cust-PP</v>
          </cell>
          <cell r="BD177" t="str">
            <v>1.9801980198019800</v>
          </cell>
          <cell r="BE177" t="str">
            <v>.0000000000000000</v>
          </cell>
          <cell r="BF177" t="str">
            <v>.0000000000000000</v>
          </cell>
          <cell r="BG177" t="str">
            <v>None</v>
          </cell>
          <cell r="BK177" t="str">
            <v>2025-02-05 00:00:00</v>
          </cell>
          <cell r="BL177" t="str">
            <v>Airport EG-183</v>
          </cell>
          <cell r="BM177" t="str">
            <v>No</v>
          </cell>
          <cell r="BN177" t="str">
            <v>No</v>
          </cell>
          <cell r="BO177" t="str">
            <v>CPay-000000002</v>
          </cell>
        </row>
        <row r="178">
          <cell r="B178" t="str">
            <v>225616</v>
          </cell>
          <cell r="C178" t="str">
            <v>34.0000000000000000</v>
          </cell>
          <cell r="E178" t="str">
            <v>Cust</v>
          </cell>
          <cell r="G178" t="str">
            <v>No</v>
          </cell>
          <cell r="H178" t="str">
            <v>1900-01-01 00:00:00</v>
          </cell>
          <cell r="K178" t="str">
            <v>M-P</v>
          </cell>
          <cell r="L178" t="str">
            <v>833.340000</v>
          </cell>
          <cell r="AL178" t="str">
            <v>225616</v>
          </cell>
          <cell r="BC178" t="str">
            <v>Cust-PP</v>
          </cell>
          <cell r="BD178" t="str">
            <v>1.9801980198019800</v>
          </cell>
          <cell r="BE178" t="str">
            <v>.0000000000000000</v>
          </cell>
          <cell r="BF178" t="str">
            <v>.0000000000000000</v>
          </cell>
          <cell r="BG178" t="str">
            <v>None</v>
          </cell>
          <cell r="BK178" t="str">
            <v>2025-02-05 00:00:00</v>
          </cell>
          <cell r="BL178" t="str">
            <v>Airport EG-184</v>
          </cell>
          <cell r="BM178" t="str">
            <v>No</v>
          </cell>
          <cell r="BN178" t="str">
            <v>No</v>
          </cell>
          <cell r="BO178" t="str">
            <v>CPay-000000002</v>
          </cell>
        </row>
        <row r="179">
          <cell r="B179" t="str">
            <v>225681</v>
          </cell>
          <cell r="C179" t="str">
            <v>35.0000000000000000</v>
          </cell>
          <cell r="E179" t="str">
            <v>Cust</v>
          </cell>
          <cell r="G179" t="str">
            <v>No</v>
          </cell>
          <cell r="H179" t="str">
            <v>1900-01-01 00:00:00</v>
          </cell>
          <cell r="K179" t="str">
            <v>M-P</v>
          </cell>
          <cell r="L179" t="str">
            <v>1653.000000</v>
          </cell>
          <cell r="AL179" t="str">
            <v>225681</v>
          </cell>
          <cell r="BC179" t="str">
            <v>Cust-PP</v>
          </cell>
          <cell r="BD179" t="str">
            <v>1.9801980198019800</v>
          </cell>
          <cell r="BE179" t="str">
            <v>.0000000000000000</v>
          </cell>
          <cell r="BF179" t="str">
            <v>.0000000000000000</v>
          </cell>
          <cell r="BG179" t="str">
            <v>None</v>
          </cell>
          <cell r="BK179" t="str">
            <v>2025-02-05 00:00:00</v>
          </cell>
          <cell r="BL179" t="str">
            <v>Airport EG-185</v>
          </cell>
          <cell r="BM179" t="str">
            <v>No</v>
          </cell>
          <cell r="BN179" t="str">
            <v>No</v>
          </cell>
          <cell r="BO179" t="str">
            <v>CPay-000000002</v>
          </cell>
        </row>
        <row r="180">
          <cell r="B180" t="str">
            <v>225682</v>
          </cell>
          <cell r="C180" t="str">
            <v>36.0000000000000000</v>
          </cell>
          <cell r="E180" t="str">
            <v>Cust</v>
          </cell>
          <cell r="G180" t="str">
            <v>No</v>
          </cell>
          <cell r="H180" t="str">
            <v>1900-01-01 00:00:00</v>
          </cell>
          <cell r="K180" t="str">
            <v>M-P</v>
          </cell>
          <cell r="L180" t="str">
            <v>524.400000</v>
          </cell>
          <cell r="AL180" t="str">
            <v>225682</v>
          </cell>
          <cell r="BC180" t="str">
            <v>Cust-PP</v>
          </cell>
          <cell r="BD180" t="str">
            <v>1.9801980198019800</v>
          </cell>
          <cell r="BE180" t="str">
            <v>.0000000000000000</v>
          </cell>
          <cell r="BF180" t="str">
            <v>.0000000000000000</v>
          </cell>
          <cell r="BG180" t="str">
            <v>None</v>
          </cell>
          <cell r="BK180" t="str">
            <v>2025-02-05 00:00:00</v>
          </cell>
          <cell r="BL180" t="str">
            <v>Airport EG-186</v>
          </cell>
          <cell r="BM180" t="str">
            <v>No</v>
          </cell>
          <cell r="BN180" t="str">
            <v>No</v>
          </cell>
          <cell r="BO180" t="str">
            <v>CPay-000000002</v>
          </cell>
        </row>
        <row r="181">
          <cell r="B181" t="str">
            <v>317192</v>
          </cell>
          <cell r="C181" t="str">
            <v>37.0000000000000000</v>
          </cell>
          <cell r="E181" t="str">
            <v>Cust</v>
          </cell>
          <cell r="G181" t="str">
            <v>No</v>
          </cell>
          <cell r="H181" t="str">
            <v>1900-01-01 00:00:00</v>
          </cell>
          <cell r="K181" t="str">
            <v>M-P</v>
          </cell>
          <cell r="L181" t="str">
            <v>600.000000</v>
          </cell>
          <cell r="AL181" t="str">
            <v>317192</v>
          </cell>
          <cell r="BC181" t="str">
            <v>Cust-PP</v>
          </cell>
          <cell r="BD181" t="str">
            <v>100.0000000000000000</v>
          </cell>
          <cell r="BE181" t="str">
            <v>.0000000000000000</v>
          </cell>
          <cell r="BF181" t="str">
            <v>.0000000000000000</v>
          </cell>
          <cell r="BG181" t="str">
            <v>None</v>
          </cell>
          <cell r="BK181" t="str">
            <v>2025-02-05 00:00:00</v>
          </cell>
          <cell r="BL181" t="str">
            <v>Airport EG-187</v>
          </cell>
          <cell r="BM181" t="str">
            <v>No</v>
          </cell>
          <cell r="BN181" t="str">
            <v>No</v>
          </cell>
          <cell r="BO181" t="str">
            <v>CPay-000000002</v>
          </cell>
        </row>
        <row r="182">
          <cell r="B182" t="str">
            <v>225851</v>
          </cell>
          <cell r="C182" t="str">
            <v>38.0000000000000000</v>
          </cell>
          <cell r="E182" t="str">
            <v>Cust</v>
          </cell>
          <cell r="G182" t="str">
            <v>No</v>
          </cell>
          <cell r="H182" t="str">
            <v>1900-01-01 00:00:00</v>
          </cell>
          <cell r="K182" t="str">
            <v>M-P</v>
          </cell>
          <cell r="L182" t="str">
            <v>1653.000000</v>
          </cell>
          <cell r="AL182" t="str">
            <v>225851</v>
          </cell>
          <cell r="BC182" t="str">
            <v>Cust-PP</v>
          </cell>
          <cell r="BD182" t="str">
            <v>1.9801980198019800</v>
          </cell>
          <cell r="BE182" t="str">
            <v>.0000000000000000</v>
          </cell>
          <cell r="BF182" t="str">
            <v>.0000000000000000</v>
          </cell>
          <cell r="BG182" t="str">
            <v>None</v>
          </cell>
          <cell r="BK182" t="str">
            <v>2025-02-06 00:00:00</v>
          </cell>
          <cell r="BL182" t="str">
            <v>Airport EG-188</v>
          </cell>
          <cell r="BM182" t="str">
            <v>No</v>
          </cell>
          <cell r="BN182" t="str">
            <v>No</v>
          </cell>
          <cell r="BO182" t="str">
            <v>CPay-000000002</v>
          </cell>
        </row>
        <row r="183">
          <cell r="B183" t="str">
            <v>225852</v>
          </cell>
          <cell r="C183" t="str">
            <v>39.0000000000000000</v>
          </cell>
          <cell r="E183" t="str">
            <v>Cust</v>
          </cell>
          <cell r="G183" t="str">
            <v>No</v>
          </cell>
          <cell r="H183" t="str">
            <v>1900-01-01 00:00:00</v>
          </cell>
          <cell r="K183" t="str">
            <v>M-P</v>
          </cell>
          <cell r="L183" t="str">
            <v>566.350000</v>
          </cell>
          <cell r="AL183" t="str">
            <v>225852</v>
          </cell>
          <cell r="BC183" t="str">
            <v>Cust-PP</v>
          </cell>
          <cell r="BD183" t="str">
            <v>1.9801980198019800</v>
          </cell>
          <cell r="BE183" t="str">
            <v>.0000000000000000</v>
          </cell>
          <cell r="BF183" t="str">
            <v>.0000000000000000</v>
          </cell>
          <cell r="BG183" t="str">
            <v>None</v>
          </cell>
          <cell r="BK183" t="str">
            <v>2025-02-06 00:00:00</v>
          </cell>
          <cell r="BL183" t="str">
            <v>Airport EG-189</v>
          </cell>
          <cell r="BM183" t="str">
            <v>No</v>
          </cell>
          <cell r="BN183" t="str">
            <v>No</v>
          </cell>
          <cell r="BO183" t="str">
            <v>CPay-000000002</v>
          </cell>
        </row>
        <row r="184">
          <cell r="B184" t="str">
            <v>225903</v>
          </cell>
          <cell r="C184" t="str">
            <v>40.0000000000000000</v>
          </cell>
          <cell r="E184" t="str">
            <v>Cust</v>
          </cell>
          <cell r="G184" t="str">
            <v>No</v>
          </cell>
          <cell r="H184" t="str">
            <v>1900-01-01 00:00:00</v>
          </cell>
          <cell r="K184" t="str">
            <v>M-P</v>
          </cell>
          <cell r="L184" t="str">
            <v>1653.000000</v>
          </cell>
          <cell r="AL184" t="str">
            <v>225903</v>
          </cell>
          <cell r="BC184" t="str">
            <v>Cust-PP</v>
          </cell>
          <cell r="BD184" t="str">
            <v>1.9801980198019800</v>
          </cell>
          <cell r="BE184" t="str">
            <v>.0000000000000000</v>
          </cell>
          <cell r="BF184" t="str">
            <v>.0000000000000000</v>
          </cell>
          <cell r="BG184" t="str">
            <v>None</v>
          </cell>
          <cell r="BK184" t="str">
            <v>2025-02-09 00:00:00</v>
          </cell>
          <cell r="BL184" t="str">
            <v>Airport EG-190</v>
          </cell>
          <cell r="BM184" t="str">
            <v>No</v>
          </cell>
          <cell r="BN184" t="str">
            <v>No</v>
          </cell>
          <cell r="BO184" t="str">
            <v>CPay-000000002</v>
          </cell>
        </row>
        <row r="185">
          <cell r="B185" t="str">
            <v>225904</v>
          </cell>
          <cell r="C185" t="str">
            <v>41.0000000000000000</v>
          </cell>
          <cell r="E185" t="str">
            <v>Cust</v>
          </cell>
          <cell r="G185" t="str">
            <v>No</v>
          </cell>
          <cell r="H185" t="str">
            <v>1900-01-01 00:00:00</v>
          </cell>
          <cell r="K185" t="str">
            <v>M-P</v>
          </cell>
          <cell r="L185" t="str">
            <v>744.420000</v>
          </cell>
          <cell r="AL185" t="str">
            <v>225904</v>
          </cell>
          <cell r="BC185" t="str">
            <v>Cust-PP</v>
          </cell>
          <cell r="BD185" t="str">
            <v>1.9801980198019800</v>
          </cell>
          <cell r="BE185" t="str">
            <v>.0000000000000000</v>
          </cell>
          <cell r="BF185" t="str">
            <v>.0000000000000000</v>
          </cell>
          <cell r="BG185" t="str">
            <v>None</v>
          </cell>
          <cell r="BK185" t="str">
            <v>2025-02-09 00:00:00</v>
          </cell>
          <cell r="BL185" t="str">
            <v>Airport EG-191</v>
          </cell>
          <cell r="BM185" t="str">
            <v>No</v>
          </cell>
          <cell r="BN185" t="str">
            <v>No</v>
          </cell>
          <cell r="BO185" t="str">
            <v>CPay-000000002</v>
          </cell>
        </row>
        <row r="186">
          <cell r="B186" t="str">
            <v>225905</v>
          </cell>
          <cell r="C186" t="str">
            <v>42.0000000000000000</v>
          </cell>
          <cell r="E186" t="str">
            <v>Cust</v>
          </cell>
          <cell r="G186" t="str">
            <v>No</v>
          </cell>
          <cell r="H186" t="str">
            <v>1900-01-01 00:00:00</v>
          </cell>
          <cell r="K186" t="str">
            <v>M-P</v>
          </cell>
          <cell r="L186" t="str">
            <v>1653.000000</v>
          </cell>
          <cell r="AL186" t="str">
            <v>225905</v>
          </cell>
          <cell r="BC186" t="str">
            <v>Cust-PP</v>
          </cell>
          <cell r="BD186" t="str">
            <v>1.9801980198019800</v>
          </cell>
          <cell r="BE186" t="str">
            <v>.0000000000000000</v>
          </cell>
          <cell r="BF186" t="str">
            <v>.0000000000000000</v>
          </cell>
          <cell r="BG186" t="str">
            <v>None</v>
          </cell>
          <cell r="BK186" t="str">
            <v>2025-02-09 00:00:00</v>
          </cell>
          <cell r="BL186" t="str">
            <v>Airport EG-192</v>
          </cell>
          <cell r="BM186" t="str">
            <v>No</v>
          </cell>
          <cell r="BN186" t="str">
            <v>No</v>
          </cell>
          <cell r="BO186" t="str">
            <v>CPay-000000002</v>
          </cell>
        </row>
        <row r="187">
          <cell r="B187" t="str">
            <v>225906</v>
          </cell>
          <cell r="C187" t="str">
            <v>43.0000000000000000</v>
          </cell>
          <cell r="E187" t="str">
            <v>Cust</v>
          </cell>
          <cell r="G187" t="str">
            <v>No</v>
          </cell>
          <cell r="H187" t="str">
            <v>1900-01-01 00:00:00</v>
          </cell>
          <cell r="K187" t="str">
            <v>M-P</v>
          </cell>
          <cell r="L187" t="str">
            <v>262.200000</v>
          </cell>
          <cell r="AL187" t="str">
            <v>225906</v>
          </cell>
          <cell r="BC187" t="str">
            <v>Cust-PP</v>
          </cell>
          <cell r="BD187" t="str">
            <v>1.9801980198019800</v>
          </cell>
          <cell r="BE187" t="str">
            <v>.0000000000000000</v>
          </cell>
          <cell r="BF187" t="str">
            <v>.0000000000000000</v>
          </cell>
          <cell r="BG187" t="str">
            <v>None</v>
          </cell>
          <cell r="BK187" t="str">
            <v>2025-02-09 00:00:00</v>
          </cell>
          <cell r="BL187" t="str">
            <v>Airport EG-193</v>
          </cell>
          <cell r="BM187" t="str">
            <v>No</v>
          </cell>
          <cell r="BN187" t="str">
            <v>No</v>
          </cell>
          <cell r="BO187" t="str">
            <v>CPay-000000002</v>
          </cell>
        </row>
        <row r="188">
          <cell r="B188" t="str">
            <v>225909</v>
          </cell>
          <cell r="C188" t="str">
            <v>44.0000000000000000</v>
          </cell>
          <cell r="E188" t="str">
            <v>Cust</v>
          </cell>
          <cell r="G188" t="str">
            <v>No</v>
          </cell>
          <cell r="H188" t="str">
            <v>1900-01-01 00:00:00</v>
          </cell>
          <cell r="K188" t="str">
            <v>M-P</v>
          </cell>
          <cell r="L188" t="str">
            <v>1653.000000</v>
          </cell>
          <cell r="AL188" t="str">
            <v>225909</v>
          </cell>
          <cell r="BC188" t="str">
            <v>Cust-PP</v>
          </cell>
          <cell r="BD188" t="str">
            <v>1.9801980198019800</v>
          </cell>
          <cell r="BE188" t="str">
            <v>.0000000000000000</v>
          </cell>
          <cell r="BF188" t="str">
            <v>.0000000000000000</v>
          </cell>
          <cell r="BG188" t="str">
            <v>None</v>
          </cell>
          <cell r="BK188" t="str">
            <v>2025-02-09 00:00:00</v>
          </cell>
          <cell r="BL188" t="str">
            <v>Airport EG-194</v>
          </cell>
          <cell r="BM188" t="str">
            <v>No</v>
          </cell>
          <cell r="BN188" t="str">
            <v>No</v>
          </cell>
          <cell r="BO188" t="str">
            <v>CPay-000000002</v>
          </cell>
        </row>
        <row r="189">
          <cell r="B189" t="str">
            <v>225910</v>
          </cell>
          <cell r="C189" t="str">
            <v>45.0000000000000000</v>
          </cell>
          <cell r="E189" t="str">
            <v>Cust</v>
          </cell>
          <cell r="G189" t="str">
            <v>No</v>
          </cell>
          <cell r="H189" t="str">
            <v>1900-01-01 00:00:00</v>
          </cell>
          <cell r="K189" t="str">
            <v>M-P</v>
          </cell>
          <cell r="L189" t="str">
            <v>9670.390000</v>
          </cell>
          <cell r="AL189" t="str">
            <v>225910</v>
          </cell>
          <cell r="BC189" t="str">
            <v>Cust-PP</v>
          </cell>
          <cell r="BD189" t="str">
            <v>1.9801980198019800</v>
          </cell>
          <cell r="BE189" t="str">
            <v>.0000000000000000</v>
          </cell>
          <cell r="BF189" t="str">
            <v>.0000000000000000</v>
          </cell>
          <cell r="BG189" t="str">
            <v>None</v>
          </cell>
          <cell r="BK189" t="str">
            <v>2025-02-09 00:00:00</v>
          </cell>
          <cell r="BL189" t="str">
            <v>Airport EG-195</v>
          </cell>
          <cell r="BM189" t="str">
            <v>No</v>
          </cell>
          <cell r="BN189" t="str">
            <v>No</v>
          </cell>
          <cell r="BO189" t="str">
            <v>CPay-000000002</v>
          </cell>
        </row>
        <row r="190">
          <cell r="B190" t="str">
            <v>225959</v>
          </cell>
          <cell r="C190" t="str">
            <v>46.0000000000000000</v>
          </cell>
          <cell r="E190" t="str">
            <v>Cust</v>
          </cell>
          <cell r="G190" t="str">
            <v>No</v>
          </cell>
          <cell r="H190" t="str">
            <v>1900-01-01 00:00:00</v>
          </cell>
          <cell r="K190" t="str">
            <v>M-P</v>
          </cell>
          <cell r="L190" t="str">
            <v>1653.000000</v>
          </cell>
          <cell r="AL190" t="str">
            <v>225959</v>
          </cell>
          <cell r="BC190" t="str">
            <v>Cust-PP</v>
          </cell>
          <cell r="BD190" t="str">
            <v>1.9801980198019800</v>
          </cell>
          <cell r="BE190" t="str">
            <v>.0000000000000000</v>
          </cell>
          <cell r="BF190" t="str">
            <v>.0000000000000000</v>
          </cell>
          <cell r="BG190" t="str">
            <v>None</v>
          </cell>
          <cell r="BK190" t="str">
            <v>2025-02-10 00:00:00</v>
          </cell>
          <cell r="BL190" t="str">
            <v>Airport EG-196</v>
          </cell>
          <cell r="BM190" t="str">
            <v>No</v>
          </cell>
          <cell r="BN190" t="str">
            <v>No</v>
          </cell>
          <cell r="BO190" t="str">
            <v>CPay-000000002</v>
          </cell>
        </row>
        <row r="191">
          <cell r="B191" t="str">
            <v>225960</v>
          </cell>
          <cell r="C191" t="str">
            <v>47.0000000000000000</v>
          </cell>
          <cell r="E191" t="str">
            <v>Cust</v>
          </cell>
          <cell r="G191" t="str">
            <v>No</v>
          </cell>
          <cell r="H191" t="str">
            <v>1900-01-01 00:00:00</v>
          </cell>
          <cell r="K191" t="str">
            <v>M-P</v>
          </cell>
          <cell r="L191" t="str">
            <v>285.000000</v>
          </cell>
          <cell r="AL191" t="str">
            <v>225960</v>
          </cell>
          <cell r="BC191" t="str">
            <v>Cust-PP</v>
          </cell>
          <cell r="BD191" t="str">
            <v>1.9801980198019800</v>
          </cell>
          <cell r="BE191" t="str">
            <v>.0000000000000000</v>
          </cell>
          <cell r="BF191" t="str">
            <v>.0000000000000000</v>
          </cell>
          <cell r="BG191" t="str">
            <v>None</v>
          </cell>
          <cell r="BK191" t="str">
            <v>2025-02-10 00:00:00</v>
          </cell>
          <cell r="BL191" t="str">
            <v>Airport EG-197</v>
          </cell>
          <cell r="BM191" t="str">
            <v>No</v>
          </cell>
          <cell r="BN191" t="str">
            <v>No</v>
          </cell>
          <cell r="BO191" t="str">
            <v>CPay-000000002</v>
          </cell>
        </row>
        <row r="192">
          <cell r="B192" t="str">
            <v>225969</v>
          </cell>
          <cell r="C192" t="str">
            <v>48.0000000000000000</v>
          </cell>
          <cell r="E192" t="str">
            <v>Cust</v>
          </cell>
          <cell r="G192" t="str">
            <v>No</v>
          </cell>
          <cell r="H192" t="str">
            <v>1900-01-01 00:00:00</v>
          </cell>
          <cell r="K192" t="str">
            <v>M-P</v>
          </cell>
          <cell r="L192" t="str">
            <v>2052.000000</v>
          </cell>
          <cell r="AL192" t="str">
            <v>225969</v>
          </cell>
          <cell r="BC192" t="str">
            <v>Cust-PP</v>
          </cell>
          <cell r="BD192" t="str">
            <v>1.9801980198019800</v>
          </cell>
          <cell r="BE192" t="str">
            <v>.0000000000000000</v>
          </cell>
          <cell r="BF192" t="str">
            <v>.0000000000000000</v>
          </cell>
          <cell r="BG192" t="str">
            <v>None</v>
          </cell>
          <cell r="BK192" t="str">
            <v>2025-02-10 00:00:00</v>
          </cell>
          <cell r="BL192" t="str">
            <v>Airport EG-199</v>
          </cell>
          <cell r="BM192" t="str">
            <v>No</v>
          </cell>
          <cell r="BN192" t="str">
            <v>No</v>
          </cell>
          <cell r="BO192" t="str">
            <v>CPay-000000002</v>
          </cell>
        </row>
        <row r="193">
          <cell r="B193" t="str">
            <v>225970</v>
          </cell>
          <cell r="C193" t="str">
            <v>49.0000000000000000</v>
          </cell>
          <cell r="E193" t="str">
            <v>Cust</v>
          </cell>
          <cell r="G193" t="str">
            <v>No</v>
          </cell>
          <cell r="H193" t="str">
            <v>1900-01-01 00:00:00</v>
          </cell>
          <cell r="K193" t="str">
            <v>M-P</v>
          </cell>
          <cell r="L193" t="str">
            <v>285.000000</v>
          </cell>
          <cell r="AL193" t="str">
            <v>225970</v>
          </cell>
          <cell r="BC193" t="str">
            <v>Cust-PP</v>
          </cell>
          <cell r="BD193" t="str">
            <v>1.9801980198019800</v>
          </cell>
          <cell r="BE193" t="str">
            <v>.0000000000000000</v>
          </cell>
          <cell r="BF193" t="str">
            <v>.0000000000000000</v>
          </cell>
          <cell r="BG193" t="str">
            <v>None</v>
          </cell>
          <cell r="BK193" t="str">
            <v>2025-02-10 00:00:00</v>
          </cell>
          <cell r="BL193" t="str">
            <v>Airport EG-200</v>
          </cell>
          <cell r="BM193" t="str">
            <v>No</v>
          </cell>
          <cell r="BN193" t="str">
            <v>No</v>
          </cell>
          <cell r="BO193" t="str">
            <v>CPay-000000002</v>
          </cell>
        </row>
        <row r="194">
          <cell r="B194" t="str">
            <v>225971</v>
          </cell>
          <cell r="C194" t="str">
            <v>50.0000000000000000</v>
          </cell>
          <cell r="E194" t="str">
            <v>Cust</v>
          </cell>
          <cell r="G194" t="str">
            <v>No</v>
          </cell>
          <cell r="H194" t="str">
            <v>1900-01-01 00:00:00</v>
          </cell>
          <cell r="K194" t="str">
            <v>M-P</v>
          </cell>
          <cell r="L194" t="str">
            <v>1653.000000</v>
          </cell>
          <cell r="AL194" t="str">
            <v>225971</v>
          </cell>
          <cell r="BC194" t="str">
            <v>Cust-PP</v>
          </cell>
          <cell r="BD194" t="str">
            <v>1.9801980198019800</v>
          </cell>
          <cell r="BE194" t="str">
            <v>.0000000000000000</v>
          </cell>
          <cell r="BF194" t="str">
            <v>.0000000000000000</v>
          </cell>
          <cell r="BG194" t="str">
            <v>None</v>
          </cell>
          <cell r="BK194" t="str">
            <v>2025-02-10 00:00:00</v>
          </cell>
          <cell r="BL194" t="str">
            <v>Airport EG-201</v>
          </cell>
          <cell r="BM194" t="str">
            <v>No</v>
          </cell>
          <cell r="BN194" t="str">
            <v>No</v>
          </cell>
          <cell r="BO194" t="str">
            <v>CPay-000000002</v>
          </cell>
        </row>
        <row r="195">
          <cell r="B195" t="str">
            <v>225972</v>
          </cell>
          <cell r="C195" t="str">
            <v>51.0000000000000000</v>
          </cell>
          <cell r="E195" t="str">
            <v>Cust</v>
          </cell>
          <cell r="G195" t="str">
            <v>No</v>
          </cell>
          <cell r="H195" t="str">
            <v>1900-01-01 00:00:00</v>
          </cell>
          <cell r="K195" t="str">
            <v>M-P</v>
          </cell>
          <cell r="L195" t="str">
            <v>3888.540000</v>
          </cell>
          <cell r="AL195" t="str">
            <v>225972</v>
          </cell>
          <cell r="BC195" t="str">
            <v>Cust-PP</v>
          </cell>
          <cell r="BD195" t="str">
            <v>1.9801980198019800</v>
          </cell>
          <cell r="BE195" t="str">
            <v>.0000000000000000</v>
          </cell>
          <cell r="BF195" t="str">
            <v>.0000000000000000</v>
          </cell>
          <cell r="BG195" t="str">
            <v>None</v>
          </cell>
          <cell r="BK195" t="str">
            <v>2025-02-10 00:00:00</v>
          </cell>
          <cell r="BL195" t="str">
            <v>Airport EG-202</v>
          </cell>
          <cell r="BM195" t="str">
            <v>No</v>
          </cell>
          <cell r="BN195" t="str">
            <v>No</v>
          </cell>
          <cell r="BO195" t="str">
            <v>CPay-000000002</v>
          </cell>
        </row>
        <row r="196">
          <cell r="B196" t="str">
            <v>226078</v>
          </cell>
          <cell r="C196" t="str">
            <v>52.0000000000000000</v>
          </cell>
          <cell r="E196" t="str">
            <v>Cust</v>
          </cell>
          <cell r="G196" t="str">
            <v>No</v>
          </cell>
          <cell r="H196" t="str">
            <v>1900-01-01 00:00:00</v>
          </cell>
          <cell r="K196" t="str">
            <v>M-P</v>
          </cell>
          <cell r="L196" t="str">
            <v>1653.000000</v>
          </cell>
          <cell r="AL196" t="str">
            <v>226078</v>
          </cell>
          <cell r="BC196" t="str">
            <v>Cust-PP</v>
          </cell>
          <cell r="BD196" t="str">
            <v>1.9801980198019800</v>
          </cell>
          <cell r="BE196" t="str">
            <v>.0000000000000000</v>
          </cell>
          <cell r="BF196" t="str">
            <v>.0000000000000000</v>
          </cell>
          <cell r="BG196" t="str">
            <v>None</v>
          </cell>
          <cell r="BK196" t="str">
            <v>2025-02-10 00:00:00</v>
          </cell>
          <cell r="BL196" t="str">
            <v>Airport EG-203</v>
          </cell>
          <cell r="BM196" t="str">
            <v>No</v>
          </cell>
          <cell r="BN196" t="str">
            <v>No</v>
          </cell>
          <cell r="BO196" t="str">
            <v>CPay-000000002</v>
          </cell>
        </row>
        <row r="197">
          <cell r="B197" t="str">
            <v>226082</v>
          </cell>
          <cell r="C197" t="str">
            <v>53.0000000000000000</v>
          </cell>
          <cell r="E197" t="str">
            <v>Cust</v>
          </cell>
          <cell r="G197" t="str">
            <v>No</v>
          </cell>
          <cell r="H197" t="str">
            <v>1900-01-01 00:00:00</v>
          </cell>
          <cell r="K197" t="str">
            <v>M-P</v>
          </cell>
          <cell r="L197" t="str">
            <v>370.500000</v>
          </cell>
          <cell r="AL197" t="str">
            <v>226082</v>
          </cell>
          <cell r="BC197" t="str">
            <v>Cust-PP</v>
          </cell>
          <cell r="BD197" t="str">
            <v>1.9801980198019800</v>
          </cell>
          <cell r="BE197" t="str">
            <v>.0000000000000000</v>
          </cell>
          <cell r="BF197" t="str">
            <v>.0000000000000000</v>
          </cell>
          <cell r="BG197" t="str">
            <v>None</v>
          </cell>
          <cell r="BK197" t="str">
            <v>2025-02-10 00:00:00</v>
          </cell>
          <cell r="BL197" t="str">
            <v>Airport EG-204</v>
          </cell>
          <cell r="BM197" t="str">
            <v>No</v>
          </cell>
          <cell r="BN197" t="str">
            <v>No</v>
          </cell>
          <cell r="BO197" t="str">
            <v>CPay-000000002</v>
          </cell>
        </row>
        <row r="198">
          <cell r="B198" t="str">
            <v>226088</v>
          </cell>
          <cell r="C198" t="str">
            <v>54.0000000000000000</v>
          </cell>
          <cell r="E198" t="str">
            <v>Cust</v>
          </cell>
          <cell r="G198" t="str">
            <v>No</v>
          </cell>
          <cell r="H198" t="str">
            <v>1900-01-01 00:00:00</v>
          </cell>
          <cell r="K198" t="str">
            <v>M-P</v>
          </cell>
          <cell r="L198" t="str">
            <v>1653.000000</v>
          </cell>
          <cell r="AL198" t="str">
            <v>226088</v>
          </cell>
          <cell r="BC198" t="str">
            <v>Cust-PP</v>
          </cell>
          <cell r="BD198" t="str">
            <v>1.9801980198019800</v>
          </cell>
          <cell r="BE198" t="str">
            <v>.0000000000000000</v>
          </cell>
          <cell r="BF198" t="str">
            <v>.0000000000000000</v>
          </cell>
          <cell r="BG198" t="str">
            <v>None</v>
          </cell>
          <cell r="BK198" t="str">
            <v>2025-02-10 00:00:00</v>
          </cell>
          <cell r="BL198" t="str">
            <v>Airport EG-205</v>
          </cell>
          <cell r="BM198" t="str">
            <v>No</v>
          </cell>
          <cell r="BN198" t="str">
            <v>No</v>
          </cell>
          <cell r="BO198" t="str">
            <v>CPay-000000002</v>
          </cell>
        </row>
        <row r="199">
          <cell r="B199" t="str">
            <v>226091</v>
          </cell>
          <cell r="C199" t="str">
            <v>55.0000000000000000</v>
          </cell>
          <cell r="E199" t="str">
            <v>Cust</v>
          </cell>
          <cell r="G199" t="str">
            <v>No</v>
          </cell>
          <cell r="H199" t="str">
            <v>1900-01-01 00:00:00</v>
          </cell>
          <cell r="K199" t="str">
            <v>M-P</v>
          </cell>
          <cell r="L199" t="str">
            <v>199.500000</v>
          </cell>
          <cell r="AL199" t="str">
            <v>226091</v>
          </cell>
          <cell r="BC199" t="str">
            <v>Cust-PP</v>
          </cell>
          <cell r="BD199" t="str">
            <v>1.9801980198019800</v>
          </cell>
          <cell r="BE199" t="str">
            <v>.0000000000000000</v>
          </cell>
          <cell r="BF199" t="str">
            <v>.0000000000000000</v>
          </cell>
          <cell r="BG199" t="str">
            <v>None</v>
          </cell>
          <cell r="BK199" t="str">
            <v>2025-02-10 00:00:00</v>
          </cell>
          <cell r="BL199" t="str">
            <v>Airport EG-206</v>
          </cell>
          <cell r="BM199" t="str">
            <v>No</v>
          </cell>
          <cell r="BN199" t="str">
            <v>No</v>
          </cell>
          <cell r="BO199" t="str">
            <v>CPay-000000002</v>
          </cell>
        </row>
        <row r="200">
          <cell r="B200" t="str">
            <v>226118</v>
          </cell>
          <cell r="C200" t="str">
            <v>56.0000000000000000</v>
          </cell>
          <cell r="E200" t="str">
            <v>Cust</v>
          </cell>
          <cell r="G200" t="str">
            <v>No</v>
          </cell>
          <cell r="H200" t="str">
            <v>1900-01-01 00:00:00</v>
          </cell>
          <cell r="K200" t="str">
            <v>M-P</v>
          </cell>
          <cell r="L200" t="str">
            <v>2052.000000</v>
          </cell>
          <cell r="AL200" t="str">
            <v>226118</v>
          </cell>
          <cell r="BC200" t="str">
            <v>Cust-PP</v>
          </cell>
          <cell r="BD200" t="str">
            <v>1.9801980198019800</v>
          </cell>
          <cell r="BE200" t="str">
            <v>.0000000000000000</v>
          </cell>
          <cell r="BF200" t="str">
            <v>.0000000000000000</v>
          </cell>
          <cell r="BG200" t="str">
            <v>None</v>
          </cell>
          <cell r="BK200" t="str">
            <v>2025-02-10 00:00:00</v>
          </cell>
          <cell r="BL200" t="str">
            <v>Airport EG-207</v>
          </cell>
          <cell r="BM200" t="str">
            <v>No</v>
          </cell>
          <cell r="BN200" t="str">
            <v>No</v>
          </cell>
          <cell r="BO200" t="str">
            <v>CPay-000000002</v>
          </cell>
        </row>
        <row r="201">
          <cell r="B201" t="str">
            <v>226119</v>
          </cell>
          <cell r="C201" t="str">
            <v>57.0000000000000000</v>
          </cell>
          <cell r="E201" t="str">
            <v>Cust</v>
          </cell>
          <cell r="G201" t="str">
            <v>No</v>
          </cell>
          <cell r="H201" t="str">
            <v>1900-01-01 00:00:00</v>
          </cell>
          <cell r="K201" t="str">
            <v>M-P</v>
          </cell>
          <cell r="L201" t="str">
            <v>199.500000</v>
          </cell>
          <cell r="AL201" t="str">
            <v>226119</v>
          </cell>
          <cell r="BC201" t="str">
            <v>Cust-PP</v>
          </cell>
          <cell r="BD201" t="str">
            <v>1.9801980198019800</v>
          </cell>
          <cell r="BE201" t="str">
            <v>.0000000000000000</v>
          </cell>
          <cell r="BF201" t="str">
            <v>.0000000000000000</v>
          </cell>
          <cell r="BG201" t="str">
            <v>None</v>
          </cell>
          <cell r="BK201" t="str">
            <v>2025-02-10 00:00:00</v>
          </cell>
          <cell r="BL201" t="str">
            <v>Airport EG-208</v>
          </cell>
          <cell r="BM201" t="str">
            <v>No</v>
          </cell>
          <cell r="BN201" t="str">
            <v>No</v>
          </cell>
          <cell r="BO201" t="str">
            <v>CPay-000000002</v>
          </cell>
        </row>
        <row r="202">
          <cell r="B202" t="str">
            <v>317201</v>
          </cell>
          <cell r="C202" t="str">
            <v>58.0000000000000000</v>
          </cell>
          <cell r="E202" t="str">
            <v>Cust</v>
          </cell>
          <cell r="G202" t="str">
            <v>No</v>
          </cell>
          <cell r="H202" t="str">
            <v>1900-01-01 00:00:00</v>
          </cell>
          <cell r="K202" t="str">
            <v>M-P</v>
          </cell>
          <cell r="L202" t="str">
            <v>626.500000</v>
          </cell>
          <cell r="AL202" t="str">
            <v>317201</v>
          </cell>
          <cell r="BC202" t="str">
            <v>Cust-PP</v>
          </cell>
          <cell r="BD202" t="str">
            <v>100.0000000000000000</v>
          </cell>
          <cell r="BE202" t="str">
            <v>.0000000000000000</v>
          </cell>
          <cell r="BF202" t="str">
            <v>.0000000000000000</v>
          </cell>
          <cell r="BG202" t="str">
            <v>None</v>
          </cell>
          <cell r="BK202" t="str">
            <v>2025-02-10 00:00:00</v>
          </cell>
          <cell r="BL202" t="str">
            <v>Airport EG-198</v>
          </cell>
          <cell r="BM202" t="str">
            <v>No</v>
          </cell>
          <cell r="BN202" t="str">
            <v>No</v>
          </cell>
          <cell r="BO202" t="str">
            <v>CPay-000000002</v>
          </cell>
        </row>
        <row r="203">
          <cell r="B203" t="str">
            <v>226187</v>
          </cell>
          <cell r="C203" t="str">
            <v>59.0000000000000000</v>
          </cell>
          <cell r="E203" t="str">
            <v>Cust</v>
          </cell>
          <cell r="G203" t="str">
            <v>No</v>
          </cell>
          <cell r="H203" t="str">
            <v>1900-01-01 00:00:00</v>
          </cell>
          <cell r="K203" t="str">
            <v>M-P</v>
          </cell>
          <cell r="L203" t="str">
            <v>2052.000000</v>
          </cell>
          <cell r="AL203" t="str">
            <v>226187</v>
          </cell>
          <cell r="BC203" t="str">
            <v>Cust-PP</v>
          </cell>
          <cell r="BD203" t="str">
            <v>1.9801980198019800</v>
          </cell>
          <cell r="BE203" t="str">
            <v>.0000000000000000</v>
          </cell>
          <cell r="BF203" t="str">
            <v>.0000000000000000</v>
          </cell>
          <cell r="BG203" t="str">
            <v>None</v>
          </cell>
          <cell r="BK203" t="str">
            <v>2025-02-11 00:00:00</v>
          </cell>
          <cell r="BL203" t="str">
            <v>Airport EG-210</v>
          </cell>
          <cell r="BM203" t="str">
            <v>No</v>
          </cell>
          <cell r="BN203" t="str">
            <v>No</v>
          </cell>
          <cell r="BO203" t="str">
            <v>CPay-000000002</v>
          </cell>
        </row>
        <row r="204">
          <cell r="B204" t="str">
            <v>226188</v>
          </cell>
          <cell r="C204" t="str">
            <v>60.0000000000000000</v>
          </cell>
          <cell r="E204" t="str">
            <v>Cust</v>
          </cell>
          <cell r="G204" t="str">
            <v>No</v>
          </cell>
          <cell r="H204" t="str">
            <v>1900-01-01 00:00:00</v>
          </cell>
          <cell r="K204" t="str">
            <v>M-P</v>
          </cell>
          <cell r="L204" t="str">
            <v>1918.620000</v>
          </cell>
          <cell r="AL204" t="str">
            <v>226188</v>
          </cell>
          <cell r="BC204" t="str">
            <v>Cust-PP</v>
          </cell>
          <cell r="BD204" t="str">
            <v>1.9801980198019800</v>
          </cell>
          <cell r="BE204" t="str">
            <v>.0000000000000000</v>
          </cell>
          <cell r="BF204" t="str">
            <v>.0000000000000000</v>
          </cell>
          <cell r="BG204" t="str">
            <v>None</v>
          </cell>
          <cell r="BK204" t="str">
            <v>2025-02-11 00:00:00</v>
          </cell>
          <cell r="BL204" t="str">
            <v>Airport EG-211</v>
          </cell>
          <cell r="BM204" t="str">
            <v>No</v>
          </cell>
          <cell r="BN204" t="str">
            <v>No</v>
          </cell>
          <cell r="BO204" t="str">
            <v>CPay-000000002</v>
          </cell>
        </row>
        <row r="205">
          <cell r="B205" t="str">
            <v>226216</v>
          </cell>
          <cell r="C205" t="str">
            <v>61.0000000000000000</v>
          </cell>
          <cell r="E205" t="str">
            <v>Cust</v>
          </cell>
          <cell r="G205" t="str">
            <v>No</v>
          </cell>
          <cell r="H205" t="str">
            <v>1900-01-01 00:00:00</v>
          </cell>
          <cell r="K205" t="str">
            <v>M-P</v>
          </cell>
          <cell r="L205" t="str">
            <v>2052.000000</v>
          </cell>
          <cell r="AL205" t="str">
            <v>226216</v>
          </cell>
          <cell r="BC205" t="str">
            <v>Cust-PP</v>
          </cell>
          <cell r="BD205" t="str">
            <v>1.9801980198019800</v>
          </cell>
          <cell r="BE205" t="str">
            <v>.0000000000000000</v>
          </cell>
          <cell r="BF205" t="str">
            <v>.0000000000000000</v>
          </cell>
          <cell r="BG205" t="str">
            <v>None</v>
          </cell>
          <cell r="BK205" t="str">
            <v>2025-02-11 00:00:00</v>
          </cell>
          <cell r="BL205" t="str">
            <v>Airport EG-213</v>
          </cell>
          <cell r="BM205" t="str">
            <v>No</v>
          </cell>
          <cell r="BN205" t="str">
            <v>No</v>
          </cell>
          <cell r="BO205" t="str">
            <v>CPay-000000002</v>
          </cell>
        </row>
        <row r="206">
          <cell r="B206" t="str">
            <v>226217</v>
          </cell>
          <cell r="C206" t="str">
            <v>62.0000000000000000</v>
          </cell>
          <cell r="E206" t="str">
            <v>Cust</v>
          </cell>
          <cell r="G206" t="str">
            <v>No</v>
          </cell>
          <cell r="H206" t="str">
            <v>1900-01-01 00:00:00</v>
          </cell>
          <cell r="K206" t="str">
            <v>M-P</v>
          </cell>
          <cell r="L206" t="str">
            <v>1488.160000</v>
          </cell>
          <cell r="AL206" t="str">
            <v>226217</v>
          </cell>
          <cell r="BC206" t="str">
            <v>Cust-PP</v>
          </cell>
          <cell r="BD206" t="str">
            <v>1.9801980198019800</v>
          </cell>
          <cell r="BE206" t="str">
            <v>.0000000000000000</v>
          </cell>
          <cell r="BF206" t="str">
            <v>.0000000000000000</v>
          </cell>
          <cell r="BG206" t="str">
            <v>None</v>
          </cell>
          <cell r="BK206" t="str">
            <v>2025-02-11 00:00:00</v>
          </cell>
          <cell r="BL206" t="str">
            <v>Airport EG-214</v>
          </cell>
          <cell r="BM206" t="str">
            <v>No</v>
          </cell>
          <cell r="BN206" t="str">
            <v>No</v>
          </cell>
          <cell r="BO206" t="str">
            <v>CPay-000000002</v>
          </cell>
        </row>
        <row r="207">
          <cell r="B207" t="str">
            <v>226218</v>
          </cell>
          <cell r="C207" t="str">
            <v>63.0000000000000000</v>
          </cell>
          <cell r="E207" t="str">
            <v>Cust</v>
          </cell>
          <cell r="G207" t="str">
            <v>No</v>
          </cell>
          <cell r="H207" t="str">
            <v>1900-01-01 00:00:00</v>
          </cell>
          <cell r="K207" t="str">
            <v>M-P</v>
          </cell>
          <cell r="L207" t="str">
            <v>2052.000000</v>
          </cell>
          <cell r="AL207" t="str">
            <v>226218</v>
          </cell>
          <cell r="BC207" t="str">
            <v>Cust-PP</v>
          </cell>
          <cell r="BD207" t="str">
            <v>1.9801980198019800</v>
          </cell>
          <cell r="BE207" t="str">
            <v>.0000000000000000</v>
          </cell>
          <cell r="BF207" t="str">
            <v>.0000000000000000</v>
          </cell>
          <cell r="BG207" t="str">
            <v>None</v>
          </cell>
          <cell r="BK207" t="str">
            <v>2025-02-11 00:00:00</v>
          </cell>
          <cell r="BL207" t="str">
            <v>Airport EG-215</v>
          </cell>
          <cell r="BM207" t="str">
            <v>No</v>
          </cell>
          <cell r="BN207" t="str">
            <v>No</v>
          </cell>
          <cell r="BO207" t="str">
            <v>CPay-000000002</v>
          </cell>
        </row>
        <row r="208">
          <cell r="B208" t="str">
            <v>226219</v>
          </cell>
          <cell r="C208" t="str">
            <v>64.0000000000000000</v>
          </cell>
          <cell r="E208" t="str">
            <v>Cust</v>
          </cell>
          <cell r="G208" t="str">
            <v>No</v>
          </cell>
          <cell r="H208" t="str">
            <v>1900-01-01 00:00:00</v>
          </cell>
          <cell r="K208" t="str">
            <v>M-P</v>
          </cell>
          <cell r="L208" t="str">
            <v>498.180000</v>
          </cell>
          <cell r="AL208" t="str">
            <v>226219</v>
          </cell>
          <cell r="BC208" t="str">
            <v>Cust-PP</v>
          </cell>
          <cell r="BD208" t="str">
            <v>1.9801980198019800</v>
          </cell>
          <cell r="BE208" t="str">
            <v>.0000000000000000</v>
          </cell>
          <cell r="BF208" t="str">
            <v>.0000000000000000</v>
          </cell>
          <cell r="BG208" t="str">
            <v>None</v>
          </cell>
          <cell r="BK208" t="str">
            <v>2025-02-11 00:00:00</v>
          </cell>
          <cell r="BL208" t="str">
            <v>Airport EG-216</v>
          </cell>
          <cell r="BM208" t="str">
            <v>No</v>
          </cell>
          <cell r="BN208" t="str">
            <v>No</v>
          </cell>
          <cell r="BO208" t="str">
            <v>CPay-000000002</v>
          </cell>
        </row>
        <row r="209">
          <cell r="B209" t="str">
            <v>226245</v>
          </cell>
          <cell r="C209" t="str">
            <v>65.0000000000000000</v>
          </cell>
          <cell r="E209" t="str">
            <v>Cust</v>
          </cell>
          <cell r="G209" t="str">
            <v>No</v>
          </cell>
          <cell r="H209" t="str">
            <v>1900-01-01 00:00:00</v>
          </cell>
          <cell r="K209" t="str">
            <v>M-P</v>
          </cell>
          <cell r="L209" t="str">
            <v>1653.000000</v>
          </cell>
          <cell r="AL209" t="str">
            <v>226245</v>
          </cell>
          <cell r="BC209" t="str">
            <v>Cust-PP</v>
          </cell>
          <cell r="BD209" t="str">
            <v>1.9801980198019800</v>
          </cell>
          <cell r="BE209" t="str">
            <v>.0000000000000000</v>
          </cell>
          <cell r="BF209" t="str">
            <v>.0000000000000000</v>
          </cell>
          <cell r="BG209" t="str">
            <v>None</v>
          </cell>
          <cell r="BK209" t="str">
            <v>2025-02-12 00:00:00</v>
          </cell>
          <cell r="BL209" t="str">
            <v>Airport EG-218</v>
          </cell>
          <cell r="BM209" t="str">
            <v>No</v>
          </cell>
          <cell r="BN209" t="str">
            <v>No</v>
          </cell>
          <cell r="BO209" t="str">
            <v>CPay-000000002</v>
          </cell>
        </row>
        <row r="210">
          <cell r="B210" t="str">
            <v>226246</v>
          </cell>
          <cell r="C210" t="str">
            <v>66.0000000000000000</v>
          </cell>
          <cell r="E210" t="str">
            <v>Cust</v>
          </cell>
          <cell r="G210" t="str">
            <v>No</v>
          </cell>
          <cell r="H210" t="str">
            <v>1900-01-01 00:00:00</v>
          </cell>
          <cell r="K210" t="str">
            <v>M-P</v>
          </cell>
          <cell r="L210" t="str">
            <v>912.000000</v>
          </cell>
          <cell r="AL210" t="str">
            <v>226246</v>
          </cell>
          <cell r="BC210" t="str">
            <v>Cust-PP</v>
          </cell>
          <cell r="BD210" t="str">
            <v>1.9801980198019800</v>
          </cell>
          <cell r="BE210" t="str">
            <v>.0000000000000000</v>
          </cell>
          <cell r="BF210" t="str">
            <v>.0000000000000000</v>
          </cell>
          <cell r="BG210" t="str">
            <v>None</v>
          </cell>
          <cell r="BK210" t="str">
            <v>2025-02-12 00:00:00</v>
          </cell>
          <cell r="BL210" t="str">
            <v>Airport EG-219</v>
          </cell>
          <cell r="BM210" t="str">
            <v>No</v>
          </cell>
          <cell r="BN210" t="str">
            <v>No</v>
          </cell>
          <cell r="BO210" t="str">
            <v>CPay-000000002</v>
          </cell>
        </row>
        <row r="211">
          <cell r="B211" t="str">
            <v>226301</v>
          </cell>
          <cell r="C211" t="str">
            <v>67.0000000000000000</v>
          </cell>
          <cell r="E211" t="str">
            <v>Cust</v>
          </cell>
          <cell r="G211" t="str">
            <v>No</v>
          </cell>
          <cell r="H211" t="str">
            <v>1900-01-01 00:00:00</v>
          </cell>
          <cell r="K211" t="str">
            <v>M-P</v>
          </cell>
          <cell r="L211" t="str">
            <v>2052.000000</v>
          </cell>
          <cell r="AL211" t="str">
            <v>226301</v>
          </cell>
          <cell r="BC211" t="str">
            <v>Cust-PP</v>
          </cell>
          <cell r="BD211" t="str">
            <v>1.9801980198019800</v>
          </cell>
          <cell r="BE211" t="str">
            <v>.0000000000000000</v>
          </cell>
          <cell r="BF211" t="str">
            <v>.0000000000000000</v>
          </cell>
          <cell r="BG211" t="str">
            <v>None</v>
          </cell>
          <cell r="BK211" t="str">
            <v>2025-02-12 00:00:00</v>
          </cell>
          <cell r="BL211" t="str">
            <v>Airport EG-221</v>
          </cell>
          <cell r="BM211" t="str">
            <v>No</v>
          </cell>
          <cell r="BN211" t="str">
            <v>No</v>
          </cell>
          <cell r="BO211" t="str">
            <v>CPay-000000002</v>
          </cell>
        </row>
        <row r="212">
          <cell r="B212" t="str">
            <v>226302</v>
          </cell>
          <cell r="C212" t="str">
            <v>68.0000000000000000</v>
          </cell>
          <cell r="E212" t="str">
            <v>Cust</v>
          </cell>
          <cell r="G212" t="str">
            <v>No</v>
          </cell>
          <cell r="H212" t="str">
            <v>1900-01-01 00:00:00</v>
          </cell>
          <cell r="K212" t="str">
            <v>M-P</v>
          </cell>
          <cell r="L212" t="str">
            <v>878.940000</v>
          </cell>
          <cell r="AL212" t="str">
            <v>226302</v>
          </cell>
          <cell r="BC212" t="str">
            <v>Cust-PP</v>
          </cell>
          <cell r="BD212" t="str">
            <v>1.9801980198019800</v>
          </cell>
          <cell r="BE212" t="str">
            <v>.0000000000000000</v>
          </cell>
          <cell r="BF212" t="str">
            <v>.0000000000000000</v>
          </cell>
          <cell r="BG212" t="str">
            <v>None</v>
          </cell>
          <cell r="BK212" t="str">
            <v>2025-02-12 00:00:00</v>
          </cell>
          <cell r="BL212" t="str">
            <v>Airport EG-222</v>
          </cell>
          <cell r="BM212" t="str">
            <v>No</v>
          </cell>
          <cell r="BN212" t="str">
            <v>No</v>
          </cell>
          <cell r="BO212" t="str">
            <v>CPay-000000002</v>
          </cell>
        </row>
        <row r="213">
          <cell r="B213" t="str">
            <v>226305</v>
          </cell>
          <cell r="C213" t="str">
            <v>69.0000000000000000</v>
          </cell>
          <cell r="E213" t="str">
            <v>Cust</v>
          </cell>
          <cell r="G213" t="str">
            <v>No</v>
          </cell>
          <cell r="H213" t="str">
            <v>1900-01-01 00:00:00</v>
          </cell>
          <cell r="K213" t="str">
            <v>M-P</v>
          </cell>
          <cell r="L213" t="str">
            <v>262.200000</v>
          </cell>
          <cell r="AL213" t="str">
            <v>226305</v>
          </cell>
          <cell r="BC213" t="str">
            <v>Cust-PP</v>
          </cell>
          <cell r="BD213" t="str">
            <v>1.9801980198019800</v>
          </cell>
          <cell r="BE213" t="str">
            <v>.0000000000000000</v>
          </cell>
          <cell r="BF213" t="str">
            <v>.0000000000000000</v>
          </cell>
          <cell r="BG213" t="str">
            <v>None</v>
          </cell>
          <cell r="BK213" t="str">
            <v>2025-02-12 00:00:00</v>
          </cell>
          <cell r="BL213" t="str">
            <v>Airport EG-223</v>
          </cell>
          <cell r="BM213" t="str">
            <v>No</v>
          </cell>
          <cell r="BN213" t="str">
            <v>No</v>
          </cell>
          <cell r="BO213" t="str">
            <v>CPay-000000002</v>
          </cell>
        </row>
        <row r="214">
          <cell r="B214" t="str">
            <v>226457</v>
          </cell>
          <cell r="C214" t="str">
            <v>70.0000000000000000</v>
          </cell>
          <cell r="E214" t="str">
            <v>Cust</v>
          </cell>
          <cell r="G214" t="str">
            <v>No</v>
          </cell>
          <cell r="H214" t="str">
            <v>1900-01-01 00:00:00</v>
          </cell>
          <cell r="K214" t="str">
            <v>M-P</v>
          </cell>
          <cell r="L214" t="str">
            <v>1653.000000</v>
          </cell>
          <cell r="AL214" t="str">
            <v>226457</v>
          </cell>
          <cell r="BC214" t="str">
            <v>Cust-PP</v>
          </cell>
          <cell r="BD214" t="str">
            <v>1.9801980198019800</v>
          </cell>
          <cell r="BE214" t="str">
            <v>.0000000000000000</v>
          </cell>
          <cell r="BF214" t="str">
            <v>.0000000000000000</v>
          </cell>
          <cell r="BG214" t="str">
            <v>None</v>
          </cell>
          <cell r="BK214" t="str">
            <v>2025-02-13 00:00:00</v>
          </cell>
          <cell r="BL214" t="str">
            <v>Airport EG-224</v>
          </cell>
          <cell r="BM214" t="str">
            <v>No</v>
          </cell>
          <cell r="BN214" t="str">
            <v>No</v>
          </cell>
          <cell r="BO214" t="str">
            <v>CPay-000000002</v>
          </cell>
        </row>
        <row r="215">
          <cell r="B215" t="str">
            <v>226458</v>
          </cell>
          <cell r="C215" t="str">
            <v>71.0000000000000000</v>
          </cell>
          <cell r="E215" t="str">
            <v>Cust</v>
          </cell>
          <cell r="G215" t="str">
            <v>No</v>
          </cell>
          <cell r="H215" t="str">
            <v>1900-01-01 00:00:00</v>
          </cell>
          <cell r="K215" t="str">
            <v>M-P</v>
          </cell>
          <cell r="L215" t="str">
            <v>199.500000</v>
          </cell>
          <cell r="AL215" t="str">
            <v>226458</v>
          </cell>
          <cell r="BC215" t="str">
            <v>Cust-PP</v>
          </cell>
          <cell r="BD215" t="str">
            <v>1.9801980198019800</v>
          </cell>
          <cell r="BE215" t="str">
            <v>.0000000000000000</v>
          </cell>
          <cell r="BF215" t="str">
            <v>.0000000000000000</v>
          </cell>
          <cell r="BG215" t="str">
            <v>None</v>
          </cell>
          <cell r="BK215" t="str">
            <v>2025-02-13 00:00:00</v>
          </cell>
          <cell r="BL215" t="str">
            <v>Airport EG-225</v>
          </cell>
          <cell r="BM215" t="str">
            <v>No</v>
          </cell>
          <cell r="BN215" t="str">
            <v>No</v>
          </cell>
          <cell r="BO215" t="str">
            <v>CPay-000000002</v>
          </cell>
        </row>
        <row r="216">
          <cell r="B216" t="str">
            <v>226535</v>
          </cell>
          <cell r="C216" t="str">
            <v>72.0000000000000000</v>
          </cell>
          <cell r="E216" t="str">
            <v>Cust</v>
          </cell>
          <cell r="G216" t="str">
            <v>No</v>
          </cell>
          <cell r="H216" t="str">
            <v>1900-01-01 00:00:00</v>
          </cell>
          <cell r="K216" t="str">
            <v>M-P</v>
          </cell>
          <cell r="L216" t="str">
            <v>1653.000000</v>
          </cell>
          <cell r="AL216" t="str">
            <v>226535</v>
          </cell>
          <cell r="BC216" t="str">
            <v>Cust-PP</v>
          </cell>
          <cell r="BD216" t="str">
            <v>1.9801980198019800</v>
          </cell>
          <cell r="BE216" t="str">
            <v>.0000000000000000</v>
          </cell>
          <cell r="BF216" t="str">
            <v>.0000000000000000</v>
          </cell>
          <cell r="BG216" t="str">
            <v>None</v>
          </cell>
          <cell r="BK216" t="str">
            <v>2025-02-13 00:00:00</v>
          </cell>
          <cell r="BL216" t="str">
            <v>Airport EG-226</v>
          </cell>
          <cell r="BM216" t="str">
            <v>No</v>
          </cell>
          <cell r="BN216" t="str">
            <v>No</v>
          </cell>
          <cell r="BO216" t="str">
            <v>CPay-000000002</v>
          </cell>
        </row>
        <row r="217">
          <cell r="B217" t="str">
            <v>226536</v>
          </cell>
          <cell r="C217" t="str">
            <v>73.0000000000000000</v>
          </cell>
          <cell r="E217" t="str">
            <v>Cust</v>
          </cell>
          <cell r="G217" t="str">
            <v>No</v>
          </cell>
          <cell r="H217" t="str">
            <v>1900-01-01 00:00:00</v>
          </cell>
          <cell r="K217" t="str">
            <v>M-P</v>
          </cell>
          <cell r="L217" t="str">
            <v>769.500000</v>
          </cell>
          <cell r="AL217" t="str">
            <v>226536</v>
          </cell>
          <cell r="BC217" t="str">
            <v>Cust-PP</v>
          </cell>
          <cell r="BD217" t="str">
            <v>1.9801980198019800</v>
          </cell>
          <cell r="BE217" t="str">
            <v>.0000000000000000</v>
          </cell>
          <cell r="BF217" t="str">
            <v>.0000000000000000</v>
          </cell>
          <cell r="BG217" t="str">
            <v>None</v>
          </cell>
          <cell r="BK217" t="str">
            <v>2025-02-13 00:00:00</v>
          </cell>
          <cell r="BL217" t="str">
            <v>Airport EG-227</v>
          </cell>
          <cell r="BM217" t="str">
            <v>No</v>
          </cell>
          <cell r="BN217" t="str">
            <v>No</v>
          </cell>
          <cell r="BO217" t="str">
            <v>CPay-000000002</v>
          </cell>
        </row>
        <row r="218">
          <cell r="B218" t="str">
            <v>226537</v>
          </cell>
          <cell r="C218" t="str">
            <v>74.0000000000000000</v>
          </cell>
          <cell r="E218" t="str">
            <v>Cust</v>
          </cell>
          <cell r="G218" t="str">
            <v>No</v>
          </cell>
          <cell r="H218" t="str">
            <v>1900-01-01 00:00:00</v>
          </cell>
          <cell r="K218" t="str">
            <v>M-P</v>
          </cell>
          <cell r="L218" t="str">
            <v>1653.000000</v>
          </cell>
          <cell r="AL218" t="str">
            <v>226537</v>
          </cell>
          <cell r="BC218" t="str">
            <v>Cust-PP</v>
          </cell>
          <cell r="BD218" t="str">
            <v>1.9801980198019800</v>
          </cell>
          <cell r="BE218" t="str">
            <v>.0000000000000000</v>
          </cell>
          <cell r="BF218" t="str">
            <v>.0000000000000000</v>
          </cell>
          <cell r="BG218" t="str">
            <v>None</v>
          </cell>
          <cell r="BK218" t="str">
            <v>2025-02-13 00:00:00</v>
          </cell>
          <cell r="BL218" t="str">
            <v>Airport EG-228</v>
          </cell>
          <cell r="BM218" t="str">
            <v>No</v>
          </cell>
          <cell r="BN218" t="str">
            <v>No</v>
          </cell>
          <cell r="BO218" t="str">
            <v>CPay-000000002</v>
          </cell>
        </row>
        <row r="219">
          <cell r="B219" t="str">
            <v>226538</v>
          </cell>
          <cell r="C219" t="str">
            <v>75.0000000000000000</v>
          </cell>
          <cell r="E219" t="str">
            <v>Cust</v>
          </cell>
          <cell r="G219" t="str">
            <v>No</v>
          </cell>
          <cell r="H219" t="str">
            <v>1900-01-01 00:00:00</v>
          </cell>
          <cell r="K219" t="str">
            <v>M-P</v>
          </cell>
          <cell r="L219" t="str">
            <v>377.570000</v>
          </cell>
          <cell r="AL219" t="str">
            <v>226538</v>
          </cell>
          <cell r="BC219" t="str">
            <v>Cust-PP</v>
          </cell>
          <cell r="BD219" t="str">
            <v>1.9801980198019800</v>
          </cell>
          <cell r="BE219" t="str">
            <v>.0000000000000000</v>
          </cell>
          <cell r="BF219" t="str">
            <v>.0000000000000000</v>
          </cell>
          <cell r="BG219" t="str">
            <v>None</v>
          </cell>
          <cell r="BK219" t="str">
            <v>2025-02-13 00:00:00</v>
          </cell>
          <cell r="BL219" t="str">
            <v>Airport EG-229</v>
          </cell>
          <cell r="BM219" t="str">
            <v>No</v>
          </cell>
          <cell r="BN219" t="str">
            <v>No</v>
          </cell>
          <cell r="BO219" t="str">
            <v>CPay-000000002</v>
          </cell>
        </row>
        <row r="220">
          <cell r="B220" t="str">
            <v>226540</v>
          </cell>
          <cell r="C220" t="str">
            <v>76.0000000000000000</v>
          </cell>
          <cell r="E220" t="str">
            <v>Cust</v>
          </cell>
          <cell r="G220" t="str">
            <v>No</v>
          </cell>
          <cell r="H220" t="str">
            <v>1900-01-01 00:00:00</v>
          </cell>
          <cell r="K220" t="str">
            <v>M-P</v>
          </cell>
          <cell r="L220" t="str">
            <v>1653.000000</v>
          </cell>
          <cell r="AL220" t="str">
            <v>226540</v>
          </cell>
          <cell r="BC220" t="str">
            <v>Cust-PP</v>
          </cell>
          <cell r="BD220" t="str">
            <v>1.9801980198019800</v>
          </cell>
          <cell r="BE220" t="str">
            <v>.0000000000000000</v>
          </cell>
          <cell r="BF220" t="str">
            <v>.0000000000000000</v>
          </cell>
          <cell r="BG220" t="str">
            <v>None</v>
          </cell>
          <cell r="BK220" t="str">
            <v>2025-02-13 00:00:00</v>
          </cell>
          <cell r="BL220" t="str">
            <v>Airport EG-230</v>
          </cell>
          <cell r="BM220" t="str">
            <v>No</v>
          </cell>
          <cell r="BN220" t="str">
            <v>No</v>
          </cell>
          <cell r="BO220" t="str">
            <v>CPay-000000002</v>
          </cell>
        </row>
        <row r="221">
          <cell r="B221" t="str">
            <v>226542</v>
          </cell>
          <cell r="C221" t="str">
            <v>77.0000000000000000</v>
          </cell>
          <cell r="E221" t="str">
            <v>Cust</v>
          </cell>
          <cell r="G221" t="str">
            <v>No</v>
          </cell>
          <cell r="H221" t="str">
            <v>1900-01-01 00:00:00</v>
          </cell>
          <cell r="K221" t="str">
            <v>M-P</v>
          </cell>
          <cell r="L221" t="str">
            <v>456.000000</v>
          </cell>
          <cell r="AL221" t="str">
            <v>226542</v>
          </cell>
          <cell r="BC221" t="str">
            <v>Cust-PP</v>
          </cell>
          <cell r="BD221" t="str">
            <v>1.9801980198019800</v>
          </cell>
          <cell r="BE221" t="str">
            <v>.0000000000000000</v>
          </cell>
          <cell r="BF221" t="str">
            <v>.0000000000000000</v>
          </cell>
          <cell r="BG221" t="str">
            <v>None</v>
          </cell>
          <cell r="BK221" t="str">
            <v>2025-02-13 00:00:00</v>
          </cell>
          <cell r="BL221" t="str">
            <v>Airport EG-231</v>
          </cell>
          <cell r="BM221" t="str">
            <v>No</v>
          </cell>
          <cell r="BN221" t="str">
            <v>No</v>
          </cell>
          <cell r="BO221" t="str">
            <v>CPay-000000002</v>
          </cell>
        </row>
        <row r="222">
          <cell r="B222" t="str">
            <v>226629</v>
          </cell>
          <cell r="C222" t="str">
            <v>78.0000000000000000</v>
          </cell>
          <cell r="E222" t="str">
            <v>Cust</v>
          </cell>
          <cell r="G222" t="str">
            <v>No</v>
          </cell>
          <cell r="H222" t="str">
            <v>1900-01-01 00:00:00</v>
          </cell>
          <cell r="K222" t="str">
            <v>M-P</v>
          </cell>
          <cell r="L222" t="str">
            <v>1653.000000</v>
          </cell>
          <cell r="AL222" t="str">
            <v>226629</v>
          </cell>
          <cell r="BC222" t="str">
            <v>Cust-PP</v>
          </cell>
          <cell r="BD222" t="str">
            <v>1.9801980198019800</v>
          </cell>
          <cell r="BE222" t="str">
            <v>.0000000000000000</v>
          </cell>
          <cell r="BF222" t="str">
            <v>.0000000000000000</v>
          </cell>
          <cell r="BG222" t="str">
            <v>None</v>
          </cell>
          <cell r="BK222" t="str">
            <v>2025-02-15 00:00:00</v>
          </cell>
          <cell r="BL222" t="str">
            <v>Airport EG-232</v>
          </cell>
          <cell r="BM222" t="str">
            <v>No</v>
          </cell>
          <cell r="BN222" t="str">
            <v>No</v>
          </cell>
          <cell r="BO222" t="str">
            <v>CPay-000000002</v>
          </cell>
        </row>
        <row r="223">
          <cell r="B223" t="str">
            <v>226630</v>
          </cell>
          <cell r="C223" t="str">
            <v>79.0000000000000000</v>
          </cell>
          <cell r="E223" t="str">
            <v>Cust</v>
          </cell>
          <cell r="G223" t="str">
            <v>No</v>
          </cell>
          <cell r="H223" t="str">
            <v>1900-01-01 00:00:00</v>
          </cell>
          <cell r="K223" t="str">
            <v>M-P</v>
          </cell>
          <cell r="L223" t="str">
            <v>626.660000</v>
          </cell>
          <cell r="AL223" t="str">
            <v>226630</v>
          </cell>
          <cell r="BC223" t="str">
            <v>Cust-PP</v>
          </cell>
          <cell r="BD223" t="str">
            <v>1.9801980198019800</v>
          </cell>
          <cell r="BE223" t="str">
            <v>.0000000000000000</v>
          </cell>
          <cell r="BF223" t="str">
            <v>.0000000000000000</v>
          </cell>
          <cell r="BG223" t="str">
            <v>None</v>
          </cell>
          <cell r="BK223" t="str">
            <v>2025-02-15 00:00:00</v>
          </cell>
          <cell r="BL223" t="str">
            <v>Airport EG-233</v>
          </cell>
          <cell r="BM223" t="str">
            <v>No</v>
          </cell>
          <cell r="BN223" t="str">
            <v>No</v>
          </cell>
          <cell r="BO223" t="str">
            <v>CPay-000000002</v>
          </cell>
        </row>
        <row r="224">
          <cell r="B224" t="str">
            <v>226631</v>
          </cell>
          <cell r="C224" t="str">
            <v>80.0000000000000000</v>
          </cell>
          <cell r="E224" t="str">
            <v>Cust</v>
          </cell>
          <cell r="G224" t="str">
            <v>No</v>
          </cell>
          <cell r="H224" t="str">
            <v>1900-01-01 00:00:00</v>
          </cell>
          <cell r="K224" t="str">
            <v>M-P</v>
          </cell>
          <cell r="L224" t="str">
            <v>1653.000000</v>
          </cell>
          <cell r="AL224" t="str">
            <v>226631</v>
          </cell>
          <cell r="BC224" t="str">
            <v>Cust-PP</v>
          </cell>
          <cell r="BD224" t="str">
            <v>1.9801980198019800</v>
          </cell>
          <cell r="BE224" t="str">
            <v>.0000000000000000</v>
          </cell>
          <cell r="BF224" t="str">
            <v>.0000000000000000</v>
          </cell>
          <cell r="BG224" t="str">
            <v>None</v>
          </cell>
          <cell r="BK224" t="str">
            <v>2025-02-15 00:00:00</v>
          </cell>
          <cell r="BL224" t="str">
            <v>Airport EG-234</v>
          </cell>
          <cell r="BM224" t="str">
            <v>No</v>
          </cell>
          <cell r="BN224" t="str">
            <v>No</v>
          </cell>
          <cell r="BO224" t="str">
            <v>CPay-000000002</v>
          </cell>
        </row>
        <row r="225">
          <cell r="B225" t="str">
            <v>226632</v>
          </cell>
          <cell r="C225" t="str">
            <v>81.0000000000000000</v>
          </cell>
          <cell r="E225" t="str">
            <v>Cust</v>
          </cell>
          <cell r="G225" t="str">
            <v>No</v>
          </cell>
          <cell r="H225" t="str">
            <v>1900-01-01 00:00:00</v>
          </cell>
          <cell r="K225" t="str">
            <v>M-P</v>
          </cell>
          <cell r="L225" t="str">
            <v>2442.110000</v>
          </cell>
          <cell r="AL225" t="str">
            <v>226632</v>
          </cell>
          <cell r="BC225" t="str">
            <v>Cust-PP</v>
          </cell>
          <cell r="BD225" t="str">
            <v>1.9801980198019800</v>
          </cell>
          <cell r="BE225" t="str">
            <v>.0000000000000000</v>
          </cell>
          <cell r="BF225" t="str">
            <v>.0000000000000000</v>
          </cell>
          <cell r="BG225" t="str">
            <v>None</v>
          </cell>
          <cell r="BK225" t="str">
            <v>2025-02-15 00:00:00</v>
          </cell>
          <cell r="BL225" t="str">
            <v>Airport EG-235</v>
          </cell>
          <cell r="BM225" t="str">
            <v>No</v>
          </cell>
          <cell r="BN225" t="str">
            <v>No</v>
          </cell>
          <cell r="BO225" t="str">
            <v>CPay-000000002</v>
          </cell>
        </row>
        <row r="226">
          <cell r="B226" t="str">
            <v>317213</v>
          </cell>
          <cell r="C226" t="str">
            <v>82.0000000000000000</v>
          </cell>
          <cell r="E226" t="str">
            <v>Cust</v>
          </cell>
          <cell r="G226" t="str">
            <v>No</v>
          </cell>
          <cell r="H226" t="str">
            <v>1900-01-01 00:00:00</v>
          </cell>
          <cell r="K226" t="str">
            <v>M-P</v>
          </cell>
          <cell r="L226" t="str">
            <v>1305.120000</v>
          </cell>
          <cell r="AL226" t="str">
            <v>317213</v>
          </cell>
          <cell r="BC226" t="str">
            <v>Cust-PP</v>
          </cell>
          <cell r="BD226" t="str">
            <v>103.9603960396000000</v>
          </cell>
          <cell r="BE226" t="str">
            <v>.0000000000000000</v>
          </cell>
          <cell r="BF226" t="str">
            <v>.0000000000000000</v>
          </cell>
          <cell r="BG226" t="str">
            <v>None</v>
          </cell>
          <cell r="BK226" t="str">
            <v>2025-02-15 00:00:00</v>
          </cell>
          <cell r="BL226" t="str">
            <v>Airport EG-236</v>
          </cell>
          <cell r="BM226" t="str">
            <v>No</v>
          </cell>
          <cell r="BN226" t="str">
            <v>No</v>
          </cell>
          <cell r="BO226" t="str">
            <v>CPay-000000002</v>
          </cell>
        </row>
        <row r="227">
          <cell r="B227" t="str">
            <v>226646</v>
          </cell>
          <cell r="C227" t="str">
            <v>83.0000000000000000</v>
          </cell>
          <cell r="E227" t="str">
            <v>Cust</v>
          </cell>
          <cell r="G227" t="str">
            <v>No</v>
          </cell>
          <cell r="H227" t="str">
            <v>1900-01-01 00:00:00</v>
          </cell>
          <cell r="K227" t="str">
            <v>M-P</v>
          </cell>
          <cell r="L227" t="str">
            <v>1653.000000</v>
          </cell>
          <cell r="AL227" t="str">
            <v>226646</v>
          </cell>
          <cell r="BC227" t="str">
            <v>Cust-PP</v>
          </cell>
          <cell r="BD227" t="str">
            <v>1.9801980198019800</v>
          </cell>
          <cell r="BE227" t="str">
            <v>.0000000000000000</v>
          </cell>
          <cell r="BF227" t="str">
            <v>.0000000000000000</v>
          </cell>
          <cell r="BG227" t="str">
            <v>None</v>
          </cell>
          <cell r="BK227" t="str">
            <v>2025-02-16 00:00:00</v>
          </cell>
          <cell r="BL227" t="str">
            <v>Airport EG-237</v>
          </cell>
          <cell r="BM227" t="str">
            <v>No</v>
          </cell>
          <cell r="BN227" t="str">
            <v>No</v>
          </cell>
          <cell r="BO227" t="str">
            <v>CPay-000000002</v>
          </cell>
        </row>
        <row r="228">
          <cell r="B228" t="str">
            <v>226648</v>
          </cell>
          <cell r="C228" t="str">
            <v>84.0000000000000000</v>
          </cell>
          <cell r="E228" t="str">
            <v>Cust</v>
          </cell>
          <cell r="G228" t="str">
            <v>No</v>
          </cell>
          <cell r="H228" t="str">
            <v>1900-01-01 00:00:00</v>
          </cell>
          <cell r="K228" t="str">
            <v>M-P</v>
          </cell>
          <cell r="L228" t="str">
            <v>199.500000</v>
          </cell>
          <cell r="AL228" t="str">
            <v>226648</v>
          </cell>
          <cell r="BC228" t="str">
            <v>Cust-PP</v>
          </cell>
          <cell r="BD228" t="str">
            <v>1.9801980198019800</v>
          </cell>
          <cell r="BE228" t="str">
            <v>.0000000000000000</v>
          </cell>
          <cell r="BF228" t="str">
            <v>.0000000000000000</v>
          </cell>
          <cell r="BG228" t="str">
            <v>None</v>
          </cell>
          <cell r="BK228" t="str">
            <v>2025-02-16 00:00:00</v>
          </cell>
          <cell r="BL228" t="str">
            <v>Airport EG-238</v>
          </cell>
          <cell r="BM228" t="str">
            <v>No</v>
          </cell>
          <cell r="BN228" t="str">
            <v>No</v>
          </cell>
          <cell r="BO228" t="str">
            <v>CPay-000000002</v>
          </cell>
        </row>
        <row r="229">
          <cell r="B229" t="str">
            <v>226661</v>
          </cell>
          <cell r="C229" t="str">
            <v>85.0000000000000000</v>
          </cell>
          <cell r="E229" t="str">
            <v>Cust</v>
          </cell>
          <cell r="G229" t="str">
            <v>No</v>
          </cell>
          <cell r="H229" t="str">
            <v>1900-01-01 00:00:00</v>
          </cell>
          <cell r="K229" t="str">
            <v>M-P</v>
          </cell>
          <cell r="L229" t="str">
            <v>1653.000000</v>
          </cell>
          <cell r="AL229" t="str">
            <v>226661</v>
          </cell>
          <cell r="BC229" t="str">
            <v>Cust-PP</v>
          </cell>
          <cell r="BD229" t="str">
            <v>1.9801980198019800</v>
          </cell>
          <cell r="BE229" t="str">
            <v>.0000000000000000</v>
          </cell>
          <cell r="BF229" t="str">
            <v>.0000000000000000</v>
          </cell>
          <cell r="BG229" t="str">
            <v>None</v>
          </cell>
          <cell r="BK229" t="str">
            <v>2025-02-16 00:00:00</v>
          </cell>
          <cell r="BL229" t="str">
            <v>Airport EG-239</v>
          </cell>
          <cell r="BM229" t="str">
            <v>No</v>
          </cell>
          <cell r="BN229" t="str">
            <v>No</v>
          </cell>
          <cell r="BO229" t="str">
            <v>CPay-000000002</v>
          </cell>
        </row>
        <row r="230">
          <cell r="B230" t="str">
            <v>226663</v>
          </cell>
          <cell r="C230" t="str">
            <v>86.0000000000000000</v>
          </cell>
          <cell r="E230" t="str">
            <v>Cust</v>
          </cell>
          <cell r="G230" t="str">
            <v>No</v>
          </cell>
          <cell r="H230" t="str">
            <v>1900-01-01 00:00:00</v>
          </cell>
          <cell r="K230" t="str">
            <v>M-P</v>
          </cell>
          <cell r="L230" t="str">
            <v>2558.840000</v>
          </cell>
          <cell r="AL230" t="str">
            <v>226663</v>
          </cell>
          <cell r="BC230" t="str">
            <v>Cust-PP</v>
          </cell>
          <cell r="BD230" t="str">
            <v>1.9801980198019800</v>
          </cell>
          <cell r="BE230" t="str">
            <v>.0000000000000000</v>
          </cell>
          <cell r="BF230" t="str">
            <v>.0000000000000000</v>
          </cell>
          <cell r="BG230" t="str">
            <v>None</v>
          </cell>
          <cell r="BK230" t="str">
            <v>2025-02-16 00:00:00</v>
          </cell>
          <cell r="BL230" t="str">
            <v>Airport EG-240</v>
          </cell>
          <cell r="BM230" t="str">
            <v>No</v>
          </cell>
          <cell r="BN230" t="str">
            <v>No</v>
          </cell>
          <cell r="BO230" t="str">
            <v>CPay-000000002</v>
          </cell>
        </row>
        <row r="231">
          <cell r="B231" t="str">
            <v>226664</v>
          </cell>
          <cell r="C231" t="str">
            <v>87.0000000000000000</v>
          </cell>
          <cell r="E231" t="str">
            <v>Cust</v>
          </cell>
          <cell r="G231" t="str">
            <v>No</v>
          </cell>
          <cell r="H231" t="str">
            <v>1900-01-01 00:00:00</v>
          </cell>
          <cell r="K231" t="str">
            <v>M-P</v>
          </cell>
          <cell r="L231" t="str">
            <v>2052.000000</v>
          </cell>
          <cell r="AL231" t="str">
            <v>226664</v>
          </cell>
          <cell r="BC231" t="str">
            <v>Cust-PP</v>
          </cell>
          <cell r="BD231" t="str">
            <v>1.9801980198019800</v>
          </cell>
          <cell r="BE231" t="str">
            <v>.0000000000000000</v>
          </cell>
          <cell r="BF231" t="str">
            <v>.0000000000000000</v>
          </cell>
          <cell r="BG231" t="str">
            <v>None</v>
          </cell>
          <cell r="BK231" t="str">
            <v>2025-02-16 00:00:00</v>
          </cell>
          <cell r="BL231" t="str">
            <v>Airport EG-241</v>
          </cell>
          <cell r="BM231" t="str">
            <v>No</v>
          </cell>
          <cell r="BN231" t="str">
            <v>No</v>
          </cell>
          <cell r="BO231" t="str">
            <v>CPay-000000002</v>
          </cell>
        </row>
        <row r="232">
          <cell r="B232" t="str">
            <v>226665</v>
          </cell>
          <cell r="C232" t="str">
            <v>88.0000000000000000</v>
          </cell>
          <cell r="E232" t="str">
            <v>Cust</v>
          </cell>
          <cell r="G232" t="str">
            <v>No</v>
          </cell>
          <cell r="H232" t="str">
            <v>1900-01-01 00:00:00</v>
          </cell>
          <cell r="K232" t="str">
            <v>M-P</v>
          </cell>
          <cell r="L232" t="str">
            <v>370.500000</v>
          </cell>
          <cell r="AL232" t="str">
            <v>226665</v>
          </cell>
          <cell r="BC232" t="str">
            <v>Cust-PP</v>
          </cell>
          <cell r="BD232" t="str">
            <v>1.9801980198019800</v>
          </cell>
          <cell r="BE232" t="str">
            <v>.0000000000000000</v>
          </cell>
          <cell r="BF232" t="str">
            <v>.0000000000000000</v>
          </cell>
          <cell r="BG232" t="str">
            <v>None</v>
          </cell>
          <cell r="BK232" t="str">
            <v>2025-02-16 00:00:00</v>
          </cell>
          <cell r="BL232" t="str">
            <v>Airport EG-242</v>
          </cell>
          <cell r="BM232" t="str">
            <v>No</v>
          </cell>
          <cell r="BN232" t="str">
            <v>No</v>
          </cell>
          <cell r="BO232" t="str">
            <v>CPay-000000002</v>
          </cell>
        </row>
        <row r="233">
          <cell r="B233" t="str">
            <v>226706</v>
          </cell>
          <cell r="C233" t="str">
            <v>89.0000000000000000</v>
          </cell>
          <cell r="E233" t="str">
            <v>Cust</v>
          </cell>
          <cell r="G233" t="str">
            <v>No</v>
          </cell>
          <cell r="H233" t="str">
            <v>1900-01-01 00:00:00</v>
          </cell>
          <cell r="K233" t="str">
            <v>M-P</v>
          </cell>
          <cell r="L233" t="str">
            <v>1653.000000</v>
          </cell>
          <cell r="AL233" t="str">
            <v>226706</v>
          </cell>
          <cell r="BC233" t="str">
            <v>Cust-PP</v>
          </cell>
          <cell r="BD233" t="str">
            <v>1.9801980198019800</v>
          </cell>
          <cell r="BE233" t="str">
            <v>.0000000000000000</v>
          </cell>
          <cell r="BF233" t="str">
            <v>.0000000000000000</v>
          </cell>
          <cell r="BG233" t="str">
            <v>None</v>
          </cell>
          <cell r="BK233" t="str">
            <v>2025-02-16 00:00:00</v>
          </cell>
          <cell r="BL233" t="str">
            <v>Airport EG-243</v>
          </cell>
          <cell r="BM233" t="str">
            <v>No</v>
          </cell>
          <cell r="BN233" t="str">
            <v>No</v>
          </cell>
          <cell r="BO233" t="str">
            <v>CPay-000000002</v>
          </cell>
        </row>
        <row r="234">
          <cell r="B234" t="str">
            <v>226707</v>
          </cell>
          <cell r="C234" t="str">
            <v>90.0000000000000000</v>
          </cell>
          <cell r="E234" t="str">
            <v>Cust</v>
          </cell>
          <cell r="G234" t="str">
            <v>No</v>
          </cell>
          <cell r="H234" t="str">
            <v>1900-01-01 00:00:00</v>
          </cell>
          <cell r="K234" t="str">
            <v>M-P</v>
          </cell>
          <cell r="L234" t="str">
            <v>262.200000</v>
          </cell>
          <cell r="AL234" t="str">
            <v>226707</v>
          </cell>
          <cell r="BC234" t="str">
            <v>Cust-PP</v>
          </cell>
          <cell r="BD234" t="str">
            <v>1.9801980198019800</v>
          </cell>
          <cell r="BE234" t="str">
            <v>.0000000000000000</v>
          </cell>
          <cell r="BF234" t="str">
            <v>.0000000000000000</v>
          </cell>
          <cell r="BG234" t="str">
            <v>None</v>
          </cell>
          <cell r="BK234" t="str">
            <v>2025-02-16 00:00:00</v>
          </cell>
          <cell r="BL234" t="str">
            <v>Airport EG-244</v>
          </cell>
          <cell r="BM234" t="str">
            <v>No</v>
          </cell>
          <cell r="BN234" t="str">
            <v>No</v>
          </cell>
          <cell r="BO234" t="str">
            <v>CPay-000000002</v>
          </cell>
        </row>
        <row r="235">
          <cell r="B235" t="str">
            <v>226887</v>
          </cell>
          <cell r="C235" t="str">
            <v>91.0000000000000000</v>
          </cell>
          <cell r="E235" t="str">
            <v>Cust</v>
          </cell>
          <cell r="G235" t="str">
            <v>No</v>
          </cell>
          <cell r="H235" t="str">
            <v>1900-01-01 00:00:00</v>
          </cell>
          <cell r="K235" t="str">
            <v>M-P</v>
          </cell>
          <cell r="L235" t="str">
            <v>1653.000000</v>
          </cell>
          <cell r="AL235" t="str">
            <v>226887</v>
          </cell>
          <cell r="BC235" t="str">
            <v>Cust-PP</v>
          </cell>
          <cell r="BD235" t="str">
            <v>1.9801980198019800</v>
          </cell>
          <cell r="BE235" t="str">
            <v>.0000000000000000</v>
          </cell>
          <cell r="BF235" t="str">
            <v>.0000000000000000</v>
          </cell>
          <cell r="BG235" t="str">
            <v>None</v>
          </cell>
          <cell r="BK235" t="str">
            <v>2025-02-17 00:00:00</v>
          </cell>
          <cell r="BL235" t="str">
            <v>Airport EG-245</v>
          </cell>
          <cell r="BM235" t="str">
            <v>No</v>
          </cell>
          <cell r="BN235" t="str">
            <v>No</v>
          </cell>
          <cell r="BO235" t="str">
            <v>CPay-000000002</v>
          </cell>
        </row>
        <row r="236">
          <cell r="B236" t="str">
            <v>226888</v>
          </cell>
          <cell r="C236" t="str">
            <v>92.0000000000000000</v>
          </cell>
          <cell r="E236" t="str">
            <v>Cust</v>
          </cell>
          <cell r="G236" t="str">
            <v>No</v>
          </cell>
          <cell r="H236" t="str">
            <v>1900-01-01 00:00:00</v>
          </cell>
          <cell r="K236" t="str">
            <v>M-P</v>
          </cell>
          <cell r="L236" t="str">
            <v>262.200000</v>
          </cell>
          <cell r="AL236" t="str">
            <v>226888</v>
          </cell>
          <cell r="BC236" t="str">
            <v>Cust-PP</v>
          </cell>
          <cell r="BD236" t="str">
            <v>1.9801980198019800</v>
          </cell>
          <cell r="BE236" t="str">
            <v>.0000000000000000</v>
          </cell>
          <cell r="BF236" t="str">
            <v>.0000000000000000</v>
          </cell>
          <cell r="BG236" t="str">
            <v>None</v>
          </cell>
          <cell r="BK236" t="str">
            <v>2025-02-17 00:00:00</v>
          </cell>
          <cell r="BL236" t="str">
            <v>Airport EG-246</v>
          </cell>
          <cell r="BM236" t="str">
            <v>No</v>
          </cell>
          <cell r="BN236" t="str">
            <v>No</v>
          </cell>
          <cell r="BO236" t="str">
            <v>CPay-000000002</v>
          </cell>
        </row>
        <row r="237">
          <cell r="B237" t="str">
            <v>226893</v>
          </cell>
          <cell r="C237" t="str">
            <v>93.0000000000000000</v>
          </cell>
          <cell r="E237" t="str">
            <v>Cust</v>
          </cell>
          <cell r="G237" t="str">
            <v>No</v>
          </cell>
          <cell r="H237" t="str">
            <v>1900-01-01 00:00:00</v>
          </cell>
          <cell r="K237" t="str">
            <v>M-P</v>
          </cell>
          <cell r="L237" t="str">
            <v>.300000</v>
          </cell>
          <cell r="AL237" t="str">
            <v>226893</v>
          </cell>
          <cell r="BC237" t="str">
            <v>Cust-PP</v>
          </cell>
          <cell r="BD237" t="str">
            <v>1.9801980198019800</v>
          </cell>
          <cell r="BE237" t="str">
            <v>.0000000000000000</v>
          </cell>
          <cell r="BF237" t="str">
            <v>.0000000000000000</v>
          </cell>
          <cell r="BG237" t="str">
            <v>None</v>
          </cell>
          <cell r="BK237" t="str">
            <v>2025-02-17 00:00:00</v>
          </cell>
          <cell r="BL237" t="str">
            <v>Airport EG-247</v>
          </cell>
          <cell r="BM237" t="str">
            <v>No</v>
          </cell>
          <cell r="BN237" t="str">
            <v>No</v>
          </cell>
          <cell r="BO237" t="str">
            <v>CPay-000000002</v>
          </cell>
        </row>
        <row r="238">
          <cell r="B238" t="str">
            <v>226894</v>
          </cell>
          <cell r="C238" t="str">
            <v>94.0000000000000000</v>
          </cell>
          <cell r="E238" t="str">
            <v>Cust</v>
          </cell>
          <cell r="G238" t="str">
            <v>No</v>
          </cell>
          <cell r="H238" t="str">
            <v>1900-01-01 00:00:00</v>
          </cell>
          <cell r="K238" t="str">
            <v>M-P</v>
          </cell>
          <cell r="L238" t="str">
            <v>.300000</v>
          </cell>
          <cell r="AL238" t="str">
            <v>226894</v>
          </cell>
          <cell r="BC238" t="str">
            <v>Cust-PP</v>
          </cell>
          <cell r="BD238" t="str">
            <v>1.9801980198019800</v>
          </cell>
          <cell r="BE238" t="str">
            <v>.0000000000000000</v>
          </cell>
          <cell r="BF238" t="str">
            <v>.0000000000000000</v>
          </cell>
          <cell r="BG238" t="str">
            <v>None</v>
          </cell>
          <cell r="BK238" t="str">
            <v>2025-02-17 00:00:00</v>
          </cell>
          <cell r="BL238" t="str">
            <v>Airport EG-248</v>
          </cell>
          <cell r="BM238" t="str">
            <v>No</v>
          </cell>
          <cell r="BN238" t="str">
            <v>No</v>
          </cell>
          <cell r="BO238" t="str">
            <v>CPay-000000002</v>
          </cell>
        </row>
        <row r="239">
          <cell r="B239" t="str">
            <v>226943</v>
          </cell>
          <cell r="C239" t="str">
            <v>95.0000000000000000</v>
          </cell>
          <cell r="E239" t="str">
            <v>Cust</v>
          </cell>
          <cell r="G239" t="str">
            <v>No</v>
          </cell>
          <cell r="H239" t="str">
            <v>1900-01-01 00:00:00</v>
          </cell>
          <cell r="K239" t="str">
            <v>M-P</v>
          </cell>
          <cell r="L239" t="str">
            <v>285.000000</v>
          </cell>
          <cell r="AL239" t="str">
            <v>226943</v>
          </cell>
          <cell r="BC239" t="str">
            <v>Cust-PP</v>
          </cell>
          <cell r="BD239" t="str">
            <v>1.9801980198019800</v>
          </cell>
          <cell r="BE239" t="str">
            <v>.0000000000000000</v>
          </cell>
          <cell r="BF239" t="str">
            <v>.0000000000000000</v>
          </cell>
          <cell r="BG239" t="str">
            <v>None</v>
          </cell>
          <cell r="BK239" t="str">
            <v>2025-02-17 00:00:00</v>
          </cell>
          <cell r="BL239" t="str">
            <v>Airport EG-249</v>
          </cell>
          <cell r="BM239" t="str">
            <v>No</v>
          </cell>
          <cell r="BN239" t="str">
            <v>No</v>
          </cell>
          <cell r="BO239" t="str">
            <v>CPay-000000002</v>
          </cell>
        </row>
        <row r="240">
          <cell r="B240" t="str">
            <v>226949</v>
          </cell>
          <cell r="C240" t="str">
            <v>96.0000000000000000</v>
          </cell>
          <cell r="E240" t="str">
            <v>Cust</v>
          </cell>
          <cell r="G240" t="str">
            <v>No</v>
          </cell>
          <cell r="H240" t="str">
            <v>1900-01-01 00:00:00</v>
          </cell>
          <cell r="K240" t="str">
            <v>M-P</v>
          </cell>
          <cell r="L240" t="str">
            <v>2052.000000</v>
          </cell>
          <cell r="AL240" t="str">
            <v>226949</v>
          </cell>
          <cell r="BC240" t="str">
            <v>Cust-PP</v>
          </cell>
          <cell r="BD240" t="str">
            <v>1.9801980198019800</v>
          </cell>
          <cell r="BE240" t="str">
            <v>.0000000000000000</v>
          </cell>
          <cell r="BF240" t="str">
            <v>.0000000000000000</v>
          </cell>
          <cell r="BG240" t="str">
            <v>None</v>
          </cell>
          <cell r="BK240" t="str">
            <v>2025-02-17 00:00:00</v>
          </cell>
          <cell r="BL240" t="str">
            <v>Airport EG-250</v>
          </cell>
          <cell r="BM240" t="str">
            <v>No</v>
          </cell>
          <cell r="BN240" t="str">
            <v>No</v>
          </cell>
          <cell r="BO240" t="str">
            <v>CPay-000000002</v>
          </cell>
        </row>
        <row r="241">
          <cell r="B241" t="str">
            <v>226950</v>
          </cell>
          <cell r="C241" t="str">
            <v>97.0000000000000000</v>
          </cell>
          <cell r="E241" t="str">
            <v>Cust</v>
          </cell>
          <cell r="G241" t="str">
            <v>No</v>
          </cell>
          <cell r="H241" t="str">
            <v>1900-01-01 00:00:00</v>
          </cell>
          <cell r="K241" t="str">
            <v>M-P</v>
          </cell>
          <cell r="L241" t="str">
            <v>370.500000</v>
          </cell>
          <cell r="AL241" t="str">
            <v>226950</v>
          </cell>
          <cell r="BC241" t="str">
            <v>Cust-PP</v>
          </cell>
          <cell r="BD241" t="str">
            <v>1.9801980198019800</v>
          </cell>
          <cell r="BE241" t="str">
            <v>.0000000000000000</v>
          </cell>
          <cell r="BF241" t="str">
            <v>.0000000000000000</v>
          </cell>
          <cell r="BG241" t="str">
            <v>None</v>
          </cell>
          <cell r="BK241" t="str">
            <v>2025-02-17 00:00:00</v>
          </cell>
          <cell r="BL241" t="str">
            <v>Airport EG-251</v>
          </cell>
          <cell r="BM241" t="str">
            <v>No</v>
          </cell>
          <cell r="BN241" t="str">
            <v>No</v>
          </cell>
          <cell r="BO241" t="str">
            <v>CPay-000000002</v>
          </cell>
        </row>
        <row r="242">
          <cell r="B242" t="str">
            <v>226952</v>
          </cell>
          <cell r="C242" t="str">
            <v>98.0000000000000000</v>
          </cell>
          <cell r="E242" t="str">
            <v>Cust</v>
          </cell>
          <cell r="G242" t="str">
            <v>No</v>
          </cell>
          <cell r="H242" t="str">
            <v>1900-01-01 00:00:00</v>
          </cell>
          <cell r="K242" t="str">
            <v>M-P</v>
          </cell>
          <cell r="L242" t="str">
            <v>199.500000</v>
          </cell>
          <cell r="AL242" t="str">
            <v>226952</v>
          </cell>
          <cell r="BC242" t="str">
            <v>Cust-PP</v>
          </cell>
          <cell r="BD242" t="str">
            <v>1.9801980198019800</v>
          </cell>
          <cell r="BE242" t="str">
            <v>.0000000000000000</v>
          </cell>
          <cell r="BF242" t="str">
            <v>.0000000000000000</v>
          </cell>
          <cell r="BG242" t="str">
            <v>None</v>
          </cell>
          <cell r="BK242" t="str">
            <v>2025-02-17 00:00:00</v>
          </cell>
          <cell r="BL242" t="str">
            <v>Airport EG-252</v>
          </cell>
          <cell r="BM242" t="str">
            <v>No</v>
          </cell>
          <cell r="BN242" t="str">
            <v>No</v>
          </cell>
          <cell r="BO242" t="str">
            <v>CPay-000000002</v>
          </cell>
        </row>
        <row r="243">
          <cell r="B243" t="str">
            <v>227021</v>
          </cell>
          <cell r="C243" t="str">
            <v>99.0000000000000000</v>
          </cell>
          <cell r="E243" t="str">
            <v>Cust</v>
          </cell>
          <cell r="G243" t="str">
            <v>No</v>
          </cell>
          <cell r="H243" t="str">
            <v>1900-01-01 00:00:00</v>
          </cell>
          <cell r="K243" t="str">
            <v>M-P</v>
          </cell>
          <cell r="L243" t="str">
            <v>1653.000000</v>
          </cell>
          <cell r="AL243" t="str">
            <v>227021</v>
          </cell>
          <cell r="BC243" t="str">
            <v>Cust-PP</v>
          </cell>
          <cell r="BD243" t="str">
            <v>1.9801980198019800</v>
          </cell>
          <cell r="BE243" t="str">
            <v>.0000000000000000</v>
          </cell>
          <cell r="BF243" t="str">
            <v>.0000000000000000</v>
          </cell>
          <cell r="BG243" t="str">
            <v>None</v>
          </cell>
          <cell r="BK243" t="str">
            <v>2025-02-18 00:00:00</v>
          </cell>
          <cell r="BL243" t="str">
            <v>Airport EG-255</v>
          </cell>
          <cell r="BM243" t="str">
            <v>No</v>
          </cell>
          <cell r="BN243" t="str">
            <v>No</v>
          </cell>
          <cell r="BO243" t="str">
            <v>CPay-000000002</v>
          </cell>
        </row>
        <row r="244">
          <cell r="B244" t="str">
            <v>227022</v>
          </cell>
          <cell r="C244" t="str">
            <v>100.0000000000000000</v>
          </cell>
          <cell r="E244" t="str">
            <v>Cust</v>
          </cell>
          <cell r="G244" t="str">
            <v>No</v>
          </cell>
          <cell r="H244" t="str">
            <v>1900-01-01 00:00:00</v>
          </cell>
          <cell r="K244" t="str">
            <v>M-P</v>
          </cell>
          <cell r="L244" t="str">
            <v>199.500000</v>
          </cell>
          <cell r="AL244" t="str">
            <v>227022</v>
          </cell>
          <cell r="BC244" t="str">
            <v>Cust-PP</v>
          </cell>
          <cell r="BD244" t="str">
            <v>1.9801980198019800</v>
          </cell>
          <cell r="BE244" t="str">
            <v>.0000000000000000</v>
          </cell>
          <cell r="BF244" t="str">
            <v>.0000000000000000</v>
          </cell>
          <cell r="BG244" t="str">
            <v>None</v>
          </cell>
          <cell r="BK244" t="str">
            <v>2025-02-18 00:00:00</v>
          </cell>
          <cell r="BL244" t="str">
            <v>Airport EG-256</v>
          </cell>
          <cell r="BM244" t="str">
            <v>No</v>
          </cell>
          <cell r="BN244" t="str">
            <v>No</v>
          </cell>
          <cell r="BO244" t="str">
            <v>CPay-000000002</v>
          </cell>
        </row>
        <row r="245">
          <cell r="B245" t="str">
            <v>227023</v>
          </cell>
          <cell r="C245" t="str">
            <v>101.0000000000000000</v>
          </cell>
          <cell r="E245" t="str">
            <v>Cust</v>
          </cell>
          <cell r="G245" t="str">
            <v>No</v>
          </cell>
          <cell r="H245" t="str">
            <v>1900-01-01 00:00:00</v>
          </cell>
          <cell r="K245" t="str">
            <v>M-P</v>
          </cell>
          <cell r="L245" t="str">
            <v>1000.000000</v>
          </cell>
          <cell r="AL245" t="str">
            <v>227023</v>
          </cell>
          <cell r="BC245" t="str">
            <v>Cust-PP</v>
          </cell>
          <cell r="BD245" t="str">
            <v>1.9801980198019800</v>
          </cell>
          <cell r="BE245" t="str">
            <v>.0000000000000000</v>
          </cell>
          <cell r="BF245" t="str">
            <v>.0000000000000000</v>
          </cell>
          <cell r="BG245" t="str">
            <v>None</v>
          </cell>
          <cell r="BK245" t="str">
            <v>2025-02-18 00:00:00</v>
          </cell>
          <cell r="BL245" t="str">
            <v>Airport EG-257</v>
          </cell>
          <cell r="BM245" t="str">
            <v>No</v>
          </cell>
          <cell r="BN245" t="str">
            <v>No</v>
          </cell>
          <cell r="BO245" t="str">
            <v>CPay-000000002</v>
          </cell>
        </row>
        <row r="246">
          <cell r="B246" t="str">
            <v>227024</v>
          </cell>
          <cell r="C246" t="str">
            <v>102.0000000000000000</v>
          </cell>
          <cell r="E246" t="str">
            <v>Cust</v>
          </cell>
          <cell r="G246" t="str">
            <v>No</v>
          </cell>
          <cell r="H246" t="str">
            <v>1900-01-01 00:00:00</v>
          </cell>
          <cell r="K246" t="str">
            <v>M-P</v>
          </cell>
          <cell r="L246" t="str">
            <v>199.500000</v>
          </cell>
          <cell r="AL246" t="str">
            <v>227024</v>
          </cell>
          <cell r="BC246" t="str">
            <v>Cust-PP</v>
          </cell>
          <cell r="BD246" t="str">
            <v>1.9801980198019800</v>
          </cell>
          <cell r="BE246" t="str">
            <v>.0000000000000000</v>
          </cell>
          <cell r="BF246" t="str">
            <v>.0000000000000000</v>
          </cell>
          <cell r="BG246" t="str">
            <v>None</v>
          </cell>
          <cell r="BK246" t="str">
            <v>2025-02-18 00:00:00</v>
          </cell>
          <cell r="BL246" t="str">
            <v>Airport EG-258</v>
          </cell>
          <cell r="BM246" t="str">
            <v>No</v>
          </cell>
          <cell r="BN246" t="str">
            <v>No</v>
          </cell>
          <cell r="BO246" t="str">
            <v>CPay-000000002</v>
          </cell>
        </row>
        <row r="247">
          <cell r="B247" t="str">
            <v>227111</v>
          </cell>
          <cell r="C247" t="str">
            <v>103.0000000000000000</v>
          </cell>
          <cell r="E247" t="str">
            <v>Cust</v>
          </cell>
          <cell r="G247" t="str">
            <v>No</v>
          </cell>
          <cell r="H247" t="str">
            <v>1900-01-01 00:00:00</v>
          </cell>
          <cell r="K247" t="str">
            <v>M-P</v>
          </cell>
          <cell r="L247" t="str">
            <v>2052.000000</v>
          </cell>
          <cell r="AL247" t="str">
            <v>227111</v>
          </cell>
          <cell r="BC247" t="str">
            <v>Cust-PP</v>
          </cell>
          <cell r="BD247" t="str">
            <v>1.9801980198019800</v>
          </cell>
          <cell r="BE247" t="str">
            <v>.0000000000000000</v>
          </cell>
          <cell r="BF247" t="str">
            <v>.0000000000000000</v>
          </cell>
          <cell r="BG247" t="str">
            <v>None</v>
          </cell>
          <cell r="BK247" t="str">
            <v>2025-02-18 00:00:00</v>
          </cell>
          <cell r="BL247" t="str">
            <v>Airport EG-259</v>
          </cell>
          <cell r="BM247" t="str">
            <v>No</v>
          </cell>
          <cell r="BN247" t="str">
            <v>No</v>
          </cell>
          <cell r="BO247" t="str">
            <v>CPay-000000002</v>
          </cell>
        </row>
        <row r="248">
          <cell r="B248" t="str">
            <v>227112</v>
          </cell>
          <cell r="C248" t="str">
            <v>104.0000000000000000</v>
          </cell>
          <cell r="E248" t="str">
            <v>Cust</v>
          </cell>
          <cell r="G248" t="str">
            <v>No</v>
          </cell>
          <cell r="H248" t="str">
            <v>1900-01-01 00:00:00</v>
          </cell>
          <cell r="K248" t="str">
            <v>M-P</v>
          </cell>
          <cell r="L248" t="str">
            <v>370.500000</v>
          </cell>
          <cell r="AL248" t="str">
            <v>227112</v>
          </cell>
          <cell r="BC248" t="str">
            <v>Cust-PP</v>
          </cell>
          <cell r="BD248" t="str">
            <v>1.9801980198019800</v>
          </cell>
          <cell r="BE248" t="str">
            <v>.0000000000000000</v>
          </cell>
          <cell r="BF248" t="str">
            <v>.0000000000000000</v>
          </cell>
          <cell r="BG248" t="str">
            <v>None</v>
          </cell>
          <cell r="BK248" t="str">
            <v>2025-02-18 00:00:00</v>
          </cell>
          <cell r="BL248" t="str">
            <v>Airport EG-260</v>
          </cell>
          <cell r="BM248" t="str">
            <v>No</v>
          </cell>
          <cell r="BN248" t="str">
            <v>No</v>
          </cell>
          <cell r="BO248" t="str">
            <v>CPay-000000002</v>
          </cell>
        </row>
        <row r="249">
          <cell r="B249" t="str">
            <v>227134</v>
          </cell>
          <cell r="C249" t="str">
            <v>105.0000000000000000</v>
          </cell>
          <cell r="E249" t="str">
            <v>Cust</v>
          </cell>
          <cell r="G249" t="str">
            <v>No</v>
          </cell>
          <cell r="H249" t="str">
            <v>1900-01-01 00:00:00</v>
          </cell>
          <cell r="K249" t="str">
            <v>M-P</v>
          </cell>
          <cell r="L249" t="str">
            <v>1653.000000</v>
          </cell>
          <cell r="AL249" t="str">
            <v>227134</v>
          </cell>
          <cell r="BC249" t="str">
            <v>Cust-PP</v>
          </cell>
          <cell r="BD249" t="str">
            <v>1.9801980198019800</v>
          </cell>
          <cell r="BE249" t="str">
            <v>.0000000000000000</v>
          </cell>
          <cell r="BF249" t="str">
            <v>.0000000000000000</v>
          </cell>
          <cell r="BG249" t="str">
            <v>None</v>
          </cell>
          <cell r="BK249" t="str">
            <v>2025-02-18 00:00:00</v>
          </cell>
          <cell r="BL249" t="str">
            <v>Airport EG-261</v>
          </cell>
          <cell r="BM249" t="str">
            <v>No</v>
          </cell>
          <cell r="BN249" t="str">
            <v>No</v>
          </cell>
          <cell r="BO249" t="str">
            <v>CPay-000000002</v>
          </cell>
        </row>
        <row r="250">
          <cell r="B250" t="str">
            <v>227135</v>
          </cell>
          <cell r="C250" t="str">
            <v>106.0000000000000000</v>
          </cell>
          <cell r="E250" t="str">
            <v>Cust</v>
          </cell>
          <cell r="G250" t="str">
            <v>No</v>
          </cell>
          <cell r="H250" t="str">
            <v>1900-01-01 00:00:00</v>
          </cell>
          <cell r="K250" t="str">
            <v>M-P</v>
          </cell>
          <cell r="L250" t="str">
            <v>199.500000</v>
          </cell>
          <cell r="AL250" t="str">
            <v>227135</v>
          </cell>
          <cell r="BC250" t="str">
            <v>Cust-PP</v>
          </cell>
          <cell r="BD250" t="str">
            <v>1.9801980198019800</v>
          </cell>
          <cell r="BE250" t="str">
            <v>.0000000000000000</v>
          </cell>
          <cell r="BF250" t="str">
            <v>.0000000000000000</v>
          </cell>
          <cell r="BG250" t="str">
            <v>None</v>
          </cell>
          <cell r="BK250" t="str">
            <v>2025-02-18 00:00:00</v>
          </cell>
          <cell r="BL250" t="str">
            <v>Airport EG-262</v>
          </cell>
          <cell r="BM250" t="str">
            <v>No</v>
          </cell>
          <cell r="BN250" t="str">
            <v>No</v>
          </cell>
          <cell r="BO250" t="str">
            <v>CPay-000000002</v>
          </cell>
        </row>
        <row r="251">
          <cell r="B251" t="str">
            <v>227253</v>
          </cell>
          <cell r="C251" t="str">
            <v>107.0000000000000000</v>
          </cell>
          <cell r="E251" t="str">
            <v>Cust</v>
          </cell>
          <cell r="G251" t="str">
            <v>No</v>
          </cell>
          <cell r="H251" t="str">
            <v>1900-01-01 00:00:00</v>
          </cell>
          <cell r="K251" t="str">
            <v>M-P</v>
          </cell>
          <cell r="L251" t="str">
            <v>1653.000000</v>
          </cell>
          <cell r="AL251" t="str">
            <v>227253</v>
          </cell>
          <cell r="BC251" t="str">
            <v>Cust-PP</v>
          </cell>
          <cell r="BD251" t="str">
            <v>1.9801980198019800</v>
          </cell>
          <cell r="BE251" t="str">
            <v>.0000000000000000</v>
          </cell>
          <cell r="BF251" t="str">
            <v>.0000000000000000</v>
          </cell>
          <cell r="BG251" t="str">
            <v>None</v>
          </cell>
          <cell r="BK251" t="str">
            <v>2025-02-19 00:00:00</v>
          </cell>
          <cell r="BL251" t="str">
            <v>Airport EG-264</v>
          </cell>
          <cell r="BM251" t="str">
            <v>No</v>
          </cell>
          <cell r="BN251" t="str">
            <v>No</v>
          </cell>
          <cell r="BO251" t="str">
            <v>CPay-000000002</v>
          </cell>
        </row>
        <row r="252">
          <cell r="B252" t="str">
            <v>227254</v>
          </cell>
          <cell r="C252" t="str">
            <v>108.0000000000000000</v>
          </cell>
          <cell r="E252" t="str">
            <v>Cust</v>
          </cell>
          <cell r="G252" t="str">
            <v>No</v>
          </cell>
          <cell r="H252" t="str">
            <v>1900-01-01 00:00:00</v>
          </cell>
          <cell r="K252" t="str">
            <v>M-P</v>
          </cell>
          <cell r="L252" t="str">
            <v>2020.760000</v>
          </cell>
          <cell r="AL252" t="str">
            <v>227254</v>
          </cell>
          <cell r="BC252" t="str">
            <v>Cust-PP</v>
          </cell>
          <cell r="BD252" t="str">
            <v>1.9801980198019800</v>
          </cell>
          <cell r="BE252" t="str">
            <v>.0000000000000000</v>
          </cell>
          <cell r="BF252" t="str">
            <v>.0000000000000000</v>
          </cell>
          <cell r="BG252" t="str">
            <v>None</v>
          </cell>
          <cell r="BK252" t="str">
            <v>2025-02-19 00:00:00</v>
          </cell>
          <cell r="BL252" t="str">
            <v>Airport EG-265</v>
          </cell>
          <cell r="BM252" t="str">
            <v>No</v>
          </cell>
          <cell r="BN252" t="str">
            <v>No</v>
          </cell>
          <cell r="BO252" t="str">
            <v>CPay-000000002</v>
          </cell>
        </row>
        <row r="253">
          <cell r="B253" t="str">
            <v>227373</v>
          </cell>
          <cell r="C253" t="str">
            <v>109.0000000000000000</v>
          </cell>
          <cell r="E253" t="str">
            <v>Cust</v>
          </cell>
          <cell r="G253" t="str">
            <v>No</v>
          </cell>
          <cell r="H253" t="str">
            <v>1900-01-01 00:00:00</v>
          </cell>
          <cell r="K253" t="str">
            <v>M-P</v>
          </cell>
          <cell r="L253" t="str">
            <v>1653.000000</v>
          </cell>
          <cell r="AL253" t="str">
            <v>227373</v>
          </cell>
          <cell r="BC253" t="str">
            <v>Cust-PP</v>
          </cell>
          <cell r="BD253" t="str">
            <v>1.9801980198019800</v>
          </cell>
          <cell r="BE253" t="str">
            <v>.0000000000000000</v>
          </cell>
          <cell r="BF253" t="str">
            <v>.0000000000000000</v>
          </cell>
          <cell r="BG253" t="str">
            <v>None</v>
          </cell>
          <cell r="BK253" t="str">
            <v>2025-02-20 00:00:00</v>
          </cell>
          <cell r="BL253" t="str">
            <v>Airport EG-266</v>
          </cell>
          <cell r="BM253" t="str">
            <v>No</v>
          </cell>
          <cell r="BN253" t="str">
            <v>No</v>
          </cell>
          <cell r="BO253" t="str">
            <v>CPay-000000002</v>
          </cell>
        </row>
        <row r="254">
          <cell r="B254" t="str">
            <v>227374</v>
          </cell>
          <cell r="C254" t="str">
            <v>110.0000000000000000</v>
          </cell>
          <cell r="E254" t="str">
            <v>Cust</v>
          </cell>
          <cell r="G254" t="str">
            <v>No</v>
          </cell>
          <cell r="H254" t="str">
            <v>1900-01-01 00:00:00</v>
          </cell>
          <cell r="K254" t="str">
            <v>M-P</v>
          </cell>
          <cell r="L254" t="str">
            <v>285.000000</v>
          </cell>
          <cell r="AL254" t="str">
            <v>227374</v>
          </cell>
          <cell r="BC254" t="str">
            <v>Cust-PP</v>
          </cell>
          <cell r="BD254" t="str">
            <v>1.9801980198019800</v>
          </cell>
          <cell r="BE254" t="str">
            <v>.0000000000000000</v>
          </cell>
          <cell r="BF254" t="str">
            <v>.0000000000000000</v>
          </cell>
          <cell r="BG254" t="str">
            <v>None</v>
          </cell>
          <cell r="BK254" t="str">
            <v>2025-02-20 00:00:00</v>
          </cell>
          <cell r="BL254" t="str">
            <v>Airport EG-267</v>
          </cell>
          <cell r="BM254" t="str">
            <v>No</v>
          </cell>
          <cell r="BN254" t="str">
            <v>No</v>
          </cell>
          <cell r="BO254" t="str">
            <v>CPay-000000002</v>
          </cell>
        </row>
        <row r="255">
          <cell r="B255" t="str">
            <v>227394</v>
          </cell>
          <cell r="C255" t="str">
            <v>111.0000000000000000</v>
          </cell>
          <cell r="E255" t="str">
            <v>Cust</v>
          </cell>
          <cell r="G255" t="str">
            <v>No</v>
          </cell>
          <cell r="H255" t="str">
            <v>1900-01-01 00:00:00</v>
          </cell>
          <cell r="K255" t="str">
            <v>M-P</v>
          </cell>
          <cell r="L255" t="str">
            <v>2052.000000</v>
          </cell>
          <cell r="AL255" t="str">
            <v>227394</v>
          </cell>
          <cell r="BC255" t="str">
            <v>Cust-PP</v>
          </cell>
          <cell r="BD255" t="str">
            <v>1.9801980198019800</v>
          </cell>
          <cell r="BE255" t="str">
            <v>.0000000000000000</v>
          </cell>
          <cell r="BF255" t="str">
            <v>.0000000000000000</v>
          </cell>
          <cell r="BG255" t="str">
            <v>None</v>
          </cell>
          <cell r="BK255" t="str">
            <v>2025-02-20 00:00:00</v>
          </cell>
          <cell r="BL255" t="str">
            <v>Airport EG-268</v>
          </cell>
          <cell r="BM255" t="str">
            <v>No</v>
          </cell>
          <cell r="BN255" t="str">
            <v>No</v>
          </cell>
          <cell r="BO255" t="str">
            <v>CPay-000000002</v>
          </cell>
        </row>
        <row r="256">
          <cell r="B256" t="str">
            <v>227396</v>
          </cell>
          <cell r="C256" t="str">
            <v>112.0000000000000000</v>
          </cell>
          <cell r="E256" t="str">
            <v>Cust</v>
          </cell>
          <cell r="G256" t="str">
            <v>No</v>
          </cell>
          <cell r="H256" t="str">
            <v>1900-01-01 00:00:00</v>
          </cell>
          <cell r="K256" t="str">
            <v>M-P</v>
          </cell>
          <cell r="L256" t="str">
            <v>370.500000</v>
          </cell>
          <cell r="AL256" t="str">
            <v>227396</v>
          </cell>
          <cell r="BC256" t="str">
            <v>Cust-PP</v>
          </cell>
          <cell r="BD256" t="str">
            <v>1.9801980198019800</v>
          </cell>
          <cell r="BE256" t="str">
            <v>.0000000000000000</v>
          </cell>
          <cell r="BF256" t="str">
            <v>.0000000000000000</v>
          </cell>
          <cell r="BG256" t="str">
            <v>None</v>
          </cell>
          <cell r="BK256" t="str">
            <v>2025-02-20 00:00:00</v>
          </cell>
          <cell r="BL256" t="str">
            <v>Airport EG-269</v>
          </cell>
          <cell r="BM256" t="str">
            <v>No</v>
          </cell>
          <cell r="BN256" t="str">
            <v>No</v>
          </cell>
          <cell r="BO256" t="str">
            <v>CPay-000000002</v>
          </cell>
        </row>
        <row r="257">
          <cell r="B257" t="str">
            <v>227499</v>
          </cell>
          <cell r="C257" t="str">
            <v>113.0000000000000000</v>
          </cell>
          <cell r="E257" t="str">
            <v>Cust</v>
          </cell>
          <cell r="G257" t="str">
            <v>No</v>
          </cell>
          <cell r="H257" t="str">
            <v>1900-01-01 00:00:00</v>
          </cell>
          <cell r="K257" t="str">
            <v>M-P</v>
          </cell>
          <cell r="L257" t="str">
            <v>541.500000</v>
          </cell>
          <cell r="AL257" t="str">
            <v>227499</v>
          </cell>
          <cell r="BC257" t="str">
            <v>Cust-PP</v>
          </cell>
          <cell r="BD257" t="str">
            <v>1.9801980198019800</v>
          </cell>
          <cell r="BE257" t="str">
            <v>.0000000000000000</v>
          </cell>
          <cell r="BF257" t="str">
            <v>.0000000000000000</v>
          </cell>
          <cell r="BG257" t="str">
            <v>None</v>
          </cell>
          <cell r="BK257" t="str">
            <v>2025-02-22 00:00:00</v>
          </cell>
          <cell r="BL257" t="str">
            <v>Airport EG-271</v>
          </cell>
          <cell r="BM257" t="str">
            <v>No</v>
          </cell>
          <cell r="BN257" t="str">
            <v>No</v>
          </cell>
          <cell r="BO257" t="str">
            <v>CPay-000000002</v>
          </cell>
        </row>
        <row r="258">
          <cell r="B258" t="str">
            <v>227500</v>
          </cell>
          <cell r="C258" t="str">
            <v>114.0000000000000000</v>
          </cell>
          <cell r="E258" t="str">
            <v>Cust</v>
          </cell>
          <cell r="G258" t="str">
            <v>No</v>
          </cell>
          <cell r="H258" t="str">
            <v>1900-01-01 00:00:00</v>
          </cell>
          <cell r="K258" t="str">
            <v>M-P</v>
          </cell>
          <cell r="L258" t="str">
            <v>2052.000000</v>
          </cell>
          <cell r="AL258" t="str">
            <v>227500</v>
          </cell>
          <cell r="BC258" t="str">
            <v>Cust-PP</v>
          </cell>
          <cell r="BD258" t="str">
            <v>1.9801980198019800</v>
          </cell>
          <cell r="BE258" t="str">
            <v>.0000000000000000</v>
          </cell>
          <cell r="BF258" t="str">
            <v>.0000000000000000</v>
          </cell>
          <cell r="BG258" t="str">
            <v>None</v>
          </cell>
          <cell r="BK258" t="str">
            <v>2025-02-22 00:00:00</v>
          </cell>
          <cell r="BL258" t="str">
            <v>Airport EG-272</v>
          </cell>
          <cell r="BM258" t="str">
            <v>No</v>
          </cell>
          <cell r="BN258" t="str">
            <v>No</v>
          </cell>
          <cell r="BO258" t="str">
            <v>CPay-000000002</v>
          </cell>
        </row>
        <row r="259">
          <cell r="B259" t="str">
            <v>227515</v>
          </cell>
          <cell r="C259" t="str">
            <v>115.0000000000000000</v>
          </cell>
          <cell r="E259" t="str">
            <v>Cust</v>
          </cell>
          <cell r="G259" t="str">
            <v>No</v>
          </cell>
          <cell r="H259" t="str">
            <v>1900-01-01 00:00:00</v>
          </cell>
          <cell r="K259" t="str">
            <v>M-P</v>
          </cell>
          <cell r="L259" t="str">
            <v>2052.000000</v>
          </cell>
          <cell r="AL259" t="str">
            <v>227515</v>
          </cell>
          <cell r="BC259" t="str">
            <v>Cust-PP</v>
          </cell>
          <cell r="BD259" t="str">
            <v>1.9801980198019800</v>
          </cell>
          <cell r="BE259" t="str">
            <v>.0000000000000000</v>
          </cell>
          <cell r="BF259" t="str">
            <v>.0000000000000000</v>
          </cell>
          <cell r="BG259" t="str">
            <v>None</v>
          </cell>
          <cell r="BK259" t="str">
            <v>2025-02-22 00:00:00</v>
          </cell>
          <cell r="BL259" t="str">
            <v>Airport EG-273</v>
          </cell>
          <cell r="BM259" t="str">
            <v>No</v>
          </cell>
          <cell r="BN259" t="str">
            <v>No</v>
          </cell>
          <cell r="BO259" t="str">
            <v>CPay-000000002</v>
          </cell>
        </row>
        <row r="260">
          <cell r="B260" t="str">
            <v>227516</v>
          </cell>
          <cell r="C260" t="str">
            <v>116.0000000000000000</v>
          </cell>
          <cell r="E260" t="str">
            <v>Cust</v>
          </cell>
          <cell r="G260" t="str">
            <v>No</v>
          </cell>
          <cell r="H260" t="str">
            <v>1900-01-01 00:00:00</v>
          </cell>
          <cell r="K260" t="str">
            <v>M-P</v>
          </cell>
          <cell r="L260" t="str">
            <v>1026.000000</v>
          </cell>
          <cell r="AL260" t="str">
            <v>227516</v>
          </cell>
          <cell r="BC260" t="str">
            <v>Cust-PP</v>
          </cell>
          <cell r="BD260" t="str">
            <v>1.9801980198019800</v>
          </cell>
          <cell r="BE260" t="str">
            <v>.0000000000000000</v>
          </cell>
          <cell r="BF260" t="str">
            <v>.0000000000000000</v>
          </cell>
          <cell r="BG260" t="str">
            <v>None</v>
          </cell>
          <cell r="BK260" t="str">
            <v>2025-02-22 00:00:00</v>
          </cell>
          <cell r="BL260" t="str">
            <v>Airport EG-274</v>
          </cell>
          <cell r="BM260" t="str">
            <v>No</v>
          </cell>
          <cell r="BN260" t="str">
            <v>No</v>
          </cell>
          <cell r="BO260" t="str">
            <v>CPay-000000002</v>
          </cell>
        </row>
        <row r="261">
          <cell r="B261" t="str">
            <v>227517</v>
          </cell>
          <cell r="C261" t="str">
            <v>117.0000000000000000</v>
          </cell>
          <cell r="E261" t="str">
            <v>Cust</v>
          </cell>
          <cell r="G261" t="str">
            <v>No</v>
          </cell>
          <cell r="H261" t="str">
            <v>1900-01-01 00:00:00</v>
          </cell>
          <cell r="K261" t="str">
            <v>M-P</v>
          </cell>
          <cell r="L261" t="str">
            <v>2052.000000</v>
          </cell>
          <cell r="AL261" t="str">
            <v>227517</v>
          </cell>
          <cell r="BC261" t="str">
            <v>Cust-PP</v>
          </cell>
          <cell r="BD261" t="str">
            <v>1.9801980198019800</v>
          </cell>
          <cell r="BE261" t="str">
            <v>.0000000000000000</v>
          </cell>
          <cell r="BF261" t="str">
            <v>.0000000000000000</v>
          </cell>
          <cell r="BG261" t="str">
            <v>None</v>
          </cell>
          <cell r="BK261" t="str">
            <v>2025-02-22 00:00:00</v>
          </cell>
          <cell r="BL261" t="str">
            <v>Airport EG-275</v>
          </cell>
          <cell r="BM261" t="str">
            <v>No</v>
          </cell>
          <cell r="BN261" t="str">
            <v>No</v>
          </cell>
          <cell r="BO261" t="str">
            <v>CPay-000000002</v>
          </cell>
        </row>
        <row r="262">
          <cell r="B262" t="str">
            <v>227518</v>
          </cell>
          <cell r="C262" t="str">
            <v>118.0000000000000000</v>
          </cell>
          <cell r="E262" t="str">
            <v>Cust</v>
          </cell>
          <cell r="G262" t="str">
            <v>No</v>
          </cell>
          <cell r="H262" t="str">
            <v>1900-01-01 00:00:00</v>
          </cell>
          <cell r="K262" t="str">
            <v>M-P</v>
          </cell>
          <cell r="L262" t="str">
            <v>798.000000</v>
          </cell>
          <cell r="AL262" t="str">
            <v>227518</v>
          </cell>
          <cell r="BC262" t="str">
            <v>Cust-PP</v>
          </cell>
          <cell r="BD262" t="str">
            <v>1.9801980198019800</v>
          </cell>
          <cell r="BE262" t="str">
            <v>.0000000000000000</v>
          </cell>
          <cell r="BF262" t="str">
            <v>.0000000000000000</v>
          </cell>
          <cell r="BG262" t="str">
            <v>None</v>
          </cell>
          <cell r="BK262" t="str">
            <v>2025-02-22 00:00:00</v>
          </cell>
          <cell r="BL262" t="str">
            <v>Airport EG-276</v>
          </cell>
          <cell r="BM262" t="str">
            <v>No</v>
          </cell>
          <cell r="BN262" t="str">
            <v>No</v>
          </cell>
          <cell r="BO262" t="str">
            <v>CPay-000000002</v>
          </cell>
        </row>
        <row r="263">
          <cell r="B263" t="str">
            <v>227519</v>
          </cell>
          <cell r="C263" t="str">
            <v>119.0000000000000000</v>
          </cell>
          <cell r="E263" t="str">
            <v>Cust</v>
          </cell>
          <cell r="G263" t="str">
            <v>No</v>
          </cell>
          <cell r="H263" t="str">
            <v>1900-01-01 00:00:00</v>
          </cell>
          <cell r="K263" t="str">
            <v>M-P</v>
          </cell>
          <cell r="L263" t="str">
            <v>1653.000000</v>
          </cell>
          <cell r="AL263" t="str">
            <v>227519</v>
          </cell>
          <cell r="BC263" t="str">
            <v>Cust-PP</v>
          </cell>
          <cell r="BD263" t="str">
            <v>1.9801980198019800</v>
          </cell>
          <cell r="BE263" t="str">
            <v>.0000000000000000</v>
          </cell>
          <cell r="BF263" t="str">
            <v>.0000000000000000</v>
          </cell>
          <cell r="BG263" t="str">
            <v>None</v>
          </cell>
          <cell r="BK263" t="str">
            <v>2025-02-22 00:00:00</v>
          </cell>
          <cell r="BL263" t="str">
            <v>Airport EG-277</v>
          </cell>
          <cell r="BM263" t="str">
            <v>No</v>
          </cell>
          <cell r="BN263" t="str">
            <v>No</v>
          </cell>
          <cell r="BO263" t="str">
            <v>CPay-000000002</v>
          </cell>
        </row>
        <row r="264">
          <cell r="B264" t="str">
            <v>227520</v>
          </cell>
          <cell r="C264" t="str">
            <v>120.0000000000000000</v>
          </cell>
          <cell r="E264" t="str">
            <v>Cust</v>
          </cell>
          <cell r="G264" t="str">
            <v>No</v>
          </cell>
          <cell r="H264" t="str">
            <v>1900-01-01 00:00:00</v>
          </cell>
          <cell r="K264" t="str">
            <v>M-P</v>
          </cell>
          <cell r="L264" t="str">
            <v>938.220000</v>
          </cell>
          <cell r="AL264" t="str">
            <v>227520</v>
          </cell>
          <cell r="BC264" t="str">
            <v>Cust-PP</v>
          </cell>
          <cell r="BD264" t="str">
            <v>1.9801980198019800</v>
          </cell>
          <cell r="BE264" t="str">
            <v>.0000000000000000</v>
          </cell>
          <cell r="BF264" t="str">
            <v>.0000000000000000</v>
          </cell>
          <cell r="BG264" t="str">
            <v>None</v>
          </cell>
          <cell r="BK264" t="str">
            <v>2025-02-22 00:00:00</v>
          </cell>
          <cell r="BL264" t="str">
            <v>Airport EG-278</v>
          </cell>
          <cell r="BM264" t="str">
            <v>No</v>
          </cell>
          <cell r="BN264" t="str">
            <v>No</v>
          </cell>
          <cell r="BO264" t="str">
            <v>CPay-000000002</v>
          </cell>
        </row>
        <row r="265">
          <cell r="B265" t="str">
            <v>227616</v>
          </cell>
          <cell r="C265" t="str">
            <v>121.0000000000000000</v>
          </cell>
          <cell r="E265" t="str">
            <v>Cust</v>
          </cell>
          <cell r="G265" t="str">
            <v>No</v>
          </cell>
          <cell r="H265" t="str">
            <v>1900-01-01 00:00:00</v>
          </cell>
          <cell r="K265" t="str">
            <v>M-P</v>
          </cell>
          <cell r="L265" t="str">
            <v>1653.000000</v>
          </cell>
          <cell r="AL265" t="str">
            <v>227616</v>
          </cell>
          <cell r="BC265" t="str">
            <v>Cust-PP</v>
          </cell>
          <cell r="BD265" t="str">
            <v>1.9801980198019800</v>
          </cell>
          <cell r="BE265" t="str">
            <v>.0000000000000000</v>
          </cell>
          <cell r="BF265" t="str">
            <v>.0000000000000000</v>
          </cell>
          <cell r="BG265" t="str">
            <v>None</v>
          </cell>
          <cell r="BK265" t="str">
            <v>2025-02-23 00:00:00</v>
          </cell>
          <cell r="BL265" t="str">
            <v>Airport EG-279</v>
          </cell>
          <cell r="BM265" t="str">
            <v>No</v>
          </cell>
          <cell r="BN265" t="str">
            <v>No</v>
          </cell>
          <cell r="BO265" t="str">
            <v>CPay-000000002</v>
          </cell>
        </row>
        <row r="266">
          <cell r="B266" t="str">
            <v>227617</v>
          </cell>
          <cell r="C266" t="str">
            <v>122.0000000000000000</v>
          </cell>
          <cell r="E266" t="str">
            <v>Cust</v>
          </cell>
          <cell r="G266" t="str">
            <v>No</v>
          </cell>
          <cell r="H266" t="str">
            <v>1900-01-01 00:00:00</v>
          </cell>
          <cell r="K266" t="str">
            <v>M-P</v>
          </cell>
          <cell r="L266" t="str">
            <v>262.200000</v>
          </cell>
          <cell r="AL266" t="str">
            <v>227617</v>
          </cell>
          <cell r="BC266" t="str">
            <v>Cust-PP</v>
          </cell>
          <cell r="BD266" t="str">
            <v>1.9801980198019800</v>
          </cell>
          <cell r="BE266" t="str">
            <v>.0000000000000000</v>
          </cell>
          <cell r="BF266" t="str">
            <v>.0000000000000000</v>
          </cell>
          <cell r="BG266" t="str">
            <v>None</v>
          </cell>
          <cell r="BK266" t="str">
            <v>2025-02-23 00:00:00</v>
          </cell>
          <cell r="BL266" t="str">
            <v>Airport EG-280</v>
          </cell>
          <cell r="BM266" t="str">
            <v>No</v>
          </cell>
          <cell r="BN266" t="str">
            <v>No</v>
          </cell>
          <cell r="BO266" t="str">
            <v>CPay-000000002</v>
          </cell>
        </row>
        <row r="267">
          <cell r="B267" t="str">
            <v>227643</v>
          </cell>
          <cell r="C267" t="str">
            <v>123.0000000000000000</v>
          </cell>
          <cell r="E267" t="str">
            <v>Cust</v>
          </cell>
          <cell r="G267" t="str">
            <v>No</v>
          </cell>
          <cell r="H267" t="str">
            <v>1900-01-01 00:00:00</v>
          </cell>
          <cell r="K267" t="str">
            <v>M-P</v>
          </cell>
          <cell r="L267" t="str">
            <v>1653.000000</v>
          </cell>
          <cell r="AL267" t="str">
            <v>227643</v>
          </cell>
          <cell r="BC267" t="str">
            <v>Cust-PP</v>
          </cell>
          <cell r="BD267" t="str">
            <v>1.9801980198019800</v>
          </cell>
          <cell r="BE267" t="str">
            <v>.0000000000000000</v>
          </cell>
          <cell r="BF267" t="str">
            <v>.0000000000000000</v>
          </cell>
          <cell r="BG267" t="str">
            <v>None</v>
          </cell>
          <cell r="BK267" t="str">
            <v>2025-02-23 00:00:00</v>
          </cell>
          <cell r="BL267" t="str">
            <v>Airport EG-282</v>
          </cell>
          <cell r="BM267" t="str">
            <v>No</v>
          </cell>
          <cell r="BN267" t="str">
            <v>No</v>
          </cell>
          <cell r="BO267" t="str">
            <v>CPay-000000002</v>
          </cell>
        </row>
        <row r="268">
          <cell r="B268" t="str">
            <v>227645</v>
          </cell>
          <cell r="C268" t="str">
            <v>124.0000000000000000</v>
          </cell>
          <cell r="E268" t="str">
            <v>Cust</v>
          </cell>
          <cell r="G268" t="str">
            <v>No</v>
          </cell>
          <cell r="H268" t="str">
            <v>1900-01-01 00:00:00</v>
          </cell>
          <cell r="K268" t="str">
            <v>M-P</v>
          </cell>
          <cell r="L268" t="str">
            <v>285.000000</v>
          </cell>
          <cell r="AL268" t="str">
            <v>227645</v>
          </cell>
          <cell r="BC268" t="str">
            <v>Cust-PP</v>
          </cell>
          <cell r="BD268" t="str">
            <v>1.9801980198019800</v>
          </cell>
          <cell r="BE268" t="str">
            <v>.0000000000000000</v>
          </cell>
          <cell r="BF268" t="str">
            <v>.0000000000000000</v>
          </cell>
          <cell r="BG268" t="str">
            <v>None</v>
          </cell>
          <cell r="BK268" t="str">
            <v>2025-02-23 00:00:00</v>
          </cell>
          <cell r="BL268" t="str">
            <v>Airport EG-283</v>
          </cell>
          <cell r="BM268" t="str">
            <v>No</v>
          </cell>
          <cell r="BN268" t="str">
            <v>No</v>
          </cell>
          <cell r="BO268" t="str">
            <v>CPay-000000002</v>
          </cell>
        </row>
        <row r="269">
          <cell r="B269" t="str">
            <v>227651</v>
          </cell>
          <cell r="C269" t="str">
            <v>125.0000000000000000</v>
          </cell>
          <cell r="E269" t="str">
            <v>Cust</v>
          </cell>
          <cell r="G269" t="str">
            <v>No</v>
          </cell>
          <cell r="H269" t="str">
            <v>1900-01-01 00:00:00</v>
          </cell>
          <cell r="K269" t="str">
            <v>M-P</v>
          </cell>
          <cell r="L269" t="str">
            <v>1653.000000</v>
          </cell>
          <cell r="AL269" t="str">
            <v>227651</v>
          </cell>
          <cell r="BC269" t="str">
            <v>Cust-PP</v>
          </cell>
          <cell r="BD269" t="str">
            <v>1.9801980198019800</v>
          </cell>
          <cell r="BE269" t="str">
            <v>.0000000000000000</v>
          </cell>
          <cell r="BF269" t="str">
            <v>.0000000000000000</v>
          </cell>
          <cell r="BG269" t="str">
            <v>None</v>
          </cell>
          <cell r="BK269" t="str">
            <v>2025-02-23 00:00:00</v>
          </cell>
          <cell r="BL269" t="str">
            <v>Airport EG-284</v>
          </cell>
          <cell r="BM269" t="str">
            <v>No</v>
          </cell>
          <cell r="BN269" t="str">
            <v>No</v>
          </cell>
          <cell r="BO269" t="str">
            <v>CPay-000000002</v>
          </cell>
        </row>
        <row r="270">
          <cell r="B270" t="str">
            <v>227652</v>
          </cell>
          <cell r="C270" t="str">
            <v>126.0000000000000000</v>
          </cell>
          <cell r="E270" t="str">
            <v>Cust</v>
          </cell>
          <cell r="G270" t="str">
            <v>No</v>
          </cell>
          <cell r="H270" t="str">
            <v>1900-01-01 00:00:00</v>
          </cell>
          <cell r="K270" t="str">
            <v>M-P</v>
          </cell>
          <cell r="L270" t="str">
            <v>927.960000</v>
          </cell>
          <cell r="AL270" t="str">
            <v>227652</v>
          </cell>
          <cell r="BC270" t="str">
            <v>Cust-PP</v>
          </cell>
          <cell r="BD270" t="str">
            <v>1.9801980198019800</v>
          </cell>
          <cell r="BE270" t="str">
            <v>.0000000000000000</v>
          </cell>
          <cell r="BF270" t="str">
            <v>.0000000000000000</v>
          </cell>
          <cell r="BG270" t="str">
            <v>None</v>
          </cell>
          <cell r="BK270" t="str">
            <v>2025-02-23 00:00:00</v>
          </cell>
          <cell r="BL270" t="str">
            <v>Airport EG-285</v>
          </cell>
          <cell r="BM270" t="str">
            <v>No</v>
          </cell>
          <cell r="BN270" t="str">
            <v>No</v>
          </cell>
          <cell r="BO270" t="str">
            <v>CPay-000000002</v>
          </cell>
        </row>
        <row r="271">
          <cell r="B271" t="str">
            <v>227705</v>
          </cell>
          <cell r="C271" t="str">
            <v>127.0000000000000000</v>
          </cell>
          <cell r="E271" t="str">
            <v>Cust</v>
          </cell>
          <cell r="G271" t="str">
            <v>No</v>
          </cell>
          <cell r="H271" t="str">
            <v>1900-01-01 00:00:00</v>
          </cell>
          <cell r="K271" t="str">
            <v>M-P</v>
          </cell>
          <cell r="L271" t="str">
            <v>1653.000000</v>
          </cell>
          <cell r="AL271" t="str">
            <v>227705</v>
          </cell>
          <cell r="BC271" t="str">
            <v>Cust-PP</v>
          </cell>
          <cell r="BD271" t="str">
            <v>1.9801980198019800</v>
          </cell>
          <cell r="BE271" t="str">
            <v>.0000000000000000</v>
          </cell>
          <cell r="BF271" t="str">
            <v>.0000000000000000</v>
          </cell>
          <cell r="BG271" t="str">
            <v>None</v>
          </cell>
          <cell r="BK271" t="str">
            <v>2025-02-24 00:00:00</v>
          </cell>
          <cell r="BL271" t="str">
            <v>Airport EG-286</v>
          </cell>
          <cell r="BM271" t="str">
            <v>No</v>
          </cell>
          <cell r="BN271" t="str">
            <v>No</v>
          </cell>
          <cell r="BO271" t="str">
            <v>CPay-000000002</v>
          </cell>
        </row>
        <row r="272">
          <cell r="B272" t="str">
            <v>227707</v>
          </cell>
          <cell r="C272" t="str">
            <v>128.0000000000000000</v>
          </cell>
          <cell r="E272" t="str">
            <v>Cust</v>
          </cell>
          <cell r="G272" t="str">
            <v>No</v>
          </cell>
          <cell r="H272" t="str">
            <v>1900-01-01 00:00:00</v>
          </cell>
          <cell r="K272" t="str">
            <v>M-P</v>
          </cell>
          <cell r="L272" t="str">
            <v>262.200000</v>
          </cell>
          <cell r="AL272" t="str">
            <v>227707</v>
          </cell>
          <cell r="BC272" t="str">
            <v>Cust-PP</v>
          </cell>
          <cell r="BD272" t="str">
            <v>1.9801980198019800</v>
          </cell>
          <cell r="BE272" t="str">
            <v>.0000000000000000</v>
          </cell>
          <cell r="BF272" t="str">
            <v>.0000000000000000</v>
          </cell>
          <cell r="BG272" t="str">
            <v>None</v>
          </cell>
          <cell r="BK272" t="str">
            <v>2025-02-24 00:00:00</v>
          </cell>
          <cell r="BL272" t="str">
            <v>Airport EG-287</v>
          </cell>
          <cell r="BM272" t="str">
            <v>No</v>
          </cell>
          <cell r="BN272" t="str">
            <v>No</v>
          </cell>
          <cell r="BO272" t="str">
            <v>CPay-000000002</v>
          </cell>
        </row>
        <row r="273">
          <cell r="B273" t="str">
            <v>227775</v>
          </cell>
          <cell r="C273" t="str">
            <v>129.0000000000000000</v>
          </cell>
          <cell r="E273" t="str">
            <v>Cust</v>
          </cell>
          <cell r="G273" t="str">
            <v>No</v>
          </cell>
          <cell r="H273" t="str">
            <v>1900-01-01 00:00:00</v>
          </cell>
          <cell r="K273" t="str">
            <v>M-P</v>
          </cell>
          <cell r="L273" t="str">
            <v>262.200000</v>
          </cell>
          <cell r="AL273" t="str">
            <v>227775</v>
          </cell>
          <cell r="BC273" t="str">
            <v>Cust-PP</v>
          </cell>
          <cell r="BD273" t="str">
            <v>1.9801980198019800</v>
          </cell>
          <cell r="BE273" t="str">
            <v>.0000000000000000</v>
          </cell>
          <cell r="BF273" t="str">
            <v>.0000000000000000</v>
          </cell>
          <cell r="BG273" t="str">
            <v>None</v>
          </cell>
          <cell r="BK273" t="str">
            <v>2025-02-24 00:00:00</v>
          </cell>
          <cell r="BL273" t="str">
            <v>Airport EG-288</v>
          </cell>
          <cell r="BM273" t="str">
            <v>No</v>
          </cell>
          <cell r="BN273" t="str">
            <v>No</v>
          </cell>
          <cell r="BO273" t="str">
            <v>CPay-000000002</v>
          </cell>
        </row>
        <row r="274">
          <cell r="B274" t="str">
            <v>227809</v>
          </cell>
          <cell r="C274" t="str">
            <v>130.0000000000000000</v>
          </cell>
          <cell r="E274" t="str">
            <v>Cust</v>
          </cell>
          <cell r="G274" t="str">
            <v>No</v>
          </cell>
          <cell r="H274" t="str">
            <v>1900-01-01 00:00:00</v>
          </cell>
          <cell r="K274" t="str">
            <v>M-P</v>
          </cell>
          <cell r="L274" t="str">
            <v>1653.000000</v>
          </cell>
          <cell r="AL274" t="str">
            <v>227809</v>
          </cell>
          <cell r="BC274" t="str">
            <v>Cust-PP</v>
          </cell>
          <cell r="BD274" t="str">
            <v>1.9801980198019800</v>
          </cell>
          <cell r="BE274" t="str">
            <v>.0000000000000000</v>
          </cell>
          <cell r="BF274" t="str">
            <v>.0000000000000000</v>
          </cell>
          <cell r="BG274" t="str">
            <v>None</v>
          </cell>
          <cell r="BK274" t="str">
            <v>2025-02-24 00:00:00</v>
          </cell>
          <cell r="BL274" t="str">
            <v>Airport EG-289</v>
          </cell>
          <cell r="BM274" t="str">
            <v>No</v>
          </cell>
          <cell r="BN274" t="str">
            <v>No</v>
          </cell>
          <cell r="BO274" t="str">
            <v>CPay-000000002</v>
          </cell>
        </row>
        <row r="275">
          <cell r="B275" t="str">
            <v>227810</v>
          </cell>
          <cell r="C275" t="str">
            <v>131.0000000000000000</v>
          </cell>
          <cell r="E275" t="str">
            <v>Cust</v>
          </cell>
          <cell r="G275" t="str">
            <v>No</v>
          </cell>
          <cell r="H275" t="str">
            <v>1900-01-01 00:00:00</v>
          </cell>
          <cell r="K275" t="str">
            <v>M-P</v>
          </cell>
          <cell r="L275" t="str">
            <v>432.630000</v>
          </cell>
          <cell r="AL275" t="str">
            <v>227810</v>
          </cell>
          <cell r="BC275" t="str">
            <v>Cust-PP</v>
          </cell>
          <cell r="BD275" t="str">
            <v>1.9801980198019800</v>
          </cell>
          <cell r="BE275" t="str">
            <v>.0000000000000000</v>
          </cell>
          <cell r="BF275" t="str">
            <v>.0000000000000000</v>
          </cell>
          <cell r="BG275" t="str">
            <v>None</v>
          </cell>
          <cell r="BK275" t="str">
            <v>2025-02-24 00:00:00</v>
          </cell>
          <cell r="BL275" t="str">
            <v>Airport EG-290</v>
          </cell>
          <cell r="BM275" t="str">
            <v>No</v>
          </cell>
          <cell r="BN275" t="str">
            <v>No</v>
          </cell>
          <cell r="BO275" t="str">
            <v>CPay-000000002</v>
          </cell>
        </row>
        <row r="276">
          <cell r="B276" t="str">
            <v>227811</v>
          </cell>
          <cell r="C276" t="str">
            <v>132.0000000000000000</v>
          </cell>
          <cell r="E276" t="str">
            <v>Cust</v>
          </cell>
          <cell r="G276" t="str">
            <v>No</v>
          </cell>
          <cell r="H276" t="str">
            <v>1900-01-01 00:00:00</v>
          </cell>
          <cell r="K276" t="str">
            <v>M-P</v>
          </cell>
          <cell r="L276" t="str">
            <v>1653.000000</v>
          </cell>
          <cell r="AL276" t="str">
            <v>227811</v>
          </cell>
          <cell r="BC276" t="str">
            <v>Cust-PP</v>
          </cell>
          <cell r="BD276" t="str">
            <v>1.9801980198019800</v>
          </cell>
          <cell r="BE276" t="str">
            <v>.0000000000000000</v>
          </cell>
          <cell r="BF276" t="str">
            <v>.0000000000000000</v>
          </cell>
          <cell r="BG276" t="str">
            <v>None</v>
          </cell>
          <cell r="BK276" t="str">
            <v>2025-02-24 00:00:00</v>
          </cell>
          <cell r="BL276" t="str">
            <v>Airport EG-291</v>
          </cell>
          <cell r="BM276" t="str">
            <v>No</v>
          </cell>
          <cell r="BN276" t="str">
            <v>No</v>
          </cell>
          <cell r="BO276" t="str">
            <v>CPay-000000002</v>
          </cell>
        </row>
        <row r="277">
          <cell r="B277" t="str">
            <v>227812</v>
          </cell>
          <cell r="C277" t="str">
            <v>133.0000000000000000</v>
          </cell>
          <cell r="E277" t="str">
            <v>Cust</v>
          </cell>
          <cell r="G277" t="str">
            <v>No</v>
          </cell>
          <cell r="H277" t="str">
            <v>1900-01-01 00:00:00</v>
          </cell>
          <cell r="K277" t="str">
            <v>M-P</v>
          </cell>
          <cell r="L277" t="str">
            <v>309.400000</v>
          </cell>
          <cell r="AL277" t="str">
            <v>227812</v>
          </cell>
          <cell r="BC277" t="str">
            <v>Cust-PP</v>
          </cell>
          <cell r="BD277" t="str">
            <v>1.9801980198019800</v>
          </cell>
          <cell r="BE277" t="str">
            <v>.0000000000000000</v>
          </cell>
          <cell r="BF277" t="str">
            <v>.0000000000000000</v>
          </cell>
          <cell r="BG277" t="str">
            <v>None</v>
          </cell>
          <cell r="BK277" t="str">
            <v>2025-02-24 00:00:00</v>
          </cell>
          <cell r="BL277" t="str">
            <v>Airport EG-292</v>
          </cell>
          <cell r="BM277" t="str">
            <v>No</v>
          </cell>
          <cell r="BN277" t="str">
            <v>No</v>
          </cell>
          <cell r="BO277" t="str">
            <v>CPay-000000002</v>
          </cell>
        </row>
        <row r="278">
          <cell r="B278" t="str">
            <v>227849</v>
          </cell>
          <cell r="C278" t="str">
            <v>134.0000000000000000</v>
          </cell>
          <cell r="E278" t="str">
            <v>Cust</v>
          </cell>
          <cell r="G278" t="str">
            <v>No</v>
          </cell>
          <cell r="H278" t="str">
            <v>1900-01-01 00:00:00</v>
          </cell>
          <cell r="K278" t="str">
            <v>M-P</v>
          </cell>
          <cell r="L278" t="str">
            <v>1653.000000</v>
          </cell>
          <cell r="AL278" t="str">
            <v>227849</v>
          </cell>
          <cell r="BC278" t="str">
            <v>Cust-PP</v>
          </cell>
          <cell r="BD278" t="str">
            <v>1.9801980198019800</v>
          </cell>
          <cell r="BE278" t="str">
            <v>.0000000000000000</v>
          </cell>
          <cell r="BF278" t="str">
            <v>.0000000000000000</v>
          </cell>
          <cell r="BG278" t="str">
            <v>None</v>
          </cell>
          <cell r="BK278" t="str">
            <v>2025-02-24 00:00:00</v>
          </cell>
          <cell r="BL278" t="str">
            <v>Airport EG-293</v>
          </cell>
          <cell r="BM278" t="str">
            <v>No</v>
          </cell>
          <cell r="BN278" t="str">
            <v>No</v>
          </cell>
          <cell r="BO278" t="str">
            <v>CPay-000000002</v>
          </cell>
        </row>
        <row r="279">
          <cell r="B279" t="str">
            <v>227850</v>
          </cell>
          <cell r="C279" t="str">
            <v>135.0000000000000000</v>
          </cell>
          <cell r="E279" t="str">
            <v>Cust</v>
          </cell>
          <cell r="G279" t="str">
            <v>No</v>
          </cell>
          <cell r="H279" t="str">
            <v>1900-01-01 00:00:00</v>
          </cell>
          <cell r="K279" t="str">
            <v>M-P</v>
          </cell>
          <cell r="L279" t="str">
            <v>932.520000</v>
          </cell>
          <cell r="AL279" t="str">
            <v>227850</v>
          </cell>
          <cell r="BC279" t="str">
            <v>Cust-PP</v>
          </cell>
          <cell r="BD279" t="str">
            <v>1.9801980198019800</v>
          </cell>
          <cell r="BE279" t="str">
            <v>.0000000000000000</v>
          </cell>
          <cell r="BF279" t="str">
            <v>.0000000000000000</v>
          </cell>
          <cell r="BG279" t="str">
            <v>None</v>
          </cell>
          <cell r="BK279" t="str">
            <v>2025-02-24 00:00:00</v>
          </cell>
          <cell r="BL279" t="str">
            <v>Airport EG-294</v>
          </cell>
          <cell r="BM279" t="str">
            <v>No</v>
          </cell>
          <cell r="BN279" t="str">
            <v>No</v>
          </cell>
          <cell r="BO279" t="str">
            <v>CPay-000000002</v>
          </cell>
        </row>
        <row r="280">
          <cell r="B280" t="str">
            <v>227853</v>
          </cell>
          <cell r="C280" t="str">
            <v>136.0000000000000000</v>
          </cell>
          <cell r="E280" t="str">
            <v>Cust</v>
          </cell>
          <cell r="G280" t="str">
            <v>No</v>
          </cell>
          <cell r="H280" t="str">
            <v>1900-01-01 00:00:00</v>
          </cell>
          <cell r="K280" t="str">
            <v>M-P</v>
          </cell>
          <cell r="L280" t="str">
            <v>1653.000000</v>
          </cell>
          <cell r="AL280" t="str">
            <v>227853</v>
          </cell>
          <cell r="BC280" t="str">
            <v>Cust-PP</v>
          </cell>
          <cell r="BD280" t="str">
            <v>1.9801980198019800</v>
          </cell>
          <cell r="BE280" t="str">
            <v>.0000000000000000</v>
          </cell>
          <cell r="BF280" t="str">
            <v>.0000000000000000</v>
          </cell>
          <cell r="BG280" t="str">
            <v>None</v>
          </cell>
          <cell r="BK280" t="str">
            <v>2025-02-24 00:00:00</v>
          </cell>
          <cell r="BL280" t="str">
            <v>Airport EG-295</v>
          </cell>
          <cell r="BM280" t="str">
            <v>No</v>
          </cell>
          <cell r="BN280" t="str">
            <v>No</v>
          </cell>
          <cell r="BO280" t="str">
            <v>CPay-000000002</v>
          </cell>
        </row>
        <row r="281">
          <cell r="B281" t="str">
            <v>227854</v>
          </cell>
          <cell r="C281" t="str">
            <v>137.0000000000000000</v>
          </cell>
          <cell r="E281" t="str">
            <v>Cust</v>
          </cell>
          <cell r="G281" t="str">
            <v>No</v>
          </cell>
          <cell r="H281" t="str">
            <v>1900-01-01 00:00:00</v>
          </cell>
          <cell r="K281" t="str">
            <v>M-P</v>
          </cell>
          <cell r="L281" t="str">
            <v>1140.000000</v>
          </cell>
          <cell r="AL281" t="str">
            <v>227854</v>
          </cell>
          <cell r="BC281" t="str">
            <v>Cust-PP</v>
          </cell>
          <cell r="BD281" t="str">
            <v>1.9801980198019800</v>
          </cell>
          <cell r="BE281" t="str">
            <v>.0000000000000000</v>
          </cell>
          <cell r="BF281" t="str">
            <v>.0000000000000000</v>
          </cell>
          <cell r="BG281" t="str">
            <v>None</v>
          </cell>
          <cell r="BK281" t="str">
            <v>2025-02-24 00:00:00</v>
          </cell>
          <cell r="BL281" t="str">
            <v>Airport EG-296</v>
          </cell>
          <cell r="BM281" t="str">
            <v>No</v>
          </cell>
          <cell r="BN281" t="str">
            <v>No</v>
          </cell>
          <cell r="BO281" t="str">
            <v>CPay-000000002</v>
          </cell>
        </row>
        <row r="282">
          <cell r="B282" t="str">
            <v>227882</v>
          </cell>
          <cell r="C282" t="str">
            <v>138.0000000000000000</v>
          </cell>
          <cell r="E282" t="str">
            <v>Cust</v>
          </cell>
          <cell r="G282" t="str">
            <v>No</v>
          </cell>
          <cell r="H282" t="str">
            <v>1900-01-01 00:00:00</v>
          </cell>
          <cell r="K282" t="str">
            <v>M-P</v>
          </cell>
          <cell r="L282" t="str">
            <v>1653.000000</v>
          </cell>
          <cell r="AL282" t="str">
            <v>227882</v>
          </cell>
          <cell r="BC282" t="str">
            <v>Cust-PP</v>
          </cell>
          <cell r="BD282" t="str">
            <v>1.9801980198019800</v>
          </cell>
          <cell r="BE282" t="str">
            <v>.0000000000000000</v>
          </cell>
          <cell r="BF282" t="str">
            <v>.0000000000000000</v>
          </cell>
          <cell r="BG282" t="str">
            <v>None</v>
          </cell>
          <cell r="BK282" t="str">
            <v>2025-02-25 00:00:00</v>
          </cell>
          <cell r="BL282" t="str">
            <v>Airport EG-297</v>
          </cell>
          <cell r="BM282" t="str">
            <v>No</v>
          </cell>
          <cell r="BN282" t="str">
            <v>No</v>
          </cell>
          <cell r="BO282" t="str">
            <v>CPay-000000002</v>
          </cell>
        </row>
        <row r="283">
          <cell r="B283" t="str">
            <v>227883</v>
          </cell>
          <cell r="C283" t="str">
            <v>139.0000000000000000</v>
          </cell>
          <cell r="E283" t="str">
            <v>Cust</v>
          </cell>
          <cell r="G283" t="str">
            <v>No</v>
          </cell>
          <cell r="H283" t="str">
            <v>1900-01-01 00:00:00</v>
          </cell>
          <cell r="K283" t="str">
            <v>M-P</v>
          </cell>
          <cell r="L283" t="str">
            <v>199.500000</v>
          </cell>
          <cell r="AL283" t="str">
            <v>227883</v>
          </cell>
          <cell r="BC283" t="str">
            <v>Cust-PP</v>
          </cell>
          <cell r="BD283" t="str">
            <v>1.9801980198019800</v>
          </cell>
          <cell r="BE283" t="str">
            <v>.0000000000000000</v>
          </cell>
          <cell r="BF283" t="str">
            <v>.0000000000000000</v>
          </cell>
          <cell r="BG283" t="str">
            <v>None</v>
          </cell>
          <cell r="BK283" t="str">
            <v>2025-02-25 00:00:00</v>
          </cell>
          <cell r="BL283" t="str">
            <v>Airport EG-298</v>
          </cell>
          <cell r="BM283" t="str">
            <v>No</v>
          </cell>
          <cell r="BN283" t="str">
            <v>No</v>
          </cell>
          <cell r="BO283" t="str">
            <v>CPay-000000002</v>
          </cell>
        </row>
        <row r="284">
          <cell r="B284" t="str">
            <v>227886</v>
          </cell>
          <cell r="C284" t="str">
            <v>140.0000000000000000</v>
          </cell>
          <cell r="E284" t="str">
            <v>Cust</v>
          </cell>
          <cell r="G284" t="str">
            <v>No</v>
          </cell>
          <cell r="H284" t="str">
            <v>1900-01-01 00:00:00</v>
          </cell>
          <cell r="K284" t="str">
            <v>M-P</v>
          </cell>
          <cell r="L284" t="str">
            <v>1653.000000</v>
          </cell>
          <cell r="AL284" t="str">
            <v>227886</v>
          </cell>
          <cell r="BC284" t="str">
            <v>Cust-PP</v>
          </cell>
          <cell r="BD284" t="str">
            <v>1.9801980198019800</v>
          </cell>
          <cell r="BE284" t="str">
            <v>.0000000000000000</v>
          </cell>
          <cell r="BF284" t="str">
            <v>.0000000000000000</v>
          </cell>
          <cell r="BG284" t="str">
            <v>None</v>
          </cell>
          <cell r="BK284" t="str">
            <v>2025-02-25 00:00:00</v>
          </cell>
          <cell r="BL284" t="str">
            <v>Airport EG-299</v>
          </cell>
          <cell r="BM284" t="str">
            <v>No</v>
          </cell>
          <cell r="BN284" t="str">
            <v>No</v>
          </cell>
          <cell r="BO284" t="str">
            <v>CPay-000000002</v>
          </cell>
        </row>
        <row r="285">
          <cell r="B285" t="str">
            <v>227887</v>
          </cell>
          <cell r="C285" t="str">
            <v>141.0000000000000000</v>
          </cell>
          <cell r="E285" t="str">
            <v>Cust</v>
          </cell>
          <cell r="G285" t="str">
            <v>No</v>
          </cell>
          <cell r="H285" t="str">
            <v>1900-01-01 00:00:00</v>
          </cell>
          <cell r="K285" t="str">
            <v>M-P</v>
          </cell>
          <cell r="L285" t="str">
            <v>541.500000</v>
          </cell>
          <cell r="AL285" t="str">
            <v>227887</v>
          </cell>
          <cell r="BC285" t="str">
            <v>Cust-PP</v>
          </cell>
          <cell r="BD285" t="str">
            <v>1.9801980198019800</v>
          </cell>
          <cell r="BE285" t="str">
            <v>.0000000000000000</v>
          </cell>
          <cell r="BF285" t="str">
            <v>.0000000000000000</v>
          </cell>
          <cell r="BG285" t="str">
            <v>None</v>
          </cell>
          <cell r="BK285" t="str">
            <v>2025-02-25 00:00:00</v>
          </cell>
          <cell r="BL285" t="str">
            <v>Airport EG-300</v>
          </cell>
          <cell r="BM285" t="str">
            <v>No</v>
          </cell>
          <cell r="BN285" t="str">
            <v>No</v>
          </cell>
          <cell r="BO285" t="str">
            <v>CPay-000000002</v>
          </cell>
        </row>
        <row r="286">
          <cell r="B286" t="str">
            <v>227888</v>
          </cell>
          <cell r="C286" t="str">
            <v>142.0000000000000000</v>
          </cell>
          <cell r="E286" t="str">
            <v>Cust</v>
          </cell>
          <cell r="G286" t="str">
            <v>No</v>
          </cell>
          <cell r="H286" t="str">
            <v>1900-01-01 00:00:00</v>
          </cell>
          <cell r="K286" t="str">
            <v>M-P</v>
          </cell>
          <cell r="L286" t="str">
            <v>1653.000000</v>
          </cell>
          <cell r="AL286" t="str">
            <v>227888</v>
          </cell>
          <cell r="BC286" t="str">
            <v>Cust-PP</v>
          </cell>
          <cell r="BD286" t="str">
            <v>1.9801980198019800</v>
          </cell>
          <cell r="BE286" t="str">
            <v>.0000000000000000</v>
          </cell>
          <cell r="BF286" t="str">
            <v>.0000000000000000</v>
          </cell>
          <cell r="BG286" t="str">
            <v>None</v>
          </cell>
          <cell r="BK286" t="str">
            <v>2025-02-25 00:00:00</v>
          </cell>
          <cell r="BL286" t="str">
            <v>Airport EG-301</v>
          </cell>
          <cell r="BM286" t="str">
            <v>No</v>
          </cell>
          <cell r="BN286" t="str">
            <v>No</v>
          </cell>
          <cell r="BO286" t="str">
            <v>CPay-000000002</v>
          </cell>
        </row>
        <row r="287">
          <cell r="B287" t="str">
            <v>227889</v>
          </cell>
          <cell r="C287" t="str">
            <v>143.0000000000000000</v>
          </cell>
          <cell r="E287" t="str">
            <v>Cust</v>
          </cell>
          <cell r="G287" t="str">
            <v>No</v>
          </cell>
          <cell r="H287" t="str">
            <v>1900-01-01 00:00:00</v>
          </cell>
          <cell r="K287" t="str">
            <v>M-P</v>
          </cell>
          <cell r="L287" t="str">
            <v>285.000000</v>
          </cell>
          <cell r="AL287" t="str">
            <v>227889</v>
          </cell>
          <cell r="BC287" t="str">
            <v>Cust-PP</v>
          </cell>
          <cell r="BD287" t="str">
            <v>1.9801980198019800</v>
          </cell>
          <cell r="BE287" t="str">
            <v>.0000000000000000</v>
          </cell>
          <cell r="BF287" t="str">
            <v>.0000000000000000</v>
          </cell>
          <cell r="BG287" t="str">
            <v>None</v>
          </cell>
          <cell r="BK287" t="str">
            <v>2025-02-25 00:00:00</v>
          </cell>
          <cell r="BL287" t="str">
            <v>Airport EG-302</v>
          </cell>
          <cell r="BM287" t="str">
            <v>No</v>
          </cell>
          <cell r="BN287" t="str">
            <v>No</v>
          </cell>
          <cell r="BO287" t="str">
            <v>CPay-000000002</v>
          </cell>
        </row>
        <row r="288">
          <cell r="B288" t="str">
            <v>227921</v>
          </cell>
          <cell r="C288" t="str">
            <v>144.0000000000000000</v>
          </cell>
          <cell r="E288" t="str">
            <v>Cust</v>
          </cell>
          <cell r="G288" t="str">
            <v>No</v>
          </cell>
          <cell r="H288" t="str">
            <v>1900-01-01 00:00:00</v>
          </cell>
          <cell r="K288" t="str">
            <v>M-P</v>
          </cell>
          <cell r="L288" t="str">
            <v>524.400000</v>
          </cell>
          <cell r="AL288" t="str">
            <v>227921</v>
          </cell>
          <cell r="BC288" t="str">
            <v>Cust-PP</v>
          </cell>
          <cell r="BD288" t="str">
            <v>1.9801980198019800</v>
          </cell>
          <cell r="BE288" t="str">
            <v>.0000000000000000</v>
          </cell>
          <cell r="BF288" t="str">
            <v>.0000000000000000</v>
          </cell>
          <cell r="BG288" t="str">
            <v>None</v>
          </cell>
          <cell r="BK288" t="str">
            <v>2025-02-25 00:00:00</v>
          </cell>
          <cell r="BL288" t="str">
            <v>Airport EG-303</v>
          </cell>
          <cell r="BM288" t="str">
            <v>No</v>
          </cell>
          <cell r="BN288" t="str">
            <v>No</v>
          </cell>
          <cell r="BO288" t="str">
            <v>CPay-000000002</v>
          </cell>
        </row>
        <row r="289">
          <cell r="B289" t="str">
            <v>227954</v>
          </cell>
          <cell r="C289" t="str">
            <v>145.0000000000000000</v>
          </cell>
          <cell r="E289" t="str">
            <v>Cust</v>
          </cell>
          <cell r="G289" t="str">
            <v>No</v>
          </cell>
          <cell r="H289" t="str">
            <v>1900-01-01 00:00:00</v>
          </cell>
          <cell r="K289" t="str">
            <v>M-P</v>
          </cell>
          <cell r="L289" t="str">
            <v>1653.000000</v>
          </cell>
          <cell r="AL289" t="str">
            <v>227954</v>
          </cell>
          <cell r="BC289" t="str">
            <v>Cust-PP</v>
          </cell>
          <cell r="BD289" t="str">
            <v>1.9801980198019800</v>
          </cell>
          <cell r="BE289" t="str">
            <v>.0000000000000000</v>
          </cell>
          <cell r="BF289" t="str">
            <v>.0000000000000000</v>
          </cell>
          <cell r="BG289" t="str">
            <v>None</v>
          </cell>
          <cell r="BK289" t="str">
            <v>2025-02-25 00:00:00</v>
          </cell>
          <cell r="BL289" t="str">
            <v>Airport EG-304</v>
          </cell>
          <cell r="BM289" t="str">
            <v>No</v>
          </cell>
          <cell r="BN289" t="str">
            <v>No</v>
          </cell>
          <cell r="BO289" t="str">
            <v>CPay-000000002</v>
          </cell>
        </row>
        <row r="290">
          <cell r="B290" t="str">
            <v>227955</v>
          </cell>
          <cell r="C290" t="str">
            <v>146.0000000000000000</v>
          </cell>
          <cell r="E290" t="str">
            <v>Cust</v>
          </cell>
          <cell r="G290" t="str">
            <v>No</v>
          </cell>
          <cell r="H290" t="str">
            <v>1900-01-01 00:00:00</v>
          </cell>
          <cell r="K290" t="str">
            <v>M-P</v>
          </cell>
          <cell r="L290" t="str">
            <v>541.500000</v>
          </cell>
          <cell r="AL290" t="str">
            <v>227955</v>
          </cell>
          <cell r="BC290" t="str">
            <v>Cust-PP</v>
          </cell>
          <cell r="BD290" t="str">
            <v>1.9801980198019800</v>
          </cell>
          <cell r="BE290" t="str">
            <v>.0000000000000000</v>
          </cell>
          <cell r="BF290" t="str">
            <v>.0000000000000000</v>
          </cell>
          <cell r="BG290" t="str">
            <v>None</v>
          </cell>
          <cell r="BK290" t="str">
            <v>2025-02-25 00:00:00</v>
          </cell>
          <cell r="BL290" t="str">
            <v>Airport EG-305</v>
          </cell>
          <cell r="BM290" t="str">
            <v>No</v>
          </cell>
          <cell r="BN290" t="str">
            <v>No</v>
          </cell>
          <cell r="BO290" t="str">
            <v>CPay-000000002</v>
          </cell>
        </row>
        <row r="291">
          <cell r="B291" t="str">
            <v>227998</v>
          </cell>
          <cell r="C291" t="str">
            <v>147.0000000000000000</v>
          </cell>
          <cell r="E291" t="str">
            <v>Cust</v>
          </cell>
          <cell r="G291" t="str">
            <v>No</v>
          </cell>
          <cell r="H291" t="str">
            <v>1900-01-01 00:00:00</v>
          </cell>
          <cell r="K291" t="str">
            <v>M-P</v>
          </cell>
          <cell r="L291" t="str">
            <v>1653.000000</v>
          </cell>
          <cell r="AL291" t="str">
            <v>227998</v>
          </cell>
          <cell r="BC291" t="str">
            <v>Cust-PP</v>
          </cell>
          <cell r="BD291" t="str">
            <v>1.9801980198019800</v>
          </cell>
          <cell r="BE291" t="str">
            <v>.0000000000000000</v>
          </cell>
          <cell r="BF291" t="str">
            <v>.0000000000000000</v>
          </cell>
          <cell r="BG291" t="str">
            <v>None</v>
          </cell>
          <cell r="BK291" t="str">
            <v>2025-02-25 00:00:00</v>
          </cell>
          <cell r="BL291" t="str">
            <v>Airport EG-307</v>
          </cell>
          <cell r="BM291" t="str">
            <v>No</v>
          </cell>
          <cell r="BN291" t="str">
            <v>No</v>
          </cell>
          <cell r="BO291" t="str">
            <v>CPay-000000002</v>
          </cell>
        </row>
        <row r="292">
          <cell r="B292" t="str">
            <v>227999</v>
          </cell>
          <cell r="C292" t="str">
            <v>148.0000000000000000</v>
          </cell>
          <cell r="E292" t="str">
            <v>Cust</v>
          </cell>
          <cell r="G292" t="str">
            <v>No</v>
          </cell>
          <cell r="H292" t="str">
            <v>1900-01-01 00:00:00</v>
          </cell>
          <cell r="K292" t="str">
            <v>M-P</v>
          </cell>
          <cell r="L292" t="str">
            <v>698.820000</v>
          </cell>
          <cell r="AL292" t="str">
            <v>227999</v>
          </cell>
          <cell r="BC292" t="str">
            <v>Cust-PP</v>
          </cell>
          <cell r="BD292" t="str">
            <v>1.9801980198019800</v>
          </cell>
          <cell r="BE292" t="str">
            <v>.0000000000000000</v>
          </cell>
          <cell r="BF292" t="str">
            <v>.0000000000000000</v>
          </cell>
          <cell r="BG292" t="str">
            <v>None</v>
          </cell>
          <cell r="BK292" t="str">
            <v>2025-02-25 00:00:00</v>
          </cell>
          <cell r="BL292" t="str">
            <v>Airport EG-308</v>
          </cell>
          <cell r="BM292" t="str">
            <v>No</v>
          </cell>
          <cell r="BN292" t="str">
            <v>No</v>
          </cell>
          <cell r="BO292" t="str">
            <v>CPay-000000002</v>
          </cell>
        </row>
        <row r="293">
          <cell r="B293" t="str">
            <v>228072</v>
          </cell>
          <cell r="C293" t="str">
            <v>149.0000000000000000</v>
          </cell>
          <cell r="E293" t="str">
            <v>Cust</v>
          </cell>
          <cell r="G293" t="str">
            <v>No</v>
          </cell>
          <cell r="H293" t="str">
            <v>1900-01-01 00:00:00</v>
          </cell>
          <cell r="K293" t="str">
            <v>M-P</v>
          </cell>
          <cell r="L293" t="str">
            <v>1653.000000</v>
          </cell>
          <cell r="AL293" t="str">
            <v>228072</v>
          </cell>
          <cell r="BC293" t="str">
            <v>Cust-PP</v>
          </cell>
          <cell r="BD293" t="str">
            <v>1.9801980198019800</v>
          </cell>
          <cell r="BE293" t="str">
            <v>.0000000000000000</v>
          </cell>
          <cell r="BF293" t="str">
            <v>.0000000000000000</v>
          </cell>
          <cell r="BG293" t="str">
            <v>None</v>
          </cell>
          <cell r="BK293" t="str">
            <v>2025-02-26 00:00:00</v>
          </cell>
          <cell r="BL293" t="str">
            <v>Airport EG-310</v>
          </cell>
          <cell r="BM293" t="str">
            <v>No</v>
          </cell>
          <cell r="BN293" t="str">
            <v>No</v>
          </cell>
          <cell r="BO293" t="str">
            <v>CPay-000000002</v>
          </cell>
        </row>
        <row r="294">
          <cell r="B294" t="str">
            <v>228074</v>
          </cell>
          <cell r="C294" t="str">
            <v>150.0000000000000000</v>
          </cell>
          <cell r="E294" t="str">
            <v>Cust</v>
          </cell>
          <cell r="G294" t="str">
            <v>No</v>
          </cell>
          <cell r="H294" t="str">
            <v>1900-01-01 00:00:00</v>
          </cell>
          <cell r="K294" t="str">
            <v>M-P</v>
          </cell>
          <cell r="L294" t="str">
            <v>199.500000</v>
          </cell>
          <cell r="AL294" t="str">
            <v>228074</v>
          </cell>
          <cell r="BC294" t="str">
            <v>Cust-PP</v>
          </cell>
          <cell r="BD294" t="str">
            <v>1.9801980198019800</v>
          </cell>
          <cell r="BE294" t="str">
            <v>.0000000000000000</v>
          </cell>
          <cell r="BF294" t="str">
            <v>.0000000000000000</v>
          </cell>
          <cell r="BG294" t="str">
            <v>None</v>
          </cell>
          <cell r="BK294" t="str">
            <v>2025-02-26 00:00:00</v>
          </cell>
          <cell r="BL294" t="str">
            <v>Airport EG-311</v>
          </cell>
          <cell r="BM294" t="str">
            <v>No</v>
          </cell>
          <cell r="BN294" t="str">
            <v>No</v>
          </cell>
          <cell r="BO294" t="str">
            <v>CPay-000000002</v>
          </cell>
        </row>
        <row r="295">
          <cell r="B295" t="str">
            <v>228142</v>
          </cell>
          <cell r="C295" t="str">
            <v>151.0000000000000000</v>
          </cell>
          <cell r="E295" t="str">
            <v>Cust</v>
          </cell>
          <cell r="G295" t="str">
            <v>No</v>
          </cell>
          <cell r="H295" t="str">
            <v>1900-01-01 00:00:00</v>
          </cell>
          <cell r="K295" t="str">
            <v>M-P</v>
          </cell>
          <cell r="L295" t="str">
            <v>1653.000000</v>
          </cell>
          <cell r="AL295" t="str">
            <v>228142</v>
          </cell>
          <cell r="BC295" t="str">
            <v>Cust-PP</v>
          </cell>
          <cell r="BD295" t="str">
            <v>1.9801980198019800</v>
          </cell>
          <cell r="BE295" t="str">
            <v>.0000000000000000</v>
          </cell>
          <cell r="BF295" t="str">
            <v>.0000000000000000</v>
          </cell>
          <cell r="BG295" t="str">
            <v>None</v>
          </cell>
          <cell r="BK295" t="str">
            <v>2025-02-26 00:00:00</v>
          </cell>
          <cell r="BL295" t="str">
            <v>Airport EG-312</v>
          </cell>
          <cell r="BM295" t="str">
            <v>No</v>
          </cell>
          <cell r="BN295" t="str">
            <v>No</v>
          </cell>
          <cell r="BO295" t="str">
            <v>CPay-000000002</v>
          </cell>
        </row>
        <row r="296">
          <cell r="B296" t="str">
            <v>228144</v>
          </cell>
          <cell r="C296" t="str">
            <v>152.0000000000000000</v>
          </cell>
          <cell r="E296" t="str">
            <v>Cust</v>
          </cell>
          <cell r="G296" t="str">
            <v>No</v>
          </cell>
          <cell r="H296" t="str">
            <v>1900-01-01 00:00:00</v>
          </cell>
          <cell r="K296" t="str">
            <v>M-P</v>
          </cell>
          <cell r="L296" t="str">
            <v>262.200000</v>
          </cell>
          <cell r="AL296" t="str">
            <v>228144</v>
          </cell>
          <cell r="BC296" t="str">
            <v>Cust-PP</v>
          </cell>
          <cell r="BD296" t="str">
            <v>1.9801980198019800</v>
          </cell>
          <cell r="BE296" t="str">
            <v>.0000000000000000</v>
          </cell>
          <cell r="BF296" t="str">
            <v>.0000000000000000</v>
          </cell>
          <cell r="BG296" t="str">
            <v>None</v>
          </cell>
          <cell r="BK296" t="str">
            <v>2025-02-26 00:00:00</v>
          </cell>
          <cell r="BL296" t="str">
            <v>Airport EG-313</v>
          </cell>
          <cell r="BM296" t="str">
            <v>No</v>
          </cell>
          <cell r="BN296" t="str">
            <v>No</v>
          </cell>
          <cell r="BO296" t="str">
            <v>CPay-000000002</v>
          </cell>
        </row>
        <row r="297">
          <cell r="B297" t="str">
            <v>228148</v>
          </cell>
          <cell r="C297" t="str">
            <v>153.0000000000000000</v>
          </cell>
          <cell r="E297" t="str">
            <v>Cust</v>
          </cell>
          <cell r="G297" t="str">
            <v>No</v>
          </cell>
          <cell r="H297" t="str">
            <v>1900-01-01 00:00:00</v>
          </cell>
          <cell r="K297" t="str">
            <v>M-P</v>
          </cell>
          <cell r="L297" t="str">
            <v>1653.000000</v>
          </cell>
          <cell r="AL297" t="str">
            <v>228148</v>
          </cell>
          <cell r="BC297" t="str">
            <v>Cust-PP</v>
          </cell>
          <cell r="BD297" t="str">
            <v>1.9801980198019800</v>
          </cell>
          <cell r="BE297" t="str">
            <v>.0000000000000000</v>
          </cell>
          <cell r="BF297" t="str">
            <v>.0000000000000000</v>
          </cell>
          <cell r="BG297" t="str">
            <v>None</v>
          </cell>
          <cell r="BK297" t="str">
            <v>2025-02-26 00:00:00</v>
          </cell>
          <cell r="BL297" t="str">
            <v>Airport EG-314</v>
          </cell>
          <cell r="BM297" t="str">
            <v>No</v>
          </cell>
          <cell r="BN297" t="str">
            <v>No</v>
          </cell>
          <cell r="BO297" t="str">
            <v>CPay-000000002</v>
          </cell>
        </row>
        <row r="298">
          <cell r="B298" t="str">
            <v>228149</v>
          </cell>
          <cell r="C298" t="str">
            <v>154.0000000000000000</v>
          </cell>
          <cell r="E298" t="str">
            <v>Cust</v>
          </cell>
          <cell r="G298" t="str">
            <v>No</v>
          </cell>
          <cell r="H298" t="str">
            <v>1900-01-01 00:00:00</v>
          </cell>
          <cell r="K298" t="str">
            <v>M-P</v>
          </cell>
          <cell r="L298" t="str">
            <v>199.500000</v>
          </cell>
          <cell r="AL298" t="str">
            <v>228149</v>
          </cell>
          <cell r="BC298" t="str">
            <v>Cust-PP</v>
          </cell>
          <cell r="BD298" t="str">
            <v>1.9801980198019800</v>
          </cell>
          <cell r="BE298" t="str">
            <v>.0000000000000000</v>
          </cell>
          <cell r="BF298" t="str">
            <v>.0000000000000000</v>
          </cell>
          <cell r="BG298" t="str">
            <v>None</v>
          </cell>
          <cell r="BK298" t="str">
            <v>2025-02-26 00:00:00</v>
          </cell>
          <cell r="BL298" t="str">
            <v>Airport EG-315</v>
          </cell>
          <cell r="BM298" t="str">
            <v>No</v>
          </cell>
          <cell r="BN298" t="str">
            <v>No</v>
          </cell>
          <cell r="BO298" t="str">
            <v>CPay-000000002</v>
          </cell>
        </row>
        <row r="299">
          <cell r="B299" t="str">
            <v>228208</v>
          </cell>
          <cell r="C299" t="str">
            <v>155.0000000000000000</v>
          </cell>
          <cell r="E299" t="str">
            <v>Cust</v>
          </cell>
          <cell r="G299" t="str">
            <v>No</v>
          </cell>
          <cell r="H299" t="str">
            <v>1900-01-01 00:00:00</v>
          </cell>
          <cell r="K299" t="str">
            <v>M-P</v>
          </cell>
          <cell r="L299" t="str">
            <v>1653.000000</v>
          </cell>
          <cell r="AL299" t="str">
            <v>228208</v>
          </cell>
          <cell r="BC299" t="str">
            <v>Cust-PP</v>
          </cell>
          <cell r="BD299" t="str">
            <v>1.9801980198019800</v>
          </cell>
          <cell r="BE299" t="str">
            <v>.0000000000000000</v>
          </cell>
          <cell r="BF299" t="str">
            <v>.0000000000000000</v>
          </cell>
          <cell r="BG299" t="str">
            <v>None</v>
          </cell>
          <cell r="BK299" t="str">
            <v>2025-02-26 00:00:00</v>
          </cell>
          <cell r="BL299" t="str">
            <v>Airport EG-316</v>
          </cell>
          <cell r="BM299" t="str">
            <v>No</v>
          </cell>
          <cell r="BN299" t="str">
            <v>No</v>
          </cell>
          <cell r="BO299" t="str">
            <v>CPay-000000002</v>
          </cell>
        </row>
        <row r="300">
          <cell r="B300" t="str">
            <v>228209</v>
          </cell>
          <cell r="C300" t="str">
            <v>156.0000000000000000</v>
          </cell>
          <cell r="E300" t="str">
            <v>Cust</v>
          </cell>
          <cell r="G300" t="str">
            <v>No</v>
          </cell>
          <cell r="H300" t="str">
            <v>1900-01-01 00:00:00</v>
          </cell>
          <cell r="K300" t="str">
            <v>M-P</v>
          </cell>
          <cell r="L300" t="str">
            <v>974.700000</v>
          </cell>
          <cell r="AL300" t="str">
            <v>228209</v>
          </cell>
          <cell r="BC300" t="str">
            <v>Cust-PP</v>
          </cell>
          <cell r="BD300" t="str">
            <v>1.9801980198019800</v>
          </cell>
          <cell r="BE300" t="str">
            <v>.0000000000000000</v>
          </cell>
          <cell r="BF300" t="str">
            <v>.0000000000000000</v>
          </cell>
          <cell r="BG300" t="str">
            <v>None</v>
          </cell>
          <cell r="BK300" t="str">
            <v>2025-02-26 00:00:00</v>
          </cell>
          <cell r="BL300" t="str">
            <v>Airport EG-317</v>
          </cell>
          <cell r="BM300" t="str">
            <v>No</v>
          </cell>
          <cell r="BN300" t="str">
            <v>No</v>
          </cell>
          <cell r="BO300" t="str">
            <v>CPay-000000002</v>
          </cell>
        </row>
        <row r="301">
          <cell r="B301" t="str">
            <v>228210</v>
          </cell>
          <cell r="C301" t="str">
            <v>157.0000000000000000</v>
          </cell>
          <cell r="E301" t="str">
            <v>Cust</v>
          </cell>
          <cell r="G301" t="str">
            <v>No</v>
          </cell>
          <cell r="H301" t="str">
            <v>1900-01-01 00:00:00</v>
          </cell>
          <cell r="K301" t="str">
            <v>M-P</v>
          </cell>
          <cell r="L301" t="str">
            <v>1653.000000</v>
          </cell>
          <cell r="AL301" t="str">
            <v>228210</v>
          </cell>
          <cell r="BC301" t="str">
            <v>Cust-PP</v>
          </cell>
          <cell r="BD301" t="str">
            <v>1.9801980198019800</v>
          </cell>
          <cell r="BE301" t="str">
            <v>.0000000000000000</v>
          </cell>
          <cell r="BF301" t="str">
            <v>.0000000000000000</v>
          </cell>
          <cell r="BG301" t="str">
            <v>None</v>
          </cell>
          <cell r="BK301" t="str">
            <v>2025-02-26 00:00:00</v>
          </cell>
          <cell r="BL301" t="str">
            <v>Airport EG-318</v>
          </cell>
          <cell r="BM301" t="str">
            <v>No</v>
          </cell>
          <cell r="BN301" t="str">
            <v>No</v>
          </cell>
          <cell r="BO301" t="str">
            <v>CPay-000000002</v>
          </cell>
        </row>
        <row r="302">
          <cell r="B302" t="str">
            <v>228211</v>
          </cell>
          <cell r="C302" t="str">
            <v>158.0000000000000000</v>
          </cell>
          <cell r="E302" t="str">
            <v>Cust</v>
          </cell>
          <cell r="G302" t="str">
            <v>No</v>
          </cell>
          <cell r="H302" t="str">
            <v>1900-01-01 00:00:00</v>
          </cell>
          <cell r="K302" t="str">
            <v>M-P</v>
          </cell>
          <cell r="L302" t="str">
            <v>735.300000</v>
          </cell>
          <cell r="AL302" t="str">
            <v>228211</v>
          </cell>
          <cell r="BC302" t="str">
            <v>Cust-PP</v>
          </cell>
          <cell r="BD302" t="str">
            <v>1.9801980198019800</v>
          </cell>
          <cell r="BE302" t="str">
            <v>.0000000000000000</v>
          </cell>
          <cell r="BF302" t="str">
            <v>.0000000000000000</v>
          </cell>
          <cell r="BG302" t="str">
            <v>None</v>
          </cell>
          <cell r="BK302" t="str">
            <v>2025-02-26 00:00:00</v>
          </cell>
          <cell r="BL302" t="str">
            <v>Airport EG-319</v>
          </cell>
          <cell r="BM302" t="str">
            <v>No</v>
          </cell>
          <cell r="BN302" t="str">
            <v>No</v>
          </cell>
          <cell r="BO302" t="str">
            <v>CPay-000000002</v>
          </cell>
        </row>
        <row r="303">
          <cell r="B303" t="str">
            <v>228212</v>
          </cell>
          <cell r="C303" t="str">
            <v>159.0000000000000000</v>
          </cell>
          <cell r="E303" t="str">
            <v>Cust</v>
          </cell>
          <cell r="G303" t="str">
            <v>No</v>
          </cell>
          <cell r="H303" t="str">
            <v>1900-01-01 00:00:00</v>
          </cell>
          <cell r="K303" t="str">
            <v>M-P</v>
          </cell>
          <cell r="L303" t="str">
            <v>1653.000000</v>
          </cell>
          <cell r="AL303" t="str">
            <v>228212</v>
          </cell>
          <cell r="BC303" t="str">
            <v>Cust-PP</v>
          </cell>
          <cell r="BD303" t="str">
            <v>1.9801980198019800</v>
          </cell>
          <cell r="BE303" t="str">
            <v>.0000000000000000</v>
          </cell>
          <cell r="BF303" t="str">
            <v>.0000000000000000</v>
          </cell>
          <cell r="BG303" t="str">
            <v>None</v>
          </cell>
          <cell r="BK303" t="str">
            <v>2025-02-26 00:00:00</v>
          </cell>
          <cell r="BL303" t="str">
            <v>Airport EG-320</v>
          </cell>
          <cell r="BM303" t="str">
            <v>No</v>
          </cell>
          <cell r="BN303" t="str">
            <v>No</v>
          </cell>
          <cell r="BO303" t="str">
            <v>CPay-000000002</v>
          </cell>
        </row>
        <row r="304">
          <cell r="B304" t="str">
            <v>228214</v>
          </cell>
          <cell r="C304" t="str">
            <v>160.0000000000000000</v>
          </cell>
          <cell r="E304" t="str">
            <v>Cust</v>
          </cell>
          <cell r="G304" t="str">
            <v>No</v>
          </cell>
          <cell r="H304" t="str">
            <v>1900-01-01 00:00:00</v>
          </cell>
          <cell r="K304" t="str">
            <v>M-P</v>
          </cell>
          <cell r="L304" t="str">
            <v>869.820000</v>
          </cell>
          <cell r="AL304" t="str">
            <v>228214</v>
          </cell>
          <cell r="BC304" t="str">
            <v>Cust-PP</v>
          </cell>
          <cell r="BD304" t="str">
            <v>1.9801980198019800</v>
          </cell>
          <cell r="BE304" t="str">
            <v>.0000000000000000</v>
          </cell>
          <cell r="BF304" t="str">
            <v>.0000000000000000</v>
          </cell>
          <cell r="BG304" t="str">
            <v>None</v>
          </cell>
          <cell r="BK304" t="str">
            <v>2025-02-26 00:00:00</v>
          </cell>
          <cell r="BL304" t="str">
            <v>Airport EG-321</v>
          </cell>
          <cell r="BM304" t="str">
            <v>No</v>
          </cell>
          <cell r="BN304" t="str">
            <v>No</v>
          </cell>
          <cell r="BO304" t="str">
            <v>CPay-000000002</v>
          </cell>
        </row>
        <row r="305">
          <cell r="B305" t="str">
            <v>228316</v>
          </cell>
          <cell r="C305" t="str">
            <v>161.0000000000000000</v>
          </cell>
          <cell r="E305" t="str">
            <v>Cust</v>
          </cell>
          <cell r="G305" t="str">
            <v>No</v>
          </cell>
          <cell r="H305" t="str">
            <v>1900-01-01 00:00:00</v>
          </cell>
          <cell r="K305" t="str">
            <v>M-P</v>
          </cell>
          <cell r="L305" t="str">
            <v>1653.000000</v>
          </cell>
          <cell r="AL305" t="str">
            <v>228316</v>
          </cell>
          <cell r="BC305" t="str">
            <v>Cust-PP</v>
          </cell>
          <cell r="BD305" t="str">
            <v>1.9801980198019800</v>
          </cell>
          <cell r="BE305" t="str">
            <v>.0000000000000000</v>
          </cell>
          <cell r="BF305" t="str">
            <v>.0000000000000000</v>
          </cell>
          <cell r="BG305" t="str">
            <v>None</v>
          </cell>
          <cell r="BK305" t="str">
            <v>2025-02-27 00:00:00</v>
          </cell>
          <cell r="BL305" t="str">
            <v>Airport EG-324</v>
          </cell>
          <cell r="BM305" t="str">
            <v>No</v>
          </cell>
          <cell r="BN305" t="str">
            <v>No</v>
          </cell>
          <cell r="BO305" t="str">
            <v>CPay-000000002</v>
          </cell>
        </row>
        <row r="306">
          <cell r="B306" t="str">
            <v>228317</v>
          </cell>
          <cell r="C306" t="str">
            <v>162.0000000000000000</v>
          </cell>
          <cell r="E306" t="str">
            <v>Cust</v>
          </cell>
          <cell r="G306" t="str">
            <v>No</v>
          </cell>
          <cell r="H306" t="str">
            <v>1900-01-01 00:00:00</v>
          </cell>
          <cell r="K306" t="str">
            <v>M-P</v>
          </cell>
          <cell r="L306" t="str">
            <v>627.000000</v>
          </cell>
          <cell r="AL306" t="str">
            <v>228317</v>
          </cell>
          <cell r="BC306" t="str">
            <v>Cust-PP</v>
          </cell>
          <cell r="BD306" t="str">
            <v>1.9801980198019800</v>
          </cell>
          <cell r="BE306" t="str">
            <v>.0000000000000000</v>
          </cell>
          <cell r="BF306" t="str">
            <v>.0000000000000000</v>
          </cell>
          <cell r="BG306" t="str">
            <v>None</v>
          </cell>
          <cell r="BK306" t="str">
            <v>2025-02-27 00:00:00</v>
          </cell>
          <cell r="BL306" t="str">
            <v>Airport EG-325</v>
          </cell>
          <cell r="BM306" t="str">
            <v>No</v>
          </cell>
          <cell r="BN306" t="str">
            <v>No</v>
          </cell>
          <cell r="BO306" t="str">
            <v>CPay-000000002</v>
          </cell>
        </row>
        <row r="307">
          <cell r="B307" t="str">
            <v>228336</v>
          </cell>
          <cell r="C307" t="str">
            <v>163.0000000000000000</v>
          </cell>
          <cell r="E307" t="str">
            <v>Cust</v>
          </cell>
          <cell r="G307" t="str">
            <v>No</v>
          </cell>
          <cell r="H307" t="str">
            <v>1900-01-01 00:00:00</v>
          </cell>
          <cell r="K307" t="str">
            <v>M-P</v>
          </cell>
          <cell r="L307" t="str">
            <v>1653.000000</v>
          </cell>
          <cell r="AL307" t="str">
            <v>228336</v>
          </cell>
          <cell r="BC307" t="str">
            <v>Cust-PP</v>
          </cell>
          <cell r="BD307" t="str">
            <v>1.9801980198019800</v>
          </cell>
          <cell r="BE307" t="str">
            <v>.0000000000000000</v>
          </cell>
          <cell r="BF307" t="str">
            <v>.0000000000000000</v>
          </cell>
          <cell r="BG307" t="str">
            <v>None</v>
          </cell>
          <cell r="BK307" t="str">
            <v>2025-02-27 00:00:00</v>
          </cell>
          <cell r="BL307" t="str">
            <v>Airport EG-326</v>
          </cell>
          <cell r="BM307" t="str">
            <v>No</v>
          </cell>
          <cell r="BN307" t="str">
            <v>No</v>
          </cell>
          <cell r="BO307" t="str">
            <v>CPay-000000002</v>
          </cell>
        </row>
        <row r="308">
          <cell r="B308" t="str">
            <v>228337</v>
          </cell>
          <cell r="C308" t="str">
            <v>164.0000000000000000</v>
          </cell>
          <cell r="E308" t="str">
            <v>Cust</v>
          </cell>
          <cell r="G308" t="str">
            <v>No</v>
          </cell>
          <cell r="H308" t="str">
            <v>1900-01-01 00:00:00</v>
          </cell>
          <cell r="K308" t="str">
            <v>M-P</v>
          </cell>
          <cell r="L308" t="str">
            <v>592.570000</v>
          </cell>
          <cell r="AL308" t="str">
            <v>228337</v>
          </cell>
          <cell r="BC308" t="str">
            <v>Cust-PP</v>
          </cell>
          <cell r="BD308" t="str">
            <v>1.9801980198019800</v>
          </cell>
          <cell r="BE308" t="str">
            <v>.0000000000000000</v>
          </cell>
          <cell r="BF308" t="str">
            <v>.0000000000000000</v>
          </cell>
          <cell r="BG308" t="str">
            <v>None</v>
          </cell>
          <cell r="BK308" t="str">
            <v>2025-02-27 00:00:00</v>
          </cell>
          <cell r="BL308" t="str">
            <v>Airport EG-327</v>
          </cell>
          <cell r="BM308" t="str">
            <v>No</v>
          </cell>
          <cell r="BN308" t="str">
            <v>No</v>
          </cell>
          <cell r="BO308" t="str">
            <v>CPay-000000002</v>
          </cell>
        </row>
        <row r="309">
          <cell r="B309" t="str">
            <v>228340</v>
          </cell>
          <cell r="C309" t="str">
            <v>165.0000000000000000</v>
          </cell>
          <cell r="E309" t="str">
            <v>Cust</v>
          </cell>
          <cell r="G309" t="str">
            <v>No</v>
          </cell>
          <cell r="H309" t="str">
            <v>1900-01-01 00:00:00</v>
          </cell>
          <cell r="K309" t="str">
            <v>M-P</v>
          </cell>
          <cell r="L309" t="str">
            <v>1653.000000</v>
          </cell>
          <cell r="AL309" t="str">
            <v>228340</v>
          </cell>
          <cell r="BC309" t="str">
            <v>Cust-PP</v>
          </cell>
          <cell r="BD309" t="str">
            <v>1.9801980198019800</v>
          </cell>
          <cell r="BE309" t="str">
            <v>.0000000000000000</v>
          </cell>
          <cell r="BF309" t="str">
            <v>.0000000000000000</v>
          </cell>
          <cell r="BG309" t="str">
            <v>None</v>
          </cell>
          <cell r="BK309" t="str">
            <v>2025-02-27 00:00:00</v>
          </cell>
          <cell r="BL309" t="str">
            <v>Airport EG-328</v>
          </cell>
          <cell r="BM309" t="str">
            <v>No</v>
          </cell>
          <cell r="BN309" t="str">
            <v>No</v>
          </cell>
          <cell r="BO309" t="str">
            <v>CPay-000000002</v>
          </cell>
        </row>
        <row r="310">
          <cell r="B310" t="str">
            <v>228341</v>
          </cell>
          <cell r="C310" t="str">
            <v>166.0000000000000000</v>
          </cell>
          <cell r="E310" t="str">
            <v>Cust</v>
          </cell>
          <cell r="G310" t="str">
            <v>No</v>
          </cell>
          <cell r="H310" t="str">
            <v>1900-01-01 00:00:00</v>
          </cell>
          <cell r="K310" t="str">
            <v>M-P</v>
          </cell>
          <cell r="L310" t="str">
            <v>5499.250000</v>
          </cell>
          <cell r="AL310" t="str">
            <v>228341</v>
          </cell>
          <cell r="BC310" t="str">
            <v>Cust-PP</v>
          </cell>
          <cell r="BD310" t="str">
            <v>1.9801980198019800</v>
          </cell>
          <cell r="BE310" t="str">
            <v>.0000000000000000</v>
          </cell>
          <cell r="BF310" t="str">
            <v>.0000000000000000</v>
          </cell>
          <cell r="BG310" t="str">
            <v>None</v>
          </cell>
          <cell r="BK310" t="str">
            <v>2025-02-27 00:00:00</v>
          </cell>
          <cell r="BL310" t="str">
            <v>Airport EG-329</v>
          </cell>
          <cell r="BM310" t="str">
            <v>No</v>
          </cell>
          <cell r="BN310" t="str">
            <v>No</v>
          </cell>
          <cell r="BO310" t="str">
            <v>CPay-000000002</v>
          </cell>
        </row>
        <row r="311">
          <cell r="B311" t="str">
            <v>228361</v>
          </cell>
          <cell r="C311" t="str">
            <v>167.0000000000000000</v>
          </cell>
          <cell r="E311" t="str">
            <v>Cust</v>
          </cell>
          <cell r="G311" t="str">
            <v>No</v>
          </cell>
          <cell r="H311" t="str">
            <v>1900-01-01 00:00:00</v>
          </cell>
          <cell r="K311" t="str">
            <v>M-P</v>
          </cell>
          <cell r="L311" t="str">
            <v>2052.000000</v>
          </cell>
          <cell r="AL311" t="str">
            <v>228361</v>
          </cell>
          <cell r="BC311" t="str">
            <v>Cust-PP</v>
          </cell>
          <cell r="BD311" t="str">
            <v>1.9801980198019800</v>
          </cell>
          <cell r="BE311" t="str">
            <v>.0000000000000000</v>
          </cell>
          <cell r="BF311" t="str">
            <v>.0000000000000000</v>
          </cell>
          <cell r="BG311" t="str">
            <v>None</v>
          </cell>
          <cell r="BK311" t="str">
            <v>2025-02-27 00:00:00</v>
          </cell>
          <cell r="BL311" t="str">
            <v>Airport EG-330</v>
          </cell>
          <cell r="BM311" t="str">
            <v>No</v>
          </cell>
          <cell r="BN311" t="str">
            <v>No</v>
          </cell>
          <cell r="BO311" t="str">
            <v>CPay-000000002</v>
          </cell>
        </row>
        <row r="312">
          <cell r="B312" t="str">
            <v>228362</v>
          </cell>
          <cell r="C312" t="str">
            <v>168.0000000000000000</v>
          </cell>
          <cell r="E312" t="str">
            <v>Cust</v>
          </cell>
          <cell r="G312" t="str">
            <v>No</v>
          </cell>
          <cell r="H312" t="str">
            <v>1900-01-01 00:00:00</v>
          </cell>
          <cell r="K312" t="str">
            <v>M-P</v>
          </cell>
          <cell r="L312" t="str">
            <v>285.000000</v>
          </cell>
          <cell r="AL312" t="str">
            <v>228362</v>
          </cell>
          <cell r="BC312" t="str">
            <v>Cust-PP</v>
          </cell>
          <cell r="BD312" t="str">
            <v>1.9801980198019800</v>
          </cell>
          <cell r="BE312" t="str">
            <v>.0000000000000000</v>
          </cell>
          <cell r="BF312" t="str">
            <v>.0000000000000000</v>
          </cell>
          <cell r="BG312" t="str">
            <v>None</v>
          </cell>
          <cell r="BK312" t="str">
            <v>2025-02-27 00:00:00</v>
          </cell>
          <cell r="BL312" t="str">
            <v>Airport EG-331</v>
          </cell>
          <cell r="BM312" t="str">
            <v>No</v>
          </cell>
          <cell r="BN312" t="str">
            <v>No</v>
          </cell>
          <cell r="BO312" t="str">
            <v>CPay-000000002</v>
          </cell>
        </row>
        <row r="313">
          <cell r="B313" t="str">
            <v>228379</v>
          </cell>
          <cell r="C313" t="str">
            <v>169.0000000000000000</v>
          </cell>
          <cell r="E313" t="str">
            <v>Cust</v>
          </cell>
          <cell r="G313" t="str">
            <v>No</v>
          </cell>
          <cell r="H313" t="str">
            <v>1900-01-01 00:00:00</v>
          </cell>
          <cell r="K313" t="str">
            <v>M-P</v>
          </cell>
          <cell r="L313" t="str">
            <v>2052.000000</v>
          </cell>
          <cell r="AL313" t="str">
            <v>228379</v>
          </cell>
          <cell r="BC313" t="str">
            <v>Cust-PP</v>
          </cell>
          <cell r="BD313" t="str">
            <v>1.9801980198019800</v>
          </cell>
          <cell r="BE313" t="str">
            <v>.0000000000000000</v>
          </cell>
          <cell r="BF313" t="str">
            <v>.0000000000000000</v>
          </cell>
          <cell r="BG313" t="str">
            <v>None</v>
          </cell>
          <cell r="BK313" t="str">
            <v>2025-02-27 00:00:00</v>
          </cell>
          <cell r="BL313" t="str">
            <v>Airport EG-332</v>
          </cell>
          <cell r="BM313" t="str">
            <v>No</v>
          </cell>
          <cell r="BN313" t="str">
            <v>No</v>
          </cell>
          <cell r="BO313" t="str">
            <v>CPay-000000002</v>
          </cell>
        </row>
        <row r="314">
          <cell r="B314" t="str">
            <v>228380</v>
          </cell>
          <cell r="C314" t="str">
            <v>170.0000000000000000</v>
          </cell>
          <cell r="E314" t="str">
            <v>Cust</v>
          </cell>
          <cell r="G314" t="str">
            <v>No</v>
          </cell>
          <cell r="H314" t="str">
            <v>1900-01-01 00:00:00</v>
          </cell>
          <cell r="K314" t="str">
            <v>M-P</v>
          </cell>
          <cell r="L314" t="str">
            <v>1311.000000</v>
          </cell>
          <cell r="AL314" t="str">
            <v>228380</v>
          </cell>
          <cell r="BC314" t="str">
            <v>Cust-PP</v>
          </cell>
          <cell r="BD314" t="str">
            <v>1.9801980198019800</v>
          </cell>
          <cell r="BE314" t="str">
            <v>.0000000000000000</v>
          </cell>
          <cell r="BF314" t="str">
            <v>.0000000000000000</v>
          </cell>
          <cell r="BG314" t="str">
            <v>None</v>
          </cell>
          <cell r="BK314" t="str">
            <v>2025-02-27 00:00:00</v>
          </cell>
          <cell r="BL314" t="str">
            <v>Airport EG-333</v>
          </cell>
          <cell r="BM314" t="str">
            <v>No</v>
          </cell>
          <cell r="BN314" t="str">
            <v>No</v>
          </cell>
          <cell r="BO314" t="str">
            <v>CPay-000000002</v>
          </cell>
        </row>
        <row r="315">
          <cell r="B315" t="str">
            <v>228479</v>
          </cell>
          <cell r="C315" t="str">
            <v>1.0000000000000000</v>
          </cell>
          <cell r="E315" t="str">
            <v>Cust</v>
          </cell>
          <cell r="G315" t="str">
            <v>No</v>
          </cell>
          <cell r="H315" t="str">
            <v>1900-01-01 00:00:00</v>
          </cell>
          <cell r="K315" t="str">
            <v>M-P</v>
          </cell>
          <cell r="L315" t="str">
            <v>1653.000000</v>
          </cell>
          <cell r="AL315" t="str">
            <v>228479</v>
          </cell>
          <cell r="BC315" t="str">
            <v>Cust-PP</v>
          </cell>
          <cell r="BD315" t="str">
            <v>1.9743336623889440</v>
          </cell>
          <cell r="BE315" t="str">
            <v>.0000000000000000</v>
          </cell>
          <cell r="BF315" t="str">
            <v>.0000000000000000</v>
          </cell>
          <cell r="BG315" t="str">
            <v>None</v>
          </cell>
          <cell r="BK315" t="str">
            <v>2025-03-02 00:00:00</v>
          </cell>
          <cell r="BL315" t="str">
            <v>Airport EG-334</v>
          </cell>
          <cell r="BM315" t="str">
            <v>No</v>
          </cell>
          <cell r="BN315" t="str">
            <v>No</v>
          </cell>
          <cell r="BO315" t="str">
            <v>CPay-000000003</v>
          </cell>
        </row>
        <row r="316">
          <cell r="B316" t="str">
            <v>228481</v>
          </cell>
          <cell r="C316" t="str">
            <v>2.0000000000000000</v>
          </cell>
          <cell r="E316" t="str">
            <v>Cust</v>
          </cell>
          <cell r="G316" t="str">
            <v>No</v>
          </cell>
          <cell r="H316" t="str">
            <v>1900-01-01 00:00:00</v>
          </cell>
          <cell r="K316" t="str">
            <v>M-P</v>
          </cell>
          <cell r="L316" t="str">
            <v>1790.940000</v>
          </cell>
          <cell r="AL316" t="str">
            <v>228481</v>
          </cell>
          <cell r="BC316" t="str">
            <v>Cust-PP</v>
          </cell>
          <cell r="BD316" t="str">
            <v>1.9743336623889440</v>
          </cell>
          <cell r="BE316" t="str">
            <v>.0000000000000000</v>
          </cell>
          <cell r="BF316" t="str">
            <v>.0000000000000000</v>
          </cell>
          <cell r="BG316" t="str">
            <v>None</v>
          </cell>
          <cell r="BK316" t="str">
            <v>2025-03-02 00:00:00</v>
          </cell>
          <cell r="BL316" t="str">
            <v>Airport EG-335</v>
          </cell>
          <cell r="BM316" t="str">
            <v>No</v>
          </cell>
          <cell r="BN316" t="str">
            <v>No</v>
          </cell>
          <cell r="BO316" t="str">
            <v>CPay-000000003</v>
          </cell>
        </row>
        <row r="317">
          <cell r="B317" t="str">
            <v>228511</v>
          </cell>
          <cell r="C317" t="str">
            <v>3.0000000000000000</v>
          </cell>
          <cell r="E317" t="str">
            <v>Cust</v>
          </cell>
          <cell r="G317" t="str">
            <v>No</v>
          </cell>
          <cell r="H317" t="str">
            <v>1900-01-01 00:00:00</v>
          </cell>
          <cell r="K317" t="str">
            <v>M-P</v>
          </cell>
          <cell r="L317" t="str">
            <v>1000.000000</v>
          </cell>
          <cell r="AL317" t="str">
            <v>228511</v>
          </cell>
          <cell r="BC317" t="str">
            <v>Cust-PP</v>
          </cell>
          <cell r="BD317" t="str">
            <v>1.9743336623889440</v>
          </cell>
          <cell r="BE317" t="str">
            <v>.0000000000000000</v>
          </cell>
          <cell r="BF317" t="str">
            <v>.0000000000000000</v>
          </cell>
          <cell r="BG317" t="str">
            <v>None</v>
          </cell>
          <cell r="BK317" t="str">
            <v>2025-03-02 00:00:00</v>
          </cell>
          <cell r="BL317" t="str">
            <v>Airport EG-337</v>
          </cell>
          <cell r="BM317" t="str">
            <v>No</v>
          </cell>
          <cell r="BN317" t="str">
            <v>No</v>
          </cell>
          <cell r="BO317" t="str">
            <v>CPay-000000003</v>
          </cell>
        </row>
        <row r="318">
          <cell r="B318" t="str">
            <v>228512</v>
          </cell>
          <cell r="C318" t="str">
            <v>4.0000000000000000</v>
          </cell>
          <cell r="E318" t="str">
            <v>Cust</v>
          </cell>
          <cell r="G318" t="str">
            <v>No</v>
          </cell>
          <cell r="H318" t="str">
            <v>1900-01-01 00:00:00</v>
          </cell>
          <cell r="K318" t="str">
            <v>M-P</v>
          </cell>
          <cell r="L318" t="str">
            <v>262.200000</v>
          </cell>
          <cell r="AL318" t="str">
            <v>228512</v>
          </cell>
          <cell r="BC318" t="str">
            <v>Cust-PP</v>
          </cell>
          <cell r="BD318" t="str">
            <v>1.9743336623889440</v>
          </cell>
          <cell r="BE318" t="str">
            <v>.0000000000000000</v>
          </cell>
          <cell r="BF318" t="str">
            <v>.0000000000000000</v>
          </cell>
          <cell r="BG318" t="str">
            <v>None</v>
          </cell>
          <cell r="BK318" t="str">
            <v>2025-03-02 00:00:00</v>
          </cell>
          <cell r="BL318" t="str">
            <v>Airport EG-338</v>
          </cell>
          <cell r="BM318" t="str">
            <v>No</v>
          </cell>
          <cell r="BN318" t="str">
            <v>No</v>
          </cell>
          <cell r="BO318" t="str">
            <v>CPay-000000003</v>
          </cell>
        </row>
        <row r="319">
          <cell r="B319" t="str">
            <v>228554</v>
          </cell>
          <cell r="C319" t="str">
            <v>5.0000000000000000</v>
          </cell>
          <cell r="E319" t="str">
            <v>Cust</v>
          </cell>
          <cell r="G319" t="str">
            <v>No</v>
          </cell>
          <cell r="H319" t="str">
            <v>1900-01-01 00:00:00</v>
          </cell>
          <cell r="K319" t="str">
            <v>M-P</v>
          </cell>
          <cell r="L319" t="str">
            <v>1653.000000</v>
          </cell>
          <cell r="AL319" t="str">
            <v>228554</v>
          </cell>
          <cell r="BC319" t="str">
            <v>Cust-PP</v>
          </cell>
          <cell r="BD319" t="str">
            <v>1.9743336623889440</v>
          </cell>
          <cell r="BE319" t="str">
            <v>.0000000000000000</v>
          </cell>
          <cell r="BF319" t="str">
            <v>.0000000000000000</v>
          </cell>
          <cell r="BG319" t="str">
            <v>None</v>
          </cell>
          <cell r="BK319" t="str">
            <v>2025-03-02 00:00:00</v>
          </cell>
          <cell r="BL319" t="str">
            <v>Airport EG-339</v>
          </cell>
          <cell r="BM319" t="str">
            <v>No</v>
          </cell>
          <cell r="BN319" t="str">
            <v>No</v>
          </cell>
          <cell r="BO319" t="str">
            <v>CPay-000000003</v>
          </cell>
        </row>
        <row r="320">
          <cell r="B320" t="str">
            <v>228555</v>
          </cell>
          <cell r="C320" t="str">
            <v>6.0000000000000000</v>
          </cell>
          <cell r="E320" t="str">
            <v>Cust</v>
          </cell>
          <cell r="G320" t="str">
            <v>No</v>
          </cell>
          <cell r="H320" t="str">
            <v>1900-01-01 00:00:00</v>
          </cell>
          <cell r="K320" t="str">
            <v>M-P</v>
          </cell>
          <cell r="L320" t="str">
            <v>353.970000</v>
          </cell>
          <cell r="AL320" t="str">
            <v>228555</v>
          </cell>
          <cell r="BC320" t="str">
            <v>Cust-PP</v>
          </cell>
          <cell r="BD320" t="str">
            <v>1.9743336623889440</v>
          </cell>
          <cell r="BE320" t="str">
            <v>.0000000000000000</v>
          </cell>
          <cell r="BF320" t="str">
            <v>.0000000000000000</v>
          </cell>
          <cell r="BG320" t="str">
            <v>None</v>
          </cell>
          <cell r="BK320" t="str">
            <v>2025-03-02 00:00:00</v>
          </cell>
          <cell r="BL320" t="str">
            <v>Airport EG-340</v>
          </cell>
          <cell r="BM320" t="str">
            <v>No</v>
          </cell>
          <cell r="BN320" t="str">
            <v>No</v>
          </cell>
          <cell r="BO320" t="str">
            <v>CPay-000000003</v>
          </cell>
        </row>
        <row r="321">
          <cell r="B321" t="str">
            <v>228570</v>
          </cell>
          <cell r="C321" t="str">
            <v>7.0000000000000000</v>
          </cell>
          <cell r="E321" t="str">
            <v>Cust</v>
          </cell>
          <cell r="G321" t="str">
            <v>No</v>
          </cell>
          <cell r="H321" t="str">
            <v>1900-01-01 00:00:00</v>
          </cell>
          <cell r="K321" t="str">
            <v>M-P</v>
          </cell>
          <cell r="L321" t="str">
            <v>1000.000000</v>
          </cell>
          <cell r="AL321" t="str">
            <v>228570</v>
          </cell>
          <cell r="BC321" t="str">
            <v>Cust-PP</v>
          </cell>
          <cell r="BD321" t="str">
            <v>1.9743336623889440</v>
          </cell>
          <cell r="BE321" t="str">
            <v>.0000000000000000</v>
          </cell>
          <cell r="BF321" t="str">
            <v>.0000000000000000</v>
          </cell>
          <cell r="BG321" t="str">
            <v>None</v>
          </cell>
          <cell r="BK321" t="str">
            <v>2025-03-02 00:00:00</v>
          </cell>
          <cell r="BL321" t="str">
            <v>Airport EG-341</v>
          </cell>
          <cell r="BM321" t="str">
            <v>No</v>
          </cell>
          <cell r="BN321" t="str">
            <v>No</v>
          </cell>
          <cell r="BO321" t="str">
            <v>CPay-000000003</v>
          </cell>
        </row>
        <row r="322">
          <cell r="B322" t="str">
            <v>228590</v>
          </cell>
          <cell r="C322" t="str">
            <v>8.0000000000000000</v>
          </cell>
          <cell r="E322" t="str">
            <v>Cust</v>
          </cell>
          <cell r="G322" t="str">
            <v>No</v>
          </cell>
          <cell r="H322" t="str">
            <v>1900-01-01 00:00:00</v>
          </cell>
          <cell r="K322" t="str">
            <v>M-P</v>
          </cell>
          <cell r="L322" t="str">
            <v>1653.000000</v>
          </cell>
          <cell r="AL322" t="str">
            <v>228590</v>
          </cell>
          <cell r="BC322" t="str">
            <v>Cust-PP</v>
          </cell>
          <cell r="BD322" t="str">
            <v>1.9743336623889440</v>
          </cell>
          <cell r="BE322" t="str">
            <v>.0000000000000000</v>
          </cell>
          <cell r="BF322" t="str">
            <v>.0000000000000000</v>
          </cell>
          <cell r="BG322" t="str">
            <v>None</v>
          </cell>
          <cell r="BK322" t="str">
            <v>2025-03-02 00:00:00</v>
          </cell>
          <cell r="BL322" t="str">
            <v>Airport EG-342</v>
          </cell>
          <cell r="BM322" t="str">
            <v>No</v>
          </cell>
          <cell r="BN322" t="str">
            <v>No</v>
          </cell>
          <cell r="BO322" t="str">
            <v>CPay-000000003</v>
          </cell>
        </row>
        <row r="323">
          <cell r="B323" t="str">
            <v>228591</v>
          </cell>
          <cell r="C323" t="str">
            <v>9.0000000000000000</v>
          </cell>
          <cell r="E323" t="str">
            <v>Cust</v>
          </cell>
          <cell r="G323" t="str">
            <v>No</v>
          </cell>
          <cell r="H323" t="str">
            <v>1900-01-01 00:00:00</v>
          </cell>
          <cell r="K323" t="str">
            <v>M-P</v>
          </cell>
          <cell r="L323" t="str">
            <v>199.500000</v>
          </cell>
          <cell r="AL323" t="str">
            <v>228591</v>
          </cell>
          <cell r="BC323" t="str">
            <v>Cust-PP</v>
          </cell>
          <cell r="BD323" t="str">
            <v>1.9743336623889440</v>
          </cell>
          <cell r="BE323" t="str">
            <v>.0000000000000000</v>
          </cell>
          <cell r="BF323" t="str">
            <v>.0000000000000000</v>
          </cell>
          <cell r="BG323" t="str">
            <v>None</v>
          </cell>
          <cell r="BK323" t="str">
            <v>2025-03-02 00:00:00</v>
          </cell>
          <cell r="BL323" t="str">
            <v>Airport EG-343</v>
          </cell>
          <cell r="BM323" t="str">
            <v>No</v>
          </cell>
          <cell r="BN323" t="str">
            <v>No</v>
          </cell>
          <cell r="BO323" t="str">
            <v>CPay-000000003</v>
          </cell>
        </row>
        <row r="324">
          <cell r="B324" t="str">
            <v>228596</v>
          </cell>
          <cell r="C324" t="str">
            <v>10.0000000000000000</v>
          </cell>
          <cell r="E324" t="str">
            <v>Cust</v>
          </cell>
          <cell r="G324" t="str">
            <v>No</v>
          </cell>
          <cell r="H324" t="str">
            <v>1900-01-01 00:00:00</v>
          </cell>
          <cell r="K324" t="str">
            <v>M-P</v>
          </cell>
          <cell r="L324" t="str">
            <v>1653.000000</v>
          </cell>
          <cell r="AL324" t="str">
            <v>228596</v>
          </cell>
          <cell r="BC324" t="str">
            <v>Cust-PP</v>
          </cell>
          <cell r="BD324" t="str">
            <v>1.9743336623889440</v>
          </cell>
          <cell r="BE324" t="str">
            <v>.0000000000000000</v>
          </cell>
          <cell r="BF324" t="str">
            <v>.0000000000000000</v>
          </cell>
          <cell r="BG324" t="str">
            <v>None</v>
          </cell>
          <cell r="BK324" t="str">
            <v>2025-03-02 00:00:00</v>
          </cell>
          <cell r="BL324" t="str">
            <v>Airport EG-344</v>
          </cell>
          <cell r="BM324" t="str">
            <v>No</v>
          </cell>
          <cell r="BN324" t="str">
            <v>No</v>
          </cell>
          <cell r="BO324" t="str">
            <v>CPay-000000003</v>
          </cell>
        </row>
        <row r="325">
          <cell r="B325" t="str">
            <v>228597</v>
          </cell>
          <cell r="C325" t="str">
            <v>11.0000000000000000</v>
          </cell>
          <cell r="E325" t="str">
            <v>Cust</v>
          </cell>
          <cell r="G325" t="str">
            <v>No</v>
          </cell>
          <cell r="H325" t="str">
            <v>1900-01-01 00:00:00</v>
          </cell>
          <cell r="K325" t="str">
            <v>M-P</v>
          </cell>
          <cell r="L325" t="str">
            <v>912.000000</v>
          </cell>
          <cell r="AL325" t="str">
            <v>228597</v>
          </cell>
          <cell r="BC325" t="str">
            <v>Cust-PP</v>
          </cell>
          <cell r="BD325" t="str">
            <v>1.9743336623889440</v>
          </cell>
          <cell r="BE325" t="str">
            <v>.0000000000000000</v>
          </cell>
          <cell r="BF325" t="str">
            <v>.0000000000000000</v>
          </cell>
          <cell r="BG325" t="str">
            <v>None</v>
          </cell>
          <cell r="BK325" t="str">
            <v>2025-03-02 00:00:00</v>
          </cell>
          <cell r="BL325" t="str">
            <v>Airport EG-345</v>
          </cell>
          <cell r="BM325" t="str">
            <v>No</v>
          </cell>
          <cell r="BN325" t="str">
            <v>No</v>
          </cell>
          <cell r="BO325" t="str">
            <v>CPay-000000003</v>
          </cell>
        </row>
        <row r="326">
          <cell r="B326" t="str">
            <v>317268</v>
          </cell>
          <cell r="C326" t="str">
            <v>12.0000000000000000</v>
          </cell>
          <cell r="E326" t="str">
            <v>Cust</v>
          </cell>
          <cell r="G326" t="str">
            <v>No</v>
          </cell>
          <cell r="H326" t="str">
            <v>1900-01-01 00:00:00</v>
          </cell>
          <cell r="K326" t="str">
            <v>M-P</v>
          </cell>
          <cell r="L326" t="str">
            <v>200.200000</v>
          </cell>
          <cell r="AL326" t="str">
            <v>317268</v>
          </cell>
          <cell r="BC326" t="str">
            <v>Cust-PP</v>
          </cell>
          <cell r="BD326" t="str">
            <v>100.0000000000000000</v>
          </cell>
          <cell r="BE326" t="str">
            <v>.0000000000000000</v>
          </cell>
          <cell r="BF326" t="str">
            <v>.0000000000000000</v>
          </cell>
          <cell r="BG326" t="str">
            <v>None</v>
          </cell>
          <cell r="BK326" t="str">
            <v>2025-03-02 00:00:00</v>
          </cell>
          <cell r="BL326" t="str">
            <v>Airport EG-336</v>
          </cell>
          <cell r="BM326" t="str">
            <v>No</v>
          </cell>
          <cell r="BN326" t="str">
            <v>No</v>
          </cell>
          <cell r="BO326" t="str">
            <v>CPay-000000003</v>
          </cell>
        </row>
        <row r="327">
          <cell r="B327" t="str">
            <v>228659</v>
          </cell>
          <cell r="C327" t="str">
            <v>13.0000000000000000</v>
          </cell>
          <cell r="E327" t="str">
            <v>Cust</v>
          </cell>
          <cell r="G327" t="str">
            <v>No</v>
          </cell>
          <cell r="H327" t="str">
            <v>1900-01-01 00:00:00</v>
          </cell>
          <cell r="K327" t="str">
            <v>M-P</v>
          </cell>
          <cell r="L327" t="str">
            <v>1653.000000</v>
          </cell>
          <cell r="AL327" t="str">
            <v>228659</v>
          </cell>
          <cell r="BC327" t="str">
            <v>Cust-PP</v>
          </cell>
          <cell r="BD327" t="str">
            <v>1.9743336623889440</v>
          </cell>
          <cell r="BE327" t="str">
            <v>.0000000000000000</v>
          </cell>
          <cell r="BF327" t="str">
            <v>.0000000000000000</v>
          </cell>
          <cell r="BG327" t="str">
            <v>None</v>
          </cell>
          <cell r="BK327" t="str">
            <v>2025-03-03 00:00:00</v>
          </cell>
          <cell r="BL327" t="str">
            <v>Airport EG-346</v>
          </cell>
          <cell r="BM327" t="str">
            <v>No</v>
          </cell>
          <cell r="BN327" t="str">
            <v>No</v>
          </cell>
          <cell r="BO327" t="str">
            <v>CPay-000000003</v>
          </cell>
        </row>
        <row r="328">
          <cell r="B328" t="str">
            <v>228660</v>
          </cell>
          <cell r="C328" t="str">
            <v>14.0000000000000000</v>
          </cell>
          <cell r="E328" t="str">
            <v>Cust</v>
          </cell>
          <cell r="G328" t="str">
            <v>No</v>
          </cell>
          <cell r="H328" t="str">
            <v>1900-01-01 00:00:00</v>
          </cell>
          <cell r="K328" t="str">
            <v>M-P</v>
          </cell>
          <cell r="L328" t="str">
            <v>798.000000</v>
          </cell>
          <cell r="AL328" t="str">
            <v>228660</v>
          </cell>
          <cell r="BC328" t="str">
            <v>Cust-PP</v>
          </cell>
          <cell r="BD328" t="str">
            <v>1.9743336623889440</v>
          </cell>
          <cell r="BE328" t="str">
            <v>.0000000000000000</v>
          </cell>
          <cell r="BF328" t="str">
            <v>.0000000000000000</v>
          </cell>
          <cell r="BG328" t="str">
            <v>None</v>
          </cell>
          <cell r="BK328" t="str">
            <v>2025-03-03 00:00:00</v>
          </cell>
          <cell r="BL328" t="str">
            <v>Airport EG-347</v>
          </cell>
          <cell r="BM328" t="str">
            <v>No</v>
          </cell>
          <cell r="BN328" t="str">
            <v>No</v>
          </cell>
          <cell r="BO328" t="str">
            <v>CPay-000000003</v>
          </cell>
        </row>
        <row r="329">
          <cell r="B329" t="str">
            <v>228694</v>
          </cell>
          <cell r="C329" t="str">
            <v>15.0000000000000000</v>
          </cell>
          <cell r="E329" t="str">
            <v>Cust</v>
          </cell>
          <cell r="G329" t="str">
            <v>No</v>
          </cell>
          <cell r="H329" t="str">
            <v>1900-01-01 00:00:00</v>
          </cell>
          <cell r="K329" t="str">
            <v>M-P</v>
          </cell>
          <cell r="L329" t="str">
            <v>1653.000000</v>
          </cell>
          <cell r="AL329" t="str">
            <v>228694</v>
          </cell>
          <cell r="BC329" t="str">
            <v>Cust-PP</v>
          </cell>
          <cell r="BD329" t="str">
            <v>1.9743336623889440</v>
          </cell>
          <cell r="BE329" t="str">
            <v>.0000000000000000</v>
          </cell>
          <cell r="BF329" t="str">
            <v>.0000000000000000</v>
          </cell>
          <cell r="BG329" t="str">
            <v>None</v>
          </cell>
          <cell r="BK329" t="str">
            <v>2025-03-03 00:00:00</v>
          </cell>
          <cell r="BL329" t="str">
            <v>Airport EG-349</v>
          </cell>
          <cell r="BM329" t="str">
            <v>No</v>
          </cell>
          <cell r="BN329" t="str">
            <v>No</v>
          </cell>
          <cell r="BO329" t="str">
            <v>CPay-000000003</v>
          </cell>
        </row>
        <row r="330">
          <cell r="B330" t="str">
            <v>228695</v>
          </cell>
          <cell r="C330" t="str">
            <v>16.0000000000000000</v>
          </cell>
          <cell r="E330" t="str">
            <v>Cust</v>
          </cell>
          <cell r="G330" t="str">
            <v>No</v>
          </cell>
          <cell r="H330" t="str">
            <v>1900-01-01 00:00:00</v>
          </cell>
          <cell r="K330" t="str">
            <v>M-P</v>
          </cell>
          <cell r="L330" t="str">
            <v>285.000000</v>
          </cell>
          <cell r="AL330" t="str">
            <v>228695</v>
          </cell>
          <cell r="BC330" t="str">
            <v>Cust-PP</v>
          </cell>
          <cell r="BD330" t="str">
            <v>1.9743336623889440</v>
          </cell>
          <cell r="BE330" t="str">
            <v>.0000000000000000</v>
          </cell>
          <cell r="BF330" t="str">
            <v>.0000000000000000</v>
          </cell>
          <cell r="BG330" t="str">
            <v>None</v>
          </cell>
          <cell r="BK330" t="str">
            <v>2025-03-03 00:00:00</v>
          </cell>
          <cell r="BL330" t="str">
            <v>Airport EG-350</v>
          </cell>
          <cell r="BM330" t="str">
            <v>No</v>
          </cell>
          <cell r="BN330" t="str">
            <v>No</v>
          </cell>
          <cell r="BO330" t="str">
            <v>CPay-000000003</v>
          </cell>
        </row>
        <row r="331">
          <cell r="B331" t="str">
            <v>228758</v>
          </cell>
          <cell r="C331" t="str">
            <v>17.0000000000000000</v>
          </cell>
          <cell r="E331" t="str">
            <v>Cust</v>
          </cell>
          <cell r="G331" t="str">
            <v>No</v>
          </cell>
          <cell r="H331" t="str">
            <v>1900-01-01 00:00:00</v>
          </cell>
          <cell r="K331" t="str">
            <v>M-P</v>
          </cell>
          <cell r="L331" t="str">
            <v>1653.000000</v>
          </cell>
          <cell r="AL331" t="str">
            <v>228758</v>
          </cell>
          <cell r="BC331" t="str">
            <v>Cust-PP</v>
          </cell>
          <cell r="BD331" t="str">
            <v>1.9743336623889440</v>
          </cell>
          <cell r="BE331" t="str">
            <v>.0000000000000000</v>
          </cell>
          <cell r="BF331" t="str">
            <v>.0000000000000000</v>
          </cell>
          <cell r="BG331" t="str">
            <v>None</v>
          </cell>
          <cell r="BK331" t="str">
            <v>2025-03-04 00:00:00</v>
          </cell>
          <cell r="BL331" t="str">
            <v>Airport EG-351</v>
          </cell>
          <cell r="BM331" t="str">
            <v>No</v>
          </cell>
          <cell r="BN331" t="str">
            <v>No</v>
          </cell>
          <cell r="BO331" t="str">
            <v>CPay-000000003</v>
          </cell>
        </row>
        <row r="332">
          <cell r="B332" t="str">
            <v>228759</v>
          </cell>
          <cell r="C332" t="str">
            <v>18.0000000000000000</v>
          </cell>
          <cell r="E332" t="str">
            <v>Cust</v>
          </cell>
          <cell r="G332" t="str">
            <v>No</v>
          </cell>
          <cell r="H332" t="str">
            <v>1900-01-01 00:00:00</v>
          </cell>
          <cell r="K332" t="str">
            <v>M-P</v>
          </cell>
          <cell r="L332" t="str">
            <v>199.500000</v>
          </cell>
          <cell r="AL332" t="str">
            <v>228759</v>
          </cell>
          <cell r="BC332" t="str">
            <v>Cust-PP</v>
          </cell>
          <cell r="BD332" t="str">
            <v>1.9743336623889440</v>
          </cell>
          <cell r="BE332" t="str">
            <v>.0000000000000000</v>
          </cell>
          <cell r="BF332" t="str">
            <v>.0000000000000000</v>
          </cell>
          <cell r="BG332" t="str">
            <v>None</v>
          </cell>
          <cell r="BK332" t="str">
            <v>2025-03-04 00:00:00</v>
          </cell>
          <cell r="BL332" t="str">
            <v>Airport EG-352</v>
          </cell>
          <cell r="BM332" t="str">
            <v>No</v>
          </cell>
          <cell r="BN332" t="str">
            <v>No</v>
          </cell>
          <cell r="BO332" t="str">
            <v>CPay-000000003</v>
          </cell>
        </row>
        <row r="333">
          <cell r="B333" t="str">
            <v>228760</v>
          </cell>
          <cell r="C333" t="str">
            <v>19.0000000000000000</v>
          </cell>
          <cell r="E333" t="str">
            <v>Cust</v>
          </cell>
          <cell r="G333" t="str">
            <v>No</v>
          </cell>
          <cell r="H333" t="str">
            <v>1900-01-01 00:00:00</v>
          </cell>
          <cell r="K333" t="str">
            <v>M-P</v>
          </cell>
          <cell r="L333" t="str">
            <v>2197.500000</v>
          </cell>
          <cell r="AL333" t="str">
            <v>228760</v>
          </cell>
          <cell r="BC333" t="str">
            <v>Cust-PP</v>
          </cell>
          <cell r="BD333" t="str">
            <v>1.9743336623889440</v>
          </cell>
          <cell r="BE333" t="str">
            <v>.0000000000000000</v>
          </cell>
          <cell r="BF333" t="str">
            <v>.0000000000000000</v>
          </cell>
          <cell r="BG333" t="str">
            <v>None</v>
          </cell>
          <cell r="BK333" t="str">
            <v>2025-03-04 00:00:00</v>
          </cell>
          <cell r="BL333" t="str">
            <v>Airport EG-353</v>
          </cell>
          <cell r="BM333" t="str">
            <v>No</v>
          </cell>
          <cell r="BN333" t="str">
            <v>No</v>
          </cell>
          <cell r="BO333" t="str">
            <v>CPay-000000003</v>
          </cell>
        </row>
        <row r="334">
          <cell r="B334" t="str">
            <v>228792</v>
          </cell>
          <cell r="C334" t="str">
            <v>20.0000000000000000</v>
          </cell>
          <cell r="E334" t="str">
            <v>Cust</v>
          </cell>
          <cell r="G334" t="str">
            <v>No</v>
          </cell>
          <cell r="H334" t="str">
            <v>1900-01-01 00:00:00</v>
          </cell>
          <cell r="K334" t="str">
            <v>M-P</v>
          </cell>
          <cell r="L334" t="str">
            <v>1653.000000</v>
          </cell>
          <cell r="AL334" t="str">
            <v>228792</v>
          </cell>
          <cell r="BC334" t="str">
            <v>Cust-PP</v>
          </cell>
          <cell r="BD334" t="str">
            <v>1.9743336623889440</v>
          </cell>
          <cell r="BE334" t="str">
            <v>.0000000000000000</v>
          </cell>
          <cell r="BF334" t="str">
            <v>.0000000000000000</v>
          </cell>
          <cell r="BG334" t="str">
            <v>None</v>
          </cell>
          <cell r="BK334" t="str">
            <v>2025-03-04 00:00:00</v>
          </cell>
          <cell r="BL334" t="str">
            <v>Airport EG-354</v>
          </cell>
          <cell r="BM334" t="str">
            <v>No</v>
          </cell>
          <cell r="BN334" t="str">
            <v>No</v>
          </cell>
          <cell r="BO334" t="str">
            <v>CPay-000000003</v>
          </cell>
        </row>
        <row r="335">
          <cell r="B335" t="str">
            <v>228807</v>
          </cell>
          <cell r="C335" t="str">
            <v>21.0000000000000000</v>
          </cell>
          <cell r="E335" t="str">
            <v>Cust</v>
          </cell>
          <cell r="G335" t="str">
            <v>No</v>
          </cell>
          <cell r="H335" t="str">
            <v>1900-01-01 00:00:00</v>
          </cell>
          <cell r="K335" t="str">
            <v>M-P</v>
          </cell>
          <cell r="L335" t="str">
            <v>1653.000000</v>
          </cell>
          <cell r="AL335" t="str">
            <v>228807</v>
          </cell>
          <cell r="BC335" t="str">
            <v>Cust-PP</v>
          </cell>
          <cell r="BD335" t="str">
            <v>1.9743336623889440</v>
          </cell>
          <cell r="BE335" t="str">
            <v>.0000000000000000</v>
          </cell>
          <cell r="BF335" t="str">
            <v>.0000000000000000</v>
          </cell>
          <cell r="BG335" t="str">
            <v>None</v>
          </cell>
          <cell r="BK335" t="str">
            <v>2025-03-04 00:00:00</v>
          </cell>
          <cell r="BL335" t="str">
            <v>Airport EG-355</v>
          </cell>
          <cell r="BM335" t="str">
            <v>No</v>
          </cell>
          <cell r="BN335" t="str">
            <v>No</v>
          </cell>
          <cell r="BO335" t="str">
            <v>CPay-000000003</v>
          </cell>
        </row>
        <row r="336">
          <cell r="B336" t="str">
            <v>228808</v>
          </cell>
          <cell r="C336" t="str">
            <v>22.0000000000000000</v>
          </cell>
          <cell r="E336" t="str">
            <v>Cust</v>
          </cell>
          <cell r="G336" t="str">
            <v>No</v>
          </cell>
          <cell r="H336" t="str">
            <v>1900-01-01 00:00:00</v>
          </cell>
          <cell r="K336" t="str">
            <v>M-P</v>
          </cell>
          <cell r="L336" t="str">
            <v>2589.850000</v>
          </cell>
          <cell r="AL336" t="str">
            <v>228808</v>
          </cell>
          <cell r="BC336" t="str">
            <v>Cust-PP</v>
          </cell>
          <cell r="BD336" t="str">
            <v>1.9743336623889440</v>
          </cell>
          <cell r="BE336" t="str">
            <v>.0000000000000000</v>
          </cell>
          <cell r="BF336" t="str">
            <v>.0000000000000000</v>
          </cell>
          <cell r="BG336" t="str">
            <v>None</v>
          </cell>
          <cell r="BK336" t="str">
            <v>2025-03-04 00:00:00</v>
          </cell>
          <cell r="BL336" t="str">
            <v>Airport EG-356</v>
          </cell>
          <cell r="BM336" t="str">
            <v>No</v>
          </cell>
          <cell r="BN336" t="str">
            <v>No</v>
          </cell>
          <cell r="BO336" t="str">
            <v>CPay-000000003</v>
          </cell>
        </row>
        <row r="337">
          <cell r="B337" t="str">
            <v>228810</v>
          </cell>
          <cell r="C337" t="str">
            <v>23.0000000000000000</v>
          </cell>
          <cell r="E337" t="str">
            <v>Cust</v>
          </cell>
          <cell r="G337" t="str">
            <v>No</v>
          </cell>
          <cell r="H337" t="str">
            <v>1900-01-01 00:00:00</v>
          </cell>
          <cell r="K337" t="str">
            <v>M-P</v>
          </cell>
          <cell r="L337" t="str">
            <v>1653.000000</v>
          </cell>
          <cell r="AL337" t="str">
            <v>228810</v>
          </cell>
          <cell r="BC337" t="str">
            <v>Cust-PP</v>
          </cell>
          <cell r="BD337" t="str">
            <v>1.9743336623889440</v>
          </cell>
          <cell r="BE337" t="str">
            <v>.0000000000000000</v>
          </cell>
          <cell r="BF337" t="str">
            <v>.0000000000000000</v>
          </cell>
          <cell r="BG337" t="str">
            <v>None</v>
          </cell>
          <cell r="BK337" t="str">
            <v>2025-03-04 00:00:00</v>
          </cell>
          <cell r="BL337" t="str">
            <v>Airport EG-358</v>
          </cell>
          <cell r="BM337" t="str">
            <v>No</v>
          </cell>
          <cell r="BN337" t="str">
            <v>No</v>
          </cell>
          <cell r="BO337" t="str">
            <v>CPay-000000003</v>
          </cell>
        </row>
        <row r="338">
          <cell r="B338" t="str">
            <v>228812</v>
          </cell>
          <cell r="C338" t="str">
            <v>24.0000000000000000</v>
          </cell>
          <cell r="E338" t="str">
            <v>Cust</v>
          </cell>
          <cell r="G338" t="str">
            <v>No</v>
          </cell>
          <cell r="H338" t="str">
            <v>1900-01-01 00:00:00</v>
          </cell>
          <cell r="K338" t="str">
            <v>M-P</v>
          </cell>
          <cell r="L338" t="str">
            <v>4369.850000</v>
          </cell>
          <cell r="AL338" t="str">
            <v>228812</v>
          </cell>
          <cell r="BC338" t="str">
            <v>Cust-PP</v>
          </cell>
          <cell r="BD338" t="str">
            <v>1.9743336623889440</v>
          </cell>
          <cell r="BE338" t="str">
            <v>.0000000000000000</v>
          </cell>
          <cell r="BF338" t="str">
            <v>.0000000000000000</v>
          </cell>
          <cell r="BG338" t="str">
            <v>None</v>
          </cell>
          <cell r="BK338" t="str">
            <v>2025-03-04 00:00:00</v>
          </cell>
          <cell r="BL338" t="str">
            <v>Airport EG-359</v>
          </cell>
          <cell r="BM338" t="str">
            <v>No</v>
          </cell>
          <cell r="BN338" t="str">
            <v>No</v>
          </cell>
          <cell r="BO338" t="str">
            <v>CPay-000000003</v>
          </cell>
        </row>
        <row r="339">
          <cell r="B339" t="str">
            <v>228814</v>
          </cell>
          <cell r="C339" t="str">
            <v>25.0000000000000000</v>
          </cell>
          <cell r="E339" t="str">
            <v>Cust</v>
          </cell>
          <cell r="G339" t="str">
            <v>No</v>
          </cell>
          <cell r="H339" t="str">
            <v>1900-01-01 00:00:00</v>
          </cell>
          <cell r="K339" t="str">
            <v>M-P</v>
          </cell>
          <cell r="L339" t="str">
            <v>1653.000000</v>
          </cell>
          <cell r="AL339" t="str">
            <v>228814</v>
          </cell>
          <cell r="BC339" t="str">
            <v>Cust-PP</v>
          </cell>
          <cell r="BD339" t="str">
            <v>1.9743336623889440</v>
          </cell>
          <cell r="BE339" t="str">
            <v>.0000000000000000</v>
          </cell>
          <cell r="BF339" t="str">
            <v>.0000000000000000</v>
          </cell>
          <cell r="BG339" t="str">
            <v>None</v>
          </cell>
          <cell r="BK339" t="str">
            <v>2025-03-04 00:00:00</v>
          </cell>
          <cell r="BL339" t="str">
            <v>Airport EG-360</v>
          </cell>
          <cell r="BM339" t="str">
            <v>No</v>
          </cell>
          <cell r="BN339" t="str">
            <v>No</v>
          </cell>
          <cell r="BO339" t="str">
            <v>CPay-000000003</v>
          </cell>
        </row>
        <row r="340">
          <cell r="B340" t="str">
            <v>228815</v>
          </cell>
          <cell r="C340" t="str">
            <v>26.0000000000000000</v>
          </cell>
          <cell r="E340" t="str">
            <v>Cust</v>
          </cell>
          <cell r="G340" t="str">
            <v>No</v>
          </cell>
          <cell r="H340" t="str">
            <v>1900-01-01 00:00:00</v>
          </cell>
          <cell r="K340" t="str">
            <v>M-P</v>
          </cell>
          <cell r="L340" t="str">
            <v>398.540000</v>
          </cell>
          <cell r="AL340" t="str">
            <v>228815</v>
          </cell>
          <cell r="BC340" t="str">
            <v>Cust-PP</v>
          </cell>
          <cell r="BD340" t="str">
            <v>1.9743336623889440</v>
          </cell>
          <cell r="BE340" t="str">
            <v>.0000000000000000</v>
          </cell>
          <cell r="BF340" t="str">
            <v>.0000000000000000</v>
          </cell>
          <cell r="BG340" t="str">
            <v>None</v>
          </cell>
          <cell r="BK340" t="str">
            <v>2025-03-04 00:00:00</v>
          </cell>
          <cell r="BL340" t="str">
            <v>Airport EG-361</v>
          </cell>
          <cell r="BM340" t="str">
            <v>No</v>
          </cell>
          <cell r="BN340" t="str">
            <v>No</v>
          </cell>
          <cell r="BO340" t="str">
            <v>CPay-000000003</v>
          </cell>
        </row>
        <row r="341">
          <cell r="B341" t="str">
            <v>228826</v>
          </cell>
          <cell r="C341" t="str">
            <v>27.0000000000000000</v>
          </cell>
          <cell r="E341" t="str">
            <v>Cust</v>
          </cell>
          <cell r="G341" t="str">
            <v>No</v>
          </cell>
          <cell r="H341" t="str">
            <v>1900-01-01 00:00:00</v>
          </cell>
          <cell r="K341" t="str">
            <v>M-P</v>
          </cell>
          <cell r="L341" t="str">
            <v>1450.000000</v>
          </cell>
          <cell r="AL341" t="str">
            <v>228826</v>
          </cell>
          <cell r="BC341" t="str">
            <v>Cust-PP</v>
          </cell>
          <cell r="BD341" t="str">
            <v>1.9743336623889440</v>
          </cell>
          <cell r="BE341" t="str">
            <v>.0000000000000000</v>
          </cell>
          <cell r="BF341" t="str">
            <v>.0000000000000000</v>
          </cell>
          <cell r="BG341" t="str">
            <v>None</v>
          </cell>
          <cell r="BK341" t="str">
            <v>2025-03-04 00:00:00</v>
          </cell>
          <cell r="BL341" t="str">
            <v>Airport EG-362</v>
          </cell>
          <cell r="BM341" t="str">
            <v>No</v>
          </cell>
          <cell r="BN341" t="str">
            <v>No</v>
          </cell>
          <cell r="BO341" t="str">
            <v>CPay-000000003</v>
          </cell>
        </row>
        <row r="342">
          <cell r="B342" t="str">
            <v>228827</v>
          </cell>
          <cell r="C342" t="str">
            <v>28.0000000000000000</v>
          </cell>
          <cell r="E342" t="str">
            <v>Cust</v>
          </cell>
          <cell r="G342" t="str">
            <v>No</v>
          </cell>
          <cell r="H342" t="str">
            <v>1900-01-01 00:00:00</v>
          </cell>
          <cell r="K342" t="str">
            <v>M-P</v>
          </cell>
          <cell r="L342" t="str">
            <v>285.000000</v>
          </cell>
          <cell r="AL342" t="str">
            <v>228827</v>
          </cell>
          <cell r="BC342" t="str">
            <v>Cust-PP</v>
          </cell>
          <cell r="BD342" t="str">
            <v>1.9743336623889440</v>
          </cell>
          <cell r="BE342" t="str">
            <v>.0000000000000000</v>
          </cell>
          <cell r="BF342" t="str">
            <v>.0000000000000000</v>
          </cell>
          <cell r="BG342" t="str">
            <v>None</v>
          </cell>
          <cell r="BK342" t="str">
            <v>2025-03-04 00:00:00</v>
          </cell>
          <cell r="BL342" t="str">
            <v>Airport EG-363</v>
          </cell>
          <cell r="BM342" t="str">
            <v>No</v>
          </cell>
          <cell r="BN342" t="str">
            <v>No</v>
          </cell>
          <cell r="BO342" t="str">
            <v>CPay-000000003</v>
          </cell>
        </row>
        <row r="343">
          <cell r="B343" t="str">
            <v>228855</v>
          </cell>
          <cell r="C343" t="str">
            <v>29.0000000000000000</v>
          </cell>
          <cell r="E343" t="str">
            <v>Cust</v>
          </cell>
          <cell r="G343" t="str">
            <v>No</v>
          </cell>
          <cell r="H343" t="str">
            <v>1900-01-01 00:00:00</v>
          </cell>
          <cell r="K343" t="str">
            <v>M-P</v>
          </cell>
          <cell r="L343" t="str">
            <v>1653.000000</v>
          </cell>
          <cell r="AL343" t="str">
            <v>228855</v>
          </cell>
          <cell r="BC343" t="str">
            <v>Cust-PP</v>
          </cell>
          <cell r="BD343" t="str">
            <v>1.9743336623889440</v>
          </cell>
          <cell r="BE343" t="str">
            <v>.0000000000000000</v>
          </cell>
          <cell r="BF343" t="str">
            <v>.0000000000000000</v>
          </cell>
          <cell r="BG343" t="str">
            <v>None</v>
          </cell>
          <cell r="BK343" t="str">
            <v>2025-03-05 00:00:00</v>
          </cell>
          <cell r="BL343" t="str">
            <v>Airport EG-365</v>
          </cell>
          <cell r="BM343" t="str">
            <v>No</v>
          </cell>
          <cell r="BN343" t="str">
            <v>No</v>
          </cell>
          <cell r="BO343" t="str">
            <v>CPay-000000003</v>
          </cell>
        </row>
        <row r="344">
          <cell r="B344" t="str">
            <v>228857</v>
          </cell>
          <cell r="C344" t="str">
            <v>30.0000000000000000</v>
          </cell>
          <cell r="E344" t="str">
            <v>Cust</v>
          </cell>
          <cell r="G344" t="str">
            <v>No</v>
          </cell>
          <cell r="H344" t="str">
            <v>1900-01-01 00:00:00</v>
          </cell>
          <cell r="K344" t="str">
            <v>M-P</v>
          </cell>
          <cell r="L344" t="str">
            <v>7409.720000</v>
          </cell>
          <cell r="AL344" t="str">
            <v>228857</v>
          </cell>
          <cell r="BC344" t="str">
            <v>Cust-PP</v>
          </cell>
          <cell r="BD344" t="str">
            <v>1.9743336623889440</v>
          </cell>
          <cell r="BE344" t="str">
            <v>.0000000000000000</v>
          </cell>
          <cell r="BF344" t="str">
            <v>.0000000000000000</v>
          </cell>
          <cell r="BG344" t="str">
            <v>None</v>
          </cell>
          <cell r="BK344" t="str">
            <v>2025-03-05 00:00:00</v>
          </cell>
          <cell r="BL344" t="str">
            <v>Airport EG-366</v>
          </cell>
          <cell r="BM344" t="str">
            <v>No</v>
          </cell>
          <cell r="BN344" t="str">
            <v>No</v>
          </cell>
          <cell r="BO344" t="str">
            <v>CPay-000000003</v>
          </cell>
        </row>
        <row r="345">
          <cell r="B345" t="str">
            <v>228859</v>
          </cell>
          <cell r="C345" t="str">
            <v>31.0000000000000000</v>
          </cell>
          <cell r="E345" t="str">
            <v>Cust</v>
          </cell>
          <cell r="G345" t="str">
            <v>No</v>
          </cell>
          <cell r="H345" t="str">
            <v>1900-01-01 00:00:00</v>
          </cell>
          <cell r="K345" t="str">
            <v>M-P</v>
          </cell>
          <cell r="L345" t="str">
            <v>1653.000000</v>
          </cell>
          <cell r="AL345" t="str">
            <v>228859</v>
          </cell>
          <cell r="BC345" t="str">
            <v>Cust-PP</v>
          </cell>
          <cell r="BD345" t="str">
            <v>1.9743336623889440</v>
          </cell>
          <cell r="BE345" t="str">
            <v>.0000000000000000</v>
          </cell>
          <cell r="BF345" t="str">
            <v>.0000000000000000</v>
          </cell>
          <cell r="BG345" t="str">
            <v>None</v>
          </cell>
          <cell r="BK345" t="str">
            <v>2025-03-05 00:00:00</v>
          </cell>
          <cell r="BL345" t="str">
            <v>Airport EG-367</v>
          </cell>
          <cell r="BM345" t="str">
            <v>No</v>
          </cell>
          <cell r="BN345" t="str">
            <v>No</v>
          </cell>
          <cell r="BO345" t="str">
            <v>CPay-000000003</v>
          </cell>
        </row>
        <row r="346">
          <cell r="B346" t="str">
            <v>228860</v>
          </cell>
          <cell r="C346" t="str">
            <v>32.0000000000000000</v>
          </cell>
          <cell r="E346" t="str">
            <v>Cust</v>
          </cell>
          <cell r="G346" t="str">
            <v>No</v>
          </cell>
          <cell r="H346" t="str">
            <v>1900-01-01 00:00:00</v>
          </cell>
          <cell r="K346" t="str">
            <v>M-P</v>
          </cell>
          <cell r="L346" t="str">
            <v>3881.240000</v>
          </cell>
          <cell r="AL346" t="str">
            <v>228860</v>
          </cell>
          <cell r="BC346" t="str">
            <v>Cust-PP</v>
          </cell>
          <cell r="BD346" t="str">
            <v>1.9743336623889440</v>
          </cell>
          <cell r="BE346" t="str">
            <v>.0000000000000000</v>
          </cell>
          <cell r="BF346" t="str">
            <v>.0000000000000000</v>
          </cell>
          <cell r="BG346" t="str">
            <v>None</v>
          </cell>
          <cell r="BK346" t="str">
            <v>2025-03-05 00:00:00</v>
          </cell>
          <cell r="BL346" t="str">
            <v>Airport EG-368</v>
          </cell>
          <cell r="BM346" t="str">
            <v>No</v>
          </cell>
          <cell r="BN346" t="str">
            <v>No</v>
          </cell>
          <cell r="BO346" t="str">
            <v>CPay-000000003</v>
          </cell>
        </row>
        <row r="347">
          <cell r="B347" t="str">
            <v>228940</v>
          </cell>
          <cell r="C347" t="str">
            <v>33.0000000000000000</v>
          </cell>
          <cell r="E347" t="str">
            <v>Cust</v>
          </cell>
          <cell r="G347" t="str">
            <v>No</v>
          </cell>
          <cell r="H347" t="str">
            <v>1900-01-01 00:00:00</v>
          </cell>
          <cell r="K347" t="str">
            <v>M-P</v>
          </cell>
          <cell r="L347" t="str">
            <v>2052.000000</v>
          </cell>
          <cell r="AL347" t="str">
            <v>228940</v>
          </cell>
          <cell r="BC347" t="str">
            <v>Cust-PP</v>
          </cell>
          <cell r="BD347" t="str">
            <v>1.9743336623889440</v>
          </cell>
          <cell r="BE347" t="str">
            <v>.0000000000000000</v>
          </cell>
          <cell r="BF347" t="str">
            <v>.0000000000000000</v>
          </cell>
          <cell r="BG347" t="str">
            <v>None</v>
          </cell>
          <cell r="BK347" t="str">
            <v>2025-03-06 00:00:00</v>
          </cell>
          <cell r="BL347" t="str">
            <v>Airport EG-370</v>
          </cell>
          <cell r="BM347" t="str">
            <v>No</v>
          </cell>
          <cell r="BN347" t="str">
            <v>No</v>
          </cell>
          <cell r="BO347" t="str">
            <v>CPay-000000003</v>
          </cell>
        </row>
        <row r="348">
          <cell r="B348" t="str">
            <v>228941</v>
          </cell>
          <cell r="C348" t="str">
            <v>34.0000000000000000</v>
          </cell>
          <cell r="E348" t="str">
            <v>Cust</v>
          </cell>
          <cell r="G348" t="str">
            <v>No</v>
          </cell>
          <cell r="H348" t="str">
            <v>1900-01-01 00:00:00</v>
          </cell>
          <cell r="K348" t="str">
            <v>M-P</v>
          </cell>
          <cell r="L348" t="str">
            <v>370.500000</v>
          </cell>
          <cell r="AL348" t="str">
            <v>228941</v>
          </cell>
          <cell r="BC348" t="str">
            <v>Cust-PP</v>
          </cell>
          <cell r="BD348" t="str">
            <v>1.9743336623889440</v>
          </cell>
          <cell r="BE348" t="str">
            <v>.0000000000000000</v>
          </cell>
          <cell r="BF348" t="str">
            <v>.0000000000000000</v>
          </cell>
          <cell r="BG348" t="str">
            <v>None</v>
          </cell>
          <cell r="BK348" t="str">
            <v>2025-03-06 00:00:00</v>
          </cell>
          <cell r="BL348" t="str">
            <v>Airport EG-371</v>
          </cell>
          <cell r="BM348" t="str">
            <v>No</v>
          </cell>
          <cell r="BN348" t="str">
            <v>No</v>
          </cell>
          <cell r="BO348" t="str">
            <v>CPay-000000003</v>
          </cell>
        </row>
        <row r="349">
          <cell r="B349" t="str">
            <v>228950</v>
          </cell>
          <cell r="C349" t="str">
            <v>35.0000000000000000</v>
          </cell>
          <cell r="E349" t="str">
            <v>Cust</v>
          </cell>
          <cell r="G349" t="str">
            <v>No</v>
          </cell>
          <cell r="H349" t="str">
            <v>1900-01-01 00:00:00</v>
          </cell>
          <cell r="K349" t="str">
            <v>M-P</v>
          </cell>
          <cell r="L349" t="str">
            <v>2052.000000</v>
          </cell>
          <cell r="AL349" t="str">
            <v>228950</v>
          </cell>
          <cell r="BC349" t="str">
            <v>Cust-PP</v>
          </cell>
          <cell r="BD349" t="str">
            <v>1.9743336623889440</v>
          </cell>
          <cell r="BE349" t="str">
            <v>.0000000000000000</v>
          </cell>
          <cell r="BF349" t="str">
            <v>.0000000000000000</v>
          </cell>
          <cell r="BG349" t="str">
            <v>None</v>
          </cell>
          <cell r="BK349" t="str">
            <v>2025-03-06 00:00:00</v>
          </cell>
          <cell r="BL349" t="str">
            <v>Airport EG-372</v>
          </cell>
          <cell r="BM349" t="str">
            <v>No</v>
          </cell>
          <cell r="BN349" t="str">
            <v>No</v>
          </cell>
          <cell r="BO349" t="str">
            <v>CPay-000000003</v>
          </cell>
        </row>
        <row r="350">
          <cell r="B350" t="str">
            <v>228951</v>
          </cell>
          <cell r="C350" t="str">
            <v>36.0000000000000000</v>
          </cell>
          <cell r="E350" t="str">
            <v>Cust</v>
          </cell>
          <cell r="G350" t="str">
            <v>No</v>
          </cell>
          <cell r="H350" t="str">
            <v>1900-01-01 00:00:00</v>
          </cell>
          <cell r="K350" t="str">
            <v>M-P</v>
          </cell>
          <cell r="L350" t="str">
            <v>456.000000</v>
          </cell>
          <cell r="AL350" t="str">
            <v>228951</v>
          </cell>
          <cell r="BC350" t="str">
            <v>Cust-PP</v>
          </cell>
          <cell r="BD350" t="str">
            <v>1.9743336623889440</v>
          </cell>
          <cell r="BE350" t="str">
            <v>.0000000000000000</v>
          </cell>
          <cell r="BF350" t="str">
            <v>.0000000000000000</v>
          </cell>
          <cell r="BG350" t="str">
            <v>None</v>
          </cell>
          <cell r="BK350" t="str">
            <v>2025-03-06 00:00:00</v>
          </cell>
          <cell r="BL350" t="str">
            <v>Airport EG-373</v>
          </cell>
          <cell r="BM350" t="str">
            <v>No</v>
          </cell>
          <cell r="BN350" t="str">
            <v>No</v>
          </cell>
          <cell r="BO350" t="str">
            <v>CPay-000000003</v>
          </cell>
        </row>
        <row r="351">
          <cell r="B351" t="str">
            <v>229037</v>
          </cell>
          <cell r="C351" t="str">
            <v>37.0000000000000000</v>
          </cell>
          <cell r="E351" t="str">
            <v>Cust</v>
          </cell>
          <cell r="G351" t="str">
            <v>No</v>
          </cell>
          <cell r="H351" t="str">
            <v>1900-01-01 00:00:00</v>
          </cell>
          <cell r="K351" t="str">
            <v>M-P</v>
          </cell>
          <cell r="L351" t="str">
            <v>1653.000000</v>
          </cell>
          <cell r="AL351" t="str">
            <v>229037</v>
          </cell>
          <cell r="BC351" t="str">
            <v>Cust-PP</v>
          </cell>
          <cell r="BD351" t="str">
            <v>1.9743336623889440</v>
          </cell>
          <cell r="BE351" t="str">
            <v>.0000000000000000</v>
          </cell>
          <cell r="BF351" t="str">
            <v>.0000000000000000</v>
          </cell>
          <cell r="BG351" t="str">
            <v>None</v>
          </cell>
          <cell r="BK351" t="str">
            <v>2025-03-06 00:00:00</v>
          </cell>
          <cell r="BL351" t="str">
            <v>Airport EG-374</v>
          </cell>
          <cell r="BM351" t="str">
            <v>No</v>
          </cell>
          <cell r="BN351" t="str">
            <v>No</v>
          </cell>
          <cell r="BO351" t="str">
            <v>CPay-000000003</v>
          </cell>
        </row>
        <row r="352">
          <cell r="B352" t="str">
            <v>229038</v>
          </cell>
          <cell r="C352" t="str">
            <v>38.0000000000000000</v>
          </cell>
          <cell r="E352" t="str">
            <v>Cust</v>
          </cell>
          <cell r="G352" t="str">
            <v>No</v>
          </cell>
          <cell r="H352" t="str">
            <v>1900-01-01 00:00:00</v>
          </cell>
          <cell r="K352" t="str">
            <v>M-P</v>
          </cell>
          <cell r="L352" t="str">
            <v>351.350000</v>
          </cell>
          <cell r="AL352" t="str">
            <v>229038</v>
          </cell>
          <cell r="BC352" t="str">
            <v>Cust-PP</v>
          </cell>
          <cell r="BD352" t="str">
            <v>1.9743336623889440</v>
          </cell>
          <cell r="BE352" t="str">
            <v>.0000000000000000</v>
          </cell>
          <cell r="BF352" t="str">
            <v>.0000000000000000</v>
          </cell>
          <cell r="BG352" t="str">
            <v>None</v>
          </cell>
          <cell r="BK352" t="str">
            <v>2025-03-06 00:00:00</v>
          </cell>
          <cell r="BL352" t="str">
            <v>Airport EG-375</v>
          </cell>
          <cell r="BM352" t="str">
            <v>No</v>
          </cell>
          <cell r="BN352" t="str">
            <v>No</v>
          </cell>
          <cell r="BO352" t="str">
            <v>CPay-000000003</v>
          </cell>
        </row>
        <row r="353">
          <cell r="B353" t="str">
            <v>229067</v>
          </cell>
          <cell r="C353" t="str">
            <v>39.0000000000000000</v>
          </cell>
          <cell r="E353" t="str">
            <v>Cust</v>
          </cell>
          <cell r="G353" t="str">
            <v>No</v>
          </cell>
          <cell r="H353" t="str">
            <v>1900-01-01 00:00:00</v>
          </cell>
          <cell r="K353" t="str">
            <v>M-P</v>
          </cell>
          <cell r="L353" t="str">
            <v>1653.000000</v>
          </cell>
          <cell r="AL353" t="str">
            <v>229067</v>
          </cell>
          <cell r="BC353" t="str">
            <v>Cust-PP</v>
          </cell>
          <cell r="BD353" t="str">
            <v>1.9743336623889440</v>
          </cell>
          <cell r="BE353" t="str">
            <v>.0000000000000000</v>
          </cell>
          <cell r="BF353" t="str">
            <v>.0000000000000000</v>
          </cell>
          <cell r="BG353" t="str">
            <v>None</v>
          </cell>
          <cell r="BK353" t="str">
            <v>2025-03-06 00:00:00</v>
          </cell>
          <cell r="BL353" t="str">
            <v>Airport EG-376</v>
          </cell>
          <cell r="BM353" t="str">
            <v>No</v>
          </cell>
          <cell r="BN353" t="str">
            <v>No</v>
          </cell>
          <cell r="BO353" t="str">
            <v>CPay-000000003</v>
          </cell>
        </row>
        <row r="354">
          <cell r="B354" t="str">
            <v>229068</v>
          </cell>
          <cell r="C354" t="str">
            <v>40.0000000000000000</v>
          </cell>
          <cell r="E354" t="str">
            <v>Cust</v>
          </cell>
          <cell r="G354" t="str">
            <v>No</v>
          </cell>
          <cell r="H354" t="str">
            <v>1900-01-01 00:00:00</v>
          </cell>
          <cell r="K354" t="str">
            <v>M-P</v>
          </cell>
          <cell r="L354" t="str">
            <v>274.000000</v>
          </cell>
          <cell r="AL354" t="str">
            <v>229068</v>
          </cell>
          <cell r="BC354" t="str">
            <v>Cust-PP</v>
          </cell>
          <cell r="BD354" t="str">
            <v>1.9743336623889440</v>
          </cell>
          <cell r="BE354" t="str">
            <v>.0000000000000000</v>
          </cell>
          <cell r="BF354" t="str">
            <v>.0000000000000000</v>
          </cell>
          <cell r="BG354" t="str">
            <v>None</v>
          </cell>
          <cell r="BK354" t="str">
            <v>2025-03-06 00:00:00</v>
          </cell>
          <cell r="BL354" t="str">
            <v>Airport EG-377</v>
          </cell>
          <cell r="BM354" t="str">
            <v>No</v>
          </cell>
          <cell r="BN354" t="str">
            <v>No</v>
          </cell>
          <cell r="BO354" t="str">
            <v>CPay-000000003</v>
          </cell>
        </row>
        <row r="355">
          <cell r="B355" t="str">
            <v>229159</v>
          </cell>
          <cell r="C355" t="str">
            <v>41.0000000000000000</v>
          </cell>
          <cell r="E355" t="str">
            <v>Cust</v>
          </cell>
          <cell r="G355" t="str">
            <v>No</v>
          </cell>
          <cell r="H355" t="str">
            <v>1900-01-01 00:00:00</v>
          </cell>
          <cell r="K355" t="str">
            <v>M-P</v>
          </cell>
          <cell r="L355" t="str">
            <v>2052.000000</v>
          </cell>
          <cell r="AL355" t="str">
            <v>229159</v>
          </cell>
          <cell r="BC355" t="str">
            <v>Cust-PP</v>
          </cell>
          <cell r="BD355" t="str">
            <v>1.9743336623889440</v>
          </cell>
          <cell r="BE355" t="str">
            <v>.0000000000000000</v>
          </cell>
          <cell r="BF355" t="str">
            <v>.0000000000000000</v>
          </cell>
          <cell r="BG355" t="str">
            <v>None</v>
          </cell>
          <cell r="BK355" t="str">
            <v>2025-03-08 00:00:00</v>
          </cell>
          <cell r="BL355" t="str">
            <v>Airport EG-378</v>
          </cell>
          <cell r="BM355" t="str">
            <v>No</v>
          </cell>
          <cell r="BN355" t="str">
            <v>No</v>
          </cell>
          <cell r="BO355" t="str">
            <v>CPay-000000003</v>
          </cell>
        </row>
        <row r="356">
          <cell r="B356" t="str">
            <v>229161</v>
          </cell>
          <cell r="C356" t="str">
            <v>42.0000000000000000</v>
          </cell>
          <cell r="E356" t="str">
            <v>Cust</v>
          </cell>
          <cell r="G356" t="str">
            <v>No</v>
          </cell>
          <cell r="H356" t="str">
            <v>1900-01-01 00:00:00</v>
          </cell>
          <cell r="K356" t="str">
            <v>M-P</v>
          </cell>
          <cell r="L356" t="str">
            <v>798.000000</v>
          </cell>
          <cell r="AL356" t="str">
            <v>229161</v>
          </cell>
          <cell r="BC356" t="str">
            <v>Cust-PP</v>
          </cell>
          <cell r="BD356" t="str">
            <v>1.9743336623889440</v>
          </cell>
          <cell r="BE356" t="str">
            <v>.0000000000000000</v>
          </cell>
          <cell r="BF356" t="str">
            <v>.0000000000000000</v>
          </cell>
          <cell r="BG356" t="str">
            <v>None</v>
          </cell>
          <cell r="BK356" t="str">
            <v>2025-03-08 00:00:00</v>
          </cell>
          <cell r="BL356" t="str">
            <v>Airport EG-379</v>
          </cell>
          <cell r="BM356" t="str">
            <v>No</v>
          </cell>
          <cell r="BN356" t="str">
            <v>No</v>
          </cell>
          <cell r="BO356" t="str">
            <v>CPay-000000003</v>
          </cell>
        </row>
        <row r="357">
          <cell r="B357" t="str">
            <v>229164</v>
          </cell>
          <cell r="C357" t="str">
            <v>43.0000000000000000</v>
          </cell>
          <cell r="E357" t="str">
            <v>Cust</v>
          </cell>
          <cell r="G357" t="str">
            <v>No</v>
          </cell>
          <cell r="H357" t="str">
            <v>1900-01-01 00:00:00</v>
          </cell>
          <cell r="K357" t="str">
            <v>M-P</v>
          </cell>
          <cell r="L357" t="str">
            <v>2052.000000</v>
          </cell>
          <cell r="AL357" t="str">
            <v>229164</v>
          </cell>
          <cell r="BC357" t="str">
            <v>Cust-PP</v>
          </cell>
          <cell r="BD357" t="str">
            <v>1.9743336623889440</v>
          </cell>
          <cell r="BE357" t="str">
            <v>.0000000000000000</v>
          </cell>
          <cell r="BF357" t="str">
            <v>.0000000000000000</v>
          </cell>
          <cell r="BG357" t="str">
            <v>None</v>
          </cell>
          <cell r="BK357" t="str">
            <v>2025-03-08 00:00:00</v>
          </cell>
          <cell r="BL357" t="str">
            <v>Airport EG-380</v>
          </cell>
          <cell r="BM357" t="str">
            <v>No</v>
          </cell>
          <cell r="BN357" t="str">
            <v>No</v>
          </cell>
          <cell r="BO357" t="str">
            <v>CPay-000000003</v>
          </cell>
        </row>
        <row r="358">
          <cell r="B358" t="str">
            <v>229165</v>
          </cell>
          <cell r="C358" t="str">
            <v>44.0000000000000000</v>
          </cell>
          <cell r="E358" t="str">
            <v>Cust</v>
          </cell>
          <cell r="G358" t="str">
            <v>No</v>
          </cell>
          <cell r="H358" t="str">
            <v>1900-01-01 00:00:00</v>
          </cell>
          <cell r="K358" t="str">
            <v>M-P</v>
          </cell>
          <cell r="L358" t="str">
            <v>1140.000000</v>
          </cell>
          <cell r="AL358" t="str">
            <v>229165</v>
          </cell>
          <cell r="BC358" t="str">
            <v>Cust-PP</v>
          </cell>
          <cell r="BD358" t="str">
            <v>1.9743336623889440</v>
          </cell>
          <cell r="BE358" t="str">
            <v>.0000000000000000</v>
          </cell>
          <cell r="BF358" t="str">
            <v>.0000000000000000</v>
          </cell>
          <cell r="BG358" t="str">
            <v>None</v>
          </cell>
          <cell r="BK358" t="str">
            <v>2025-03-08 00:00:00</v>
          </cell>
          <cell r="BL358" t="str">
            <v>Airport EG-381</v>
          </cell>
          <cell r="BM358" t="str">
            <v>No</v>
          </cell>
          <cell r="BN358" t="str">
            <v>No</v>
          </cell>
          <cell r="BO358" t="str">
            <v>CPay-000000003</v>
          </cell>
        </row>
        <row r="359">
          <cell r="B359" t="str">
            <v>229171</v>
          </cell>
          <cell r="C359" t="str">
            <v>45.0000000000000000</v>
          </cell>
          <cell r="E359" t="str">
            <v>Cust</v>
          </cell>
          <cell r="G359" t="str">
            <v>No</v>
          </cell>
          <cell r="H359" t="str">
            <v>1900-01-01 00:00:00</v>
          </cell>
          <cell r="K359" t="str">
            <v>M-P</v>
          </cell>
          <cell r="L359" t="str">
            <v>456.000000</v>
          </cell>
          <cell r="AL359" t="str">
            <v>229171</v>
          </cell>
          <cell r="BC359" t="str">
            <v>Cust-PP</v>
          </cell>
          <cell r="BD359" t="str">
            <v>1.9743336623889440</v>
          </cell>
          <cell r="BE359" t="str">
            <v>.0000000000000000</v>
          </cell>
          <cell r="BF359" t="str">
            <v>.0000000000000000</v>
          </cell>
          <cell r="BG359" t="str">
            <v>None</v>
          </cell>
          <cell r="BK359" t="str">
            <v>2025-03-08 00:00:00</v>
          </cell>
          <cell r="BL359" t="str">
            <v>Airport EG-382</v>
          </cell>
          <cell r="BM359" t="str">
            <v>No</v>
          </cell>
          <cell r="BN359" t="str">
            <v>No</v>
          </cell>
          <cell r="BO359" t="str">
            <v>CPay-000000003</v>
          </cell>
        </row>
        <row r="360">
          <cell r="B360" t="str">
            <v>229173</v>
          </cell>
          <cell r="C360" t="str">
            <v>46.0000000000000000</v>
          </cell>
          <cell r="E360" t="str">
            <v>Cust</v>
          </cell>
          <cell r="G360" t="str">
            <v>No</v>
          </cell>
          <cell r="H360" t="str">
            <v>1900-01-01 00:00:00</v>
          </cell>
          <cell r="K360" t="str">
            <v>M-P</v>
          </cell>
          <cell r="L360" t="str">
            <v>2052.000000</v>
          </cell>
          <cell r="AL360" t="str">
            <v>229173</v>
          </cell>
          <cell r="BC360" t="str">
            <v>Cust-PP</v>
          </cell>
          <cell r="BD360" t="str">
            <v>1.9743336623889440</v>
          </cell>
          <cell r="BE360" t="str">
            <v>.0000000000000000</v>
          </cell>
          <cell r="BF360" t="str">
            <v>.0000000000000000</v>
          </cell>
          <cell r="BG360" t="str">
            <v>None</v>
          </cell>
          <cell r="BK360" t="str">
            <v>2025-03-08 00:00:00</v>
          </cell>
          <cell r="BL360" t="str">
            <v>Airport EG-383</v>
          </cell>
          <cell r="BM360" t="str">
            <v>No</v>
          </cell>
          <cell r="BN360" t="str">
            <v>No</v>
          </cell>
          <cell r="BO360" t="str">
            <v>CPay-000000003</v>
          </cell>
        </row>
        <row r="361">
          <cell r="B361" t="str">
            <v>229176</v>
          </cell>
          <cell r="C361" t="str">
            <v>47.0000000000000000</v>
          </cell>
          <cell r="E361" t="str">
            <v>Cust</v>
          </cell>
          <cell r="G361" t="str">
            <v>No</v>
          </cell>
          <cell r="H361" t="str">
            <v>1900-01-01 00:00:00</v>
          </cell>
          <cell r="K361" t="str">
            <v>M-P</v>
          </cell>
          <cell r="L361" t="str">
            <v>1653.000000</v>
          </cell>
          <cell r="AL361" t="str">
            <v>229176</v>
          </cell>
          <cell r="BC361" t="str">
            <v>Cust-PP</v>
          </cell>
          <cell r="BD361" t="str">
            <v>1.9743336623889440</v>
          </cell>
          <cell r="BE361" t="str">
            <v>.0000000000000000</v>
          </cell>
          <cell r="BF361" t="str">
            <v>.0000000000000000</v>
          </cell>
          <cell r="BG361" t="str">
            <v>None</v>
          </cell>
          <cell r="BK361" t="str">
            <v>2025-03-08 00:00:00</v>
          </cell>
          <cell r="BL361" t="str">
            <v>Airport EG-384</v>
          </cell>
          <cell r="BM361" t="str">
            <v>No</v>
          </cell>
          <cell r="BN361" t="str">
            <v>No</v>
          </cell>
          <cell r="BO361" t="str">
            <v>CPay-000000003</v>
          </cell>
        </row>
        <row r="362">
          <cell r="B362" t="str">
            <v>229178</v>
          </cell>
          <cell r="C362" t="str">
            <v>48.0000000000000000</v>
          </cell>
          <cell r="E362" t="str">
            <v>Cust</v>
          </cell>
          <cell r="G362" t="str">
            <v>No</v>
          </cell>
          <cell r="H362" t="str">
            <v>1900-01-01 00:00:00</v>
          </cell>
          <cell r="K362" t="str">
            <v>M-P</v>
          </cell>
          <cell r="L362" t="str">
            <v>262.200000</v>
          </cell>
          <cell r="AL362" t="str">
            <v>229178</v>
          </cell>
          <cell r="BC362" t="str">
            <v>Cust-PP</v>
          </cell>
          <cell r="BD362" t="str">
            <v>1.9743336623889440</v>
          </cell>
          <cell r="BE362" t="str">
            <v>.0000000000000000</v>
          </cell>
          <cell r="BF362" t="str">
            <v>.0000000000000000</v>
          </cell>
          <cell r="BG362" t="str">
            <v>None</v>
          </cell>
          <cell r="BK362" t="str">
            <v>2025-03-08 00:00:00</v>
          </cell>
          <cell r="BL362" t="str">
            <v>Airport EG-385</v>
          </cell>
          <cell r="BM362" t="str">
            <v>No</v>
          </cell>
          <cell r="BN362" t="str">
            <v>No</v>
          </cell>
          <cell r="BO362" t="str">
            <v>CPay-000000003</v>
          </cell>
        </row>
        <row r="363">
          <cell r="B363" t="str">
            <v>229200</v>
          </cell>
          <cell r="C363" t="str">
            <v>49.0000000000000000</v>
          </cell>
          <cell r="E363" t="str">
            <v>Cust</v>
          </cell>
          <cell r="G363" t="str">
            <v>No</v>
          </cell>
          <cell r="H363" t="str">
            <v>1900-01-01 00:00:00</v>
          </cell>
          <cell r="K363" t="str">
            <v>M-P</v>
          </cell>
          <cell r="L363" t="str">
            <v>1653.000000</v>
          </cell>
          <cell r="AL363" t="str">
            <v>229200</v>
          </cell>
          <cell r="BC363" t="str">
            <v>Cust-PP</v>
          </cell>
          <cell r="BD363" t="str">
            <v>1.9743336623889440</v>
          </cell>
          <cell r="BE363" t="str">
            <v>.0000000000000000</v>
          </cell>
          <cell r="BF363" t="str">
            <v>.0000000000000000</v>
          </cell>
          <cell r="BG363" t="str">
            <v>None</v>
          </cell>
          <cell r="BK363" t="str">
            <v>2025-03-08 00:00:00</v>
          </cell>
          <cell r="BL363" t="str">
            <v>Airport EG-386</v>
          </cell>
          <cell r="BM363" t="str">
            <v>No</v>
          </cell>
          <cell r="BN363" t="str">
            <v>No</v>
          </cell>
          <cell r="BO363" t="str">
            <v>CPay-000000003</v>
          </cell>
        </row>
        <row r="364">
          <cell r="B364" t="str">
            <v>229201</v>
          </cell>
          <cell r="C364" t="str">
            <v>50.0000000000000000</v>
          </cell>
          <cell r="E364" t="str">
            <v>Cust</v>
          </cell>
          <cell r="G364" t="str">
            <v>No</v>
          </cell>
          <cell r="H364" t="str">
            <v>1900-01-01 00:00:00</v>
          </cell>
          <cell r="K364" t="str">
            <v>M-P</v>
          </cell>
          <cell r="L364" t="str">
            <v>456.000000</v>
          </cell>
          <cell r="AL364" t="str">
            <v>229201</v>
          </cell>
          <cell r="BC364" t="str">
            <v>Cust-PP</v>
          </cell>
          <cell r="BD364" t="str">
            <v>1.9743336623889440</v>
          </cell>
          <cell r="BE364" t="str">
            <v>.0000000000000000</v>
          </cell>
          <cell r="BF364" t="str">
            <v>.0000000000000000</v>
          </cell>
          <cell r="BG364" t="str">
            <v>None</v>
          </cell>
          <cell r="BK364" t="str">
            <v>2025-03-08 00:00:00</v>
          </cell>
          <cell r="BL364" t="str">
            <v>Airport EG-387</v>
          </cell>
          <cell r="BM364" t="str">
            <v>No</v>
          </cell>
          <cell r="BN364" t="str">
            <v>No</v>
          </cell>
          <cell r="BO364" t="str">
            <v>CPay-000000003</v>
          </cell>
        </row>
        <row r="365">
          <cell r="B365" t="str">
            <v>229280</v>
          </cell>
          <cell r="C365" t="str">
            <v>51.0000000000000000</v>
          </cell>
          <cell r="E365" t="str">
            <v>Cust</v>
          </cell>
          <cell r="G365" t="str">
            <v>No</v>
          </cell>
          <cell r="H365" t="str">
            <v>1900-01-01 00:00:00</v>
          </cell>
          <cell r="K365" t="str">
            <v>M-P</v>
          </cell>
          <cell r="L365" t="str">
            <v>5980.440000</v>
          </cell>
          <cell r="AL365" t="str">
            <v>229280</v>
          </cell>
          <cell r="BC365" t="str">
            <v>Cust-PP</v>
          </cell>
          <cell r="BD365" t="str">
            <v>1.9743336623889440</v>
          </cell>
          <cell r="BE365" t="str">
            <v>.0000000000000000</v>
          </cell>
          <cell r="BF365" t="str">
            <v>.0000000000000000</v>
          </cell>
          <cell r="BG365" t="str">
            <v>None</v>
          </cell>
          <cell r="BK365" t="str">
            <v>2025-03-09 00:00:00</v>
          </cell>
          <cell r="BL365" t="str">
            <v>Airport EG-389</v>
          </cell>
          <cell r="BM365" t="str">
            <v>No</v>
          </cell>
          <cell r="BN365" t="str">
            <v>No</v>
          </cell>
          <cell r="BO365" t="str">
            <v>CPay-000000003</v>
          </cell>
        </row>
        <row r="366">
          <cell r="B366" t="str">
            <v>229283</v>
          </cell>
          <cell r="C366" t="str">
            <v>52.0000000000000000</v>
          </cell>
          <cell r="E366" t="str">
            <v>Cust</v>
          </cell>
          <cell r="G366" t="str">
            <v>No</v>
          </cell>
          <cell r="H366" t="str">
            <v>1900-01-01 00:00:00</v>
          </cell>
          <cell r="K366" t="str">
            <v>M-P</v>
          </cell>
          <cell r="L366" t="str">
            <v>1653.000000</v>
          </cell>
          <cell r="AL366" t="str">
            <v>229283</v>
          </cell>
          <cell r="BC366" t="str">
            <v>Cust-PP</v>
          </cell>
          <cell r="BD366" t="str">
            <v>1.9743336623889440</v>
          </cell>
          <cell r="BE366" t="str">
            <v>.0000000000000000</v>
          </cell>
          <cell r="BF366" t="str">
            <v>.0000000000000000</v>
          </cell>
          <cell r="BG366" t="str">
            <v>None</v>
          </cell>
          <cell r="BK366" t="str">
            <v>2025-03-09 00:00:00</v>
          </cell>
          <cell r="BL366" t="str">
            <v>Airport EG-390</v>
          </cell>
          <cell r="BM366" t="str">
            <v>No</v>
          </cell>
          <cell r="BN366" t="str">
            <v>No</v>
          </cell>
          <cell r="BO366" t="str">
            <v>CPay-000000003</v>
          </cell>
        </row>
        <row r="367">
          <cell r="B367" t="str">
            <v>229285</v>
          </cell>
          <cell r="C367" t="str">
            <v>53.0000000000000000</v>
          </cell>
          <cell r="E367" t="str">
            <v>Cust</v>
          </cell>
          <cell r="G367" t="str">
            <v>No</v>
          </cell>
          <cell r="H367" t="str">
            <v>1900-01-01 00:00:00</v>
          </cell>
          <cell r="K367" t="str">
            <v>M-P</v>
          </cell>
          <cell r="L367" t="str">
            <v>2496.830000</v>
          </cell>
          <cell r="AL367" t="str">
            <v>229285</v>
          </cell>
          <cell r="BC367" t="str">
            <v>Cust-PP</v>
          </cell>
          <cell r="BD367" t="str">
            <v>1.9743336623889440</v>
          </cell>
          <cell r="BE367" t="str">
            <v>.0000000000000000</v>
          </cell>
          <cell r="BF367" t="str">
            <v>.0000000000000000</v>
          </cell>
          <cell r="BG367" t="str">
            <v>None</v>
          </cell>
          <cell r="BK367" t="str">
            <v>2025-03-09 00:00:00</v>
          </cell>
          <cell r="BL367" t="str">
            <v>Airport EG-391</v>
          </cell>
          <cell r="BM367" t="str">
            <v>No</v>
          </cell>
          <cell r="BN367" t="str">
            <v>No</v>
          </cell>
          <cell r="BO367" t="str">
            <v>CPay-000000003</v>
          </cell>
        </row>
        <row r="368">
          <cell r="B368" t="str">
            <v>407190</v>
          </cell>
          <cell r="C368" t="str">
            <v>54.0000000000000000</v>
          </cell>
          <cell r="E368" t="str">
            <v>Cust</v>
          </cell>
          <cell r="G368" t="str">
            <v>No</v>
          </cell>
          <cell r="H368" t="str">
            <v>1900-01-01 00:00:00</v>
          </cell>
          <cell r="K368" t="str">
            <v>M-P</v>
          </cell>
          <cell r="L368" t="str">
            <v>1653.000000</v>
          </cell>
          <cell r="AL368" t="str">
            <v>407190</v>
          </cell>
          <cell r="BC368" t="str">
            <v>Cust-PP</v>
          </cell>
          <cell r="BD368" t="str">
            <v>1.9743336623889440</v>
          </cell>
          <cell r="BE368" t="str">
            <v>.0000000000000000</v>
          </cell>
          <cell r="BF368" t="str">
            <v>.0000000000000000</v>
          </cell>
          <cell r="BG368" t="str">
            <v>None</v>
          </cell>
          <cell r="BK368" t="str">
            <v>2025-03-09 00:00:00</v>
          </cell>
          <cell r="BL368" t="str">
            <v>Airport EG-388</v>
          </cell>
          <cell r="BM368" t="str">
            <v>No</v>
          </cell>
          <cell r="BN368" t="str">
            <v>No</v>
          </cell>
          <cell r="BO368" t="str">
            <v>CPay-000000003</v>
          </cell>
        </row>
        <row r="369">
          <cell r="B369" t="str">
            <v>229415</v>
          </cell>
          <cell r="C369" t="str">
            <v>55.0000000000000000</v>
          </cell>
          <cell r="E369" t="str">
            <v>Cust</v>
          </cell>
          <cell r="G369" t="str">
            <v>No</v>
          </cell>
          <cell r="H369" t="str">
            <v>1900-01-01 00:00:00</v>
          </cell>
          <cell r="K369" t="str">
            <v>M-P</v>
          </cell>
          <cell r="L369" t="str">
            <v>1653.000000</v>
          </cell>
          <cell r="AL369" t="str">
            <v>229415</v>
          </cell>
          <cell r="BC369" t="str">
            <v>Cust-PP</v>
          </cell>
          <cell r="BD369" t="str">
            <v>1.9743336623889440</v>
          </cell>
          <cell r="BE369" t="str">
            <v>.0000000000000000</v>
          </cell>
          <cell r="BF369" t="str">
            <v>.0000000000000000</v>
          </cell>
          <cell r="BG369" t="str">
            <v>None</v>
          </cell>
          <cell r="BK369" t="str">
            <v>2025-03-10 00:00:00</v>
          </cell>
          <cell r="BL369" t="str">
            <v>Airport EG-395</v>
          </cell>
          <cell r="BM369" t="str">
            <v>No</v>
          </cell>
          <cell r="BN369" t="str">
            <v>No</v>
          </cell>
          <cell r="BO369" t="str">
            <v>CPay-000000003</v>
          </cell>
        </row>
        <row r="370">
          <cell r="B370" t="str">
            <v>229416</v>
          </cell>
          <cell r="C370" t="str">
            <v>56.0000000000000000</v>
          </cell>
          <cell r="E370" t="str">
            <v>Cust</v>
          </cell>
          <cell r="G370" t="str">
            <v>No</v>
          </cell>
          <cell r="H370" t="str">
            <v>1900-01-01 00:00:00</v>
          </cell>
          <cell r="K370" t="str">
            <v>M-P</v>
          </cell>
          <cell r="L370" t="str">
            <v>285.000000</v>
          </cell>
          <cell r="AL370" t="str">
            <v>229416</v>
          </cell>
          <cell r="BC370" t="str">
            <v>Cust-PP</v>
          </cell>
          <cell r="BD370" t="str">
            <v>1.9743336623889440</v>
          </cell>
          <cell r="BE370" t="str">
            <v>.0000000000000000</v>
          </cell>
          <cell r="BF370" t="str">
            <v>.0000000000000000</v>
          </cell>
          <cell r="BG370" t="str">
            <v>None</v>
          </cell>
          <cell r="BK370" t="str">
            <v>2025-03-10 00:00:00</v>
          </cell>
          <cell r="BL370" t="str">
            <v>Airport EG-396</v>
          </cell>
          <cell r="BM370" t="str">
            <v>No</v>
          </cell>
          <cell r="BN370" t="str">
            <v>No</v>
          </cell>
          <cell r="BO370" t="str">
            <v>CPay-000000003</v>
          </cell>
        </row>
        <row r="371">
          <cell r="B371" t="str">
            <v>229417</v>
          </cell>
          <cell r="C371" t="str">
            <v>57.0000000000000000</v>
          </cell>
          <cell r="E371" t="str">
            <v>Cust</v>
          </cell>
          <cell r="G371" t="str">
            <v>No</v>
          </cell>
          <cell r="H371" t="str">
            <v>1900-01-01 00:00:00</v>
          </cell>
          <cell r="K371" t="str">
            <v>M-P</v>
          </cell>
          <cell r="L371" t="str">
            <v>1653.000000</v>
          </cell>
          <cell r="AL371" t="str">
            <v>229417</v>
          </cell>
          <cell r="BC371" t="str">
            <v>Cust-PP</v>
          </cell>
          <cell r="BD371" t="str">
            <v>1.9743336623889440</v>
          </cell>
          <cell r="BE371" t="str">
            <v>.0000000000000000</v>
          </cell>
          <cell r="BF371" t="str">
            <v>.0000000000000000</v>
          </cell>
          <cell r="BG371" t="str">
            <v>None</v>
          </cell>
          <cell r="BK371" t="str">
            <v>2025-03-10 00:00:00</v>
          </cell>
          <cell r="BL371" t="str">
            <v>Airport EG-397</v>
          </cell>
          <cell r="BM371" t="str">
            <v>No</v>
          </cell>
          <cell r="BN371" t="str">
            <v>No</v>
          </cell>
          <cell r="BO371" t="str">
            <v>CPay-000000003</v>
          </cell>
        </row>
        <row r="372">
          <cell r="B372" t="str">
            <v>229418</v>
          </cell>
          <cell r="C372" t="str">
            <v>58.0000000000000000</v>
          </cell>
          <cell r="E372" t="str">
            <v>Cust</v>
          </cell>
          <cell r="G372" t="str">
            <v>No</v>
          </cell>
          <cell r="H372" t="str">
            <v>1900-01-01 00:00:00</v>
          </cell>
          <cell r="K372" t="str">
            <v>M-P</v>
          </cell>
          <cell r="L372" t="str">
            <v>199.500000</v>
          </cell>
          <cell r="AL372" t="str">
            <v>229418</v>
          </cell>
          <cell r="BC372" t="str">
            <v>Cust-PP</v>
          </cell>
          <cell r="BD372" t="str">
            <v>1.9743336623889440</v>
          </cell>
          <cell r="BE372" t="str">
            <v>.0000000000000000</v>
          </cell>
          <cell r="BF372" t="str">
            <v>.0000000000000000</v>
          </cell>
          <cell r="BG372" t="str">
            <v>None</v>
          </cell>
          <cell r="BK372" t="str">
            <v>2025-03-10 00:00:00</v>
          </cell>
          <cell r="BL372" t="str">
            <v>Airport EG-398</v>
          </cell>
          <cell r="BM372" t="str">
            <v>No</v>
          </cell>
          <cell r="BN372" t="str">
            <v>No</v>
          </cell>
          <cell r="BO372" t="str">
            <v>CPay-000000003</v>
          </cell>
        </row>
        <row r="373">
          <cell r="B373" t="str">
            <v>229502</v>
          </cell>
          <cell r="C373" t="str">
            <v>59.0000000000000000</v>
          </cell>
          <cell r="E373" t="str">
            <v>Cust</v>
          </cell>
          <cell r="G373" t="str">
            <v>No</v>
          </cell>
          <cell r="H373" t="str">
            <v>1900-01-01 00:00:00</v>
          </cell>
          <cell r="K373" t="str">
            <v>M-P</v>
          </cell>
          <cell r="L373" t="str">
            <v>1653.000000</v>
          </cell>
          <cell r="AL373" t="str">
            <v>229502</v>
          </cell>
          <cell r="BC373" t="str">
            <v>Cust-PP</v>
          </cell>
          <cell r="BD373" t="str">
            <v>1.9743336623889440</v>
          </cell>
          <cell r="BE373" t="str">
            <v>.0000000000000000</v>
          </cell>
          <cell r="BF373" t="str">
            <v>.0000000000000000</v>
          </cell>
          <cell r="BG373" t="str">
            <v>None</v>
          </cell>
          <cell r="BK373" t="str">
            <v>2025-03-10 00:00:00</v>
          </cell>
          <cell r="BL373" t="str">
            <v>Airport EG-400</v>
          </cell>
          <cell r="BM373" t="str">
            <v>No</v>
          </cell>
          <cell r="BN373" t="str">
            <v>No</v>
          </cell>
          <cell r="BO373" t="str">
            <v>CPay-000000003</v>
          </cell>
        </row>
        <row r="374">
          <cell r="B374" t="str">
            <v>229503</v>
          </cell>
          <cell r="C374" t="str">
            <v>60.0000000000000000</v>
          </cell>
          <cell r="E374" t="str">
            <v>Cust</v>
          </cell>
          <cell r="G374" t="str">
            <v>No</v>
          </cell>
          <cell r="H374" t="str">
            <v>1900-01-01 00:00:00</v>
          </cell>
          <cell r="K374" t="str">
            <v>M-P</v>
          </cell>
          <cell r="L374" t="str">
            <v>924.540000</v>
          </cell>
          <cell r="AL374" t="str">
            <v>229503</v>
          </cell>
          <cell r="BC374" t="str">
            <v>Cust-PP</v>
          </cell>
          <cell r="BD374" t="str">
            <v>1.9743336623889440</v>
          </cell>
          <cell r="BE374" t="str">
            <v>.0000000000000000</v>
          </cell>
          <cell r="BF374" t="str">
            <v>.0000000000000000</v>
          </cell>
          <cell r="BG374" t="str">
            <v>None</v>
          </cell>
          <cell r="BK374" t="str">
            <v>2025-03-10 00:00:00</v>
          </cell>
          <cell r="BL374" t="str">
            <v>Airport EG-401</v>
          </cell>
          <cell r="BM374" t="str">
            <v>No</v>
          </cell>
          <cell r="BN374" t="str">
            <v>No</v>
          </cell>
          <cell r="BO374" t="str">
            <v>CPay-000000003</v>
          </cell>
        </row>
        <row r="375">
          <cell r="B375" t="str">
            <v>229517</v>
          </cell>
          <cell r="C375" t="str">
            <v>61.0000000000000000</v>
          </cell>
          <cell r="E375" t="str">
            <v>Cust</v>
          </cell>
          <cell r="G375" t="str">
            <v>No</v>
          </cell>
          <cell r="H375" t="str">
            <v>1900-01-01 00:00:00</v>
          </cell>
          <cell r="K375" t="str">
            <v>M-P</v>
          </cell>
          <cell r="L375" t="str">
            <v>2052.000000</v>
          </cell>
          <cell r="AL375" t="str">
            <v>229517</v>
          </cell>
          <cell r="BC375" t="str">
            <v>Cust-PP</v>
          </cell>
          <cell r="BD375" t="str">
            <v>1.9743336623889440</v>
          </cell>
          <cell r="BE375" t="str">
            <v>.0000000000000000</v>
          </cell>
          <cell r="BF375" t="str">
            <v>.0000000000000000</v>
          </cell>
          <cell r="BG375" t="str">
            <v>None</v>
          </cell>
          <cell r="BK375" t="str">
            <v>2025-03-10 00:00:00</v>
          </cell>
          <cell r="BL375" t="str">
            <v>Airport EG-403</v>
          </cell>
          <cell r="BM375" t="str">
            <v>No</v>
          </cell>
          <cell r="BN375" t="str">
            <v>No</v>
          </cell>
          <cell r="BO375" t="str">
            <v>CPay-000000003</v>
          </cell>
        </row>
        <row r="376">
          <cell r="B376" t="str">
            <v>229518</v>
          </cell>
          <cell r="C376" t="str">
            <v>62.0000000000000000</v>
          </cell>
          <cell r="E376" t="str">
            <v>Cust</v>
          </cell>
          <cell r="G376" t="str">
            <v>No</v>
          </cell>
          <cell r="H376" t="str">
            <v>1900-01-01 00:00:00</v>
          </cell>
          <cell r="K376" t="str">
            <v>M-P</v>
          </cell>
          <cell r="L376" t="str">
            <v>1670.560000</v>
          </cell>
          <cell r="AL376" t="str">
            <v>229518</v>
          </cell>
          <cell r="BC376" t="str">
            <v>Cust-PP</v>
          </cell>
          <cell r="BD376" t="str">
            <v>1.9743336623889440</v>
          </cell>
          <cell r="BE376" t="str">
            <v>.0000000000000000</v>
          </cell>
          <cell r="BF376" t="str">
            <v>.0000000000000000</v>
          </cell>
          <cell r="BG376" t="str">
            <v>None</v>
          </cell>
          <cell r="BK376" t="str">
            <v>2025-03-10 00:00:00</v>
          </cell>
          <cell r="BL376" t="str">
            <v>Airport EG-404</v>
          </cell>
          <cell r="BM376" t="str">
            <v>No</v>
          </cell>
          <cell r="BN376" t="str">
            <v>No</v>
          </cell>
          <cell r="BO376" t="str">
            <v>CPay-000000003</v>
          </cell>
        </row>
        <row r="377">
          <cell r="B377" t="str">
            <v>229519</v>
          </cell>
          <cell r="C377" t="str">
            <v>63.0000000000000000</v>
          </cell>
          <cell r="E377" t="str">
            <v>Cust</v>
          </cell>
          <cell r="G377" t="str">
            <v>No</v>
          </cell>
          <cell r="H377" t="str">
            <v>1900-01-01 00:00:00</v>
          </cell>
          <cell r="K377" t="str">
            <v>M-P</v>
          </cell>
          <cell r="L377" t="str">
            <v>2052.000000</v>
          </cell>
          <cell r="AL377" t="str">
            <v>229519</v>
          </cell>
          <cell r="BC377" t="str">
            <v>Cust-PP</v>
          </cell>
          <cell r="BD377" t="str">
            <v>1.9743336623889440</v>
          </cell>
          <cell r="BE377" t="str">
            <v>.0000000000000000</v>
          </cell>
          <cell r="BF377" t="str">
            <v>.0000000000000000</v>
          </cell>
          <cell r="BG377" t="str">
            <v>None</v>
          </cell>
          <cell r="BK377" t="str">
            <v>2025-03-10 00:00:00</v>
          </cell>
          <cell r="BL377" t="str">
            <v>Airport EG-405</v>
          </cell>
          <cell r="BM377" t="str">
            <v>No</v>
          </cell>
          <cell r="BN377" t="str">
            <v>No</v>
          </cell>
          <cell r="BO377" t="str">
            <v>CPay-000000003</v>
          </cell>
        </row>
        <row r="378">
          <cell r="B378" t="str">
            <v>229520</v>
          </cell>
          <cell r="C378" t="str">
            <v>64.0000000000000000</v>
          </cell>
          <cell r="E378" t="str">
            <v>Cust</v>
          </cell>
          <cell r="G378" t="str">
            <v>No</v>
          </cell>
          <cell r="H378" t="str">
            <v>1900-01-01 00:00:00</v>
          </cell>
          <cell r="K378" t="str">
            <v>M-P</v>
          </cell>
          <cell r="L378" t="str">
            <v>542.750000</v>
          </cell>
          <cell r="AL378" t="str">
            <v>229520</v>
          </cell>
          <cell r="BC378" t="str">
            <v>Cust-PP</v>
          </cell>
          <cell r="BD378" t="str">
            <v>1.9743336623889440</v>
          </cell>
          <cell r="BE378" t="str">
            <v>.0000000000000000</v>
          </cell>
          <cell r="BF378" t="str">
            <v>.0000000000000000</v>
          </cell>
          <cell r="BG378" t="str">
            <v>None</v>
          </cell>
          <cell r="BK378" t="str">
            <v>2025-03-10 00:00:00</v>
          </cell>
          <cell r="BL378" t="str">
            <v>Airport EG-406</v>
          </cell>
          <cell r="BM378" t="str">
            <v>No</v>
          </cell>
          <cell r="BN378" t="str">
            <v>No</v>
          </cell>
          <cell r="BO378" t="str">
            <v>CPay-000000003</v>
          </cell>
        </row>
        <row r="379">
          <cell r="B379" t="str">
            <v>229624</v>
          </cell>
          <cell r="C379" t="str">
            <v>65.0000000000000000</v>
          </cell>
          <cell r="E379" t="str">
            <v>Cust</v>
          </cell>
          <cell r="G379" t="str">
            <v>No</v>
          </cell>
          <cell r="H379" t="str">
            <v>1900-01-01 00:00:00</v>
          </cell>
          <cell r="K379" t="str">
            <v>M-P</v>
          </cell>
          <cell r="L379" t="str">
            <v>1653.000000</v>
          </cell>
          <cell r="AL379" t="str">
            <v>229624</v>
          </cell>
          <cell r="BC379" t="str">
            <v>Cust-PP</v>
          </cell>
          <cell r="BD379" t="str">
            <v>1.9743336623889440</v>
          </cell>
          <cell r="BE379" t="str">
            <v>.0000000000000000</v>
          </cell>
          <cell r="BF379" t="str">
            <v>.0000000000000000</v>
          </cell>
          <cell r="BG379" t="str">
            <v>None</v>
          </cell>
          <cell r="BK379" t="str">
            <v>2025-03-11 00:00:00</v>
          </cell>
          <cell r="BL379" t="str">
            <v>Airport EG-407</v>
          </cell>
          <cell r="BM379" t="str">
            <v>No</v>
          </cell>
          <cell r="BN379" t="str">
            <v>No</v>
          </cell>
          <cell r="BO379" t="str">
            <v>CPay-000000003</v>
          </cell>
        </row>
        <row r="380">
          <cell r="B380" t="str">
            <v>229626</v>
          </cell>
          <cell r="C380" t="str">
            <v>66.0000000000000000</v>
          </cell>
          <cell r="E380" t="str">
            <v>Cust</v>
          </cell>
          <cell r="G380" t="str">
            <v>No</v>
          </cell>
          <cell r="H380" t="str">
            <v>1900-01-01 00:00:00</v>
          </cell>
          <cell r="K380" t="str">
            <v>M-P</v>
          </cell>
          <cell r="L380" t="str">
            <v>524.400000</v>
          </cell>
          <cell r="AL380" t="str">
            <v>229626</v>
          </cell>
          <cell r="BC380" t="str">
            <v>Cust-PP</v>
          </cell>
          <cell r="BD380" t="str">
            <v>1.9743336623889440</v>
          </cell>
          <cell r="BE380" t="str">
            <v>.0000000000000000</v>
          </cell>
          <cell r="BF380" t="str">
            <v>.0000000000000000</v>
          </cell>
          <cell r="BG380" t="str">
            <v>None</v>
          </cell>
          <cell r="BK380" t="str">
            <v>2025-03-11 00:00:00</v>
          </cell>
          <cell r="BL380" t="str">
            <v>Airport EG-408</v>
          </cell>
          <cell r="BM380" t="str">
            <v>No</v>
          </cell>
          <cell r="BN380" t="str">
            <v>No</v>
          </cell>
          <cell r="BO380" t="str">
            <v>CPay-000000003</v>
          </cell>
        </row>
        <row r="381">
          <cell r="B381" t="str">
            <v>229662</v>
          </cell>
          <cell r="C381" t="str">
            <v>67.0000000000000000</v>
          </cell>
          <cell r="E381" t="str">
            <v>Cust</v>
          </cell>
          <cell r="G381" t="str">
            <v>No</v>
          </cell>
          <cell r="H381" t="str">
            <v>1900-01-01 00:00:00</v>
          </cell>
          <cell r="K381" t="str">
            <v>M-P</v>
          </cell>
          <cell r="L381" t="str">
            <v>1000.000000</v>
          </cell>
          <cell r="AL381" t="str">
            <v>229662</v>
          </cell>
          <cell r="BC381" t="str">
            <v>Cust-PP</v>
          </cell>
          <cell r="BD381" t="str">
            <v>1.9743336623889440</v>
          </cell>
          <cell r="BE381" t="str">
            <v>.0000000000000000</v>
          </cell>
          <cell r="BF381" t="str">
            <v>.0000000000000000</v>
          </cell>
          <cell r="BG381" t="str">
            <v>None</v>
          </cell>
          <cell r="BK381" t="str">
            <v>2025-03-11 00:00:00</v>
          </cell>
          <cell r="BL381" t="str">
            <v>Airport EG-409</v>
          </cell>
          <cell r="BM381" t="str">
            <v>No</v>
          </cell>
          <cell r="BN381" t="str">
            <v>No</v>
          </cell>
          <cell r="BO381" t="str">
            <v>CPay-000000003</v>
          </cell>
        </row>
        <row r="382">
          <cell r="B382" t="str">
            <v>229663</v>
          </cell>
          <cell r="C382" t="str">
            <v>68.0000000000000000</v>
          </cell>
          <cell r="E382" t="str">
            <v>Cust</v>
          </cell>
          <cell r="G382" t="str">
            <v>No</v>
          </cell>
          <cell r="H382" t="str">
            <v>1900-01-01 00:00:00</v>
          </cell>
          <cell r="K382" t="str">
            <v>M-P</v>
          </cell>
          <cell r="L382" t="str">
            <v>344.790000</v>
          </cell>
          <cell r="AL382" t="str">
            <v>229663</v>
          </cell>
          <cell r="BC382" t="str">
            <v>Cust-PP</v>
          </cell>
          <cell r="BD382" t="str">
            <v>1.9743336623889440</v>
          </cell>
          <cell r="BE382" t="str">
            <v>.0000000000000000</v>
          </cell>
          <cell r="BF382" t="str">
            <v>.0000000000000000</v>
          </cell>
          <cell r="BG382" t="str">
            <v>None</v>
          </cell>
          <cell r="BK382" t="str">
            <v>2025-03-11 00:00:00</v>
          </cell>
          <cell r="BL382" t="str">
            <v>Airport EG-410</v>
          </cell>
          <cell r="BM382" t="str">
            <v>No</v>
          </cell>
          <cell r="BN382" t="str">
            <v>No</v>
          </cell>
          <cell r="BO382" t="str">
            <v>CPay-000000003</v>
          </cell>
        </row>
        <row r="383">
          <cell r="B383" t="str">
            <v>229667</v>
          </cell>
          <cell r="C383" t="str">
            <v>69.0000000000000000</v>
          </cell>
          <cell r="E383" t="str">
            <v>Cust</v>
          </cell>
          <cell r="G383" t="str">
            <v>No</v>
          </cell>
          <cell r="H383" t="str">
            <v>1900-01-01 00:00:00</v>
          </cell>
          <cell r="K383" t="str">
            <v>M-P</v>
          </cell>
          <cell r="L383" t="str">
            <v>1000.000000</v>
          </cell>
          <cell r="AL383" t="str">
            <v>229667</v>
          </cell>
          <cell r="BC383" t="str">
            <v>Cust-PP</v>
          </cell>
          <cell r="BD383" t="str">
            <v>1.9743336623889440</v>
          </cell>
          <cell r="BE383" t="str">
            <v>.0000000000000000</v>
          </cell>
          <cell r="BF383" t="str">
            <v>.0000000000000000</v>
          </cell>
          <cell r="BG383" t="str">
            <v>None</v>
          </cell>
          <cell r="BK383" t="str">
            <v>2025-03-11 00:00:00</v>
          </cell>
          <cell r="BL383" t="str">
            <v>Airport EG-411</v>
          </cell>
          <cell r="BM383" t="str">
            <v>No</v>
          </cell>
          <cell r="BN383" t="str">
            <v>No</v>
          </cell>
          <cell r="BO383" t="str">
            <v>CPay-000000003</v>
          </cell>
        </row>
        <row r="384">
          <cell r="B384" t="str">
            <v>229668</v>
          </cell>
          <cell r="C384" t="str">
            <v>70.0000000000000000</v>
          </cell>
          <cell r="E384" t="str">
            <v>Cust</v>
          </cell>
          <cell r="G384" t="str">
            <v>No</v>
          </cell>
          <cell r="H384" t="str">
            <v>1900-01-01 00:00:00</v>
          </cell>
          <cell r="K384" t="str">
            <v>M-P</v>
          </cell>
          <cell r="L384" t="str">
            <v>1316.700000</v>
          </cell>
          <cell r="AL384" t="str">
            <v>229668</v>
          </cell>
          <cell r="BC384" t="str">
            <v>Cust-PP</v>
          </cell>
          <cell r="BD384" t="str">
            <v>1.9743336623889440</v>
          </cell>
          <cell r="BE384" t="str">
            <v>.0000000000000000</v>
          </cell>
          <cell r="BF384" t="str">
            <v>.0000000000000000</v>
          </cell>
          <cell r="BG384" t="str">
            <v>None</v>
          </cell>
          <cell r="BK384" t="str">
            <v>2025-03-11 00:00:00</v>
          </cell>
          <cell r="BL384" t="str">
            <v>Airport EG-412</v>
          </cell>
          <cell r="BM384" t="str">
            <v>No</v>
          </cell>
          <cell r="BN384" t="str">
            <v>No</v>
          </cell>
          <cell r="BO384" t="str">
            <v>CPay-000000003</v>
          </cell>
        </row>
        <row r="385">
          <cell r="B385" t="str">
            <v>229669</v>
          </cell>
          <cell r="C385" t="str">
            <v>71.0000000000000000</v>
          </cell>
          <cell r="E385" t="str">
            <v>Cust</v>
          </cell>
          <cell r="G385" t="str">
            <v>No</v>
          </cell>
          <cell r="H385" t="str">
            <v>1900-01-01 00:00:00</v>
          </cell>
          <cell r="K385" t="str">
            <v>M-P</v>
          </cell>
          <cell r="L385" t="str">
            <v>1000.000000</v>
          </cell>
          <cell r="AL385" t="str">
            <v>229669</v>
          </cell>
          <cell r="BC385" t="str">
            <v>Cust-PP</v>
          </cell>
          <cell r="BD385" t="str">
            <v>1.9743336623889440</v>
          </cell>
          <cell r="BE385" t="str">
            <v>.0000000000000000</v>
          </cell>
          <cell r="BF385" t="str">
            <v>.0000000000000000</v>
          </cell>
          <cell r="BG385" t="str">
            <v>None</v>
          </cell>
          <cell r="BK385" t="str">
            <v>2025-03-11 00:00:00</v>
          </cell>
          <cell r="BL385" t="str">
            <v>Airport EG-413</v>
          </cell>
          <cell r="BM385" t="str">
            <v>No</v>
          </cell>
          <cell r="BN385" t="str">
            <v>No</v>
          </cell>
          <cell r="BO385" t="str">
            <v>CPay-000000003</v>
          </cell>
        </row>
        <row r="386">
          <cell r="B386" t="str">
            <v>229670</v>
          </cell>
          <cell r="C386" t="str">
            <v>72.0000000000000000</v>
          </cell>
          <cell r="E386" t="str">
            <v>Cust</v>
          </cell>
          <cell r="G386" t="str">
            <v>No</v>
          </cell>
          <cell r="H386" t="str">
            <v>1900-01-01 00:00:00</v>
          </cell>
          <cell r="K386" t="str">
            <v>M-P</v>
          </cell>
          <cell r="L386" t="str">
            <v>199.500000</v>
          </cell>
          <cell r="AL386" t="str">
            <v>229670</v>
          </cell>
          <cell r="BC386" t="str">
            <v>Cust-PP</v>
          </cell>
          <cell r="BD386" t="str">
            <v>1.9743336623889440</v>
          </cell>
          <cell r="BE386" t="str">
            <v>.0000000000000000</v>
          </cell>
          <cell r="BF386" t="str">
            <v>.0000000000000000</v>
          </cell>
          <cell r="BG386" t="str">
            <v>None</v>
          </cell>
          <cell r="BK386" t="str">
            <v>2025-03-11 00:00:00</v>
          </cell>
          <cell r="BL386" t="str">
            <v>Airport EG-414</v>
          </cell>
          <cell r="BM386" t="str">
            <v>No</v>
          </cell>
          <cell r="BN386" t="str">
            <v>No</v>
          </cell>
          <cell r="BO386" t="str">
            <v>CPay-000000003</v>
          </cell>
        </row>
        <row r="387">
          <cell r="B387" t="str">
            <v>229678</v>
          </cell>
          <cell r="C387" t="str">
            <v>73.0000000000000000</v>
          </cell>
          <cell r="E387" t="str">
            <v>Cust</v>
          </cell>
          <cell r="G387" t="str">
            <v>No</v>
          </cell>
          <cell r="H387" t="str">
            <v>1900-01-01 00:00:00</v>
          </cell>
          <cell r="K387" t="str">
            <v>M-P</v>
          </cell>
          <cell r="L387" t="str">
            <v>1653.000000</v>
          </cell>
          <cell r="AL387" t="str">
            <v>229678</v>
          </cell>
          <cell r="BC387" t="str">
            <v>Cust-PP</v>
          </cell>
          <cell r="BD387" t="str">
            <v>1.9743336623889440</v>
          </cell>
          <cell r="BE387" t="str">
            <v>.0000000000000000</v>
          </cell>
          <cell r="BF387" t="str">
            <v>.0000000000000000</v>
          </cell>
          <cell r="BG387" t="str">
            <v>None</v>
          </cell>
          <cell r="BK387" t="str">
            <v>2025-03-11 00:00:00</v>
          </cell>
          <cell r="BL387" t="str">
            <v>Airport EG-415</v>
          </cell>
          <cell r="BM387" t="str">
            <v>No</v>
          </cell>
          <cell r="BN387" t="str">
            <v>No</v>
          </cell>
          <cell r="BO387" t="str">
            <v>CPay-000000003</v>
          </cell>
        </row>
        <row r="388">
          <cell r="B388" t="str">
            <v>229679</v>
          </cell>
          <cell r="C388" t="str">
            <v>74.0000000000000000</v>
          </cell>
          <cell r="E388" t="str">
            <v>Cust</v>
          </cell>
          <cell r="G388" t="str">
            <v>No</v>
          </cell>
          <cell r="H388" t="str">
            <v>1900-01-01 00:00:00</v>
          </cell>
          <cell r="K388" t="str">
            <v>M-P</v>
          </cell>
          <cell r="L388" t="str">
            <v>1280.220000</v>
          </cell>
          <cell r="AL388" t="str">
            <v>229679</v>
          </cell>
          <cell r="BC388" t="str">
            <v>Cust-PP</v>
          </cell>
          <cell r="BD388" t="str">
            <v>1.9743336623889440</v>
          </cell>
          <cell r="BE388" t="str">
            <v>.0000000000000000</v>
          </cell>
          <cell r="BF388" t="str">
            <v>.0000000000000000</v>
          </cell>
          <cell r="BG388" t="str">
            <v>None</v>
          </cell>
          <cell r="BK388" t="str">
            <v>2025-03-11 00:00:00</v>
          </cell>
          <cell r="BL388" t="str">
            <v>Airport EG-416</v>
          </cell>
          <cell r="BM388" t="str">
            <v>No</v>
          </cell>
          <cell r="BN388" t="str">
            <v>No</v>
          </cell>
          <cell r="BO388" t="str">
            <v>CPay-000000003</v>
          </cell>
        </row>
        <row r="389">
          <cell r="B389" t="str">
            <v>229695</v>
          </cell>
          <cell r="C389" t="str">
            <v>75.0000000000000000</v>
          </cell>
          <cell r="E389" t="str">
            <v>Cust</v>
          </cell>
          <cell r="G389" t="str">
            <v>No</v>
          </cell>
          <cell r="H389" t="str">
            <v>1900-01-01 00:00:00</v>
          </cell>
          <cell r="K389" t="str">
            <v>M-P</v>
          </cell>
          <cell r="L389" t="str">
            <v>1653.000000</v>
          </cell>
          <cell r="AL389" t="str">
            <v>229695</v>
          </cell>
          <cell r="BC389" t="str">
            <v>Cust-PP</v>
          </cell>
          <cell r="BD389" t="str">
            <v>1.9743336623889440</v>
          </cell>
          <cell r="BE389" t="str">
            <v>.0000000000000000</v>
          </cell>
          <cell r="BF389" t="str">
            <v>.0000000000000000</v>
          </cell>
          <cell r="BG389" t="str">
            <v>None</v>
          </cell>
          <cell r="BK389" t="str">
            <v>2025-03-11 00:00:00</v>
          </cell>
          <cell r="BL389" t="str">
            <v>Airport EG-417</v>
          </cell>
          <cell r="BM389" t="str">
            <v>No</v>
          </cell>
          <cell r="BN389" t="str">
            <v>No</v>
          </cell>
          <cell r="BO389" t="str">
            <v>CPay-000000003</v>
          </cell>
        </row>
        <row r="390">
          <cell r="B390" t="str">
            <v>229696</v>
          </cell>
          <cell r="C390" t="str">
            <v>76.0000000000000000</v>
          </cell>
          <cell r="E390" t="str">
            <v>Cust</v>
          </cell>
          <cell r="G390" t="str">
            <v>No</v>
          </cell>
          <cell r="H390" t="str">
            <v>1900-01-01 00:00:00</v>
          </cell>
          <cell r="K390" t="str">
            <v>M-P</v>
          </cell>
          <cell r="L390" t="str">
            <v>1626.780000</v>
          </cell>
          <cell r="AL390" t="str">
            <v>229696</v>
          </cell>
          <cell r="BC390" t="str">
            <v>Cust-PP</v>
          </cell>
          <cell r="BD390" t="str">
            <v>1.9743336623889440</v>
          </cell>
          <cell r="BE390" t="str">
            <v>.0000000000000000</v>
          </cell>
          <cell r="BF390" t="str">
            <v>.0000000000000000</v>
          </cell>
          <cell r="BG390" t="str">
            <v>None</v>
          </cell>
          <cell r="BK390" t="str">
            <v>2025-03-11 00:00:00</v>
          </cell>
          <cell r="BL390" t="str">
            <v>Airport EG-418</v>
          </cell>
          <cell r="BM390" t="str">
            <v>No</v>
          </cell>
          <cell r="BN390" t="str">
            <v>No</v>
          </cell>
          <cell r="BO390" t="str">
            <v>CPay-000000003</v>
          </cell>
        </row>
        <row r="391">
          <cell r="B391" t="str">
            <v>229700</v>
          </cell>
          <cell r="C391" t="str">
            <v>77.0000000000000000</v>
          </cell>
          <cell r="E391" t="str">
            <v>Cust</v>
          </cell>
          <cell r="G391" t="str">
            <v>No</v>
          </cell>
          <cell r="H391" t="str">
            <v>1900-01-01 00:00:00</v>
          </cell>
          <cell r="K391" t="str">
            <v>M-P</v>
          </cell>
          <cell r="L391" t="str">
            <v>1653.000000</v>
          </cell>
          <cell r="AL391" t="str">
            <v>229700</v>
          </cell>
          <cell r="BC391" t="str">
            <v>Cust-PP</v>
          </cell>
          <cell r="BD391" t="str">
            <v>1.9743336623889440</v>
          </cell>
          <cell r="BE391" t="str">
            <v>.0000000000000000</v>
          </cell>
          <cell r="BF391" t="str">
            <v>.0000000000000000</v>
          </cell>
          <cell r="BG391" t="str">
            <v>None</v>
          </cell>
          <cell r="BK391" t="str">
            <v>2025-03-11 00:00:00</v>
          </cell>
          <cell r="BL391" t="str">
            <v>Airport EG-419</v>
          </cell>
          <cell r="BM391" t="str">
            <v>No</v>
          </cell>
          <cell r="BN391" t="str">
            <v>No</v>
          </cell>
          <cell r="BO391" t="str">
            <v>CPay-000000003</v>
          </cell>
        </row>
        <row r="392">
          <cell r="B392" t="str">
            <v>229701</v>
          </cell>
          <cell r="C392" t="str">
            <v>78.0000000000000000</v>
          </cell>
          <cell r="E392" t="str">
            <v>Cust</v>
          </cell>
          <cell r="G392" t="str">
            <v>No</v>
          </cell>
          <cell r="H392" t="str">
            <v>1900-01-01 00:00:00</v>
          </cell>
          <cell r="K392" t="str">
            <v>M-P</v>
          </cell>
          <cell r="L392" t="str">
            <v>262.200000</v>
          </cell>
          <cell r="AL392" t="str">
            <v>229701</v>
          </cell>
          <cell r="BC392" t="str">
            <v>Cust-PP</v>
          </cell>
          <cell r="BD392" t="str">
            <v>1.9743336623889440</v>
          </cell>
          <cell r="BE392" t="str">
            <v>.0000000000000000</v>
          </cell>
          <cell r="BF392" t="str">
            <v>.0000000000000000</v>
          </cell>
          <cell r="BG392" t="str">
            <v>None</v>
          </cell>
          <cell r="BK392" t="str">
            <v>2025-03-11 00:00:00</v>
          </cell>
          <cell r="BL392" t="str">
            <v>Airport EG-420</v>
          </cell>
          <cell r="BM392" t="str">
            <v>No</v>
          </cell>
          <cell r="BN392" t="str">
            <v>No</v>
          </cell>
          <cell r="BO392" t="str">
            <v>CPay-000000003</v>
          </cell>
        </row>
        <row r="393">
          <cell r="B393" t="str">
            <v>229731</v>
          </cell>
          <cell r="C393" t="str">
            <v>79.0000000000000000</v>
          </cell>
          <cell r="E393" t="str">
            <v>Cust</v>
          </cell>
          <cell r="G393" t="str">
            <v>No</v>
          </cell>
          <cell r="H393" t="str">
            <v>1900-01-01 00:00:00</v>
          </cell>
          <cell r="K393" t="str">
            <v>M-P</v>
          </cell>
          <cell r="L393" t="str">
            <v>1653.000000</v>
          </cell>
          <cell r="AL393" t="str">
            <v>229731</v>
          </cell>
          <cell r="BC393" t="str">
            <v>Cust-PP</v>
          </cell>
          <cell r="BD393" t="str">
            <v>1.9743336623889440</v>
          </cell>
          <cell r="BE393" t="str">
            <v>.0000000000000000</v>
          </cell>
          <cell r="BF393" t="str">
            <v>.0000000000000000</v>
          </cell>
          <cell r="BG393" t="str">
            <v>None</v>
          </cell>
          <cell r="BK393" t="str">
            <v>2025-03-11 00:00:00</v>
          </cell>
          <cell r="BL393" t="str">
            <v>Airport EG-421</v>
          </cell>
          <cell r="BM393" t="str">
            <v>No</v>
          </cell>
          <cell r="BN393" t="str">
            <v>No</v>
          </cell>
          <cell r="BO393" t="str">
            <v>CPay-000000003</v>
          </cell>
        </row>
        <row r="394">
          <cell r="B394" t="str">
            <v>229732</v>
          </cell>
          <cell r="C394" t="str">
            <v>80.0000000000000000</v>
          </cell>
          <cell r="E394" t="str">
            <v>Cust</v>
          </cell>
          <cell r="G394" t="str">
            <v>No</v>
          </cell>
          <cell r="H394" t="str">
            <v>1900-01-01 00:00:00</v>
          </cell>
          <cell r="K394" t="str">
            <v>M-P</v>
          </cell>
          <cell r="L394" t="str">
            <v>1938.000000</v>
          </cell>
          <cell r="AL394" t="str">
            <v>229732</v>
          </cell>
          <cell r="BC394" t="str">
            <v>Cust-PP</v>
          </cell>
          <cell r="BD394" t="str">
            <v>1.9743336623889440</v>
          </cell>
          <cell r="BE394" t="str">
            <v>.0000000000000000</v>
          </cell>
          <cell r="BF394" t="str">
            <v>.0000000000000000</v>
          </cell>
          <cell r="BG394" t="str">
            <v>None</v>
          </cell>
          <cell r="BK394" t="str">
            <v>2025-03-11 00:00:00</v>
          </cell>
          <cell r="BL394" t="str">
            <v>Airport EG-422</v>
          </cell>
          <cell r="BM394" t="str">
            <v>No</v>
          </cell>
          <cell r="BN394" t="str">
            <v>No</v>
          </cell>
          <cell r="BO394" t="str">
            <v>CPay-000000003</v>
          </cell>
        </row>
        <row r="395">
          <cell r="B395" t="str">
            <v>229751</v>
          </cell>
          <cell r="C395" t="str">
            <v>81.0000000000000000</v>
          </cell>
          <cell r="E395" t="str">
            <v>Cust</v>
          </cell>
          <cell r="G395" t="str">
            <v>No</v>
          </cell>
          <cell r="H395" t="str">
            <v>1900-01-01 00:00:00</v>
          </cell>
          <cell r="K395" t="str">
            <v>M-P</v>
          </cell>
          <cell r="L395" t="str">
            <v>1653.000000</v>
          </cell>
          <cell r="AL395" t="str">
            <v>229751</v>
          </cell>
          <cell r="BC395" t="str">
            <v>Cust-PP</v>
          </cell>
          <cell r="BD395" t="str">
            <v>1.9743336623889440</v>
          </cell>
          <cell r="BE395" t="str">
            <v>.0000000000000000</v>
          </cell>
          <cell r="BF395" t="str">
            <v>.0000000000000000</v>
          </cell>
          <cell r="BG395" t="str">
            <v>None</v>
          </cell>
          <cell r="BK395" t="str">
            <v>2025-03-12 00:00:00</v>
          </cell>
          <cell r="BL395" t="str">
            <v>Airport EG-423</v>
          </cell>
          <cell r="BM395" t="str">
            <v>No</v>
          </cell>
          <cell r="BN395" t="str">
            <v>No</v>
          </cell>
          <cell r="BO395" t="str">
            <v>CPay-000000003</v>
          </cell>
        </row>
        <row r="396">
          <cell r="B396" t="str">
            <v>229753</v>
          </cell>
          <cell r="C396" t="str">
            <v>82.0000000000000000</v>
          </cell>
          <cell r="E396" t="str">
            <v>Cust</v>
          </cell>
          <cell r="G396" t="str">
            <v>No</v>
          </cell>
          <cell r="H396" t="str">
            <v>1900-01-01 00:00:00</v>
          </cell>
          <cell r="K396" t="str">
            <v>M-P</v>
          </cell>
          <cell r="L396" t="str">
            <v>398.540000</v>
          </cell>
          <cell r="AL396" t="str">
            <v>229753</v>
          </cell>
          <cell r="BC396" t="str">
            <v>Cust-PP</v>
          </cell>
          <cell r="BD396" t="str">
            <v>1.9743336623889440</v>
          </cell>
          <cell r="BE396" t="str">
            <v>.0000000000000000</v>
          </cell>
          <cell r="BF396" t="str">
            <v>.0000000000000000</v>
          </cell>
          <cell r="BG396" t="str">
            <v>None</v>
          </cell>
          <cell r="BK396" t="str">
            <v>2025-03-12 00:00:00</v>
          </cell>
          <cell r="BL396" t="str">
            <v>Airport EG-424</v>
          </cell>
          <cell r="BM396" t="str">
            <v>No</v>
          </cell>
          <cell r="BN396" t="str">
            <v>No</v>
          </cell>
          <cell r="BO396" t="str">
            <v>CPay-000000003</v>
          </cell>
        </row>
        <row r="397">
          <cell r="B397" t="str">
            <v>229755</v>
          </cell>
          <cell r="C397" t="str">
            <v>83.0000000000000000</v>
          </cell>
          <cell r="E397" t="str">
            <v>Cust</v>
          </cell>
          <cell r="G397" t="str">
            <v>No</v>
          </cell>
          <cell r="H397" t="str">
            <v>1900-01-01 00:00:00</v>
          </cell>
          <cell r="K397" t="str">
            <v>M-P</v>
          </cell>
          <cell r="L397" t="str">
            <v>1653.000000</v>
          </cell>
          <cell r="AL397" t="str">
            <v>229755</v>
          </cell>
          <cell r="BC397" t="str">
            <v>Cust-PP</v>
          </cell>
          <cell r="BD397" t="str">
            <v>1.9743336623889440</v>
          </cell>
          <cell r="BE397" t="str">
            <v>.0000000000000000</v>
          </cell>
          <cell r="BF397" t="str">
            <v>.0000000000000000</v>
          </cell>
          <cell r="BG397" t="str">
            <v>None</v>
          </cell>
          <cell r="BK397" t="str">
            <v>2025-03-12 00:00:00</v>
          </cell>
          <cell r="BL397" t="str">
            <v>Airport EG-425</v>
          </cell>
          <cell r="BM397" t="str">
            <v>No</v>
          </cell>
          <cell r="BN397" t="str">
            <v>No</v>
          </cell>
          <cell r="BO397" t="str">
            <v>CPay-000000003</v>
          </cell>
        </row>
        <row r="398">
          <cell r="B398" t="str">
            <v>229756</v>
          </cell>
          <cell r="C398" t="str">
            <v>84.0000000000000000</v>
          </cell>
          <cell r="E398" t="str">
            <v>Cust</v>
          </cell>
          <cell r="G398" t="str">
            <v>No</v>
          </cell>
          <cell r="H398" t="str">
            <v>1900-01-01 00:00:00</v>
          </cell>
          <cell r="K398" t="str">
            <v>M-P</v>
          </cell>
          <cell r="L398" t="str">
            <v>798.000000</v>
          </cell>
          <cell r="AL398" t="str">
            <v>229756</v>
          </cell>
          <cell r="BC398" t="str">
            <v>Cust-PP</v>
          </cell>
          <cell r="BD398" t="str">
            <v>1.9743336623889440</v>
          </cell>
          <cell r="BE398" t="str">
            <v>.0000000000000000</v>
          </cell>
          <cell r="BF398" t="str">
            <v>.0000000000000000</v>
          </cell>
          <cell r="BG398" t="str">
            <v>None</v>
          </cell>
          <cell r="BK398" t="str">
            <v>2025-03-12 00:00:00</v>
          </cell>
          <cell r="BL398" t="str">
            <v>Airport EG-426</v>
          </cell>
          <cell r="BM398" t="str">
            <v>No</v>
          </cell>
          <cell r="BN398" t="str">
            <v>No</v>
          </cell>
          <cell r="BO398" t="str">
            <v>CPay-000000003</v>
          </cell>
        </row>
        <row r="399">
          <cell r="B399" t="str">
            <v>229779</v>
          </cell>
          <cell r="C399" t="str">
            <v>85.0000000000000000</v>
          </cell>
          <cell r="E399" t="str">
            <v>Cust</v>
          </cell>
          <cell r="G399" t="str">
            <v>No</v>
          </cell>
          <cell r="H399" t="str">
            <v>1900-01-01 00:00:00</v>
          </cell>
          <cell r="K399" t="str">
            <v>M-P</v>
          </cell>
          <cell r="L399" t="str">
            <v>1653.000000</v>
          </cell>
          <cell r="AL399" t="str">
            <v>229779</v>
          </cell>
          <cell r="BC399" t="str">
            <v>Cust-PP</v>
          </cell>
          <cell r="BD399" t="str">
            <v>1.9743336623889440</v>
          </cell>
          <cell r="BE399" t="str">
            <v>.0000000000000000</v>
          </cell>
          <cell r="BF399" t="str">
            <v>.0000000000000000</v>
          </cell>
          <cell r="BG399" t="str">
            <v>None</v>
          </cell>
          <cell r="BK399" t="str">
            <v>2025-03-12 00:00:00</v>
          </cell>
          <cell r="BL399" t="str">
            <v>Airport EG-427</v>
          </cell>
          <cell r="BM399" t="str">
            <v>No</v>
          </cell>
          <cell r="BN399" t="str">
            <v>No</v>
          </cell>
          <cell r="BO399" t="str">
            <v>CPay-000000003</v>
          </cell>
        </row>
        <row r="400">
          <cell r="B400" t="str">
            <v>229780</v>
          </cell>
          <cell r="C400" t="str">
            <v>86.0000000000000000</v>
          </cell>
          <cell r="E400" t="str">
            <v>Cust</v>
          </cell>
          <cell r="G400" t="str">
            <v>No</v>
          </cell>
          <cell r="H400" t="str">
            <v>1900-01-01 00:00:00</v>
          </cell>
          <cell r="K400" t="str">
            <v>M-P</v>
          </cell>
          <cell r="L400" t="str">
            <v>285.000000</v>
          </cell>
          <cell r="AL400" t="str">
            <v>229780</v>
          </cell>
          <cell r="BC400" t="str">
            <v>Cust-PP</v>
          </cell>
          <cell r="BD400" t="str">
            <v>1.9743336623889440</v>
          </cell>
          <cell r="BE400" t="str">
            <v>.0000000000000000</v>
          </cell>
          <cell r="BF400" t="str">
            <v>.0000000000000000</v>
          </cell>
          <cell r="BG400" t="str">
            <v>None</v>
          </cell>
          <cell r="BK400" t="str">
            <v>2025-03-12 00:00:00</v>
          </cell>
          <cell r="BL400" t="str">
            <v>Airport EG-428</v>
          </cell>
          <cell r="BM400" t="str">
            <v>No</v>
          </cell>
          <cell r="BN400" t="str">
            <v>No</v>
          </cell>
          <cell r="BO400" t="str">
            <v>CPay-000000003</v>
          </cell>
        </row>
        <row r="401">
          <cell r="B401" t="str">
            <v>229787</v>
          </cell>
          <cell r="C401" t="str">
            <v>87.0000000000000000</v>
          </cell>
          <cell r="E401" t="str">
            <v>Cust</v>
          </cell>
          <cell r="G401" t="str">
            <v>No</v>
          </cell>
          <cell r="H401" t="str">
            <v>1900-01-01 00:00:00</v>
          </cell>
          <cell r="K401" t="str">
            <v>M-P</v>
          </cell>
          <cell r="L401" t="str">
            <v>2052.000000</v>
          </cell>
          <cell r="AL401" t="str">
            <v>229787</v>
          </cell>
          <cell r="BC401" t="str">
            <v>Cust-PP</v>
          </cell>
          <cell r="BD401" t="str">
            <v>1.9743336623889440</v>
          </cell>
          <cell r="BE401" t="str">
            <v>.0000000000000000</v>
          </cell>
          <cell r="BF401" t="str">
            <v>.0000000000000000</v>
          </cell>
          <cell r="BG401" t="str">
            <v>None</v>
          </cell>
          <cell r="BK401" t="str">
            <v>2025-03-12 00:00:00</v>
          </cell>
          <cell r="BL401" t="str">
            <v>Airport EG-430</v>
          </cell>
          <cell r="BM401" t="str">
            <v>No</v>
          </cell>
          <cell r="BN401" t="str">
            <v>No</v>
          </cell>
          <cell r="BO401" t="str">
            <v>CPay-000000003</v>
          </cell>
        </row>
        <row r="402">
          <cell r="B402" t="str">
            <v>229788</v>
          </cell>
          <cell r="C402" t="str">
            <v>88.0000000000000000</v>
          </cell>
          <cell r="E402" t="str">
            <v>Cust</v>
          </cell>
          <cell r="G402" t="str">
            <v>No</v>
          </cell>
          <cell r="H402" t="str">
            <v>1900-01-01 00:00:00</v>
          </cell>
          <cell r="K402" t="str">
            <v>M-P</v>
          </cell>
          <cell r="L402" t="str">
            <v>456.000000</v>
          </cell>
          <cell r="AL402" t="str">
            <v>229788</v>
          </cell>
          <cell r="BC402" t="str">
            <v>Cust-PP</v>
          </cell>
          <cell r="BD402" t="str">
            <v>1.9743336623889440</v>
          </cell>
          <cell r="BE402" t="str">
            <v>.0000000000000000</v>
          </cell>
          <cell r="BF402" t="str">
            <v>.0000000000000000</v>
          </cell>
          <cell r="BG402" t="str">
            <v>None</v>
          </cell>
          <cell r="BK402" t="str">
            <v>2025-03-12 00:00:00</v>
          </cell>
          <cell r="BL402" t="str">
            <v>Airport EG-431</v>
          </cell>
          <cell r="BM402" t="str">
            <v>No</v>
          </cell>
          <cell r="BN402" t="str">
            <v>No</v>
          </cell>
          <cell r="BO402" t="str">
            <v>CPay-000000003</v>
          </cell>
        </row>
        <row r="403">
          <cell r="B403" t="str">
            <v>229789</v>
          </cell>
          <cell r="C403" t="str">
            <v>89.0000000000000000</v>
          </cell>
          <cell r="E403" t="str">
            <v>Cust</v>
          </cell>
          <cell r="G403" t="str">
            <v>No</v>
          </cell>
          <cell r="H403" t="str">
            <v>1900-01-01 00:00:00</v>
          </cell>
          <cell r="K403" t="str">
            <v>M-P</v>
          </cell>
          <cell r="L403" t="str">
            <v>2052.000000</v>
          </cell>
          <cell r="AL403" t="str">
            <v>229789</v>
          </cell>
          <cell r="BC403" t="str">
            <v>Cust-PP</v>
          </cell>
          <cell r="BD403" t="str">
            <v>1.9743336623889440</v>
          </cell>
          <cell r="BE403" t="str">
            <v>.0000000000000000</v>
          </cell>
          <cell r="BF403" t="str">
            <v>.0000000000000000</v>
          </cell>
          <cell r="BG403" t="str">
            <v>None</v>
          </cell>
          <cell r="BK403" t="str">
            <v>2025-03-12 00:00:00</v>
          </cell>
          <cell r="BL403" t="str">
            <v>Airport EG-432</v>
          </cell>
          <cell r="BM403" t="str">
            <v>No</v>
          </cell>
          <cell r="BN403" t="str">
            <v>No</v>
          </cell>
          <cell r="BO403" t="str">
            <v>CPay-000000003</v>
          </cell>
        </row>
        <row r="404">
          <cell r="B404" t="str">
            <v>229791</v>
          </cell>
          <cell r="C404" t="str">
            <v>90.0000000000000000</v>
          </cell>
          <cell r="E404" t="str">
            <v>Cust</v>
          </cell>
          <cell r="G404" t="str">
            <v>No</v>
          </cell>
          <cell r="H404" t="str">
            <v>1900-01-01 00:00:00</v>
          </cell>
          <cell r="K404" t="str">
            <v>M-P</v>
          </cell>
          <cell r="L404" t="str">
            <v>969.000000</v>
          </cell>
          <cell r="AL404" t="str">
            <v>229791</v>
          </cell>
          <cell r="BC404" t="str">
            <v>Cust-PP</v>
          </cell>
          <cell r="BD404" t="str">
            <v>1.9743336623889440</v>
          </cell>
          <cell r="BE404" t="str">
            <v>.0000000000000000</v>
          </cell>
          <cell r="BF404" t="str">
            <v>.0000000000000000</v>
          </cell>
          <cell r="BG404" t="str">
            <v>None</v>
          </cell>
          <cell r="BK404" t="str">
            <v>2025-03-12 00:00:00</v>
          </cell>
          <cell r="BL404" t="str">
            <v>Airport EG-433</v>
          </cell>
          <cell r="BM404" t="str">
            <v>No</v>
          </cell>
          <cell r="BN404" t="str">
            <v>No</v>
          </cell>
          <cell r="BO404" t="str">
            <v>CPay-000000003</v>
          </cell>
        </row>
        <row r="405">
          <cell r="B405" t="str">
            <v>229852</v>
          </cell>
          <cell r="C405" t="str">
            <v>91.0000000000000000</v>
          </cell>
          <cell r="E405" t="str">
            <v>Cust</v>
          </cell>
          <cell r="G405" t="str">
            <v>No</v>
          </cell>
          <cell r="H405" t="str">
            <v>1900-01-01 00:00:00</v>
          </cell>
          <cell r="K405" t="str">
            <v>M-P</v>
          </cell>
          <cell r="L405" t="str">
            <v>1653.000000</v>
          </cell>
          <cell r="AL405" t="str">
            <v>229852</v>
          </cell>
          <cell r="BC405" t="str">
            <v>Cust-PP</v>
          </cell>
          <cell r="BD405" t="str">
            <v>1.9743336623889440</v>
          </cell>
          <cell r="BE405" t="str">
            <v>.0000000000000000</v>
          </cell>
          <cell r="BF405" t="str">
            <v>.0000000000000000</v>
          </cell>
          <cell r="BG405" t="str">
            <v>None</v>
          </cell>
          <cell r="BK405" t="str">
            <v>2025-03-12 00:00:00</v>
          </cell>
          <cell r="BL405" t="str">
            <v>Airport EG-435</v>
          </cell>
          <cell r="BM405" t="str">
            <v>No</v>
          </cell>
          <cell r="BN405" t="str">
            <v>No</v>
          </cell>
          <cell r="BO405" t="str">
            <v>CPay-000000003</v>
          </cell>
        </row>
        <row r="406">
          <cell r="B406" t="str">
            <v>229853</v>
          </cell>
          <cell r="C406" t="str">
            <v>92.0000000000000000</v>
          </cell>
          <cell r="E406" t="str">
            <v>Cust</v>
          </cell>
          <cell r="G406" t="str">
            <v>No</v>
          </cell>
          <cell r="H406" t="str">
            <v>1900-01-01 00:00:00</v>
          </cell>
          <cell r="K406" t="str">
            <v>M-P</v>
          </cell>
          <cell r="L406" t="str">
            <v>283.180000</v>
          </cell>
          <cell r="AL406" t="str">
            <v>229853</v>
          </cell>
          <cell r="BC406" t="str">
            <v>Cust-PP</v>
          </cell>
          <cell r="BD406" t="str">
            <v>1.9743336623889440</v>
          </cell>
          <cell r="BE406" t="str">
            <v>.0000000000000000</v>
          </cell>
          <cell r="BF406" t="str">
            <v>.0000000000000000</v>
          </cell>
          <cell r="BG406" t="str">
            <v>None</v>
          </cell>
          <cell r="BK406" t="str">
            <v>2025-03-12 00:00:00</v>
          </cell>
          <cell r="BL406" t="str">
            <v>Airport EG-436</v>
          </cell>
          <cell r="BM406" t="str">
            <v>No</v>
          </cell>
          <cell r="BN406" t="str">
            <v>No</v>
          </cell>
          <cell r="BO406" t="str">
            <v>CPay-000000003</v>
          </cell>
        </row>
        <row r="407">
          <cell r="B407" t="str">
            <v>229891</v>
          </cell>
          <cell r="C407" t="str">
            <v>93.0000000000000000</v>
          </cell>
          <cell r="E407" t="str">
            <v>Cust</v>
          </cell>
          <cell r="G407" t="str">
            <v>No</v>
          </cell>
          <cell r="H407" t="str">
            <v>1900-01-01 00:00:00</v>
          </cell>
          <cell r="K407" t="str">
            <v>M-P</v>
          </cell>
          <cell r="L407" t="str">
            <v>1653.000000</v>
          </cell>
          <cell r="AL407" t="str">
            <v>229891</v>
          </cell>
          <cell r="BC407" t="str">
            <v>Cust-PP</v>
          </cell>
          <cell r="BD407" t="str">
            <v>1.9743336623889440</v>
          </cell>
          <cell r="BE407" t="str">
            <v>.0000000000000000</v>
          </cell>
          <cell r="BF407" t="str">
            <v>.0000000000000000</v>
          </cell>
          <cell r="BG407" t="str">
            <v>None</v>
          </cell>
          <cell r="BK407" t="str">
            <v>2025-03-12 00:00:00</v>
          </cell>
          <cell r="BL407" t="str">
            <v>Airport EG-437</v>
          </cell>
          <cell r="BM407" t="str">
            <v>No</v>
          </cell>
          <cell r="BN407" t="str">
            <v>No</v>
          </cell>
          <cell r="BO407" t="str">
            <v>CPay-000000003</v>
          </cell>
        </row>
        <row r="408">
          <cell r="B408" t="str">
            <v>229892</v>
          </cell>
          <cell r="C408" t="str">
            <v>94.0000000000000000</v>
          </cell>
          <cell r="E408" t="str">
            <v>Cust</v>
          </cell>
          <cell r="G408" t="str">
            <v>No</v>
          </cell>
          <cell r="H408" t="str">
            <v>1900-01-01 00:00:00</v>
          </cell>
          <cell r="K408" t="str">
            <v>M-P</v>
          </cell>
          <cell r="L408" t="str">
            <v>1425.000000</v>
          </cell>
          <cell r="AL408" t="str">
            <v>229892</v>
          </cell>
          <cell r="BC408" t="str">
            <v>Cust-PP</v>
          </cell>
          <cell r="BD408" t="str">
            <v>1.9743336623889440</v>
          </cell>
          <cell r="BE408" t="str">
            <v>.0000000000000000</v>
          </cell>
          <cell r="BF408" t="str">
            <v>.0000000000000000</v>
          </cell>
          <cell r="BG408" t="str">
            <v>None</v>
          </cell>
          <cell r="BK408" t="str">
            <v>2025-03-12 00:00:00</v>
          </cell>
          <cell r="BL408" t="str">
            <v>Airport EG-438</v>
          </cell>
          <cell r="BM408" t="str">
            <v>No</v>
          </cell>
          <cell r="BN408" t="str">
            <v>No</v>
          </cell>
          <cell r="BO408" t="str">
            <v>CPay-000000003</v>
          </cell>
        </row>
        <row r="409">
          <cell r="B409" t="str">
            <v>229908</v>
          </cell>
          <cell r="C409" t="str">
            <v>95.0000000000000000</v>
          </cell>
          <cell r="E409" t="str">
            <v>Cust</v>
          </cell>
          <cell r="G409" t="str">
            <v>No</v>
          </cell>
          <cell r="H409" t="str">
            <v>1900-01-01 00:00:00</v>
          </cell>
          <cell r="K409" t="str">
            <v>M-P</v>
          </cell>
          <cell r="L409" t="str">
            <v>1653.000000</v>
          </cell>
          <cell r="AL409" t="str">
            <v>229908</v>
          </cell>
          <cell r="BC409" t="str">
            <v>Cust-PP</v>
          </cell>
          <cell r="BD409" t="str">
            <v>1.9743336623889440</v>
          </cell>
          <cell r="BE409" t="str">
            <v>.0000000000000000</v>
          </cell>
          <cell r="BF409" t="str">
            <v>.0000000000000000</v>
          </cell>
          <cell r="BG409" t="str">
            <v>None</v>
          </cell>
          <cell r="BK409" t="str">
            <v>2025-03-13 00:00:00</v>
          </cell>
          <cell r="BL409" t="str">
            <v>Airport EG-439</v>
          </cell>
          <cell r="BM409" t="str">
            <v>No</v>
          </cell>
          <cell r="BN409" t="str">
            <v>No</v>
          </cell>
          <cell r="BO409" t="str">
            <v>CPay-000000003</v>
          </cell>
        </row>
        <row r="410">
          <cell r="B410" t="str">
            <v>229909</v>
          </cell>
          <cell r="C410" t="str">
            <v>96.0000000000000000</v>
          </cell>
          <cell r="E410" t="str">
            <v>Cust</v>
          </cell>
          <cell r="G410" t="str">
            <v>No</v>
          </cell>
          <cell r="H410" t="str">
            <v>1900-01-01 00:00:00</v>
          </cell>
          <cell r="K410" t="str">
            <v>M-P</v>
          </cell>
          <cell r="L410" t="str">
            <v>285.000000</v>
          </cell>
          <cell r="AL410" t="str">
            <v>229909</v>
          </cell>
          <cell r="BC410" t="str">
            <v>Cust-PP</v>
          </cell>
          <cell r="BD410" t="str">
            <v>1.9743336623889440</v>
          </cell>
          <cell r="BE410" t="str">
            <v>.0000000000000000</v>
          </cell>
          <cell r="BF410" t="str">
            <v>.0000000000000000</v>
          </cell>
          <cell r="BG410" t="str">
            <v>None</v>
          </cell>
          <cell r="BK410" t="str">
            <v>2025-03-13 00:00:00</v>
          </cell>
          <cell r="BL410" t="str">
            <v>Airport EG-440</v>
          </cell>
          <cell r="BM410" t="str">
            <v>No</v>
          </cell>
          <cell r="BN410" t="str">
            <v>No</v>
          </cell>
          <cell r="BO410" t="str">
            <v>CPay-000000003</v>
          </cell>
        </row>
        <row r="411">
          <cell r="B411" t="str">
            <v>229956</v>
          </cell>
          <cell r="C411" t="str">
            <v>97.0000000000000000</v>
          </cell>
          <cell r="E411" t="str">
            <v>Cust</v>
          </cell>
          <cell r="G411" t="str">
            <v>No</v>
          </cell>
          <cell r="H411" t="str">
            <v>1900-01-01 00:00:00</v>
          </cell>
          <cell r="K411" t="str">
            <v>M-P</v>
          </cell>
          <cell r="L411" t="str">
            <v>1653.000000</v>
          </cell>
          <cell r="AL411" t="str">
            <v>229956</v>
          </cell>
          <cell r="BC411" t="str">
            <v>Cust-PP</v>
          </cell>
          <cell r="BD411" t="str">
            <v>1.9743336623889440</v>
          </cell>
          <cell r="BE411" t="str">
            <v>.0000000000000000</v>
          </cell>
          <cell r="BF411" t="str">
            <v>.0000000000000000</v>
          </cell>
          <cell r="BG411" t="str">
            <v>None</v>
          </cell>
          <cell r="BK411" t="str">
            <v>2025-03-13 00:00:00</v>
          </cell>
          <cell r="BL411" t="str">
            <v>Airport EG-441</v>
          </cell>
          <cell r="BM411" t="str">
            <v>No</v>
          </cell>
          <cell r="BN411" t="str">
            <v>No</v>
          </cell>
          <cell r="BO411" t="str">
            <v>CPay-000000003</v>
          </cell>
        </row>
        <row r="412">
          <cell r="B412" t="str">
            <v>229957</v>
          </cell>
          <cell r="C412" t="str">
            <v>98.0000000000000000</v>
          </cell>
          <cell r="E412" t="str">
            <v>Cust</v>
          </cell>
          <cell r="G412" t="str">
            <v>No</v>
          </cell>
          <cell r="H412" t="str">
            <v>1900-01-01 00:00:00</v>
          </cell>
          <cell r="K412" t="str">
            <v>M-P</v>
          </cell>
          <cell r="L412" t="str">
            <v>785.460000</v>
          </cell>
          <cell r="AL412" t="str">
            <v>229957</v>
          </cell>
          <cell r="BC412" t="str">
            <v>Cust-PP</v>
          </cell>
          <cell r="BD412" t="str">
            <v>1.9743336623889440</v>
          </cell>
          <cell r="BE412" t="str">
            <v>.0000000000000000</v>
          </cell>
          <cell r="BF412" t="str">
            <v>.0000000000000000</v>
          </cell>
          <cell r="BG412" t="str">
            <v>None</v>
          </cell>
          <cell r="BK412" t="str">
            <v>2025-03-13 00:00:00</v>
          </cell>
          <cell r="BL412" t="str">
            <v>Airport EG-442</v>
          </cell>
          <cell r="BM412" t="str">
            <v>No</v>
          </cell>
          <cell r="BN412" t="str">
            <v>No</v>
          </cell>
          <cell r="BO412" t="str">
            <v>CPay-000000003</v>
          </cell>
        </row>
        <row r="413">
          <cell r="B413" t="str">
            <v>229958</v>
          </cell>
          <cell r="C413" t="str">
            <v>99.0000000000000000</v>
          </cell>
          <cell r="E413" t="str">
            <v>Cust</v>
          </cell>
          <cell r="G413" t="str">
            <v>No</v>
          </cell>
          <cell r="H413" t="str">
            <v>1900-01-01 00:00:00</v>
          </cell>
          <cell r="K413" t="str">
            <v>M-P</v>
          </cell>
          <cell r="L413" t="str">
            <v>1653.000000</v>
          </cell>
          <cell r="AL413" t="str">
            <v>229958</v>
          </cell>
          <cell r="BC413" t="str">
            <v>Cust-PP</v>
          </cell>
          <cell r="BD413" t="str">
            <v>1.9743336623889440</v>
          </cell>
          <cell r="BE413" t="str">
            <v>.0000000000000000</v>
          </cell>
          <cell r="BF413" t="str">
            <v>.0000000000000000</v>
          </cell>
          <cell r="BG413" t="str">
            <v>None</v>
          </cell>
          <cell r="BK413" t="str">
            <v>2025-03-13 00:00:00</v>
          </cell>
          <cell r="BL413" t="str">
            <v>Airport EG-443</v>
          </cell>
          <cell r="BM413" t="str">
            <v>No</v>
          </cell>
          <cell r="BN413" t="str">
            <v>No</v>
          </cell>
          <cell r="BO413" t="str">
            <v>CPay-000000003</v>
          </cell>
        </row>
        <row r="414">
          <cell r="B414" t="str">
            <v>229959</v>
          </cell>
          <cell r="C414" t="str">
            <v>100.0000000000000000</v>
          </cell>
          <cell r="E414" t="str">
            <v>Cust</v>
          </cell>
          <cell r="G414" t="str">
            <v>No</v>
          </cell>
          <cell r="H414" t="str">
            <v>1900-01-01 00:00:00</v>
          </cell>
          <cell r="K414" t="str">
            <v>M-P</v>
          </cell>
          <cell r="L414" t="str">
            <v>2850.000000</v>
          </cell>
          <cell r="AL414" t="str">
            <v>229959</v>
          </cell>
          <cell r="BC414" t="str">
            <v>Cust-PP</v>
          </cell>
          <cell r="BD414" t="str">
            <v>1.9743336623889440</v>
          </cell>
          <cell r="BE414" t="str">
            <v>.0000000000000000</v>
          </cell>
          <cell r="BF414" t="str">
            <v>.0000000000000000</v>
          </cell>
          <cell r="BG414" t="str">
            <v>None</v>
          </cell>
          <cell r="BK414" t="str">
            <v>2025-03-13 00:00:00</v>
          </cell>
          <cell r="BL414" t="str">
            <v>Airport EG-444</v>
          </cell>
          <cell r="BM414" t="str">
            <v>No</v>
          </cell>
          <cell r="BN414" t="str">
            <v>No</v>
          </cell>
          <cell r="BO414" t="str">
            <v>CPay-000000003</v>
          </cell>
        </row>
        <row r="415">
          <cell r="B415" t="str">
            <v>229988</v>
          </cell>
          <cell r="C415" t="str">
            <v>101.0000000000000000</v>
          </cell>
          <cell r="E415" t="str">
            <v>Cust</v>
          </cell>
          <cell r="G415" t="str">
            <v>No</v>
          </cell>
          <cell r="H415" t="str">
            <v>1900-01-01 00:00:00</v>
          </cell>
          <cell r="K415" t="str">
            <v>M-P</v>
          </cell>
          <cell r="L415" t="str">
            <v>1653.000000</v>
          </cell>
          <cell r="AL415" t="str">
            <v>229988</v>
          </cell>
          <cell r="BC415" t="str">
            <v>Cust-PP</v>
          </cell>
          <cell r="BD415" t="str">
            <v>1.9743336623889440</v>
          </cell>
          <cell r="BE415" t="str">
            <v>.0000000000000000</v>
          </cell>
          <cell r="BF415" t="str">
            <v>.0000000000000000</v>
          </cell>
          <cell r="BG415" t="str">
            <v>None</v>
          </cell>
          <cell r="BK415" t="str">
            <v>2025-03-13 00:00:00</v>
          </cell>
          <cell r="BL415" t="str">
            <v>Airport EG-447</v>
          </cell>
          <cell r="BM415" t="str">
            <v>No</v>
          </cell>
          <cell r="BN415" t="str">
            <v>No</v>
          </cell>
          <cell r="BO415" t="str">
            <v>CPay-000000003</v>
          </cell>
        </row>
        <row r="416">
          <cell r="B416" t="str">
            <v>229989</v>
          </cell>
          <cell r="C416" t="str">
            <v>102.0000000000000000</v>
          </cell>
          <cell r="E416" t="str">
            <v>Cust</v>
          </cell>
          <cell r="G416" t="str">
            <v>No</v>
          </cell>
          <cell r="H416" t="str">
            <v>1900-01-01 00:00:00</v>
          </cell>
          <cell r="K416" t="str">
            <v>M-P</v>
          </cell>
          <cell r="L416" t="str">
            <v>541.500000</v>
          </cell>
          <cell r="AL416" t="str">
            <v>229989</v>
          </cell>
          <cell r="BC416" t="str">
            <v>Cust-PP</v>
          </cell>
          <cell r="BD416" t="str">
            <v>1.9743336623889440</v>
          </cell>
          <cell r="BE416" t="str">
            <v>.0000000000000000</v>
          </cell>
          <cell r="BF416" t="str">
            <v>.0000000000000000</v>
          </cell>
          <cell r="BG416" t="str">
            <v>None</v>
          </cell>
          <cell r="BK416" t="str">
            <v>2025-03-13 00:00:00</v>
          </cell>
          <cell r="BL416" t="str">
            <v>Airport EG-448</v>
          </cell>
          <cell r="BM416" t="str">
            <v>No</v>
          </cell>
          <cell r="BN416" t="str">
            <v>No</v>
          </cell>
          <cell r="BO416" t="str">
            <v>CPay-000000003</v>
          </cell>
        </row>
        <row r="417">
          <cell r="B417" t="str">
            <v>230019</v>
          </cell>
          <cell r="C417" t="str">
            <v>103.0000000000000000</v>
          </cell>
          <cell r="E417" t="str">
            <v>Cust</v>
          </cell>
          <cell r="G417" t="str">
            <v>No</v>
          </cell>
          <cell r="H417" t="str">
            <v>1900-01-01 00:00:00</v>
          </cell>
          <cell r="K417" t="str">
            <v>M-P</v>
          </cell>
          <cell r="L417" t="str">
            <v>1653.000000</v>
          </cell>
          <cell r="AL417" t="str">
            <v>230019</v>
          </cell>
          <cell r="BC417" t="str">
            <v>Cust-PP</v>
          </cell>
          <cell r="BD417" t="str">
            <v>1.9743336623889440</v>
          </cell>
          <cell r="BE417" t="str">
            <v>.0000000000000000</v>
          </cell>
          <cell r="BF417" t="str">
            <v>.0000000000000000</v>
          </cell>
          <cell r="BG417" t="str">
            <v>None</v>
          </cell>
          <cell r="BK417" t="str">
            <v>2025-03-13 00:00:00</v>
          </cell>
          <cell r="BL417" t="str">
            <v>Airport EG-449</v>
          </cell>
          <cell r="BM417" t="str">
            <v>No</v>
          </cell>
          <cell r="BN417" t="str">
            <v>No</v>
          </cell>
          <cell r="BO417" t="str">
            <v>CPay-000000003</v>
          </cell>
        </row>
        <row r="418">
          <cell r="B418" t="str">
            <v>230020</v>
          </cell>
          <cell r="C418" t="str">
            <v>104.0000000000000000</v>
          </cell>
          <cell r="E418" t="str">
            <v>Cust</v>
          </cell>
          <cell r="G418" t="str">
            <v>No</v>
          </cell>
          <cell r="H418" t="str">
            <v>1900-01-01 00:00:00</v>
          </cell>
          <cell r="K418" t="str">
            <v>M-P</v>
          </cell>
          <cell r="L418" t="str">
            <v>3228.250000</v>
          </cell>
          <cell r="AL418" t="str">
            <v>230020</v>
          </cell>
          <cell r="BC418" t="str">
            <v>Cust-PP</v>
          </cell>
          <cell r="BD418" t="str">
            <v>1.9743336623889440</v>
          </cell>
          <cell r="BE418" t="str">
            <v>.0000000000000000</v>
          </cell>
          <cell r="BF418" t="str">
            <v>.0000000000000000</v>
          </cell>
          <cell r="BG418" t="str">
            <v>None</v>
          </cell>
          <cell r="BK418" t="str">
            <v>2025-03-13 00:00:00</v>
          </cell>
          <cell r="BL418" t="str">
            <v>Airport EG-450</v>
          </cell>
          <cell r="BM418" t="str">
            <v>No</v>
          </cell>
          <cell r="BN418" t="str">
            <v>No</v>
          </cell>
          <cell r="BO418" t="str">
            <v>CPay-000000003</v>
          </cell>
        </row>
        <row r="419">
          <cell r="B419" t="str">
            <v>230038</v>
          </cell>
          <cell r="C419" t="str">
            <v>105.0000000000000000</v>
          </cell>
          <cell r="E419" t="str">
            <v>Cust</v>
          </cell>
          <cell r="G419" t="str">
            <v>No</v>
          </cell>
          <cell r="H419" t="str">
            <v>1900-01-01 00:00:00</v>
          </cell>
          <cell r="K419" t="str">
            <v>M-P</v>
          </cell>
          <cell r="L419" t="str">
            <v>1653.000000</v>
          </cell>
          <cell r="AL419" t="str">
            <v>230038</v>
          </cell>
          <cell r="BC419" t="str">
            <v>Cust-PP</v>
          </cell>
          <cell r="BD419" t="str">
            <v>1.9743336623889440</v>
          </cell>
          <cell r="BE419" t="str">
            <v>.0000000000000000</v>
          </cell>
          <cell r="BF419" t="str">
            <v>.0000000000000000</v>
          </cell>
          <cell r="BG419" t="str">
            <v>None</v>
          </cell>
          <cell r="BK419" t="str">
            <v>2025-03-13 00:00:00</v>
          </cell>
          <cell r="BL419" t="str">
            <v>Airport EG-451</v>
          </cell>
          <cell r="BM419" t="str">
            <v>No</v>
          </cell>
          <cell r="BN419" t="str">
            <v>No</v>
          </cell>
          <cell r="BO419" t="str">
            <v>CPay-000000003</v>
          </cell>
        </row>
        <row r="420">
          <cell r="B420" t="str">
            <v>230039</v>
          </cell>
          <cell r="C420" t="str">
            <v>106.0000000000000000</v>
          </cell>
          <cell r="E420" t="str">
            <v>Cust</v>
          </cell>
          <cell r="G420" t="str">
            <v>No</v>
          </cell>
          <cell r="H420" t="str">
            <v>1900-01-01 00:00:00</v>
          </cell>
          <cell r="K420" t="str">
            <v>M-P</v>
          </cell>
          <cell r="L420" t="str">
            <v>1938.000000</v>
          </cell>
          <cell r="AL420" t="str">
            <v>230039</v>
          </cell>
          <cell r="BC420" t="str">
            <v>Cust-PP</v>
          </cell>
          <cell r="BD420" t="str">
            <v>1.9743336623889440</v>
          </cell>
          <cell r="BE420" t="str">
            <v>.0000000000000000</v>
          </cell>
          <cell r="BF420" t="str">
            <v>.0000000000000000</v>
          </cell>
          <cell r="BG420" t="str">
            <v>None</v>
          </cell>
          <cell r="BK420" t="str">
            <v>2025-03-13 00:00:00</v>
          </cell>
          <cell r="BL420" t="str">
            <v>Airport EG-452</v>
          </cell>
          <cell r="BM420" t="str">
            <v>No</v>
          </cell>
          <cell r="BN420" t="str">
            <v>No</v>
          </cell>
          <cell r="BO420" t="str">
            <v>CPay-000000003</v>
          </cell>
        </row>
        <row r="421">
          <cell r="B421" t="str">
            <v>230041</v>
          </cell>
          <cell r="C421" t="str">
            <v>107.0000000000000000</v>
          </cell>
          <cell r="E421" t="str">
            <v>Cust</v>
          </cell>
          <cell r="G421" t="str">
            <v>No</v>
          </cell>
          <cell r="H421" t="str">
            <v>1900-01-01 00:00:00</v>
          </cell>
          <cell r="K421" t="str">
            <v>M-P</v>
          </cell>
          <cell r="L421" t="str">
            <v>1653.000000</v>
          </cell>
          <cell r="AL421" t="str">
            <v>230041</v>
          </cell>
          <cell r="BC421" t="str">
            <v>Cust-PP</v>
          </cell>
          <cell r="BD421" t="str">
            <v>1.9743336623889440</v>
          </cell>
          <cell r="BE421" t="str">
            <v>.0000000000000000</v>
          </cell>
          <cell r="BF421" t="str">
            <v>.0000000000000000</v>
          </cell>
          <cell r="BG421" t="str">
            <v>None</v>
          </cell>
          <cell r="BK421" t="str">
            <v>2025-03-13 00:00:00</v>
          </cell>
          <cell r="BL421" t="str">
            <v>Airport EG-453</v>
          </cell>
          <cell r="BM421" t="str">
            <v>No</v>
          </cell>
          <cell r="BN421" t="str">
            <v>No</v>
          </cell>
          <cell r="BO421" t="str">
            <v>CPay-000000003</v>
          </cell>
        </row>
        <row r="422">
          <cell r="B422" t="str">
            <v>230042</v>
          </cell>
          <cell r="C422" t="str">
            <v>108.0000000000000000</v>
          </cell>
          <cell r="E422" t="str">
            <v>Cust</v>
          </cell>
          <cell r="G422" t="str">
            <v>No</v>
          </cell>
          <cell r="H422" t="str">
            <v>1900-01-01 00:00:00</v>
          </cell>
          <cell r="K422" t="str">
            <v>M-P</v>
          </cell>
          <cell r="L422" t="str">
            <v>199.500000</v>
          </cell>
          <cell r="AL422" t="str">
            <v>230042</v>
          </cell>
          <cell r="BC422" t="str">
            <v>Cust-PP</v>
          </cell>
          <cell r="BD422" t="str">
            <v>1.9743336623889440</v>
          </cell>
          <cell r="BE422" t="str">
            <v>.0000000000000000</v>
          </cell>
          <cell r="BF422" t="str">
            <v>.0000000000000000</v>
          </cell>
          <cell r="BG422" t="str">
            <v>None</v>
          </cell>
          <cell r="BK422" t="str">
            <v>2025-03-13 00:00:00</v>
          </cell>
          <cell r="BL422" t="str">
            <v>Airport EG-454</v>
          </cell>
          <cell r="BM422" t="str">
            <v>No</v>
          </cell>
          <cell r="BN422" t="str">
            <v>No</v>
          </cell>
          <cell r="BO422" t="str">
            <v>CPay-000000003</v>
          </cell>
        </row>
        <row r="423">
          <cell r="B423" t="str">
            <v>230065</v>
          </cell>
          <cell r="C423" t="str">
            <v>109.0000000000000000</v>
          </cell>
          <cell r="E423" t="str">
            <v>Cust</v>
          </cell>
          <cell r="G423" t="str">
            <v>No</v>
          </cell>
          <cell r="H423" t="str">
            <v>1900-01-01 00:00:00</v>
          </cell>
          <cell r="K423" t="str">
            <v>M-P</v>
          </cell>
          <cell r="L423" t="str">
            <v>1653.000000</v>
          </cell>
          <cell r="AL423" t="str">
            <v>230065</v>
          </cell>
          <cell r="BC423" t="str">
            <v>Cust-PP</v>
          </cell>
          <cell r="BD423" t="str">
            <v>1.9743336623889440</v>
          </cell>
          <cell r="BE423" t="str">
            <v>.0000000000000000</v>
          </cell>
          <cell r="BF423" t="str">
            <v>.0000000000000000</v>
          </cell>
          <cell r="BG423" t="str">
            <v>None</v>
          </cell>
          <cell r="BK423" t="str">
            <v>2025-03-13 00:00:00</v>
          </cell>
          <cell r="BL423" t="str">
            <v>Airport EG-455</v>
          </cell>
          <cell r="BM423" t="str">
            <v>No</v>
          </cell>
          <cell r="BN423" t="str">
            <v>No</v>
          </cell>
          <cell r="BO423" t="str">
            <v>CPay-000000003</v>
          </cell>
        </row>
        <row r="424">
          <cell r="B424" t="str">
            <v>230066</v>
          </cell>
          <cell r="C424" t="str">
            <v>110.0000000000000000</v>
          </cell>
          <cell r="E424" t="str">
            <v>Cust</v>
          </cell>
          <cell r="G424" t="str">
            <v>No</v>
          </cell>
          <cell r="H424" t="str">
            <v>1900-01-01 00:00:00</v>
          </cell>
          <cell r="K424" t="str">
            <v>M-P</v>
          </cell>
          <cell r="L424" t="str">
            <v>912.000000</v>
          </cell>
          <cell r="AL424" t="str">
            <v>230066</v>
          </cell>
          <cell r="BC424" t="str">
            <v>Cust-PP</v>
          </cell>
          <cell r="BD424" t="str">
            <v>1.9743336623889440</v>
          </cell>
          <cell r="BE424" t="str">
            <v>.0000000000000000</v>
          </cell>
          <cell r="BF424" t="str">
            <v>.0000000000000000</v>
          </cell>
          <cell r="BG424" t="str">
            <v>None</v>
          </cell>
          <cell r="BK424" t="str">
            <v>2025-03-13 00:00:00</v>
          </cell>
          <cell r="BL424" t="str">
            <v>Airport EG-456</v>
          </cell>
          <cell r="BM424" t="str">
            <v>No</v>
          </cell>
          <cell r="BN424" t="str">
            <v>No</v>
          </cell>
          <cell r="BO424" t="str">
            <v>CPay-000000003</v>
          </cell>
        </row>
        <row r="425">
          <cell r="B425" t="str">
            <v>249267</v>
          </cell>
          <cell r="C425" t="str">
            <v>111.0000000000000000</v>
          </cell>
          <cell r="E425" t="str">
            <v>Cust</v>
          </cell>
          <cell r="G425" t="str">
            <v>No</v>
          </cell>
          <cell r="H425" t="str">
            <v>1900-01-01 00:00:00</v>
          </cell>
          <cell r="K425" t="str">
            <v>M-P</v>
          </cell>
          <cell r="L425" t="str">
            <v>1450.000000</v>
          </cell>
          <cell r="AL425" t="str">
            <v>249267</v>
          </cell>
          <cell r="BC425" t="str">
            <v>Cust-PP</v>
          </cell>
          <cell r="BD425" t="str">
            <v>1.9743336623889440</v>
          </cell>
          <cell r="BE425" t="str">
            <v>.0000000000000000</v>
          </cell>
          <cell r="BF425" t="str">
            <v>.0000000000000000</v>
          </cell>
          <cell r="BG425" t="str">
            <v>None</v>
          </cell>
          <cell r="BK425" t="str">
            <v>2025-03-16 00:00:00</v>
          </cell>
          <cell r="BL425" t="str">
            <v>Airport EG-469</v>
          </cell>
          <cell r="BM425" t="str">
            <v>No</v>
          </cell>
          <cell r="BN425" t="str">
            <v>No</v>
          </cell>
          <cell r="BO425" t="str">
            <v>CPay-000000003</v>
          </cell>
        </row>
        <row r="426">
          <cell r="B426" t="str">
            <v>249268</v>
          </cell>
          <cell r="C426" t="str">
            <v>112.0000000000000000</v>
          </cell>
          <cell r="E426" t="str">
            <v>Cust</v>
          </cell>
          <cell r="G426" t="str">
            <v>No</v>
          </cell>
          <cell r="H426" t="str">
            <v>1900-01-01 00:00:00</v>
          </cell>
          <cell r="K426" t="str">
            <v>M-P</v>
          </cell>
          <cell r="L426" t="str">
            <v>1648.670000</v>
          </cell>
          <cell r="AL426" t="str">
            <v>249268</v>
          </cell>
          <cell r="BC426" t="str">
            <v>Cust-PP</v>
          </cell>
          <cell r="BD426" t="str">
            <v>1.9743336623889440</v>
          </cell>
          <cell r="BE426" t="str">
            <v>.0000000000000000</v>
          </cell>
          <cell r="BF426" t="str">
            <v>.0000000000000000</v>
          </cell>
          <cell r="BG426" t="str">
            <v>None</v>
          </cell>
          <cell r="BK426" t="str">
            <v>2025-03-16 00:00:00</v>
          </cell>
          <cell r="BL426" t="str">
            <v>Airport EG-470</v>
          </cell>
          <cell r="BM426" t="str">
            <v>No</v>
          </cell>
          <cell r="BN426" t="str">
            <v>No</v>
          </cell>
          <cell r="BO426" t="str">
            <v>CPay-000000003</v>
          </cell>
        </row>
        <row r="427">
          <cell r="B427" t="str">
            <v>249270</v>
          </cell>
          <cell r="C427" t="str">
            <v>113.0000000000000000</v>
          </cell>
          <cell r="E427" t="str">
            <v>Cust</v>
          </cell>
          <cell r="G427" t="str">
            <v>No</v>
          </cell>
          <cell r="H427" t="str">
            <v>1900-01-01 00:00:00</v>
          </cell>
          <cell r="K427" t="str">
            <v>M-P</v>
          </cell>
          <cell r="L427" t="str">
            <v>1653.000000</v>
          </cell>
          <cell r="AL427" t="str">
            <v>249270</v>
          </cell>
          <cell r="BC427" t="str">
            <v>Cust-PP</v>
          </cell>
          <cell r="BD427" t="str">
            <v>1.9743336623889440</v>
          </cell>
          <cell r="BE427" t="str">
            <v>.0000000000000000</v>
          </cell>
          <cell r="BF427" t="str">
            <v>.0000000000000000</v>
          </cell>
          <cell r="BG427" t="str">
            <v>None</v>
          </cell>
          <cell r="BK427" t="str">
            <v>2025-03-16 00:00:00</v>
          </cell>
          <cell r="BL427" t="str">
            <v>Airport EG-467</v>
          </cell>
          <cell r="BM427" t="str">
            <v>No</v>
          </cell>
          <cell r="BN427" t="str">
            <v>No</v>
          </cell>
          <cell r="BO427" t="str">
            <v>CPay-000000003</v>
          </cell>
        </row>
        <row r="428">
          <cell r="B428" t="str">
            <v>249271</v>
          </cell>
          <cell r="C428" t="str">
            <v>114.0000000000000000</v>
          </cell>
          <cell r="E428" t="str">
            <v>Cust</v>
          </cell>
          <cell r="G428" t="str">
            <v>No</v>
          </cell>
          <cell r="H428" t="str">
            <v>1900-01-01 00:00:00</v>
          </cell>
          <cell r="K428" t="str">
            <v>M-P</v>
          </cell>
          <cell r="L428" t="str">
            <v>262.200000</v>
          </cell>
          <cell r="AL428" t="str">
            <v>249271</v>
          </cell>
          <cell r="BC428" t="str">
            <v>Cust-PP</v>
          </cell>
          <cell r="BD428" t="str">
            <v>1.9743336623889440</v>
          </cell>
          <cell r="BE428" t="str">
            <v>.0000000000000000</v>
          </cell>
          <cell r="BF428" t="str">
            <v>.0000000000000000</v>
          </cell>
          <cell r="BG428" t="str">
            <v>None</v>
          </cell>
          <cell r="BK428" t="str">
            <v>2025-03-16 00:00:00</v>
          </cell>
          <cell r="BL428" t="str">
            <v>Airport EG-468</v>
          </cell>
          <cell r="BM428" t="str">
            <v>No</v>
          </cell>
          <cell r="BN428" t="str">
            <v>No</v>
          </cell>
          <cell r="BO428" t="str">
            <v>CPay-000000003</v>
          </cell>
        </row>
        <row r="429">
          <cell r="B429" t="str">
            <v>249286</v>
          </cell>
          <cell r="C429" t="str">
            <v>115.0000000000000000</v>
          </cell>
          <cell r="E429" t="str">
            <v>Cust</v>
          </cell>
          <cell r="G429" t="str">
            <v>No</v>
          </cell>
          <cell r="H429" t="str">
            <v>1900-01-01 00:00:00</v>
          </cell>
          <cell r="K429" t="str">
            <v>M-P</v>
          </cell>
          <cell r="L429" t="str">
            <v>1653.000000</v>
          </cell>
          <cell r="AL429" t="str">
            <v>249286</v>
          </cell>
          <cell r="BC429" t="str">
            <v>Cust-PP</v>
          </cell>
          <cell r="BD429" t="str">
            <v>1.9743336623889440</v>
          </cell>
          <cell r="BE429" t="str">
            <v>.0000000000000000</v>
          </cell>
          <cell r="BF429" t="str">
            <v>.0000000000000000</v>
          </cell>
          <cell r="BG429" t="str">
            <v>None</v>
          </cell>
          <cell r="BK429" t="str">
            <v>2025-03-16 00:00:00</v>
          </cell>
          <cell r="BL429" t="str">
            <v>Airport EG-465</v>
          </cell>
          <cell r="BM429" t="str">
            <v>No</v>
          </cell>
          <cell r="BN429" t="str">
            <v>No</v>
          </cell>
          <cell r="BO429" t="str">
            <v>CPay-000000003</v>
          </cell>
        </row>
        <row r="430">
          <cell r="B430" t="str">
            <v>249287</v>
          </cell>
          <cell r="C430" t="str">
            <v>116.0000000000000000</v>
          </cell>
          <cell r="E430" t="str">
            <v>Cust</v>
          </cell>
          <cell r="G430" t="str">
            <v>No</v>
          </cell>
          <cell r="H430" t="str">
            <v>1900-01-01 00:00:00</v>
          </cell>
          <cell r="K430" t="str">
            <v>M-P</v>
          </cell>
          <cell r="L430" t="str">
            <v>1111.500000</v>
          </cell>
          <cell r="AL430" t="str">
            <v>249287</v>
          </cell>
          <cell r="BC430" t="str">
            <v>Cust-PP</v>
          </cell>
          <cell r="BD430" t="str">
            <v>1.9743336623889440</v>
          </cell>
          <cell r="BE430" t="str">
            <v>.0000000000000000</v>
          </cell>
          <cell r="BF430" t="str">
            <v>.0000000000000000</v>
          </cell>
          <cell r="BG430" t="str">
            <v>None</v>
          </cell>
          <cell r="BK430" t="str">
            <v>2025-03-16 00:00:00</v>
          </cell>
          <cell r="BL430" t="str">
            <v>Airport EG-466</v>
          </cell>
          <cell r="BM430" t="str">
            <v>No</v>
          </cell>
          <cell r="BN430" t="str">
            <v>No</v>
          </cell>
          <cell r="BO430" t="str">
            <v>CPay-000000003</v>
          </cell>
        </row>
        <row r="431">
          <cell r="B431" t="str">
            <v>249294</v>
          </cell>
          <cell r="C431" t="str">
            <v>117.0000000000000000</v>
          </cell>
          <cell r="E431" t="str">
            <v>Cust</v>
          </cell>
          <cell r="G431" t="str">
            <v>No</v>
          </cell>
          <cell r="H431" t="str">
            <v>1900-01-01 00:00:00</v>
          </cell>
          <cell r="K431" t="str">
            <v>M-P</v>
          </cell>
          <cell r="L431" t="str">
            <v>1653.000000</v>
          </cell>
          <cell r="AL431" t="str">
            <v>249294</v>
          </cell>
          <cell r="BC431" t="str">
            <v>Cust-PP</v>
          </cell>
          <cell r="BD431" t="str">
            <v>1.9743336623889440</v>
          </cell>
          <cell r="BE431" t="str">
            <v>.0000000000000000</v>
          </cell>
          <cell r="BF431" t="str">
            <v>.0000000000000000</v>
          </cell>
          <cell r="BG431" t="str">
            <v>None</v>
          </cell>
          <cell r="BK431" t="str">
            <v>2025-03-16 00:00:00</v>
          </cell>
          <cell r="BL431" t="str">
            <v>Airport EG-459</v>
          </cell>
          <cell r="BM431" t="str">
            <v>No</v>
          </cell>
          <cell r="BN431" t="str">
            <v>No</v>
          </cell>
          <cell r="BO431" t="str">
            <v>CPay-000000003</v>
          </cell>
        </row>
        <row r="432">
          <cell r="B432" t="str">
            <v>249295</v>
          </cell>
          <cell r="C432" t="str">
            <v>118.0000000000000000</v>
          </cell>
          <cell r="E432" t="str">
            <v>Cust</v>
          </cell>
          <cell r="G432" t="str">
            <v>No</v>
          </cell>
          <cell r="H432" t="str">
            <v>1900-01-01 00:00:00</v>
          </cell>
          <cell r="K432" t="str">
            <v>M-P</v>
          </cell>
          <cell r="L432" t="str">
            <v>370.500000</v>
          </cell>
          <cell r="AL432" t="str">
            <v>249295</v>
          </cell>
          <cell r="BC432" t="str">
            <v>Cust-PP</v>
          </cell>
          <cell r="BD432" t="str">
            <v>1.9743336623889440</v>
          </cell>
          <cell r="BE432" t="str">
            <v>.0000000000000000</v>
          </cell>
          <cell r="BF432" t="str">
            <v>.0000000000000000</v>
          </cell>
          <cell r="BG432" t="str">
            <v>None</v>
          </cell>
          <cell r="BK432" t="str">
            <v>2025-03-16 00:00:00</v>
          </cell>
          <cell r="BL432" t="str">
            <v>Airport EG-460</v>
          </cell>
          <cell r="BM432" t="str">
            <v>No</v>
          </cell>
          <cell r="BN432" t="str">
            <v>No</v>
          </cell>
          <cell r="BO432" t="str">
            <v>CPay-000000003</v>
          </cell>
        </row>
        <row r="433">
          <cell r="B433" t="str">
            <v>249305</v>
          </cell>
          <cell r="C433" t="str">
            <v>119.0000000000000000</v>
          </cell>
          <cell r="E433" t="str">
            <v>Cust</v>
          </cell>
          <cell r="G433" t="str">
            <v>No</v>
          </cell>
          <cell r="H433" t="str">
            <v>1900-01-01 00:00:00</v>
          </cell>
          <cell r="K433" t="str">
            <v>M-P</v>
          </cell>
          <cell r="L433" t="str">
            <v>1653.000000</v>
          </cell>
          <cell r="AL433" t="str">
            <v>249305</v>
          </cell>
          <cell r="BC433" t="str">
            <v>Cust-PP</v>
          </cell>
          <cell r="BD433" t="str">
            <v>1.9743336623889440</v>
          </cell>
          <cell r="BE433" t="str">
            <v>.0000000000000000</v>
          </cell>
          <cell r="BF433" t="str">
            <v>.0000000000000000</v>
          </cell>
          <cell r="BG433" t="str">
            <v>None</v>
          </cell>
          <cell r="BK433" t="str">
            <v>2025-03-16 00:00:00</v>
          </cell>
          <cell r="BL433" t="str">
            <v>Airport EG-457</v>
          </cell>
          <cell r="BM433" t="str">
            <v>No</v>
          </cell>
          <cell r="BN433" t="str">
            <v>No</v>
          </cell>
          <cell r="BO433" t="str">
            <v>CPay-000000003</v>
          </cell>
        </row>
        <row r="434">
          <cell r="B434" t="str">
            <v>249306</v>
          </cell>
          <cell r="C434" t="str">
            <v>120.0000000000000000</v>
          </cell>
          <cell r="E434" t="str">
            <v>Cust</v>
          </cell>
          <cell r="G434" t="str">
            <v>No</v>
          </cell>
          <cell r="H434" t="str">
            <v>1900-01-01 00:00:00</v>
          </cell>
          <cell r="K434" t="str">
            <v>M-P</v>
          </cell>
          <cell r="L434" t="str">
            <v>2565.000000</v>
          </cell>
          <cell r="AL434" t="str">
            <v>249306</v>
          </cell>
          <cell r="BC434" t="str">
            <v>Cust-PP</v>
          </cell>
          <cell r="BD434" t="str">
            <v>1.9743336623889440</v>
          </cell>
          <cell r="BE434" t="str">
            <v>.0000000000000000</v>
          </cell>
          <cell r="BF434" t="str">
            <v>.0000000000000000</v>
          </cell>
          <cell r="BG434" t="str">
            <v>None</v>
          </cell>
          <cell r="BK434" t="str">
            <v>2025-03-16 00:00:00</v>
          </cell>
          <cell r="BL434" t="str">
            <v>Airport EG-458</v>
          </cell>
          <cell r="BM434" t="str">
            <v>No</v>
          </cell>
          <cell r="BN434" t="str">
            <v>No</v>
          </cell>
          <cell r="BO434" t="str">
            <v>CPay-000000003</v>
          </cell>
        </row>
        <row r="435">
          <cell r="B435" t="str">
            <v>317315</v>
          </cell>
          <cell r="C435" t="str">
            <v>121.0000000000000000</v>
          </cell>
          <cell r="E435" t="str">
            <v>Cust</v>
          </cell>
          <cell r="G435" t="str">
            <v>No</v>
          </cell>
          <cell r="H435" t="str">
            <v>1900-01-01 00:00:00</v>
          </cell>
          <cell r="K435" t="str">
            <v>M-P</v>
          </cell>
          <cell r="L435" t="str">
            <v>557.250000</v>
          </cell>
          <cell r="AL435" t="str">
            <v>317315</v>
          </cell>
          <cell r="BC435" t="str">
            <v>Cust-PP</v>
          </cell>
          <cell r="BD435" t="str">
            <v>104.8371174729000000</v>
          </cell>
          <cell r="BE435" t="str">
            <v>.0000000000000000</v>
          </cell>
          <cell r="BF435" t="str">
            <v>.0000000000000000</v>
          </cell>
          <cell r="BG435" t="str">
            <v>None</v>
          </cell>
          <cell r="BK435" t="str">
            <v>2025-03-16 00:00:00</v>
          </cell>
          <cell r="BL435" t="str">
            <v>Airport EG-472</v>
          </cell>
          <cell r="BM435" t="str">
            <v>No</v>
          </cell>
          <cell r="BN435" t="str">
            <v>No</v>
          </cell>
          <cell r="BO435" t="str">
            <v>CPay-000000003</v>
          </cell>
        </row>
        <row r="436">
          <cell r="B436" t="str">
            <v>407490</v>
          </cell>
          <cell r="C436" t="str">
            <v>122.0000000000000000</v>
          </cell>
          <cell r="E436" t="str">
            <v>Cust</v>
          </cell>
          <cell r="G436" t="str">
            <v>No</v>
          </cell>
          <cell r="H436" t="str">
            <v>1900-01-01 00:00:00</v>
          </cell>
          <cell r="K436" t="str">
            <v>M-P</v>
          </cell>
          <cell r="L436" t="str">
            <v>5358.000000</v>
          </cell>
          <cell r="AL436" t="str">
            <v>407490</v>
          </cell>
          <cell r="BC436" t="str">
            <v>Cust-PP</v>
          </cell>
          <cell r="BD436" t="str">
            <v>1.9743336623889440</v>
          </cell>
          <cell r="BE436" t="str">
            <v>.0000000000000000</v>
          </cell>
          <cell r="BF436" t="str">
            <v>.0000000000000000</v>
          </cell>
          <cell r="BG436" t="str">
            <v>None</v>
          </cell>
          <cell r="BK436" t="str">
            <v>2025-03-16 00:00:00</v>
          </cell>
          <cell r="BL436" t="str">
            <v>Airport EG-461</v>
          </cell>
          <cell r="BM436" t="str">
            <v>No</v>
          </cell>
          <cell r="BN436" t="str">
            <v>No</v>
          </cell>
          <cell r="BO436" t="str">
            <v>CPay-000000003</v>
          </cell>
        </row>
        <row r="437">
          <cell r="B437" t="str">
            <v>407491</v>
          </cell>
          <cell r="C437" t="str">
            <v>123.0000000000000000</v>
          </cell>
          <cell r="E437" t="str">
            <v>Cust</v>
          </cell>
          <cell r="G437" t="str">
            <v>No</v>
          </cell>
          <cell r="H437" t="str">
            <v>1900-01-01 00:00:00</v>
          </cell>
          <cell r="K437" t="str">
            <v>M-P</v>
          </cell>
          <cell r="L437" t="str">
            <v>855.000000</v>
          </cell>
          <cell r="AL437" t="str">
            <v>407491</v>
          </cell>
          <cell r="BC437" t="str">
            <v>Cust-PP</v>
          </cell>
          <cell r="BD437" t="str">
            <v>1.9743336623889440</v>
          </cell>
          <cell r="BE437" t="str">
            <v>.0000000000000000</v>
          </cell>
          <cell r="BF437" t="str">
            <v>.0000000000000000</v>
          </cell>
          <cell r="BG437" t="str">
            <v>None</v>
          </cell>
          <cell r="BK437" t="str">
            <v>2025-03-16 00:00:00</v>
          </cell>
          <cell r="BL437" t="str">
            <v>Airport EG-462</v>
          </cell>
          <cell r="BM437" t="str">
            <v>No</v>
          </cell>
          <cell r="BN437" t="str">
            <v>No</v>
          </cell>
          <cell r="BO437" t="str">
            <v>CPay-000000003</v>
          </cell>
        </row>
        <row r="438">
          <cell r="B438" t="str">
            <v>407492</v>
          </cell>
          <cell r="C438" t="str">
            <v>124.0000000000000000</v>
          </cell>
          <cell r="E438" t="str">
            <v>Cust</v>
          </cell>
          <cell r="G438" t="str">
            <v>No</v>
          </cell>
          <cell r="H438" t="str">
            <v>1900-01-01 00:00:00</v>
          </cell>
          <cell r="K438" t="str">
            <v>M-P</v>
          </cell>
          <cell r="L438" t="str">
            <v>4514.990000</v>
          </cell>
          <cell r="AL438" t="str">
            <v>407492</v>
          </cell>
          <cell r="BC438" t="str">
            <v>Cust-PP</v>
          </cell>
          <cell r="BD438" t="str">
            <v>1.9743336623889440</v>
          </cell>
          <cell r="BE438" t="str">
            <v>.0000000000000000</v>
          </cell>
          <cell r="BF438" t="str">
            <v>.0000000000000000</v>
          </cell>
          <cell r="BG438" t="str">
            <v>None</v>
          </cell>
          <cell r="BK438" t="str">
            <v>2025-03-16 00:00:00</v>
          </cell>
          <cell r="BL438" t="str">
            <v>Airport EG-463</v>
          </cell>
          <cell r="BM438" t="str">
            <v>No</v>
          </cell>
          <cell r="BN438" t="str">
            <v>No</v>
          </cell>
          <cell r="BO438" t="str">
            <v>CPay-000000003</v>
          </cell>
        </row>
        <row r="439">
          <cell r="B439" t="str">
            <v>407493</v>
          </cell>
          <cell r="C439" t="str">
            <v>125.0000000000000000</v>
          </cell>
          <cell r="E439" t="str">
            <v>Cust</v>
          </cell>
          <cell r="G439" t="str">
            <v>No</v>
          </cell>
          <cell r="H439" t="str">
            <v>1900-01-01 00:00:00</v>
          </cell>
          <cell r="K439" t="str">
            <v>M-P</v>
          </cell>
          <cell r="L439" t="str">
            <v>855.000000</v>
          </cell>
          <cell r="AL439" t="str">
            <v>407493</v>
          </cell>
          <cell r="BC439" t="str">
            <v>Cust-PP</v>
          </cell>
          <cell r="BD439" t="str">
            <v>1.9743336623889440</v>
          </cell>
          <cell r="BE439" t="str">
            <v>.0000000000000000</v>
          </cell>
          <cell r="BF439" t="str">
            <v>.0000000000000000</v>
          </cell>
          <cell r="BG439" t="str">
            <v>None</v>
          </cell>
          <cell r="BK439" t="str">
            <v>2025-03-16 00:00:00</v>
          </cell>
          <cell r="BL439" t="str">
            <v>Airport EG-464</v>
          </cell>
          <cell r="BM439" t="str">
            <v>No</v>
          </cell>
          <cell r="BN439" t="str">
            <v>No</v>
          </cell>
          <cell r="BO439" t="str">
            <v>CPay-000000003</v>
          </cell>
        </row>
        <row r="440">
          <cell r="B440" t="str">
            <v>249203</v>
          </cell>
          <cell r="C440" t="str">
            <v>126.0000000000000000</v>
          </cell>
          <cell r="E440" t="str">
            <v>Cust</v>
          </cell>
          <cell r="G440" t="str">
            <v>No</v>
          </cell>
          <cell r="H440" t="str">
            <v>1900-01-01 00:00:00</v>
          </cell>
          <cell r="K440" t="str">
            <v>M-P</v>
          </cell>
          <cell r="L440" t="str">
            <v>1000.000000</v>
          </cell>
          <cell r="AL440" t="str">
            <v>249203</v>
          </cell>
          <cell r="BC440" t="str">
            <v>Cust-PP</v>
          </cell>
          <cell r="BD440" t="str">
            <v>1.9743336623889440</v>
          </cell>
          <cell r="BE440" t="str">
            <v>.0000000000000000</v>
          </cell>
          <cell r="BF440" t="str">
            <v>.0000000000000000</v>
          </cell>
          <cell r="BG440" t="str">
            <v>None</v>
          </cell>
          <cell r="BK440" t="str">
            <v>2025-03-17 00:00:00</v>
          </cell>
          <cell r="BL440" t="str">
            <v>Airport EG-480</v>
          </cell>
          <cell r="BM440" t="str">
            <v>No</v>
          </cell>
          <cell r="BN440" t="str">
            <v>No</v>
          </cell>
          <cell r="BO440" t="str">
            <v>CPay-000000003</v>
          </cell>
        </row>
        <row r="441">
          <cell r="B441" t="str">
            <v>249204</v>
          </cell>
          <cell r="C441" t="str">
            <v>127.0000000000000000</v>
          </cell>
          <cell r="E441" t="str">
            <v>Cust</v>
          </cell>
          <cell r="G441" t="str">
            <v>No</v>
          </cell>
          <cell r="H441" t="str">
            <v>1900-01-01 00:00:00</v>
          </cell>
          <cell r="K441" t="str">
            <v>M-P</v>
          </cell>
          <cell r="L441" t="str">
            <v>199.500000</v>
          </cell>
          <cell r="AL441" t="str">
            <v>249204</v>
          </cell>
          <cell r="BC441" t="str">
            <v>Cust-PP</v>
          </cell>
          <cell r="BD441" t="str">
            <v>1.9743336623889440</v>
          </cell>
          <cell r="BE441" t="str">
            <v>.0000000000000000</v>
          </cell>
          <cell r="BF441" t="str">
            <v>.0000000000000000</v>
          </cell>
          <cell r="BG441" t="str">
            <v>None</v>
          </cell>
          <cell r="BK441" t="str">
            <v>2025-03-17 00:00:00</v>
          </cell>
          <cell r="BL441" t="str">
            <v>Airport EG-481</v>
          </cell>
          <cell r="BM441" t="str">
            <v>No</v>
          </cell>
          <cell r="BN441" t="str">
            <v>No</v>
          </cell>
          <cell r="BO441" t="str">
            <v>CPay-000000003</v>
          </cell>
        </row>
        <row r="442">
          <cell r="B442" t="str">
            <v>249360</v>
          </cell>
          <cell r="C442" t="str">
            <v>128.0000000000000000</v>
          </cell>
          <cell r="E442" t="str">
            <v>Cust</v>
          </cell>
          <cell r="G442" t="str">
            <v>No</v>
          </cell>
          <cell r="H442" t="str">
            <v>1900-01-01 00:00:00</v>
          </cell>
          <cell r="K442" t="str">
            <v>M-P</v>
          </cell>
          <cell r="L442" t="str">
            <v>1653.000000</v>
          </cell>
          <cell r="AL442" t="str">
            <v>249360</v>
          </cell>
          <cell r="BC442" t="str">
            <v>Cust-PP</v>
          </cell>
          <cell r="BD442" t="str">
            <v>1.9743336623889440</v>
          </cell>
          <cell r="BE442" t="str">
            <v>.0000000000000000</v>
          </cell>
          <cell r="BF442" t="str">
            <v>.0000000000000000</v>
          </cell>
          <cell r="BG442" t="str">
            <v>None</v>
          </cell>
          <cell r="BK442" t="str">
            <v>2025-03-17 00:00:00</v>
          </cell>
          <cell r="BL442" t="str">
            <v>Airport EG-475</v>
          </cell>
          <cell r="BM442" t="str">
            <v>No</v>
          </cell>
          <cell r="BN442" t="str">
            <v>No</v>
          </cell>
          <cell r="BO442" t="str">
            <v>CPay-000000003</v>
          </cell>
        </row>
        <row r="443">
          <cell r="B443" t="str">
            <v>249361</v>
          </cell>
          <cell r="C443" t="str">
            <v>129.0000000000000000</v>
          </cell>
          <cell r="E443" t="str">
            <v>Cust</v>
          </cell>
          <cell r="G443" t="str">
            <v>No</v>
          </cell>
          <cell r="H443" t="str">
            <v>1900-01-01 00:00:00</v>
          </cell>
          <cell r="K443" t="str">
            <v>M-P</v>
          </cell>
          <cell r="L443" t="str">
            <v>285.000000</v>
          </cell>
          <cell r="AL443" t="str">
            <v>249361</v>
          </cell>
          <cell r="BC443" t="str">
            <v>Cust-PP</v>
          </cell>
          <cell r="BD443" t="str">
            <v>1.9743336623889440</v>
          </cell>
          <cell r="BE443" t="str">
            <v>.0000000000000000</v>
          </cell>
          <cell r="BF443" t="str">
            <v>.0000000000000000</v>
          </cell>
          <cell r="BG443" t="str">
            <v>None</v>
          </cell>
          <cell r="BK443" t="str">
            <v>2025-03-17 00:00:00</v>
          </cell>
          <cell r="BL443" t="str">
            <v>Airport EG-476</v>
          </cell>
          <cell r="BM443" t="str">
            <v>No</v>
          </cell>
          <cell r="BN443" t="str">
            <v>No</v>
          </cell>
          <cell r="BO443" t="str">
            <v>CPay-000000003</v>
          </cell>
        </row>
        <row r="444">
          <cell r="B444" t="str">
            <v>249362</v>
          </cell>
          <cell r="C444" t="str">
            <v>130.0000000000000000</v>
          </cell>
          <cell r="E444" t="str">
            <v>Cust</v>
          </cell>
          <cell r="G444" t="str">
            <v>No</v>
          </cell>
          <cell r="H444" t="str">
            <v>1900-01-01 00:00:00</v>
          </cell>
          <cell r="K444" t="str">
            <v>M-P</v>
          </cell>
          <cell r="L444" t="str">
            <v>1653.000000</v>
          </cell>
          <cell r="AL444" t="str">
            <v>249362</v>
          </cell>
          <cell r="BC444" t="str">
            <v>Cust-PP</v>
          </cell>
          <cell r="BD444" t="str">
            <v>1.9743336623889440</v>
          </cell>
          <cell r="BE444" t="str">
            <v>.0000000000000000</v>
          </cell>
          <cell r="BF444" t="str">
            <v>.0000000000000000</v>
          </cell>
          <cell r="BG444" t="str">
            <v>None</v>
          </cell>
          <cell r="BK444" t="str">
            <v>2025-03-17 00:00:00</v>
          </cell>
          <cell r="BL444" t="str">
            <v>Airport EG-477</v>
          </cell>
          <cell r="BM444" t="str">
            <v>No</v>
          </cell>
          <cell r="BN444" t="str">
            <v>No</v>
          </cell>
          <cell r="BO444" t="str">
            <v>CPay-000000003</v>
          </cell>
        </row>
        <row r="445">
          <cell r="B445" t="str">
            <v>249363</v>
          </cell>
          <cell r="C445" t="str">
            <v>131.0000000000000000</v>
          </cell>
          <cell r="E445" t="str">
            <v>Cust</v>
          </cell>
          <cell r="G445" t="str">
            <v>No</v>
          </cell>
          <cell r="H445" t="str">
            <v>1900-01-01 00:00:00</v>
          </cell>
          <cell r="K445" t="str">
            <v>M-P</v>
          </cell>
          <cell r="L445" t="str">
            <v>912.000000</v>
          </cell>
          <cell r="AL445" t="str">
            <v>249363</v>
          </cell>
          <cell r="BC445" t="str">
            <v>Cust-PP</v>
          </cell>
          <cell r="BD445" t="str">
            <v>1.9743336623889440</v>
          </cell>
          <cell r="BE445" t="str">
            <v>.0000000000000000</v>
          </cell>
          <cell r="BF445" t="str">
            <v>.0000000000000000</v>
          </cell>
          <cell r="BG445" t="str">
            <v>None</v>
          </cell>
          <cell r="BK445" t="str">
            <v>2025-03-17 00:00:00</v>
          </cell>
          <cell r="BL445" t="str">
            <v>Airport EG-478</v>
          </cell>
          <cell r="BM445" t="str">
            <v>No</v>
          </cell>
          <cell r="BN445" t="str">
            <v>No</v>
          </cell>
          <cell r="BO445" t="str">
            <v>CPay-000000003</v>
          </cell>
        </row>
        <row r="446">
          <cell r="B446" t="str">
            <v>249369</v>
          </cell>
          <cell r="C446" t="str">
            <v>132.0000000000000000</v>
          </cell>
          <cell r="E446" t="str">
            <v>Cust</v>
          </cell>
          <cell r="G446" t="str">
            <v>No</v>
          </cell>
          <cell r="H446" t="str">
            <v>1900-01-01 00:00:00</v>
          </cell>
          <cell r="K446" t="str">
            <v>M-P</v>
          </cell>
          <cell r="L446" t="str">
            <v>1653.000000</v>
          </cell>
          <cell r="AL446" t="str">
            <v>249369</v>
          </cell>
          <cell r="BC446" t="str">
            <v>Cust-PP</v>
          </cell>
          <cell r="BD446" t="str">
            <v>1.9743336623889440</v>
          </cell>
          <cell r="BE446" t="str">
            <v>.0000000000000000</v>
          </cell>
          <cell r="BF446" t="str">
            <v>.0000000000000000</v>
          </cell>
          <cell r="BG446" t="str">
            <v>None</v>
          </cell>
          <cell r="BK446" t="str">
            <v>2025-03-17 00:00:00</v>
          </cell>
          <cell r="BL446" t="str">
            <v>Airport EG-473</v>
          </cell>
          <cell r="BM446" t="str">
            <v>No</v>
          </cell>
          <cell r="BN446" t="str">
            <v>No</v>
          </cell>
          <cell r="BO446" t="str">
            <v>CPay-000000003</v>
          </cell>
        </row>
        <row r="447">
          <cell r="B447" t="str">
            <v>249370</v>
          </cell>
          <cell r="C447" t="str">
            <v>133.0000000000000000</v>
          </cell>
          <cell r="E447" t="str">
            <v>Cust</v>
          </cell>
          <cell r="G447" t="str">
            <v>No</v>
          </cell>
          <cell r="H447" t="str">
            <v>1900-01-01 00:00:00</v>
          </cell>
          <cell r="K447" t="str">
            <v>M-P</v>
          </cell>
          <cell r="L447" t="str">
            <v>524.400000</v>
          </cell>
          <cell r="AL447" t="str">
            <v>249370</v>
          </cell>
          <cell r="BC447" t="str">
            <v>Cust-PP</v>
          </cell>
          <cell r="BD447" t="str">
            <v>1.9743336623889440</v>
          </cell>
          <cell r="BE447" t="str">
            <v>.0000000000000000</v>
          </cell>
          <cell r="BF447" t="str">
            <v>.0000000000000000</v>
          </cell>
          <cell r="BG447" t="str">
            <v>None</v>
          </cell>
          <cell r="BK447" t="str">
            <v>2025-03-17 00:00:00</v>
          </cell>
          <cell r="BL447" t="str">
            <v>Airport EG-474</v>
          </cell>
          <cell r="BM447" t="str">
            <v>No</v>
          </cell>
          <cell r="BN447" t="str">
            <v>No</v>
          </cell>
          <cell r="BO447" t="str">
            <v>CPay-000000003</v>
          </cell>
        </row>
        <row r="448">
          <cell r="B448" t="str">
            <v>243495</v>
          </cell>
          <cell r="C448" t="str">
            <v>134.0000000000000000</v>
          </cell>
          <cell r="E448" t="str">
            <v>Cust</v>
          </cell>
          <cell r="G448" t="str">
            <v>No</v>
          </cell>
          <cell r="H448" t="str">
            <v>1900-01-01 00:00:00</v>
          </cell>
          <cell r="K448" t="str">
            <v>M-P</v>
          </cell>
          <cell r="L448" t="str">
            <v>1653.000000</v>
          </cell>
          <cell r="AL448" t="str">
            <v>243495</v>
          </cell>
          <cell r="BC448" t="str">
            <v>Cust-PP</v>
          </cell>
          <cell r="BD448" t="str">
            <v>1.9743336623889440</v>
          </cell>
          <cell r="BE448" t="str">
            <v>.0000000000000000</v>
          </cell>
          <cell r="BF448" t="str">
            <v>.0000000000000000</v>
          </cell>
          <cell r="BG448" t="str">
            <v>None</v>
          </cell>
          <cell r="BK448" t="str">
            <v>2025-03-18 00:00:00</v>
          </cell>
          <cell r="BL448" t="str">
            <v>Airport EG-495</v>
          </cell>
          <cell r="BM448" t="str">
            <v>No</v>
          </cell>
          <cell r="BN448" t="str">
            <v>No</v>
          </cell>
          <cell r="BO448" t="str">
            <v>CPay-000000003</v>
          </cell>
        </row>
        <row r="449">
          <cell r="B449" t="str">
            <v>243496</v>
          </cell>
          <cell r="C449" t="str">
            <v>135.0000000000000000</v>
          </cell>
          <cell r="E449" t="str">
            <v>Cust</v>
          </cell>
          <cell r="G449" t="str">
            <v>No</v>
          </cell>
          <cell r="H449" t="str">
            <v>1900-01-01 00:00:00</v>
          </cell>
          <cell r="K449" t="str">
            <v>M-P</v>
          </cell>
          <cell r="L449" t="str">
            <v>1564.760000</v>
          </cell>
          <cell r="AL449" t="str">
            <v>243496</v>
          </cell>
          <cell r="BC449" t="str">
            <v>Cust-PP</v>
          </cell>
          <cell r="BD449" t="str">
            <v>1.9743336623889440</v>
          </cell>
          <cell r="BE449" t="str">
            <v>.0000000000000000</v>
          </cell>
          <cell r="BF449" t="str">
            <v>.0000000000000000</v>
          </cell>
          <cell r="BG449" t="str">
            <v>None</v>
          </cell>
          <cell r="BK449" t="str">
            <v>2025-03-18 00:00:00</v>
          </cell>
          <cell r="BL449" t="str">
            <v>Airport EG-496</v>
          </cell>
          <cell r="BM449" t="str">
            <v>No</v>
          </cell>
          <cell r="BN449" t="str">
            <v>No</v>
          </cell>
          <cell r="BO449" t="str">
            <v>CPay-000000003</v>
          </cell>
        </row>
        <row r="450">
          <cell r="B450" t="str">
            <v>243548</v>
          </cell>
          <cell r="C450" t="str">
            <v>136.0000000000000000</v>
          </cell>
          <cell r="E450" t="str">
            <v>Cust</v>
          </cell>
          <cell r="G450" t="str">
            <v>No</v>
          </cell>
          <cell r="H450" t="str">
            <v>1900-01-01 00:00:00</v>
          </cell>
          <cell r="K450" t="str">
            <v>M-P</v>
          </cell>
          <cell r="L450" t="str">
            <v>1225.000000</v>
          </cell>
          <cell r="AL450" t="str">
            <v>243548</v>
          </cell>
          <cell r="BC450" t="str">
            <v>Cust-PP</v>
          </cell>
          <cell r="BD450" t="str">
            <v>1.9743336623889440</v>
          </cell>
          <cell r="BE450" t="str">
            <v>.0000000000000000</v>
          </cell>
          <cell r="BF450" t="str">
            <v>.0000000000000000</v>
          </cell>
          <cell r="BG450" t="str">
            <v>None</v>
          </cell>
          <cell r="BK450" t="str">
            <v>2025-03-18 00:00:00</v>
          </cell>
          <cell r="BL450" t="str">
            <v>Airport EG-486</v>
          </cell>
          <cell r="BM450" t="str">
            <v>No</v>
          </cell>
          <cell r="BN450" t="str">
            <v>No</v>
          </cell>
          <cell r="BO450" t="str">
            <v>CPay-000000003</v>
          </cell>
        </row>
        <row r="451">
          <cell r="B451" t="str">
            <v>243579</v>
          </cell>
          <cell r="C451" t="str">
            <v>137.0000000000000000</v>
          </cell>
          <cell r="E451" t="str">
            <v>Cust</v>
          </cell>
          <cell r="G451" t="str">
            <v>No</v>
          </cell>
          <cell r="H451" t="str">
            <v>1900-01-01 00:00:00</v>
          </cell>
          <cell r="K451" t="str">
            <v>M-P</v>
          </cell>
          <cell r="L451" t="str">
            <v>1653.000000</v>
          </cell>
          <cell r="AL451" t="str">
            <v>243579</v>
          </cell>
          <cell r="BC451" t="str">
            <v>Cust-PP</v>
          </cell>
          <cell r="BD451" t="str">
            <v>1.9743336623889440</v>
          </cell>
          <cell r="BE451" t="str">
            <v>.0000000000000000</v>
          </cell>
          <cell r="BF451" t="str">
            <v>.0000000000000000</v>
          </cell>
          <cell r="BG451" t="str">
            <v>None</v>
          </cell>
          <cell r="BK451" t="str">
            <v>2025-03-18 00:00:00</v>
          </cell>
          <cell r="BL451" t="str">
            <v>Airport EG-487</v>
          </cell>
          <cell r="BM451" t="str">
            <v>No</v>
          </cell>
          <cell r="BN451" t="str">
            <v>No</v>
          </cell>
          <cell r="BO451" t="str">
            <v>CPay-000000003</v>
          </cell>
        </row>
        <row r="452">
          <cell r="B452" t="str">
            <v>243580</v>
          </cell>
          <cell r="C452" t="str">
            <v>138.0000000000000000</v>
          </cell>
          <cell r="E452" t="str">
            <v>Cust</v>
          </cell>
          <cell r="G452" t="str">
            <v>No</v>
          </cell>
          <cell r="H452" t="str">
            <v>1900-01-01 00:00:00</v>
          </cell>
          <cell r="K452" t="str">
            <v>M-P</v>
          </cell>
          <cell r="L452" t="str">
            <v>524.400000</v>
          </cell>
          <cell r="AL452" t="str">
            <v>243580</v>
          </cell>
          <cell r="BC452" t="str">
            <v>Cust-PP</v>
          </cell>
          <cell r="BD452" t="str">
            <v>1.9743336623889440</v>
          </cell>
          <cell r="BE452" t="str">
            <v>.0000000000000000</v>
          </cell>
          <cell r="BF452" t="str">
            <v>.0000000000000000</v>
          </cell>
          <cell r="BG452" t="str">
            <v>None</v>
          </cell>
          <cell r="BK452" t="str">
            <v>2025-03-18 00:00:00</v>
          </cell>
          <cell r="BL452" t="str">
            <v>Airport EG-488</v>
          </cell>
          <cell r="BM452" t="str">
            <v>No</v>
          </cell>
          <cell r="BN452" t="str">
            <v>No</v>
          </cell>
          <cell r="BO452" t="str">
            <v>CPay-000000003</v>
          </cell>
        </row>
        <row r="453">
          <cell r="B453" t="str">
            <v>243582</v>
          </cell>
          <cell r="C453" t="str">
            <v>139.0000000000000000</v>
          </cell>
          <cell r="E453" t="str">
            <v>Cust</v>
          </cell>
          <cell r="G453" t="str">
            <v>No</v>
          </cell>
          <cell r="H453" t="str">
            <v>1900-01-01 00:00:00</v>
          </cell>
          <cell r="K453" t="str">
            <v>M-P</v>
          </cell>
          <cell r="L453" t="str">
            <v>855.000000</v>
          </cell>
          <cell r="AL453" t="str">
            <v>243582</v>
          </cell>
          <cell r="BC453" t="str">
            <v>Cust-PP</v>
          </cell>
          <cell r="BD453" t="str">
            <v>1.9743336623889440</v>
          </cell>
          <cell r="BE453" t="str">
            <v>.0000000000000000</v>
          </cell>
          <cell r="BF453" t="str">
            <v>.0000000000000000</v>
          </cell>
          <cell r="BG453" t="str">
            <v>None</v>
          </cell>
          <cell r="BK453" t="str">
            <v>2025-03-18 00:00:00</v>
          </cell>
          <cell r="BL453" t="str">
            <v>Airport EG-490</v>
          </cell>
          <cell r="BM453" t="str">
            <v>No</v>
          </cell>
          <cell r="BN453" t="str">
            <v>No</v>
          </cell>
          <cell r="BO453" t="str">
            <v>CPay-000000003</v>
          </cell>
        </row>
        <row r="454">
          <cell r="B454" t="str">
            <v>243585</v>
          </cell>
          <cell r="C454" t="str">
            <v>140.0000000000000000</v>
          </cell>
          <cell r="E454" t="str">
            <v>Cust</v>
          </cell>
          <cell r="G454" t="str">
            <v>No</v>
          </cell>
          <cell r="H454" t="str">
            <v>1900-01-01 00:00:00</v>
          </cell>
          <cell r="K454" t="str">
            <v>M-P</v>
          </cell>
          <cell r="L454" t="str">
            <v>5016.000000</v>
          </cell>
          <cell r="AL454" t="str">
            <v>243585</v>
          </cell>
          <cell r="BC454" t="str">
            <v>Cust-PP</v>
          </cell>
          <cell r="BD454" t="str">
            <v>1.9743336623889440</v>
          </cell>
          <cell r="BE454" t="str">
            <v>.0000000000000000</v>
          </cell>
          <cell r="BF454" t="str">
            <v>.0000000000000000</v>
          </cell>
          <cell r="BG454" t="str">
            <v>None</v>
          </cell>
          <cell r="BK454" t="str">
            <v>2025-03-18 00:00:00</v>
          </cell>
          <cell r="BL454" t="str">
            <v>Airport EG-493</v>
          </cell>
          <cell r="BM454" t="str">
            <v>No</v>
          </cell>
          <cell r="BN454" t="str">
            <v>No</v>
          </cell>
          <cell r="BO454" t="str">
            <v>CPay-000000003</v>
          </cell>
        </row>
        <row r="455">
          <cell r="B455" t="str">
            <v>243586</v>
          </cell>
          <cell r="C455" t="str">
            <v>141.0000000000000000</v>
          </cell>
          <cell r="E455" t="str">
            <v>Cust</v>
          </cell>
          <cell r="G455" t="str">
            <v>No</v>
          </cell>
          <cell r="H455" t="str">
            <v>1900-01-01 00:00:00</v>
          </cell>
          <cell r="K455" t="str">
            <v>M-P</v>
          </cell>
          <cell r="L455" t="str">
            <v>855.000000</v>
          </cell>
          <cell r="AL455" t="str">
            <v>243586</v>
          </cell>
          <cell r="BC455" t="str">
            <v>Cust-PP</v>
          </cell>
          <cell r="BD455" t="str">
            <v>1.9743336623889440</v>
          </cell>
          <cell r="BE455" t="str">
            <v>.0000000000000000</v>
          </cell>
          <cell r="BF455" t="str">
            <v>.0000000000000000</v>
          </cell>
          <cell r="BG455" t="str">
            <v>None</v>
          </cell>
          <cell r="BK455" t="str">
            <v>2025-03-18 00:00:00</v>
          </cell>
          <cell r="BL455" t="str">
            <v>Airport EG-494</v>
          </cell>
          <cell r="BM455" t="str">
            <v>No</v>
          </cell>
          <cell r="BN455" t="str">
            <v>No</v>
          </cell>
          <cell r="BO455" t="str">
            <v>CPay-000000003</v>
          </cell>
        </row>
        <row r="456">
          <cell r="B456" t="str">
            <v>249138</v>
          </cell>
          <cell r="C456" t="str">
            <v>142.0000000000000000</v>
          </cell>
          <cell r="E456" t="str">
            <v>Cust</v>
          </cell>
          <cell r="G456" t="str">
            <v>No</v>
          </cell>
          <cell r="H456" t="str">
            <v>1900-01-01 00:00:00</v>
          </cell>
          <cell r="K456" t="str">
            <v>M-P</v>
          </cell>
          <cell r="L456" t="str">
            <v>1653.000000</v>
          </cell>
          <cell r="AL456" t="str">
            <v>249138</v>
          </cell>
          <cell r="BC456" t="str">
            <v>Cust-PP</v>
          </cell>
          <cell r="BD456" t="str">
            <v>1.9743336623889440</v>
          </cell>
          <cell r="BE456" t="str">
            <v>.0000000000000000</v>
          </cell>
          <cell r="BF456" t="str">
            <v>.0000000000000000</v>
          </cell>
          <cell r="BG456" t="str">
            <v>None</v>
          </cell>
          <cell r="BK456" t="str">
            <v>2025-03-18 00:00:00</v>
          </cell>
          <cell r="BL456" t="str">
            <v>Airport EG-482</v>
          </cell>
          <cell r="BM456" t="str">
            <v>No</v>
          </cell>
          <cell r="BN456" t="str">
            <v>No</v>
          </cell>
          <cell r="BO456" t="str">
            <v>CPay-000000003</v>
          </cell>
        </row>
        <row r="457">
          <cell r="B457" t="str">
            <v>249367</v>
          </cell>
          <cell r="C457" t="str">
            <v>143.0000000000000000</v>
          </cell>
          <cell r="E457" t="str">
            <v>Cust</v>
          </cell>
          <cell r="G457" t="str">
            <v>No</v>
          </cell>
          <cell r="H457" t="str">
            <v>1900-01-01 00:00:00</v>
          </cell>
          <cell r="K457" t="str">
            <v>M-P</v>
          </cell>
          <cell r="L457" t="str">
            <v>262.200000</v>
          </cell>
          <cell r="AL457" t="str">
            <v>249367</v>
          </cell>
          <cell r="BC457" t="str">
            <v>Cust-PP</v>
          </cell>
          <cell r="BD457" t="str">
            <v>1.9743336623889440</v>
          </cell>
          <cell r="BE457" t="str">
            <v>.0000000000000000</v>
          </cell>
          <cell r="BF457" t="str">
            <v>.0000000000000000</v>
          </cell>
          <cell r="BG457" t="str">
            <v>None</v>
          </cell>
          <cell r="BK457" t="str">
            <v>2025-03-18 00:00:00</v>
          </cell>
          <cell r="BL457" t="str">
            <v>Airport EG-483</v>
          </cell>
          <cell r="BM457" t="str">
            <v>No</v>
          </cell>
          <cell r="BN457" t="str">
            <v>No</v>
          </cell>
          <cell r="BO457" t="str">
            <v>CPay-000000003</v>
          </cell>
        </row>
        <row r="458">
          <cell r="B458" t="str">
            <v>407584</v>
          </cell>
          <cell r="C458" t="str">
            <v>144.0000000000000000</v>
          </cell>
          <cell r="E458" t="str">
            <v>Cust</v>
          </cell>
          <cell r="G458" t="str">
            <v>No</v>
          </cell>
          <cell r="H458" t="str">
            <v>1900-01-01 00:00:00</v>
          </cell>
          <cell r="K458" t="str">
            <v>M-P</v>
          </cell>
          <cell r="L458" t="str">
            <v>2280.000000</v>
          </cell>
          <cell r="AL458" t="str">
            <v>407584</v>
          </cell>
          <cell r="BC458" t="str">
            <v>Cust-PP</v>
          </cell>
          <cell r="BD458" t="str">
            <v>1.9743336623889440</v>
          </cell>
          <cell r="BE458" t="str">
            <v>.0000000000000000</v>
          </cell>
          <cell r="BF458" t="str">
            <v>.0000000000000000</v>
          </cell>
          <cell r="BG458" t="str">
            <v>None</v>
          </cell>
          <cell r="BK458" t="str">
            <v>2025-03-18 00:00:00</v>
          </cell>
          <cell r="BL458" t="str">
            <v>Airport EG-484</v>
          </cell>
          <cell r="BM458" t="str">
            <v>No</v>
          </cell>
          <cell r="BN458" t="str">
            <v>No</v>
          </cell>
          <cell r="BO458" t="str">
            <v>CPay-000000003</v>
          </cell>
        </row>
        <row r="459">
          <cell r="B459" t="str">
            <v>407586</v>
          </cell>
          <cell r="C459" t="str">
            <v>145.0000000000000000</v>
          </cell>
          <cell r="E459" t="str">
            <v>Cust</v>
          </cell>
          <cell r="G459" t="str">
            <v>No</v>
          </cell>
          <cell r="H459" t="str">
            <v>1900-01-01 00:00:00</v>
          </cell>
          <cell r="K459" t="str">
            <v>M-P</v>
          </cell>
          <cell r="L459" t="str">
            <v>855.000000</v>
          </cell>
          <cell r="AL459" t="str">
            <v>407586</v>
          </cell>
          <cell r="BC459" t="str">
            <v>Cust-PP</v>
          </cell>
          <cell r="BD459" t="str">
            <v>1.9743336623889440</v>
          </cell>
          <cell r="BE459" t="str">
            <v>.0000000000000000</v>
          </cell>
          <cell r="BF459" t="str">
            <v>.0000000000000000</v>
          </cell>
          <cell r="BG459" t="str">
            <v>None</v>
          </cell>
          <cell r="BK459" t="str">
            <v>2025-03-18 00:00:00</v>
          </cell>
          <cell r="BL459" t="str">
            <v>Airport EG-485</v>
          </cell>
          <cell r="BM459" t="str">
            <v>No</v>
          </cell>
          <cell r="BN459" t="str">
            <v>No</v>
          </cell>
          <cell r="BO459" t="str">
            <v>CPay-000000003</v>
          </cell>
        </row>
        <row r="460">
          <cell r="B460" t="str">
            <v>407631</v>
          </cell>
          <cell r="C460" t="str">
            <v>146.0000000000000000</v>
          </cell>
          <cell r="E460" t="str">
            <v>Cust</v>
          </cell>
          <cell r="G460" t="str">
            <v>No</v>
          </cell>
          <cell r="H460" t="str">
            <v>1900-01-01 00:00:00</v>
          </cell>
          <cell r="K460" t="str">
            <v>M-P</v>
          </cell>
          <cell r="L460" t="str">
            <v>5016.000000</v>
          </cell>
          <cell r="AL460" t="str">
            <v>407631</v>
          </cell>
          <cell r="BC460" t="str">
            <v>Cust-PP</v>
          </cell>
          <cell r="BD460" t="str">
            <v>1.9743336623889440</v>
          </cell>
          <cell r="BE460" t="str">
            <v>.0000000000000000</v>
          </cell>
          <cell r="BF460" t="str">
            <v>.0000000000000000</v>
          </cell>
          <cell r="BG460" t="str">
            <v>None</v>
          </cell>
          <cell r="BK460" t="str">
            <v>2025-03-18 00:00:00</v>
          </cell>
          <cell r="BL460" t="str">
            <v>Airport EG-489</v>
          </cell>
          <cell r="BM460" t="str">
            <v>No</v>
          </cell>
          <cell r="BN460" t="str">
            <v>No</v>
          </cell>
          <cell r="BO460" t="str">
            <v>CPay-000000003</v>
          </cell>
        </row>
        <row r="461">
          <cell r="B461" t="str">
            <v>407633</v>
          </cell>
          <cell r="C461" t="str">
            <v>147.0000000000000000</v>
          </cell>
          <cell r="E461" t="str">
            <v>Cust</v>
          </cell>
          <cell r="G461" t="str">
            <v>No</v>
          </cell>
          <cell r="H461" t="str">
            <v>1900-01-01 00:00:00</v>
          </cell>
          <cell r="K461" t="str">
            <v>M-P</v>
          </cell>
          <cell r="L461" t="str">
            <v>4560.000000</v>
          </cell>
          <cell r="AL461" t="str">
            <v>407633</v>
          </cell>
          <cell r="BC461" t="str">
            <v>Cust-PP</v>
          </cell>
          <cell r="BD461" t="str">
            <v>1.9743336623889440</v>
          </cell>
          <cell r="BE461" t="str">
            <v>.0000000000000000</v>
          </cell>
          <cell r="BF461" t="str">
            <v>.0000000000000000</v>
          </cell>
          <cell r="BG461" t="str">
            <v>None</v>
          </cell>
          <cell r="BK461" t="str">
            <v>2025-03-18 00:00:00</v>
          </cell>
          <cell r="BL461" t="str">
            <v>Airport EG-491</v>
          </cell>
          <cell r="BM461" t="str">
            <v>No</v>
          </cell>
          <cell r="BN461" t="str">
            <v>No</v>
          </cell>
          <cell r="BO461" t="str">
            <v>CPay-000000003</v>
          </cell>
        </row>
        <row r="462">
          <cell r="B462" t="str">
            <v>407634</v>
          </cell>
          <cell r="C462" t="str">
            <v>148.0000000000000000</v>
          </cell>
          <cell r="E462" t="str">
            <v>Cust</v>
          </cell>
          <cell r="G462" t="str">
            <v>No</v>
          </cell>
          <cell r="H462" t="str">
            <v>1900-01-01 00:00:00</v>
          </cell>
          <cell r="K462" t="str">
            <v>M-P</v>
          </cell>
          <cell r="L462" t="str">
            <v>855.000000</v>
          </cell>
          <cell r="AL462" t="str">
            <v>407634</v>
          </cell>
          <cell r="BC462" t="str">
            <v>Cust-PP</v>
          </cell>
          <cell r="BD462" t="str">
            <v>1.9743336623889440</v>
          </cell>
          <cell r="BE462" t="str">
            <v>.0000000000000000</v>
          </cell>
          <cell r="BF462" t="str">
            <v>.0000000000000000</v>
          </cell>
          <cell r="BG462" t="str">
            <v>None</v>
          </cell>
          <cell r="BK462" t="str">
            <v>2025-03-18 00:00:00</v>
          </cell>
          <cell r="BL462" t="str">
            <v>Airport EG-492</v>
          </cell>
          <cell r="BM462" t="str">
            <v>No</v>
          </cell>
          <cell r="BN462" t="str">
            <v>No</v>
          </cell>
          <cell r="BO462" t="str">
            <v>CPay-000000003</v>
          </cell>
        </row>
        <row r="463">
          <cell r="B463" t="str">
            <v>243443</v>
          </cell>
          <cell r="C463" t="str">
            <v>149.0000000000000000</v>
          </cell>
          <cell r="E463" t="str">
            <v>Cust</v>
          </cell>
          <cell r="G463" t="str">
            <v>No</v>
          </cell>
          <cell r="H463" t="str">
            <v>1900-01-01 00:00:00</v>
          </cell>
          <cell r="K463" t="str">
            <v>M-P</v>
          </cell>
          <cell r="L463" t="str">
            <v>1653.000000</v>
          </cell>
          <cell r="AL463" t="str">
            <v>243443</v>
          </cell>
          <cell r="BC463" t="str">
            <v>Cust-PP</v>
          </cell>
          <cell r="BD463" t="str">
            <v>1.9743336623889440</v>
          </cell>
          <cell r="BE463" t="str">
            <v>.0000000000000000</v>
          </cell>
          <cell r="BF463" t="str">
            <v>.0000000000000000</v>
          </cell>
          <cell r="BG463" t="str">
            <v>None</v>
          </cell>
          <cell r="BK463" t="str">
            <v>2025-03-19 00:00:00</v>
          </cell>
          <cell r="BL463" t="str">
            <v>Airport EG-501</v>
          </cell>
          <cell r="BM463" t="str">
            <v>No</v>
          </cell>
          <cell r="BN463" t="str">
            <v>No</v>
          </cell>
          <cell r="BO463" t="str">
            <v>CPay-000000003</v>
          </cell>
        </row>
        <row r="464">
          <cell r="B464" t="str">
            <v>243444</v>
          </cell>
          <cell r="C464" t="str">
            <v>150.0000000000000000</v>
          </cell>
          <cell r="E464" t="str">
            <v>Cust</v>
          </cell>
          <cell r="G464" t="str">
            <v>No</v>
          </cell>
          <cell r="H464" t="str">
            <v>1900-01-01 00:00:00</v>
          </cell>
          <cell r="K464" t="str">
            <v>M-P</v>
          </cell>
          <cell r="L464" t="str">
            <v>2020.760000</v>
          </cell>
          <cell r="AL464" t="str">
            <v>243444</v>
          </cell>
          <cell r="BC464" t="str">
            <v>Cust-PP</v>
          </cell>
          <cell r="BD464" t="str">
            <v>1.9743336623889440</v>
          </cell>
          <cell r="BE464" t="str">
            <v>.0000000000000000</v>
          </cell>
          <cell r="BF464" t="str">
            <v>.0000000000000000</v>
          </cell>
          <cell r="BG464" t="str">
            <v>None</v>
          </cell>
          <cell r="BK464" t="str">
            <v>2025-03-19 00:00:00</v>
          </cell>
          <cell r="BL464" t="str">
            <v>Airport EG-502</v>
          </cell>
          <cell r="BM464" t="str">
            <v>No</v>
          </cell>
          <cell r="BN464" t="str">
            <v>No</v>
          </cell>
          <cell r="BO464" t="str">
            <v>CPay-000000003</v>
          </cell>
        </row>
        <row r="465">
          <cell r="B465" t="str">
            <v>243447</v>
          </cell>
          <cell r="C465" t="str">
            <v>151.0000000000000000</v>
          </cell>
          <cell r="E465" t="str">
            <v>Cust</v>
          </cell>
          <cell r="G465" t="str">
            <v>No</v>
          </cell>
          <cell r="H465" t="str">
            <v>1900-01-01 00:00:00</v>
          </cell>
          <cell r="K465" t="str">
            <v>M-P</v>
          </cell>
          <cell r="L465" t="str">
            <v>1653.000000</v>
          </cell>
          <cell r="AL465" t="str">
            <v>243447</v>
          </cell>
          <cell r="BC465" t="str">
            <v>Cust-PP</v>
          </cell>
          <cell r="BD465" t="str">
            <v>1.9743336623889440</v>
          </cell>
          <cell r="BE465" t="str">
            <v>.0000000000000000</v>
          </cell>
          <cell r="BF465" t="str">
            <v>.0000000000000000</v>
          </cell>
          <cell r="BG465" t="str">
            <v>None</v>
          </cell>
          <cell r="BK465" t="str">
            <v>2025-03-19 00:00:00</v>
          </cell>
          <cell r="BL465" t="str">
            <v>Airport EG-503</v>
          </cell>
          <cell r="BM465" t="str">
            <v>No</v>
          </cell>
          <cell r="BN465" t="str">
            <v>No</v>
          </cell>
          <cell r="BO465" t="str">
            <v>CPay-000000003</v>
          </cell>
        </row>
        <row r="466">
          <cell r="B466" t="str">
            <v>243448</v>
          </cell>
          <cell r="C466" t="str">
            <v>152.0000000000000000</v>
          </cell>
          <cell r="E466" t="str">
            <v>Cust</v>
          </cell>
          <cell r="G466" t="str">
            <v>No</v>
          </cell>
          <cell r="H466" t="str">
            <v>1900-01-01 00:00:00</v>
          </cell>
          <cell r="K466" t="str">
            <v>M-P</v>
          </cell>
          <cell r="L466" t="str">
            <v>1140.000000</v>
          </cell>
          <cell r="AL466" t="str">
            <v>243448</v>
          </cell>
          <cell r="BC466" t="str">
            <v>Cust-PP</v>
          </cell>
          <cell r="BD466" t="str">
            <v>1.9743336623889440</v>
          </cell>
          <cell r="BE466" t="str">
            <v>.0000000000000000</v>
          </cell>
          <cell r="BF466" t="str">
            <v>.0000000000000000</v>
          </cell>
          <cell r="BG466" t="str">
            <v>None</v>
          </cell>
          <cell r="BK466" t="str">
            <v>2025-03-19 00:00:00</v>
          </cell>
          <cell r="BL466" t="str">
            <v>Airport EG-504</v>
          </cell>
          <cell r="BM466" t="str">
            <v>No</v>
          </cell>
          <cell r="BN466" t="str">
            <v>No</v>
          </cell>
          <cell r="BO466" t="str">
            <v>CPay-000000003</v>
          </cell>
        </row>
        <row r="467">
          <cell r="B467" t="str">
            <v>243518</v>
          </cell>
          <cell r="C467" t="str">
            <v>153.0000000000000000</v>
          </cell>
          <cell r="E467" t="str">
            <v>Cust</v>
          </cell>
          <cell r="G467" t="str">
            <v>No</v>
          </cell>
          <cell r="H467" t="str">
            <v>1900-01-01 00:00:00</v>
          </cell>
          <cell r="K467" t="str">
            <v>M-P</v>
          </cell>
          <cell r="L467" t="str">
            <v>1653.000000</v>
          </cell>
          <cell r="AL467" t="str">
            <v>243518</v>
          </cell>
          <cell r="BC467" t="str">
            <v>Cust-PP</v>
          </cell>
          <cell r="BD467" t="str">
            <v>1.9743336623889440</v>
          </cell>
          <cell r="BE467" t="str">
            <v>.0000000000000000</v>
          </cell>
          <cell r="BF467" t="str">
            <v>.0000000000000000</v>
          </cell>
          <cell r="BG467" t="str">
            <v>None</v>
          </cell>
          <cell r="BK467" t="str">
            <v>2025-03-19 00:00:00</v>
          </cell>
          <cell r="BL467" t="str">
            <v>Airport EG-497</v>
          </cell>
          <cell r="BM467" t="str">
            <v>No</v>
          </cell>
          <cell r="BN467" t="str">
            <v>No</v>
          </cell>
          <cell r="BO467" t="str">
            <v>CPay-000000003</v>
          </cell>
        </row>
        <row r="468">
          <cell r="B468" t="str">
            <v>407655</v>
          </cell>
          <cell r="C468" t="str">
            <v>154.0000000000000000</v>
          </cell>
          <cell r="E468" t="str">
            <v>Cust</v>
          </cell>
          <cell r="G468" t="str">
            <v>No</v>
          </cell>
          <cell r="H468" t="str">
            <v>1900-01-01 00:00:00</v>
          </cell>
          <cell r="K468" t="str">
            <v>M-P</v>
          </cell>
          <cell r="L468" t="str">
            <v>262.200000</v>
          </cell>
          <cell r="AL468" t="str">
            <v>407655</v>
          </cell>
          <cell r="BC468" t="str">
            <v>Cust-PP</v>
          </cell>
          <cell r="BD468" t="str">
            <v>1.9743336623889440</v>
          </cell>
          <cell r="BE468" t="str">
            <v>.0000000000000000</v>
          </cell>
          <cell r="BF468" t="str">
            <v>.0000000000000000</v>
          </cell>
          <cell r="BG468" t="str">
            <v>None</v>
          </cell>
          <cell r="BK468" t="str">
            <v>2025-03-19 00:00:00</v>
          </cell>
          <cell r="BL468" t="str">
            <v>Airport EG-498</v>
          </cell>
          <cell r="BM468" t="str">
            <v>No</v>
          </cell>
          <cell r="BN468" t="str">
            <v>No</v>
          </cell>
          <cell r="BO468" t="str">
            <v>CPay-000000003</v>
          </cell>
        </row>
        <row r="469">
          <cell r="B469" t="str">
            <v>243406</v>
          </cell>
          <cell r="C469" t="str">
            <v>155.0000000000000000</v>
          </cell>
          <cell r="E469" t="str">
            <v>Cust</v>
          </cell>
          <cell r="G469" t="str">
            <v>No</v>
          </cell>
          <cell r="H469" t="str">
            <v>1900-01-01 00:00:00</v>
          </cell>
          <cell r="K469" t="str">
            <v>M-P</v>
          </cell>
          <cell r="L469" t="str">
            <v>1653.000000</v>
          </cell>
          <cell r="AL469" t="str">
            <v>243406</v>
          </cell>
          <cell r="BC469" t="str">
            <v>Cust-PP</v>
          </cell>
          <cell r="BD469" t="str">
            <v>1.9743336623889440</v>
          </cell>
          <cell r="BE469" t="str">
            <v>.0000000000000000</v>
          </cell>
          <cell r="BF469" t="str">
            <v>.0000000000000000</v>
          </cell>
          <cell r="BG469" t="str">
            <v>None</v>
          </cell>
          <cell r="BK469" t="str">
            <v>2025-03-20 00:00:00</v>
          </cell>
          <cell r="BL469" t="str">
            <v>Airport EG-508</v>
          </cell>
          <cell r="BM469" t="str">
            <v>No</v>
          </cell>
          <cell r="BN469" t="str">
            <v>No</v>
          </cell>
          <cell r="BO469" t="str">
            <v>CPay-000000003</v>
          </cell>
        </row>
        <row r="470">
          <cell r="B470" t="str">
            <v>243407</v>
          </cell>
          <cell r="C470" t="str">
            <v>156.0000000000000000</v>
          </cell>
          <cell r="E470" t="str">
            <v>Cust</v>
          </cell>
          <cell r="G470" t="str">
            <v>No</v>
          </cell>
          <cell r="H470" t="str">
            <v>1900-01-01 00:00:00</v>
          </cell>
          <cell r="K470" t="str">
            <v>M-P</v>
          </cell>
          <cell r="L470" t="str">
            <v>285.000000</v>
          </cell>
          <cell r="AL470" t="str">
            <v>243407</v>
          </cell>
          <cell r="BC470" t="str">
            <v>Cust-PP</v>
          </cell>
          <cell r="BD470" t="str">
            <v>1.9743336623889440</v>
          </cell>
          <cell r="BE470" t="str">
            <v>.0000000000000000</v>
          </cell>
          <cell r="BF470" t="str">
            <v>.0000000000000000</v>
          </cell>
          <cell r="BG470" t="str">
            <v>None</v>
          </cell>
          <cell r="BK470" t="str">
            <v>2025-03-20 00:00:00</v>
          </cell>
          <cell r="BL470" t="str">
            <v>Airport EG-509</v>
          </cell>
          <cell r="BM470" t="str">
            <v>No</v>
          </cell>
          <cell r="BN470" t="str">
            <v>No</v>
          </cell>
          <cell r="BO470" t="str">
            <v>CPay-000000003</v>
          </cell>
        </row>
        <row r="471">
          <cell r="B471" t="str">
            <v>243408</v>
          </cell>
          <cell r="C471" t="str">
            <v>157.0000000000000000</v>
          </cell>
          <cell r="E471" t="str">
            <v>Cust</v>
          </cell>
          <cell r="G471" t="str">
            <v>No</v>
          </cell>
          <cell r="H471" t="str">
            <v>1900-01-01 00:00:00</v>
          </cell>
          <cell r="K471" t="str">
            <v>M-P</v>
          </cell>
          <cell r="L471" t="str">
            <v>1653.000000</v>
          </cell>
          <cell r="AL471" t="str">
            <v>243408</v>
          </cell>
          <cell r="BC471" t="str">
            <v>Cust-PP</v>
          </cell>
          <cell r="BD471" t="str">
            <v>1.9743336623889440</v>
          </cell>
          <cell r="BE471" t="str">
            <v>.0000000000000000</v>
          </cell>
          <cell r="BF471" t="str">
            <v>.0000000000000000</v>
          </cell>
          <cell r="BG471" t="str">
            <v>None</v>
          </cell>
          <cell r="BK471" t="str">
            <v>2025-03-20 00:00:00</v>
          </cell>
          <cell r="BL471" t="str">
            <v>Airport EG-510</v>
          </cell>
          <cell r="BM471" t="str">
            <v>No</v>
          </cell>
          <cell r="BN471" t="str">
            <v>No</v>
          </cell>
          <cell r="BO471" t="str">
            <v>CPay-000000003</v>
          </cell>
        </row>
        <row r="472">
          <cell r="B472" t="str">
            <v>243409</v>
          </cell>
          <cell r="C472" t="str">
            <v>158.0000000000000000</v>
          </cell>
          <cell r="E472" t="str">
            <v>Cust</v>
          </cell>
          <cell r="G472" t="str">
            <v>No</v>
          </cell>
          <cell r="H472" t="str">
            <v>1900-01-01 00:00:00</v>
          </cell>
          <cell r="K472" t="str">
            <v>M-P</v>
          </cell>
          <cell r="L472" t="str">
            <v>456.000000</v>
          </cell>
          <cell r="AL472" t="str">
            <v>243409</v>
          </cell>
          <cell r="BC472" t="str">
            <v>Cust-PP</v>
          </cell>
          <cell r="BD472" t="str">
            <v>1.9743336623889440</v>
          </cell>
          <cell r="BE472" t="str">
            <v>.0000000000000000</v>
          </cell>
          <cell r="BF472" t="str">
            <v>.0000000000000000</v>
          </cell>
          <cell r="BG472" t="str">
            <v>None</v>
          </cell>
          <cell r="BK472" t="str">
            <v>2025-03-20 00:00:00</v>
          </cell>
          <cell r="BL472" t="str">
            <v>Airport EG-511</v>
          </cell>
          <cell r="BM472" t="str">
            <v>No</v>
          </cell>
          <cell r="BN472" t="str">
            <v>No</v>
          </cell>
          <cell r="BO472" t="str">
            <v>CPay-000000003</v>
          </cell>
        </row>
        <row r="473">
          <cell r="B473" t="str">
            <v>243410</v>
          </cell>
          <cell r="C473" t="str">
            <v>159.0000000000000000</v>
          </cell>
          <cell r="E473" t="str">
            <v>Cust</v>
          </cell>
          <cell r="G473" t="str">
            <v>No</v>
          </cell>
          <cell r="H473" t="str">
            <v>1900-01-01 00:00:00</v>
          </cell>
          <cell r="K473" t="str">
            <v>M-P</v>
          </cell>
          <cell r="L473" t="str">
            <v>1653.000000</v>
          </cell>
          <cell r="AL473" t="str">
            <v>243410</v>
          </cell>
          <cell r="BC473" t="str">
            <v>Cust-PP</v>
          </cell>
          <cell r="BD473" t="str">
            <v>1.9743336623889440</v>
          </cell>
          <cell r="BE473" t="str">
            <v>.0000000000000000</v>
          </cell>
          <cell r="BF473" t="str">
            <v>.0000000000000000</v>
          </cell>
          <cell r="BG473" t="str">
            <v>None</v>
          </cell>
          <cell r="BK473" t="str">
            <v>2025-03-20 00:00:00</v>
          </cell>
          <cell r="BL473" t="str">
            <v>Airport EG-512</v>
          </cell>
          <cell r="BM473" t="str">
            <v>No</v>
          </cell>
          <cell r="BN473" t="str">
            <v>No</v>
          </cell>
          <cell r="BO473" t="str">
            <v>CPay-000000003</v>
          </cell>
        </row>
        <row r="474">
          <cell r="B474" t="str">
            <v>243411</v>
          </cell>
          <cell r="C474" t="str">
            <v>160.0000000000000000</v>
          </cell>
          <cell r="E474" t="str">
            <v>Cust</v>
          </cell>
          <cell r="G474" t="str">
            <v>No</v>
          </cell>
          <cell r="H474" t="str">
            <v>1900-01-01 00:00:00</v>
          </cell>
          <cell r="K474" t="str">
            <v>M-P</v>
          </cell>
          <cell r="L474" t="str">
            <v>370.500000</v>
          </cell>
          <cell r="AL474" t="str">
            <v>243411</v>
          </cell>
          <cell r="BC474" t="str">
            <v>Cust-PP</v>
          </cell>
          <cell r="BD474" t="str">
            <v>1.9743336623889440</v>
          </cell>
          <cell r="BE474" t="str">
            <v>.0000000000000000</v>
          </cell>
          <cell r="BF474" t="str">
            <v>.0000000000000000</v>
          </cell>
          <cell r="BG474" t="str">
            <v>None</v>
          </cell>
          <cell r="BK474" t="str">
            <v>2025-03-20 00:00:00</v>
          </cell>
          <cell r="BL474" t="str">
            <v>Airport EG-513</v>
          </cell>
          <cell r="BM474" t="str">
            <v>No</v>
          </cell>
          <cell r="BN474" t="str">
            <v>No</v>
          </cell>
          <cell r="BO474" t="str">
            <v>CPay-000000003</v>
          </cell>
        </row>
        <row r="475">
          <cell r="B475" t="str">
            <v>243468</v>
          </cell>
          <cell r="C475" t="str">
            <v>161.0000000000000000</v>
          </cell>
          <cell r="E475" t="str">
            <v>Cust</v>
          </cell>
          <cell r="G475" t="str">
            <v>No</v>
          </cell>
          <cell r="H475" t="str">
            <v>1900-01-01 00:00:00</v>
          </cell>
          <cell r="K475" t="str">
            <v>M-P</v>
          </cell>
          <cell r="L475" t="str">
            <v>2052.000000</v>
          </cell>
          <cell r="AL475" t="str">
            <v>243468</v>
          </cell>
          <cell r="BC475" t="str">
            <v>Cust-PP</v>
          </cell>
          <cell r="BD475" t="str">
            <v>1.9743336623889440</v>
          </cell>
          <cell r="BE475" t="str">
            <v>.0000000000000000</v>
          </cell>
          <cell r="BF475" t="str">
            <v>.0000000000000000</v>
          </cell>
          <cell r="BG475" t="str">
            <v>None</v>
          </cell>
          <cell r="BK475" t="str">
            <v>2025-03-20 00:00:00</v>
          </cell>
          <cell r="BL475" t="str">
            <v>Airport EG-505</v>
          </cell>
          <cell r="BM475" t="str">
            <v>No</v>
          </cell>
          <cell r="BN475" t="str">
            <v>No</v>
          </cell>
          <cell r="BO475" t="str">
            <v>CPay-000000003</v>
          </cell>
        </row>
        <row r="476">
          <cell r="B476" t="str">
            <v>243469</v>
          </cell>
          <cell r="C476" t="str">
            <v>162.0000000000000000</v>
          </cell>
          <cell r="E476" t="str">
            <v>Cust</v>
          </cell>
          <cell r="G476" t="str">
            <v>No</v>
          </cell>
          <cell r="H476" t="str">
            <v>1900-01-01 00:00:00</v>
          </cell>
          <cell r="K476" t="str">
            <v>M-P</v>
          </cell>
          <cell r="L476" t="str">
            <v>1586.650000</v>
          </cell>
          <cell r="AL476" t="str">
            <v>243469</v>
          </cell>
          <cell r="BC476" t="str">
            <v>Cust-PP</v>
          </cell>
          <cell r="BD476" t="str">
            <v>1.9743336623889440</v>
          </cell>
          <cell r="BE476" t="str">
            <v>.0000000000000000</v>
          </cell>
          <cell r="BF476" t="str">
            <v>.0000000000000000</v>
          </cell>
          <cell r="BG476" t="str">
            <v>None</v>
          </cell>
          <cell r="BK476" t="str">
            <v>2025-03-20 00:00:00</v>
          </cell>
          <cell r="BL476" t="str">
            <v>Airport EG-506</v>
          </cell>
          <cell r="BM476" t="str">
            <v>No</v>
          </cell>
          <cell r="BN476" t="str">
            <v>No</v>
          </cell>
          <cell r="BO476" t="str">
            <v>CPay-000000003</v>
          </cell>
        </row>
        <row r="477">
          <cell r="B477" t="str">
            <v>317325</v>
          </cell>
          <cell r="C477" t="str">
            <v>163.0000000000000000</v>
          </cell>
          <cell r="E477" t="str">
            <v>Cust</v>
          </cell>
          <cell r="G477" t="str">
            <v>No</v>
          </cell>
          <cell r="H477" t="str">
            <v>1900-01-01 00:00:00</v>
          </cell>
          <cell r="K477" t="str">
            <v>M-P</v>
          </cell>
          <cell r="L477" t="str">
            <v>88.150000</v>
          </cell>
          <cell r="AL477" t="str">
            <v>317325</v>
          </cell>
          <cell r="BC477" t="str">
            <v>Cust-PP</v>
          </cell>
          <cell r="BD477" t="str">
            <v>100.0000000000000000</v>
          </cell>
          <cell r="BE477" t="str">
            <v>.0000000000000000</v>
          </cell>
          <cell r="BF477" t="str">
            <v>.0000000000000000</v>
          </cell>
          <cell r="BG477" t="str">
            <v>None</v>
          </cell>
          <cell r="BK477" t="str">
            <v>2025-03-20 00:00:00</v>
          </cell>
          <cell r="BL477" t="str">
            <v>Airport EG-507</v>
          </cell>
          <cell r="BM477" t="str">
            <v>No</v>
          </cell>
          <cell r="BN477" t="str">
            <v>No</v>
          </cell>
          <cell r="BO477" t="str">
            <v>CPay-000000003</v>
          </cell>
        </row>
        <row r="478">
          <cell r="B478" t="str">
            <v>243343</v>
          </cell>
          <cell r="C478" t="str">
            <v>164.0000000000000000</v>
          </cell>
          <cell r="E478" t="str">
            <v>Cust</v>
          </cell>
          <cell r="G478" t="str">
            <v>No</v>
          </cell>
          <cell r="H478" t="str">
            <v>1900-01-01 00:00:00</v>
          </cell>
          <cell r="K478" t="str">
            <v>M-P</v>
          </cell>
          <cell r="L478" t="str">
            <v>1653.000000</v>
          </cell>
          <cell r="AL478" t="str">
            <v>243343</v>
          </cell>
          <cell r="BC478" t="str">
            <v>Cust-PP</v>
          </cell>
          <cell r="BD478" t="str">
            <v>1.9743336623889440</v>
          </cell>
          <cell r="BE478" t="str">
            <v>.0000000000000000</v>
          </cell>
          <cell r="BF478" t="str">
            <v>.0000000000000000</v>
          </cell>
          <cell r="BG478" t="str">
            <v>None</v>
          </cell>
          <cell r="BK478" t="str">
            <v>2025-03-22 00:00:00</v>
          </cell>
          <cell r="BL478" t="str">
            <v>Airport EG-521</v>
          </cell>
          <cell r="BM478" t="str">
            <v>No</v>
          </cell>
          <cell r="BN478" t="str">
            <v>No</v>
          </cell>
          <cell r="BO478" t="str">
            <v>CPay-000000003</v>
          </cell>
        </row>
        <row r="479">
          <cell r="B479" t="str">
            <v>243344</v>
          </cell>
          <cell r="C479" t="str">
            <v>165.0000000000000000</v>
          </cell>
          <cell r="E479" t="str">
            <v>Cust</v>
          </cell>
          <cell r="G479" t="str">
            <v>No</v>
          </cell>
          <cell r="H479" t="str">
            <v>1900-01-01 00:00:00</v>
          </cell>
          <cell r="K479" t="str">
            <v>M-P</v>
          </cell>
          <cell r="L479" t="str">
            <v>367.190000</v>
          </cell>
          <cell r="AL479" t="str">
            <v>243344</v>
          </cell>
          <cell r="BC479" t="str">
            <v>Cust-PP</v>
          </cell>
          <cell r="BD479" t="str">
            <v>1.9743336623889440</v>
          </cell>
          <cell r="BE479" t="str">
            <v>.0000000000000000</v>
          </cell>
          <cell r="BF479" t="str">
            <v>.0000000000000000</v>
          </cell>
          <cell r="BG479" t="str">
            <v>None</v>
          </cell>
          <cell r="BK479" t="str">
            <v>2025-03-22 00:00:00</v>
          </cell>
          <cell r="BL479" t="str">
            <v>Airport EG-522</v>
          </cell>
          <cell r="BM479" t="str">
            <v>No</v>
          </cell>
          <cell r="BN479" t="str">
            <v>No</v>
          </cell>
          <cell r="BO479" t="str">
            <v>CPay-000000003</v>
          </cell>
        </row>
        <row r="480">
          <cell r="B480" t="str">
            <v>243346</v>
          </cell>
          <cell r="C480" t="str">
            <v>166.0000000000000000</v>
          </cell>
          <cell r="E480" t="str">
            <v>Cust</v>
          </cell>
          <cell r="G480" t="str">
            <v>No</v>
          </cell>
          <cell r="H480" t="str">
            <v>1900-01-01 00:00:00</v>
          </cell>
          <cell r="K480" t="str">
            <v>M-P</v>
          </cell>
          <cell r="L480" t="str">
            <v>1653.000000</v>
          </cell>
          <cell r="AL480" t="str">
            <v>243346</v>
          </cell>
          <cell r="BC480" t="str">
            <v>Cust-PP</v>
          </cell>
          <cell r="BD480" t="str">
            <v>1.9743336623889440</v>
          </cell>
          <cell r="BE480" t="str">
            <v>.0000000000000000</v>
          </cell>
          <cell r="BF480" t="str">
            <v>.0000000000000000</v>
          </cell>
          <cell r="BG480" t="str">
            <v>None</v>
          </cell>
          <cell r="BK480" t="str">
            <v>2025-03-22 00:00:00</v>
          </cell>
          <cell r="BL480" t="str">
            <v>Airport EG-523</v>
          </cell>
          <cell r="BM480" t="str">
            <v>No</v>
          </cell>
          <cell r="BN480" t="str">
            <v>No</v>
          </cell>
          <cell r="BO480" t="str">
            <v>CPay-000000003</v>
          </cell>
        </row>
        <row r="481">
          <cell r="B481" t="str">
            <v>243347</v>
          </cell>
          <cell r="C481" t="str">
            <v>167.0000000000000000</v>
          </cell>
          <cell r="E481" t="str">
            <v>Cust</v>
          </cell>
          <cell r="G481" t="str">
            <v>No</v>
          </cell>
          <cell r="H481" t="str">
            <v>1900-01-01 00:00:00</v>
          </cell>
          <cell r="K481" t="str">
            <v>M-P</v>
          </cell>
          <cell r="L481" t="str">
            <v>2122.450000</v>
          </cell>
          <cell r="AL481" t="str">
            <v>243347</v>
          </cell>
          <cell r="BC481" t="str">
            <v>Cust-PP</v>
          </cell>
          <cell r="BD481" t="str">
            <v>1.9743336623889440</v>
          </cell>
          <cell r="BE481" t="str">
            <v>.0000000000000000</v>
          </cell>
          <cell r="BF481" t="str">
            <v>.0000000000000000</v>
          </cell>
          <cell r="BG481" t="str">
            <v>None</v>
          </cell>
          <cell r="BK481" t="str">
            <v>2025-03-22 00:00:00</v>
          </cell>
          <cell r="BL481" t="str">
            <v>Airport EG-524</v>
          </cell>
          <cell r="BM481" t="str">
            <v>No</v>
          </cell>
          <cell r="BN481" t="str">
            <v>No</v>
          </cell>
          <cell r="BO481" t="str">
            <v>CPay-000000003</v>
          </cell>
        </row>
        <row r="482">
          <cell r="B482" t="str">
            <v>243348</v>
          </cell>
          <cell r="C482" t="str">
            <v>168.0000000000000000</v>
          </cell>
          <cell r="E482" t="str">
            <v>Cust</v>
          </cell>
          <cell r="G482" t="str">
            <v>No</v>
          </cell>
          <cell r="H482" t="str">
            <v>1900-01-01 00:00:00</v>
          </cell>
          <cell r="K482" t="str">
            <v>M-P</v>
          </cell>
          <cell r="L482" t="str">
            <v>1653.000000</v>
          </cell>
          <cell r="AL482" t="str">
            <v>243348</v>
          </cell>
          <cell r="BC482" t="str">
            <v>Cust-PP</v>
          </cell>
          <cell r="BD482" t="str">
            <v>1.9743336623889440</v>
          </cell>
          <cell r="BE482" t="str">
            <v>.0000000000000000</v>
          </cell>
          <cell r="BF482" t="str">
            <v>.0000000000000000</v>
          </cell>
          <cell r="BG482" t="str">
            <v>None</v>
          </cell>
          <cell r="BK482" t="str">
            <v>2025-03-22 00:00:00</v>
          </cell>
          <cell r="BL482" t="str">
            <v>Airport EG-525</v>
          </cell>
          <cell r="BM482" t="str">
            <v>No</v>
          </cell>
          <cell r="BN482" t="str">
            <v>No</v>
          </cell>
          <cell r="BO482" t="str">
            <v>CPay-000000003</v>
          </cell>
        </row>
        <row r="483">
          <cell r="B483" t="str">
            <v>243349</v>
          </cell>
          <cell r="C483" t="str">
            <v>169.0000000000000000</v>
          </cell>
          <cell r="E483" t="str">
            <v>Cust</v>
          </cell>
          <cell r="G483" t="str">
            <v>No</v>
          </cell>
          <cell r="H483" t="str">
            <v>1900-01-01 00:00:00</v>
          </cell>
          <cell r="K483" t="str">
            <v>M-P</v>
          </cell>
          <cell r="L483" t="str">
            <v>1487.700000</v>
          </cell>
          <cell r="AL483" t="str">
            <v>243349</v>
          </cell>
          <cell r="BC483" t="str">
            <v>Cust-PP</v>
          </cell>
          <cell r="BD483" t="str">
            <v>1.9743336623889440</v>
          </cell>
          <cell r="BE483" t="str">
            <v>.0000000000000000</v>
          </cell>
          <cell r="BF483" t="str">
            <v>.0000000000000000</v>
          </cell>
          <cell r="BG483" t="str">
            <v>None</v>
          </cell>
          <cell r="BK483" t="str">
            <v>2025-03-22 00:00:00</v>
          </cell>
          <cell r="BL483" t="str">
            <v>Airport EG-526</v>
          </cell>
          <cell r="BM483" t="str">
            <v>No</v>
          </cell>
          <cell r="BN483" t="str">
            <v>No</v>
          </cell>
          <cell r="BO483" t="str">
            <v>CPay-000000003</v>
          </cell>
        </row>
        <row r="484">
          <cell r="B484" t="str">
            <v>243429</v>
          </cell>
          <cell r="C484" t="str">
            <v>170.0000000000000000</v>
          </cell>
          <cell r="E484" t="str">
            <v>Cust</v>
          </cell>
          <cell r="G484" t="str">
            <v>No</v>
          </cell>
          <cell r="H484" t="str">
            <v>1900-01-01 00:00:00</v>
          </cell>
          <cell r="K484" t="str">
            <v>M-P</v>
          </cell>
          <cell r="L484" t="str">
            <v>1653.000000</v>
          </cell>
          <cell r="AL484" t="str">
            <v>243429</v>
          </cell>
          <cell r="BC484" t="str">
            <v>Cust-PP</v>
          </cell>
          <cell r="BD484" t="str">
            <v>1.9743336623889440</v>
          </cell>
          <cell r="BE484" t="str">
            <v>.0000000000000000</v>
          </cell>
          <cell r="BF484" t="str">
            <v>.0000000000000000</v>
          </cell>
          <cell r="BG484" t="str">
            <v>None</v>
          </cell>
          <cell r="BK484" t="str">
            <v>2025-03-22 00:00:00</v>
          </cell>
          <cell r="BL484" t="str">
            <v>Airport EG-514</v>
          </cell>
          <cell r="BM484" t="str">
            <v>No</v>
          </cell>
          <cell r="BN484" t="str">
            <v>No</v>
          </cell>
          <cell r="BO484" t="str">
            <v>CPay-000000003</v>
          </cell>
        </row>
        <row r="485">
          <cell r="B485" t="str">
            <v>243434</v>
          </cell>
          <cell r="C485" t="str">
            <v>171.0000000000000000</v>
          </cell>
          <cell r="E485" t="str">
            <v>Cust</v>
          </cell>
          <cell r="G485" t="str">
            <v>No</v>
          </cell>
          <cell r="H485" t="str">
            <v>1900-01-01 00:00:00</v>
          </cell>
          <cell r="K485" t="str">
            <v>M-P</v>
          </cell>
          <cell r="L485" t="str">
            <v>1653.000000</v>
          </cell>
          <cell r="AL485" t="str">
            <v>243434</v>
          </cell>
          <cell r="BC485" t="str">
            <v>Cust-PP</v>
          </cell>
          <cell r="BD485" t="str">
            <v>1.9743336623889440</v>
          </cell>
          <cell r="BE485" t="str">
            <v>.0000000000000000</v>
          </cell>
          <cell r="BF485" t="str">
            <v>.0000000000000000</v>
          </cell>
          <cell r="BG485" t="str">
            <v>None</v>
          </cell>
          <cell r="BK485" t="str">
            <v>2025-03-22 00:00:00</v>
          </cell>
          <cell r="BL485" t="str">
            <v>Airport EG-519</v>
          </cell>
          <cell r="BM485" t="str">
            <v>No</v>
          </cell>
          <cell r="BN485" t="str">
            <v>No</v>
          </cell>
          <cell r="BO485" t="str">
            <v>CPay-000000003</v>
          </cell>
        </row>
        <row r="486">
          <cell r="B486" t="str">
            <v>243435</v>
          </cell>
          <cell r="C486" t="str">
            <v>172.0000000000000000</v>
          </cell>
          <cell r="E486" t="str">
            <v>Cust</v>
          </cell>
          <cell r="G486" t="str">
            <v>No</v>
          </cell>
          <cell r="H486" t="str">
            <v>1900-01-01 00:00:00</v>
          </cell>
          <cell r="K486" t="str">
            <v>M-P</v>
          </cell>
          <cell r="L486" t="str">
            <v>688.390000</v>
          </cell>
          <cell r="AL486" t="str">
            <v>243435</v>
          </cell>
          <cell r="BC486" t="str">
            <v>Cust-PP</v>
          </cell>
          <cell r="BD486" t="str">
            <v>1.9743336623889440</v>
          </cell>
          <cell r="BE486" t="str">
            <v>.0000000000000000</v>
          </cell>
          <cell r="BF486" t="str">
            <v>.0000000000000000</v>
          </cell>
          <cell r="BG486" t="str">
            <v>None</v>
          </cell>
          <cell r="BK486" t="str">
            <v>2025-03-22 00:00:00</v>
          </cell>
          <cell r="BL486" t="str">
            <v>Airport EG-520</v>
          </cell>
          <cell r="BM486" t="str">
            <v>No</v>
          </cell>
          <cell r="BN486" t="str">
            <v>No</v>
          </cell>
          <cell r="BO486" t="str">
            <v>CPay-000000003</v>
          </cell>
        </row>
        <row r="487">
          <cell r="B487" t="str">
            <v>243361</v>
          </cell>
          <cell r="C487" t="str">
            <v>173.0000000000000000</v>
          </cell>
          <cell r="E487" t="str">
            <v>Cust</v>
          </cell>
          <cell r="G487" t="str">
            <v>No</v>
          </cell>
          <cell r="H487" t="str">
            <v>1900-01-01 00:00:00</v>
          </cell>
          <cell r="K487" t="str">
            <v>M-P</v>
          </cell>
          <cell r="L487" t="str">
            <v>1140.000000</v>
          </cell>
          <cell r="AL487" t="str">
            <v>243361</v>
          </cell>
          <cell r="BC487" t="str">
            <v>Cust-PP</v>
          </cell>
          <cell r="BD487" t="str">
            <v>1.9743336623889440</v>
          </cell>
          <cell r="BE487" t="str">
            <v>.0000000000000000</v>
          </cell>
          <cell r="BF487" t="str">
            <v>.0000000000000000</v>
          </cell>
          <cell r="BG487" t="str">
            <v>None</v>
          </cell>
          <cell r="BK487" t="str">
            <v>2025-03-23 00:00:00</v>
          </cell>
          <cell r="BL487" t="str">
            <v>Airport EG-527</v>
          </cell>
          <cell r="BM487" t="str">
            <v>No</v>
          </cell>
          <cell r="BN487" t="str">
            <v>No</v>
          </cell>
          <cell r="BO487" t="str">
            <v>CPay-000000003</v>
          </cell>
        </row>
        <row r="488">
          <cell r="B488" t="str">
            <v>243362</v>
          </cell>
          <cell r="C488" t="str">
            <v>174.0000000000000000</v>
          </cell>
          <cell r="E488" t="str">
            <v>Cust</v>
          </cell>
          <cell r="G488" t="str">
            <v>No</v>
          </cell>
          <cell r="H488" t="str">
            <v>1900-01-01 00:00:00</v>
          </cell>
          <cell r="K488" t="str">
            <v>M-P</v>
          </cell>
          <cell r="L488" t="str">
            <v>285.000000</v>
          </cell>
          <cell r="AL488" t="str">
            <v>243362</v>
          </cell>
          <cell r="BC488" t="str">
            <v>Cust-PP</v>
          </cell>
          <cell r="BD488" t="str">
            <v>1.9743336623889440</v>
          </cell>
          <cell r="BE488" t="str">
            <v>.0000000000000000</v>
          </cell>
          <cell r="BF488" t="str">
            <v>.0000000000000000</v>
          </cell>
          <cell r="BG488" t="str">
            <v>None</v>
          </cell>
          <cell r="BK488" t="str">
            <v>2025-03-23 00:00:00</v>
          </cell>
          <cell r="BL488" t="str">
            <v>Airport EG-528</v>
          </cell>
          <cell r="BM488" t="str">
            <v>No</v>
          </cell>
          <cell r="BN488" t="str">
            <v>No</v>
          </cell>
          <cell r="BO488" t="str">
            <v>CPay-000000003</v>
          </cell>
        </row>
        <row r="489">
          <cell r="B489" t="str">
            <v>243363</v>
          </cell>
          <cell r="C489" t="str">
            <v>175.0000000000000000</v>
          </cell>
          <cell r="E489" t="str">
            <v>Cust</v>
          </cell>
          <cell r="G489" t="str">
            <v>No</v>
          </cell>
          <cell r="H489" t="str">
            <v>1900-01-01 00:00:00</v>
          </cell>
          <cell r="K489" t="str">
            <v>M-P</v>
          </cell>
          <cell r="L489" t="str">
            <v>1140.000000</v>
          </cell>
          <cell r="AL489" t="str">
            <v>243363</v>
          </cell>
          <cell r="BC489" t="str">
            <v>Cust-PP</v>
          </cell>
          <cell r="BD489" t="str">
            <v>1.9743336623889440</v>
          </cell>
          <cell r="BE489" t="str">
            <v>.0000000000000000</v>
          </cell>
          <cell r="BF489" t="str">
            <v>.0000000000000000</v>
          </cell>
          <cell r="BG489" t="str">
            <v>None</v>
          </cell>
          <cell r="BK489" t="str">
            <v>2025-03-23 00:00:00</v>
          </cell>
          <cell r="BL489" t="str">
            <v>Airport EG-529</v>
          </cell>
          <cell r="BM489" t="str">
            <v>No</v>
          </cell>
          <cell r="BN489" t="str">
            <v>No</v>
          </cell>
          <cell r="BO489" t="str">
            <v>CPay-000000003</v>
          </cell>
        </row>
        <row r="490">
          <cell r="B490" t="str">
            <v>243364</v>
          </cell>
          <cell r="C490" t="str">
            <v>176.0000000000000000</v>
          </cell>
          <cell r="E490" t="str">
            <v>Cust</v>
          </cell>
          <cell r="G490" t="str">
            <v>No</v>
          </cell>
          <cell r="H490" t="str">
            <v>1900-01-01 00:00:00</v>
          </cell>
          <cell r="K490" t="str">
            <v>M-P</v>
          </cell>
          <cell r="L490" t="str">
            <v>199.500000</v>
          </cell>
          <cell r="AL490" t="str">
            <v>243364</v>
          </cell>
          <cell r="BC490" t="str">
            <v>Cust-PP</v>
          </cell>
          <cell r="BD490" t="str">
            <v>1.9743336623889440</v>
          </cell>
          <cell r="BE490" t="str">
            <v>.0000000000000000</v>
          </cell>
          <cell r="BF490" t="str">
            <v>.0000000000000000</v>
          </cell>
          <cell r="BG490" t="str">
            <v>None</v>
          </cell>
          <cell r="BK490" t="str">
            <v>2025-03-23 00:00:00</v>
          </cell>
          <cell r="BL490" t="str">
            <v>Airport EG-530</v>
          </cell>
          <cell r="BM490" t="str">
            <v>No</v>
          </cell>
          <cell r="BN490" t="str">
            <v>No</v>
          </cell>
          <cell r="BO490" t="str">
            <v>CPay-000000003</v>
          </cell>
        </row>
        <row r="491">
          <cell r="B491" t="str">
            <v>243365</v>
          </cell>
          <cell r="C491" t="str">
            <v>177.0000000000000000</v>
          </cell>
          <cell r="E491" t="str">
            <v>Cust</v>
          </cell>
          <cell r="G491" t="str">
            <v>No</v>
          </cell>
          <cell r="H491" t="str">
            <v>1900-01-01 00:00:00</v>
          </cell>
          <cell r="K491" t="str">
            <v>M-P</v>
          </cell>
          <cell r="L491" t="str">
            <v>1000.000000</v>
          </cell>
          <cell r="AL491" t="str">
            <v>243365</v>
          </cell>
          <cell r="BC491" t="str">
            <v>Cust-PP</v>
          </cell>
          <cell r="BD491" t="str">
            <v>1.9743336623889440</v>
          </cell>
          <cell r="BE491" t="str">
            <v>.0000000000000000</v>
          </cell>
          <cell r="BF491" t="str">
            <v>.0000000000000000</v>
          </cell>
          <cell r="BG491" t="str">
            <v>None</v>
          </cell>
          <cell r="BK491" t="str">
            <v>2025-03-23 00:00:00</v>
          </cell>
          <cell r="BL491" t="str">
            <v>Airport EG-531</v>
          </cell>
          <cell r="BM491" t="str">
            <v>No</v>
          </cell>
          <cell r="BN491" t="str">
            <v>No</v>
          </cell>
          <cell r="BO491" t="str">
            <v>CPay-000000003</v>
          </cell>
        </row>
        <row r="492">
          <cell r="B492" t="str">
            <v>243367</v>
          </cell>
          <cell r="C492" t="str">
            <v>178.0000000000000000</v>
          </cell>
          <cell r="E492" t="str">
            <v>Cust</v>
          </cell>
          <cell r="G492" t="str">
            <v>No</v>
          </cell>
          <cell r="H492" t="str">
            <v>1900-01-01 00:00:00</v>
          </cell>
          <cell r="K492" t="str">
            <v>M-P</v>
          </cell>
          <cell r="L492" t="str">
            <v>199.500000</v>
          </cell>
          <cell r="AL492" t="str">
            <v>243367</v>
          </cell>
          <cell r="BC492" t="str">
            <v>Cust-PP</v>
          </cell>
          <cell r="BD492" t="str">
            <v>1.9743336623889440</v>
          </cell>
          <cell r="BE492" t="str">
            <v>.0000000000000000</v>
          </cell>
          <cell r="BF492" t="str">
            <v>.0000000000000000</v>
          </cell>
          <cell r="BG492" t="str">
            <v>None</v>
          </cell>
          <cell r="BK492" t="str">
            <v>2025-03-23 00:00:00</v>
          </cell>
          <cell r="BL492" t="str">
            <v>Airport EG-532</v>
          </cell>
          <cell r="BM492" t="str">
            <v>No</v>
          </cell>
          <cell r="BN492" t="str">
            <v>No</v>
          </cell>
          <cell r="BO492" t="str">
            <v>CPay-000000003</v>
          </cell>
        </row>
        <row r="493">
          <cell r="B493" t="str">
            <v>243369</v>
          </cell>
          <cell r="C493" t="str">
            <v>179.0000000000000000</v>
          </cell>
          <cell r="E493" t="str">
            <v>Cust</v>
          </cell>
          <cell r="G493" t="str">
            <v>No</v>
          </cell>
          <cell r="H493" t="str">
            <v>1900-01-01 00:00:00</v>
          </cell>
          <cell r="K493" t="str">
            <v>M-P</v>
          </cell>
          <cell r="L493" t="str">
            <v>771.780000</v>
          </cell>
          <cell r="AL493" t="str">
            <v>243369</v>
          </cell>
          <cell r="BC493" t="str">
            <v>Cust-PP</v>
          </cell>
          <cell r="BD493" t="str">
            <v>1.9743336623889440</v>
          </cell>
          <cell r="BE493" t="str">
            <v>.0000000000000000</v>
          </cell>
          <cell r="BF493" t="str">
            <v>.0000000000000000</v>
          </cell>
          <cell r="BG493" t="str">
            <v>None</v>
          </cell>
          <cell r="BK493" t="str">
            <v>2025-03-23 00:00:00</v>
          </cell>
          <cell r="BL493" t="str">
            <v>Airport EG-533</v>
          </cell>
          <cell r="BM493" t="str">
            <v>No</v>
          </cell>
          <cell r="BN493" t="str">
            <v>No</v>
          </cell>
          <cell r="BO493" t="str">
            <v>CPay-000000003</v>
          </cell>
        </row>
        <row r="494">
          <cell r="B494" t="str">
            <v>243370</v>
          </cell>
          <cell r="C494" t="str">
            <v>180.0000000000000000</v>
          </cell>
          <cell r="E494" t="str">
            <v>Cust</v>
          </cell>
          <cell r="G494" t="str">
            <v>No</v>
          </cell>
          <cell r="H494" t="str">
            <v>1900-01-01 00:00:00</v>
          </cell>
          <cell r="K494" t="str">
            <v>M-P</v>
          </cell>
          <cell r="L494" t="str">
            <v>2052.000000</v>
          </cell>
          <cell r="AL494" t="str">
            <v>243370</v>
          </cell>
          <cell r="BC494" t="str">
            <v>Cust-PP</v>
          </cell>
          <cell r="BD494" t="str">
            <v>1.9743336623889440</v>
          </cell>
          <cell r="BE494" t="str">
            <v>.0000000000000000</v>
          </cell>
          <cell r="BF494" t="str">
            <v>.0000000000000000</v>
          </cell>
          <cell r="BG494" t="str">
            <v>None</v>
          </cell>
          <cell r="BK494" t="str">
            <v>2025-03-23 00:00:00</v>
          </cell>
          <cell r="BL494" t="str">
            <v>Airport EG-534</v>
          </cell>
          <cell r="BM494" t="str">
            <v>No</v>
          </cell>
          <cell r="BN494" t="str">
            <v>No</v>
          </cell>
          <cell r="BO494" t="str">
            <v>CPay-000000003</v>
          </cell>
        </row>
        <row r="495">
          <cell r="B495" t="str">
            <v>243371</v>
          </cell>
          <cell r="C495" t="str">
            <v>181.0000000000000000</v>
          </cell>
          <cell r="E495" t="str">
            <v>Cust</v>
          </cell>
          <cell r="G495" t="str">
            <v>No</v>
          </cell>
          <cell r="H495" t="str">
            <v>1900-01-01 00:00:00</v>
          </cell>
          <cell r="K495" t="str">
            <v>M-P</v>
          </cell>
          <cell r="L495" t="str">
            <v>2217.760000</v>
          </cell>
          <cell r="AL495" t="str">
            <v>243371</v>
          </cell>
          <cell r="BC495" t="str">
            <v>Cust-PP</v>
          </cell>
          <cell r="BD495" t="str">
            <v>1.9743336623889440</v>
          </cell>
          <cell r="BE495" t="str">
            <v>.0000000000000000</v>
          </cell>
          <cell r="BF495" t="str">
            <v>.0000000000000000</v>
          </cell>
          <cell r="BG495" t="str">
            <v>None</v>
          </cell>
          <cell r="BK495" t="str">
            <v>2025-03-23 00:00:00</v>
          </cell>
          <cell r="BL495" t="str">
            <v>Airport EG-535</v>
          </cell>
          <cell r="BM495" t="str">
            <v>No</v>
          </cell>
          <cell r="BN495" t="str">
            <v>No</v>
          </cell>
          <cell r="BO495" t="str">
            <v>CPay-000000003</v>
          </cell>
        </row>
        <row r="496">
          <cell r="B496" t="str">
            <v>243372</v>
          </cell>
          <cell r="C496" t="str">
            <v>182.0000000000000000</v>
          </cell>
          <cell r="E496" t="str">
            <v>Cust</v>
          </cell>
          <cell r="G496" t="str">
            <v>No</v>
          </cell>
          <cell r="H496" t="str">
            <v>1900-01-01 00:00:00</v>
          </cell>
          <cell r="K496" t="str">
            <v>M-P</v>
          </cell>
          <cell r="L496" t="str">
            <v>2052.000000</v>
          </cell>
          <cell r="AL496" t="str">
            <v>243372</v>
          </cell>
          <cell r="BC496" t="str">
            <v>Cust-PP</v>
          </cell>
          <cell r="BD496" t="str">
            <v>1.9743336623889440</v>
          </cell>
          <cell r="BE496" t="str">
            <v>.0000000000000000</v>
          </cell>
          <cell r="BF496" t="str">
            <v>.0000000000000000</v>
          </cell>
          <cell r="BG496" t="str">
            <v>None</v>
          </cell>
          <cell r="BK496" t="str">
            <v>2025-03-23 00:00:00</v>
          </cell>
          <cell r="BL496" t="str">
            <v>Airport EG-536</v>
          </cell>
          <cell r="BM496" t="str">
            <v>No</v>
          </cell>
          <cell r="BN496" t="str">
            <v>No</v>
          </cell>
          <cell r="BO496" t="str">
            <v>CPay-000000003</v>
          </cell>
        </row>
        <row r="497">
          <cell r="B497" t="str">
            <v>243373</v>
          </cell>
          <cell r="C497" t="str">
            <v>183.0000000000000000</v>
          </cell>
          <cell r="E497" t="str">
            <v>Cust</v>
          </cell>
          <cell r="G497" t="str">
            <v>No</v>
          </cell>
          <cell r="H497" t="str">
            <v>1900-01-01 00:00:00</v>
          </cell>
          <cell r="K497" t="str">
            <v>M-P</v>
          </cell>
          <cell r="L497" t="str">
            <v>262.200000</v>
          </cell>
          <cell r="AL497" t="str">
            <v>243373</v>
          </cell>
          <cell r="BC497" t="str">
            <v>Cust-PP</v>
          </cell>
          <cell r="BD497" t="str">
            <v>1.9743336623889440</v>
          </cell>
          <cell r="BE497" t="str">
            <v>.0000000000000000</v>
          </cell>
          <cell r="BF497" t="str">
            <v>.0000000000000000</v>
          </cell>
          <cell r="BG497" t="str">
            <v>None</v>
          </cell>
          <cell r="BK497" t="str">
            <v>2025-03-23 00:00:00</v>
          </cell>
          <cell r="BL497" t="str">
            <v>Airport EG-537</v>
          </cell>
          <cell r="BM497" t="str">
            <v>No</v>
          </cell>
          <cell r="BN497" t="str">
            <v>No</v>
          </cell>
          <cell r="BO497" t="str">
            <v>CPay-000000003</v>
          </cell>
        </row>
        <row r="498">
          <cell r="B498" t="str">
            <v>243379</v>
          </cell>
          <cell r="C498" t="str">
            <v>184.0000000000000000</v>
          </cell>
          <cell r="E498" t="str">
            <v>Cust</v>
          </cell>
          <cell r="G498" t="str">
            <v>No</v>
          </cell>
          <cell r="H498" t="str">
            <v>1900-01-01 00:00:00</v>
          </cell>
          <cell r="K498" t="str">
            <v>M-P</v>
          </cell>
          <cell r="L498" t="str">
            <v>1653.000000</v>
          </cell>
          <cell r="AL498" t="str">
            <v>243379</v>
          </cell>
          <cell r="BC498" t="str">
            <v>Cust-PP</v>
          </cell>
          <cell r="BD498" t="str">
            <v>1.9743336623889440</v>
          </cell>
          <cell r="BE498" t="str">
            <v>.0000000000000000</v>
          </cell>
          <cell r="BF498" t="str">
            <v>.0000000000000000</v>
          </cell>
          <cell r="BG498" t="str">
            <v>None</v>
          </cell>
          <cell r="BK498" t="str">
            <v>2025-03-23 00:00:00</v>
          </cell>
          <cell r="BL498" t="str">
            <v>Airport EG-538</v>
          </cell>
          <cell r="BM498" t="str">
            <v>No</v>
          </cell>
          <cell r="BN498" t="str">
            <v>No</v>
          </cell>
          <cell r="BO498" t="str">
            <v>CPay-000000003</v>
          </cell>
        </row>
        <row r="499">
          <cell r="B499" t="str">
            <v>243380</v>
          </cell>
          <cell r="C499" t="str">
            <v>185.0000000000000000</v>
          </cell>
          <cell r="E499" t="str">
            <v>Cust</v>
          </cell>
          <cell r="G499" t="str">
            <v>No</v>
          </cell>
          <cell r="H499" t="str">
            <v>1900-01-01 00:00:00</v>
          </cell>
          <cell r="K499" t="str">
            <v>M-P</v>
          </cell>
          <cell r="L499" t="str">
            <v>285.000000</v>
          </cell>
          <cell r="AL499" t="str">
            <v>243380</v>
          </cell>
          <cell r="BC499" t="str">
            <v>Cust-PP</v>
          </cell>
          <cell r="BD499" t="str">
            <v>1.9743336623889440</v>
          </cell>
          <cell r="BE499" t="str">
            <v>.0000000000000000</v>
          </cell>
          <cell r="BF499" t="str">
            <v>.0000000000000000</v>
          </cell>
          <cell r="BG499" t="str">
            <v>None</v>
          </cell>
          <cell r="BK499" t="str">
            <v>2025-03-23 00:00:00</v>
          </cell>
          <cell r="BL499" t="str">
            <v>Airport EG-539</v>
          </cell>
          <cell r="BM499" t="str">
            <v>No</v>
          </cell>
          <cell r="BN499" t="str">
            <v>No</v>
          </cell>
          <cell r="BO499" t="str">
            <v>CPay-000000003</v>
          </cell>
        </row>
        <row r="500">
          <cell r="B500" t="str">
            <v>243304</v>
          </cell>
          <cell r="C500" t="str">
            <v>186.0000000000000000</v>
          </cell>
          <cell r="E500" t="str">
            <v>Cust</v>
          </cell>
          <cell r="G500" t="str">
            <v>No</v>
          </cell>
          <cell r="H500" t="str">
            <v>1900-01-01 00:00:00</v>
          </cell>
          <cell r="K500" t="str">
            <v>M-P</v>
          </cell>
          <cell r="L500" t="str">
            <v>1653.000000</v>
          </cell>
          <cell r="AL500" t="str">
            <v>243304</v>
          </cell>
          <cell r="BC500" t="str">
            <v>Cust-PP</v>
          </cell>
          <cell r="BD500" t="str">
            <v>1.9743336623889440</v>
          </cell>
          <cell r="BE500" t="str">
            <v>.0000000000000000</v>
          </cell>
          <cell r="BF500" t="str">
            <v>.0000000000000000</v>
          </cell>
          <cell r="BG500" t="str">
            <v>None</v>
          </cell>
          <cell r="BK500" t="str">
            <v>2025-03-24 00:00:00</v>
          </cell>
          <cell r="BL500" t="str">
            <v>Airport EG-544</v>
          </cell>
          <cell r="BM500" t="str">
            <v>No</v>
          </cell>
          <cell r="BN500" t="str">
            <v>No</v>
          </cell>
          <cell r="BO500" t="str">
            <v>CPay-000000003</v>
          </cell>
        </row>
        <row r="501">
          <cell r="B501" t="str">
            <v>243305</v>
          </cell>
          <cell r="C501" t="str">
            <v>187.0000000000000000</v>
          </cell>
          <cell r="E501" t="str">
            <v>Cust</v>
          </cell>
          <cell r="G501" t="str">
            <v>No</v>
          </cell>
          <cell r="H501" t="str">
            <v>1900-01-01 00:00:00</v>
          </cell>
          <cell r="K501" t="str">
            <v>M-P</v>
          </cell>
          <cell r="L501" t="str">
            <v>703.380000</v>
          </cell>
          <cell r="AL501" t="str">
            <v>243305</v>
          </cell>
          <cell r="BC501" t="str">
            <v>Cust-PP</v>
          </cell>
          <cell r="BD501" t="str">
            <v>1.9743336623889440</v>
          </cell>
          <cell r="BE501" t="str">
            <v>.0000000000000000</v>
          </cell>
          <cell r="BF501" t="str">
            <v>.0000000000000000</v>
          </cell>
          <cell r="BG501" t="str">
            <v>None</v>
          </cell>
          <cell r="BK501" t="str">
            <v>2025-03-24 00:00:00</v>
          </cell>
          <cell r="BL501" t="str">
            <v>Airport EG-545</v>
          </cell>
          <cell r="BM501" t="str">
            <v>No</v>
          </cell>
          <cell r="BN501" t="str">
            <v>No</v>
          </cell>
          <cell r="BO501" t="str">
            <v>CPay-000000003</v>
          </cell>
        </row>
        <row r="502">
          <cell r="B502" t="str">
            <v>243313</v>
          </cell>
          <cell r="C502" t="str">
            <v>188.0000000000000000</v>
          </cell>
          <cell r="E502" t="str">
            <v>Cust</v>
          </cell>
          <cell r="G502" t="str">
            <v>No</v>
          </cell>
          <cell r="H502" t="str">
            <v>1900-01-01 00:00:00</v>
          </cell>
          <cell r="K502" t="str">
            <v>M-P</v>
          </cell>
          <cell r="L502" t="str">
            <v>1653.000000</v>
          </cell>
          <cell r="AL502" t="str">
            <v>243313</v>
          </cell>
          <cell r="BC502" t="str">
            <v>Cust-PP</v>
          </cell>
          <cell r="BD502" t="str">
            <v>1.9743336623889440</v>
          </cell>
          <cell r="BE502" t="str">
            <v>.0000000000000000</v>
          </cell>
          <cell r="BF502" t="str">
            <v>.0000000000000000</v>
          </cell>
          <cell r="BG502" t="str">
            <v>None</v>
          </cell>
          <cell r="BK502" t="str">
            <v>2025-03-24 00:00:00</v>
          </cell>
          <cell r="BL502" t="str">
            <v>Airport EG-546</v>
          </cell>
          <cell r="BM502" t="str">
            <v>No</v>
          </cell>
          <cell r="BN502" t="str">
            <v>No</v>
          </cell>
          <cell r="BO502" t="str">
            <v>CPay-000000003</v>
          </cell>
        </row>
        <row r="503">
          <cell r="B503" t="str">
            <v>243314</v>
          </cell>
          <cell r="C503" t="str">
            <v>189.0000000000000000</v>
          </cell>
          <cell r="E503" t="str">
            <v>Cust</v>
          </cell>
          <cell r="G503" t="str">
            <v>No</v>
          </cell>
          <cell r="H503" t="str">
            <v>1900-01-01 00:00:00</v>
          </cell>
          <cell r="K503" t="str">
            <v>M-P</v>
          </cell>
          <cell r="L503" t="str">
            <v>712.500000</v>
          </cell>
          <cell r="AL503" t="str">
            <v>243314</v>
          </cell>
          <cell r="BC503" t="str">
            <v>Cust-PP</v>
          </cell>
          <cell r="BD503" t="str">
            <v>1.9743336623889440</v>
          </cell>
          <cell r="BE503" t="str">
            <v>.0000000000000000</v>
          </cell>
          <cell r="BF503" t="str">
            <v>.0000000000000000</v>
          </cell>
          <cell r="BG503" t="str">
            <v>None</v>
          </cell>
          <cell r="BK503" t="str">
            <v>2025-03-24 00:00:00</v>
          </cell>
          <cell r="BL503" t="str">
            <v>Airport EG-547</v>
          </cell>
          <cell r="BM503" t="str">
            <v>No</v>
          </cell>
          <cell r="BN503" t="str">
            <v>No</v>
          </cell>
          <cell r="BO503" t="str">
            <v>CPay-000000003</v>
          </cell>
        </row>
        <row r="504">
          <cell r="B504" t="str">
            <v>243321</v>
          </cell>
          <cell r="C504" t="str">
            <v>190.0000000000000000</v>
          </cell>
          <cell r="E504" t="str">
            <v>Cust</v>
          </cell>
          <cell r="G504" t="str">
            <v>No</v>
          </cell>
          <cell r="H504" t="str">
            <v>1900-01-01 00:00:00</v>
          </cell>
          <cell r="K504" t="str">
            <v>M-P</v>
          </cell>
          <cell r="L504" t="str">
            <v>2052.000000</v>
          </cell>
          <cell r="AL504" t="str">
            <v>243321</v>
          </cell>
          <cell r="BC504" t="str">
            <v>Cust-PP</v>
          </cell>
          <cell r="BD504" t="str">
            <v>1.9743336623889440</v>
          </cell>
          <cell r="BE504" t="str">
            <v>.0000000000000000</v>
          </cell>
          <cell r="BF504" t="str">
            <v>.0000000000000000</v>
          </cell>
          <cell r="BG504" t="str">
            <v>None</v>
          </cell>
          <cell r="BK504" t="str">
            <v>2025-03-24 00:00:00</v>
          </cell>
          <cell r="BL504" t="str">
            <v>Airport EG-548</v>
          </cell>
          <cell r="BM504" t="str">
            <v>No</v>
          </cell>
          <cell r="BN504" t="str">
            <v>No</v>
          </cell>
          <cell r="BO504" t="str">
            <v>CPay-000000003</v>
          </cell>
        </row>
        <row r="505">
          <cell r="B505" t="str">
            <v>243322</v>
          </cell>
          <cell r="C505" t="str">
            <v>191.0000000000000000</v>
          </cell>
          <cell r="E505" t="str">
            <v>Cust</v>
          </cell>
          <cell r="G505" t="str">
            <v>No</v>
          </cell>
          <cell r="H505" t="str">
            <v>1900-01-01 00:00:00</v>
          </cell>
          <cell r="K505" t="str">
            <v>M-P</v>
          </cell>
          <cell r="L505" t="str">
            <v>1938.000000</v>
          </cell>
          <cell r="AL505" t="str">
            <v>243322</v>
          </cell>
          <cell r="BC505" t="str">
            <v>Cust-PP</v>
          </cell>
          <cell r="BD505" t="str">
            <v>1.9743336623889440</v>
          </cell>
          <cell r="BE505" t="str">
            <v>.0000000000000000</v>
          </cell>
          <cell r="BF505" t="str">
            <v>.0000000000000000</v>
          </cell>
          <cell r="BG505" t="str">
            <v>None</v>
          </cell>
          <cell r="BK505" t="str">
            <v>2025-03-24 00:00:00</v>
          </cell>
          <cell r="BL505" t="str">
            <v>Airport EG-549</v>
          </cell>
          <cell r="BM505" t="str">
            <v>No</v>
          </cell>
          <cell r="BN505" t="str">
            <v>No</v>
          </cell>
          <cell r="BO505" t="str">
            <v>CPay-000000003</v>
          </cell>
        </row>
        <row r="506">
          <cell r="B506" t="str">
            <v>243325</v>
          </cell>
          <cell r="C506" t="str">
            <v>192.0000000000000000</v>
          </cell>
          <cell r="E506" t="str">
            <v>Cust</v>
          </cell>
          <cell r="G506" t="str">
            <v>No</v>
          </cell>
          <cell r="H506" t="str">
            <v>1900-01-01 00:00:00</v>
          </cell>
          <cell r="K506" t="str">
            <v>M-P</v>
          </cell>
          <cell r="L506" t="str">
            <v>1653.000000</v>
          </cell>
          <cell r="AL506" t="str">
            <v>243325</v>
          </cell>
          <cell r="BC506" t="str">
            <v>Cust-PP</v>
          </cell>
          <cell r="BD506" t="str">
            <v>1.9743336623889440</v>
          </cell>
          <cell r="BE506" t="str">
            <v>.0000000000000000</v>
          </cell>
          <cell r="BF506" t="str">
            <v>.0000000000000000</v>
          </cell>
          <cell r="BG506" t="str">
            <v>None</v>
          </cell>
          <cell r="BK506" t="str">
            <v>2025-03-24 00:00:00</v>
          </cell>
          <cell r="BL506" t="str">
            <v>Airport EG-550</v>
          </cell>
          <cell r="BM506" t="str">
            <v>No</v>
          </cell>
          <cell r="BN506" t="str">
            <v>No</v>
          </cell>
          <cell r="BO506" t="str">
            <v>CPay-000000003</v>
          </cell>
        </row>
        <row r="507">
          <cell r="B507" t="str">
            <v>243326</v>
          </cell>
          <cell r="C507" t="str">
            <v>193.0000000000000000</v>
          </cell>
          <cell r="E507" t="str">
            <v>Cust</v>
          </cell>
          <cell r="G507" t="str">
            <v>No</v>
          </cell>
          <cell r="H507" t="str">
            <v>1900-01-01 00:00:00</v>
          </cell>
          <cell r="K507" t="str">
            <v>M-P</v>
          </cell>
          <cell r="L507" t="str">
            <v>798.000000</v>
          </cell>
          <cell r="AL507" t="str">
            <v>243326</v>
          </cell>
          <cell r="BC507" t="str">
            <v>Cust-PP</v>
          </cell>
          <cell r="BD507" t="str">
            <v>1.9743336623889440</v>
          </cell>
          <cell r="BE507" t="str">
            <v>.0000000000000000</v>
          </cell>
          <cell r="BF507" t="str">
            <v>.0000000000000000</v>
          </cell>
          <cell r="BG507" t="str">
            <v>None</v>
          </cell>
          <cell r="BK507" t="str">
            <v>2025-03-24 00:00:00</v>
          </cell>
          <cell r="BL507" t="str">
            <v>Airport EG-551</v>
          </cell>
          <cell r="BM507" t="str">
            <v>No</v>
          </cell>
          <cell r="BN507" t="str">
            <v>No</v>
          </cell>
          <cell r="BO507" t="str">
            <v>CPay-000000003</v>
          </cell>
        </row>
        <row r="508">
          <cell r="B508" t="str">
            <v>243328</v>
          </cell>
          <cell r="C508" t="str">
            <v>194.0000000000000000</v>
          </cell>
          <cell r="E508" t="str">
            <v>Cust</v>
          </cell>
          <cell r="G508" t="str">
            <v>No</v>
          </cell>
          <cell r="H508" t="str">
            <v>1900-01-01 00:00:00</v>
          </cell>
          <cell r="K508" t="str">
            <v>M-P</v>
          </cell>
          <cell r="L508" t="str">
            <v>1653.000000</v>
          </cell>
          <cell r="AL508" t="str">
            <v>243328</v>
          </cell>
          <cell r="BC508" t="str">
            <v>Cust-PP</v>
          </cell>
          <cell r="BD508" t="str">
            <v>1.9743336623889440</v>
          </cell>
          <cell r="BE508" t="str">
            <v>.0000000000000000</v>
          </cell>
          <cell r="BF508" t="str">
            <v>.0000000000000000</v>
          </cell>
          <cell r="BG508" t="str">
            <v>None</v>
          </cell>
          <cell r="BK508" t="str">
            <v>2025-03-24 00:00:00</v>
          </cell>
          <cell r="BL508" t="str">
            <v>Airport EG-552</v>
          </cell>
          <cell r="BM508" t="str">
            <v>No</v>
          </cell>
          <cell r="BN508" t="str">
            <v>No</v>
          </cell>
          <cell r="BO508" t="str">
            <v>CPay-000000003</v>
          </cell>
        </row>
        <row r="509">
          <cell r="B509" t="str">
            <v>243330</v>
          </cell>
          <cell r="C509" t="str">
            <v>195.0000000000000000</v>
          </cell>
          <cell r="E509" t="str">
            <v>Cust</v>
          </cell>
          <cell r="G509" t="str">
            <v>No</v>
          </cell>
          <cell r="H509" t="str">
            <v>1900-01-01 00:00:00</v>
          </cell>
          <cell r="K509" t="str">
            <v>M-P</v>
          </cell>
          <cell r="L509" t="str">
            <v>456.000000</v>
          </cell>
          <cell r="AL509" t="str">
            <v>243330</v>
          </cell>
          <cell r="BC509" t="str">
            <v>Cust-PP</v>
          </cell>
          <cell r="BD509" t="str">
            <v>1.9743336623889440</v>
          </cell>
          <cell r="BE509" t="str">
            <v>.0000000000000000</v>
          </cell>
          <cell r="BF509" t="str">
            <v>.0000000000000000</v>
          </cell>
          <cell r="BG509" t="str">
            <v>None</v>
          </cell>
          <cell r="BK509" t="str">
            <v>2025-03-24 00:00:00</v>
          </cell>
          <cell r="BL509" t="str">
            <v>Airport EG-553</v>
          </cell>
          <cell r="BM509" t="str">
            <v>No</v>
          </cell>
          <cell r="BN509" t="str">
            <v>No</v>
          </cell>
          <cell r="BO509" t="str">
            <v>CPay-000000003</v>
          </cell>
        </row>
        <row r="510">
          <cell r="B510" t="str">
            <v>243331</v>
          </cell>
          <cell r="C510" t="str">
            <v>196.0000000000000000</v>
          </cell>
          <cell r="E510" t="str">
            <v>Cust</v>
          </cell>
          <cell r="G510" t="str">
            <v>No</v>
          </cell>
          <cell r="H510" t="str">
            <v>1900-01-01 00:00:00</v>
          </cell>
          <cell r="K510" t="str">
            <v>M-P</v>
          </cell>
          <cell r="L510" t="str">
            <v>1653.000000</v>
          </cell>
          <cell r="AL510" t="str">
            <v>243331</v>
          </cell>
          <cell r="BC510" t="str">
            <v>Cust-PP</v>
          </cell>
          <cell r="BD510" t="str">
            <v>1.9743336623889440</v>
          </cell>
          <cell r="BE510" t="str">
            <v>.0000000000000000</v>
          </cell>
          <cell r="BF510" t="str">
            <v>.0000000000000000</v>
          </cell>
          <cell r="BG510" t="str">
            <v>None</v>
          </cell>
          <cell r="BK510" t="str">
            <v>2025-03-24 00:00:00</v>
          </cell>
          <cell r="BL510" t="str">
            <v>Airport EG-554</v>
          </cell>
          <cell r="BM510" t="str">
            <v>No</v>
          </cell>
          <cell r="BN510" t="str">
            <v>No</v>
          </cell>
          <cell r="BO510" t="str">
            <v>CPay-000000003</v>
          </cell>
        </row>
        <row r="511">
          <cell r="B511" t="str">
            <v>243332</v>
          </cell>
          <cell r="C511" t="str">
            <v>197.0000000000000000</v>
          </cell>
          <cell r="E511" t="str">
            <v>Cust</v>
          </cell>
          <cell r="G511" t="str">
            <v>No</v>
          </cell>
          <cell r="H511" t="str">
            <v>1900-01-01 00:00:00</v>
          </cell>
          <cell r="K511" t="str">
            <v>M-P</v>
          </cell>
          <cell r="L511" t="str">
            <v>1386.010000</v>
          </cell>
          <cell r="AL511" t="str">
            <v>243332</v>
          </cell>
          <cell r="BC511" t="str">
            <v>Cust-PP</v>
          </cell>
          <cell r="BD511" t="str">
            <v>1.9743336623889440</v>
          </cell>
          <cell r="BE511" t="str">
            <v>.0000000000000000</v>
          </cell>
          <cell r="BF511" t="str">
            <v>.0000000000000000</v>
          </cell>
          <cell r="BG511" t="str">
            <v>None</v>
          </cell>
          <cell r="BK511" t="str">
            <v>2025-03-24 00:00:00</v>
          </cell>
          <cell r="BL511" t="str">
            <v>Airport EG-555</v>
          </cell>
          <cell r="BM511" t="str">
            <v>No</v>
          </cell>
          <cell r="BN511" t="str">
            <v>No</v>
          </cell>
          <cell r="BO511" t="str">
            <v>CPay-000000003</v>
          </cell>
        </row>
        <row r="512">
          <cell r="B512" t="str">
            <v>243384</v>
          </cell>
          <cell r="C512" t="str">
            <v>198.0000000000000000</v>
          </cell>
          <cell r="E512" t="str">
            <v>Cust</v>
          </cell>
          <cell r="G512" t="str">
            <v>No</v>
          </cell>
          <cell r="H512" t="str">
            <v>1900-01-01 00:00:00</v>
          </cell>
          <cell r="K512" t="str">
            <v>M-P</v>
          </cell>
          <cell r="L512" t="str">
            <v>1653.000000</v>
          </cell>
          <cell r="AL512" t="str">
            <v>243384</v>
          </cell>
          <cell r="BC512" t="str">
            <v>Cust-PP</v>
          </cell>
          <cell r="BD512" t="str">
            <v>1.9743336623889440</v>
          </cell>
          <cell r="BE512" t="str">
            <v>.0000000000000000</v>
          </cell>
          <cell r="BF512" t="str">
            <v>.0000000000000000</v>
          </cell>
          <cell r="BG512" t="str">
            <v>None</v>
          </cell>
          <cell r="BK512" t="str">
            <v>2025-03-24 00:00:00</v>
          </cell>
          <cell r="BL512" t="str">
            <v>Airport EG-542</v>
          </cell>
          <cell r="BM512" t="str">
            <v>No</v>
          </cell>
          <cell r="BN512" t="str">
            <v>No</v>
          </cell>
          <cell r="BO512" t="str">
            <v>CPay-000000003</v>
          </cell>
        </row>
        <row r="513">
          <cell r="B513" t="str">
            <v>243385</v>
          </cell>
          <cell r="C513" t="str">
            <v>199.0000000000000000</v>
          </cell>
          <cell r="E513" t="str">
            <v>Cust</v>
          </cell>
          <cell r="G513" t="str">
            <v>No</v>
          </cell>
          <cell r="H513" t="str">
            <v>1900-01-01 00:00:00</v>
          </cell>
          <cell r="K513" t="str">
            <v>M-P</v>
          </cell>
          <cell r="L513" t="str">
            <v>199.500000</v>
          </cell>
          <cell r="AL513" t="str">
            <v>243385</v>
          </cell>
          <cell r="BC513" t="str">
            <v>Cust-PP</v>
          </cell>
          <cell r="BD513" t="str">
            <v>1.9743336623889440</v>
          </cell>
          <cell r="BE513" t="str">
            <v>.0000000000000000</v>
          </cell>
          <cell r="BF513" t="str">
            <v>.0000000000000000</v>
          </cell>
          <cell r="BG513" t="str">
            <v>None</v>
          </cell>
          <cell r="BK513" t="str">
            <v>2025-03-24 00:00:00</v>
          </cell>
          <cell r="BL513" t="str">
            <v>Airport EG-543</v>
          </cell>
          <cell r="BM513" t="str">
            <v>No</v>
          </cell>
          <cell r="BN513" t="str">
            <v>No</v>
          </cell>
          <cell r="BO513" t="str">
            <v>CPay-000000003</v>
          </cell>
        </row>
        <row r="514">
          <cell r="B514" t="str">
            <v>243156</v>
          </cell>
          <cell r="C514" t="str">
            <v>200.0000000000000000</v>
          </cell>
          <cell r="E514" t="str">
            <v>Cust</v>
          </cell>
          <cell r="G514" t="str">
            <v>No</v>
          </cell>
          <cell r="H514" t="str">
            <v>1900-01-01 00:00:00</v>
          </cell>
          <cell r="K514" t="str">
            <v>M-P</v>
          </cell>
          <cell r="L514" t="str">
            <v>1653.000000</v>
          </cell>
          <cell r="AL514" t="str">
            <v>243156</v>
          </cell>
          <cell r="BC514" t="str">
            <v>Cust-PP</v>
          </cell>
          <cell r="BD514" t="str">
            <v>1.9743336623889440</v>
          </cell>
          <cell r="BE514" t="str">
            <v>.0000000000000000</v>
          </cell>
          <cell r="BF514" t="str">
            <v>.0000000000000000</v>
          </cell>
          <cell r="BG514" t="str">
            <v>None</v>
          </cell>
          <cell r="BK514" t="str">
            <v>2025-03-25 00:00:00</v>
          </cell>
          <cell r="BL514" t="str">
            <v>Airport EG-557</v>
          </cell>
          <cell r="BM514" t="str">
            <v>No</v>
          </cell>
          <cell r="BN514" t="str">
            <v>No</v>
          </cell>
          <cell r="BO514" t="str">
            <v>CPay-000000003</v>
          </cell>
        </row>
        <row r="515">
          <cell r="B515" t="str">
            <v>243157</v>
          </cell>
          <cell r="C515" t="str">
            <v>201.0000000000000000</v>
          </cell>
          <cell r="E515" t="str">
            <v>Cust</v>
          </cell>
          <cell r="G515" t="str">
            <v>No</v>
          </cell>
          <cell r="H515" t="str">
            <v>1900-01-01 00:00:00</v>
          </cell>
          <cell r="K515" t="str">
            <v>M-P</v>
          </cell>
          <cell r="L515" t="str">
            <v>1095.540000</v>
          </cell>
          <cell r="AL515" t="str">
            <v>243157</v>
          </cell>
          <cell r="BC515" t="str">
            <v>Cust-PP</v>
          </cell>
          <cell r="BD515" t="str">
            <v>1.9743336623889440</v>
          </cell>
          <cell r="BE515" t="str">
            <v>.0000000000000000</v>
          </cell>
          <cell r="BF515" t="str">
            <v>.0000000000000000</v>
          </cell>
          <cell r="BG515" t="str">
            <v>None</v>
          </cell>
          <cell r="BK515" t="str">
            <v>2025-03-25 00:00:00</v>
          </cell>
          <cell r="BL515" t="str">
            <v>Airport EG-558</v>
          </cell>
          <cell r="BM515" t="str">
            <v>No</v>
          </cell>
          <cell r="BN515" t="str">
            <v>No</v>
          </cell>
          <cell r="BO515" t="str">
            <v>CPay-000000003</v>
          </cell>
        </row>
        <row r="516">
          <cell r="B516" t="str">
            <v>243161</v>
          </cell>
          <cell r="C516" t="str">
            <v>202.0000000000000000</v>
          </cell>
          <cell r="E516" t="str">
            <v>Cust</v>
          </cell>
          <cell r="G516" t="str">
            <v>No</v>
          </cell>
          <cell r="H516" t="str">
            <v>1900-01-01 00:00:00</v>
          </cell>
          <cell r="K516" t="str">
            <v>M-P</v>
          </cell>
          <cell r="L516" t="str">
            <v>1653.000000</v>
          </cell>
          <cell r="AL516" t="str">
            <v>243161</v>
          </cell>
          <cell r="BC516" t="str">
            <v>Cust-PP</v>
          </cell>
          <cell r="BD516" t="str">
            <v>1.9743336623889440</v>
          </cell>
          <cell r="BE516" t="str">
            <v>.0000000000000000</v>
          </cell>
          <cell r="BF516" t="str">
            <v>.0000000000000000</v>
          </cell>
          <cell r="BG516" t="str">
            <v>None</v>
          </cell>
          <cell r="BK516" t="str">
            <v>2025-03-25 00:00:00</v>
          </cell>
          <cell r="BL516" t="str">
            <v>Airport EG-560</v>
          </cell>
          <cell r="BM516" t="str">
            <v>No</v>
          </cell>
          <cell r="BN516" t="str">
            <v>No</v>
          </cell>
          <cell r="BO516" t="str">
            <v>CPay-000000003</v>
          </cell>
        </row>
        <row r="517">
          <cell r="B517" t="str">
            <v>243162</v>
          </cell>
          <cell r="C517" t="str">
            <v>203.0000000000000000</v>
          </cell>
          <cell r="E517" t="str">
            <v>Cust</v>
          </cell>
          <cell r="G517" t="str">
            <v>No</v>
          </cell>
          <cell r="H517" t="str">
            <v>1900-01-01 00:00:00</v>
          </cell>
          <cell r="K517" t="str">
            <v>M-P</v>
          </cell>
          <cell r="L517" t="str">
            <v>1710.000000</v>
          </cell>
          <cell r="AL517" t="str">
            <v>243162</v>
          </cell>
          <cell r="BC517" t="str">
            <v>Cust-PP</v>
          </cell>
          <cell r="BD517" t="str">
            <v>1.9743336623889440</v>
          </cell>
          <cell r="BE517" t="str">
            <v>.0000000000000000</v>
          </cell>
          <cell r="BF517" t="str">
            <v>.0000000000000000</v>
          </cell>
          <cell r="BG517" t="str">
            <v>None</v>
          </cell>
          <cell r="BK517" t="str">
            <v>2025-03-25 00:00:00</v>
          </cell>
          <cell r="BL517" t="str">
            <v>Airport EG-561</v>
          </cell>
          <cell r="BM517" t="str">
            <v>No</v>
          </cell>
          <cell r="BN517" t="str">
            <v>No</v>
          </cell>
          <cell r="BO517" t="str">
            <v>CPay-000000003</v>
          </cell>
        </row>
        <row r="518">
          <cell r="B518" t="str">
            <v>317327</v>
          </cell>
          <cell r="C518" t="str">
            <v>204.0000000000000000</v>
          </cell>
          <cell r="E518" t="str">
            <v>Cust</v>
          </cell>
          <cell r="G518" t="str">
            <v>No</v>
          </cell>
          <cell r="H518" t="str">
            <v>1900-01-01 00:00:00</v>
          </cell>
          <cell r="K518" t="str">
            <v>M-P</v>
          </cell>
          <cell r="L518" t="str">
            <v>1653.000000</v>
          </cell>
          <cell r="AL518" t="str">
            <v>317327</v>
          </cell>
          <cell r="BC518" t="str">
            <v>Cust-PP</v>
          </cell>
          <cell r="BD518" t="str">
            <v>1.9743336623889440</v>
          </cell>
          <cell r="BE518" t="str">
            <v>.0000000000000000</v>
          </cell>
          <cell r="BF518" t="str">
            <v>.0000000000000000</v>
          </cell>
          <cell r="BG518" t="str">
            <v>None</v>
          </cell>
          <cell r="BK518" t="str">
            <v>2025-03-25 00:00:00</v>
          </cell>
          <cell r="BL518" t="str">
            <v>Airport EG-556</v>
          </cell>
          <cell r="BM518" t="str">
            <v>No</v>
          </cell>
          <cell r="BN518" t="str">
            <v>No</v>
          </cell>
          <cell r="BO518" t="str">
            <v>CPay-000000003</v>
          </cell>
        </row>
        <row r="519">
          <cell r="B519" t="str">
            <v>243075</v>
          </cell>
          <cell r="C519" t="str">
            <v>205.0000000000000000</v>
          </cell>
          <cell r="E519" t="str">
            <v>Cust</v>
          </cell>
          <cell r="G519" t="str">
            <v>No</v>
          </cell>
          <cell r="H519" t="str">
            <v>1900-01-01 00:00:00</v>
          </cell>
          <cell r="K519" t="str">
            <v>M-P</v>
          </cell>
          <cell r="L519" t="str">
            <v>1653.000000</v>
          </cell>
          <cell r="AL519" t="str">
            <v>243075</v>
          </cell>
          <cell r="BC519" t="str">
            <v>Cust-PP</v>
          </cell>
          <cell r="BD519" t="str">
            <v>1.9743336623889440</v>
          </cell>
          <cell r="BE519" t="str">
            <v>.0000000000000000</v>
          </cell>
          <cell r="BF519" t="str">
            <v>.0000000000000000</v>
          </cell>
          <cell r="BG519" t="str">
            <v>None</v>
          </cell>
          <cell r="BK519" t="str">
            <v>2025-03-26 00:00:00</v>
          </cell>
          <cell r="BL519" t="str">
            <v>Airport EG-567</v>
          </cell>
          <cell r="BM519" t="str">
            <v>No</v>
          </cell>
          <cell r="BN519" t="str">
            <v>No</v>
          </cell>
          <cell r="BO519" t="str">
            <v>CPay-000000003</v>
          </cell>
        </row>
        <row r="520">
          <cell r="B520" t="str">
            <v>243076</v>
          </cell>
          <cell r="C520" t="str">
            <v>206.0000000000000000</v>
          </cell>
          <cell r="E520" t="str">
            <v>Cust</v>
          </cell>
          <cell r="G520" t="str">
            <v>No</v>
          </cell>
          <cell r="H520" t="str">
            <v>1900-01-01 00:00:00</v>
          </cell>
          <cell r="K520" t="str">
            <v>M-P</v>
          </cell>
          <cell r="L520" t="str">
            <v>382.810000</v>
          </cell>
          <cell r="AL520" t="str">
            <v>243076</v>
          </cell>
          <cell r="BC520" t="str">
            <v>Cust-PP</v>
          </cell>
          <cell r="BD520" t="str">
            <v>1.9743336623889440</v>
          </cell>
          <cell r="BE520" t="str">
            <v>.0000000000000000</v>
          </cell>
          <cell r="BF520" t="str">
            <v>.0000000000000000</v>
          </cell>
          <cell r="BG520" t="str">
            <v>None</v>
          </cell>
          <cell r="BK520" t="str">
            <v>2025-03-26 00:00:00</v>
          </cell>
          <cell r="BL520" t="str">
            <v>Airport EG-568</v>
          </cell>
          <cell r="BM520" t="str">
            <v>No</v>
          </cell>
          <cell r="BN520" t="str">
            <v>No</v>
          </cell>
          <cell r="BO520" t="str">
            <v>CPay-000000003</v>
          </cell>
        </row>
        <row r="521">
          <cell r="B521" t="str">
            <v>243077</v>
          </cell>
          <cell r="C521" t="str">
            <v>207.0000000000000000</v>
          </cell>
          <cell r="E521" t="str">
            <v>Cust</v>
          </cell>
          <cell r="G521" t="str">
            <v>No</v>
          </cell>
          <cell r="H521" t="str">
            <v>1900-01-01 00:00:00</v>
          </cell>
          <cell r="K521" t="str">
            <v>M-P</v>
          </cell>
          <cell r="L521" t="str">
            <v>1653.000000</v>
          </cell>
          <cell r="AL521" t="str">
            <v>243077</v>
          </cell>
          <cell r="BC521" t="str">
            <v>Cust-PP</v>
          </cell>
          <cell r="BD521" t="str">
            <v>1.9743336623889440</v>
          </cell>
          <cell r="BE521" t="str">
            <v>.0000000000000000</v>
          </cell>
          <cell r="BF521" t="str">
            <v>.0000000000000000</v>
          </cell>
          <cell r="BG521" t="str">
            <v>None</v>
          </cell>
          <cell r="BK521" t="str">
            <v>2025-03-26 00:00:00</v>
          </cell>
          <cell r="BL521" t="str">
            <v>Airport EG-569</v>
          </cell>
          <cell r="BM521" t="str">
            <v>No</v>
          </cell>
          <cell r="BN521" t="str">
            <v>No</v>
          </cell>
          <cell r="BO521" t="str">
            <v>CPay-000000003</v>
          </cell>
        </row>
        <row r="522">
          <cell r="B522" t="str">
            <v>243078</v>
          </cell>
          <cell r="C522" t="str">
            <v>208.0000000000000000</v>
          </cell>
          <cell r="E522" t="str">
            <v>Cust</v>
          </cell>
          <cell r="G522" t="str">
            <v>No</v>
          </cell>
          <cell r="H522" t="str">
            <v>1900-01-01 00:00:00</v>
          </cell>
          <cell r="K522" t="str">
            <v>M-P</v>
          </cell>
          <cell r="L522" t="str">
            <v>462.900000</v>
          </cell>
          <cell r="AL522" t="str">
            <v>243078</v>
          </cell>
          <cell r="BC522" t="str">
            <v>Cust-PP</v>
          </cell>
          <cell r="BD522" t="str">
            <v>1.9743336623889440</v>
          </cell>
          <cell r="BE522" t="str">
            <v>.0000000000000000</v>
          </cell>
          <cell r="BF522" t="str">
            <v>.0000000000000000</v>
          </cell>
          <cell r="BG522" t="str">
            <v>None</v>
          </cell>
          <cell r="BK522" t="str">
            <v>2025-03-26 00:00:00</v>
          </cell>
          <cell r="BL522" t="str">
            <v>Airport EG-570</v>
          </cell>
          <cell r="BM522" t="str">
            <v>No</v>
          </cell>
          <cell r="BN522" t="str">
            <v>No</v>
          </cell>
          <cell r="BO522" t="str">
            <v>CPay-000000003</v>
          </cell>
        </row>
        <row r="523">
          <cell r="B523" t="str">
            <v>243132</v>
          </cell>
          <cell r="C523" t="str">
            <v>209.0000000000000000</v>
          </cell>
          <cell r="E523" t="str">
            <v>Cust</v>
          </cell>
          <cell r="G523" t="str">
            <v>No</v>
          </cell>
          <cell r="H523" t="str">
            <v>1900-01-01 00:00:00</v>
          </cell>
          <cell r="K523" t="str">
            <v>M-P</v>
          </cell>
          <cell r="L523" t="str">
            <v>1653.000000</v>
          </cell>
          <cell r="AL523" t="str">
            <v>243132</v>
          </cell>
          <cell r="BC523" t="str">
            <v>Cust-PP</v>
          </cell>
          <cell r="BD523" t="str">
            <v>1.9743336623889440</v>
          </cell>
          <cell r="BE523" t="str">
            <v>.0000000000000000</v>
          </cell>
          <cell r="BF523" t="str">
            <v>.0000000000000000</v>
          </cell>
          <cell r="BG523" t="str">
            <v>None</v>
          </cell>
          <cell r="BK523" t="str">
            <v>2025-03-26 00:00:00</v>
          </cell>
          <cell r="BL523" t="str">
            <v>Airport EG-563</v>
          </cell>
          <cell r="BM523" t="str">
            <v>No</v>
          </cell>
          <cell r="BN523" t="str">
            <v>No</v>
          </cell>
          <cell r="BO523" t="str">
            <v>CPay-000000003</v>
          </cell>
        </row>
        <row r="524">
          <cell r="B524" t="str">
            <v>243133</v>
          </cell>
          <cell r="C524" t="str">
            <v>210.0000000000000000</v>
          </cell>
          <cell r="E524" t="str">
            <v>Cust</v>
          </cell>
          <cell r="G524" t="str">
            <v>No</v>
          </cell>
          <cell r="H524" t="str">
            <v>1900-01-01 00:00:00</v>
          </cell>
          <cell r="K524" t="str">
            <v>M-P</v>
          </cell>
          <cell r="L524" t="str">
            <v>906.300000</v>
          </cell>
          <cell r="AL524" t="str">
            <v>243133</v>
          </cell>
          <cell r="BC524" t="str">
            <v>Cust-PP</v>
          </cell>
          <cell r="BD524" t="str">
            <v>1.9743336623889440</v>
          </cell>
          <cell r="BE524" t="str">
            <v>.0000000000000000</v>
          </cell>
          <cell r="BF524" t="str">
            <v>.0000000000000000</v>
          </cell>
          <cell r="BG524" t="str">
            <v>None</v>
          </cell>
          <cell r="BK524" t="str">
            <v>2025-03-26 00:00:00</v>
          </cell>
          <cell r="BL524" t="str">
            <v>Airport EG-564</v>
          </cell>
          <cell r="BM524" t="str">
            <v>No</v>
          </cell>
          <cell r="BN524" t="str">
            <v>No</v>
          </cell>
          <cell r="BO524" t="str">
            <v>CPay-000000003</v>
          </cell>
        </row>
        <row r="525">
          <cell r="B525" t="str">
            <v>243138</v>
          </cell>
          <cell r="C525" t="str">
            <v>211.0000000000000000</v>
          </cell>
          <cell r="E525" t="str">
            <v>Cust</v>
          </cell>
          <cell r="G525" t="str">
            <v>No</v>
          </cell>
          <cell r="H525" t="str">
            <v>1900-01-01 00:00:00</v>
          </cell>
          <cell r="K525" t="str">
            <v>M-P</v>
          </cell>
          <cell r="L525" t="str">
            <v>1140.000000</v>
          </cell>
          <cell r="AL525" t="str">
            <v>243138</v>
          </cell>
          <cell r="BC525" t="str">
            <v>Cust-PP</v>
          </cell>
          <cell r="BD525" t="str">
            <v>1.9743336623889440</v>
          </cell>
          <cell r="BE525" t="str">
            <v>.0000000000000000</v>
          </cell>
          <cell r="BF525" t="str">
            <v>.0000000000000000</v>
          </cell>
          <cell r="BG525" t="str">
            <v>None</v>
          </cell>
          <cell r="BK525" t="str">
            <v>2025-03-26 00:00:00</v>
          </cell>
          <cell r="BL525" t="str">
            <v>Airport EG-565</v>
          </cell>
          <cell r="BM525" t="str">
            <v>No</v>
          </cell>
          <cell r="BN525" t="str">
            <v>No</v>
          </cell>
          <cell r="BO525" t="str">
            <v>CPay-000000003</v>
          </cell>
        </row>
        <row r="526">
          <cell r="B526" t="str">
            <v>243139</v>
          </cell>
          <cell r="C526" t="str">
            <v>212.0000000000000000</v>
          </cell>
          <cell r="E526" t="str">
            <v>Cust</v>
          </cell>
          <cell r="G526" t="str">
            <v>No</v>
          </cell>
          <cell r="H526" t="str">
            <v>1900-01-01 00:00:00</v>
          </cell>
          <cell r="K526" t="str">
            <v>M-P</v>
          </cell>
          <cell r="L526" t="str">
            <v>199.500000</v>
          </cell>
          <cell r="AL526" t="str">
            <v>243139</v>
          </cell>
          <cell r="BC526" t="str">
            <v>Cust-PP</v>
          </cell>
          <cell r="BD526" t="str">
            <v>1.9743336623889440</v>
          </cell>
          <cell r="BE526" t="str">
            <v>.0000000000000000</v>
          </cell>
          <cell r="BF526" t="str">
            <v>.0000000000000000</v>
          </cell>
          <cell r="BG526" t="str">
            <v>None</v>
          </cell>
          <cell r="BK526" t="str">
            <v>2025-03-26 00:00:00</v>
          </cell>
          <cell r="BL526" t="str">
            <v>Airport EG-566</v>
          </cell>
          <cell r="BM526" t="str">
            <v>No</v>
          </cell>
          <cell r="BN526" t="str">
            <v>No</v>
          </cell>
          <cell r="BO526" t="str">
            <v>CPay-000000003</v>
          </cell>
        </row>
        <row r="527">
          <cell r="B527" t="str">
            <v>243010</v>
          </cell>
          <cell r="C527" t="str">
            <v>1.0000000000000000</v>
          </cell>
          <cell r="E527" t="str">
            <v>Cust</v>
          </cell>
          <cell r="G527" t="str">
            <v>No</v>
          </cell>
          <cell r="H527" t="str">
            <v>1900-01-01 00:00:00</v>
          </cell>
          <cell r="K527" t="str">
            <v>M-P</v>
          </cell>
          <cell r="L527" t="str">
            <v>1653.000000</v>
          </cell>
          <cell r="AL527" t="str">
            <v>243010</v>
          </cell>
          <cell r="BC527" t="str">
            <v>Cust-PP</v>
          </cell>
          <cell r="BD527" t="str">
            <v>1.9801980198019800</v>
          </cell>
          <cell r="BE527" t="str">
            <v>.0000000000000000</v>
          </cell>
          <cell r="BF527" t="str">
            <v>.0000000000000000</v>
          </cell>
          <cell r="BG527" t="str">
            <v>None</v>
          </cell>
          <cell r="BK527" t="str">
            <v>2025-04-03 00:00:00</v>
          </cell>
          <cell r="BL527" t="str">
            <v>Airport EG-574</v>
          </cell>
          <cell r="BM527" t="str">
            <v>No</v>
          </cell>
          <cell r="BN527" t="str">
            <v>No</v>
          </cell>
          <cell r="BO527" t="str">
            <v>CPay-000000004</v>
          </cell>
        </row>
        <row r="528">
          <cell r="B528" t="str">
            <v>243011</v>
          </cell>
          <cell r="C528" t="str">
            <v>2.0000000000000000</v>
          </cell>
          <cell r="E528" t="str">
            <v>Cust</v>
          </cell>
          <cell r="G528" t="str">
            <v>No</v>
          </cell>
          <cell r="H528" t="str">
            <v>1900-01-01 00:00:00</v>
          </cell>
          <cell r="K528" t="str">
            <v>M-P</v>
          </cell>
          <cell r="L528" t="str">
            <v>285.000000</v>
          </cell>
          <cell r="AL528" t="str">
            <v>243011</v>
          </cell>
          <cell r="BC528" t="str">
            <v>Cust-PP</v>
          </cell>
          <cell r="BD528" t="str">
            <v>1.9801980198019800</v>
          </cell>
          <cell r="BE528" t="str">
            <v>.0000000000000000</v>
          </cell>
          <cell r="BF528" t="str">
            <v>.0000000000000000</v>
          </cell>
          <cell r="BG528" t="str">
            <v>None</v>
          </cell>
          <cell r="BK528" t="str">
            <v>2025-04-03 00:00:00</v>
          </cell>
          <cell r="BL528" t="str">
            <v>Airport EG-575</v>
          </cell>
          <cell r="BM528" t="str">
            <v>No</v>
          </cell>
          <cell r="BN528" t="str">
            <v>No</v>
          </cell>
          <cell r="BO528" t="str">
            <v>CPay-000000004</v>
          </cell>
        </row>
        <row r="529">
          <cell r="B529" t="str">
            <v>243014</v>
          </cell>
          <cell r="C529" t="str">
            <v>3.0000000000000000</v>
          </cell>
          <cell r="E529" t="str">
            <v>Cust</v>
          </cell>
          <cell r="G529" t="str">
            <v>No</v>
          </cell>
          <cell r="H529" t="str">
            <v>1900-01-01 00:00:00</v>
          </cell>
          <cell r="K529" t="str">
            <v>M-P</v>
          </cell>
          <cell r="L529" t="str">
            <v>1653.000000</v>
          </cell>
          <cell r="AL529" t="str">
            <v>243014</v>
          </cell>
          <cell r="BC529" t="str">
            <v>Cust-PP</v>
          </cell>
          <cell r="BD529" t="str">
            <v>1.9801980198019800</v>
          </cell>
          <cell r="BE529" t="str">
            <v>.0000000000000000</v>
          </cell>
          <cell r="BF529" t="str">
            <v>.0000000000000000</v>
          </cell>
          <cell r="BG529" t="str">
            <v>None</v>
          </cell>
          <cell r="BK529" t="str">
            <v>2025-04-03 00:00:00</v>
          </cell>
          <cell r="BL529" t="str">
            <v>Airport EG-576</v>
          </cell>
          <cell r="BM529" t="str">
            <v>No</v>
          </cell>
          <cell r="BN529" t="str">
            <v>No</v>
          </cell>
          <cell r="BO529" t="str">
            <v>CPay-000000004</v>
          </cell>
        </row>
        <row r="530">
          <cell r="B530" t="str">
            <v>243015</v>
          </cell>
          <cell r="C530" t="str">
            <v>4.0000000000000000</v>
          </cell>
          <cell r="E530" t="str">
            <v>Cust</v>
          </cell>
          <cell r="G530" t="str">
            <v>No</v>
          </cell>
          <cell r="H530" t="str">
            <v>1900-01-01 00:00:00</v>
          </cell>
          <cell r="K530" t="str">
            <v>M-P</v>
          </cell>
          <cell r="L530" t="str">
            <v>3930.040000</v>
          </cell>
          <cell r="AL530" t="str">
            <v>243015</v>
          </cell>
          <cell r="BC530" t="str">
            <v>Cust-PP</v>
          </cell>
          <cell r="BD530" t="str">
            <v>1.9801980198019800</v>
          </cell>
          <cell r="BE530" t="str">
            <v>.0000000000000000</v>
          </cell>
          <cell r="BF530" t="str">
            <v>.0000000000000000</v>
          </cell>
          <cell r="BG530" t="str">
            <v>None</v>
          </cell>
          <cell r="BK530" t="str">
            <v>2025-04-03 00:00:00</v>
          </cell>
          <cell r="BL530" t="str">
            <v>Airport EG-577</v>
          </cell>
          <cell r="BM530" t="str">
            <v>No</v>
          </cell>
          <cell r="BN530" t="str">
            <v>No</v>
          </cell>
          <cell r="BO530" t="str">
            <v>CPay-000000004</v>
          </cell>
        </row>
        <row r="531">
          <cell r="B531" t="str">
            <v>243017</v>
          </cell>
          <cell r="C531" t="str">
            <v>5.0000000000000000</v>
          </cell>
          <cell r="E531" t="str">
            <v>Cust</v>
          </cell>
          <cell r="G531" t="str">
            <v>No</v>
          </cell>
          <cell r="H531" t="str">
            <v>1900-01-01 00:00:00</v>
          </cell>
          <cell r="K531" t="str">
            <v>M-P</v>
          </cell>
          <cell r="L531" t="str">
            <v>1653.000000</v>
          </cell>
          <cell r="AL531" t="str">
            <v>243017</v>
          </cell>
          <cell r="BC531" t="str">
            <v>Cust-PP</v>
          </cell>
          <cell r="BD531" t="str">
            <v>1.9801980198019800</v>
          </cell>
          <cell r="BE531" t="str">
            <v>.0000000000000000</v>
          </cell>
          <cell r="BF531" t="str">
            <v>.0000000000000000</v>
          </cell>
          <cell r="BG531" t="str">
            <v>None</v>
          </cell>
          <cell r="BK531" t="str">
            <v>2025-04-03 00:00:00</v>
          </cell>
          <cell r="BL531" t="str">
            <v>Airport EG-578</v>
          </cell>
          <cell r="BM531" t="str">
            <v>No</v>
          </cell>
          <cell r="BN531" t="str">
            <v>No</v>
          </cell>
          <cell r="BO531" t="str">
            <v>CPay-000000004</v>
          </cell>
        </row>
        <row r="532">
          <cell r="B532" t="str">
            <v>243018</v>
          </cell>
          <cell r="C532" t="str">
            <v>6.0000000000000000</v>
          </cell>
          <cell r="E532" t="str">
            <v>Cust</v>
          </cell>
          <cell r="G532" t="str">
            <v>No</v>
          </cell>
          <cell r="H532" t="str">
            <v>1900-01-01 00:00:00</v>
          </cell>
          <cell r="K532" t="str">
            <v>M-P</v>
          </cell>
          <cell r="L532" t="str">
            <v>296.400000</v>
          </cell>
          <cell r="AL532" t="str">
            <v>243018</v>
          </cell>
          <cell r="BC532" t="str">
            <v>Cust-PP</v>
          </cell>
          <cell r="BD532" t="str">
            <v>1.9801980198019800</v>
          </cell>
          <cell r="BE532" t="str">
            <v>.0000000000000000</v>
          </cell>
          <cell r="BF532" t="str">
            <v>.0000000000000000</v>
          </cell>
          <cell r="BG532" t="str">
            <v>None</v>
          </cell>
          <cell r="BK532" t="str">
            <v>2025-04-03 00:00:00</v>
          </cell>
          <cell r="BL532" t="str">
            <v>Airport EG-579</v>
          </cell>
          <cell r="BM532" t="str">
            <v>No</v>
          </cell>
          <cell r="BN532" t="str">
            <v>No</v>
          </cell>
          <cell r="BO532" t="str">
            <v>CPay-000000004</v>
          </cell>
        </row>
        <row r="533">
          <cell r="B533" t="str">
            <v>243019</v>
          </cell>
          <cell r="C533" t="str">
            <v>7.0000000000000000</v>
          </cell>
          <cell r="E533" t="str">
            <v>Cust</v>
          </cell>
          <cell r="G533" t="str">
            <v>No</v>
          </cell>
          <cell r="H533" t="str">
            <v>1900-01-01 00:00:00</v>
          </cell>
          <cell r="K533" t="str">
            <v>M-P</v>
          </cell>
          <cell r="L533" t="str">
            <v>1653.000000</v>
          </cell>
          <cell r="AL533" t="str">
            <v>243019</v>
          </cell>
          <cell r="BC533" t="str">
            <v>Cust-PP</v>
          </cell>
          <cell r="BD533" t="str">
            <v>1.9801980198019800</v>
          </cell>
          <cell r="BE533" t="str">
            <v>.0000000000000000</v>
          </cell>
          <cell r="BF533" t="str">
            <v>.0000000000000000</v>
          </cell>
          <cell r="BG533" t="str">
            <v>None</v>
          </cell>
          <cell r="BK533" t="str">
            <v>2025-04-03 00:00:00</v>
          </cell>
          <cell r="BL533" t="str">
            <v>Airport EG-580</v>
          </cell>
          <cell r="BM533" t="str">
            <v>No</v>
          </cell>
          <cell r="BN533" t="str">
            <v>No</v>
          </cell>
          <cell r="BO533" t="str">
            <v>CPay-000000004</v>
          </cell>
        </row>
        <row r="534">
          <cell r="B534" t="str">
            <v>243020</v>
          </cell>
          <cell r="C534" t="str">
            <v>8.0000000000000000</v>
          </cell>
          <cell r="E534" t="str">
            <v>Cust</v>
          </cell>
          <cell r="G534" t="str">
            <v>No</v>
          </cell>
          <cell r="H534" t="str">
            <v>1900-01-01 00:00:00</v>
          </cell>
          <cell r="K534" t="str">
            <v>M-P</v>
          </cell>
          <cell r="L534" t="str">
            <v>1686.520000</v>
          </cell>
          <cell r="AL534" t="str">
            <v>243020</v>
          </cell>
          <cell r="BC534" t="str">
            <v>Cust-PP</v>
          </cell>
          <cell r="BD534" t="str">
            <v>1.9801980198019800</v>
          </cell>
          <cell r="BE534" t="str">
            <v>.0000000000000000</v>
          </cell>
          <cell r="BF534" t="str">
            <v>.0000000000000000</v>
          </cell>
          <cell r="BG534" t="str">
            <v>None</v>
          </cell>
          <cell r="BK534" t="str">
            <v>2025-04-03 00:00:00</v>
          </cell>
          <cell r="BL534" t="str">
            <v>Airport EG-581</v>
          </cell>
          <cell r="BM534" t="str">
            <v>No</v>
          </cell>
          <cell r="BN534" t="str">
            <v>No</v>
          </cell>
          <cell r="BO534" t="str">
            <v>CPay-000000004</v>
          </cell>
        </row>
        <row r="535">
          <cell r="B535" t="str">
            <v>250152</v>
          </cell>
          <cell r="C535" t="str">
            <v>9.0000000000000000</v>
          </cell>
          <cell r="E535" t="str">
            <v>Cust</v>
          </cell>
          <cell r="G535" t="str">
            <v>No</v>
          </cell>
          <cell r="H535" t="str">
            <v>1900-01-01 00:00:00</v>
          </cell>
          <cell r="K535" t="str">
            <v>M-P</v>
          </cell>
          <cell r="L535" t="str">
            <v>1938.000000</v>
          </cell>
          <cell r="AL535" t="str">
            <v>250152</v>
          </cell>
          <cell r="BC535" t="str">
            <v>Cust-PP</v>
          </cell>
          <cell r="BD535" t="str">
            <v>1.9801980198019800</v>
          </cell>
          <cell r="BE535" t="str">
            <v>.0000000000000000</v>
          </cell>
          <cell r="BF535" t="str">
            <v>.0000000000000000</v>
          </cell>
          <cell r="BG535" t="str">
            <v>None</v>
          </cell>
          <cell r="BK535" t="str">
            <v>2025-04-06 00:00:00</v>
          </cell>
          <cell r="BL535" t="str">
            <v>Airport EG-593</v>
          </cell>
          <cell r="BM535" t="str">
            <v>No</v>
          </cell>
          <cell r="BN535" t="str">
            <v>No</v>
          </cell>
          <cell r="BO535" t="str">
            <v>CPay-000000004</v>
          </cell>
        </row>
        <row r="536">
          <cell r="B536" t="str">
            <v>250155</v>
          </cell>
          <cell r="C536" t="str">
            <v>10.0000000000000000</v>
          </cell>
          <cell r="E536" t="str">
            <v>Cust</v>
          </cell>
          <cell r="G536" t="str">
            <v>No</v>
          </cell>
          <cell r="H536" t="str">
            <v>1900-01-01 00:00:00</v>
          </cell>
          <cell r="K536" t="str">
            <v>M-P</v>
          </cell>
          <cell r="L536" t="str">
            <v>1653.000000</v>
          </cell>
          <cell r="AL536" t="str">
            <v>250155</v>
          </cell>
          <cell r="BC536" t="str">
            <v>Cust-PP</v>
          </cell>
          <cell r="BD536" t="str">
            <v>1.9801980198019800</v>
          </cell>
          <cell r="BE536" t="str">
            <v>.0000000000000000</v>
          </cell>
          <cell r="BF536" t="str">
            <v>.0000000000000000</v>
          </cell>
          <cell r="BG536" t="str">
            <v>None</v>
          </cell>
          <cell r="BK536" t="str">
            <v>2025-04-06 00:00:00</v>
          </cell>
          <cell r="BL536" t="str">
            <v>Airport EG-594</v>
          </cell>
          <cell r="BM536" t="str">
            <v>No</v>
          </cell>
          <cell r="BN536" t="str">
            <v>No</v>
          </cell>
          <cell r="BO536" t="str">
            <v>CPay-000000004</v>
          </cell>
        </row>
        <row r="537">
          <cell r="B537" t="str">
            <v>250156</v>
          </cell>
          <cell r="C537" t="str">
            <v>11.0000000000000000</v>
          </cell>
          <cell r="E537" t="str">
            <v>Cust</v>
          </cell>
          <cell r="G537" t="str">
            <v>No</v>
          </cell>
          <cell r="H537" t="str">
            <v>1900-01-01 00:00:00</v>
          </cell>
          <cell r="K537" t="str">
            <v>M-P</v>
          </cell>
          <cell r="L537" t="str">
            <v>199.500000</v>
          </cell>
          <cell r="AL537" t="str">
            <v>250156</v>
          </cell>
          <cell r="BC537" t="str">
            <v>Cust-PP</v>
          </cell>
          <cell r="BD537" t="str">
            <v>1.9801980198019800</v>
          </cell>
          <cell r="BE537" t="str">
            <v>.0000000000000000</v>
          </cell>
          <cell r="BF537" t="str">
            <v>.0000000000000000</v>
          </cell>
          <cell r="BG537" t="str">
            <v>None</v>
          </cell>
          <cell r="BK537" t="str">
            <v>2025-04-06 00:00:00</v>
          </cell>
          <cell r="BL537" t="str">
            <v>Airport EG-595</v>
          </cell>
          <cell r="BM537" t="str">
            <v>No</v>
          </cell>
          <cell r="BN537" t="str">
            <v>No</v>
          </cell>
          <cell r="BO537" t="str">
            <v>CPay-000000004</v>
          </cell>
        </row>
        <row r="538">
          <cell r="B538" t="str">
            <v>250166</v>
          </cell>
          <cell r="C538" t="str">
            <v>12.0000000000000000</v>
          </cell>
          <cell r="E538" t="str">
            <v>Cust</v>
          </cell>
          <cell r="G538" t="str">
            <v>No</v>
          </cell>
          <cell r="H538" t="str">
            <v>1900-01-01 00:00:00</v>
          </cell>
          <cell r="K538" t="str">
            <v>M-P</v>
          </cell>
          <cell r="L538" t="str">
            <v>1653.000000</v>
          </cell>
          <cell r="AL538" t="str">
            <v>250166</v>
          </cell>
          <cell r="BC538" t="str">
            <v>Cust-PP</v>
          </cell>
          <cell r="BD538" t="str">
            <v>1.9801980198019800</v>
          </cell>
          <cell r="BE538" t="str">
            <v>.0000000000000000</v>
          </cell>
          <cell r="BF538" t="str">
            <v>.0000000000000000</v>
          </cell>
          <cell r="BG538" t="str">
            <v>None</v>
          </cell>
          <cell r="BK538" t="str">
            <v>2025-04-06 00:00:00</v>
          </cell>
          <cell r="BL538" t="str">
            <v>Airport EG-596</v>
          </cell>
          <cell r="BM538" t="str">
            <v>No</v>
          </cell>
          <cell r="BN538" t="str">
            <v>No</v>
          </cell>
          <cell r="BO538" t="str">
            <v>CPay-000000004</v>
          </cell>
        </row>
        <row r="539">
          <cell r="B539" t="str">
            <v>250170</v>
          </cell>
          <cell r="C539" t="str">
            <v>13.0000000000000000</v>
          </cell>
          <cell r="E539" t="str">
            <v>Cust</v>
          </cell>
          <cell r="G539" t="str">
            <v>No</v>
          </cell>
          <cell r="H539" t="str">
            <v>1900-01-01 00:00:00</v>
          </cell>
          <cell r="K539" t="str">
            <v>M-P</v>
          </cell>
          <cell r="L539" t="str">
            <v>1482.000000</v>
          </cell>
          <cell r="AL539" t="str">
            <v>250170</v>
          </cell>
          <cell r="BC539" t="str">
            <v>Cust-PP</v>
          </cell>
          <cell r="BD539" t="str">
            <v>1.9801980198019800</v>
          </cell>
          <cell r="BE539" t="str">
            <v>.0000000000000000</v>
          </cell>
          <cell r="BF539" t="str">
            <v>.0000000000000000</v>
          </cell>
          <cell r="BG539" t="str">
            <v>None</v>
          </cell>
          <cell r="BK539" t="str">
            <v>2025-04-06 00:00:00</v>
          </cell>
          <cell r="BL539" t="str">
            <v>Airport EG-597</v>
          </cell>
          <cell r="BM539" t="str">
            <v>No</v>
          </cell>
          <cell r="BN539" t="str">
            <v>No</v>
          </cell>
          <cell r="BO539" t="str">
            <v>CPay-000000004</v>
          </cell>
        </row>
        <row r="540">
          <cell r="B540" t="str">
            <v>250174</v>
          </cell>
          <cell r="C540" t="str">
            <v>14.0000000000000000</v>
          </cell>
          <cell r="E540" t="str">
            <v>Cust</v>
          </cell>
          <cell r="G540" t="str">
            <v>No</v>
          </cell>
          <cell r="H540" t="str">
            <v>1900-01-01 00:00:00</v>
          </cell>
          <cell r="K540" t="str">
            <v>M-P</v>
          </cell>
          <cell r="L540" t="str">
            <v>1653.000000</v>
          </cell>
          <cell r="AL540" t="str">
            <v>250174</v>
          </cell>
          <cell r="BC540" t="str">
            <v>Cust-PP</v>
          </cell>
          <cell r="BD540" t="str">
            <v>1.9801980198019800</v>
          </cell>
          <cell r="BE540" t="str">
            <v>.0000000000000000</v>
          </cell>
          <cell r="BF540" t="str">
            <v>.0000000000000000</v>
          </cell>
          <cell r="BG540" t="str">
            <v>None</v>
          </cell>
          <cell r="BK540" t="str">
            <v>2025-04-06 00:00:00</v>
          </cell>
          <cell r="BL540" t="str">
            <v>Airport EG-598</v>
          </cell>
          <cell r="BM540" t="str">
            <v>No</v>
          </cell>
          <cell r="BN540" t="str">
            <v>No</v>
          </cell>
          <cell r="BO540" t="str">
            <v>CPay-000000004</v>
          </cell>
        </row>
        <row r="541">
          <cell r="B541" t="str">
            <v>250176</v>
          </cell>
          <cell r="C541" t="str">
            <v>15.0000000000000000</v>
          </cell>
          <cell r="E541" t="str">
            <v>Cust</v>
          </cell>
          <cell r="G541" t="str">
            <v>No</v>
          </cell>
          <cell r="H541" t="str">
            <v>1900-01-01 00:00:00</v>
          </cell>
          <cell r="K541" t="str">
            <v>M-P</v>
          </cell>
          <cell r="L541" t="str">
            <v>3214.800000</v>
          </cell>
          <cell r="AL541" t="str">
            <v>250176</v>
          </cell>
          <cell r="BC541" t="str">
            <v>Cust-PP</v>
          </cell>
          <cell r="BD541" t="str">
            <v>1.9801980198019800</v>
          </cell>
          <cell r="BE541" t="str">
            <v>.0000000000000000</v>
          </cell>
          <cell r="BF541" t="str">
            <v>.0000000000000000</v>
          </cell>
          <cell r="BG541" t="str">
            <v>None</v>
          </cell>
          <cell r="BK541" t="str">
            <v>2025-04-06 00:00:00</v>
          </cell>
          <cell r="BL541" t="str">
            <v>Airport EG-599</v>
          </cell>
          <cell r="BM541" t="str">
            <v>No</v>
          </cell>
          <cell r="BN541" t="str">
            <v>No</v>
          </cell>
          <cell r="BO541" t="str">
            <v>CPay-000000004</v>
          </cell>
        </row>
        <row r="542">
          <cell r="B542" t="str">
            <v>250206</v>
          </cell>
          <cell r="C542" t="str">
            <v>16.0000000000000000</v>
          </cell>
          <cell r="E542" t="str">
            <v>Cust</v>
          </cell>
          <cell r="G542" t="str">
            <v>No</v>
          </cell>
          <cell r="H542" t="str">
            <v>1900-01-01 00:00:00</v>
          </cell>
          <cell r="K542" t="str">
            <v>M-P</v>
          </cell>
          <cell r="L542" t="str">
            <v>1653.000000</v>
          </cell>
          <cell r="AL542" t="str">
            <v>250206</v>
          </cell>
          <cell r="BC542" t="str">
            <v>Cust-PP</v>
          </cell>
          <cell r="BD542" t="str">
            <v>1.9801980198019800</v>
          </cell>
          <cell r="BE542" t="str">
            <v>.0000000000000000</v>
          </cell>
          <cell r="BF542" t="str">
            <v>.0000000000000000</v>
          </cell>
          <cell r="BG542" t="str">
            <v>None</v>
          </cell>
          <cell r="BK542" t="str">
            <v>2025-04-06 00:00:00</v>
          </cell>
          <cell r="BL542" t="str">
            <v>Airport EG-601</v>
          </cell>
          <cell r="BM542" t="str">
            <v>No</v>
          </cell>
          <cell r="BN542" t="str">
            <v>No</v>
          </cell>
          <cell r="BO542" t="str">
            <v>CPay-000000004</v>
          </cell>
        </row>
        <row r="543">
          <cell r="B543" t="str">
            <v>250209</v>
          </cell>
          <cell r="C543" t="str">
            <v>17.0000000000000000</v>
          </cell>
          <cell r="E543" t="str">
            <v>Cust</v>
          </cell>
          <cell r="G543" t="str">
            <v>No</v>
          </cell>
          <cell r="H543" t="str">
            <v>1900-01-01 00:00:00</v>
          </cell>
          <cell r="K543" t="str">
            <v>M-P</v>
          </cell>
          <cell r="L543" t="str">
            <v>516.650000</v>
          </cell>
          <cell r="AL543" t="str">
            <v>250209</v>
          </cell>
          <cell r="BC543" t="str">
            <v>Cust-PP</v>
          </cell>
          <cell r="BD543" t="str">
            <v>1.9801980198019800</v>
          </cell>
          <cell r="BE543" t="str">
            <v>.0000000000000000</v>
          </cell>
          <cell r="BF543" t="str">
            <v>.0000000000000000</v>
          </cell>
          <cell r="BG543" t="str">
            <v>None</v>
          </cell>
          <cell r="BK543" t="str">
            <v>2025-04-06 00:00:00</v>
          </cell>
          <cell r="BL543" t="str">
            <v>Airport EG-602</v>
          </cell>
          <cell r="BM543" t="str">
            <v>No</v>
          </cell>
          <cell r="BN543" t="str">
            <v>No</v>
          </cell>
          <cell r="BO543" t="str">
            <v>CPay-000000004</v>
          </cell>
        </row>
        <row r="544">
          <cell r="B544" t="str">
            <v>250229</v>
          </cell>
          <cell r="C544" t="str">
            <v>18.0000000000000000</v>
          </cell>
          <cell r="E544" t="str">
            <v>Cust</v>
          </cell>
          <cell r="G544" t="str">
            <v>No</v>
          </cell>
          <cell r="H544" t="str">
            <v>1900-01-01 00:00:00</v>
          </cell>
          <cell r="K544" t="str">
            <v>M-P</v>
          </cell>
          <cell r="L544" t="str">
            <v>1653.000000</v>
          </cell>
          <cell r="AL544" t="str">
            <v>250229</v>
          </cell>
          <cell r="BC544" t="str">
            <v>Cust-PP</v>
          </cell>
          <cell r="BD544" t="str">
            <v>1.9801980198019800</v>
          </cell>
          <cell r="BE544" t="str">
            <v>.0000000000000000</v>
          </cell>
          <cell r="BF544" t="str">
            <v>.0000000000000000</v>
          </cell>
          <cell r="BG544" t="str">
            <v>None</v>
          </cell>
          <cell r="BK544" t="str">
            <v>2025-04-06 00:00:00</v>
          </cell>
          <cell r="BL544" t="str">
            <v>Airport EG-603</v>
          </cell>
          <cell r="BM544" t="str">
            <v>No</v>
          </cell>
          <cell r="BN544" t="str">
            <v>No</v>
          </cell>
          <cell r="BO544" t="str">
            <v>CPay-000000004</v>
          </cell>
        </row>
        <row r="545">
          <cell r="B545" t="str">
            <v>250230</v>
          </cell>
          <cell r="C545" t="str">
            <v>19.0000000000000000</v>
          </cell>
          <cell r="E545" t="str">
            <v>Cust</v>
          </cell>
          <cell r="G545" t="str">
            <v>No</v>
          </cell>
          <cell r="H545" t="str">
            <v>1900-01-01 00:00:00</v>
          </cell>
          <cell r="K545" t="str">
            <v>M-P</v>
          </cell>
          <cell r="L545" t="str">
            <v>548.110000</v>
          </cell>
          <cell r="AL545" t="str">
            <v>250230</v>
          </cell>
          <cell r="BC545" t="str">
            <v>Cust-PP</v>
          </cell>
          <cell r="BD545" t="str">
            <v>1.9801980198019800</v>
          </cell>
          <cell r="BE545" t="str">
            <v>.0000000000000000</v>
          </cell>
          <cell r="BF545" t="str">
            <v>.0000000000000000</v>
          </cell>
          <cell r="BG545" t="str">
            <v>None</v>
          </cell>
          <cell r="BK545" t="str">
            <v>2025-04-06 00:00:00</v>
          </cell>
          <cell r="BL545" t="str">
            <v>Airport EG-604</v>
          </cell>
          <cell r="BM545" t="str">
            <v>No</v>
          </cell>
          <cell r="BN545" t="str">
            <v>No</v>
          </cell>
          <cell r="BO545" t="str">
            <v>CPay-000000004</v>
          </cell>
        </row>
        <row r="546">
          <cell r="B546" t="str">
            <v>250236</v>
          </cell>
          <cell r="C546" t="str">
            <v>20.0000000000000000</v>
          </cell>
          <cell r="E546" t="str">
            <v>Cust</v>
          </cell>
          <cell r="G546" t="str">
            <v>No</v>
          </cell>
          <cell r="H546" t="str">
            <v>1900-01-01 00:00:00</v>
          </cell>
          <cell r="K546" t="str">
            <v>M-P</v>
          </cell>
          <cell r="L546" t="str">
            <v>1653.000000</v>
          </cell>
          <cell r="AL546" t="str">
            <v>250236</v>
          </cell>
          <cell r="BC546" t="str">
            <v>Cust-PP</v>
          </cell>
          <cell r="BD546" t="str">
            <v>1.9801980198019800</v>
          </cell>
          <cell r="BE546" t="str">
            <v>.0000000000000000</v>
          </cell>
          <cell r="BF546" t="str">
            <v>.0000000000000000</v>
          </cell>
          <cell r="BG546" t="str">
            <v>None</v>
          </cell>
          <cell r="BK546" t="str">
            <v>2025-04-06 00:00:00</v>
          </cell>
          <cell r="BL546" t="str">
            <v>Airport EG-605</v>
          </cell>
          <cell r="BM546" t="str">
            <v>No</v>
          </cell>
          <cell r="BN546" t="str">
            <v>No</v>
          </cell>
          <cell r="BO546" t="str">
            <v>CPay-000000004</v>
          </cell>
        </row>
        <row r="547">
          <cell r="B547" t="str">
            <v>250237</v>
          </cell>
          <cell r="C547" t="str">
            <v>21.0000000000000000</v>
          </cell>
          <cell r="E547" t="str">
            <v>Cust</v>
          </cell>
          <cell r="G547" t="str">
            <v>No</v>
          </cell>
          <cell r="H547" t="str">
            <v>1900-01-01 00:00:00</v>
          </cell>
          <cell r="K547" t="str">
            <v>M-P</v>
          </cell>
          <cell r="L547" t="str">
            <v>735.300000</v>
          </cell>
          <cell r="AL547" t="str">
            <v>250237</v>
          </cell>
          <cell r="BC547" t="str">
            <v>Cust-PP</v>
          </cell>
          <cell r="BD547" t="str">
            <v>1.9801980198019800</v>
          </cell>
          <cell r="BE547" t="str">
            <v>.0000000000000000</v>
          </cell>
          <cell r="BF547" t="str">
            <v>.0000000000000000</v>
          </cell>
          <cell r="BG547" t="str">
            <v>None</v>
          </cell>
          <cell r="BK547" t="str">
            <v>2025-04-06 00:00:00</v>
          </cell>
          <cell r="BL547" t="str">
            <v>Airport EG-606</v>
          </cell>
          <cell r="BM547" t="str">
            <v>No</v>
          </cell>
          <cell r="BN547" t="str">
            <v>No</v>
          </cell>
          <cell r="BO547" t="str">
            <v>CPay-000000004</v>
          </cell>
        </row>
        <row r="548">
          <cell r="B548" t="str">
            <v>250251</v>
          </cell>
          <cell r="C548" t="str">
            <v>22.0000000000000000</v>
          </cell>
          <cell r="E548" t="str">
            <v>Cust</v>
          </cell>
          <cell r="G548" t="str">
            <v>No</v>
          </cell>
          <cell r="H548" t="str">
            <v>1900-01-01 00:00:00</v>
          </cell>
          <cell r="K548" t="str">
            <v>M-P</v>
          </cell>
          <cell r="L548" t="str">
            <v>1653.000000</v>
          </cell>
          <cell r="AL548" t="str">
            <v>250251</v>
          </cell>
          <cell r="BC548" t="str">
            <v>Cust-PP</v>
          </cell>
          <cell r="BD548" t="str">
            <v>1.9801980198019800</v>
          </cell>
          <cell r="BE548" t="str">
            <v>.0000000000000000</v>
          </cell>
          <cell r="BF548" t="str">
            <v>.0000000000000000</v>
          </cell>
          <cell r="BG548" t="str">
            <v>None</v>
          </cell>
          <cell r="BK548" t="str">
            <v>2025-04-06 00:00:00</v>
          </cell>
          <cell r="BL548" t="str">
            <v>Airport EG-582</v>
          </cell>
          <cell r="BM548" t="str">
            <v>No</v>
          </cell>
          <cell r="BN548" t="str">
            <v>No</v>
          </cell>
          <cell r="BO548" t="str">
            <v>CPay-000000004</v>
          </cell>
        </row>
        <row r="549">
          <cell r="B549" t="str">
            <v>250253</v>
          </cell>
          <cell r="C549" t="str">
            <v>23.0000000000000000</v>
          </cell>
          <cell r="E549" t="str">
            <v>Cust</v>
          </cell>
          <cell r="G549" t="str">
            <v>No</v>
          </cell>
          <cell r="H549" t="str">
            <v>1900-01-01 00:00:00</v>
          </cell>
          <cell r="K549" t="str">
            <v>M-P</v>
          </cell>
          <cell r="L549" t="str">
            <v>1653.000000</v>
          </cell>
          <cell r="AL549" t="str">
            <v>250253</v>
          </cell>
          <cell r="BC549" t="str">
            <v>Cust-PP</v>
          </cell>
          <cell r="BD549" t="str">
            <v>1.9801980198019800</v>
          </cell>
          <cell r="BE549" t="str">
            <v>.0000000000000000</v>
          </cell>
          <cell r="BF549" t="str">
            <v>.0000000000000000</v>
          </cell>
          <cell r="BG549" t="str">
            <v>None</v>
          </cell>
          <cell r="BK549" t="str">
            <v>2025-04-06 00:00:00</v>
          </cell>
          <cell r="BL549" t="str">
            <v>Airport EG-584</v>
          </cell>
          <cell r="BM549" t="str">
            <v>No</v>
          </cell>
          <cell r="BN549" t="str">
            <v>No</v>
          </cell>
          <cell r="BO549" t="str">
            <v>CPay-000000004</v>
          </cell>
        </row>
        <row r="550">
          <cell r="B550" t="str">
            <v>250254</v>
          </cell>
          <cell r="C550" t="str">
            <v>24.0000000000000000</v>
          </cell>
          <cell r="E550" t="str">
            <v>Cust</v>
          </cell>
          <cell r="G550" t="str">
            <v>No</v>
          </cell>
          <cell r="H550" t="str">
            <v>1900-01-01 00:00:00</v>
          </cell>
          <cell r="K550" t="str">
            <v>M-P</v>
          </cell>
          <cell r="L550" t="str">
            <v>1109.220000</v>
          </cell>
          <cell r="AL550" t="str">
            <v>250254</v>
          </cell>
          <cell r="BC550" t="str">
            <v>Cust-PP</v>
          </cell>
          <cell r="BD550" t="str">
            <v>1.9801980198019800</v>
          </cell>
          <cell r="BE550" t="str">
            <v>.0000000000000000</v>
          </cell>
          <cell r="BF550" t="str">
            <v>.0000000000000000</v>
          </cell>
          <cell r="BG550" t="str">
            <v>None</v>
          </cell>
          <cell r="BK550" t="str">
            <v>2025-04-06 00:00:00</v>
          </cell>
          <cell r="BL550" t="str">
            <v>Airport EG-585</v>
          </cell>
          <cell r="BM550" t="str">
            <v>No</v>
          </cell>
          <cell r="BN550" t="str">
            <v>No</v>
          </cell>
          <cell r="BO550" t="str">
            <v>CPay-000000004</v>
          </cell>
        </row>
        <row r="551">
          <cell r="B551" t="str">
            <v>250256</v>
          </cell>
          <cell r="C551" t="str">
            <v>25.0000000000000000</v>
          </cell>
          <cell r="E551" t="str">
            <v>Cust</v>
          </cell>
          <cell r="G551" t="str">
            <v>No</v>
          </cell>
          <cell r="H551" t="str">
            <v>1900-01-01 00:00:00</v>
          </cell>
          <cell r="K551" t="str">
            <v>M-P</v>
          </cell>
          <cell r="L551" t="str">
            <v>2052.000000</v>
          </cell>
          <cell r="AL551" t="str">
            <v>250256</v>
          </cell>
          <cell r="BC551" t="str">
            <v>Cust-PP</v>
          </cell>
          <cell r="BD551" t="str">
            <v>1.9801980198019800</v>
          </cell>
          <cell r="BE551" t="str">
            <v>.0000000000000000</v>
          </cell>
          <cell r="BF551" t="str">
            <v>.0000000000000000</v>
          </cell>
          <cell r="BG551" t="str">
            <v>None</v>
          </cell>
          <cell r="BK551" t="str">
            <v>2025-04-06 00:00:00</v>
          </cell>
          <cell r="BL551" t="str">
            <v>Airport EG-587</v>
          </cell>
          <cell r="BM551" t="str">
            <v>No</v>
          </cell>
          <cell r="BN551" t="str">
            <v>No</v>
          </cell>
          <cell r="BO551" t="str">
            <v>CPay-000000004</v>
          </cell>
        </row>
        <row r="552">
          <cell r="B552" t="str">
            <v>250257</v>
          </cell>
          <cell r="C552" t="str">
            <v>26.0000000000000000</v>
          </cell>
          <cell r="E552" t="str">
            <v>Cust</v>
          </cell>
          <cell r="G552" t="str">
            <v>No</v>
          </cell>
          <cell r="H552" t="str">
            <v>1900-01-01 00:00:00</v>
          </cell>
          <cell r="K552" t="str">
            <v>M-P</v>
          </cell>
          <cell r="L552" t="str">
            <v>1254.000000</v>
          </cell>
          <cell r="AL552" t="str">
            <v>250257</v>
          </cell>
          <cell r="BC552" t="str">
            <v>Cust-PP</v>
          </cell>
          <cell r="BD552" t="str">
            <v>1.9801980198019800</v>
          </cell>
          <cell r="BE552" t="str">
            <v>.0000000000000000</v>
          </cell>
          <cell r="BF552" t="str">
            <v>.0000000000000000</v>
          </cell>
          <cell r="BG552" t="str">
            <v>None</v>
          </cell>
          <cell r="BK552" t="str">
            <v>2025-04-06 00:00:00</v>
          </cell>
          <cell r="BL552" t="str">
            <v>Airport EG-588</v>
          </cell>
          <cell r="BM552" t="str">
            <v>No</v>
          </cell>
          <cell r="BN552" t="str">
            <v>No</v>
          </cell>
          <cell r="BO552" t="str">
            <v>CPay-000000004</v>
          </cell>
        </row>
        <row r="553">
          <cell r="B553" t="str">
            <v>250287</v>
          </cell>
          <cell r="C553" t="str">
            <v>27.0000000000000000</v>
          </cell>
          <cell r="E553" t="str">
            <v>Cust</v>
          </cell>
          <cell r="G553" t="str">
            <v>No</v>
          </cell>
          <cell r="H553" t="str">
            <v>1900-01-01 00:00:00</v>
          </cell>
          <cell r="K553" t="str">
            <v>M-P</v>
          </cell>
          <cell r="L553" t="str">
            <v>1653.000000</v>
          </cell>
          <cell r="AL553" t="str">
            <v>250287</v>
          </cell>
          <cell r="BC553" t="str">
            <v>Cust-PP</v>
          </cell>
          <cell r="BD553" t="str">
            <v>1.9801980198019800</v>
          </cell>
          <cell r="BE553" t="str">
            <v>.0000000000000000</v>
          </cell>
          <cell r="BF553" t="str">
            <v>.0000000000000000</v>
          </cell>
          <cell r="BG553" t="str">
            <v>None</v>
          </cell>
          <cell r="BK553" t="str">
            <v>2025-04-06 00:00:00</v>
          </cell>
          <cell r="BL553" t="str">
            <v>Airport EG-590</v>
          </cell>
          <cell r="BM553" t="str">
            <v>No</v>
          </cell>
          <cell r="BN553" t="str">
            <v>No</v>
          </cell>
          <cell r="BO553" t="str">
            <v>CPay-000000004</v>
          </cell>
        </row>
        <row r="554">
          <cell r="B554" t="str">
            <v>250288</v>
          </cell>
          <cell r="C554" t="str">
            <v>28.0000000000000000</v>
          </cell>
          <cell r="E554" t="str">
            <v>Cust</v>
          </cell>
          <cell r="G554" t="str">
            <v>No</v>
          </cell>
          <cell r="H554" t="str">
            <v>1900-01-01 00:00:00</v>
          </cell>
          <cell r="K554" t="str">
            <v>M-P</v>
          </cell>
          <cell r="L554" t="str">
            <v>390.790000</v>
          </cell>
          <cell r="AL554" t="str">
            <v>250288</v>
          </cell>
          <cell r="BC554" t="str">
            <v>Cust-PP</v>
          </cell>
          <cell r="BD554" t="str">
            <v>1.9801980198019800</v>
          </cell>
          <cell r="BE554" t="str">
            <v>.0000000000000000</v>
          </cell>
          <cell r="BF554" t="str">
            <v>.0000000000000000</v>
          </cell>
          <cell r="BG554" t="str">
            <v>None</v>
          </cell>
          <cell r="BK554" t="str">
            <v>2025-04-06 00:00:00</v>
          </cell>
          <cell r="BL554" t="str">
            <v>Airport EG-591</v>
          </cell>
          <cell r="BM554" t="str">
            <v>No</v>
          </cell>
          <cell r="BN554" t="str">
            <v>No</v>
          </cell>
          <cell r="BO554" t="str">
            <v>CPay-000000004</v>
          </cell>
        </row>
        <row r="555">
          <cell r="B555" t="str">
            <v>250295</v>
          </cell>
          <cell r="C555" t="str">
            <v>29.0000000000000000</v>
          </cell>
          <cell r="E555" t="str">
            <v>Cust</v>
          </cell>
          <cell r="G555" t="str">
            <v>No</v>
          </cell>
          <cell r="H555" t="str">
            <v>1900-01-01 00:00:00</v>
          </cell>
          <cell r="K555" t="str">
            <v>M-P</v>
          </cell>
          <cell r="L555" t="str">
            <v>2052.000000</v>
          </cell>
          <cell r="AL555" t="str">
            <v>250295</v>
          </cell>
          <cell r="BC555" t="str">
            <v>Cust-PP</v>
          </cell>
          <cell r="BD555" t="str">
            <v>1.9801980198019800</v>
          </cell>
          <cell r="BE555" t="str">
            <v>.0000000000000000</v>
          </cell>
          <cell r="BF555" t="str">
            <v>.0000000000000000</v>
          </cell>
          <cell r="BG555" t="str">
            <v>None</v>
          </cell>
          <cell r="BK555" t="str">
            <v>2025-04-06 00:00:00</v>
          </cell>
          <cell r="BL555" t="str">
            <v>Airport EG-592</v>
          </cell>
          <cell r="BM555" t="str">
            <v>No</v>
          </cell>
          <cell r="BN555" t="str">
            <v>No</v>
          </cell>
          <cell r="BO555" t="str">
            <v>CPay-000000004</v>
          </cell>
        </row>
        <row r="556">
          <cell r="B556" t="str">
            <v>387856</v>
          </cell>
          <cell r="C556" t="str">
            <v>30.0000000000000000</v>
          </cell>
          <cell r="E556" t="str">
            <v>Cust</v>
          </cell>
          <cell r="G556" t="str">
            <v>No</v>
          </cell>
          <cell r="H556" t="str">
            <v>1900-01-01 00:00:00</v>
          </cell>
          <cell r="K556" t="str">
            <v>M-P</v>
          </cell>
          <cell r="L556" t="str">
            <v>456.000000</v>
          </cell>
          <cell r="AL556" t="str">
            <v>387856</v>
          </cell>
          <cell r="BC556" t="str">
            <v>Cust-PP</v>
          </cell>
          <cell r="BD556" t="str">
            <v>1.9801980198019800</v>
          </cell>
          <cell r="BE556" t="str">
            <v>.0000000000000000</v>
          </cell>
          <cell r="BF556" t="str">
            <v>.0000000000000000</v>
          </cell>
          <cell r="BG556" t="str">
            <v>None</v>
          </cell>
          <cell r="BK556" t="str">
            <v>2025-04-06 00:00:00</v>
          </cell>
          <cell r="BL556" t="str">
            <v>Airport EG-583</v>
          </cell>
          <cell r="BM556" t="str">
            <v>No</v>
          </cell>
          <cell r="BN556" t="str">
            <v>No</v>
          </cell>
          <cell r="BO556" t="str">
            <v>CPay-000000004</v>
          </cell>
        </row>
        <row r="557">
          <cell r="B557" t="str">
            <v>251758</v>
          </cell>
          <cell r="C557" t="str">
            <v>31.0000000000000000</v>
          </cell>
          <cell r="E557" t="str">
            <v>Cust</v>
          </cell>
          <cell r="G557" t="str">
            <v>No</v>
          </cell>
          <cell r="H557" t="str">
            <v>1900-01-01 00:00:00</v>
          </cell>
          <cell r="K557" t="str">
            <v>M-P</v>
          </cell>
          <cell r="L557" t="str">
            <v>1000.000000</v>
          </cell>
          <cell r="AL557" t="str">
            <v>251758</v>
          </cell>
          <cell r="BC557" t="str">
            <v>Cust-PP</v>
          </cell>
          <cell r="BD557" t="str">
            <v>1.9801980198019800</v>
          </cell>
          <cell r="BE557" t="str">
            <v>.0000000000000000</v>
          </cell>
          <cell r="BF557" t="str">
            <v>.0000000000000000</v>
          </cell>
          <cell r="BG557" t="str">
            <v>None</v>
          </cell>
          <cell r="BK557" t="str">
            <v>2025-04-07 00:00:00</v>
          </cell>
          <cell r="BL557" t="str">
            <v>Airport EG-613</v>
          </cell>
          <cell r="BM557" t="str">
            <v>No</v>
          </cell>
          <cell r="BN557" t="str">
            <v>No</v>
          </cell>
          <cell r="BO557" t="str">
            <v>CPay-000000004</v>
          </cell>
        </row>
        <row r="558">
          <cell r="B558" t="str">
            <v>251766</v>
          </cell>
          <cell r="C558" t="str">
            <v>32.0000000000000000</v>
          </cell>
          <cell r="E558" t="str">
            <v>Cust</v>
          </cell>
          <cell r="G558" t="str">
            <v>No</v>
          </cell>
          <cell r="H558" t="str">
            <v>1900-01-01 00:00:00</v>
          </cell>
          <cell r="K558" t="str">
            <v>M-P</v>
          </cell>
          <cell r="L558" t="str">
            <v>1653.000000</v>
          </cell>
          <cell r="AL558" t="str">
            <v>251766</v>
          </cell>
          <cell r="BC558" t="str">
            <v>Cust-PP</v>
          </cell>
          <cell r="BD558" t="str">
            <v>1.9801980198019800</v>
          </cell>
          <cell r="BE558" t="str">
            <v>.0000000000000000</v>
          </cell>
          <cell r="BF558" t="str">
            <v>.0000000000000000</v>
          </cell>
          <cell r="BG558" t="str">
            <v>None</v>
          </cell>
          <cell r="BK558" t="str">
            <v>2025-04-07 00:00:00</v>
          </cell>
          <cell r="BL558" t="str">
            <v>Airport EG-607</v>
          </cell>
          <cell r="BM558" t="str">
            <v>No</v>
          </cell>
          <cell r="BN558" t="str">
            <v>No</v>
          </cell>
          <cell r="BO558" t="str">
            <v>CPay-000000004</v>
          </cell>
        </row>
        <row r="559">
          <cell r="B559" t="str">
            <v>251780</v>
          </cell>
          <cell r="C559" t="str">
            <v>33.0000000000000000</v>
          </cell>
          <cell r="E559" t="str">
            <v>Cust</v>
          </cell>
          <cell r="G559" t="str">
            <v>No</v>
          </cell>
          <cell r="H559" t="str">
            <v>1900-01-01 00:00:00</v>
          </cell>
          <cell r="K559" t="str">
            <v>M-P</v>
          </cell>
          <cell r="L559" t="str">
            <v>401.280000</v>
          </cell>
          <cell r="AL559" t="str">
            <v>251780</v>
          </cell>
          <cell r="BC559" t="str">
            <v>Cust-PP</v>
          </cell>
          <cell r="BD559" t="str">
            <v>1.9801980198019800</v>
          </cell>
          <cell r="BE559" t="str">
            <v>.0000000000000000</v>
          </cell>
          <cell r="BF559" t="str">
            <v>.0000000000000000</v>
          </cell>
          <cell r="BG559" t="str">
            <v>None</v>
          </cell>
          <cell r="BK559" t="str">
            <v>2025-04-07 00:00:00</v>
          </cell>
          <cell r="BL559" t="str">
            <v>Airport EG-618</v>
          </cell>
          <cell r="BM559" t="str">
            <v>No</v>
          </cell>
          <cell r="BN559" t="str">
            <v>No</v>
          </cell>
          <cell r="BO559" t="str">
            <v>CPay-000000004</v>
          </cell>
        </row>
        <row r="560">
          <cell r="B560" t="str">
            <v>251821</v>
          </cell>
          <cell r="C560" t="str">
            <v>34.0000000000000000</v>
          </cell>
          <cell r="E560" t="str">
            <v>Cust</v>
          </cell>
          <cell r="G560" t="str">
            <v>No</v>
          </cell>
          <cell r="H560" t="str">
            <v>1900-01-01 00:00:00</v>
          </cell>
          <cell r="K560" t="str">
            <v>M-P</v>
          </cell>
          <cell r="L560" t="str">
            <v>1425.000000</v>
          </cell>
          <cell r="AL560" t="str">
            <v>251821</v>
          </cell>
          <cell r="BC560" t="str">
            <v>Cust-PP</v>
          </cell>
          <cell r="BD560" t="str">
            <v>1.9801980198019800</v>
          </cell>
          <cell r="BE560" t="str">
            <v>.0000000000000000</v>
          </cell>
          <cell r="BF560" t="str">
            <v>.0000000000000000</v>
          </cell>
          <cell r="BG560" t="str">
            <v>None</v>
          </cell>
          <cell r="BK560" t="str">
            <v>2025-04-07 00:00:00</v>
          </cell>
          <cell r="BL560" t="str">
            <v>Airport EG-616</v>
          </cell>
          <cell r="BM560" t="str">
            <v>No</v>
          </cell>
          <cell r="BN560" t="str">
            <v>No</v>
          </cell>
          <cell r="BO560" t="str">
            <v>CPay-000000004</v>
          </cell>
        </row>
        <row r="561">
          <cell r="B561" t="str">
            <v>251824</v>
          </cell>
          <cell r="C561" t="str">
            <v>35.0000000000000000</v>
          </cell>
          <cell r="E561" t="str">
            <v>Cust</v>
          </cell>
          <cell r="G561" t="str">
            <v>No</v>
          </cell>
          <cell r="H561" t="str">
            <v>1900-01-01 00:00:00</v>
          </cell>
          <cell r="K561" t="str">
            <v>M-P</v>
          </cell>
          <cell r="L561" t="str">
            <v>1653.000000</v>
          </cell>
          <cell r="AL561" t="str">
            <v>251824</v>
          </cell>
          <cell r="BC561" t="str">
            <v>Cust-PP</v>
          </cell>
          <cell r="BD561" t="str">
            <v>1.9801980198019800</v>
          </cell>
          <cell r="BE561" t="str">
            <v>.0000000000000000</v>
          </cell>
          <cell r="BF561" t="str">
            <v>.0000000000000000</v>
          </cell>
          <cell r="BG561" t="str">
            <v>None</v>
          </cell>
          <cell r="BK561" t="str">
            <v>2025-04-07 00:00:00</v>
          </cell>
          <cell r="BL561" t="str">
            <v>Airport EG-611</v>
          </cell>
          <cell r="BM561" t="str">
            <v>No</v>
          </cell>
          <cell r="BN561" t="str">
            <v>No</v>
          </cell>
          <cell r="BO561" t="str">
            <v>CPay-000000004</v>
          </cell>
        </row>
        <row r="562">
          <cell r="B562" t="str">
            <v>251827</v>
          </cell>
          <cell r="C562" t="str">
            <v>36.0000000000000000</v>
          </cell>
          <cell r="E562" t="str">
            <v>Cust</v>
          </cell>
          <cell r="G562" t="str">
            <v>No</v>
          </cell>
          <cell r="H562" t="str">
            <v>1900-01-01 00:00:00</v>
          </cell>
          <cell r="K562" t="str">
            <v>M-P</v>
          </cell>
          <cell r="L562" t="str">
            <v>1653.000000</v>
          </cell>
          <cell r="AL562" t="str">
            <v>251827</v>
          </cell>
          <cell r="BC562" t="str">
            <v>Cust-PP</v>
          </cell>
          <cell r="BD562" t="str">
            <v>1.9801980198019800</v>
          </cell>
          <cell r="BE562" t="str">
            <v>.0000000000000000</v>
          </cell>
          <cell r="BF562" t="str">
            <v>.0000000000000000</v>
          </cell>
          <cell r="BG562" t="str">
            <v>None</v>
          </cell>
          <cell r="BK562" t="str">
            <v>2025-04-07 00:00:00</v>
          </cell>
          <cell r="BL562" t="str">
            <v>Airport EG-609</v>
          </cell>
          <cell r="BM562" t="str">
            <v>No</v>
          </cell>
          <cell r="BN562" t="str">
            <v>No</v>
          </cell>
          <cell r="BO562" t="str">
            <v>CPay-000000004</v>
          </cell>
        </row>
        <row r="563">
          <cell r="B563" t="str">
            <v>251857</v>
          </cell>
          <cell r="C563" t="str">
            <v>37.0000000000000000</v>
          </cell>
          <cell r="E563" t="str">
            <v>Cust</v>
          </cell>
          <cell r="G563" t="str">
            <v>No</v>
          </cell>
          <cell r="H563" t="str">
            <v>1900-01-01 00:00:00</v>
          </cell>
          <cell r="K563" t="str">
            <v>M-P</v>
          </cell>
          <cell r="L563" t="str">
            <v>5174.800000</v>
          </cell>
          <cell r="AL563" t="str">
            <v>251857</v>
          </cell>
          <cell r="BC563" t="str">
            <v>Cust-PP</v>
          </cell>
          <cell r="BD563" t="str">
            <v>1.9801980198019800</v>
          </cell>
          <cell r="BE563" t="str">
            <v>.0000000000000000</v>
          </cell>
          <cell r="BF563" t="str">
            <v>.0000000000000000</v>
          </cell>
          <cell r="BG563" t="str">
            <v>None</v>
          </cell>
          <cell r="BK563" t="str">
            <v>2025-04-07 00:00:00</v>
          </cell>
          <cell r="BL563" t="str">
            <v>Airport EG-612</v>
          </cell>
          <cell r="BM563" t="str">
            <v>No</v>
          </cell>
          <cell r="BN563" t="str">
            <v>No</v>
          </cell>
          <cell r="BO563" t="str">
            <v>CPay-000000004</v>
          </cell>
        </row>
        <row r="564">
          <cell r="B564" t="str">
            <v>251859</v>
          </cell>
          <cell r="C564" t="str">
            <v>38.0000000000000000</v>
          </cell>
          <cell r="E564" t="str">
            <v>Cust</v>
          </cell>
          <cell r="G564" t="str">
            <v>No</v>
          </cell>
          <cell r="H564" t="str">
            <v>1900-01-01 00:00:00</v>
          </cell>
          <cell r="K564" t="str">
            <v>M-P</v>
          </cell>
          <cell r="L564" t="str">
            <v>461.590000</v>
          </cell>
          <cell r="AL564" t="str">
            <v>251859</v>
          </cell>
          <cell r="BC564" t="str">
            <v>Cust-PP</v>
          </cell>
          <cell r="BD564" t="str">
            <v>1.9801980198019800</v>
          </cell>
          <cell r="BE564" t="str">
            <v>.0000000000000000</v>
          </cell>
          <cell r="BF564" t="str">
            <v>.0000000000000000</v>
          </cell>
          <cell r="BG564" t="str">
            <v>None</v>
          </cell>
          <cell r="BK564" t="str">
            <v>2025-04-07 00:00:00</v>
          </cell>
          <cell r="BL564" t="str">
            <v>Airport EG-620</v>
          </cell>
          <cell r="BM564" t="str">
            <v>No</v>
          </cell>
          <cell r="BN564" t="str">
            <v>No</v>
          </cell>
          <cell r="BO564" t="str">
            <v>CPay-000000004</v>
          </cell>
        </row>
        <row r="565">
          <cell r="B565" t="str">
            <v>251993</v>
          </cell>
          <cell r="C565" t="str">
            <v>39.0000000000000000</v>
          </cell>
          <cell r="E565" t="str">
            <v>Cust</v>
          </cell>
          <cell r="G565" t="str">
            <v>No</v>
          </cell>
          <cell r="H565" t="str">
            <v>1900-01-01 00:00:00</v>
          </cell>
          <cell r="K565" t="str">
            <v>M-P</v>
          </cell>
          <cell r="L565" t="str">
            <v>1653.000000</v>
          </cell>
          <cell r="AL565" t="str">
            <v>251993</v>
          </cell>
          <cell r="BC565" t="str">
            <v>Cust-PP</v>
          </cell>
          <cell r="BD565" t="str">
            <v>1.9801980198019800</v>
          </cell>
          <cell r="BE565" t="str">
            <v>.0000000000000000</v>
          </cell>
          <cell r="BF565" t="str">
            <v>.0000000000000000</v>
          </cell>
          <cell r="BG565" t="str">
            <v>None</v>
          </cell>
          <cell r="BK565" t="str">
            <v>2025-04-07 00:00:00</v>
          </cell>
          <cell r="BL565" t="str">
            <v>Airport EG-619</v>
          </cell>
          <cell r="BM565" t="str">
            <v>No</v>
          </cell>
          <cell r="BN565" t="str">
            <v>No</v>
          </cell>
          <cell r="BO565" t="str">
            <v>CPay-000000004</v>
          </cell>
        </row>
        <row r="566">
          <cell r="B566" t="str">
            <v>252001</v>
          </cell>
          <cell r="C566" t="str">
            <v>40.0000000000000000</v>
          </cell>
          <cell r="E566" t="str">
            <v>Cust</v>
          </cell>
          <cell r="G566" t="str">
            <v>No</v>
          </cell>
          <cell r="H566" t="str">
            <v>1900-01-01 00:00:00</v>
          </cell>
          <cell r="K566" t="str">
            <v>M-P</v>
          </cell>
          <cell r="L566" t="str">
            <v>296.400000</v>
          </cell>
          <cell r="AL566" t="str">
            <v>252001</v>
          </cell>
          <cell r="BC566" t="str">
            <v>Cust-PP</v>
          </cell>
          <cell r="BD566" t="str">
            <v>1.9801980198019800</v>
          </cell>
          <cell r="BE566" t="str">
            <v>.0000000000000000</v>
          </cell>
          <cell r="BF566" t="str">
            <v>.0000000000000000</v>
          </cell>
          <cell r="BG566" t="str">
            <v>None</v>
          </cell>
          <cell r="BK566" t="str">
            <v>2025-04-07 00:00:00</v>
          </cell>
          <cell r="BL566" t="str">
            <v>Airport EG-610</v>
          </cell>
          <cell r="BM566" t="str">
            <v>No</v>
          </cell>
          <cell r="BN566" t="str">
            <v>No</v>
          </cell>
          <cell r="BO566" t="str">
            <v>CPay-000000004</v>
          </cell>
        </row>
        <row r="567">
          <cell r="B567" t="str">
            <v>252059</v>
          </cell>
          <cell r="C567" t="str">
            <v>41.0000000000000000</v>
          </cell>
          <cell r="E567" t="str">
            <v>Cust</v>
          </cell>
          <cell r="G567" t="str">
            <v>No</v>
          </cell>
          <cell r="H567" t="str">
            <v>1900-01-01 00:00:00</v>
          </cell>
          <cell r="K567" t="str">
            <v>M-P</v>
          </cell>
          <cell r="L567" t="str">
            <v>561.220000</v>
          </cell>
          <cell r="AL567" t="str">
            <v>252059</v>
          </cell>
          <cell r="BC567" t="str">
            <v>Cust-PP</v>
          </cell>
          <cell r="BD567" t="str">
            <v>1.9801980198019800</v>
          </cell>
          <cell r="BE567" t="str">
            <v>.0000000000000000</v>
          </cell>
          <cell r="BF567" t="str">
            <v>.0000000000000000</v>
          </cell>
          <cell r="BG567" t="str">
            <v>None</v>
          </cell>
          <cell r="BK567" t="str">
            <v>2025-04-07 00:00:00</v>
          </cell>
          <cell r="BL567" t="str">
            <v>Airport EG-614</v>
          </cell>
          <cell r="BM567" t="str">
            <v>No</v>
          </cell>
          <cell r="BN567" t="str">
            <v>No</v>
          </cell>
          <cell r="BO567" t="str">
            <v>CPay-000000004</v>
          </cell>
        </row>
        <row r="568">
          <cell r="B568" t="str">
            <v>252113</v>
          </cell>
          <cell r="C568" t="str">
            <v>42.0000000000000000</v>
          </cell>
          <cell r="E568" t="str">
            <v>Cust</v>
          </cell>
          <cell r="G568" t="str">
            <v>No</v>
          </cell>
          <cell r="H568" t="str">
            <v>1900-01-01 00:00:00</v>
          </cell>
          <cell r="K568" t="str">
            <v>M-P</v>
          </cell>
          <cell r="L568" t="str">
            <v>3213.200000</v>
          </cell>
          <cell r="AL568" t="str">
            <v>252113</v>
          </cell>
          <cell r="BC568" t="str">
            <v>Cust-PP</v>
          </cell>
          <cell r="BD568" t="str">
            <v>1.9801980198019800</v>
          </cell>
          <cell r="BE568" t="str">
            <v>.0000000000000000</v>
          </cell>
          <cell r="BF568" t="str">
            <v>.0000000000000000</v>
          </cell>
          <cell r="BG568" t="str">
            <v>None</v>
          </cell>
          <cell r="BK568" t="str">
            <v>2025-04-07 00:00:00</v>
          </cell>
          <cell r="BL568" t="str">
            <v>Airport EG-608</v>
          </cell>
          <cell r="BM568" t="str">
            <v>No</v>
          </cell>
          <cell r="BN568" t="str">
            <v>No</v>
          </cell>
          <cell r="BO568" t="str">
            <v>CPay-000000004</v>
          </cell>
        </row>
        <row r="569">
          <cell r="B569" t="str">
            <v>252116</v>
          </cell>
          <cell r="C569" t="str">
            <v>43.0000000000000000</v>
          </cell>
          <cell r="E569" t="str">
            <v>Cust</v>
          </cell>
          <cell r="G569" t="str">
            <v>No</v>
          </cell>
          <cell r="H569" t="str">
            <v>1900-01-01 00:00:00</v>
          </cell>
          <cell r="K569" t="str">
            <v>M-P</v>
          </cell>
          <cell r="L569" t="str">
            <v>1140.000000</v>
          </cell>
          <cell r="AL569" t="str">
            <v>252116</v>
          </cell>
          <cell r="BC569" t="str">
            <v>Cust-PP</v>
          </cell>
          <cell r="BD569" t="str">
            <v>1.9801980198019800</v>
          </cell>
          <cell r="BE569" t="str">
            <v>.0000000000000000</v>
          </cell>
          <cell r="BF569" t="str">
            <v>.0000000000000000</v>
          </cell>
          <cell r="BG569" t="str">
            <v>None</v>
          </cell>
          <cell r="BK569" t="str">
            <v>2025-04-07 00:00:00</v>
          </cell>
          <cell r="BL569" t="str">
            <v>Airport EG-615</v>
          </cell>
          <cell r="BM569" t="str">
            <v>No</v>
          </cell>
          <cell r="BN569" t="str">
            <v>No</v>
          </cell>
          <cell r="BO569" t="str">
            <v>CPay-000000004</v>
          </cell>
        </row>
        <row r="570">
          <cell r="B570" t="str">
            <v>252199</v>
          </cell>
          <cell r="C570" t="str">
            <v>44.0000000000000000</v>
          </cell>
          <cell r="E570" t="str">
            <v>Cust</v>
          </cell>
          <cell r="G570" t="str">
            <v>No</v>
          </cell>
          <cell r="H570" t="str">
            <v>1900-01-01 00:00:00</v>
          </cell>
          <cell r="K570" t="str">
            <v>M-P</v>
          </cell>
          <cell r="L570" t="str">
            <v>1653.000000</v>
          </cell>
          <cell r="AL570" t="str">
            <v>252199</v>
          </cell>
          <cell r="BC570" t="str">
            <v>Cust-PP</v>
          </cell>
          <cell r="BD570" t="str">
            <v>1.9801980198019800</v>
          </cell>
          <cell r="BE570" t="str">
            <v>.0000000000000000</v>
          </cell>
          <cell r="BF570" t="str">
            <v>.0000000000000000</v>
          </cell>
          <cell r="BG570" t="str">
            <v>None</v>
          </cell>
          <cell r="BK570" t="str">
            <v>2025-04-07 00:00:00</v>
          </cell>
          <cell r="BL570" t="str">
            <v>Airport EG-617</v>
          </cell>
          <cell r="BM570" t="str">
            <v>No</v>
          </cell>
          <cell r="BN570" t="str">
            <v>No</v>
          </cell>
          <cell r="BO570" t="str">
            <v>CPay-000000004</v>
          </cell>
        </row>
        <row r="571">
          <cell r="B571" t="str">
            <v>302866</v>
          </cell>
          <cell r="C571" t="str">
            <v>45.0000000000000000</v>
          </cell>
          <cell r="E571" t="str">
            <v>Cust</v>
          </cell>
          <cell r="G571" t="str">
            <v>No</v>
          </cell>
          <cell r="H571" t="str">
            <v>1900-01-01 00:00:00</v>
          </cell>
          <cell r="K571" t="str">
            <v>M-P</v>
          </cell>
          <cell r="L571" t="str">
            <v>1653.000000</v>
          </cell>
          <cell r="AL571" t="str">
            <v>302866</v>
          </cell>
          <cell r="BC571" t="str">
            <v>Cust-PP</v>
          </cell>
          <cell r="BD571" t="str">
            <v>1.9801980198019800</v>
          </cell>
          <cell r="BE571" t="str">
            <v>.0000000000000000</v>
          </cell>
          <cell r="BF571" t="str">
            <v>.0000000000000000</v>
          </cell>
          <cell r="BG571" t="str">
            <v>None</v>
          </cell>
          <cell r="BK571" t="str">
            <v>2025-04-08 00:00:00</v>
          </cell>
          <cell r="BL571" t="str">
            <v>Airport EG-627</v>
          </cell>
          <cell r="BM571" t="str">
            <v>No</v>
          </cell>
          <cell r="BN571" t="str">
            <v>No</v>
          </cell>
          <cell r="BO571" t="str">
            <v>CPay-000000004</v>
          </cell>
        </row>
        <row r="572">
          <cell r="B572" t="str">
            <v>302868</v>
          </cell>
          <cell r="C572" t="str">
            <v>46.0000000000000000</v>
          </cell>
          <cell r="E572" t="str">
            <v>Cust</v>
          </cell>
          <cell r="G572" t="str">
            <v>No</v>
          </cell>
          <cell r="H572" t="str">
            <v>1900-01-01 00:00:00</v>
          </cell>
          <cell r="K572" t="str">
            <v>M-P</v>
          </cell>
          <cell r="L572" t="str">
            <v>689.700000</v>
          </cell>
          <cell r="AL572" t="str">
            <v>302868</v>
          </cell>
          <cell r="BC572" t="str">
            <v>Cust-PP</v>
          </cell>
          <cell r="BD572" t="str">
            <v>1.9801980198019800</v>
          </cell>
          <cell r="BE572" t="str">
            <v>.0000000000000000</v>
          </cell>
          <cell r="BF572" t="str">
            <v>.0000000000000000</v>
          </cell>
          <cell r="BG572" t="str">
            <v>None</v>
          </cell>
          <cell r="BK572" t="str">
            <v>2025-04-08 00:00:00</v>
          </cell>
          <cell r="BL572" t="str">
            <v>Airport EG-628</v>
          </cell>
          <cell r="BM572" t="str">
            <v>No</v>
          </cell>
          <cell r="BN572" t="str">
            <v>No</v>
          </cell>
          <cell r="BO572" t="str">
            <v>CPay-000000004</v>
          </cell>
        </row>
        <row r="573">
          <cell r="B573" t="str">
            <v>302908</v>
          </cell>
          <cell r="C573" t="str">
            <v>47.0000000000000000</v>
          </cell>
          <cell r="E573" t="str">
            <v>Cust</v>
          </cell>
          <cell r="G573" t="str">
            <v>No</v>
          </cell>
          <cell r="H573" t="str">
            <v>1900-01-01 00:00:00</v>
          </cell>
          <cell r="K573" t="str">
            <v>M-P</v>
          </cell>
          <cell r="L573" t="str">
            <v>1653.000000</v>
          </cell>
          <cell r="AL573" t="str">
            <v>302908</v>
          </cell>
          <cell r="BC573" t="str">
            <v>Cust-PP</v>
          </cell>
          <cell r="BD573" t="str">
            <v>1.9801980198019800</v>
          </cell>
          <cell r="BE573" t="str">
            <v>.0000000000000000</v>
          </cell>
          <cell r="BF573" t="str">
            <v>.0000000000000000</v>
          </cell>
          <cell r="BG573" t="str">
            <v>None</v>
          </cell>
          <cell r="BK573" t="str">
            <v>2025-04-08 00:00:00</v>
          </cell>
          <cell r="BL573" t="str">
            <v>Airport EG-621</v>
          </cell>
          <cell r="BM573" t="str">
            <v>No</v>
          </cell>
          <cell r="BN573" t="str">
            <v>No</v>
          </cell>
          <cell r="BO573" t="str">
            <v>CPay-000000004</v>
          </cell>
        </row>
        <row r="574">
          <cell r="B574" t="str">
            <v>302909</v>
          </cell>
          <cell r="C574" t="str">
            <v>48.0000000000000000</v>
          </cell>
          <cell r="E574" t="str">
            <v>Cust</v>
          </cell>
          <cell r="G574" t="str">
            <v>No</v>
          </cell>
          <cell r="H574" t="str">
            <v>1900-01-01 00:00:00</v>
          </cell>
          <cell r="K574" t="str">
            <v>M-P</v>
          </cell>
          <cell r="L574" t="str">
            <v>199.500000</v>
          </cell>
          <cell r="AL574" t="str">
            <v>302909</v>
          </cell>
          <cell r="BC574" t="str">
            <v>Cust-PP</v>
          </cell>
          <cell r="BD574" t="str">
            <v>1.9801980198019800</v>
          </cell>
          <cell r="BE574" t="str">
            <v>.0000000000000000</v>
          </cell>
          <cell r="BF574" t="str">
            <v>.0000000000000000</v>
          </cell>
          <cell r="BG574" t="str">
            <v>None</v>
          </cell>
          <cell r="BK574" t="str">
            <v>2025-04-08 00:00:00</v>
          </cell>
          <cell r="BL574" t="str">
            <v>Airport EG-622</v>
          </cell>
          <cell r="BM574" t="str">
            <v>No</v>
          </cell>
          <cell r="BN574" t="str">
            <v>No</v>
          </cell>
          <cell r="BO574" t="str">
            <v>CPay-000000004</v>
          </cell>
        </row>
        <row r="575">
          <cell r="B575" t="str">
            <v>302929</v>
          </cell>
          <cell r="C575" t="str">
            <v>49.0000000000000000</v>
          </cell>
          <cell r="E575" t="str">
            <v>Cust</v>
          </cell>
          <cell r="G575" t="str">
            <v>No</v>
          </cell>
          <cell r="H575" t="str">
            <v>1900-01-01 00:00:00</v>
          </cell>
          <cell r="K575" t="str">
            <v>M-P</v>
          </cell>
          <cell r="L575" t="str">
            <v>1653.000000</v>
          </cell>
          <cell r="AL575" t="str">
            <v>302929</v>
          </cell>
          <cell r="BC575" t="str">
            <v>Cust-PP</v>
          </cell>
          <cell r="BD575" t="str">
            <v>1.9801980198019800</v>
          </cell>
          <cell r="BE575" t="str">
            <v>.0000000000000000</v>
          </cell>
          <cell r="BF575" t="str">
            <v>.0000000000000000</v>
          </cell>
          <cell r="BG575" t="str">
            <v>None</v>
          </cell>
          <cell r="BK575" t="str">
            <v>2025-04-08 00:00:00</v>
          </cell>
          <cell r="BL575" t="str">
            <v>Airport EG-623</v>
          </cell>
          <cell r="BM575" t="str">
            <v>No</v>
          </cell>
          <cell r="BN575" t="str">
            <v>No</v>
          </cell>
          <cell r="BO575" t="str">
            <v>CPay-000000004</v>
          </cell>
        </row>
        <row r="576">
          <cell r="B576" t="str">
            <v>302930</v>
          </cell>
          <cell r="C576" t="str">
            <v>50.0000000000000000</v>
          </cell>
          <cell r="E576" t="str">
            <v>Cust</v>
          </cell>
          <cell r="G576" t="str">
            <v>No</v>
          </cell>
          <cell r="H576" t="str">
            <v>1900-01-01 00:00:00</v>
          </cell>
          <cell r="K576" t="str">
            <v>M-P</v>
          </cell>
          <cell r="L576" t="str">
            <v>1872.560000</v>
          </cell>
          <cell r="AL576" t="str">
            <v>302930</v>
          </cell>
          <cell r="BC576" t="str">
            <v>Cust-PP</v>
          </cell>
          <cell r="BD576" t="str">
            <v>1.9801980198019800</v>
          </cell>
          <cell r="BE576" t="str">
            <v>.0000000000000000</v>
          </cell>
          <cell r="BF576" t="str">
            <v>.0000000000000000</v>
          </cell>
          <cell r="BG576" t="str">
            <v>None</v>
          </cell>
          <cell r="BK576" t="str">
            <v>2025-04-08 00:00:00</v>
          </cell>
          <cell r="BL576" t="str">
            <v>Airport EG-624</v>
          </cell>
          <cell r="BM576" t="str">
            <v>No</v>
          </cell>
          <cell r="BN576" t="str">
            <v>No</v>
          </cell>
          <cell r="BO576" t="str">
            <v>CPay-000000004</v>
          </cell>
        </row>
        <row r="577">
          <cell r="B577" t="str">
            <v>302934</v>
          </cell>
          <cell r="C577" t="str">
            <v>51.0000000000000000</v>
          </cell>
          <cell r="E577" t="str">
            <v>Cust</v>
          </cell>
          <cell r="G577" t="str">
            <v>No</v>
          </cell>
          <cell r="H577" t="str">
            <v>1900-01-01 00:00:00</v>
          </cell>
          <cell r="K577" t="str">
            <v>M-P</v>
          </cell>
          <cell r="L577" t="str">
            <v>1653.000000</v>
          </cell>
          <cell r="AL577" t="str">
            <v>302934</v>
          </cell>
          <cell r="BC577" t="str">
            <v>Cust-PP</v>
          </cell>
          <cell r="BD577" t="str">
            <v>1.9801980198019800</v>
          </cell>
          <cell r="BE577" t="str">
            <v>.0000000000000000</v>
          </cell>
          <cell r="BF577" t="str">
            <v>.0000000000000000</v>
          </cell>
          <cell r="BG577" t="str">
            <v>None</v>
          </cell>
          <cell r="BK577" t="str">
            <v>2025-04-08 00:00:00</v>
          </cell>
          <cell r="BL577" t="str">
            <v>Airport EG-625</v>
          </cell>
          <cell r="BM577" t="str">
            <v>No</v>
          </cell>
          <cell r="BN577" t="str">
            <v>No</v>
          </cell>
          <cell r="BO577" t="str">
            <v>CPay-000000004</v>
          </cell>
        </row>
        <row r="578">
          <cell r="B578" t="str">
            <v>302936</v>
          </cell>
          <cell r="C578" t="str">
            <v>52.0000000000000000</v>
          </cell>
          <cell r="E578" t="str">
            <v>Cust</v>
          </cell>
          <cell r="G578" t="str">
            <v>No</v>
          </cell>
          <cell r="H578" t="str">
            <v>1900-01-01 00:00:00</v>
          </cell>
          <cell r="K578" t="str">
            <v>M-P</v>
          </cell>
          <cell r="L578" t="str">
            <v>199.500000</v>
          </cell>
          <cell r="AL578" t="str">
            <v>302936</v>
          </cell>
          <cell r="BC578" t="str">
            <v>Cust-PP</v>
          </cell>
          <cell r="BD578" t="str">
            <v>1.9801980198019800</v>
          </cell>
          <cell r="BE578" t="str">
            <v>.0000000000000000</v>
          </cell>
          <cell r="BF578" t="str">
            <v>.0000000000000000</v>
          </cell>
          <cell r="BG578" t="str">
            <v>None</v>
          </cell>
          <cell r="BK578" t="str">
            <v>2025-04-08 00:00:00</v>
          </cell>
          <cell r="BL578" t="str">
            <v>Airport EG-626</v>
          </cell>
          <cell r="BM578" t="str">
            <v>No</v>
          </cell>
          <cell r="BN578" t="str">
            <v>No</v>
          </cell>
          <cell r="BO578" t="str">
            <v>CPay-000000004</v>
          </cell>
        </row>
        <row r="579">
          <cell r="B579" t="str">
            <v>302787</v>
          </cell>
          <cell r="C579" t="str">
            <v>53.0000000000000000</v>
          </cell>
          <cell r="E579" t="str">
            <v>Cust</v>
          </cell>
          <cell r="G579" t="str">
            <v>No</v>
          </cell>
          <cell r="H579" t="str">
            <v>1900-01-01 00:00:00</v>
          </cell>
          <cell r="K579" t="str">
            <v>M-P</v>
          </cell>
          <cell r="L579" t="str">
            <v>1653.000000</v>
          </cell>
          <cell r="AL579" t="str">
            <v>302787</v>
          </cell>
          <cell r="BC579" t="str">
            <v>Cust-PP</v>
          </cell>
          <cell r="BD579" t="str">
            <v>1.9801980198019800</v>
          </cell>
          <cell r="BE579" t="str">
            <v>.0000000000000000</v>
          </cell>
          <cell r="BF579" t="str">
            <v>.0000000000000000</v>
          </cell>
          <cell r="BG579" t="str">
            <v>None</v>
          </cell>
          <cell r="BK579" t="str">
            <v>2025-04-09 00:00:00</v>
          </cell>
          <cell r="BL579" t="str">
            <v>Airport EG-633</v>
          </cell>
          <cell r="BM579" t="str">
            <v>No</v>
          </cell>
          <cell r="BN579" t="str">
            <v>No</v>
          </cell>
          <cell r="BO579" t="str">
            <v>CPay-000000004</v>
          </cell>
        </row>
        <row r="580">
          <cell r="B580" t="str">
            <v>302788</v>
          </cell>
          <cell r="C580" t="str">
            <v>54.0000000000000000</v>
          </cell>
          <cell r="E580" t="str">
            <v>Cust</v>
          </cell>
          <cell r="G580" t="str">
            <v>No</v>
          </cell>
          <cell r="H580" t="str">
            <v>1900-01-01 00:00:00</v>
          </cell>
          <cell r="K580" t="str">
            <v>M-P</v>
          </cell>
          <cell r="L580" t="str">
            <v>2016.660000</v>
          </cell>
          <cell r="AL580" t="str">
            <v>302788</v>
          </cell>
          <cell r="BC580" t="str">
            <v>Cust-PP</v>
          </cell>
          <cell r="BD580" t="str">
            <v>1.9801980198019800</v>
          </cell>
          <cell r="BE580" t="str">
            <v>.0000000000000000</v>
          </cell>
          <cell r="BF580" t="str">
            <v>.0000000000000000</v>
          </cell>
          <cell r="BG580" t="str">
            <v>None</v>
          </cell>
          <cell r="BK580" t="str">
            <v>2025-04-09 00:00:00</v>
          </cell>
          <cell r="BL580" t="str">
            <v>Airport EG-634</v>
          </cell>
          <cell r="BM580" t="str">
            <v>No</v>
          </cell>
          <cell r="BN580" t="str">
            <v>No</v>
          </cell>
          <cell r="BO580" t="str">
            <v>CPay-000000004</v>
          </cell>
        </row>
        <row r="581">
          <cell r="B581" t="str">
            <v>317350</v>
          </cell>
          <cell r="C581" t="str">
            <v>55.0000000000000000</v>
          </cell>
          <cell r="E581" t="str">
            <v>Cust</v>
          </cell>
          <cell r="G581" t="str">
            <v>No</v>
          </cell>
          <cell r="H581" t="str">
            <v>1900-01-01 00:00:00</v>
          </cell>
          <cell r="K581" t="str">
            <v>M-P</v>
          </cell>
          <cell r="L581" t="str">
            <v>1490.030000</v>
          </cell>
          <cell r="AL581" t="str">
            <v>317350</v>
          </cell>
          <cell r="BC581" t="str">
            <v>Cust-PP</v>
          </cell>
          <cell r="BD581" t="str">
            <v>107.9207920000000000</v>
          </cell>
          <cell r="BE581" t="str">
            <v>.0000000000000000</v>
          </cell>
          <cell r="BF581" t="str">
            <v>.0000000000000000</v>
          </cell>
          <cell r="BG581" t="str">
            <v>None</v>
          </cell>
          <cell r="BK581" t="str">
            <v>2025-04-09 00:00:00</v>
          </cell>
          <cell r="BL581" t="str">
            <v>Airport EG-635</v>
          </cell>
          <cell r="BM581" t="str">
            <v>No</v>
          </cell>
          <cell r="BN581" t="str">
            <v>No</v>
          </cell>
          <cell r="BO581" t="str">
            <v>CPay-000000004</v>
          </cell>
        </row>
        <row r="582">
          <cell r="B582" t="str">
            <v>302747</v>
          </cell>
          <cell r="C582" t="str">
            <v>56.0000000000000000</v>
          </cell>
          <cell r="E582" t="str">
            <v>Cust</v>
          </cell>
          <cell r="G582" t="str">
            <v>No</v>
          </cell>
          <cell r="H582" t="str">
            <v>1900-01-01 00:00:00</v>
          </cell>
          <cell r="K582" t="str">
            <v>M-P</v>
          </cell>
          <cell r="L582" t="str">
            <v>1450.000000</v>
          </cell>
          <cell r="AL582" t="str">
            <v>302747</v>
          </cell>
          <cell r="BC582" t="str">
            <v>Cust-PP</v>
          </cell>
          <cell r="BD582" t="str">
            <v>1.9801980198019800</v>
          </cell>
          <cell r="BE582" t="str">
            <v>.0000000000000000</v>
          </cell>
          <cell r="BF582" t="str">
            <v>.0000000000000000</v>
          </cell>
          <cell r="BG582" t="str">
            <v>None</v>
          </cell>
          <cell r="BK582" t="str">
            <v>2025-04-10 00:00:00</v>
          </cell>
          <cell r="BL582" t="str">
            <v>Airport EG-636</v>
          </cell>
          <cell r="BM582" t="str">
            <v>No</v>
          </cell>
          <cell r="BN582" t="str">
            <v>No</v>
          </cell>
          <cell r="BO582" t="str">
            <v>CPay-000000004</v>
          </cell>
        </row>
        <row r="583">
          <cell r="B583" t="str">
            <v>302748</v>
          </cell>
          <cell r="C583" t="str">
            <v>57.0000000000000000</v>
          </cell>
          <cell r="E583" t="str">
            <v>Cust</v>
          </cell>
          <cell r="G583" t="str">
            <v>No</v>
          </cell>
          <cell r="H583" t="str">
            <v>1900-01-01 00:00:00</v>
          </cell>
          <cell r="K583" t="str">
            <v>M-P</v>
          </cell>
          <cell r="L583" t="str">
            <v>199.500000</v>
          </cell>
          <cell r="AL583" t="str">
            <v>302748</v>
          </cell>
          <cell r="BC583" t="str">
            <v>Cust-PP</v>
          </cell>
          <cell r="BD583" t="str">
            <v>1.9801980198019800</v>
          </cell>
          <cell r="BE583" t="str">
            <v>.0000000000000000</v>
          </cell>
          <cell r="BF583" t="str">
            <v>.0000000000000000</v>
          </cell>
          <cell r="BG583" t="str">
            <v>None</v>
          </cell>
          <cell r="BK583" t="str">
            <v>2025-04-10 00:00:00</v>
          </cell>
          <cell r="BL583" t="str">
            <v>Airport EG-637</v>
          </cell>
          <cell r="BM583" t="str">
            <v>No</v>
          </cell>
          <cell r="BN583" t="str">
            <v>No</v>
          </cell>
          <cell r="BO583" t="str">
            <v>CPay-000000004</v>
          </cell>
        </row>
        <row r="584">
          <cell r="B584" t="str">
            <v>302777</v>
          </cell>
          <cell r="C584" t="str">
            <v>58.0000000000000000</v>
          </cell>
          <cell r="E584" t="str">
            <v>Cust</v>
          </cell>
          <cell r="G584" t="str">
            <v>No</v>
          </cell>
          <cell r="H584" t="str">
            <v>1900-01-01 00:00:00</v>
          </cell>
          <cell r="K584" t="str">
            <v>M-P</v>
          </cell>
          <cell r="L584" t="str">
            <v>1653.000000</v>
          </cell>
          <cell r="AL584" t="str">
            <v>302777</v>
          </cell>
          <cell r="BC584" t="str">
            <v>Cust-PP</v>
          </cell>
          <cell r="BD584" t="str">
            <v>1.9801980198019800</v>
          </cell>
          <cell r="BE584" t="str">
            <v>.0000000000000000</v>
          </cell>
          <cell r="BF584" t="str">
            <v>.0000000000000000</v>
          </cell>
          <cell r="BG584" t="str">
            <v>None</v>
          </cell>
          <cell r="BK584" t="str">
            <v>2025-04-10 00:00:00</v>
          </cell>
          <cell r="BL584" t="str">
            <v>Airport EG-638</v>
          </cell>
          <cell r="BM584" t="str">
            <v>No</v>
          </cell>
          <cell r="BN584" t="str">
            <v>No</v>
          </cell>
          <cell r="BO584" t="str">
            <v>CPay-000000004</v>
          </cell>
        </row>
        <row r="585">
          <cell r="B585" t="str">
            <v>302778</v>
          </cell>
          <cell r="C585" t="str">
            <v>59.0000000000000000</v>
          </cell>
          <cell r="E585" t="str">
            <v>Cust</v>
          </cell>
          <cell r="G585" t="str">
            <v>No</v>
          </cell>
          <cell r="H585" t="str">
            <v>1900-01-01 00:00:00</v>
          </cell>
          <cell r="K585" t="str">
            <v>M-P</v>
          </cell>
          <cell r="L585" t="str">
            <v>370.500000</v>
          </cell>
          <cell r="AL585" t="str">
            <v>302778</v>
          </cell>
          <cell r="BC585" t="str">
            <v>Cust-PP</v>
          </cell>
          <cell r="BD585" t="str">
            <v>1.9801980198019800</v>
          </cell>
          <cell r="BE585" t="str">
            <v>.0000000000000000</v>
          </cell>
          <cell r="BF585" t="str">
            <v>.0000000000000000</v>
          </cell>
          <cell r="BG585" t="str">
            <v>None</v>
          </cell>
          <cell r="BK585" t="str">
            <v>2025-04-10 00:00:00</v>
          </cell>
          <cell r="BL585" t="str">
            <v>Airport EG-639</v>
          </cell>
          <cell r="BM585" t="str">
            <v>No</v>
          </cell>
          <cell r="BN585" t="str">
            <v>No</v>
          </cell>
          <cell r="BO585" t="str">
            <v>CPay-000000004</v>
          </cell>
        </row>
        <row r="586">
          <cell r="B586" t="str">
            <v>255882</v>
          </cell>
          <cell r="C586" t="str">
            <v>60.0000000000000000</v>
          </cell>
          <cell r="E586" t="str">
            <v>Cust</v>
          </cell>
          <cell r="G586" t="str">
            <v>No</v>
          </cell>
          <cell r="H586" t="str">
            <v>1900-01-01 00:00:00</v>
          </cell>
          <cell r="K586" t="str">
            <v>M-P</v>
          </cell>
          <cell r="L586" t="str">
            <v>1653.000000</v>
          </cell>
          <cell r="AL586" t="str">
            <v>255882</v>
          </cell>
          <cell r="BC586" t="str">
            <v>Cust-PP</v>
          </cell>
          <cell r="BD586" t="str">
            <v>1.9801980198019800</v>
          </cell>
          <cell r="BE586" t="str">
            <v>.0000000000000000</v>
          </cell>
          <cell r="BF586" t="str">
            <v>.0000000000000000</v>
          </cell>
          <cell r="BG586" t="str">
            <v>None</v>
          </cell>
          <cell r="BK586" t="str">
            <v>2025-04-14 00:00:00</v>
          </cell>
          <cell r="BL586" t="str">
            <v>Airport EG-646</v>
          </cell>
          <cell r="BM586" t="str">
            <v>No</v>
          </cell>
          <cell r="BN586" t="str">
            <v>No</v>
          </cell>
          <cell r="BO586" t="str">
            <v>CPay-000000004</v>
          </cell>
        </row>
        <row r="587">
          <cell r="B587" t="str">
            <v>255883</v>
          </cell>
          <cell r="C587" t="str">
            <v>61.0000000000000000</v>
          </cell>
          <cell r="E587" t="str">
            <v>Cust</v>
          </cell>
          <cell r="G587" t="str">
            <v>No</v>
          </cell>
          <cell r="H587" t="str">
            <v>1900-01-01 00:00:00</v>
          </cell>
          <cell r="K587" t="str">
            <v>M-P</v>
          </cell>
          <cell r="L587" t="str">
            <v>296.400000</v>
          </cell>
          <cell r="AL587" t="str">
            <v>255883</v>
          </cell>
          <cell r="BC587" t="str">
            <v>Cust-PP</v>
          </cell>
          <cell r="BD587" t="str">
            <v>1.9801980198019800</v>
          </cell>
          <cell r="BE587" t="str">
            <v>.0000000000000000</v>
          </cell>
          <cell r="BF587" t="str">
            <v>.0000000000000000</v>
          </cell>
          <cell r="BG587" t="str">
            <v>None</v>
          </cell>
          <cell r="BK587" t="str">
            <v>2025-04-14 00:00:00</v>
          </cell>
          <cell r="BL587" t="str">
            <v>Airport EG-647</v>
          </cell>
          <cell r="BM587" t="str">
            <v>No</v>
          </cell>
          <cell r="BN587" t="str">
            <v>No</v>
          </cell>
          <cell r="BO587" t="str">
            <v>CPay-000000004</v>
          </cell>
        </row>
        <row r="588">
          <cell r="B588" t="str">
            <v>255885</v>
          </cell>
          <cell r="C588" t="str">
            <v>62.0000000000000000</v>
          </cell>
          <cell r="E588" t="str">
            <v>Cust</v>
          </cell>
          <cell r="G588" t="str">
            <v>No</v>
          </cell>
          <cell r="H588" t="str">
            <v>1900-01-01 00:00:00</v>
          </cell>
          <cell r="K588" t="str">
            <v>M-P</v>
          </cell>
          <cell r="L588" t="str">
            <v>2052.000000</v>
          </cell>
          <cell r="AL588" t="str">
            <v>255885</v>
          </cell>
          <cell r="BC588" t="str">
            <v>Cust-PP</v>
          </cell>
          <cell r="BD588" t="str">
            <v>1.9801980198019800</v>
          </cell>
          <cell r="BE588" t="str">
            <v>.0000000000000000</v>
          </cell>
          <cell r="BF588" t="str">
            <v>.0000000000000000</v>
          </cell>
          <cell r="BG588" t="str">
            <v>None</v>
          </cell>
          <cell r="BK588" t="str">
            <v>2025-04-14 00:00:00</v>
          </cell>
          <cell r="BL588" t="str">
            <v>Airport EG-648</v>
          </cell>
          <cell r="BM588" t="str">
            <v>No</v>
          </cell>
          <cell r="BN588" t="str">
            <v>No</v>
          </cell>
          <cell r="BO588" t="str">
            <v>CPay-000000004</v>
          </cell>
        </row>
        <row r="589">
          <cell r="B589" t="str">
            <v>255887</v>
          </cell>
          <cell r="C589" t="str">
            <v>63.0000000000000000</v>
          </cell>
          <cell r="E589" t="str">
            <v>Cust</v>
          </cell>
          <cell r="G589" t="str">
            <v>No</v>
          </cell>
          <cell r="H589" t="str">
            <v>1900-01-01 00:00:00</v>
          </cell>
          <cell r="K589" t="str">
            <v>M-P</v>
          </cell>
          <cell r="L589" t="str">
            <v>4105.140000</v>
          </cell>
          <cell r="AL589" t="str">
            <v>255887</v>
          </cell>
          <cell r="BC589" t="str">
            <v>Cust-PP</v>
          </cell>
          <cell r="BD589" t="str">
            <v>1.9801980198019800</v>
          </cell>
          <cell r="BE589" t="str">
            <v>.0000000000000000</v>
          </cell>
          <cell r="BF589" t="str">
            <v>.0000000000000000</v>
          </cell>
          <cell r="BG589" t="str">
            <v>None</v>
          </cell>
          <cell r="BK589" t="str">
            <v>2025-04-14 00:00:00</v>
          </cell>
          <cell r="BL589" t="str">
            <v>Airport EG-649</v>
          </cell>
          <cell r="BM589" t="str">
            <v>No</v>
          </cell>
          <cell r="BN589" t="str">
            <v>No</v>
          </cell>
          <cell r="BO589" t="str">
            <v>CPay-000000004</v>
          </cell>
        </row>
        <row r="590">
          <cell r="B590" t="str">
            <v>255888</v>
          </cell>
          <cell r="C590" t="str">
            <v>64.0000000000000000</v>
          </cell>
          <cell r="E590" t="str">
            <v>Cust</v>
          </cell>
          <cell r="G590" t="str">
            <v>No</v>
          </cell>
          <cell r="H590" t="str">
            <v>1900-01-01 00:00:00</v>
          </cell>
          <cell r="K590" t="str">
            <v>M-P</v>
          </cell>
          <cell r="L590" t="str">
            <v>2052.000000</v>
          </cell>
          <cell r="AL590" t="str">
            <v>255888</v>
          </cell>
          <cell r="BC590" t="str">
            <v>Cust-PP</v>
          </cell>
          <cell r="BD590" t="str">
            <v>1.9801980198019800</v>
          </cell>
          <cell r="BE590" t="str">
            <v>.0000000000000000</v>
          </cell>
          <cell r="BF590" t="str">
            <v>.0000000000000000</v>
          </cell>
          <cell r="BG590" t="str">
            <v>None</v>
          </cell>
          <cell r="BK590" t="str">
            <v>2025-04-14 00:00:00</v>
          </cell>
          <cell r="BL590" t="str">
            <v>Airport EG-650</v>
          </cell>
          <cell r="BM590" t="str">
            <v>No</v>
          </cell>
          <cell r="BN590" t="str">
            <v>No</v>
          </cell>
          <cell r="BO590" t="str">
            <v>CPay-000000004</v>
          </cell>
        </row>
        <row r="591">
          <cell r="B591" t="str">
            <v>255890</v>
          </cell>
          <cell r="C591" t="str">
            <v>65.0000000000000000</v>
          </cell>
          <cell r="E591" t="str">
            <v>Cust</v>
          </cell>
          <cell r="G591" t="str">
            <v>No</v>
          </cell>
          <cell r="H591" t="str">
            <v>1900-01-01 00:00:00</v>
          </cell>
          <cell r="K591" t="str">
            <v>M-P</v>
          </cell>
          <cell r="L591" t="str">
            <v>780.900000</v>
          </cell>
          <cell r="AL591" t="str">
            <v>255890</v>
          </cell>
          <cell r="BC591" t="str">
            <v>Cust-PP</v>
          </cell>
          <cell r="BD591" t="str">
            <v>1.9801980198019800</v>
          </cell>
          <cell r="BE591" t="str">
            <v>.0000000000000000</v>
          </cell>
          <cell r="BF591" t="str">
            <v>.0000000000000000</v>
          </cell>
          <cell r="BG591" t="str">
            <v>None</v>
          </cell>
          <cell r="BK591" t="str">
            <v>2025-04-14 00:00:00</v>
          </cell>
          <cell r="BL591" t="str">
            <v>Airport EG-651</v>
          </cell>
          <cell r="BM591" t="str">
            <v>No</v>
          </cell>
          <cell r="BN591" t="str">
            <v>No</v>
          </cell>
          <cell r="BO591" t="str">
            <v>CPay-000000004</v>
          </cell>
        </row>
        <row r="592">
          <cell r="B592" t="str">
            <v>255907</v>
          </cell>
          <cell r="C592" t="str">
            <v>66.0000000000000000</v>
          </cell>
          <cell r="E592" t="str">
            <v>Cust</v>
          </cell>
          <cell r="G592" t="str">
            <v>No</v>
          </cell>
          <cell r="H592" t="str">
            <v>1900-01-01 00:00:00</v>
          </cell>
          <cell r="K592" t="str">
            <v>M-P</v>
          </cell>
          <cell r="L592" t="str">
            <v>199.500000</v>
          </cell>
          <cell r="AL592" t="str">
            <v>255907</v>
          </cell>
          <cell r="BC592" t="str">
            <v>Cust-PP</v>
          </cell>
          <cell r="BD592" t="str">
            <v>1.9801980198019800</v>
          </cell>
          <cell r="BE592" t="str">
            <v>.0000000000000000</v>
          </cell>
          <cell r="BF592" t="str">
            <v>.0000000000000000</v>
          </cell>
          <cell r="BG592" t="str">
            <v>None</v>
          </cell>
          <cell r="BK592" t="str">
            <v>2025-04-14 00:00:00</v>
          </cell>
          <cell r="BL592" t="str">
            <v>Airport EG-643</v>
          </cell>
          <cell r="BM592" t="str">
            <v>No</v>
          </cell>
          <cell r="BN592" t="str">
            <v>No</v>
          </cell>
          <cell r="BO592" t="str">
            <v>CPay-000000004</v>
          </cell>
        </row>
        <row r="593">
          <cell r="B593" t="str">
            <v>255923</v>
          </cell>
          <cell r="C593" t="str">
            <v>67.0000000000000000</v>
          </cell>
          <cell r="E593" t="str">
            <v>Cust</v>
          </cell>
          <cell r="G593" t="str">
            <v>No</v>
          </cell>
          <cell r="H593" t="str">
            <v>1900-01-01 00:00:00</v>
          </cell>
          <cell r="K593" t="str">
            <v>M-P</v>
          </cell>
          <cell r="L593" t="str">
            <v>855.000000</v>
          </cell>
          <cell r="AL593" t="str">
            <v>255923</v>
          </cell>
          <cell r="BC593" t="str">
            <v>Cust-PP</v>
          </cell>
          <cell r="BD593" t="str">
            <v>1.9801980198019800</v>
          </cell>
          <cell r="BE593" t="str">
            <v>.0000000000000000</v>
          </cell>
          <cell r="BF593" t="str">
            <v>.0000000000000000</v>
          </cell>
          <cell r="BG593" t="str">
            <v>None</v>
          </cell>
          <cell r="BK593" t="str">
            <v>2025-04-14 00:00:00</v>
          </cell>
          <cell r="BL593" t="str">
            <v>Airport EG-645</v>
          </cell>
          <cell r="BM593" t="str">
            <v>No</v>
          </cell>
          <cell r="BN593" t="str">
            <v>No</v>
          </cell>
          <cell r="BO593" t="str">
            <v>CPay-000000004</v>
          </cell>
        </row>
        <row r="594">
          <cell r="B594" t="str">
            <v>255943</v>
          </cell>
          <cell r="C594" t="str">
            <v>68.0000000000000000</v>
          </cell>
          <cell r="E594" t="str">
            <v>Cust</v>
          </cell>
          <cell r="G594" t="str">
            <v>No</v>
          </cell>
          <cell r="H594" t="str">
            <v>1900-01-01 00:00:00</v>
          </cell>
          <cell r="K594" t="str">
            <v>M-P</v>
          </cell>
          <cell r="L594" t="str">
            <v>1653.000000</v>
          </cell>
          <cell r="AL594" t="str">
            <v>255943</v>
          </cell>
          <cell r="BC594" t="str">
            <v>Cust-PP</v>
          </cell>
          <cell r="BD594" t="str">
            <v>1.9801980198019800</v>
          </cell>
          <cell r="BE594" t="str">
            <v>.0000000000000000</v>
          </cell>
          <cell r="BF594" t="str">
            <v>.0000000000000000</v>
          </cell>
          <cell r="BG594" t="str">
            <v>None</v>
          </cell>
          <cell r="BK594" t="str">
            <v>2025-04-14 00:00:00</v>
          </cell>
          <cell r="BL594" t="str">
            <v>Airport EG-641</v>
          </cell>
          <cell r="BM594" t="str">
            <v>No</v>
          </cell>
          <cell r="BN594" t="str">
            <v>No</v>
          </cell>
          <cell r="BO594" t="str">
            <v>CPay-000000004</v>
          </cell>
        </row>
        <row r="595">
          <cell r="B595" t="str">
            <v>255944</v>
          </cell>
          <cell r="C595" t="str">
            <v>69.0000000000000000</v>
          </cell>
          <cell r="E595" t="str">
            <v>Cust</v>
          </cell>
          <cell r="G595" t="str">
            <v>No</v>
          </cell>
          <cell r="H595" t="str">
            <v>1900-01-01 00:00:00</v>
          </cell>
          <cell r="K595" t="str">
            <v>M-P</v>
          </cell>
          <cell r="L595" t="str">
            <v>1195.860000</v>
          </cell>
          <cell r="AL595" t="str">
            <v>255944</v>
          </cell>
          <cell r="BC595" t="str">
            <v>Cust-PP</v>
          </cell>
          <cell r="BD595" t="str">
            <v>1.9801980198019800</v>
          </cell>
          <cell r="BE595" t="str">
            <v>.0000000000000000</v>
          </cell>
          <cell r="BF595" t="str">
            <v>.0000000000000000</v>
          </cell>
          <cell r="BG595" t="str">
            <v>None</v>
          </cell>
          <cell r="BK595" t="str">
            <v>2025-04-14 00:00:00</v>
          </cell>
          <cell r="BL595" t="str">
            <v>Airport EG-642</v>
          </cell>
          <cell r="BM595" t="str">
            <v>No</v>
          </cell>
          <cell r="BN595" t="str">
            <v>No</v>
          </cell>
          <cell r="BO595" t="str">
            <v>CPay-000000004</v>
          </cell>
        </row>
        <row r="596">
          <cell r="B596" t="str">
            <v>408173</v>
          </cell>
          <cell r="C596" t="str">
            <v>70.0000000000000000</v>
          </cell>
          <cell r="E596" t="str">
            <v>Cust</v>
          </cell>
          <cell r="G596" t="str">
            <v>No</v>
          </cell>
          <cell r="H596" t="str">
            <v>1900-01-01 00:00:00</v>
          </cell>
          <cell r="K596" t="str">
            <v>M-P</v>
          </cell>
          <cell r="L596" t="str">
            <v>55649.300000</v>
          </cell>
          <cell r="AL596" t="str">
            <v>408173</v>
          </cell>
          <cell r="BC596" t="str">
            <v>Cust-PP</v>
          </cell>
          <cell r="BD596" t="str">
            <v>1.9801980198019800</v>
          </cell>
          <cell r="BE596" t="str">
            <v>.0000000000000000</v>
          </cell>
          <cell r="BF596" t="str">
            <v>.0000000000000000</v>
          </cell>
          <cell r="BG596" t="str">
            <v>None</v>
          </cell>
          <cell r="BK596" t="str">
            <v>2025-04-14 00:00:00</v>
          </cell>
          <cell r="BL596" t="str">
            <v>Airport EG-644</v>
          </cell>
          <cell r="BM596" t="str">
            <v>No</v>
          </cell>
          <cell r="BN596" t="str">
            <v>No</v>
          </cell>
          <cell r="BO596" t="str">
            <v>CPay-000000004</v>
          </cell>
        </row>
        <row r="597">
          <cell r="B597" t="str">
            <v>255810</v>
          </cell>
          <cell r="C597" t="str">
            <v>71.0000000000000000</v>
          </cell>
          <cell r="E597" t="str">
            <v>Cust</v>
          </cell>
          <cell r="G597" t="str">
            <v>No</v>
          </cell>
          <cell r="H597" t="str">
            <v>1900-01-01 00:00:00</v>
          </cell>
          <cell r="K597" t="str">
            <v>M-P</v>
          </cell>
          <cell r="L597" t="str">
            <v>1653.000000</v>
          </cell>
          <cell r="AL597" t="str">
            <v>255810</v>
          </cell>
          <cell r="BC597" t="str">
            <v>Cust-PP</v>
          </cell>
          <cell r="BD597" t="str">
            <v>1.9801980198019800</v>
          </cell>
          <cell r="BE597" t="str">
            <v>.0000000000000000</v>
          </cell>
          <cell r="BF597" t="str">
            <v>.0000000000000000</v>
          </cell>
          <cell r="BG597" t="str">
            <v>None</v>
          </cell>
          <cell r="BK597" t="str">
            <v>2025-04-15 00:00:00</v>
          </cell>
          <cell r="BL597" t="str">
            <v>Airport EG-657</v>
          </cell>
          <cell r="BM597" t="str">
            <v>No</v>
          </cell>
          <cell r="BN597" t="str">
            <v>No</v>
          </cell>
          <cell r="BO597" t="str">
            <v>CPay-000000004</v>
          </cell>
        </row>
        <row r="598">
          <cell r="B598" t="str">
            <v>255811</v>
          </cell>
          <cell r="C598" t="str">
            <v>72.0000000000000000</v>
          </cell>
          <cell r="E598" t="str">
            <v>Cust</v>
          </cell>
          <cell r="G598" t="str">
            <v>No</v>
          </cell>
          <cell r="H598" t="str">
            <v>1900-01-01 00:00:00</v>
          </cell>
          <cell r="K598" t="str">
            <v>M-P</v>
          </cell>
          <cell r="L598" t="str">
            <v>199.500000</v>
          </cell>
          <cell r="AL598" t="str">
            <v>255811</v>
          </cell>
          <cell r="BC598" t="str">
            <v>Cust-PP</v>
          </cell>
          <cell r="BD598" t="str">
            <v>1.9801980198019800</v>
          </cell>
          <cell r="BE598" t="str">
            <v>.0000000000000000</v>
          </cell>
          <cell r="BF598" t="str">
            <v>.0000000000000000</v>
          </cell>
          <cell r="BG598" t="str">
            <v>None</v>
          </cell>
          <cell r="BK598" t="str">
            <v>2025-04-15 00:00:00</v>
          </cell>
          <cell r="BL598" t="str">
            <v>Airport EG-658</v>
          </cell>
          <cell r="BM598" t="str">
            <v>No</v>
          </cell>
          <cell r="BN598" t="str">
            <v>No</v>
          </cell>
          <cell r="BO598" t="str">
            <v>CPay-000000004</v>
          </cell>
        </row>
        <row r="599">
          <cell r="B599" t="str">
            <v>255817</v>
          </cell>
          <cell r="C599" t="str">
            <v>73.0000000000000000</v>
          </cell>
          <cell r="E599" t="str">
            <v>Cust</v>
          </cell>
          <cell r="G599" t="str">
            <v>No</v>
          </cell>
          <cell r="H599" t="str">
            <v>1900-01-01 00:00:00</v>
          </cell>
          <cell r="K599" t="str">
            <v>M-P</v>
          </cell>
          <cell r="L599" t="str">
            <v>1653.000000</v>
          </cell>
          <cell r="AL599" t="str">
            <v>255817</v>
          </cell>
          <cell r="BC599" t="str">
            <v>Cust-PP</v>
          </cell>
          <cell r="BD599" t="str">
            <v>1.9801980198019800</v>
          </cell>
          <cell r="BE599" t="str">
            <v>.0000000000000000</v>
          </cell>
          <cell r="BF599" t="str">
            <v>.0000000000000000</v>
          </cell>
          <cell r="BG599" t="str">
            <v>None</v>
          </cell>
          <cell r="BK599" t="str">
            <v>2025-04-15 00:00:00</v>
          </cell>
          <cell r="BL599" t="str">
            <v>Airport EG-660</v>
          </cell>
          <cell r="BM599" t="str">
            <v>No</v>
          </cell>
          <cell r="BN599" t="str">
            <v>No</v>
          </cell>
          <cell r="BO599" t="str">
            <v>CPay-000000004</v>
          </cell>
        </row>
        <row r="600">
          <cell r="B600" t="str">
            <v>255818</v>
          </cell>
          <cell r="C600" t="str">
            <v>74.0000000000000000</v>
          </cell>
          <cell r="E600" t="str">
            <v>Cust</v>
          </cell>
          <cell r="G600" t="str">
            <v>No</v>
          </cell>
          <cell r="H600" t="str">
            <v>1900-01-01 00:00:00</v>
          </cell>
          <cell r="K600" t="str">
            <v>M-P</v>
          </cell>
          <cell r="L600" t="str">
            <v>370.500000</v>
          </cell>
          <cell r="AL600" t="str">
            <v>255818</v>
          </cell>
          <cell r="BC600" t="str">
            <v>Cust-PP</v>
          </cell>
          <cell r="BD600" t="str">
            <v>1.9801980198019800</v>
          </cell>
          <cell r="BE600" t="str">
            <v>.0000000000000000</v>
          </cell>
          <cell r="BF600" t="str">
            <v>.0000000000000000</v>
          </cell>
          <cell r="BG600" t="str">
            <v>None</v>
          </cell>
          <cell r="BK600" t="str">
            <v>2025-04-15 00:00:00</v>
          </cell>
          <cell r="BL600" t="str">
            <v>Airport EG-661</v>
          </cell>
          <cell r="BM600" t="str">
            <v>No</v>
          </cell>
          <cell r="BN600" t="str">
            <v>No</v>
          </cell>
          <cell r="BO600" t="str">
            <v>CPay-000000004</v>
          </cell>
        </row>
        <row r="601">
          <cell r="B601" t="str">
            <v>255844</v>
          </cell>
          <cell r="C601" t="str">
            <v>75.0000000000000000</v>
          </cell>
          <cell r="E601" t="str">
            <v>Cust</v>
          </cell>
          <cell r="G601" t="str">
            <v>No</v>
          </cell>
          <cell r="H601" t="str">
            <v>1900-01-01 00:00:00</v>
          </cell>
          <cell r="K601" t="str">
            <v>M-P</v>
          </cell>
          <cell r="L601" t="str">
            <v>388.170000</v>
          </cell>
          <cell r="AL601" t="str">
            <v>255844</v>
          </cell>
          <cell r="BC601" t="str">
            <v>Cust-PP</v>
          </cell>
          <cell r="BD601" t="str">
            <v>1.9801980198019800</v>
          </cell>
          <cell r="BE601" t="str">
            <v>.0000000000000000</v>
          </cell>
          <cell r="BF601" t="str">
            <v>.0000000000000000</v>
          </cell>
          <cell r="BG601" t="str">
            <v>None</v>
          </cell>
          <cell r="BK601" t="str">
            <v>2025-04-15 00:00:00</v>
          </cell>
          <cell r="BL601" t="str">
            <v>Airport EG-656</v>
          </cell>
          <cell r="BM601" t="str">
            <v>No</v>
          </cell>
          <cell r="BN601" t="str">
            <v>No</v>
          </cell>
          <cell r="BO601" t="str">
            <v>CPay-000000004</v>
          </cell>
        </row>
        <row r="602">
          <cell r="B602" t="str">
            <v>255872</v>
          </cell>
          <cell r="C602" t="str">
            <v>76.0000000000000000</v>
          </cell>
          <cell r="E602" t="str">
            <v>Cust</v>
          </cell>
          <cell r="G602" t="str">
            <v>No</v>
          </cell>
          <cell r="H602" t="str">
            <v>1900-01-01 00:00:00</v>
          </cell>
          <cell r="K602" t="str">
            <v>M-P</v>
          </cell>
          <cell r="L602" t="str">
            <v>1653.000000</v>
          </cell>
          <cell r="AL602" t="str">
            <v>255872</v>
          </cell>
          <cell r="BC602" t="str">
            <v>Cust-PP</v>
          </cell>
          <cell r="BD602" t="str">
            <v>1.9801980198019800</v>
          </cell>
          <cell r="BE602" t="str">
            <v>.0000000000000000</v>
          </cell>
          <cell r="BF602" t="str">
            <v>.0000000000000000</v>
          </cell>
          <cell r="BG602" t="str">
            <v>None</v>
          </cell>
          <cell r="BK602" t="str">
            <v>2025-04-15 00:00:00</v>
          </cell>
          <cell r="BL602" t="str">
            <v>Airport EG-654</v>
          </cell>
          <cell r="BM602" t="str">
            <v>No</v>
          </cell>
          <cell r="BN602" t="str">
            <v>No</v>
          </cell>
          <cell r="BO602" t="str">
            <v>CPay-000000004</v>
          </cell>
        </row>
        <row r="603">
          <cell r="B603" t="str">
            <v>255873</v>
          </cell>
          <cell r="C603" t="str">
            <v>77.0000000000000000</v>
          </cell>
          <cell r="E603" t="str">
            <v>Cust</v>
          </cell>
          <cell r="G603" t="str">
            <v>No</v>
          </cell>
          <cell r="H603" t="str">
            <v>1900-01-01 00:00:00</v>
          </cell>
          <cell r="K603" t="str">
            <v>M-P</v>
          </cell>
          <cell r="L603" t="str">
            <v>199.500000</v>
          </cell>
          <cell r="AL603" t="str">
            <v>255873</v>
          </cell>
          <cell r="BC603" t="str">
            <v>Cust-PP</v>
          </cell>
          <cell r="BD603" t="str">
            <v>1.9801980198019800</v>
          </cell>
          <cell r="BE603" t="str">
            <v>.0000000000000000</v>
          </cell>
          <cell r="BF603" t="str">
            <v>.0000000000000000</v>
          </cell>
          <cell r="BG603" t="str">
            <v>None</v>
          </cell>
          <cell r="BK603" t="str">
            <v>2025-04-15 00:00:00</v>
          </cell>
          <cell r="BL603" t="str">
            <v>Airport EG-655</v>
          </cell>
          <cell r="BM603" t="str">
            <v>No</v>
          </cell>
          <cell r="BN603" t="str">
            <v>No</v>
          </cell>
          <cell r="BO603" t="str">
            <v>CPay-000000004</v>
          </cell>
        </row>
        <row r="604">
          <cell r="B604" t="str">
            <v>255892</v>
          </cell>
          <cell r="C604" t="str">
            <v>78.0000000000000000</v>
          </cell>
          <cell r="E604" t="str">
            <v>Cust</v>
          </cell>
          <cell r="G604" t="str">
            <v>No</v>
          </cell>
          <cell r="H604" t="str">
            <v>1900-01-01 00:00:00</v>
          </cell>
          <cell r="K604" t="str">
            <v>M-P</v>
          </cell>
          <cell r="L604" t="str">
            <v>1653.000000</v>
          </cell>
          <cell r="AL604" t="str">
            <v>255892</v>
          </cell>
          <cell r="BC604" t="str">
            <v>Cust-PP</v>
          </cell>
          <cell r="BD604" t="str">
            <v>1.9801980198019800</v>
          </cell>
          <cell r="BE604" t="str">
            <v>.0000000000000000</v>
          </cell>
          <cell r="BF604" t="str">
            <v>.0000000000000000</v>
          </cell>
          <cell r="BG604" t="str">
            <v>None</v>
          </cell>
          <cell r="BK604" t="str">
            <v>2025-04-15 00:00:00</v>
          </cell>
          <cell r="BL604" t="str">
            <v>Airport EG-652</v>
          </cell>
          <cell r="BM604" t="str">
            <v>No</v>
          </cell>
          <cell r="BN604" t="str">
            <v>No</v>
          </cell>
          <cell r="BO604" t="str">
            <v>CPay-000000004</v>
          </cell>
        </row>
        <row r="605">
          <cell r="B605" t="str">
            <v>255893</v>
          </cell>
          <cell r="C605" t="str">
            <v>79.0000000000000000</v>
          </cell>
          <cell r="E605" t="str">
            <v>Cust</v>
          </cell>
          <cell r="G605" t="str">
            <v>No</v>
          </cell>
          <cell r="H605" t="str">
            <v>1900-01-01 00:00:00</v>
          </cell>
          <cell r="K605" t="str">
            <v>M-P</v>
          </cell>
          <cell r="L605" t="str">
            <v>803.700000</v>
          </cell>
          <cell r="AL605" t="str">
            <v>255893</v>
          </cell>
          <cell r="BC605" t="str">
            <v>Cust-PP</v>
          </cell>
          <cell r="BD605" t="str">
            <v>1.9801980198019800</v>
          </cell>
          <cell r="BE605" t="str">
            <v>.0000000000000000</v>
          </cell>
          <cell r="BF605" t="str">
            <v>.0000000000000000</v>
          </cell>
          <cell r="BG605" t="str">
            <v>None</v>
          </cell>
          <cell r="BK605" t="str">
            <v>2025-04-15 00:00:00</v>
          </cell>
          <cell r="BL605" t="str">
            <v>Airport EG-653</v>
          </cell>
          <cell r="BM605" t="str">
            <v>No</v>
          </cell>
          <cell r="BN605" t="str">
            <v>No</v>
          </cell>
          <cell r="BO605" t="str">
            <v>CPay-000000004</v>
          </cell>
        </row>
        <row r="606">
          <cell r="B606" t="str">
            <v>317357</v>
          </cell>
          <cell r="C606" t="str">
            <v>80.0000000000000000</v>
          </cell>
          <cell r="E606" t="str">
            <v>Cust</v>
          </cell>
          <cell r="G606" t="str">
            <v>No</v>
          </cell>
          <cell r="H606" t="str">
            <v>1900-01-01 00:00:00</v>
          </cell>
          <cell r="K606" t="str">
            <v>M-P</v>
          </cell>
          <cell r="L606" t="str">
            <v>354.100000</v>
          </cell>
          <cell r="AL606" t="str">
            <v>317357</v>
          </cell>
          <cell r="BC606" t="str">
            <v>Cust-PP</v>
          </cell>
          <cell r="BD606" t="str">
            <v>107.9207920000000000</v>
          </cell>
          <cell r="BE606" t="str">
            <v>.0000000000000000</v>
          </cell>
          <cell r="BF606" t="str">
            <v>.0000000000000000</v>
          </cell>
          <cell r="BG606" t="str">
            <v>None</v>
          </cell>
          <cell r="BK606" t="str">
            <v>2025-04-15 00:00:00</v>
          </cell>
          <cell r="BL606" t="str">
            <v>Airport EG-659</v>
          </cell>
          <cell r="BM606" t="str">
            <v>No</v>
          </cell>
          <cell r="BN606" t="str">
            <v>No</v>
          </cell>
          <cell r="BO606" t="str">
            <v>CPay-000000004</v>
          </cell>
        </row>
        <row r="607">
          <cell r="B607" t="str">
            <v>255759</v>
          </cell>
          <cell r="C607" t="str">
            <v>81.0000000000000000</v>
          </cell>
          <cell r="E607" t="str">
            <v>Cust</v>
          </cell>
          <cell r="G607" t="str">
            <v>No</v>
          </cell>
          <cell r="H607" t="str">
            <v>1900-01-01 00:00:00</v>
          </cell>
          <cell r="K607" t="str">
            <v>M-P</v>
          </cell>
          <cell r="L607" t="str">
            <v>1653.000000</v>
          </cell>
          <cell r="AL607" t="str">
            <v>255759</v>
          </cell>
          <cell r="BC607" t="str">
            <v>Cust-PP</v>
          </cell>
          <cell r="BD607" t="str">
            <v>1.9801980198019800</v>
          </cell>
          <cell r="BE607" t="str">
            <v>.0000000000000000</v>
          </cell>
          <cell r="BF607" t="str">
            <v>.0000000000000000</v>
          </cell>
          <cell r="BG607" t="str">
            <v>None</v>
          </cell>
          <cell r="BK607" t="str">
            <v>2025-04-16 00:00:00</v>
          </cell>
          <cell r="BL607" t="str">
            <v>Airport EG-662</v>
          </cell>
          <cell r="BM607" t="str">
            <v>No</v>
          </cell>
          <cell r="BN607" t="str">
            <v>No</v>
          </cell>
          <cell r="BO607" t="str">
            <v>CPay-000000004</v>
          </cell>
        </row>
        <row r="608">
          <cell r="B608" t="str">
            <v>255760</v>
          </cell>
          <cell r="C608" t="str">
            <v>82.0000000000000000</v>
          </cell>
          <cell r="E608" t="str">
            <v>Cust</v>
          </cell>
          <cell r="G608" t="str">
            <v>No</v>
          </cell>
          <cell r="H608" t="str">
            <v>1900-01-01 00:00:00</v>
          </cell>
          <cell r="K608" t="str">
            <v>M-P</v>
          </cell>
          <cell r="L608" t="str">
            <v>566.470000</v>
          </cell>
          <cell r="AL608" t="str">
            <v>255760</v>
          </cell>
          <cell r="BC608" t="str">
            <v>Cust-PP</v>
          </cell>
          <cell r="BD608" t="str">
            <v>1.9801980198019800</v>
          </cell>
          <cell r="BE608" t="str">
            <v>.0000000000000000</v>
          </cell>
          <cell r="BF608" t="str">
            <v>.0000000000000000</v>
          </cell>
          <cell r="BG608" t="str">
            <v>None</v>
          </cell>
          <cell r="BK608" t="str">
            <v>2025-04-16 00:00:00</v>
          </cell>
          <cell r="BL608" t="str">
            <v>Airport EG-663</v>
          </cell>
          <cell r="BM608" t="str">
            <v>No</v>
          </cell>
          <cell r="BN608" t="str">
            <v>No</v>
          </cell>
          <cell r="BO608" t="str">
            <v>CPay-000000004</v>
          </cell>
        </row>
        <row r="609">
          <cell r="B609" t="str">
            <v>255778</v>
          </cell>
          <cell r="C609" t="str">
            <v>83.0000000000000000</v>
          </cell>
          <cell r="E609" t="str">
            <v>Cust</v>
          </cell>
          <cell r="G609" t="str">
            <v>No</v>
          </cell>
          <cell r="H609" t="str">
            <v>1900-01-01 00:00:00</v>
          </cell>
          <cell r="K609" t="str">
            <v>M-P</v>
          </cell>
          <cell r="L609" t="str">
            <v>1653.000000</v>
          </cell>
          <cell r="AL609" t="str">
            <v>255778</v>
          </cell>
          <cell r="BC609" t="str">
            <v>Cust-PP</v>
          </cell>
          <cell r="BD609" t="str">
            <v>1.9801980198019800</v>
          </cell>
          <cell r="BE609" t="str">
            <v>.0000000000000000</v>
          </cell>
          <cell r="BF609" t="str">
            <v>.0000000000000000</v>
          </cell>
          <cell r="BG609" t="str">
            <v>None</v>
          </cell>
          <cell r="BK609" t="str">
            <v>2025-04-16 00:00:00</v>
          </cell>
          <cell r="BL609" t="str">
            <v>Airport EG-664</v>
          </cell>
          <cell r="BM609" t="str">
            <v>No</v>
          </cell>
          <cell r="BN609" t="str">
            <v>No</v>
          </cell>
          <cell r="BO609" t="str">
            <v>CPay-000000004</v>
          </cell>
        </row>
        <row r="610">
          <cell r="B610" t="str">
            <v>255780</v>
          </cell>
          <cell r="C610" t="str">
            <v>84.0000000000000000</v>
          </cell>
          <cell r="E610" t="str">
            <v>Cust</v>
          </cell>
          <cell r="G610" t="str">
            <v>No</v>
          </cell>
          <cell r="H610" t="str">
            <v>1900-01-01 00:00:00</v>
          </cell>
          <cell r="K610" t="str">
            <v>M-P</v>
          </cell>
          <cell r="L610" t="str">
            <v>301.640000</v>
          </cell>
          <cell r="AL610" t="str">
            <v>255780</v>
          </cell>
          <cell r="BC610" t="str">
            <v>Cust-PP</v>
          </cell>
          <cell r="BD610" t="str">
            <v>1.9801980198019800</v>
          </cell>
          <cell r="BE610" t="str">
            <v>.0000000000000000</v>
          </cell>
          <cell r="BF610" t="str">
            <v>.0000000000000000</v>
          </cell>
          <cell r="BG610" t="str">
            <v>None</v>
          </cell>
          <cell r="BK610" t="str">
            <v>2025-04-16 00:00:00</v>
          </cell>
          <cell r="BL610" t="str">
            <v>Airport EG-665</v>
          </cell>
          <cell r="BM610" t="str">
            <v>No</v>
          </cell>
          <cell r="BN610" t="str">
            <v>No</v>
          </cell>
          <cell r="BO610" t="str">
            <v>CPay-000000004</v>
          </cell>
        </row>
        <row r="611">
          <cell r="B611" t="str">
            <v>255783</v>
          </cell>
          <cell r="C611" t="str">
            <v>85.0000000000000000</v>
          </cell>
          <cell r="E611" t="str">
            <v>Cust</v>
          </cell>
          <cell r="G611" t="str">
            <v>No</v>
          </cell>
          <cell r="H611" t="str">
            <v>1900-01-01 00:00:00</v>
          </cell>
          <cell r="K611" t="str">
            <v>M-P</v>
          </cell>
          <cell r="L611" t="str">
            <v>1653.000000</v>
          </cell>
          <cell r="AL611" t="str">
            <v>255783</v>
          </cell>
          <cell r="BC611" t="str">
            <v>Cust-PP</v>
          </cell>
          <cell r="BD611" t="str">
            <v>1.9801980198019800</v>
          </cell>
          <cell r="BE611" t="str">
            <v>.0000000000000000</v>
          </cell>
          <cell r="BF611" t="str">
            <v>.0000000000000000</v>
          </cell>
          <cell r="BG611" t="str">
            <v>None</v>
          </cell>
          <cell r="BK611" t="str">
            <v>2025-04-16 00:00:00</v>
          </cell>
          <cell r="BL611" t="str">
            <v>Airport EG-666</v>
          </cell>
          <cell r="BM611" t="str">
            <v>No</v>
          </cell>
          <cell r="BN611" t="str">
            <v>No</v>
          </cell>
          <cell r="BO611" t="str">
            <v>CPay-000000004</v>
          </cell>
        </row>
        <row r="612">
          <cell r="B612" t="str">
            <v>255784</v>
          </cell>
          <cell r="C612" t="str">
            <v>86.0000000000000000</v>
          </cell>
          <cell r="E612" t="str">
            <v>Cust</v>
          </cell>
          <cell r="G612" t="str">
            <v>No</v>
          </cell>
          <cell r="H612" t="str">
            <v>1900-01-01 00:00:00</v>
          </cell>
          <cell r="K612" t="str">
            <v>M-P</v>
          </cell>
          <cell r="L612" t="str">
            <v>1653.000000</v>
          </cell>
          <cell r="AL612" t="str">
            <v>255784</v>
          </cell>
          <cell r="BC612" t="str">
            <v>Cust-PP</v>
          </cell>
          <cell r="BD612" t="str">
            <v>1.9801980198019800</v>
          </cell>
          <cell r="BE612" t="str">
            <v>.0000000000000000</v>
          </cell>
          <cell r="BF612" t="str">
            <v>.0000000000000000</v>
          </cell>
          <cell r="BG612" t="str">
            <v>None</v>
          </cell>
          <cell r="BK612" t="str">
            <v>2025-04-16 00:00:00</v>
          </cell>
          <cell r="BL612" t="str">
            <v>Airport EG-667</v>
          </cell>
          <cell r="BM612" t="str">
            <v>No</v>
          </cell>
          <cell r="BN612" t="str">
            <v>No</v>
          </cell>
          <cell r="BO612" t="str">
            <v>CPay-000000004</v>
          </cell>
        </row>
        <row r="613">
          <cell r="B613" t="str">
            <v>255785</v>
          </cell>
          <cell r="C613" t="str">
            <v>87.0000000000000000</v>
          </cell>
          <cell r="E613" t="str">
            <v>Cust</v>
          </cell>
          <cell r="G613" t="str">
            <v>No</v>
          </cell>
          <cell r="H613" t="str">
            <v>1900-01-01 00:00:00</v>
          </cell>
          <cell r="K613" t="str">
            <v>M-P</v>
          </cell>
          <cell r="L613" t="str">
            <v>1653.000000</v>
          </cell>
          <cell r="AL613" t="str">
            <v>255785</v>
          </cell>
          <cell r="BC613" t="str">
            <v>Cust-PP</v>
          </cell>
          <cell r="BD613" t="str">
            <v>1.9801980198019800</v>
          </cell>
          <cell r="BE613" t="str">
            <v>.0000000000000000</v>
          </cell>
          <cell r="BF613" t="str">
            <v>.0000000000000000</v>
          </cell>
          <cell r="BG613" t="str">
            <v>None</v>
          </cell>
          <cell r="BK613" t="str">
            <v>2025-04-16 00:00:00</v>
          </cell>
          <cell r="BL613" t="str">
            <v>Airport EG-668</v>
          </cell>
          <cell r="BM613" t="str">
            <v>No</v>
          </cell>
          <cell r="BN613" t="str">
            <v>No</v>
          </cell>
          <cell r="BO613" t="str">
            <v>CPay-000000004</v>
          </cell>
        </row>
        <row r="614">
          <cell r="B614" t="str">
            <v>255786</v>
          </cell>
          <cell r="C614" t="str">
            <v>88.0000000000000000</v>
          </cell>
          <cell r="E614" t="str">
            <v>Cust</v>
          </cell>
          <cell r="G614" t="str">
            <v>No</v>
          </cell>
          <cell r="H614" t="str">
            <v>1900-01-01 00:00:00</v>
          </cell>
          <cell r="K614" t="str">
            <v>M-P</v>
          </cell>
          <cell r="L614" t="str">
            <v>576.950000</v>
          </cell>
          <cell r="AL614" t="str">
            <v>255786</v>
          </cell>
          <cell r="BC614" t="str">
            <v>Cust-PP</v>
          </cell>
          <cell r="BD614" t="str">
            <v>1.9801980198019800</v>
          </cell>
          <cell r="BE614" t="str">
            <v>.0000000000000000</v>
          </cell>
          <cell r="BF614" t="str">
            <v>.0000000000000000</v>
          </cell>
          <cell r="BG614" t="str">
            <v>None</v>
          </cell>
          <cell r="BK614" t="str">
            <v>2025-04-16 00:00:00</v>
          </cell>
          <cell r="BL614" t="str">
            <v>Airport EG-669</v>
          </cell>
          <cell r="BM614" t="str">
            <v>No</v>
          </cell>
          <cell r="BN614" t="str">
            <v>No</v>
          </cell>
          <cell r="BO614" t="str">
            <v>CPay-000000004</v>
          </cell>
        </row>
        <row r="615">
          <cell r="B615" t="str">
            <v>255801</v>
          </cell>
          <cell r="C615" t="str">
            <v>89.0000000000000000</v>
          </cell>
          <cell r="E615" t="str">
            <v>Cust</v>
          </cell>
          <cell r="G615" t="str">
            <v>No</v>
          </cell>
          <cell r="H615" t="str">
            <v>1900-01-01 00:00:00</v>
          </cell>
          <cell r="K615" t="str">
            <v>M-P</v>
          </cell>
          <cell r="L615" t="str">
            <v>2052.000000</v>
          </cell>
          <cell r="AL615" t="str">
            <v>255801</v>
          </cell>
          <cell r="BC615" t="str">
            <v>Cust-PP</v>
          </cell>
          <cell r="BD615" t="str">
            <v>1.9801980198019800</v>
          </cell>
          <cell r="BE615" t="str">
            <v>.0000000000000000</v>
          </cell>
          <cell r="BF615" t="str">
            <v>.0000000000000000</v>
          </cell>
          <cell r="BG615" t="str">
            <v>None</v>
          </cell>
          <cell r="BK615" t="str">
            <v>2025-04-16 00:00:00</v>
          </cell>
          <cell r="BL615" t="str">
            <v>Airport EG-670</v>
          </cell>
          <cell r="BM615" t="str">
            <v>No</v>
          </cell>
          <cell r="BN615" t="str">
            <v>No</v>
          </cell>
          <cell r="BO615" t="str">
            <v>CPay-000000004</v>
          </cell>
        </row>
        <row r="616">
          <cell r="B616" t="str">
            <v>255802</v>
          </cell>
          <cell r="C616" t="str">
            <v>90.0000000000000000</v>
          </cell>
          <cell r="E616" t="str">
            <v>Cust</v>
          </cell>
          <cell r="G616" t="str">
            <v>No</v>
          </cell>
          <cell r="H616" t="str">
            <v>1900-01-01 00:00:00</v>
          </cell>
          <cell r="K616" t="str">
            <v>M-P</v>
          </cell>
          <cell r="L616" t="str">
            <v>2622.000000</v>
          </cell>
          <cell r="AL616" t="str">
            <v>255802</v>
          </cell>
          <cell r="BC616" t="str">
            <v>Cust-PP</v>
          </cell>
          <cell r="BD616" t="str">
            <v>1.9801980198019800</v>
          </cell>
          <cell r="BE616" t="str">
            <v>.0000000000000000</v>
          </cell>
          <cell r="BF616" t="str">
            <v>.0000000000000000</v>
          </cell>
          <cell r="BG616" t="str">
            <v>None</v>
          </cell>
          <cell r="BK616" t="str">
            <v>2025-04-16 00:00:00</v>
          </cell>
          <cell r="BL616" t="str">
            <v>Airport EG-671</v>
          </cell>
          <cell r="BM616" t="str">
            <v>No</v>
          </cell>
          <cell r="BN616" t="str">
            <v>No</v>
          </cell>
          <cell r="BO616" t="str">
            <v>CPay-000000004</v>
          </cell>
        </row>
        <row r="617">
          <cell r="B617" t="str">
            <v>255805</v>
          </cell>
          <cell r="C617" t="str">
            <v>91.0000000000000000</v>
          </cell>
          <cell r="E617" t="str">
            <v>Cust</v>
          </cell>
          <cell r="G617" t="str">
            <v>No</v>
          </cell>
          <cell r="H617" t="str">
            <v>1900-01-01 00:00:00</v>
          </cell>
          <cell r="K617" t="str">
            <v>M-P</v>
          </cell>
          <cell r="L617" t="str">
            <v>2052.000000</v>
          </cell>
          <cell r="AL617" t="str">
            <v>255805</v>
          </cell>
          <cell r="BC617" t="str">
            <v>Cust-PP</v>
          </cell>
          <cell r="BD617" t="str">
            <v>1.9801980198019800</v>
          </cell>
          <cell r="BE617" t="str">
            <v>.0000000000000000</v>
          </cell>
          <cell r="BF617" t="str">
            <v>.0000000000000000</v>
          </cell>
          <cell r="BG617" t="str">
            <v>None</v>
          </cell>
          <cell r="BK617" t="str">
            <v>2025-04-17 00:00:00</v>
          </cell>
          <cell r="BL617" t="str">
            <v>Airport EG-673</v>
          </cell>
          <cell r="BM617" t="str">
            <v>No</v>
          </cell>
          <cell r="BN617" t="str">
            <v>No</v>
          </cell>
          <cell r="BO617" t="str">
            <v>CPay-000000004</v>
          </cell>
        </row>
        <row r="618">
          <cell r="B618" t="str">
            <v>255806</v>
          </cell>
          <cell r="C618" t="str">
            <v>92.0000000000000000</v>
          </cell>
          <cell r="E618" t="str">
            <v>Cust</v>
          </cell>
          <cell r="G618" t="str">
            <v>No</v>
          </cell>
          <cell r="H618" t="str">
            <v>1900-01-01 00:00:00</v>
          </cell>
          <cell r="K618" t="str">
            <v>M-P</v>
          </cell>
          <cell r="L618" t="str">
            <v>2622.000000</v>
          </cell>
          <cell r="AL618" t="str">
            <v>255806</v>
          </cell>
          <cell r="BC618" t="str">
            <v>Cust-PP</v>
          </cell>
          <cell r="BD618" t="str">
            <v>1.9801980198019800</v>
          </cell>
          <cell r="BE618" t="str">
            <v>.0000000000000000</v>
          </cell>
          <cell r="BF618" t="str">
            <v>.0000000000000000</v>
          </cell>
          <cell r="BG618" t="str">
            <v>None</v>
          </cell>
          <cell r="BK618" t="str">
            <v>2025-04-17 00:00:00</v>
          </cell>
          <cell r="BL618" t="str">
            <v>Airport EG-674</v>
          </cell>
          <cell r="BM618" t="str">
            <v>No</v>
          </cell>
          <cell r="BN618" t="str">
            <v>No</v>
          </cell>
          <cell r="BO618" t="str">
            <v>CPay-000000004</v>
          </cell>
        </row>
        <row r="619">
          <cell r="B619" t="str">
            <v>302503</v>
          </cell>
          <cell r="C619" t="str">
            <v>93.0000000000000000</v>
          </cell>
          <cell r="E619" t="str">
            <v>Cust</v>
          </cell>
          <cell r="G619" t="str">
            <v>No</v>
          </cell>
          <cell r="H619" t="str">
            <v>1900-01-01 00:00:00</v>
          </cell>
          <cell r="K619" t="str">
            <v>M-P</v>
          </cell>
          <cell r="L619" t="str">
            <v>1653.000000</v>
          </cell>
          <cell r="AL619" t="str">
            <v>302503</v>
          </cell>
          <cell r="BC619" t="str">
            <v>Cust-PP</v>
          </cell>
          <cell r="BD619" t="str">
            <v>1.9801980198019800</v>
          </cell>
          <cell r="BE619" t="str">
            <v>.0000000000000000</v>
          </cell>
          <cell r="BF619" t="str">
            <v>.0000000000000000</v>
          </cell>
          <cell r="BG619" t="str">
            <v>None</v>
          </cell>
          <cell r="BK619" t="str">
            <v>2025-04-20 00:00:00</v>
          </cell>
          <cell r="BL619" t="str">
            <v>Airport EG-675</v>
          </cell>
          <cell r="BM619" t="str">
            <v>No</v>
          </cell>
          <cell r="BN619" t="str">
            <v>No</v>
          </cell>
          <cell r="BO619" t="str">
            <v>CPay-000000004</v>
          </cell>
        </row>
        <row r="620">
          <cell r="B620" t="str">
            <v>302504</v>
          </cell>
          <cell r="C620" t="str">
            <v>94.0000000000000000</v>
          </cell>
          <cell r="E620" t="str">
            <v>Cust</v>
          </cell>
          <cell r="G620" t="str">
            <v>No</v>
          </cell>
          <cell r="H620" t="str">
            <v>1900-01-01 00:00:00</v>
          </cell>
          <cell r="K620" t="str">
            <v>M-P</v>
          </cell>
          <cell r="L620" t="str">
            <v>370.500000</v>
          </cell>
          <cell r="AL620" t="str">
            <v>302504</v>
          </cell>
          <cell r="BC620" t="str">
            <v>Cust-PP</v>
          </cell>
          <cell r="BD620" t="str">
            <v>1.9801980198019800</v>
          </cell>
          <cell r="BE620" t="str">
            <v>.0000000000000000</v>
          </cell>
          <cell r="BF620" t="str">
            <v>.0000000000000000</v>
          </cell>
          <cell r="BG620" t="str">
            <v>None</v>
          </cell>
          <cell r="BK620" t="str">
            <v>2025-04-20 00:00:00</v>
          </cell>
          <cell r="BL620" t="str">
            <v>Airport EG-676</v>
          </cell>
          <cell r="BM620" t="str">
            <v>No</v>
          </cell>
          <cell r="BN620" t="str">
            <v>No</v>
          </cell>
          <cell r="BO620" t="str">
            <v>CPay-000000004</v>
          </cell>
        </row>
        <row r="621">
          <cell r="B621" t="str">
            <v>302506</v>
          </cell>
          <cell r="C621" t="str">
            <v>95.0000000000000000</v>
          </cell>
          <cell r="E621" t="str">
            <v>Cust</v>
          </cell>
          <cell r="G621" t="str">
            <v>No</v>
          </cell>
          <cell r="H621" t="str">
            <v>1900-01-01 00:00:00</v>
          </cell>
          <cell r="K621" t="str">
            <v>M-P</v>
          </cell>
          <cell r="L621" t="str">
            <v>2052.000000</v>
          </cell>
          <cell r="AL621" t="str">
            <v>302506</v>
          </cell>
          <cell r="BC621" t="str">
            <v>Cust-PP</v>
          </cell>
          <cell r="BD621" t="str">
            <v>1.9801980198019800</v>
          </cell>
          <cell r="BE621" t="str">
            <v>.0000000000000000</v>
          </cell>
          <cell r="BF621" t="str">
            <v>.0000000000000000</v>
          </cell>
          <cell r="BG621" t="str">
            <v>None</v>
          </cell>
          <cell r="BK621" t="str">
            <v>2025-04-20 00:00:00</v>
          </cell>
          <cell r="BL621" t="str">
            <v>Airport EG-677</v>
          </cell>
          <cell r="BM621" t="str">
            <v>No</v>
          </cell>
          <cell r="BN621" t="str">
            <v>No</v>
          </cell>
          <cell r="BO621" t="str">
            <v>CPay-000000004</v>
          </cell>
        </row>
        <row r="622">
          <cell r="B622" t="str">
            <v>302507</v>
          </cell>
          <cell r="C622" t="str">
            <v>96.0000000000000000</v>
          </cell>
          <cell r="E622" t="str">
            <v>Cust</v>
          </cell>
          <cell r="G622" t="str">
            <v>No</v>
          </cell>
          <cell r="H622" t="str">
            <v>1900-01-01 00:00:00</v>
          </cell>
          <cell r="K622" t="str">
            <v>M-P</v>
          </cell>
          <cell r="L622" t="str">
            <v>1938.000000</v>
          </cell>
          <cell r="AL622" t="str">
            <v>302507</v>
          </cell>
          <cell r="BC622" t="str">
            <v>Cust-PP</v>
          </cell>
          <cell r="BD622" t="str">
            <v>1.9801980198019800</v>
          </cell>
          <cell r="BE622" t="str">
            <v>.0000000000000000</v>
          </cell>
          <cell r="BF622" t="str">
            <v>.0000000000000000</v>
          </cell>
          <cell r="BG622" t="str">
            <v>None</v>
          </cell>
          <cell r="BK622" t="str">
            <v>2025-04-20 00:00:00</v>
          </cell>
          <cell r="BL622" t="str">
            <v>Airport EG-678</v>
          </cell>
          <cell r="BM622" t="str">
            <v>No</v>
          </cell>
          <cell r="BN622" t="str">
            <v>No</v>
          </cell>
          <cell r="BO622" t="str">
            <v>CPay-000000004</v>
          </cell>
        </row>
        <row r="623">
          <cell r="B623" t="str">
            <v>302508</v>
          </cell>
          <cell r="C623" t="str">
            <v>97.0000000000000000</v>
          </cell>
          <cell r="E623" t="str">
            <v>Cust</v>
          </cell>
          <cell r="G623" t="str">
            <v>No</v>
          </cell>
          <cell r="H623" t="str">
            <v>1900-01-01 00:00:00</v>
          </cell>
          <cell r="K623" t="str">
            <v>M-P</v>
          </cell>
          <cell r="L623" t="str">
            <v>2052.000000</v>
          </cell>
          <cell r="AL623" t="str">
            <v>302508</v>
          </cell>
          <cell r="BC623" t="str">
            <v>Cust-PP</v>
          </cell>
          <cell r="BD623" t="str">
            <v>1.9801980198019800</v>
          </cell>
          <cell r="BE623" t="str">
            <v>.0000000000000000</v>
          </cell>
          <cell r="BF623" t="str">
            <v>.0000000000000000</v>
          </cell>
          <cell r="BG623" t="str">
            <v>None</v>
          </cell>
          <cell r="BK623" t="str">
            <v>2025-04-20 00:00:00</v>
          </cell>
          <cell r="BL623" t="str">
            <v>Airport EG-679</v>
          </cell>
          <cell r="BM623" t="str">
            <v>No</v>
          </cell>
          <cell r="BN623" t="str">
            <v>No</v>
          </cell>
          <cell r="BO623" t="str">
            <v>CPay-000000004</v>
          </cell>
        </row>
        <row r="624">
          <cell r="B624" t="str">
            <v>302509</v>
          </cell>
          <cell r="C624" t="str">
            <v>98.0000000000000000</v>
          </cell>
          <cell r="E624" t="str">
            <v>Cust</v>
          </cell>
          <cell r="G624" t="str">
            <v>No</v>
          </cell>
          <cell r="H624" t="str">
            <v>1900-01-01 00:00:00</v>
          </cell>
          <cell r="K624" t="str">
            <v>M-P</v>
          </cell>
          <cell r="L624" t="str">
            <v>1026.000000</v>
          </cell>
          <cell r="AL624" t="str">
            <v>302509</v>
          </cell>
          <cell r="BC624" t="str">
            <v>Cust-PP</v>
          </cell>
          <cell r="BD624" t="str">
            <v>1.9801980198019800</v>
          </cell>
          <cell r="BE624" t="str">
            <v>.0000000000000000</v>
          </cell>
          <cell r="BF624" t="str">
            <v>.0000000000000000</v>
          </cell>
          <cell r="BG624" t="str">
            <v>None</v>
          </cell>
          <cell r="BK624" t="str">
            <v>2025-04-20 00:00:00</v>
          </cell>
          <cell r="BL624" t="str">
            <v>Airport EG-680</v>
          </cell>
          <cell r="BM624" t="str">
            <v>No</v>
          </cell>
          <cell r="BN624" t="str">
            <v>No</v>
          </cell>
          <cell r="BO624" t="str">
            <v>CPay-000000004</v>
          </cell>
        </row>
        <row r="625">
          <cell r="B625" t="str">
            <v>302510</v>
          </cell>
          <cell r="C625" t="str">
            <v>99.0000000000000000</v>
          </cell>
          <cell r="E625" t="str">
            <v>Cust</v>
          </cell>
          <cell r="G625" t="str">
            <v>No</v>
          </cell>
          <cell r="H625" t="str">
            <v>1900-01-01 00:00:00</v>
          </cell>
          <cell r="K625" t="str">
            <v>M-P</v>
          </cell>
          <cell r="L625" t="str">
            <v>2052.000000</v>
          </cell>
          <cell r="AL625" t="str">
            <v>302510</v>
          </cell>
          <cell r="BC625" t="str">
            <v>Cust-PP</v>
          </cell>
          <cell r="BD625" t="str">
            <v>1.9801980198019800</v>
          </cell>
          <cell r="BE625" t="str">
            <v>.0000000000000000</v>
          </cell>
          <cell r="BF625" t="str">
            <v>.0000000000000000</v>
          </cell>
          <cell r="BG625" t="str">
            <v>None</v>
          </cell>
          <cell r="BK625" t="str">
            <v>2025-04-20 00:00:00</v>
          </cell>
          <cell r="BL625" t="str">
            <v>Airport EG-681</v>
          </cell>
          <cell r="BM625" t="str">
            <v>No</v>
          </cell>
          <cell r="BN625" t="str">
            <v>No</v>
          </cell>
          <cell r="BO625" t="str">
            <v>CPay-000000004</v>
          </cell>
        </row>
        <row r="626">
          <cell r="B626" t="str">
            <v>302511</v>
          </cell>
          <cell r="C626" t="str">
            <v>100.0000000000000000</v>
          </cell>
          <cell r="E626" t="str">
            <v>Cust</v>
          </cell>
          <cell r="G626" t="str">
            <v>No</v>
          </cell>
          <cell r="H626" t="str">
            <v>1900-01-01 00:00:00</v>
          </cell>
          <cell r="K626" t="str">
            <v>M-P</v>
          </cell>
          <cell r="L626" t="str">
            <v>1938.000000</v>
          </cell>
          <cell r="AL626" t="str">
            <v>302511</v>
          </cell>
          <cell r="BC626" t="str">
            <v>Cust-PP</v>
          </cell>
          <cell r="BD626" t="str">
            <v>1.9801980198019800</v>
          </cell>
          <cell r="BE626" t="str">
            <v>.0000000000000000</v>
          </cell>
          <cell r="BF626" t="str">
            <v>.0000000000000000</v>
          </cell>
          <cell r="BG626" t="str">
            <v>None</v>
          </cell>
          <cell r="BK626" t="str">
            <v>2025-04-20 00:00:00</v>
          </cell>
          <cell r="BL626" t="str">
            <v>Airport EG-682</v>
          </cell>
          <cell r="BM626" t="str">
            <v>No</v>
          </cell>
          <cell r="BN626" t="str">
            <v>No</v>
          </cell>
          <cell r="BO626" t="str">
            <v>CPay-000000004</v>
          </cell>
        </row>
        <row r="627">
          <cell r="B627" t="str">
            <v>302512</v>
          </cell>
          <cell r="C627" t="str">
            <v>101.0000000000000000</v>
          </cell>
          <cell r="E627" t="str">
            <v>Cust</v>
          </cell>
          <cell r="G627" t="str">
            <v>No</v>
          </cell>
          <cell r="H627" t="str">
            <v>1900-01-01 00:00:00</v>
          </cell>
          <cell r="K627" t="str">
            <v>M-P</v>
          </cell>
          <cell r="L627" t="str">
            <v>1653.000000</v>
          </cell>
          <cell r="AL627" t="str">
            <v>302512</v>
          </cell>
          <cell r="BC627" t="str">
            <v>Cust-PP</v>
          </cell>
          <cell r="BD627" t="str">
            <v>1.9801980198019800</v>
          </cell>
          <cell r="BE627" t="str">
            <v>.0000000000000000</v>
          </cell>
          <cell r="BF627" t="str">
            <v>.0000000000000000</v>
          </cell>
          <cell r="BG627" t="str">
            <v>None</v>
          </cell>
          <cell r="BK627" t="str">
            <v>2025-04-20 00:00:00</v>
          </cell>
          <cell r="BL627" t="str">
            <v>Airport EG-683</v>
          </cell>
          <cell r="BM627" t="str">
            <v>No</v>
          </cell>
          <cell r="BN627" t="str">
            <v>No</v>
          </cell>
          <cell r="BO627" t="str">
            <v>CPay-000000004</v>
          </cell>
        </row>
        <row r="628">
          <cell r="B628" t="str">
            <v>302513</v>
          </cell>
          <cell r="C628" t="str">
            <v>102.0000000000000000</v>
          </cell>
          <cell r="E628" t="str">
            <v>Cust</v>
          </cell>
          <cell r="G628" t="str">
            <v>No</v>
          </cell>
          <cell r="H628" t="str">
            <v>1900-01-01 00:00:00</v>
          </cell>
          <cell r="K628" t="str">
            <v>M-P</v>
          </cell>
          <cell r="L628" t="str">
            <v>453.720000</v>
          </cell>
          <cell r="AL628" t="str">
            <v>302513</v>
          </cell>
          <cell r="BC628" t="str">
            <v>Cust-PP</v>
          </cell>
          <cell r="BD628" t="str">
            <v>1.9801980198019800</v>
          </cell>
          <cell r="BE628" t="str">
            <v>.0000000000000000</v>
          </cell>
          <cell r="BF628" t="str">
            <v>.0000000000000000</v>
          </cell>
          <cell r="BG628" t="str">
            <v>None</v>
          </cell>
          <cell r="BK628" t="str">
            <v>2025-04-20 00:00:00</v>
          </cell>
          <cell r="BL628" t="str">
            <v>Airport EG-684</v>
          </cell>
          <cell r="BM628" t="str">
            <v>No</v>
          </cell>
          <cell r="BN628" t="str">
            <v>No</v>
          </cell>
          <cell r="BO628" t="str">
            <v>CPay-000000004</v>
          </cell>
        </row>
        <row r="629">
          <cell r="B629" t="str">
            <v>302451</v>
          </cell>
          <cell r="C629" t="str">
            <v>103.0000000000000000</v>
          </cell>
          <cell r="E629" t="str">
            <v>Cust</v>
          </cell>
          <cell r="G629" t="str">
            <v>No</v>
          </cell>
          <cell r="H629" t="str">
            <v>1900-01-01 00:00:00</v>
          </cell>
          <cell r="K629" t="str">
            <v>M-P</v>
          </cell>
          <cell r="L629" t="str">
            <v>1653.000000</v>
          </cell>
          <cell r="AL629" t="str">
            <v>302451</v>
          </cell>
          <cell r="BC629" t="str">
            <v>Cust-PP</v>
          </cell>
          <cell r="BD629" t="str">
            <v>1.9801980198019800</v>
          </cell>
          <cell r="BE629" t="str">
            <v>.0000000000000000</v>
          </cell>
          <cell r="BF629" t="str">
            <v>.0000000000000000</v>
          </cell>
          <cell r="BG629" t="str">
            <v>None</v>
          </cell>
          <cell r="BK629" t="str">
            <v>2025-04-22 00:00:00</v>
          </cell>
          <cell r="BL629" t="str">
            <v>Airport EG-689</v>
          </cell>
          <cell r="BM629" t="str">
            <v>No</v>
          </cell>
          <cell r="BN629" t="str">
            <v>No</v>
          </cell>
          <cell r="BO629" t="str">
            <v>CPay-000000004</v>
          </cell>
        </row>
        <row r="630">
          <cell r="B630" t="str">
            <v>302452</v>
          </cell>
          <cell r="C630" t="str">
            <v>104.0000000000000000</v>
          </cell>
          <cell r="E630" t="str">
            <v>Cust</v>
          </cell>
          <cell r="G630" t="str">
            <v>No</v>
          </cell>
          <cell r="H630" t="str">
            <v>1900-01-01 00:00:00</v>
          </cell>
          <cell r="K630" t="str">
            <v>M-P</v>
          </cell>
          <cell r="L630" t="str">
            <v>3089.170000</v>
          </cell>
          <cell r="AL630" t="str">
            <v>302452</v>
          </cell>
          <cell r="BC630" t="str">
            <v>Cust-PP</v>
          </cell>
          <cell r="BD630" t="str">
            <v>1.9801980198019800</v>
          </cell>
          <cell r="BE630" t="str">
            <v>.0000000000000000</v>
          </cell>
          <cell r="BF630" t="str">
            <v>.0000000000000000</v>
          </cell>
          <cell r="BG630" t="str">
            <v>None</v>
          </cell>
          <cell r="BK630" t="str">
            <v>2025-04-22 00:00:00</v>
          </cell>
          <cell r="BL630" t="str">
            <v>Airport EG-690</v>
          </cell>
          <cell r="BM630" t="str">
            <v>No</v>
          </cell>
          <cell r="BN630" t="str">
            <v>No</v>
          </cell>
          <cell r="BO630" t="str">
            <v>CPay-000000004</v>
          </cell>
        </row>
        <row r="631">
          <cell r="B631" t="str">
            <v>302474</v>
          </cell>
          <cell r="C631" t="str">
            <v>105.0000000000000000</v>
          </cell>
          <cell r="E631" t="str">
            <v>Cust</v>
          </cell>
          <cell r="G631" t="str">
            <v>No</v>
          </cell>
          <cell r="H631" t="str">
            <v>1900-01-01 00:00:00</v>
          </cell>
          <cell r="K631" t="str">
            <v>M-P</v>
          </cell>
          <cell r="L631" t="str">
            <v>1653.000000</v>
          </cell>
          <cell r="AL631" t="str">
            <v>302474</v>
          </cell>
          <cell r="BC631" t="str">
            <v>Cust-PP</v>
          </cell>
          <cell r="BD631" t="str">
            <v>1.9801980198019800</v>
          </cell>
          <cell r="BE631" t="str">
            <v>.0000000000000000</v>
          </cell>
          <cell r="BF631" t="str">
            <v>.0000000000000000</v>
          </cell>
          <cell r="BG631" t="str">
            <v>None</v>
          </cell>
          <cell r="BK631" t="str">
            <v>2025-04-22 00:00:00</v>
          </cell>
          <cell r="BL631" t="str">
            <v>Airport EG-693</v>
          </cell>
          <cell r="BM631" t="str">
            <v>No</v>
          </cell>
          <cell r="BN631" t="str">
            <v>No</v>
          </cell>
          <cell r="BO631" t="str">
            <v>CPay-000000004</v>
          </cell>
        </row>
        <row r="632">
          <cell r="B632" t="str">
            <v>302475</v>
          </cell>
          <cell r="C632" t="str">
            <v>106.0000000000000000</v>
          </cell>
          <cell r="E632" t="str">
            <v>Cust</v>
          </cell>
          <cell r="G632" t="str">
            <v>No</v>
          </cell>
          <cell r="H632" t="str">
            <v>1900-01-01 00:00:00</v>
          </cell>
          <cell r="K632" t="str">
            <v>M-P</v>
          </cell>
          <cell r="L632" t="str">
            <v>969.000000</v>
          </cell>
          <cell r="AL632" t="str">
            <v>302475</v>
          </cell>
          <cell r="BC632" t="str">
            <v>Cust-PP</v>
          </cell>
          <cell r="BD632" t="str">
            <v>1.9801980198019800</v>
          </cell>
          <cell r="BE632" t="str">
            <v>.0000000000000000</v>
          </cell>
          <cell r="BF632" t="str">
            <v>.0000000000000000</v>
          </cell>
          <cell r="BG632" t="str">
            <v>None</v>
          </cell>
          <cell r="BK632" t="str">
            <v>2025-04-22 00:00:00</v>
          </cell>
          <cell r="BL632" t="str">
            <v>Airport EG-694</v>
          </cell>
          <cell r="BM632" t="str">
            <v>No</v>
          </cell>
          <cell r="BN632" t="str">
            <v>No</v>
          </cell>
          <cell r="BO632" t="str">
            <v>CPay-000000004</v>
          </cell>
        </row>
        <row r="633">
          <cell r="B633" t="str">
            <v>302483</v>
          </cell>
          <cell r="C633" t="str">
            <v>107.0000000000000000</v>
          </cell>
          <cell r="E633" t="str">
            <v>Cust</v>
          </cell>
          <cell r="G633" t="str">
            <v>No</v>
          </cell>
          <cell r="H633" t="str">
            <v>1900-01-01 00:00:00</v>
          </cell>
          <cell r="K633" t="str">
            <v>M-P</v>
          </cell>
          <cell r="L633" t="str">
            <v>1653.000000</v>
          </cell>
          <cell r="AL633" t="str">
            <v>302483</v>
          </cell>
          <cell r="BC633" t="str">
            <v>Cust-PP</v>
          </cell>
          <cell r="BD633" t="str">
            <v>1.9801980198019800</v>
          </cell>
          <cell r="BE633" t="str">
            <v>.0000000000000000</v>
          </cell>
          <cell r="BF633" t="str">
            <v>.0000000000000000</v>
          </cell>
          <cell r="BG633" t="str">
            <v>None</v>
          </cell>
          <cell r="BK633" t="str">
            <v>2025-04-22 00:00:00</v>
          </cell>
          <cell r="BL633" t="str">
            <v>Airport EG-695</v>
          </cell>
          <cell r="BM633" t="str">
            <v>No</v>
          </cell>
          <cell r="BN633" t="str">
            <v>No</v>
          </cell>
          <cell r="BO633" t="str">
            <v>CPay-000000004</v>
          </cell>
        </row>
        <row r="634">
          <cell r="B634" t="str">
            <v>302484</v>
          </cell>
          <cell r="C634" t="str">
            <v>108.0000000000000000</v>
          </cell>
          <cell r="E634" t="str">
            <v>Cust</v>
          </cell>
          <cell r="G634" t="str">
            <v>No</v>
          </cell>
          <cell r="H634" t="str">
            <v>1900-01-01 00:00:00</v>
          </cell>
          <cell r="K634" t="str">
            <v>M-P</v>
          </cell>
          <cell r="L634" t="str">
            <v>705.660000</v>
          </cell>
          <cell r="AL634" t="str">
            <v>302484</v>
          </cell>
          <cell r="BC634" t="str">
            <v>Cust-PP</v>
          </cell>
          <cell r="BD634" t="str">
            <v>1.9801980198019800</v>
          </cell>
          <cell r="BE634" t="str">
            <v>.0000000000000000</v>
          </cell>
          <cell r="BF634" t="str">
            <v>.0000000000000000</v>
          </cell>
          <cell r="BG634" t="str">
            <v>None</v>
          </cell>
          <cell r="BK634" t="str">
            <v>2025-04-22 00:00:00</v>
          </cell>
          <cell r="BL634" t="str">
            <v>Airport EG-696</v>
          </cell>
          <cell r="BM634" t="str">
            <v>No</v>
          </cell>
          <cell r="BN634" t="str">
            <v>No</v>
          </cell>
          <cell r="BO634" t="str">
            <v>CPay-000000004</v>
          </cell>
        </row>
        <row r="635">
          <cell r="B635" t="str">
            <v>302519</v>
          </cell>
          <cell r="C635" t="str">
            <v>109.0000000000000000</v>
          </cell>
          <cell r="E635" t="str">
            <v>Cust</v>
          </cell>
          <cell r="G635" t="str">
            <v>No</v>
          </cell>
          <cell r="H635" t="str">
            <v>1900-01-01 00:00:00</v>
          </cell>
          <cell r="K635" t="str">
            <v>M-P</v>
          </cell>
          <cell r="L635" t="str">
            <v>2052.000000</v>
          </cell>
          <cell r="AL635" t="str">
            <v>302519</v>
          </cell>
          <cell r="BC635" t="str">
            <v>Cust-PP</v>
          </cell>
          <cell r="BD635" t="str">
            <v>1.9801980198019800</v>
          </cell>
          <cell r="BE635" t="str">
            <v>.0000000000000000</v>
          </cell>
          <cell r="BF635" t="str">
            <v>.0000000000000000</v>
          </cell>
          <cell r="BG635" t="str">
            <v>None</v>
          </cell>
          <cell r="BK635" t="str">
            <v>2025-04-22 00:00:00</v>
          </cell>
          <cell r="BL635" t="str">
            <v>Airport EG-686</v>
          </cell>
          <cell r="BM635" t="str">
            <v>No</v>
          </cell>
          <cell r="BN635" t="str">
            <v>No</v>
          </cell>
          <cell r="BO635" t="str">
            <v>CPay-000000004</v>
          </cell>
        </row>
        <row r="636">
          <cell r="B636" t="str">
            <v>302520</v>
          </cell>
          <cell r="C636" t="str">
            <v>110.0000000000000000</v>
          </cell>
          <cell r="E636" t="str">
            <v>Cust</v>
          </cell>
          <cell r="G636" t="str">
            <v>No</v>
          </cell>
          <cell r="H636" t="str">
            <v>1900-01-01 00:00:00</v>
          </cell>
          <cell r="K636" t="str">
            <v>M-P</v>
          </cell>
          <cell r="L636" t="str">
            <v>1140.000000</v>
          </cell>
          <cell r="AL636" t="str">
            <v>302520</v>
          </cell>
          <cell r="BC636" t="str">
            <v>Cust-PP</v>
          </cell>
          <cell r="BD636" t="str">
            <v>1.9801980198019800</v>
          </cell>
          <cell r="BE636" t="str">
            <v>.0000000000000000</v>
          </cell>
          <cell r="BF636" t="str">
            <v>.0000000000000000</v>
          </cell>
          <cell r="BG636" t="str">
            <v>None</v>
          </cell>
          <cell r="BK636" t="str">
            <v>2025-04-22 00:00:00</v>
          </cell>
          <cell r="BL636" t="str">
            <v>Airport EG-687</v>
          </cell>
          <cell r="BM636" t="str">
            <v>No</v>
          </cell>
          <cell r="BN636" t="str">
            <v>No</v>
          </cell>
          <cell r="BO636" t="str">
            <v>CPay-000000004</v>
          </cell>
        </row>
        <row r="637">
          <cell r="B637" t="str">
            <v>302359</v>
          </cell>
          <cell r="C637" t="str">
            <v>111.0000000000000000</v>
          </cell>
          <cell r="E637" t="str">
            <v>Cust</v>
          </cell>
          <cell r="G637" t="str">
            <v>No</v>
          </cell>
          <cell r="H637" t="str">
            <v>1900-01-01 00:00:00</v>
          </cell>
          <cell r="K637" t="str">
            <v>M-P</v>
          </cell>
          <cell r="L637" t="str">
            <v>1653.000000</v>
          </cell>
          <cell r="AL637" t="str">
            <v>302359</v>
          </cell>
          <cell r="BC637" t="str">
            <v>Cust-PP</v>
          </cell>
          <cell r="BD637" t="str">
            <v>1.9801980198019800</v>
          </cell>
          <cell r="BE637" t="str">
            <v>.0000000000000000</v>
          </cell>
          <cell r="BF637" t="str">
            <v>.0000000000000000</v>
          </cell>
          <cell r="BG637" t="str">
            <v>None</v>
          </cell>
          <cell r="BK637" t="str">
            <v>2025-04-23 00:00:00</v>
          </cell>
          <cell r="BL637" t="str">
            <v>Airport EG-703</v>
          </cell>
          <cell r="BM637" t="str">
            <v>No</v>
          </cell>
          <cell r="BN637" t="str">
            <v>No</v>
          </cell>
          <cell r="BO637" t="str">
            <v>CPay-000000004</v>
          </cell>
        </row>
        <row r="638">
          <cell r="B638" t="str">
            <v>302360</v>
          </cell>
          <cell r="C638" t="str">
            <v>112.0000000000000000</v>
          </cell>
          <cell r="E638" t="str">
            <v>Cust</v>
          </cell>
          <cell r="G638" t="str">
            <v>No</v>
          </cell>
          <cell r="H638" t="str">
            <v>1900-01-01 00:00:00</v>
          </cell>
          <cell r="K638" t="str">
            <v>M-P</v>
          </cell>
          <cell r="L638" t="str">
            <v>199.500000</v>
          </cell>
          <cell r="AL638" t="str">
            <v>302360</v>
          </cell>
          <cell r="BC638" t="str">
            <v>Cust-PP</v>
          </cell>
          <cell r="BD638" t="str">
            <v>1.9801980198019800</v>
          </cell>
          <cell r="BE638" t="str">
            <v>.0000000000000000</v>
          </cell>
          <cell r="BF638" t="str">
            <v>.0000000000000000</v>
          </cell>
          <cell r="BG638" t="str">
            <v>None</v>
          </cell>
          <cell r="BK638" t="str">
            <v>2025-04-23 00:00:00</v>
          </cell>
          <cell r="BL638" t="str">
            <v>Airport EG-704</v>
          </cell>
          <cell r="BM638" t="str">
            <v>No</v>
          </cell>
          <cell r="BN638" t="str">
            <v>No</v>
          </cell>
          <cell r="BO638" t="str">
            <v>CPay-000000004</v>
          </cell>
        </row>
        <row r="639">
          <cell r="B639" t="str">
            <v>302361</v>
          </cell>
          <cell r="C639" t="str">
            <v>113.0000000000000000</v>
          </cell>
          <cell r="E639" t="str">
            <v>Cust</v>
          </cell>
          <cell r="G639" t="str">
            <v>No</v>
          </cell>
          <cell r="H639" t="str">
            <v>1900-01-01 00:00:00</v>
          </cell>
          <cell r="K639" t="str">
            <v>M-P</v>
          </cell>
          <cell r="L639" t="str">
            <v>1450.000000</v>
          </cell>
          <cell r="AL639" t="str">
            <v>302361</v>
          </cell>
          <cell r="BC639" t="str">
            <v>Cust-PP</v>
          </cell>
          <cell r="BD639" t="str">
            <v>1.9801980198019800</v>
          </cell>
          <cell r="BE639" t="str">
            <v>.0000000000000000</v>
          </cell>
          <cell r="BF639" t="str">
            <v>.0000000000000000</v>
          </cell>
          <cell r="BG639" t="str">
            <v>None</v>
          </cell>
          <cell r="BK639" t="str">
            <v>2025-04-23 00:00:00</v>
          </cell>
          <cell r="BL639" t="str">
            <v>Airport EG-705</v>
          </cell>
          <cell r="BM639" t="str">
            <v>No</v>
          </cell>
          <cell r="BN639" t="str">
            <v>No</v>
          </cell>
          <cell r="BO639" t="str">
            <v>CPay-000000004</v>
          </cell>
        </row>
        <row r="640">
          <cell r="B640" t="str">
            <v>302362</v>
          </cell>
          <cell r="C640" t="str">
            <v>114.0000000000000000</v>
          </cell>
          <cell r="E640" t="str">
            <v>Cust</v>
          </cell>
          <cell r="G640" t="str">
            <v>No</v>
          </cell>
          <cell r="H640" t="str">
            <v>1900-01-01 00:00:00</v>
          </cell>
          <cell r="K640" t="str">
            <v>M-P</v>
          </cell>
          <cell r="L640" t="str">
            <v>285.000000</v>
          </cell>
          <cell r="AL640" t="str">
            <v>302362</v>
          </cell>
          <cell r="BC640" t="str">
            <v>Cust-PP</v>
          </cell>
          <cell r="BD640" t="str">
            <v>1.9801980198019800</v>
          </cell>
          <cell r="BE640" t="str">
            <v>.0000000000000000</v>
          </cell>
          <cell r="BF640" t="str">
            <v>.0000000000000000</v>
          </cell>
          <cell r="BG640" t="str">
            <v>None</v>
          </cell>
          <cell r="BK640" t="str">
            <v>2025-04-23 00:00:00</v>
          </cell>
          <cell r="BL640" t="str">
            <v>Airport EG-706</v>
          </cell>
          <cell r="BM640" t="str">
            <v>No</v>
          </cell>
          <cell r="BN640" t="str">
            <v>No</v>
          </cell>
          <cell r="BO640" t="str">
            <v>CPay-000000004</v>
          </cell>
        </row>
        <row r="641">
          <cell r="B641" t="str">
            <v>302382</v>
          </cell>
          <cell r="C641" t="str">
            <v>115.0000000000000000</v>
          </cell>
          <cell r="E641" t="str">
            <v>Cust</v>
          </cell>
          <cell r="G641" t="str">
            <v>No</v>
          </cell>
          <cell r="H641" t="str">
            <v>1900-01-01 00:00:00</v>
          </cell>
          <cell r="K641" t="str">
            <v>M-P</v>
          </cell>
          <cell r="L641" t="str">
            <v>2052.000000</v>
          </cell>
          <cell r="AL641" t="str">
            <v>302382</v>
          </cell>
          <cell r="BC641" t="str">
            <v>Cust-PP</v>
          </cell>
          <cell r="BD641" t="str">
            <v>1.9801980198019800</v>
          </cell>
          <cell r="BE641" t="str">
            <v>.0000000000000000</v>
          </cell>
          <cell r="BF641" t="str">
            <v>.0000000000000000</v>
          </cell>
          <cell r="BG641" t="str">
            <v>None</v>
          </cell>
          <cell r="BK641" t="str">
            <v>2025-04-23 00:00:00</v>
          </cell>
          <cell r="BL641" t="str">
            <v>Airport EG-697</v>
          </cell>
          <cell r="BM641" t="str">
            <v>No</v>
          </cell>
          <cell r="BN641" t="str">
            <v>No</v>
          </cell>
          <cell r="BO641" t="str">
            <v>CPay-000000004</v>
          </cell>
        </row>
        <row r="642">
          <cell r="B642" t="str">
            <v>302384</v>
          </cell>
          <cell r="C642" t="str">
            <v>116.0000000000000000</v>
          </cell>
          <cell r="E642" t="str">
            <v>Cust</v>
          </cell>
          <cell r="G642" t="str">
            <v>No</v>
          </cell>
          <cell r="H642" t="str">
            <v>1900-01-01 00:00:00</v>
          </cell>
          <cell r="K642" t="str">
            <v>M-P</v>
          </cell>
          <cell r="L642" t="str">
            <v>296.400000</v>
          </cell>
          <cell r="AL642" t="str">
            <v>302384</v>
          </cell>
          <cell r="BC642" t="str">
            <v>Cust-PP</v>
          </cell>
          <cell r="BD642" t="str">
            <v>1.9801980198019800</v>
          </cell>
          <cell r="BE642" t="str">
            <v>.0000000000000000</v>
          </cell>
          <cell r="BF642" t="str">
            <v>.0000000000000000</v>
          </cell>
          <cell r="BG642" t="str">
            <v>None</v>
          </cell>
          <cell r="BK642" t="str">
            <v>2025-04-23 00:00:00</v>
          </cell>
          <cell r="BL642" t="str">
            <v>Airport EG-698</v>
          </cell>
          <cell r="BM642" t="str">
            <v>No</v>
          </cell>
          <cell r="BN642" t="str">
            <v>No</v>
          </cell>
          <cell r="BO642" t="str">
            <v>CPay-000000004</v>
          </cell>
        </row>
        <row r="643">
          <cell r="B643" t="str">
            <v>302417</v>
          </cell>
          <cell r="C643" t="str">
            <v>117.0000000000000000</v>
          </cell>
          <cell r="E643" t="str">
            <v>Cust</v>
          </cell>
          <cell r="G643" t="str">
            <v>No</v>
          </cell>
          <cell r="H643" t="str">
            <v>1900-01-01 00:00:00</v>
          </cell>
          <cell r="K643" t="str">
            <v>M-P</v>
          </cell>
          <cell r="L643" t="str">
            <v>1653.000000</v>
          </cell>
          <cell r="AL643" t="str">
            <v>302417</v>
          </cell>
          <cell r="BC643" t="str">
            <v>Cust-PP</v>
          </cell>
          <cell r="BD643" t="str">
            <v>1.9801980198019800</v>
          </cell>
          <cell r="BE643" t="str">
            <v>.0000000000000000</v>
          </cell>
          <cell r="BF643" t="str">
            <v>.0000000000000000</v>
          </cell>
          <cell r="BG643" t="str">
            <v>None</v>
          </cell>
          <cell r="BK643" t="str">
            <v>2025-04-23 00:00:00</v>
          </cell>
          <cell r="BL643" t="str">
            <v>Airport EG-699</v>
          </cell>
          <cell r="BM643" t="str">
            <v>No</v>
          </cell>
          <cell r="BN643" t="str">
            <v>No</v>
          </cell>
          <cell r="BO643" t="str">
            <v>CPay-000000004</v>
          </cell>
        </row>
        <row r="644">
          <cell r="B644" t="str">
            <v>302418</v>
          </cell>
          <cell r="C644" t="str">
            <v>118.0000000000000000</v>
          </cell>
          <cell r="E644" t="str">
            <v>Cust</v>
          </cell>
          <cell r="G644" t="str">
            <v>No</v>
          </cell>
          <cell r="H644" t="str">
            <v>1900-01-01 00:00:00</v>
          </cell>
          <cell r="K644" t="str">
            <v>M-P</v>
          </cell>
          <cell r="L644" t="str">
            <v>2321.270000</v>
          </cell>
          <cell r="AL644" t="str">
            <v>302418</v>
          </cell>
          <cell r="BC644" t="str">
            <v>Cust-PP</v>
          </cell>
          <cell r="BD644" t="str">
            <v>1.9801980198019800</v>
          </cell>
          <cell r="BE644" t="str">
            <v>.0000000000000000</v>
          </cell>
          <cell r="BF644" t="str">
            <v>.0000000000000000</v>
          </cell>
          <cell r="BG644" t="str">
            <v>None</v>
          </cell>
          <cell r="BK644" t="str">
            <v>2025-04-23 00:00:00</v>
          </cell>
          <cell r="BL644" t="str">
            <v>Airport EG-700</v>
          </cell>
          <cell r="BM644" t="str">
            <v>No</v>
          </cell>
          <cell r="BN644" t="str">
            <v>No</v>
          </cell>
          <cell r="BO644" t="str">
            <v>CPay-000000004</v>
          </cell>
        </row>
        <row r="645">
          <cell r="B645" t="str">
            <v>302419</v>
          </cell>
          <cell r="C645" t="str">
            <v>119.0000000000000000</v>
          </cell>
          <cell r="E645" t="str">
            <v>Cust</v>
          </cell>
          <cell r="G645" t="str">
            <v>No</v>
          </cell>
          <cell r="H645" t="str">
            <v>1900-01-01 00:00:00</v>
          </cell>
          <cell r="K645" t="str">
            <v>M-P</v>
          </cell>
          <cell r="L645" t="str">
            <v>1653.000000</v>
          </cell>
          <cell r="AL645" t="str">
            <v>302419</v>
          </cell>
          <cell r="BC645" t="str">
            <v>Cust-PP</v>
          </cell>
          <cell r="BD645" t="str">
            <v>1.9801980198019800</v>
          </cell>
          <cell r="BE645" t="str">
            <v>.0000000000000000</v>
          </cell>
          <cell r="BF645" t="str">
            <v>.0000000000000000</v>
          </cell>
          <cell r="BG645" t="str">
            <v>None</v>
          </cell>
          <cell r="BK645" t="str">
            <v>2025-04-23 00:00:00</v>
          </cell>
          <cell r="BL645" t="str">
            <v>Airport EG-701</v>
          </cell>
          <cell r="BM645" t="str">
            <v>No</v>
          </cell>
          <cell r="BN645" t="str">
            <v>No</v>
          </cell>
          <cell r="BO645" t="str">
            <v>CPay-000000004</v>
          </cell>
        </row>
        <row r="646">
          <cell r="B646" t="str">
            <v>302420</v>
          </cell>
          <cell r="C646" t="str">
            <v>120.0000000000000000</v>
          </cell>
          <cell r="E646" t="str">
            <v>Cust</v>
          </cell>
          <cell r="G646" t="str">
            <v>No</v>
          </cell>
          <cell r="H646" t="str">
            <v>1900-01-01 00:00:00</v>
          </cell>
          <cell r="K646" t="str">
            <v>M-P</v>
          </cell>
          <cell r="L646" t="str">
            <v>548.110000</v>
          </cell>
          <cell r="AL646" t="str">
            <v>302420</v>
          </cell>
          <cell r="BC646" t="str">
            <v>Cust-PP</v>
          </cell>
          <cell r="BD646" t="str">
            <v>1.9801980198019800</v>
          </cell>
          <cell r="BE646" t="str">
            <v>.0000000000000000</v>
          </cell>
          <cell r="BF646" t="str">
            <v>.0000000000000000</v>
          </cell>
          <cell r="BG646" t="str">
            <v>None</v>
          </cell>
          <cell r="BK646" t="str">
            <v>2025-04-23 00:00:00</v>
          </cell>
          <cell r="BL646" t="str">
            <v>Airport EG-702</v>
          </cell>
          <cell r="BM646" t="str">
            <v>No</v>
          </cell>
          <cell r="BN646" t="str">
            <v>No</v>
          </cell>
          <cell r="BO646" t="str">
            <v>CPay-000000004</v>
          </cell>
        </row>
        <row r="647">
          <cell r="B647" t="str">
            <v>302609</v>
          </cell>
          <cell r="C647" t="str">
            <v>121.0000000000000000</v>
          </cell>
          <cell r="E647" t="str">
            <v>Cust</v>
          </cell>
          <cell r="G647" t="str">
            <v>No</v>
          </cell>
          <cell r="H647" t="str">
            <v>1900-01-01 00:00:00</v>
          </cell>
          <cell r="K647" t="str">
            <v>M-P</v>
          </cell>
          <cell r="L647" t="str">
            <v>2052.000000</v>
          </cell>
          <cell r="AL647" t="str">
            <v>302609</v>
          </cell>
          <cell r="BC647" t="str">
            <v>Cust-PP</v>
          </cell>
          <cell r="BD647" t="str">
            <v>1.9801980198019800</v>
          </cell>
          <cell r="BE647" t="str">
            <v>.0000000000000000</v>
          </cell>
          <cell r="BF647" t="str">
            <v>.0000000000000000</v>
          </cell>
          <cell r="BG647" t="str">
            <v>None</v>
          </cell>
          <cell r="BK647" t="str">
            <v>2025-04-23 00:00:00</v>
          </cell>
          <cell r="BL647" t="str">
            <v>Airport EG-707</v>
          </cell>
          <cell r="BM647" t="str">
            <v>No</v>
          </cell>
          <cell r="BN647" t="str">
            <v>No</v>
          </cell>
          <cell r="BO647" t="str">
            <v>CPay-000000004</v>
          </cell>
        </row>
        <row r="648">
          <cell r="B648" t="str">
            <v>302610</v>
          </cell>
          <cell r="C648" t="str">
            <v>122.0000000000000000</v>
          </cell>
          <cell r="E648" t="str">
            <v>Cust</v>
          </cell>
          <cell r="G648" t="str">
            <v>No</v>
          </cell>
          <cell r="H648" t="str">
            <v>1900-01-01 00:00:00</v>
          </cell>
          <cell r="K648" t="str">
            <v>M-P</v>
          </cell>
          <cell r="L648" t="str">
            <v>472.070000</v>
          </cell>
          <cell r="AL648" t="str">
            <v>302610</v>
          </cell>
          <cell r="BC648" t="str">
            <v>Cust-PP</v>
          </cell>
          <cell r="BD648" t="str">
            <v>1.9801980198019800</v>
          </cell>
          <cell r="BE648" t="str">
            <v>.0000000000000000</v>
          </cell>
          <cell r="BF648" t="str">
            <v>.0000000000000000</v>
          </cell>
          <cell r="BG648" t="str">
            <v>None</v>
          </cell>
          <cell r="BK648" t="str">
            <v>2025-04-23 00:00:00</v>
          </cell>
          <cell r="BL648" t="str">
            <v>Airport EG-708</v>
          </cell>
          <cell r="BM648" t="str">
            <v>No</v>
          </cell>
          <cell r="BN648" t="str">
            <v>No</v>
          </cell>
          <cell r="BO648" t="str">
            <v>CPay-000000004</v>
          </cell>
        </row>
        <row r="649">
          <cell r="B649" t="str">
            <v>302618</v>
          </cell>
          <cell r="C649" t="str">
            <v>123.0000000000000000</v>
          </cell>
          <cell r="E649" t="str">
            <v>Cust</v>
          </cell>
          <cell r="G649" t="str">
            <v>No</v>
          </cell>
          <cell r="H649" t="str">
            <v>1900-01-01 00:00:00</v>
          </cell>
          <cell r="K649" t="str">
            <v>M-P</v>
          </cell>
          <cell r="L649" t="str">
            <v>1653.000000</v>
          </cell>
          <cell r="AL649" t="str">
            <v>302618</v>
          </cell>
          <cell r="BC649" t="str">
            <v>Cust-PP</v>
          </cell>
          <cell r="BD649" t="str">
            <v>1.9801980198019800</v>
          </cell>
          <cell r="BE649" t="str">
            <v>.0000000000000000</v>
          </cell>
          <cell r="BF649" t="str">
            <v>.0000000000000000</v>
          </cell>
          <cell r="BG649" t="str">
            <v>None</v>
          </cell>
          <cell r="BK649" t="str">
            <v>2025-04-23 00:00:00</v>
          </cell>
          <cell r="BL649" t="str">
            <v>Airport EG-709</v>
          </cell>
          <cell r="BM649" t="str">
            <v>No</v>
          </cell>
          <cell r="BN649" t="str">
            <v>No</v>
          </cell>
          <cell r="BO649" t="str">
            <v>CPay-000000004</v>
          </cell>
        </row>
        <row r="650">
          <cell r="B650" t="str">
            <v>302619</v>
          </cell>
          <cell r="C650" t="str">
            <v>124.0000000000000000</v>
          </cell>
          <cell r="E650" t="str">
            <v>Cust</v>
          </cell>
          <cell r="G650" t="str">
            <v>No</v>
          </cell>
          <cell r="H650" t="str">
            <v>1900-01-01 00:00:00</v>
          </cell>
          <cell r="K650" t="str">
            <v>M-P</v>
          </cell>
          <cell r="L650" t="str">
            <v>456.000000</v>
          </cell>
          <cell r="AL650" t="str">
            <v>302619</v>
          </cell>
          <cell r="BC650" t="str">
            <v>Cust-PP</v>
          </cell>
          <cell r="BD650" t="str">
            <v>1.9801980198019800</v>
          </cell>
          <cell r="BE650" t="str">
            <v>.0000000000000000</v>
          </cell>
          <cell r="BF650" t="str">
            <v>.0000000000000000</v>
          </cell>
          <cell r="BG650" t="str">
            <v>None</v>
          </cell>
          <cell r="BK650" t="str">
            <v>2025-04-23 00:00:00</v>
          </cell>
          <cell r="BL650" t="str">
            <v>Airport EG-710</v>
          </cell>
          <cell r="BM650" t="str">
            <v>No</v>
          </cell>
          <cell r="BN650" t="str">
            <v>No</v>
          </cell>
          <cell r="BO650" t="str">
            <v>CPay-000000004</v>
          </cell>
        </row>
        <row r="651">
          <cell r="B651" t="str">
            <v>302313</v>
          </cell>
          <cell r="C651" t="str">
            <v>125.0000000000000000</v>
          </cell>
          <cell r="E651" t="str">
            <v>Cust</v>
          </cell>
          <cell r="G651" t="str">
            <v>No</v>
          </cell>
          <cell r="H651" t="str">
            <v>1900-01-01 00:00:00</v>
          </cell>
          <cell r="K651" t="str">
            <v>M-P</v>
          </cell>
          <cell r="L651" t="str">
            <v>1653.000000</v>
          </cell>
          <cell r="AL651" t="str">
            <v>302313</v>
          </cell>
          <cell r="BC651" t="str">
            <v>Cust-PP</v>
          </cell>
          <cell r="BD651" t="str">
            <v>1.9801980198019800</v>
          </cell>
          <cell r="BE651" t="str">
            <v>.0000000000000000</v>
          </cell>
          <cell r="BF651" t="str">
            <v>.0000000000000000</v>
          </cell>
          <cell r="BG651" t="str">
            <v>None</v>
          </cell>
          <cell r="BK651" t="str">
            <v>2025-04-26 00:00:00</v>
          </cell>
          <cell r="BL651" t="str">
            <v>Airport EG-711</v>
          </cell>
          <cell r="BM651" t="str">
            <v>No</v>
          </cell>
          <cell r="BN651" t="str">
            <v>No</v>
          </cell>
          <cell r="BO651" t="str">
            <v>CPay-000000004</v>
          </cell>
        </row>
        <row r="652">
          <cell r="B652" t="str">
            <v>302317</v>
          </cell>
          <cell r="C652" t="str">
            <v>126.0000000000000000</v>
          </cell>
          <cell r="E652" t="str">
            <v>Cust</v>
          </cell>
          <cell r="G652" t="str">
            <v>No</v>
          </cell>
          <cell r="H652" t="str">
            <v>1900-01-01 00:00:00</v>
          </cell>
          <cell r="K652" t="str">
            <v>M-P</v>
          </cell>
          <cell r="L652" t="str">
            <v>199.500000</v>
          </cell>
          <cell r="AL652" t="str">
            <v>302317</v>
          </cell>
          <cell r="BC652" t="str">
            <v>Cust-PP</v>
          </cell>
          <cell r="BD652" t="str">
            <v>1.9801980198019800</v>
          </cell>
          <cell r="BE652" t="str">
            <v>.0000000000000000</v>
          </cell>
          <cell r="BF652" t="str">
            <v>.0000000000000000</v>
          </cell>
          <cell r="BG652" t="str">
            <v>None</v>
          </cell>
          <cell r="BK652" t="str">
            <v>2025-04-26 00:00:00</v>
          </cell>
          <cell r="BL652" t="str">
            <v>Airport EG-712</v>
          </cell>
          <cell r="BM652" t="str">
            <v>No</v>
          </cell>
          <cell r="BN652" t="str">
            <v>No</v>
          </cell>
          <cell r="BO652" t="str">
            <v>CPay-000000004</v>
          </cell>
        </row>
        <row r="653">
          <cell r="B653" t="str">
            <v>302320</v>
          </cell>
          <cell r="C653" t="str">
            <v>127.0000000000000000</v>
          </cell>
          <cell r="E653" t="str">
            <v>Cust</v>
          </cell>
          <cell r="G653" t="str">
            <v>No</v>
          </cell>
          <cell r="H653" t="str">
            <v>1900-01-01 00:00:00</v>
          </cell>
          <cell r="K653" t="str">
            <v>M-P</v>
          </cell>
          <cell r="L653" t="str">
            <v>1653.000000</v>
          </cell>
          <cell r="AL653" t="str">
            <v>302320</v>
          </cell>
          <cell r="BC653" t="str">
            <v>Cust-PP</v>
          </cell>
          <cell r="BD653" t="str">
            <v>1.9801980198019800</v>
          </cell>
          <cell r="BE653" t="str">
            <v>.0000000000000000</v>
          </cell>
          <cell r="BF653" t="str">
            <v>.0000000000000000</v>
          </cell>
          <cell r="BG653" t="str">
            <v>None</v>
          </cell>
          <cell r="BK653" t="str">
            <v>2025-04-26 00:00:00</v>
          </cell>
          <cell r="BL653" t="str">
            <v>Airport EG-713</v>
          </cell>
          <cell r="BM653" t="str">
            <v>No</v>
          </cell>
          <cell r="BN653" t="str">
            <v>No</v>
          </cell>
          <cell r="BO653" t="str">
            <v>CPay-000000004</v>
          </cell>
        </row>
        <row r="654">
          <cell r="B654" t="str">
            <v>302322</v>
          </cell>
          <cell r="C654" t="str">
            <v>128.0000000000000000</v>
          </cell>
          <cell r="E654" t="str">
            <v>Cust</v>
          </cell>
          <cell r="G654" t="str">
            <v>No</v>
          </cell>
          <cell r="H654" t="str">
            <v>1900-01-01 00:00:00</v>
          </cell>
          <cell r="K654" t="str">
            <v>M-P</v>
          </cell>
          <cell r="L654" t="str">
            <v>541.500000</v>
          </cell>
          <cell r="AL654" t="str">
            <v>302322</v>
          </cell>
          <cell r="BC654" t="str">
            <v>Cust-PP</v>
          </cell>
          <cell r="BD654" t="str">
            <v>1.9801980198019800</v>
          </cell>
          <cell r="BE654" t="str">
            <v>.0000000000000000</v>
          </cell>
          <cell r="BF654" t="str">
            <v>.0000000000000000</v>
          </cell>
          <cell r="BG654" t="str">
            <v>None</v>
          </cell>
          <cell r="BK654" t="str">
            <v>2025-04-26 00:00:00</v>
          </cell>
          <cell r="BL654" t="str">
            <v>Airport EG-714</v>
          </cell>
          <cell r="BM654" t="str">
            <v>No</v>
          </cell>
          <cell r="BN654" t="str">
            <v>No</v>
          </cell>
          <cell r="BO654" t="str">
            <v>CPay-000000004</v>
          </cell>
        </row>
        <row r="655">
          <cell r="B655" t="str">
            <v>302326</v>
          </cell>
          <cell r="C655" t="str">
            <v>129.0000000000000000</v>
          </cell>
          <cell r="E655" t="str">
            <v>Cust</v>
          </cell>
          <cell r="G655" t="str">
            <v>No</v>
          </cell>
          <cell r="H655" t="str">
            <v>1900-01-01 00:00:00</v>
          </cell>
          <cell r="K655" t="str">
            <v>M-P</v>
          </cell>
          <cell r="L655" t="str">
            <v>1653.000000</v>
          </cell>
          <cell r="AL655" t="str">
            <v>302326</v>
          </cell>
          <cell r="BC655" t="str">
            <v>Cust-PP</v>
          </cell>
          <cell r="BD655" t="str">
            <v>1.9801980198019800</v>
          </cell>
          <cell r="BE655" t="str">
            <v>.0000000000000000</v>
          </cell>
          <cell r="BF655" t="str">
            <v>.0000000000000000</v>
          </cell>
          <cell r="BG655" t="str">
            <v>None</v>
          </cell>
          <cell r="BK655" t="str">
            <v>2025-04-26 00:00:00</v>
          </cell>
          <cell r="BL655" t="str">
            <v>Airport EG-715</v>
          </cell>
          <cell r="BM655" t="str">
            <v>No</v>
          </cell>
          <cell r="BN655" t="str">
            <v>No</v>
          </cell>
          <cell r="BO655" t="str">
            <v>CPay-000000004</v>
          </cell>
        </row>
        <row r="656">
          <cell r="B656" t="str">
            <v>302328</v>
          </cell>
          <cell r="C656" t="str">
            <v>130.0000000000000000</v>
          </cell>
          <cell r="E656" t="str">
            <v>Cust</v>
          </cell>
          <cell r="G656" t="str">
            <v>No</v>
          </cell>
          <cell r="H656" t="str">
            <v>1900-01-01 00:00:00</v>
          </cell>
          <cell r="K656" t="str">
            <v>M-P</v>
          </cell>
          <cell r="L656" t="str">
            <v>532.380000</v>
          </cell>
          <cell r="AL656" t="str">
            <v>302328</v>
          </cell>
          <cell r="BC656" t="str">
            <v>Cust-PP</v>
          </cell>
          <cell r="BD656" t="str">
            <v>1.9801980198019800</v>
          </cell>
          <cell r="BE656" t="str">
            <v>.0000000000000000</v>
          </cell>
          <cell r="BF656" t="str">
            <v>.0000000000000000</v>
          </cell>
          <cell r="BG656" t="str">
            <v>None</v>
          </cell>
          <cell r="BK656" t="str">
            <v>2025-04-26 00:00:00</v>
          </cell>
          <cell r="BL656" t="str">
            <v>Airport EG-716</v>
          </cell>
          <cell r="BM656" t="str">
            <v>No</v>
          </cell>
          <cell r="BN656" t="str">
            <v>No</v>
          </cell>
          <cell r="BO656" t="str">
            <v>CPay-000000004</v>
          </cell>
        </row>
        <row r="657">
          <cell r="B657" t="str">
            <v>302334</v>
          </cell>
          <cell r="C657" t="str">
            <v>131.0000000000000000</v>
          </cell>
          <cell r="E657" t="str">
            <v>Cust</v>
          </cell>
          <cell r="G657" t="str">
            <v>No</v>
          </cell>
          <cell r="H657" t="str">
            <v>1900-01-01 00:00:00</v>
          </cell>
          <cell r="K657" t="str">
            <v>M-P</v>
          </cell>
          <cell r="L657" t="str">
            <v>1653.000000</v>
          </cell>
          <cell r="AL657" t="str">
            <v>302334</v>
          </cell>
          <cell r="BC657" t="str">
            <v>Cust-PP</v>
          </cell>
          <cell r="BD657" t="str">
            <v>1.9801980198019800</v>
          </cell>
          <cell r="BE657" t="str">
            <v>.0000000000000000</v>
          </cell>
          <cell r="BF657" t="str">
            <v>.0000000000000000</v>
          </cell>
          <cell r="BG657" t="str">
            <v>None</v>
          </cell>
          <cell r="BK657" t="str">
            <v>2025-04-26 00:00:00</v>
          </cell>
          <cell r="BL657" t="str">
            <v>Airport EG-717</v>
          </cell>
          <cell r="BM657" t="str">
            <v>No</v>
          </cell>
          <cell r="BN657" t="str">
            <v>No</v>
          </cell>
          <cell r="BO657" t="str">
            <v>CPay-000000004</v>
          </cell>
        </row>
        <row r="658">
          <cell r="B658" t="str">
            <v>302335</v>
          </cell>
          <cell r="C658" t="str">
            <v>132.0000000000000000</v>
          </cell>
          <cell r="E658" t="str">
            <v>Cust</v>
          </cell>
          <cell r="G658" t="str">
            <v>No</v>
          </cell>
          <cell r="H658" t="str">
            <v>1900-01-01 00:00:00</v>
          </cell>
          <cell r="K658" t="str">
            <v>M-P</v>
          </cell>
          <cell r="L658" t="str">
            <v>199.500000</v>
          </cell>
          <cell r="AL658" t="str">
            <v>302335</v>
          </cell>
          <cell r="BC658" t="str">
            <v>Cust-PP</v>
          </cell>
          <cell r="BD658" t="str">
            <v>1.9801980198019800</v>
          </cell>
          <cell r="BE658" t="str">
            <v>.0000000000000000</v>
          </cell>
          <cell r="BF658" t="str">
            <v>.0000000000000000</v>
          </cell>
          <cell r="BG658" t="str">
            <v>None</v>
          </cell>
          <cell r="BK658" t="str">
            <v>2025-04-26 00:00:00</v>
          </cell>
          <cell r="BL658" t="str">
            <v>Airport EG-718</v>
          </cell>
          <cell r="BM658" t="str">
            <v>No</v>
          </cell>
          <cell r="BN658" t="str">
            <v>No</v>
          </cell>
          <cell r="BO658" t="str">
            <v>CPay-000000004</v>
          </cell>
        </row>
        <row r="659">
          <cell r="B659" t="str">
            <v>302338</v>
          </cell>
          <cell r="C659" t="str">
            <v>133.0000000000000000</v>
          </cell>
          <cell r="E659" t="str">
            <v>Cust</v>
          </cell>
          <cell r="G659" t="str">
            <v>No</v>
          </cell>
          <cell r="H659" t="str">
            <v>1900-01-01 00:00:00</v>
          </cell>
          <cell r="K659" t="str">
            <v>M-P</v>
          </cell>
          <cell r="L659" t="str">
            <v>1653.000000</v>
          </cell>
          <cell r="AL659" t="str">
            <v>302338</v>
          </cell>
          <cell r="BC659" t="str">
            <v>Cust-PP</v>
          </cell>
          <cell r="BD659" t="str">
            <v>1.9801980198019800</v>
          </cell>
          <cell r="BE659" t="str">
            <v>.0000000000000000</v>
          </cell>
          <cell r="BF659" t="str">
            <v>.0000000000000000</v>
          </cell>
          <cell r="BG659" t="str">
            <v>None</v>
          </cell>
          <cell r="BK659" t="str">
            <v>2025-04-26 00:00:00</v>
          </cell>
          <cell r="BL659" t="str">
            <v>Airport EG-719</v>
          </cell>
          <cell r="BM659" t="str">
            <v>No</v>
          </cell>
          <cell r="BN659" t="str">
            <v>No</v>
          </cell>
          <cell r="BO659" t="str">
            <v>CPay-000000004</v>
          </cell>
        </row>
        <row r="660">
          <cell r="B660" t="str">
            <v>302339</v>
          </cell>
          <cell r="C660" t="str">
            <v>134.0000000000000000</v>
          </cell>
          <cell r="E660" t="str">
            <v>Cust</v>
          </cell>
          <cell r="G660" t="str">
            <v>No</v>
          </cell>
          <cell r="H660" t="str">
            <v>1900-01-01 00:00:00</v>
          </cell>
          <cell r="K660" t="str">
            <v>M-P</v>
          </cell>
          <cell r="L660" t="str">
            <v>285.000000</v>
          </cell>
          <cell r="AL660" t="str">
            <v>302339</v>
          </cell>
          <cell r="BC660" t="str">
            <v>Cust-PP</v>
          </cell>
          <cell r="BD660" t="str">
            <v>1.9801980198019800</v>
          </cell>
          <cell r="BE660" t="str">
            <v>.0000000000000000</v>
          </cell>
          <cell r="BF660" t="str">
            <v>.0000000000000000</v>
          </cell>
          <cell r="BG660" t="str">
            <v>None</v>
          </cell>
          <cell r="BK660" t="str">
            <v>2025-04-26 00:00:00</v>
          </cell>
          <cell r="BL660" t="str">
            <v>Airport EG-720</v>
          </cell>
          <cell r="BM660" t="str">
            <v>No</v>
          </cell>
          <cell r="BN660" t="str">
            <v>No</v>
          </cell>
          <cell r="BO660" t="str">
            <v>CPay-000000004</v>
          </cell>
        </row>
        <row r="661">
          <cell r="B661" t="str">
            <v>302342</v>
          </cell>
          <cell r="C661" t="str">
            <v>135.0000000000000000</v>
          </cell>
          <cell r="E661" t="str">
            <v>Cust</v>
          </cell>
          <cell r="G661" t="str">
            <v>No</v>
          </cell>
          <cell r="H661" t="str">
            <v>1900-01-01 00:00:00</v>
          </cell>
          <cell r="K661" t="str">
            <v>M-P</v>
          </cell>
          <cell r="L661" t="str">
            <v>6105.270000</v>
          </cell>
          <cell r="AL661" t="str">
            <v>302342</v>
          </cell>
          <cell r="BC661" t="str">
            <v>Cust-PP</v>
          </cell>
          <cell r="BD661" t="str">
            <v>1.9801980198019800</v>
          </cell>
          <cell r="BE661" t="str">
            <v>.0000000000000000</v>
          </cell>
          <cell r="BF661" t="str">
            <v>.0000000000000000</v>
          </cell>
          <cell r="BG661" t="str">
            <v>None</v>
          </cell>
          <cell r="BK661" t="str">
            <v>2025-04-26 00:00:00</v>
          </cell>
          <cell r="BL661" t="str">
            <v>Airport EG-721</v>
          </cell>
          <cell r="BM661" t="str">
            <v>No</v>
          </cell>
          <cell r="BN661" t="str">
            <v>No</v>
          </cell>
          <cell r="BO661" t="str">
            <v>CPay-000000004</v>
          </cell>
        </row>
        <row r="662">
          <cell r="B662" t="str">
            <v>302343</v>
          </cell>
          <cell r="C662" t="str">
            <v>136.0000000000000000</v>
          </cell>
          <cell r="E662" t="str">
            <v>Cust</v>
          </cell>
          <cell r="G662" t="str">
            <v>No</v>
          </cell>
          <cell r="H662" t="str">
            <v>1900-01-01 00:00:00</v>
          </cell>
          <cell r="K662" t="str">
            <v>M-P</v>
          </cell>
          <cell r="L662" t="str">
            <v>1653.000000</v>
          </cell>
          <cell r="AL662" t="str">
            <v>302343</v>
          </cell>
          <cell r="BC662" t="str">
            <v>Cust-PP</v>
          </cell>
          <cell r="BD662" t="str">
            <v>1.9801980198019800</v>
          </cell>
          <cell r="BE662" t="str">
            <v>.0000000000000000</v>
          </cell>
          <cell r="BF662" t="str">
            <v>.0000000000000000</v>
          </cell>
          <cell r="BG662" t="str">
            <v>None</v>
          </cell>
          <cell r="BK662" t="str">
            <v>2025-04-26 00:00:00</v>
          </cell>
          <cell r="BL662" t="str">
            <v>Airport EG-722</v>
          </cell>
          <cell r="BM662" t="str">
            <v>No</v>
          </cell>
          <cell r="BN662" t="str">
            <v>No</v>
          </cell>
          <cell r="BO662" t="str">
            <v>CPay-000000004</v>
          </cell>
        </row>
        <row r="663">
          <cell r="B663" t="str">
            <v>302252</v>
          </cell>
          <cell r="C663" t="str">
            <v>137.0000000000000000</v>
          </cell>
          <cell r="E663" t="str">
            <v>Cust</v>
          </cell>
          <cell r="G663" t="str">
            <v>No</v>
          </cell>
          <cell r="H663" t="str">
            <v>1900-01-01 00:00:00</v>
          </cell>
          <cell r="K663" t="str">
            <v>M-P</v>
          </cell>
          <cell r="L663" t="str">
            <v>1653.000000</v>
          </cell>
          <cell r="AL663" t="str">
            <v>302252</v>
          </cell>
          <cell r="BC663" t="str">
            <v>Cust-PP</v>
          </cell>
          <cell r="BD663" t="str">
            <v>1.9801980198019800</v>
          </cell>
          <cell r="BE663" t="str">
            <v>.0000000000000000</v>
          </cell>
          <cell r="BF663" t="str">
            <v>.0000000000000000</v>
          </cell>
          <cell r="BG663" t="str">
            <v>None</v>
          </cell>
          <cell r="BK663" t="str">
            <v>2025-04-27 00:00:00</v>
          </cell>
          <cell r="BL663" t="str">
            <v>Airport EG-725</v>
          </cell>
          <cell r="BM663" t="str">
            <v>No</v>
          </cell>
          <cell r="BN663" t="str">
            <v>No</v>
          </cell>
          <cell r="BO663" t="str">
            <v>CPay-000000004</v>
          </cell>
        </row>
        <row r="664">
          <cell r="B664" t="str">
            <v>302253</v>
          </cell>
          <cell r="C664" t="str">
            <v>138.0000000000000000</v>
          </cell>
          <cell r="E664" t="str">
            <v>Cust</v>
          </cell>
          <cell r="G664" t="str">
            <v>No</v>
          </cell>
          <cell r="H664" t="str">
            <v>1900-01-01 00:00:00</v>
          </cell>
          <cell r="K664" t="str">
            <v>M-P</v>
          </cell>
          <cell r="L664" t="str">
            <v>4006.640000</v>
          </cell>
          <cell r="AL664" t="str">
            <v>302253</v>
          </cell>
          <cell r="BC664" t="str">
            <v>Cust-PP</v>
          </cell>
          <cell r="BD664" t="str">
            <v>1.9801980198019800</v>
          </cell>
          <cell r="BE664" t="str">
            <v>.0000000000000000</v>
          </cell>
          <cell r="BF664" t="str">
            <v>.0000000000000000</v>
          </cell>
          <cell r="BG664" t="str">
            <v>None</v>
          </cell>
          <cell r="BK664" t="str">
            <v>2025-04-27 00:00:00</v>
          </cell>
          <cell r="BL664" t="str">
            <v>Airport EG-726</v>
          </cell>
          <cell r="BM664" t="str">
            <v>No</v>
          </cell>
          <cell r="BN664" t="str">
            <v>No</v>
          </cell>
          <cell r="BO664" t="str">
            <v>CPay-000000004</v>
          </cell>
        </row>
        <row r="665">
          <cell r="B665" t="str">
            <v>302282</v>
          </cell>
          <cell r="C665" t="str">
            <v>139.0000000000000000</v>
          </cell>
          <cell r="E665" t="str">
            <v>Cust</v>
          </cell>
          <cell r="G665" t="str">
            <v>No</v>
          </cell>
          <cell r="H665" t="str">
            <v>1900-01-01 00:00:00</v>
          </cell>
          <cell r="K665" t="str">
            <v>M-P</v>
          </cell>
          <cell r="L665" t="str">
            <v>1653.000000</v>
          </cell>
          <cell r="AL665" t="str">
            <v>302282</v>
          </cell>
          <cell r="BC665" t="str">
            <v>Cust-PP</v>
          </cell>
          <cell r="BD665" t="str">
            <v>1.9801980198019800</v>
          </cell>
          <cell r="BE665" t="str">
            <v>.0000000000000000</v>
          </cell>
          <cell r="BF665" t="str">
            <v>.0000000000000000</v>
          </cell>
          <cell r="BG665" t="str">
            <v>None</v>
          </cell>
          <cell r="BK665" t="str">
            <v>2025-04-27 00:00:00</v>
          </cell>
          <cell r="BL665" t="str">
            <v>Airport EG-727</v>
          </cell>
          <cell r="BM665" t="str">
            <v>No</v>
          </cell>
          <cell r="BN665" t="str">
            <v>No</v>
          </cell>
          <cell r="BO665" t="str">
            <v>CPay-000000004</v>
          </cell>
        </row>
        <row r="666">
          <cell r="B666" t="str">
            <v>302283</v>
          </cell>
          <cell r="C666" t="str">
            <v>140.0000000000000000</v>
          </cell>
          <cell r="E666" t="str">
            <v>Cust</v>
          </cell>
          <cell r="G666" t="str">
            <v>No</v>
          </cell>
          <cell r="H666" t="str">
            <v>1900-01-01 00:00:00</v>
          </cell>
          <cell r="K666" t="str">
            <v>M-P</v>
          </cell>
          <cell r="L666" t="str">
            <v>1140.000000</v>
          </cell>
          <cell r="AL666" t="str">
            <v>302283</v>
          </cell>
          <cell r="BC666" t="str">
            <v>Cust-PP</v>
          </cell>
          <cell r="BD666" t="str">
            <v>1.9801980198019800</v>
          </cell>
          <cell r="BE666" t="str">
            <v>.0000000000000000</v>
          </cell>
          <cell r="BF666" t="str">
            <v>.0000000000000000</v>
          </cell>
          <cell r="BG666" t="str">
            <v>None</v>
          </cell>
          <cell r="BK666" t="str">
            <v>2025-04-27 00:00:00</v>
          </cell>
          <cell r="BL666" t="str">
            <v>Airport EG-728</v>
          </cell>
          <cell r="BM666" t="str">
            <v>No</v>
          </cell>
          <cell r="BN666" t="str">
            <v>No</v>
          </cell>
          <cell r="BO666" t="str">
            <v>CPay-000000004</v>
          </cell>
        </row>
        <row r="667">
          <cell r="B667" t="str">
            <v>302349</v>
          </cell>
          <cell r="C667" t="str">
            <v>141.0000000000000000</v>
          </cell>
          <cell r="E667" t="str">
            <v>Cust</v>
          </cell>
          <cell r="G667" t="str">
            <v>No</v>
          </cell>
          <cell r="H667" t="str">
            <v>1900-01-01 00:00:00</v>
          </cell>
          <cell r="K667" t="str">
            <v>M-P</v>
          </cell>
          <cell r="L667" t="str">
            <v>1653.000000</v>
          </cell>
          <cell r="AL667" t="str">
            <v>302349</v>
          </cell>
          <cell r="BC667" t="str">
            <v>Cust-PP</v>
          </cell>
          <cell r="BD667" t="str">
            <v>1.9801980198019800</v>
          </cell>
          <cell r="BE667" t="str">
            <v>.0000000000000000</v>
          </cell>
          <cell r="BF667" t="str">
            <v>.0000000000000000</v>
          </cell>
          <cell r="BG667" t="str">
            <v>None</v>
          </cell>
          <cell r="BK667" t="str">
            <v>2025-04-27 00:00:00</v>
          </cell>
          <cell r="BL667" t="str">
            <v>Airport EG-723</v>
          </cell>
          <cell r="BM667" t="str">
            <v>No</v>
          </cell>
          <cell r="BN667" t="str">
            <v>No</v>
          </cell>
          <cell r="BO667" t="str">
            <v>CPay-000000004</v>
          </cell>
        </row>
        <row r="668">
          <cell r="B668" t="str">
            <v>302350</v>
          </cell>
          <cell r="C668" t="str">
            <v>142.0000000000000000</v>
          </cell>
          <cell r="E668" t="str">
            <v>Cust</v>
          </cell>
          <cell r="G668" t="str">
            <v>No</v>
          </cell>
          <cell r="H668" t="str">
            <v>1900-01-01 00:00:00</v>
          </cell>
          <cell r="K668" t="str">
            <v>M-P</v>
          </cell>
          <cell r="L668" t="str">
            <v>714.780000</v>
          </cell>
          <cell r="AL668" t="str">
            <v>302350</v>
          </cell>
          <cell r="BC668" t="str">
            <v>Cust-PP</v>
          </cell>
          <cell r="BD668" t="str">
            <v>1.9801980198019800</v>
          </cell>
          <cell r="BE668" t="str">
            <v>.0000000000000000</v>
          </cell>
          <cell r="BF668" t="str">
            <v>.0000000000000000</v>
          </cell>
          <cell r="BG668" t="str">
            <v>None</v>
          </cell>
          <cell r="BK668" t="str">
            <v>2025-04-27 00:00:00</v>
          </cell>
          <cell r="BL668" t="str">
            <v>Airport EG-724</v>
          </cell>
          <cell r="BM668" t="str">
            <v>No</v>
          </cell>
          <cell r="BN668" t="str">
            <v>No</v>
          </cell>
          <cell r="BO668" t="str">
            <v>CPay-000000004</v>
          </cell>
        </row>
        <row r="669">
          <cell r="B669" t="str">
            <v>302138</v>
          </cell>
          <cell r="C669" t="str">
            <v>143.0000000000000000</v>
          </cell>
          <cell r="E669" t="str">
            <v>Cust</v>
          </cell>
          <cell r="G669" t="str">
            <v>No</v>
          </cell>
          <cell r="H669" t="str">
            <v>1900-01-01 00:00:00</v>
          </cell>
          <cell r="K669" t="str">
            <v>M-P</v>
          </cell>
          <cell r="L669" t="str">
            <v>1653.000000</v>
          </cell>
          <cell r="AL669" t="str">
            <v>302138</v>
          </cell>
          <cell r="BC669" t="str">
            <v>Cust-PP</v>
          </cell>
          <cell r="BD669" t="str">
            <v>1.9801980198019800</v>
          </cell>
          <cell r="BE669" t="str">
            <v>.0000000000000000</v>
          </cell>
          <cell r="BF669" t="str">
            <v>.0000000000000000</v>
          </cell>
          <cell r="BG669" t="str">
            <v>None</v>
          </cell>
          <cell r="BK669" t="str">
            <v>2025-04-28 00:00:00</v>
          </cell>
          <cell r="BL669" t="str">
            <v>Airport EG-730</v>
          </cell>
          <cell r="BM669" t="str">
            <v>No</v>
          </cell>
          <cell r="BN669" t="str">
            <v>No</v>
          </cell>
          <cell r="BO669" t="str">
            <v>CPay-000000004</v>
          </cell>
        </row>
        <row r="670">
          <cell r="B670" t="str">
            <v>302139</v>
          </cell>
          <cell r="C670" t="str">
            <v>144.0000000000000000</v>
          </cell>
          <cell r="E670" t="str">
            <v>Cust</v>
          </cell>
          <cell r="G670" t="str">
            <v>No</v>
          </cell>
          <cell r="H670" t="str">
            <v>1900-01-01 00:00:00</v>
          </cell>
          <cell r="K670" t="str">
            <v>M-P</v>
          </cell>
          <cell r="L670" t="str">
            <v>912.000000</v>
          </cell>
          <cell r="AL670" t="str">
            <v>302139</v>
          </cell>
          <cell r="BC670" t="str">
            <v>Cust-PP</v>
          </cell>
          <cell r="BD670" t="str">
            <v>1.9801980198019800</v>
          </cell>
          <cell r="BE670" t="str">
            <v>.0000000000000000</v>
          </cell>
          <cell r="BF670" t="str">
            <v>.0000000000000000</v>
          </cell>
          <cell r="BG670" t="str">
            <v>None</v>
          </cell>
          <cell r="BK670" t="str">
            <v>2025-04-28 00:00:00</v>
          </cell>
          <cell r="BL670" t="str">
            <v>Airport EG-731</v>
          </cell>
          <cell r="BM670" t="str">
            <v>No</v>
          </cell>
          <cell r="BN670" t="str">
            <v>No</v>
          </cell>
          <cell r="BO670" t="str">
            <v>CPay-000000004</v>
          </cell>
        </row>
        <row r="671">
          <cell r="B671" t="str">
            <v>302143</v>
          </cell>
          <cell r="C671" t="str">
            <v>145.0000000000000000</v>
          </cell>
          <cell r="E671" t="str">
            <v>Cust</v>
          </cell>
          <cell r="G671" t="str">
            <v>No</v>
          </cell>
          <cell r="H671" t="str">
            <v>1900-01-01 00:00:00</v>
          </cell>
          <cell r="K671" t="str">
            <v>M-P</v>
          </cell>
          <cell r="L671" t="str">
            <v>1653.000000</v>
          </cell>
          <cell r="AL671" t="str">
            <v>302143</v>
          </cell>
          <cell r="BC671" t="str">
            <v>Cust-PP</v>
          </cell>
          <cell r="BD671" t="str">
            <v>1.9801980198019800</v>
          </cell>
          <cell r="BE671" t="str">
            <v>.0000000000000000</v>
          </cell>
          <cell r="BF671" t="str">
            <v>.0000000000000000</v>
          </cell>
          <cell r="BG671" t="str">
            <v>None</v>
          </cell>
          <cell r="BK671" t="str">
            <v>2025-04-28 00:00:00</v>
          </cell>
          <cell r="BL671" t="str">
            <v>Airport EG-732</v>
          </cell>
          <cell r="BM671" t="str">
            <v>No</v>
          </cell>
          <cell r="BN671" t="str">
            <v>No</v>
          </cell>
          <cell r="BO671" t="str">
            <v>CPay-000000004</v>
          </cell>
        </row>
        <row r="672">
          <cell r="B672" t="str">
            <v>302144</v>
          </cell>
          <cell r="C672" t="str">
            <v>146.0000000000000000</v>
          </cell>
          <cell r="E672" t="str">
            <v>Cust</v>
          </cell>
          <cell r="G672" t="str">
            <v>No</v>
          </cell>
          <cell r="H672" t="str">
            <v>1900-01-01 00:00:00</v>
          </cell>
          <cell r="K672" t="str">
            <v>M-P</v>
          </cell>
          <cell r="L672" t="str">
            <v>414.390000</v>
          </cell>
          <cell r="AL672" t="str">
            <v>302144</v>
          </cell>
          <cell r="BC672" t="str">
            <v>Cust-PP</v>
          </cell>
          <cell r="BD672" t="str">
            <v>1.9801980198019800</v>
          </cell>
          <cell r="BE672" t="str">
            <v>.0000000000000000</v>
          </cell>
          <cell r="BF672" t="str">
            <v>.0000000000000000</v>
          </cell>
          <cell r="BG672" t="str">
            <v>None</v>
          </cell>
          <cell r="BK672" t="str">
            <v>2025-04-28 00:00:00</v>
          </cell>
          <cell r="BL672" t="str">
            <v>Airport EG-733</v>
          </cell>
          <cell r="BM672" t="str">
            <v>No</v>
          </cell>
          <cell r="BN672" t="str">
            <v>No</v>
          </cell>
          <cell r="BO672" t="str">
            <v>CPay-000000004</v>
          </cell>
        </row>
        <row r="673">
          <cell r="B673" t="str">
            <v>302171</v>
          </cell>
          <cell r="C673" t="str">
            <v>147.0000000000000000</v>
          </cell>
          <cell r="E673" t="str">
            <v>Cust</v>
          </cell>
          <cell r="G673" t="str">
            <v>No</v>
          </cell>
          <cell r="H673" t="str">
            <v>1900-01-01 00:00:00</v>
          </cell>
          <cell r="K673" t="str">
            <v>M-P</v>
          </cell>
          <cell r="L673" t="str">
            <v>13510.140000</v>
          </cell>
          <cell r="AL673" t="str">
            <v>302171</v>
          </cell>
          <cell r="BC673" t="str">
            <v>Cust-PP</v>
          </cell>
          <cell r="BD673" t="str">
            <v>1.9801980198019800</v>
          </cell>
          <cell r="BE673" t="str">
            <v>.0000000000000000</v>
          </cell>
          <cell r="BF673" t="str">
            <v>.0000000000000000</v>
          </cell>
          <cell r="BG673" t="str">
            <v>None</v>
          </cell>
          <cell r="BK673" t="str">
            <v>2025-04-28 00:00:00</v>
          </cell>
          <cell r="BL673" t="str">
            <v>Airport EG-734</v>
          </cell>
          <cell r="BM673" t="str">
            <v>No</v>
          </cell>
          <cell r="BN673" t="str">
            <v>No</v>
          </cell>
          <cell r="BO673" t="str">
            <v>CPay-000000004</v>
          </cell>
        </row>
        <row r="674">
          <cell r="B674" t="str">
            <v>302172</v>
          </cell>
          <cell r="C674" t="str">
            <v>148.0000000000000000</v>
          </cell>
          <cell r="E674" t="str">
            <v>Cust</v>
          </cell>
          <cell r="G674" t="str">
            <v>No</v>
          </cell>
          <cell r="H674" t="str">
            <v>1900-01-01 00:00:00</v>
          </cell>
          <cell r="K674" t="str">
            <v>M-P</v>
          </cell>
          <cell r="L674" t="str">
            <v>1653.000000</v>
          </cell>
          <cell r="AL674" t="str">
            <v>302172</v>
          </cell>
          <cell r="BC674" t="str">
            <v>Cust-PP</v>
          </cell>
          <cell r="BD674" t="str">
            <v>1.9801980198019800</v>
          </cell>
          <cell r="BE674" t="str">
            <v>.0000000000000000</v>
          </cell>
          <cell r="BF674" t="str">
            <v>.0000000000000000</v>
          </cell>
          <cell r="BG674" t="str">
            <v>None</v>
          </cell>
          <cell r="BK674" t="str">
            <v>2025-04-28 00:00:00</v>
          </cell>
          <cell r="BL674" t="str">
            <v>Airport EG-735</v>
          </cell>
          <cell r="BM674" t="str">
            <v>No</v>
          </cell>
          <cell r="BN674" t="str">
            <v>No</v>
          </cell>
          <cell r="BO674" t="str">
            <v>CPay-000000004</v>
          </cell>
        </row>
        <row r="675">
          <cell r="B675" t="str">
            <v>302173</v>
          </cell>
          <cell r="C675" t="str">
            <v>149.0000000000000000</v>
          </cell>
          <cell r="E675" t="str">
            <v>Cust</v>
          </cell>
          <cell r="G675" t="str">
            <v>No</v>
          </cell>
          <cell r="H675" t="str">
            <v>1900-01-01 00:00:00</v>
          </cell>
          <cell r="K675" t="str">
            <v>M-P</v>
          </cell>
          <cell r="L675" t="str">
            <v>1653.000000</v>
          </cell>
          <cell r="AL675" t="str">
            <v>302173</v>
          </cell>
          <cell r="BC675" t="str">
            <v>Cust-PP</v>
          </cell>
          <cell r="BD675" t="str">
            <v>1.9801980198019800</v>
          </cell>
          <cell r="BE675" t="str">
            <v>.0000000000000000</v>
          </cell>
          <cell r="BF675" t="str">
            <v>.0000000000000000</v>
          </cell>
          <cell r="BG675" t="str">
            <v>None</v>
          </cell>
          <cell r="BK675" t="str">
            <v>2025-04-28 00:00:00</v>
          </cell>
          <cell r="BL675" t="str">
            <v>Airport EG-736</v>
          </cell>
          <cell r="BM675" t="str">
            <v>No</v>
          </cell>
          <cell r="BN675" t="str">
            <v>No</v>
          </cell>
          <cell r="BO675" t="str">
            <v>CPay-000000004</v>
          </cell>
        </row>
        <row r="676">
          <cell r="B676" t="str">
            <v>302174</v>
          </cell>
          <cell r="C676" t="str">
            <v>150.0000000000000000</v>
          </cell>
          <cell r="E676" t="str">
            <v>Cust</v>
          </cell>
          <cell r="G676" t="str">
            <v>No</v>
          </cell>
          <cell r="H676" t="str">
            <v>1900-01-01 00:00:00</v>
          </cell>
          <cell r="K676" t="str">
            <v>M-P</v>
          </cell>
          <cell r="L676" t="str">
            <v>798.000000</v>
          </cell>
          <cell r="AL676" t="str">
            <v>302174</v>
          </cell>
          <cell r="BC676" t="str">
            <v>Cust-PP</v>
          </cell>
          <cell r="BD676" t="str">
            <v>1.9801980198019800</v>
          </cell>
          <cell r="BE676" t="str">
            <v>.0000000000000000</v>
          </cell>
          <cell r="BF676" t="str">
            <v>.0000000000000000</v>
          </cell>
          <cell r="BG676" t="str">
            <v>None</v>
          </cell>
          <cell r="BK676" t="str">
            <v>2025-04-28 00:00:00</v>
          </cell>
          <cell r="BL676" t="str">
            <v>Airport EG-737</v>
          </cell>
          <cell r="BM676" t="str">
            <v>No</v>
          </cell>
          <cell r="BN676" t="str">
            <v>No</v>
          </cell>
          <cell r="BO676" t="str">
            <v>CPay-000000004</v>
          </cell>
        </row>
        <row r="677">
          <cell r="B677" t="str">
            <v>302175</v>
          </cell>
          <cell r="C677" t="str">
            <v>151.0000000000000000</v>
          </cell>
          <cell r="E677" t="str">
            <v>Cust</v>
          </cell>
          <cell r="G677" t="str">
            <v>No</v>
          </cell>
          <cell r="H677" t="str">
            <v>1900-01-01 00:00:00</v>
          </cell>
          <cell r="K677" t="str">
            <v>M-P</v>
          </cell>
          <cell r="L677" t="str">
            <v>1653.000000</v>
          </cell>
          <cell r="AL677" t="str">
            <v>302175</v>
          </cell>
          <cell r="BC677" t="str">
            <v>Cust-PP</v>
          </cell>
          <cell r="BD677" t="str">
            <v>1.9801980198019800</v>
          </cell>
          <cell r="BE677" t="str">
            <v>.0000000000000000</v>
          </cell>
          <cell r="BF677" t="str">
            <v>.0000000000000000</v>
          </cell>
          <cell r="BG677" t="str">
            <v>None</v>
          </cell>
          <cell r="BK677" t="str">
            <v>2025-04-28 00:00:00</v>
          </cell>
          <cell r="BL677" t="str">
            <v>Airport EG-738</v>
          </cell>
          <cell r="BM677" t="str">
            <v>No</v>
          </cell>
          <cell r="BN677" t="str">
            <v>No</v>
          </cell>
          <cell r="BO677" t="str">
            <v>CPay-000000004</v>
          </cell>
        </row>
        <row r="678">
          <cell r="B678" t="str">
            <v>302176</v>
          </cell>
          <cell r="C678" t="str">
            <v>152.0000000000000000</v>
          </cell>
          <cell r="E678" t="str">
            <v>Cust</v>
          </cell>
          <cell r="G678" t="str">
            <v>No</v>
          </cell>
          <cell r="H678" t="str">
            <v>1900-01-01 00:00:00</v>
          </cell>
          <cell r="K678" t="str">
            <v>M-P</v>
          </cell>
          <cell r="L678" t="str">
            <v>296.400000</v>
          </cell>
          <cell r="AL678" t="str">
            <v>302176</v>
          </cell>
          <cell r="BC678" t="str">
            <v>Cust-PP</v>
          </cell>
          <cell r="BD678" t="str">
            <v>1.9801980198019800</v>
          </cell>
          <cell r="BE678" t="str">
            <v>.0000000000000000</v>
          </cell>
          <cell r="BF678" t="str">
            <v>.0000000000000000</v>
          </cell>
          <cell r="BG678" t="str">
            <v>None</v>
          </cell>
          <cell r="BK678" t="str">
            <v>2025-04-28 00:00:00</v>
          </cell>
          <cell r="BL678" t="str">
            <v>Airport EG-739</v>
          </cell>
          <cell r="BM678" t="str">
            <v>No</v>
          </cell>
          <cell r="BN678" t="str">
            <v>No</v>
          </cell>
          <cell r="BO678" t="str">
            <v>CPay-000000004</v>
          </cell>
        </row>
        <row r="679">
          <cell r="B679" t="str">
            <v>302051</v>
          </cell>
          <cell r="C679" t="str">
            <v>153.0000000000000000</v>
          </cell>
          <cell r="E679" t="str">
            <v>Cust</v>
          </cell>
          <cell r="G679" t="str">
            <v>No</v>
          </cell>
          <cell r="H679" t="str">
            <v>1900-01-01 00:00:00</v>
          </cell>
          <cell r="K679" t="str">
            <v>M-P</v>
          </cell>
          <cell r="L679" t="str">
            <v>1653.000000</v>
          </cell>
          <cell r="AL679" t="str">
            <v>302051</v>
          </cell>
          <cell r="BC679" t="str">
            <v>Cust-PP</v>
          </cell>
          <cell r="BD679" t="str">
            <v>1.9801980198019800</v>
          </cell>
          <cell r="BE679" t="str">
            <v>.0000000000000000</v>
          </cell>
          <cell r="BF679" t="str">
            <v>.0000000000000000</v>
          </cell>
          <cell r="BG679" t="str">
            <v>None</v>
          </cell>
          <cell r="BK679" t="str">
            <v>2025-04-29 00:00:00</v>
          </cell>
          <cell r="BL679" t="str">
            <v>Airport EG-740</v>
          </cell>
          <cell r="BM679" t="str">
            <v>No</v>
          </cell>
          <cell r="BN679" t="str">
            <v>No</v>
          </cell>
          <cell r="BO679" t="str">
            <v>CPay-000000004</v>
          </cell>
        </row>
        <row r="680">
          <cell r="B680" t="str">
            <v>302052</v>
          </cell>
          <cell r="C680" t="str">
            <v>154.0000000000000000</v>
          </cell>
          <cell r="E680" t="str">
            <v>Cust</v>
          </cell>
          <cell r="G680" t="str">
            <v>No</v>
          </cell>
          <cell r="H680" t="str">
            <v>1900-01-01 00:00:00</v>
          </cell>
          <cell r="K680" t="str">
            <v>M-P</v>
          </cell>
          <cell r="L680" t="str">
            <v>285.000000</v>
          </cell>
          <cell r="AL680" t="str">
            <v>302052</v>
          </cell>
          <cell r="BC680" t="str">
            <v>Cust-PP</v>
          </cell>
          <cell r="BD680" t="str">
            <v>1.9801980198019800</v>
          </cell>
          <cell r="BE680" t="str">
            <v>.0000000000000000</v>
          </cell>
          <cell r="BF680" t="str">
            <v>.0000000000000000</v>
          </cell>
          <cell r="BG680" t="str">
            <v>None</v>
          </cell>
          <cell r="BK680" t="str">
            <v>2025-04-29 00:00:00</v>
          </cell>
          <cell r="BL680" t="str">
            <v>Airport EG-741</v>
          </cell>
          <cell r="BM680" t="str">
            <v>No</v>
          </cell>
          <cell r="BN680" t="str">
            <v>No</v>
          </cell>
          <cell r="BO680" t="str">
            <v>CPay-000000004</v>
          </cell>
        </row>
        <row r="681">
          <cell r="B681" t="str">
            <v>302053</v>
          </cell>
          <cell r="C681" t="str">
            <v>155.0000000000000000</v>
          </cell>
          <cell r="E681" t="str">
            <v>Cust</v>
          </cell>
          <cell r="G681" t="str">
            <v>No</v>
          </cell>
          <cell r="H681" t="str">
            <v>1900-01-01 00:00:00</v>
          </cell>
          <cell r="K681" t="str">
            <v>M-P</v>
          </cell>
          <cell r="L681" t="str">
            <v>1653.000000</v>
          </cell>
          <cell r="AL681" t="str">
            <v>302053</v>
          </cell>
          <cell r="BC681" t="str">
            <v>Cust-PP</v>
          </cell>
          <cell r="BD681" t="str">
            <v>1.9801980198019800</v>
          </cell>
          <cell r="BE681" t="str">
            <v>.0000000000000000</v>
          </cell>
          <cell r="BF681" t="str">
            <v>.0000000000000000</v>
          </cell>
          <cell r="BG681" t="str">
            <v>None</v>
          </cell>
          <cell r="BK681" t="str">
            <v>2025-04-29 00:00:00</v>
          </cell>
          <cell r="BL681" t="str">
            <v>Airport EG-742</v>
          </cell>
          <cell r="BM681" t="str">
            <v>No</v>
          </cell>
          <cell r="BN681" t="str">
            <v>No</v>
          </cell>
          <cell r="BO681" t="str">
            <v>CPay-000000004</v>
          </cell>
        </row>
        <row r="682">
          <cell r="B682" t="str">
            <v>302054</v>
          </cell>
          <cell r="C682" t="str">
            <v>156.0000000000000000</v>
          </cell>
          <cell r="E682" t="str">
            <v>Cust</v>
          </cell>
          <cell r="G682" t="str">
            <v>No</v>
          </cell>
          <cell r="H682" t="str">
            <v>1900-01-01 00:00:00</v>
          </cell>
          <cell r="K682" t="str">
            <v>M-P</v>
          </cell>
          <cell r="L682" t="str">
            <v>370.500000</v>
          </cell>
          <cell r="AL682" t="str">
            <v>302054</v>
          </cell>
          <cell r="BC682" t="str">
            <v>Cust-PP</v>
          </cell>
          <cell r="BD682" t="str">
            <v>1.9801980198019800</v>
          </cell>
          <cell r="BE682" t="str">
            <v>.0000000000000000</v>
          </cell>
          <cell r="BF682" t="str">
            <v>.0000000000000000</v>
          </cell>
          <cell r="BG682" t="str">
            <v>None</v>
          </cell>
          <cell r="BK682" t="str">
            <v>2025-04-29 00:00:00</v>
          </cell>
          <cell r="BL682" t="str">
            <v>Airport EG-743</v>
          </cell>
          <cell r="BM682" t="str">
            <v>No</v>
          </cell>
          <cell r="BN682" t="str">
            <v>No</v>
          </cell>
          <cell r="BO682" t="str">
            <v>CPay-000000004</v>
          </cell>
        </row>
        <row r="683">
          <cell r="B683" t="str">
            <v>302055</v>
          </cell>
          <cell r="C683" t="str">
            <v>157.0000000000000000</v>
          </cell>
          <cell r="E683" t="str">
            <v>Cust</v>
          </cell>
          <cell r="G683" t="str">
            <v>No</v>
          </cell>
          <cell r="H683" t="str">
            <v>1900-01-01 00:00:00</v>
          </cell>
          <cell r="K683" t="str">
            <v>M-P</v>
          </cell>
          <cell r="L683" t="str">
            <v>1653.000000</v>
          </cell>
          <cell r="AL683" t="str">
            <v>302055</v>
          </cell>
          <cell r="BC683" t="str">
            <v>Cust-PP</v>
          </cell>
          <cell r="BD683" t="str">
            <v>1.9801980198019800</v>
          </cell>
          <cell r="BE683" t="str">
            <v>.0000000000000000</v>
          </cell>
          <cell r="BF683" t="str">
            <v>.0000000000000000</v>
          </cell>
          <cell r="BG683" t="str">
            <v>None</v>
          </cell>
          <cell r="BK683" t="str">
            <v>2025-04-29 00:00:00</v>
          </cell>
          <cell r="BL683" t="str">
            <v>Airport EG-744</v>
          </cell>
          <cell r="BM683" t="str">
            <v>No</v>
          </cell>
          <cell r="BN683" t="str">
            <v>No</v>
          </cell>
          <cell r="BO683" t="str">
            <v>CPay-000000004</v>
          </cell>
        </row>
        <row r="684">
          <cell r="B684" t="str">
            <v>302056</v>
          </cell>
          <cell r="C684" t="str">
            <v>158.0000000000000000</v>
          </cell>
          <cell r="E684" t="str">
            <v>Cust</v>
          </cell>
          <cell r="G684" t="str">
            <v>No</v>
          </cell>
          <cell r="H684" t="str">
            <v>1900-01-01 00:00:00</v>
          </cell>
          <cell r="K684" t="str">
            <v>M-P</v>
          </cell>
          <cell r="L684" t="str">
            <v>330.490000</v>
          </cell>
          <cell r="AL684" t="str">
            <v>302056</v>
          </cell>
          <cell r="BC684" t="str">
            <v>Cust-PP</v>
          </cell>
          <cell r="BD684" t="str">
            <v>1.9801980198019800</v>
          </cell>
          <cell r="BE684" t="str">
            <v>.0000000000000000</v>
          </cell>
          <cell r="BF684" t="str">
            <v>.0000000000000000</v>
          </cell>
          <cell r="BG684" t="str">
            <v>None</v>
          </cell>
          <cell r="BK684" t="str">
            <v>2025-04-29 00:00:00</v>
          </cell>
          <cell r="BL684" t="str">
            <v>Airport EG-745</v>
          </cell>
          <cell r="BM684" t="str">
            <v>No</v>
          </cell>
          <cell r="BN684" t="str">
            <v>No</v>
          </cell>
          <cell r="BO684" t="str">
            <v>CPay-000000004</v>
          </cell>
        </row>
        <row r="685">
          <cell r="B685" t="str">
            <v>302061</v>
          </cell>
          <cell r="C685" t="str">
            <v>159.0000000000000000</v>
          </cell>
          <cell r="E685" t="str">
            <v>Cust</v>
          </cell>
          <cell r="G685" t="str">
            <v>No</v>
          </cell>
          <cell r="H685" t="str">
            <v>1900-01-01 00:00:00</v>
          </cell>
          <cell r="K685" t="str">
            <v>M-P</v>
          </cell>
          <cell r="L685" t="str">
            <v>1000.000000</v>
          </cell>
          <cell r="AL685" t="str">
            <v>302061</v>
          </cell>
          <cell r="BC685" t="str">
            <v>Cust-PP</v>
          </cell>
          <cell r="BD685" t="str">
            <v>1.9801980198019800</v>
          </cell>
          <cell r="BE685" t="str">
            <v>.0000000000000000</v>
          </cell>
          <cell r="BF685" t="str">
            <v>.0000000000000000</v>
          </cell>
          <cell r="BG685" t="str">
            <v>None</v>
          </cell>
          <cell r="BK685" t="str">
            <v>2025-04-29 00:00:00</v>
          </cell>
          <cell r="BL685" t="str">
            <v>Airport EG-746</v>
          </cell>
          <cell r="BM685" t="str">
            <v>No</v>
          </cell>
          <cell r="BN685" t="str">
            <v>No</v>
          </cell>
          <cell r="BO685" t="str">
            <v>CPay-000000004</v>
          </cell>
        </row>
        <row r="686">
          <cell r="B686" t="str">
            <v>302062</v>
          </cell>
          <cell r="C686" t="str">
            <v>160.0000000000000000</v>
          </cell>
          <cell r="E686" t="str">
            <v>Cust</v>
          </cell>
          <cell r="G686" t="str">
            <v>No</v>
          </cell>
          <cell r="H686" t="str">
            <v>1900-01-01 00:00:00</v>
          </cell>
          <cell r="K686" t="str">
            <v>M-P</v>
          </cell>
          <cell r="L686" t="str">
            <v>285.000000</v>
          </cell>
          <cell r="AL686" t="str">
            <v>302062</v>
          </cell>
          <cell r="BC686" t="str">
            <v>Cust-PP</v>
          </cell>
          <cell r="BD686" t="str">
            <v>1.9801980198019800</v>
          </cell>
          <cell r="BE686" t="str">
            <v>.0000000000000000</v>
          </cell>
          <cell r="BF686" t="str">
            <v>.0000000000000000</v>
          </cell>
          <cell r="BG686" t="str">
            <v>None</v>
          </cell>
          <cell r="BK686" t="str">
            <v>2025-04-29 00:00:00</v>
          </cell>
          <cell r="BL686" t="str">
            <v>Airport EG-747</v>
          </cell>
          <cell r="BM686" t="str">
            <v>No</v>
          </cell>
          <cell r="BN686" t="str">
            <v>No</v>
          </cell>
          <cell r="BO686" t="str">
            <v>CPay-000000004</v>
          </cell>
        </row>
        <row r="687">
          <cell r="B687" t="str">
            <v>302063</v>
          </cell>
          <cell r="C687" t="str">
            <v>161.0000000000000000</v>
          </cell>
          <cell r="E687" t="str">
            <v>Cust</v>
          </cell>
          <cell r="G687" t="str">
            <v>No</v>
          </cell>
          <cell r="H687" t="str">
            <v>1900-01-01 00:00:00</v>
          </cell>
          <cell r="K687" t="str">
            <v>M-P</v>
          </cell>
          <cell r="L687" t="str">
            <v>1000.000000</v>
          </cell>
          <cell r="AL687" t="str">
            <v>302063</v>
          </cell>
          <cell r="BC687" t="str">
            <v>Cust-PP</v>
          </cell>
          <cell r="BD687" t="str">
            <v>1.9801980198019800</v>
          </cell>
          <cell r="BE687" t="str">
            <v>.0000000000000000</v>
          </cell>
          <cell r="BF687" t="str">
            <v>.0000000000000000</v>
          </cell>
          <cell r="BG687" t="str">
            <v>None</v>
          </cell>
          <cell r="BK687" t="str">
            <v>2025-04-29 00:00:00</v>
          </cell>
          <cell r="BL687" t="str">
            <v>Airport EG-748</v>
          </cell>
          <cell r="BM687" t="str">
            <v>No</v>
          </cell>
          <cell r="BN687" t="str">
            <v>No</v>
          </cell>
          <cell r="BO687" t="str">
            <v>CPay-000000004</v>
          </cell>
        </row>
        <row r="688">
          <cell r="B688" t="str">
            <v>302064</v>
          </cell>
          <cell r="C688" t="str">
            <v>162.0000000000000000</v>
          </cell>
          <cell r="E688" t="str">
            <v>Cust</v>
          </cell>
          <cell r="G688" t="str">
            <v>No</v>
          </cell>
          <cell r="H688" t="str">
            <v>1900-01-01 00:00:00</v>
          </cell>
          <cell r="K688" t="str">
            <v>M-P</v>
          </cell>
          <cell r="L688" t="str">
            <v>296.400000</v>
          </cell>
          <cell r="AL688" t="str">
            <v>302064</v>
          </cell>
          <cell r="BC688" t="str">
            <v>Cust-PP</v>
          </cell>
          <cell r="BD688" t="str">
            <v>1.9801980198019800</v>
          </cell>
          <cell r="BE688" t="str">
            <v>.0000000000000000</v>
          </cell>
          <cell r="BF688" t="str">
            <v>.0000000000000000</v>
          </cell>
          <cell r="BG688" t="str">
            <v>None</v>
          </cell>
          <cell r="BK688" t="str">
            <v>2025-04-29 00:00:00</v>
          </cell>
          <cell r="BL688" t="str">
            <v>Airport EG-749</v>
          </cell>
          <cell r="BM688" t="str">
            <v>No</v>
          </cell>
          <cell r="BN688" t="str">
            <v>No</v>
          </cell>
          <cell r="BO688" t="str">
            <v>CPay-000000004</v>
          </cell>
        </row>
        <row r="689">
          <cell r="B689" t="str">
            <v>302070</v>
          </cell>
          <cell r="C689" t="str">
            <v>163.0000000000000000</v>
          </cell>
          <cell r="E689" t="str">
            <v>Cust</v>
          </cell>
          <cell r="G689" t="str">
            <v>No</v>
          </cell>
          <cell r="H689" t="str">
            <v>1900-01-01 00:00:00</v>
          </cell>
          <cell r="K689" t="str">
            <v>M-P</v>
          </cell>
          <cell r="L689" t="str">
            <v>2052.000000</v>
          </cell>
          <cell r="AL689" t="str">
            <v>302070</v>
          </cell>
          <cell r="BC689" t="str">
            <v>Cust-PP</v>
          </cell>
          <cell r="BD689" t="str">
            <v>1.9801980198019800</v>
          </cell>
          <cell r="BE689" t="str">
            <v>.0000000000000000</v>
          </cell>
          <cell r="BF689" t="str">
            <v>.0000000000000000</v>
          </cell>
          <cell r="BG689" t="str">
            <v>None</v>
          </cell>
          <cell r="BK689" t="str">
            <v>2025-04-29 00:00:00</v>
          </cell>
          <cell r="BL689" t="str">
            <v>Airport EG-750</v>
          </cell>
          <cell r="BM689" t="str">
            <v>No</v>
          </cell>
          <cell r="BN689" t="str">
            <v>No</v>
          </cell>
          <cell r="BO689" t="str">
            <v>CPay-000000004</v>
          </cell>
        </row>
        <row r="690">
          <cell r="B690" t="str">
            <v>302071</v>
          </cell>
          <cell r="C690" t="str">
            <v>164.0000000000000000</v>
          </cell>
          <cell r="E690" t="str">
            <v>Cust</v>
          </cell>
          <cell r="G690" t="str">
            <v>No</v>
          </cell>
          <cell r="H690" t="str">
            <v>1900-01-01 00:00:00</v>
          </cell>
          <cell r="K690" t="str">
            <v>M-P</v>
          </cell>
          <cell r="L690" t="str">
            <v>890.340000</v>
          </cell>
          <cell r="AL690" t="str">
            <v>302071</v>
          </cell>
          <cell r="BC690" t="str">
            <v>Cust-PP</v>
          </cell>
          <cell r="BD690" t="str">
            <v>1.9801980198019800</v>
          </cell>
          <cell r="BE690" t="str">
            <v>.0000000000000000</v>
          </cell>
          <cell r="BF690" t="str">
            <v>.0000000000000000</v>
          </cell>
          <cell r="BG690" t="str">
            <v>None</v>
          </cell>
          <cell r="BK690" t="str">
            <v>2025-04-29 00:00:00</v>
          </cell>
          <cell r="BL690" t="str">
            <v>Airport EG-751</v>
          </cell>
          <cell r="BM690" t="str">
            <v>No</v>
          </cell>
          <cell r="BN690" t="str">
            <v>No</v>
          </cell>
          <cell r="BO690" t="str">
            <v>CPay-000000004</v>
          </cell>
        </row>
        <row r="691">
          <cell r="B691" t="str">
            <v>301950</v>
          </cell>
          <cell r="C691" t="str">
            <v>165.0000000000000000</v>
          </cell>
          <cell r="E691" t="str">
            <v>Cust</v>
          </cell>
          <cell r="G691" t="str">
            <v>No</v>
          </cell>
          <cell r="H691" t="str">
            <v>1900-01-01 00:00:00</v>
          </cell>
          <cell r="K691" t="str">
            <v>M-P</v>
          </cell>
          <cell r="L691" t="str">
            <v>1653.000000</v>
          </cell>
          <cell r="AL691" t="str">
            <v>301950</v>
          </cell>
          <cell r="BC691" t="str">
            <v>Cust-PP</v>
          </cell>
          <cell r="BD691" t="str">
            <v>1.9801980198019800</v>
          </cell>
          <cell r="BE691" t="str">
            <v>.0000000000000000</v>
          </cell>
          <cell r="BF691" t="str">
            <v>.0000000000000000</v>
          </cell>
          <cell r="BG691" t="str">
            <v>None</v>
          </cell>
          <cell r="BK691" t="str">
            <v>2025-04-30 00:00:00</v>
          </cell>
          <cell r="BL691" t="str">
            <v>Airport EG-756</v>
          </cell>
          <cell r="BM691" t="str">
            <v>No</v>
          </cell>
          <cell r="BN691" t="str">
            <v>No</v>
          </cell>
          <cell r="BO691" t="str">
            <v>CPay-000000004</v>
          </cell>
        </row>
        <row r="692">
          <cell r="B692" t="str">
            <v>301951</v>
          </cell>
          <cell r="C692" t="str">
            <v>166.0000000000000000</v>
          </cell>
          <cell r="E692" t="str">
            <v>Cust</v>
          </cell>
          <cell r="G692" t="str">
            <v>No</v>
          </cell>
          <cell r="H692" t="str">
            <v>1900-01-01 00:00:00</v>
          </cell>
          <cell r="K692" t="str">
            <v>M-P</v>
          </cell>
          <cell r="L692" t="str">
            <v>1952.820000</v>
          </cell>
          <cell r="AL692" t="str">
            <v>301951</v>
          </cell>
          <cell r="BC692" t="str">
            <v>Cust-PP</v>
          </cell>
          <cell r="BD692" t="str">
            <v>1.9801980198019800</v>
          </cell>
          <cell r="BE692" t="str">
            <v>.0000000000000000</v>
          </cell>
          <cell r="BF692" t="str">
            <v>.0000000000000000</v>
          </cell>
          <cell r="BG692" t="str">
            <v>None</v>
          </cell>
          <cell r="BK692" t="str">
            <v>2025-04-30 00:00:00</v>
          </cell>
          <cell r="BL692" t="str">
            <v>Airport EG-757</v>
          </cell>
          <cell r="BM692" t="str">
            <v>No</v>
          </cell>
          <cell r="BN692" t="str">
            <v>No</v>
          </cell>
          <cell r="BO692" t="str">
            <v>CPay-000000004</v>
          </cell>
        </row>
        <row r="693">
          <cell r="B693" t="str">
            <v>301952</v>
          </cell>
          <cell r="C693" t="str">
            <v>167.0000000000000000</v>
          </cell>
          <cell r="E693" t="str">
            <v>Cust</v>
          </cell>
          <cell r="G693" t="str">
            <v>No</v>
          </cell>
          <cell r="H693" t="str">
            <v>1900-01-01 00:00:00</v>
          </cell>
          <cell r="K693" t="str">
            <v>M-P</v>
          </cell>
          <cell r="L693" t="str">
            <v>1653.000000</v>
          </cell>
          <cell r="AL693" t="str">
            <v>301952</v>
          </cell>
          <cell r="BC693" t="str">
            <v>Cust-PP</v>
          </cell>
          <cell r="BD693" t="str">
            <v>1.9801980198019800</v>
          </cell>
          <cell r="BE693" t="str">
            <v>.0000000000000000</v>
          </cell>
          <cell r="BF693" t="str">
            <v>.0000000000000000</v>
          </cell>
          <cell r="BG693" t="str">
            <v>None</v>
          </cell>
          <cell r="BK693" t="str">
            <v>2025-04-30 00:00:00</v>
          </cell>
          <cell r="BL693" t="str">
            <v>Airport EG-758</v>
          </cell>
          <cell r="BM693" t="str">
            <v>No</v>
          </cell>
          <cell r="BN693" t="str">
            <v>No</v>
          </cell>
          <cell r="BO693" t="str">
            <v>CPay-000000004</v>
          </cell>
        </row>
        <row r="694">
          <cell r="B694" t="str">
            <v>301953</v>
          </cell>
          <cell r="C694" t="str">
            <v>168.0000000000000000</v>
          </cell>
          <cell r="E694" t="str">
            <v>Cust</v>
          </cell>
          <cell r="G694" t="str">
            <v>No</v>
          </cell>
          <cell r="H694" t="str">
            <v>1900-01-01 00:00:00</v>
          </cell>
          <cell r="K694" t="str">
            <v>M-P</v>
          </cell>
          <cell r="L694" t="str">
            <v>1140.000000</v>
          </cell>
          <cell r="AL694" t="str">
            <v>301953</v>
          </cell>
          <cell r="BC694" t="str">
            <v>Cust-PP</v>
          </cell>
          <cell r="BD694" t="str">
            <v>1.9801980198019800</v>
          </cell>
          <cell r="BE694" t="str">
            <v>.0000000000000000</v>
          </cell>
          <cell r="BF694" t="str">
            <v>.0000000000000000</v>
          </cell>
          <cell r="BG694" t="str">
            <v>None</v>
          </cell>
          <cell r="BK694" t="str">
            <v>2025-04-30 00:00:00</v>
          </cell>
          <cell r="BL694" t="str">
            <v>Airport EG-759</v>
          </cell>
          <cell r="BM694" t="str">
            <v>No</v>
          </cell>
          <cell r="BN694" t="str">
            <v>No</v>
          </cell>
          <cell r="BO694" t="str">
            <v>CPay-000000004</v>
          </cell>
        </row>
        <row r="695">
          <cell r="B695" t="str">
            <v>301974</v>
          </cell>
          <cell r="C695" t="str">
            <v>169.0000000000000000</v>
          </cell>
          <cell r="E695" t="str">
            <v>Cust</v>
          </cell>
          <cell r="G695" t="str">
            <v>No</v>
          </cell>
          <cell r="H695" t="str">
            <v>1900-01-01 00:00:00</v>
          </cell>
          <cell r="K695" t="str">
            <v>M-P</v>
          </cell>
          <cell r="L695" t="str">
            <v>1653.000000</v>
          </cell>
          <cell r="AL695" t="str">
            <v>301974</v>
          </cell>
          <cell r="BC695" t="str">
            <v>Cust-PP</v>
          </cell>
          <cell r="BD695" t="str">
            <v>1.9801980198019800</v>
          </cell>
          <cell r="BE695" t="str">
            <v>.0000000000000000</v>
          </cell>
          <cell r="BF695" t="str">
            <v>.0000000000000000</v>
          </cell>
          <cell r="BG695" t="str">
            <v>None</v>
          </cell>
          <cell r="BK695" t="str">
            <v>2025-04-30 00:00:00</v>
          </cell>
          <cell r="BL695" t="str">
            <v>Airport EG-754</v>
          </cell>
          <cell r="BM695" t="str">
            <v>No</v>
          </cell>
          <cell r="BN695" t="str">
            <v>No</v>
          </cell>
          <cell r="BO695" t="str">
            <v>CPay-000000004</v>
          </cell>
        </row>
        <row r="696">
          <cell r="B696" t="str">
            <v>301975</v>
          </cell>
          <cell r="C696" t="str">
            <v>170.0000000000000000</v>
          </cell>
          <cell r="E696" t="str">
            <v>Cust</v>
          </cell>
          <cell r="G696" t="str">
            <v>No</v>
          </cell>
          <cell r="H696" t="str">
            <v>1900-01-01 00:00:00</v>
          </cell>
          <cell r="K696" t="str">
            <v>M-P</v>
          </cell>
          <cell r="L696" t="str">
            <v>1259.700000</v>
          </cell>
          <cell r="AL696" t="str">
            <v>301975</v>
          </cell>
          <cell r="BC696" t="str">
            <v>Cust-PP</v>
          </cell>
          <cell r="BD696" t="str">
            <v>1.9801980198019800</v>
          </cell>
          <cell r="BE696" t="str">
            <v>.0000000000000000</v>
          </cell>
          <cell r="BF696" t="str">
            <v>.0000000000000000</v>
          </cell>
          <cell r="BG696" t="str">
            <v>None</v>
          </cell>
          <cell r="BK696" t="str">
            <v>2025-04-30 00:00:00</v>
          </cell>
          <cell r="BL696" t="str">
            <v>Airport EG-755</v>
          </cell>
          <cell r="BM696" t="str">
            <v>No</v>
          </cell>
          <cell r="BN696" t="str">
            <v>No</v>
          </cell>
          <cell r="BO696" t="str">
            <v>CPay-000000004</v>
          </cell>
        </row>
        <row r="697">
          <cell r="B697" t="str">
            <v>301979</v>
          </cell>
          <cell r="C697" t="str">
            <v>171.0000000000000000</v>
          </cell>
          <cell r="E697" t="str">
            <v>Cust</v>
          </cell>
          <cell r="G697" t="str">
            <v>No</v>
          </cell>
          <cell r="H697" t="str">
            <v>1900-01-01 00:00:00</v>
          </cell>
          <cell r="K697" t="str">
            <v>M-P</v>
          </cell>
          <cell r="L697" t="str">
            <v>1881.680000</v>
          </cell>
          <cell r="AL697" t="str">
            <v>301979</v>
          </cell>
          <cell r="BC697" t="str">
            <v>Cust-PP</v>
          </cell>
          <cell r="BD697" t="str">
            <v>1.9801980198019800</v>
          </cell>
          <cell r="BE697" t="str">
            <v>.0000000000000000</v>
          </cell>
          <cell r="BF697" t="str">
            <v>.0000000000000000</v>
          </cell>
          <cell r="BG697" t="str">
            <v>None</v>
          </cell>
          <cell r="BK697" t="str">
            <v>2025-04-30 00:00:00</v>
          </cell>
          <cell r="BL697" t="str">
            <v>Airport EG-753</v>
          </cell>
          <cell r="BM697" t="str">
            <v>No</v>
          </cell>
          <cell r="BN697" t="str">
            <v>No</v>
          </cell>
          <cell r="BO697" t="str">
            <v>CPay-000000004</v>
          </cell>
        </row>
        <row r="698">
          <cell r="B698" t="str">
            <v>302084</v>
          </cell>
          <cell r="C698" t="str">
            <v>172.0000000000000000</v>
          </cell>
          <cell r="E698" t="str">
            <v>Cust</v>
          </cell>
          <cell r="G698" t="str">
            <v>No</v>
          </cell>
          <cell r="H698" t="str">
            <v>1900-01-01 00:00:00</v>
          </cell>
          <cell r="K698" t="str">
            <v>M-P</v>
          </cell>
          <cell r="L698" t="str">
            <v>1653.000000</v>
          </cell>
          <cell r="AL698" t="str">
            <v>302084</v>
          </cell>
          <cell r="BC698" t="str">
            <v>Cust-PP</v>
          </cell>
          <cell r="BD698" t="str">
            <v>1.9801980198019800</v>
          </cell>
          <cell r="BE698" t="str">
            <v>.0000000000000000</v>
          </cell>
          <cell r="BF698" t="str">
            <v>.0000000000000000</v>
          </cell>
          <cell r="BG698" t="str">
            <v>None</v>
          </cell>
          <cell r="BK698" t="str">
            <v>2025-04-30 00:00:00</v>
          </cell>
          <cell r="BL698" t="str">
            <v>Airport EG-752</v>
          </cell>
          <cell r="BM698" t="str">
            <v>No</v>
          </cell>
          <cell r="BN698" t="str">
            <v>No</v>
          </cell>
          <cell r="BO698" t="str">
            <v>CPay-000000004</v>
          </cell>
        </row>
        <row r="699">
          <cell r="B699" t="str">
            <v>340561</v>
          </cell>
          <cell r="C699" t="str">
            <v>1.0000000000000000</v>
          </cell>
          <cell r="E699" t="str">
            <v>Cust</v>
          </cell>
          <cell r="G699" t="str">
            <v>No</v>
          </cell>
          <cell r="H699" t="str">
            <v>1900-01-01 00:00:00</v>
          </cell>
          <cell r="K699" t="str">
            <v>M-P</v>
          </cell>
          <cell r="L699" t="str">
            <v>1653.000000</v>
          </cell>
          <cell r="AL699" t="str">
            <v>340561</v>
          </cell>
          <cell r="BC699" t="str">
            <v>Cust-PP</v>
          </cell>
          <cell r="BD699" t="str">
            <v>1.9607843137254900</v>
          </cell>
          <cell r="BE699" t="str">
            <v>.0000000000000000</v>
          </cell>
          <cell r="BF699" t="str">
            <v>.0000000000000000</v>
          </cell>
          <cell r="BG699" t="str">
            <v>None</v>
          </cell>
          <cell r="BK699" t="str">
            <v>2025-05-03 00:00:00</v>
          </cell>
          <cell r="BL699" t="str">
            <v>Airport EG-765</v>
          </cell>
          <cell r="BM699" t="str">
            <v>No</v>
          </cell>
          <cell r="BN699" t="str">
            <v>No</v>
          </cell>
          <cell r="BO699" t="str">
            <v>CPay-000000005</v>
          </cell>
        </row>
        <row r="700">
          <cell r="B700" t="str">
            <v>340563</v>
          </cell>
          <cell r="C700" t="str">
            <v>2.0000000000000000</v>
          </cell>
          <cell r="E700" t="str">
            <v>Cust</v>
          </cell>
          <cell r="G700" t="str">
            <v>No</v>
          </cell>
          <cell r="H700" t="str">
            <v>1900-01-01 00:00:00</v>
          </cell>
          <cell r="K700" t="str">
            <v>M-P</v>
          </cell>
          <cell r="L700" t="str">
            <v>626.770000</v>
          </cell>
          <cell r="AL700" t="str">
            <v>340563</v>
          </cell>
          <cell r="BC700" t="str">
            <v>Cust-PP</v>
          </cell>
          <cell r="BD700" t="str">
            <v>1.9607843137254900</v>
          </cell>
          <cell r="BE700" t="str">
            <v>.0000000000000000</v>
          </cell>
          <cell r="BF700" t="str">
            <v>.0000000000000000</v>
          </cell>
          <cell r="BG700" t="str">
            <v>None</v>
          </cell>
          <cell r="BK700" t="str">
            <v>2025-05-03 00:00:00</v>
          </cell>
          <cell r="BL700" t="str">
            <v>Airport EG-766</v>
          </cell>
          <cell r="BM700" t="str">
            <v>No</v>
          </cell>
          <cell r="BN700" t="str">
            <v>No</v>
          </cell>
          <cell r="BO700" t="str">
            <v>CPay-000000005</v>
          </cell>
        </row>
        <row r="701">
          <cell r="B701" t="str">
            <v>340574</v>
          </cell>
          <cell r="C701" t="str">
            <v>3.0000000000000000</v>
          </cell>
          <cell r="E701" t="str">
            <v>Cust</v>
          </cell>
          <cell r="G701" t="str">
            <v>No</v>
          </cell>
          <cell r="H701" t="str">
            <v>1900-01-01 00:00:00</v>
          </cell>
          <cell r="K701" t="str">
            <v>M-P</v>
          </cell>
          <cell r="L701" t="str">
            <v>2052.000000</v>
          </cell>
          <cell r="AL701" t="str">
            <v>340574</v>
          </cell>
          <cell r="BC701" t="str">
            <v>Cust-PP</v>
          </cell>
          <cell r="BD701" t="str">
            <v>1.9607843137254900</v>
          </cell>
          <cell r="BE701" t="str">
            <v>.0000000000000000</v>
          </cell>
          <cell r="BF701" t="str">
            <v>.0000000000000000</v>
          </cell>
          <cell r="BG701" t="str">
            <v>None</v>
          </cell>
          <cell r="BK701" t="str">
            <v>2025-05-03 00:00:00</v>
          </cell>
          <cell r="BL701" t="str">
            <v>Airport EG-763</v>
          </cell>
          <cell r="BM701" t="str">
            <v>No</v>
          </cell>
          <cell r="BN701" t="str">
            <v>No</v>
          </cell>
          <cell r="BO701" t="str">
            <v>CPay-000000005</v>
          </cell>
        </row>
        <row r="702">
          <cell r="B702" t="str">
            <v>340576</v>
          </cell>
          <cell r="C702" t="str">
            <v>4.0000000000000000</v>
          </cell>
          <cell r="E702" t="str">
            <v>Cust</v>
          </cell>
          <cell r="G702" t="str">
            <v>No</v>
          </cell>
          <cell r="H702" t="str">
            <v>1900-01-01 00:00:00</v>
          </cell>
          <cell r="K702" t="str">
            <v>M-P</v>
          </cell>
          <cell r="L702" t="str">
            <v>296.400000</v>
          </cell>
          <cell r="AL702" t="str">
            <v>340576</v>
          </cell>
          <cell r="BC702" t="str">
            <v>Cust-PP</v>
          </cell>
          <cell r="BD702" t="str">
            <v>1.9607843137254900</v>
          </cell>
          <cell r="BE702" t="str">
            <v>.0000000000000000</v>
          </cell>
          <cell r="BF702" t="str">
            <v>.0000000000000000</v>
          </cell>
          <cell r="BG702" t="str">
            <v>None</v>
          </cell>
          <cell r="BK702" t="str">
            <v>2025-05-03 00:00:00</v>
          </cell>
          <cell r="BL702" t="str">
            <v>Airport EG-764</v>
          </cell>
          <cell r="BM702" t="str">
            <v>No</v>
          </cell>
          <cell r="BN702" t="str">
            <v>No</v>
          </cell>
          <cell r="BO702" t="str">
            <v>CPay-000000005</v>
          </cell>
        </row>
        <row r="703">
          <cell r="B703" t="str">
            <v>340598</v>
          </cell>
          <cell r="C703" t="str">
            <v>5.0000000000000000</v>
          </cell>
          <cell r="E703" t="str">
            <v>Cust</v>
          </cell>
          <cell r="G703" t="str">
            <v>No</v>
          </cell>
          <cell r="H703" t="str">
            <v>1900-01-01 00:00:00</v>
          </cell>
          <cell r="K703" t="str">
            <v>M-P</v>
          </cell>
          <cell r="L703" t="str">
            <v>2052.000000</v>
          </cell>
          <cell r="AL703" t="str">
            <v>340598</v>
          </cell>
          <cell r="BC703" t="str">
            <v>Cust-PP</v>
          </cell>
          <cell r="BD703" t="str">
            <v>1.9607843137254900</v>
          </cell>
          <cell r="BE703" t="str">
            <v>.0000000000000000</v>
          </cell>
          <cell r="BF703" t="str">
            <v>.0000000000000000</v>
          </cell>
          <cell r="BG703" t="str">
            <v>None</v>
          </cell>
          <cell r="BK703" t="str">
            <v>2025-05-03 00:00:00</v>
          </cell>
          <cell r="BL703" t="str">
            <v>Airport EG-761</v>
          </cell>
          <cell r="BM703" t="str">
            <v>No</v>
          </cell>
          <cell r="BN703" t="str">
            <v>No</v>
          </cell>
          <cell r="BO703" t="str">
            <v>CPay-000000005</v>
          </cell>
        </row>
        <row r="704">
          <cell r="B704" t="str">
            <v>340599</v>
          </cell>
          <cell r="C704" t="str">
            <v>6.0000000000000000</v>
          </cell>
          <cell r="E704" t="str">
            <v>Cust</v>
          </cell>
          <cell r="G704" t="str">
            <v>No</v>
          </cell>
          <cell r="H704" t="str">
            <v>1900-01-01 00:00:00</v>
          </cell>
          <cell r="K704" t="str">
            <v>M-P</v>
          </cell>
          <cell r="L704" t="str">
            <v>876.660000</v>
          </cell>
          <cell r="AL704" t="str">
            <v>340599</v>
          </cell>
          <cell r="BC704" t="str">
            <v>Cust-PP</v>
          </cell>
          <cell r="BD704" t="str">
            <v>1.9607843137254900</v>
          </cell>
          <cell r="BE704" t="str">
            <v>.0000000000000000</v>
          </cell>
          <cell r="BF704" t="str">
            <v>.0000000000000000</v>
          </cell>
          <cell r="BG704" t="str">
            <v>None</v>
          </cell>
          <cell r="BK704" t="str">
            <v>2025-05-03 00:00:00</v>
          </cell>
          <cell r="BL704" t="str">
            <v>Airport EG-762</v>
          </cell>
          <cell r="BM704" t="str">
            <v>No</v>
          </cell>
          <cell r="BN704" t="str">
            <v>No</v>
          </cell>
          <cell r="BO704" t="str">
            <v>CPay-000000005</v>
          </cell>
        </row>
        <row r="705">
          <cell r="B705" t="str">
            <v>308289</v>
          </cell>
          <cell r="C705" t="str">
            <v>7.0000000000000000</v>
          </cell>
          <cell r="E705" t="str">
            <v>Cust</v>
          </cell>
          <cell r="G705" t="str">
            <v>No</v>
          </cell>
          <cell r="H705" t="str">
            <v>1900-01-01 00:00:00</v>
          </cell>
          <cell r="K705" t="str">
            <v>M-P</v>
          </cell>
          <cell r="L705" t="str">
            <v>1653.000000</v>
          </cell>
          <cell r="AL705" t="str">
            <v>308289</v>
          </cell>
          <cell r="BC705" t="str">
            <v>Cust-PP</v>
          </cell>
          <cell r="BD705" t="str">
            <v>1.9607843137254900</v>
          </cell>
          <cell r="BE705" t="str">
            <v>.0000000000000000</v>
          </cell>
          <cell r="BF705" t="str">
            <v>.0000000000000000</v>
          </cell>
          <cell r="BG705" t="str">
            <v>None</v>
          </cell>
          <cell r="BK705" t="str">
            <v>2025-05-04 00:00:00</v>
          </cell>
          <cell r="BL705" t="str">
            <v>Airport EG-770</v>
          </cell>
          <cell r="BM705" t="str">
            <v>No</v>
          </cell>
          <cell r="BN705" t="str">
            <v>No</v>
          </cell>
          <cell r="BO705" t="str">
            <v>CPay-000000005</v>
          </cell>
        </row>
        <row r="706">
          <cell r="B706" t="str">
            <v>308290</v>
          </cell>
          <cell r="C706" t="str">
            <v>8.0000000000000000</v>
          </cell>
          <cell r="E706" t="str">
            <v>Cust</v>
          </cell>
          <cell r="G706" t="str">
            <v>No</v>
          </cell>
          <cell r="H706" t="str">
            <v>1900-01-01 00:00:00</v>
          </cell>
          <cell r="K706" t="str">
            <v>M-P</v>
          </cell>
          <cell r="L706" t="str">
            <v>199.500000</v>
          </cell>
          <cell r="AL706" t="str">
            <v>308290</v>
          </cell>
          <cell r="BC706" t="str">
            <v>Cust-PP</v>
          </cell>
          <cell r="BD706" t="str">
            <v>1.9607843137254900</v>
          </cell>
          <cell r="BE706" t="str">
            <v>.0000000000000000</v>
          </cell>
          <cell r="BF706" t="str">
            <v>.0000000000000000</v>
          </cell>
          <cell r="BG706" t="str">
            <v>None</v>
          </cell>
          <cell r="BK706" t="str">
            <v>2025-05-04 00:00:00</v>
          </cell>
          <cell r="BL706" t="str">
            <v>Airport EG-771</v>
          </cell>
          <cell r="BM706" t="str">
            <v>No</v>
          </cell>
          <cell r="BN706" t="str">
            <v>No</v>
          </cell>
          <cell r="BO706" t="str">
            <v>CPay-000000005</v>
          </cell>
        </row>
        <row r="707">
          <cell r="B707" t="str">
            <v>308294</v>
          </cell>
          <cell r="C707" t="str">
            <v>9.0000000000000000</v>
          </cell>
          <cell r="E707" t="str">
            <v>Cust</v>
          </cell>
          <cell r="G707" t="str">
            <v>No</v>
          </cell>
          <cell r="H707" t="str">
            <v>1900-01-01 00:00:00</v>
          </cell>
          <cell r="K707" t="str">
            <v>M-P</v>
          </cell>
          <cell r="L707" t="str">
            <v>2052.000000</v>
          </cell>
          <cell r="AL707" t="str">
            <v>308294</v>
          </cell>
          <cell r="BC707" t="str">
            <v>Cust-PP</v>
          </cell>
          <cell r="BD707" t="str">
            <v>1.9607843137254900</v>
          </cell>
          <cell r="BE707" t="str">
            <v>.0000000000000000</v>
          </cell>
          <cell r="BF707" t="str">
            <v>.0000000000000000</v>
          </cell>
          <cell r="BG707" t="str">
            <v>None</v>
          </cell>
          <cell r="BK707" t="str">
            <v>2025-05-04 00:00:00</v>
          </cell>
          <cell r="BL707" t="str">
            <v>Airport EG-768</v>
          </cell>
          <cell r="BM707" t="str">
            <v>No</v>
          </cell>
          <cell r="BN707" t="str">
            <v>No</v>
          </cell>
          <cell r="BO707" t="str">
            <v>CPay-000000005</v>
          </cell>
        </row>
        <row r="708">
          <cell r="B708" t="str">
            <v>308295</v>
          </cell>
          <cell r="C708" t="str">
            <v>10.0000000000000000</v>
          </cell>
          <cell r="E708" t="str">
            <v>Cust</v>
          </cell>
          <cell r="G708" t="str">
            <v>No</v>
          </cell>
          <cell r="H708" t="str">
            <v>1900-01-01 00:00:00</v>
          </cell>
          <cell r="K708" t="str">
            <v>M-P</v>
          </cell>
          <cell r="L708" t="str">
            <v>432.740000</v>
          </cell>
          <cell r="AL708" t="str">
            <v>308295</v>
          </cell>
          <cell r="BC708" t="str">
            <v>Cust-PP</v>
          </cell>
          <cell r="BD708" t="str">
            <v>1.9607843137254900</v>
          </cell>
          <cell r="BE708" t="str">
            <v>.0000000000000000</v>
          </cell>
          <cell r="BF708" t="str">
            <v>.0000000000000000</v>
          </cell>
          <cell r="BG708" t="str">
            <v>None</v>
          </cell>
          <cell r="BK708" t="str">
            <v>2025-05-04 00:00:00</v>
          </cell>
          <cell r="BL708" t="str">
            <v>Airport EG-769</v>
          </cell>
          <cell r="BM708" t="str">
            <v>No</v>
          </cell>
          <cell r="BN708" t="str">
            <v>No</v>
          </cell>
          <cell r="BO708" t="str">
            <v>CPay-000000005</v>
          </cell>
        </row>
        <row r="709">
          <cell r="B709" t="str">
            <v>308218</v>
          </cell>
          <cell r="C709" t="str">
            <v>11.0000000000000000</v>
          </cell>
          <cell r="E709" t="str">
            <v>Cust</v>
          </cell>
          <cell r="G709" t="str">
            <v>No</v>
          </cell>
          <cell r="H709" t="str">
            <v>1900-01-01 00:00:00</v>
          </cell>
          <cell r="K709" t="str">
            <v>M-P</v>
          </cell>
          <cell r="L709" t="str">
            <v>1653.000000</v>
          </cell>
          <cell r="AL709" t="str">
            <v>308218</v>
          </cell>
          <cell r="BC709" t="str">
            <v>Cust-PP</v>
          </cell>
          <cell r="BD709" t="str">
            <v>1.9607843137254900</v>
          </cell>
          <cell r="BE709" t="str">
            <v>.0000000000000000</v>
          </cell>
          <cell r="BF709" t="str">
            <v>.0000000000000000</v>
          </cell>
          <cell r="BG709" t="str">
            <v>None</v>
          </cell>
          <cell r="BK709" t="str">
            <v>2025-05-05 00:00:00</v>
          </cell>
          <cell r="BL709" t="str">
            <v>Airport EG-783</v>
          </cell>
          <cell r="BM709" t="str">
            <v>No</v>
          </cell>
          <cell r="BN709" t="str">
            <v>No</v>
          </cell>
          <cell r="BO709" t="str">
            <v>CPay-000000005</v>
          </cell>
        </row>
        <row r="710">
          <cell r="B710" t="str">
            <v>308219</v>
          </cell>
          <cell r="C710" t="str">
            <v>12.0000000000000000</v>
          </cell>
          <cell r="E710" t="str">
            <v>Cust</v>
          </cell>
          <cell r="G710" t="str">
            <v>No</v>
          </cell>
          <cell r="H710" t="str">
            <v>1900-01-01 00:00:00</v>
          </cell>
          <cell r="K710" t="str">
            <v>M-P</v>
          </cell>
          <cell r="L710" t="str">
            <v>296.400000</v>
          </cell>
          <cell r="AL710" t="str">
            <v>308219</v>
          </cell>
          <cell r="BC710" t="str">
            <v>Cust-PP</v>
          </cell>
          <cell r="BD710" t="str">
            <v>1.9607843137254900</v>
          </cell>
          <cell r="BE710" t="str">
            <v>.0000000000000000</v>
          </cell>
          <cell r="BF710" t="str">
            <v>.0000000000000000</v>
          </cell>
          <cell r="BG710" t="str">
            <v>None</v>
          </cell>
          <cell r="BK710" t="str">
            <v>2025-05-05 00:00:00</v>
          </cell>
          <cell r="BL710" t="str">
            <v>Airport EG-784</v>
          </cell>
          <cell r="BM710" t="str">
            <v>No</v>
          </cell>
          <cell r="BN710" t="str">
            <v>No</v>
          </cell>
          <cell r="BO710" t="str">
            <v>CPay-000000005</v>
          </cell>
        </row>
        <row r="711">
          <cell r="B711" t="str">
            <v>308227</v>
          </cell>
          <cell r="C711" t="str">
            <v>13.0000000000000000</v>
          </cell>
          <cell r="E711" t="str">
            <v>Cust</v>
          </cell>
          <cell r="G711" t="str">
            <v>No</v>
          </cell>
          <cell r="H711" t="str">
            <v>1900-01-01 00:00:00</v>
          </cell>
          <cell r="K711" t="str">
            <v>M-P</v>
          </cell>
          <cell r="L711" t="str">
            <v>1653.000000</v>
          </cell>
          <cell r="AL711" t="str">
            <v>308227</v>
          </cell>
          <cell r="BC711" t="str">
            <v>Cust-PP</v>
          </cell>
          <cell r="BD711" t="str">
            <v>1.9607843137254900</v>
          </cell>
          <cell r="BE711" t="str">
            <v>.0000000000000000</v>
          </cell>
          <cell r="BF711" t="str">
            <v>.0000000000000000</v>
          </cell>
          <cell r="BG711" t="str">
            <v>None</v>
          </cell>
          <cell r="BK711" t="str">
            <v>2025-05-05 00:00:00</v>
          </cell>
          <cell r="BL711" t="str">
            <v>Airport EG-781</v>
          </cell>
          <cell r="BM711" t="str">
            <v>No</v>
          </cell>
          <cell r="BN711" t="str">
            <v>No</v>
          </cell>
          <cell r="BO711" t="str">
            <v>CPay-000000005</v>
          </cell>
        </row>
        <row r="712">
          <cell r="B712" t="str">
            <v>308228</v>
          </cell>
          <cell r="C712" t="str">
            <v>14.0000000000000000</v>
          </cell>
          <cell r="E712" t="str">
            <v>Cust</v>
          </cell>
          <cell r="G712" t="str">
            <v>No</v>
          </cell>
          <cell r="H712" t="str">
            <v>1900-01-01 00:00:00</v>
          </cell>
          <cell r="K712" t="str">
            <v>M-P</v>
          </cell>
          <cell r="L712" t="str">
            <v>306.890000</v>
          </cell>
          <cell r="AL712" t="str">
            <v>308228</v>
          </cell>
          <cell r="BC712" t="str">
            <v>Cust-PP</v>
          </cell>
          <cell r="BD712" t="str">
            <v>1.9607843137254900</v>
          </cell>
          <cell r="BE712" t="str">
            <v>.0000000000000000</v>
          </cell>
          <cell r="BF712" t="str">
            <v>.0000000000000000</v>
          </cell>
          <cell r="BG712" t="str">
            <v>None</v>
          </cell>
          <cell r="BK712" t="str">
            <v>2025-05-05 00:00:00</v>
          </cell>
          <cell r="BL712" t="str">
            <v>Airport EG-782</v>
          </cell>
          <cell r="BM712" t="str">
            <v>No</v>
          </cell>
          <cell r="BN712" t="str">
            <v>No</v>
          </cell>
          <cell r="BO712" t="str">
            <v>CPay-000000005</v>
          </cell>
        </row>
        <row r="713">
          <cell r="B713" t="str">
            <v>308237</v>
          </cell>
          <cell r="C713" t="str">
            <v>15.0000000000000000</v>
          </cell>
          <cell r="E713" t="str">
            <v>Cust</v>
          </cell>
          <cell r="G713" t="str">
            <v>No</v>
          </cell>
          <cell r="H713" t="str">
            <v>1900-01-01 00:00:00</v>
          </cell>
          <cell r="K713" t="str">
            <v>M-P</v>
          </cell>
          <cell r="L713" t="str">
            <v>1000.000000</v>
          </cell>
          <cell r="AL713" t="str">
            <v>308237</v>
          </cell>
          <cell r="BC713" t="str">
            <v>Cust-PP</v>
          </cell>
          <cell r="BD713" t="str">
            <v>1.9607843137254900</v>
          </cell>
          <cell r="BE713" t="str">
            <v>.0000000000000000</v>
          </cell>
          <cell r="BF713" t="str">
            <v>.0000000000000000</v>
          </cell>
          <cell r="BG713" t="str">
            <v>None</v>
          </cell>
          <cell r="BK713" t="str">
            <v>2025-05-05 00:00:00</v>
          </cell>
          <cell r="BL713" t="str">
            <v>Airport EG-779</v>
          </cell>
          <cell r="BM713" t="str">
            <v>No</v>
          </cell>
          <cell r="BN713" t="str">
            <v>No</v>
          </cell>
          <cell r="BO713" t="str">
            <v>CPay-000000005</v>
          </cell>
        </row>
        <row r="714">
          <cell r="B714" t="str">
            <v>308238</v>
          </cell>
          <cell r="C714" t="str">
            <v>16.0000000000000000</v>
          </cell>
          <cell r="E714" t="str">
            <v>Cust</v>
          </cell>
          <cell r="G714" t="str">
            <v>No</v>
          </cell>
          <cell r="H714" t="str">
            <v>1900-01-01 00:00:00</v>
          </cell>
          <cell r="K714" t="str">
            <v>M-P</v>
          </cell>
          <cell r="L714" t="str">
            <v>296.400000</v>
          </cell>
          <cell r="AL714" t="str">
            <v>308238</v>
          </cell>
          <cell r="BC714" t="str">
            <v>Cust-PP</v>
          </cell>
          <cell r="BD714" t="str">
            <v>1.9607843137254900</v>
          </cell>
          <cell r="BE714" t="str">
            <v>.0000000000000000</v>
          </cell>
          <cell r="BF714" t="str">
            <v>.0000000000000000</v>
          </cell>
          <cell r="BG714" t="str">
            <v>None</v>
          </cell>
          <cell r="BK714" t="str">
            <v>2025-05-05 00:00:00</v>
          </cell>
          <cell r="BL714" t="str">
            <v>Airport EG-780</v>
          </cell>
          <cell r="BM714" t="str">
            <v>No</v>
          </cell>
          <cell r="BN714" t="str">
            <v>No</v>
          </cell>
          <cell r="BO714" t="str">
            <v>CPay-000000005</v>
          </cell>
        </row>
        <row r="715">
          <cell r="B715" t="str">
            <v>308252</v>
          </cell>
          <cell r="C715" t="str">
            <v>17.0000000000000000</v>
          </cell>
          <cell r="E715" t="str">
            <v>Cust</v>
          </cell>
          <cell r="G715" t="str">
            <v>No</v>
          </cell>
          <cell r="H715" t="str">
            <v>1900-01-01 00:00:00</v>
          </cell>
          <cell r="K715" t="str">
            <v>M-P</v>
          </cell>
          <cell r="L715" t="str">
            <v>1752.180000</v>
          </cell>
          <cell r="AL715" t="str">
            <v>308252</v>
          </cell>
          <cell r="BC715" t="str">
            <v>Cust-PP</v>
          </cell>
          <cell r="BD715" t="str">
            <v>1.9607843137254900</v>
          </cell>
          <cell r="BE715" t="str">
            <v>.0000000000000000</v>
          </cell>
          <cell r="BF715" t="str">
            <v>.0000000000000000</v>
          </cell>
          <cell r="BG715" t="str">
            <v>None</v>
          </cell>
          <cell r="BK715" t="str">
            <v>2025-05-05 00:00:00</v>
          </cell>
          <cell r="BL715" t="str">
            <v>Airport EG-778</v>
          </cell>
          <cell r="BM715" t="str">
            <v>No</v>
          </cell>
          <cell r="BN715" t="str">
            <v>No</v>
          </cell>
          <cell r="BO715" t="str">
            <v>CPay-000000005</v>
          </cell>
        </row>
        <row r="716">
          <cell r="B716" t="str">
            <v>308264</v>
          </cell>
          <cell r="C716" t="str">
            <v>18.0000000000000000</v>
          </cell>
          <cell r="E716" t="str">
            <v>Cust</v>
          </cell>
          <cell r="G716" t="str">
            <v>No</v>
          </cell>
          <cell r="H716" t="str">
            <v>1900-01-01 00:00:00</v>
          </cell>
          <cell r="K716" t="str">
            <v>M-P</v>
          </cell>
          <cell r="L716" t="str">
            <v>1653.000000</v>
          </cell>
          <cell r="AL716" t="str">
            <v>308264</v>
          </cell>
          <cell r="BC716" t="str">
            <v>Cust-PP</v>
          </cell>
          <cell r="BD716" t="str">
            <v>1.9607843137254900</v>
          </cell>
          <cell r="BE716" t="str">
            <v>.0000000000000000</v>
          </cell>
          <cell r="BF716" t="str">
            <v>.0000000000000000</v>
          </cell>
          <cell r="BG716" t="str">
            <v>None</v>
          </cell>
          <cell r="BK716" t="str">
            <v>2025-05-05 00:00:00</v>
          </cell>
          <cell r="BL716" t="str">
            <v>Airport EG-773</v>
          </cell>
          <cell r="BM716" t="str">
            <v>No</v>
          </cell>
          <cell r="BN716" t="str">
            <v>No</v>
          </cell>
          <cell r="BO716" t="str">
            <v>CPay-000000005</v>
          </cell>
        </row>
        <row r="717">
          <cell r="B717" t="str">
            <v>308266</v>
          </cell>
          <cell r="C717" t="str">
            <v>19.0000000000000000</v>
          </cell>
          <cell r="E717" t="str">
            <v>Cust</v>
          </cell>
          <cell r="G717" t="str">
            <v>No</v>
          </cell>
          <cell r="H717" t="str">
            <v>1900-01-01 00:00:00</v>
          </cell>
          <cell r="K717" t="str">
            <v>M-P</v>
          </cell>
          <cell r="L717" t="str">
            <v>1549.720000</v>
          </cell>
          <cell r="AL717" t="str">
            <v>308266</v>
          </cell>
          <cell r="BC717" t="str">
            <v>Cust-PP</v>
          </cell>
          <cell r="BD717" t="str">
            <v>1.9607843137254900</v>
          </cell>
          <cell r="BE717" t="str">
            <v>.0000000000000000</v>
          </cell>
          <cell r="BF717" t="str">
            <v>.0000000000000000</v>
          </cell>
          <cell r="BG717" t="str">
            <v>None</v>
          </cell>
          <cell r="BK717" t="str">
            <v>2025-05-05 00:00:00</v>
          </cell>
          <cell r="BL717" t="str">
            <v>Airport EG-774</v>
          </cell>
          <cell r="BM717" t="str">
            <v>No</v>
          </cell>
          <cell r="BN717" t="str">
            <v>No</v>
          </cell>
          <cell r="BO717" t="str">
            <v>CPay-000000005</v>
          </cell>
        </row>
        <row r="718">
          <cell r="B718" t="str">
            <v>308267</v>
          </cell>
          <cell r="C718" t="str">
            <v>20.0000000000000000</v>
          </cell>
          <cell r="E718" t="str">
            <v>Cust</v>
          </cell>
          <cell r="G718" t="str">
            <v>No</v>
          </cell>
          <cell r="H718" t="str">
            <v>1900-01-01 00:00:00</v>
          </cell>
          <cell r="K718" t="str">
            <v>M-P</v>
          </cell>
          <cell r="L718" t="str">
            <v>1653.000000</v>
          </cell>
          <cell r="AL718" t="str">
            <v>308267</v>
          </cell>
          <cell r="BC718" t="str">
            <v>Cust-PP</v>
          </cell>
          <cell r="BD718" t="str">
            <v>1.9607843137254900</v>
          </cell>
          <cell r="BE718" t="str">
            <v>.0000000000000000</v>
          </cell>
          <cell r="BF718" t="str">
            <v>.0000000000000000</v>
          </cell>
          <cell r="BG718" t="str">
            <v>None</v>
          </cell>
          <cell r="BK718" t="str">
            <v>2025-05-05 00:00:00</v>
          </cell>
          <cell r="BL718" t="str">
            <v>Airport EG-775</v>
          </cell>
          <cell r="BM718" t="str">
            <v>No</v>
          </cell>
          <cell r="BN718" t="str">
            <v>No</v>
          </cell>
          <cell r="BO718" t="str">
            <v>CPay-000000005</v>
          </cell>
        </row>
        <row r="719">
          <cell r="B719" t="str">
            <v>308268</v>
          </cell>
          <cell r="C719" t="str">
            <v>21.0000000000000000</v>
          </cell>
          <cell r="E719" t="str">
            <v>Cust</v>
          </cell>
          <cell r="G719" t="str">
            <v>No</v>
          </cell>
          <cell r="H719" t="str">
            <v>1900-01-01 00:00:00</v>
          </cell>
          <cell r="K719" t="str">
            <v>M-P</v>
          </cell>
          <cell r="L719" t="str">
            <v>1560.660000</v>
          </cell>
          <cell r="AL719" t="str">
            <v>308268</v>
          </cell>
          <cell r="BC719" t="str">
            <v>Cust-PP</v>
          </cell>
          <cell r="BD719" t="str">
            <v>1.9607843137254900</v>
          </cell>
          <cell r="BE719" t="str">
            <v>.0000000000000000</v>
          </cell>
          <cell r="BF719" t="str">
            <v>.0000000000000000</v>
          </cell>
          <cell r="BG719" t="str">
            <v>None</v>
          </cell>
          <cell r="BK719" t="str">
            <v>2025-05-05 00:00:00</v>
          </cell>
          <cell r="BL719" t="str">
            <v>Airport EG-776</v>
          </cell>
          <cell r="BM719" t="str">
            <v>No</v>
          </cell>
          <cell r="BN719" t="str">
            <v>No</v>
          </cell>
          <cell r="BO719" t="str">
            <v>CPay-000000005</v>
          </cell>
        </row>
        <row r="720">
          <cell r="B720" t="str">
            <v>308269</v>
          </cell>
          <cell r="C720" t="str">
            <v>22.0000000000000000</v>
          </cell>
          <cell r="E720" t="str">
            <v>Cust</v>
          </cell>
          <cell r="G720" t="str">
            <v>No</v>
          </cell>
          <cell r="H720" t="str">
            <v>1900-01-01 00:00:00</v>
          </cell>
          <cell r="K720" t="str">
            <v>M-P</v>
          </cell>
          <cell r="L720" t="str">
            <v>1653.000000</v>
          </cell>
          <cell r="AL720" t="str">
            <v>308269</v>
          </cell>
          <cell r="BC720" t="str">
            <v>Cust-PP</v>
          </cell>
          <cell r="BD720" t="str">
            <v>1.9607843137254900</v>
          </cell>
          <cell r="BE720" t="str">
            <v>.0000000000000000</v>
          </cell>
          <cell r="BF720" t="str">
            <v>.0000000000000000</v>
          </cell>
          <cell r="BG720" t="str">
            <v>None</v>
          </cell>
          <cell r="BK720" t="str">
            <v>2025-05-05 00:00:00</v>
          </cell>
          <cell r="BL720" t="str">
            <v>Airport EG-777</v>
          </cell>
          <cell r="BM720" t="str">
            <v>No</v>
          </cell>
          <cell r="BN720" t="str">
            <v>No</v>
          </cell>
          <cell r="BO720" t="str">
            <v>CPay-000000005</v>
          </cell>
        </row>
        <row r="721">
          <cell r="B721" t="str">
            <v>308135</v>
          </cell>
          <cell r="C721" t="str">
            <v>23.0000000000000000</v>
          </cell>
          <cell r="E721" t="str">
            <v>Cust</v>
          </cell>
          <cell r="G721" t="str">
            <v>No</v>
          </cell>
          <cell r="H721" t="str">
            <v>1900-01-01 00:00:00</v>
          </cell>
          <cell r="K721" t="str">
            <v>M-P</v>
          </cell>
          <cell r="L721" t="str">
            <v>611.040000</v>
          </cell>
          <cell r="AL721" t="str">
            <v>308135</v>
          </cell>
          <cell r="BC721" t="str">
            <v>Cust-PP</v>
          </cell>
          <cell r="BD721" t="str">
            <v>1.9607843137254900</v>
          </cell>
          <cell r="BE721" t="str">
            <v>.0000000000000000</v>
          </cell>
          <cell r="BF721" t="str">
            <v>.0000000000000000</v>
          </cell>
          <cell r="BG721" t="str">
            <v>None</v>
          </cell>
          <cell r="BK721" t="str">
            <v>2025-05-06 00:00:00</v>
          </cell>
          <cell r="BL721" t="str">
            <v>Airport EG-789</v>
          </cell>
          <cell r="BM721" t="str">
            <v>No</v>
          </cell>
          <cell r="BN721" t="str">
            <v>No</v>
          </cell>
          <cell r="BO721" t="str">
            <v>CPay-000000005</v>
          </cell>
        </row>
        <row r="722">
          <cell r="B722" t="str">
            <v>308158</v>
          </cell>
          <cell r="C722" t="str">
            <v>24.0000000000000000</v>
          </cell>
          <cell r="E722" t="str">
            <v>Cust</v>
          </cell>
          <cell r="G722" t="str">
            <v>No</v>
          </cell>
          <cell r="H722" t="str">
            <v>1900-01-01 00:00:00</v>
          </cell>
          <cell r="K722" t="str">
            <v>M-P</v>
          </cell>
          <cell r="L722" t="str">
            <v>1653.000000</v>
          </cell>
          <cell r="AL722" t="str">
            <v>308158</v>
          </cell>
          <cell r="BC722" t="str">
            <v>Cust-PP</v>
          </cell>
          <cell r="BD722" t="str">
            <v>1.9607843137254900</v>
          </cell>
          <cell r="BE722" t="str">
            <v>.0000000000000000</v>
          </cell>
          <cell r="BF722" t="str">
            <v>.0000000000000000</v>
          </cell>
          <cell r="BG722" t="str">
            <v>None</v>
          </cell>
          <cell r="BK722" t="str">
            <v>2025-05-06 00:00:00</v>
          </cell>
          <cell r="BL722" t="str">
            <v>Airport EG-788</v>
          </cell>
          <cell r="BM722" t="str">
            <v>No</v>
          </cell>
          <cell r="BN722" t="str">
            <v>No</v>
          </cell>
          <cell r="BO722" t="str">
            <v>CPay-000000005</v>
          </cell>
        </row>
        <row r="723">
          <cell r="B723" t="str">
            <v>308166</v>
          </cell>
          <cell r="C723" t="str">
            <v>25.0000000000000000</v>
          </cell>
          <cell r="E723" t="str">
            <v>Cust</v>
          </cell>
          <cell r="G723" t="str">
            <v>No</v>
          </cell>
          <cell r="H723" t="str">
            <v>1900-01-01 00:00:00</v>
          </cell>
          <cell r="K723" t="str">
            <v>M-P</v>
          </cell>
          <cell r="L723" t="str">
            <v>1653.000000</v>
          </cell>
          <cell r="AL723" t="str">
            <v>308166</v>
          </cell>
          <cell r="BC723" t="str">
            <v>Cust-PP</v>
          </cell>
          <cell r="BD723" t="str">
            <v>1.9607843137254900</v>
          </cell>
          <cell r="BE723" t="str">
            <v>.0000000000000000</v>
          </cell>
          <cell r="BF723" t="str">
            <v>.0000000000000000</v>
          </cell>
          <cell r="BG723" t="str">
            <v>None</v>
          </cell>
          <cell r="BK723" t="str">
            <v>2025-05-06 00:00:00</v>
          </cell>
          <cell r="BL723" t="str">
            <v>Airport EG-785</v>
          </cell>
          <cell r="BM723" t="str">
            <v>No</v>
          </cell>
          <cell r="BN723" t="str">
            <v>No</v>
          </cell>
          <cell r="BO723" t="str">
            <v>CPay-000000005</v>
          </cell>
        </row>
        <row r="724">
          <cell r="B724" t="str">
            <v>308167</v>
          </cell>
          <cell r="C724" t="str">
            <v>26.0000000000000000</v>
          </cell>
          <cell r="E724" t="str">
            <v>Cust</v>
          </cell>
          <cell r="G724" t="str">
            <v>No</v>
          </cell>
          <cell r="H724" t="str">
            <v>1900-01-01 00:00:00</v>
          </cell>
          <cell r="K724" t="str">
            <v>M-P</v>
          </cell>
          <cell r="L724" t="str">
            <v>262.200000</v>
          </cell>
          <cell r="AL724" t="str">
            <v>308167</v>
          </cell>
          <cell r="BC724" t="str">
            <v>Cust-PP</v>
          </cell>
          <cell r="BD724" t="str">
            <v>1.9607843137254900</v>
          </cell>
          <cell r="BE724" t="str">
            <v>.0000000000000000</v>
          </cell>
          <cell r="BF724" t="str">
            <v>.0000000000000000</v>
          </cell>
          <cell r="BG724" t="str">
            <v>None</v>
          </cell>
          <cell r="BK724" t="str">
            <v>2025-05-06 00:00:00</v>
          </cell>
          <cell r="BL724" t="str">
            <v>Airport EG-786</v>
          </cell>
          <cell r="BM724" t="str">
            <v>No</v>
          </cell>
          <cell r="BN724" t="str">
            <v>No</v>
          </cell>
          <cell r="BO724" t="str">
            <v>CPay-000000005</v>
          </cell>
        </row>
        <row r="725">
          <cell r="B725" t="str">
            <v>308041</v>
          </cell>
          <cell r="C725" t="str">
            <v>27.0000000000000000</v>
          </cell>
          <cell r="E725" t="str">
            <v>Cust</v>
          </cell>
          <cell r="G725" t="str">
            <v>No</v>
          </cell>
          <cell r="H725" t="str">
            <v>1900-01-01 00:00:00</v>
          </cell>
          <cell r="K725" t="str">
            <v>M-P</v>
          </cell>
          <cell r="L725" t="str">
            <v>199.500000</v>
          </cell>
          <cell r="AL725" t="str">
            <v>308041</v>
          </cell>
          <cell r="BC725" t="str">
            <v>Cust-PP</v>
          </cell>
          <cell r="BD725" t="str">
            <v>1.9607843137254900</v>
          </cell>
          <cell r="BE725" t="str">
            <v>.0000000000000000</v>
          </cell>
          <cell r="BF725" t="str">
            <v>.0000000000000000</v>
          </cell>
          <cell r="BG725" t="str">
            <v>None</v>
          </cell>
          <cell r="BK725" t="str">
            <v>2025-05-07 00:00:00</v>
          </cell>
          <cell r="BL725" t="str">
            <v>Airport EG-803</v>
          </cell>
          <cell r="BM725" t="str">
            <v>No</v>
          </cell>
          <cell r="BN725" t="str">
            <v>No</v>
          </cell>
          <cell r="BO725" t="str">
            <v>CPay-000000005</v>
          </cell>
        </row>
        <row r="726">
          <cell r="B726" t="str">
            <v>308042</v>
          </cell>
          <cell r="C726" t="str">
            <v>28.0000000000000000</v>
          </cell>
          <cell r="E726" t="str">
            <v>Cust</v>
          </cell>
          <cell r="G726" t="str">
            <v>No</v>
          </cell>
          <cell r="H726" t="str">
            <v>1900-01-01 00:00:00</v>
          </cell>
          <cell r="K726" t="str">
            <v>M-P</v>
          </cell>
          <cell r="L726" t="str">
            <v>1000.000000</v>
          </cell>
          <cell r="AL726" t="str">
            <v>308042</v>
          </cell>
          <cell r="BC726" t="str">
            <v>Cust-PP</v>
          </cell>
          <cell r="BD726" t="str">
            <v>1.9607843137254900</v>
          </cell>
          <cell r="BE726" t="str">
            <v>.0000000000000000</v>
          </cell>
          <cell r="BF726" t="str">
            <v>.0000000000000000</v>
          </cell>
          <cell r="BG726" t="str">
            <v>None</v>
          </cell>
          <cell r="BK726" t="str">
            <v>2025-05-07 00:00:00</v>
          </cell>
          <cell r="BL726" t="str">
            <v>Airport EG-804</v>
          </cell>
          <cell r="BM726" t="str">
            <v>No</v>
          </cell>
          <cell r="BN726" t="str">
            <v>No</v>
          </cell>
          <cell r="BO726" t="str">
            <v>CPay-000000005</v>
          </cell>
        </row>
        <row r="727">
          <cell r="B727" t="str">
            <v>308043</v>
          </cell>
          <cell r="C727" t="str">
            <v>29.0000000000000000</v>
          </cell>
          <cell r="E727" t="str">
            <v>Cust</v>
          </cell>
          <cell r="G727" t="str">
            <v>No</v>
          </cell>
          <cell r="H727" t="str">
            <v>1900-01-01 00:00:00</v>
          </cell>
          <cell r="K727" t="str">
            <v>M-P</v>
          </cell>
          <cell r="L727" t="str">
            <v>296.400000</v>
          </cell>
          <cell r="AL727" t="str">
            <v>308043</v>
          </cell>
          <cell r="BC727" t="str">
            <v>Cust-PP</v>
          </cell>
          <cell r="BD727" t="str">
            <v>1.9607843137254900</v>
          </cell>
          <cell r="BE727" t="str">
            <v>.0000000000000000</v>
          </cell>
          <cell r="BF727" t="str">
            <v>.0000000000000000</v>
          </cell>
          <cell r="BG727" t="str">
            <v>None</v>
          </cell>
          <cell r="BK727" t="str">
            <v>2025-05-07 00:00:00</v>
          </cell>
          <cell r="BL727" t="str">
            <v>Airport EG-805</v>
          </cell>
          <cell r="BM727" t="str">
            <v>No</v>
          </cell>
          <cell r="BN727" t="str">
            <v>No</v>
          </cell>
          <cell r="BO727" t="str">
            <v>CPay-000000005</v>
          </cell>
        </row>
        <row r="728">
          <cell r="B728" t="str">
            <v>308048</v>
          </cell>
          <cell r="C728" t="str">
            <v>30.0000000000000000</v>
          </cell>
          <cell r="E728" t="str">
            <v>Cust</v>
          </cell>
          <cell r="G728" t="str">
            <v>No</v>
          </cell>
          <cell r="H728" t="str">
            <v>1900-01-01 00:00:00</v>
          </cell>
          <cell r="K728" t="str">
            <v>M-P</v>
          </cell>
          <cell r="L728" t="str">
            <v>1653.000000</v>
          </cell>
          <cell r="AL728" t="str">
            <v>308048</v>
          </cell>
          <cell r="BC728" t="str">
            <v>Cust-PP</v>
          </cell>
          <cell r="BD728" t="str">
            <v>1.9607843137254900</v>
          </cell>
          <cell r="BE728" t="str">
            <v>.0000000000000000</v>
          </cell>
          <cell r="BF728" t="str">
            <v>.0000000000000000</v>
          </cell>
          <cell r="BG728" t="str">
            <v>None</v>
          </cell>
          <cell r="BK728" t="str">
            <v>2025-05-07 00:00:00</v>
          </cell>
          <cell r="BL728" t="str">
            <v>Airport EG-806</v>
          </cell>
          <cell r="BM728" t="str">
            <v>No</v>
          </cell>
          <cell r="BN728" t="str">
            <v>No</v>
          </cell>
          <cell r="BO728" t="str">
            <v>CPay-000000005</v>
          </cell>
        </row>
        <row r="729">
          <cell r="B729" t="str">
            <v>308049</v>
          </cell>
          <cell r="C729" t="str">
            <v>31.0000000000000000</v>
          </cell>
          <cell r="E729" t="str">
            <v>Cust</v>
          </cell>
          <cell r="G729" t="str">
            <v>No</v>
          </cell>
          <cell r="H729" t="str">
            <v>1900-01-01 00:00:00</v>
          </cell>
          <cell r="K729" t="str">
            <v>M-P</v>
          </cell>
          <cell r="L729" t="str">
            <v>390.790000</v>
          </cell>
          <cell r="AL729" t="str">
            <v>308049</v>
          </cell>
          <cell r="BC729" t="str">
            <v>Cust-PP</v>
          </cell>
          <cell r="BD729" t="str">
            <v>1.9607843137254900</v>
          </cell>
          <cell r="BE729" t="str">
            <v>.0000000000000000</v>
          </cell>
          <cell r="BF729" t="str">
            <v>.0000000000000000</v>
          </cell>
          <cell r="BG729" t="str">
            <v>None</v>
          </cell>
          <cell r="BK729" t="str">
            <v>2025-05-07 00:00:00</v>
          </cell>
          <cell r="BL729" t="str">
            <v>Airport EG-807</v>
          </cell>
          <cell r="BM729" t="str">
            <v>No</v>
          </cell>
          <cell r="BN729" t="str">
            <v>No</v>
          </cell>
          <cell r="BO729" t="str">
            <v>CPay-000000005</v>
          </cell>
        </row>
        <row r="730">
          <cell r="B730" t="str">
            <v>308050</v>
          </cell>
          <cell r="C730" t="str">
            <v>32.0000000000000000</v>
          </cell>
          <cell r="E730" t="str">
            <v>Cust</v>
          </cell>
          <cell r="G730" t="str">
            <v>No</v>
          </cell>
          <cell r="H730" t="str">
            <v>1900-01-01 00:00:00</v>
          </cell>
          <cell r="K730" t="str">
            <v>M-P</v>
          </cell>
          <cell r="L730" t="str">
            <v>1653.000000</v>
          </cell>
          <cell r="AL730" t="str">
            <v>308050</v>
          </cell>
          <cell r="BC730" t="str">
            <v>Cust-PP</v>
          </cell>
          <cell r="BD730" t="str">
            <v>1.9607843137254900</v>
          </cell>
          <cell r="BE730" t="str">
            <v>.0000000000000000</v>
          </cell>
          <cell r="BF730" t="str">
            <v>.0000000000000000</v>
          </cell>
          <cell r="BG730" t="str">
            <v>None</v>
          </cell>
          <cell r="BK730" t="str">
            <v>2025-05-07 00:00:00</v>
          </cell>
          <cell r="BL730" t="str">
            <v>Airport EG-808</v>
          </cell>
          <cell r="BM730" t="str">
            <v>No</v>
          </cell>
          <cell r="BN730" t="str">
            <v>No</v>
          </cell>
          <cell r="BO730" t="str">
            <v>CPay-000000005</v>
          </cell>
        </row>
        <row r="731">
          <cell r="B731" t="str">
            <v>308051</v>
          </cell>
          <cell r="C731" t="str">
            <v>33.0000000000000000</v>
          </cell>
          <cell r="E731" t="str">
            <v>Cust</v>
          </cell>
          <cell r="G731" t="str">
            <v>No</v>
          </cell>
          <cell r="H731" t="str">
            <v>1900-01-01 00:00:00</v>
          </cell>
          <cell r="K731" t="str">
            <v>M-P</v>
          </cell>
          <cell r="L731" t="str">
            <v>285.000000</v>
          </cell>
          <cell r="AL731" t="str">
            <v>308051</v>
          </cell>
          <cell r="BC731" t="str">
            <v>Cust-PP</v>
          </cell>
          <cell r="BD731" t="str">
            <v>1.9607843137254900</v>
          </cell>
          <cell r="BE731" t="str">
            <v>.0000000000000000</v>
          </cell>
          <cell r="BF731" t="str">
            <v>.0000000000000000</v>
          </cell>
          <cell r="BG731" t="str">
            <v>None</v>
          </cell>
          <cell r="BK731" t="str">
            <v>2025-05-07 00:00:00</v>
          </cell>
          <cell r="BL731" t="str">
            <v>Airport EG-809</v>
          </cell>
          <cell r="BM731" t="str">
            <v>No</v>
          </cell>
          <cell r="BN731" t="str">
            <v>No</v>
          </cell>
          <cell r="BO731" t="str">
            <v>CPay-000000005</v>
          </cell>
        </row>
        <row r="732">
          <cell r="B732" t="str">
            <v>308053</v>
          </cell>
          <cell r="C732" t="str">
            <v>34.0000000000000000</v>
          </cell>
          <cell r="E732" t="str">
            <v>Cust</v>
          </cell>
          <cell r="G732" t="str">
            <v>No</v>
          </cell>
          <cell r="H732" t="str">
            <v>1900-01-01 00:00:00</v>
          </cell>
          <cell r="K732" t="str">
            <v>M-P</v>
          </cell>
          <cell r="L732" t="str">
            <v>1653.000000</v>
          </cell>
          <cell r="AL732" t="str">
            <v>308053</v>
          </cell>
          <cell r="BC732" t="str">
            <v>Cust-PP</v>
          </cell>
          <cell r="BD732" t="str">
            <v>1.9607843137254900</v>
          </cell>
          <cell r="BE732" t="str">
            <v>.0000000000000000</v>
          </cell>
          <cell r="BF732" t="str">
            <v>.0000000000000000</v>
          </cell>
          <cell r="BG732" t="str">
            <v>None</v>
          </cell>
          <cell r="BK732" t="str">
            <v>2025-05-07 00:00:00</v>
          </cell>
          <cell r="BL732" t="str">
            <v>Airport EG-794</v>
          </cell>
          <cell r="BM732" t="str">
            <v>No</v>
          </cell>
          <cell r="BN732" t="str">
            <v>No</v>
          </cell>
          <cell r="BO732" t="str">
            <v>CPay-000000005</v>
          </cell>
        </row>
        <row r="733">
          <cell r="B733" t="str">
            <v>308055</v>
          </cell>
          <cell r="C733" t="str">
            <v>35.0000000000000000</v>
          </cell>
          <cell r="E733" t="str">
            <v>Cust</v>
          </cell>
          <cell r="G733" t="str">
            <v>No</v>
          </cell>
          <cell r="H733" t="str">
            <v>1900-01-01 00:00:00</v>
          </cell>
          <cell r="K733" t="str">
            <v>M-P</v>
          </cell>
          <cell r="L733" t="str">
            <v>296.400000</v>
          </cell>
          <cell r="AL733" t="str">
            <v>308055</v>
          </cell>
          <cell r="BC733" t="str">
            <v>Cust-PP</v>
          </cell>
          <cell r="BD733" t="str">
            <v>1.9607843137254900</v>
          </cell>
          <cell r="BE733" t="str">
            <v>.0000000000000000</v>
          </cell>
          <cell r="BF733" t="str">
            <v>.0000000000000000</v>
          </cell>
          <cell r="BG733" t="str">
            <v>None</v>
          </cell>
          <cell r="BK733" t="str">
            <v>2025-05-07 00:00:00</v>
          </cell>
          <cell r="BL733" t="str">
            <v>Airport EG-795</v>
          </cell>
          <cell r="BM733" t="str">
            <v>No</v>
          </cell>
          <cell r="BN733" t="str">
            <v>No</v>
          </cell>
          <cell r="BO733" t="str">
            <v>CPay-000000005</v>
          </cell>
        </row>
        <row r="734">
          <cell r="B734" t="str">
            <v>308065</v>
          </cell>
          <cell r="C734" t="str">
            <v>36.0000000000000000</v>
          </cell>
          <cell r="E734" t="str">
            <v>Cust</v>
          </cell>
          <cell r="G734" t="str">
            <v>No</v>
          </cell>
          <cell r="H734" t="str">
            <v>1900-01-01 00:00:00</v>
          </cell>
          <cell r="K734" t="str">
            <v>M-P</v>
          </cell>
          <cell r="L734" t="str">
            <v>1140.000000</v>
          </cell>
          <cell r="AL734" t="str">
            <v>308065</v>
          </cell>
          <cell r="BC734" t="str">
            <v>Cust-PP</v>
          </cell>
          <cell r="BD734" t="str">
            <v>1.9607843137254900</v>
          </cell>
          <cell r="BE734" t="str">
            <v>.0000000000000000</v>
          </cell>
          <cell r="BF734" t="str">
            <v>.0000000000000000</v>
          </cell>
          <cell r="BG734" t="str">
            <v>None</v>
          </cell>
          <cell r="BK734" t="str">
            <v>2025-05-07 00:00:00</v>
          </cell>
          <cell r="BL734" t="str">
            <v>Airport EG-796</v>
          </cell>
          <cell r="BM734" t="str">
            <v>No</v>
          </cell>
          <cell r="BN734" t="str">
            <v>No</v>
          </cell>
          <cell r="BO734" t="str">
            <v>CPay-000000005</v>
          </cell>
        </row>
        <row r="735">
          <cell r="B735" t="str">
            <v>308066</v>
          </cell>
          <cell r="C735" t="str">
            <v>37.0000000000000000</v>
          </cell>
          <cell r="E735" t="str">
            <v>Cust</v>
          </cell>
          <cell r="G735" t="str">
            <v>No</v>
          </cell>
          <cell r="H735" t="str">
            <v>1900-01-01 00:00:00</v>
          </cell>
          <cell r="K735" t="str">
            <v>M-P</v>
          </cell>
          <cell r="L735" t="str">
            <v>1653.000000</v>
          </cell>
          <cell r="AL735" t="str">
            <v>308066</v>
          </cell>
          <cell r="BC735" t="str">
            <v>Cust-PP</v>
          </cell>
          <cell r="BD735" t="str">
            <v>1.9607843137254900</v>
          </cell>
          <cell r="BE735" t="str">
            <v>.0000000000000000</v>
          </cell>
          <cell r="BF735" t="str">
            <v>.0000000000000000</v>
          </cell>
          <cell r="BG735" t="str">
            <v>None</v>
          </cell>
          <cell r="BK735" t="str">
            <v>2025-05-07 00:00:00</v>
          </cell>
          <cell r="BL735" t="str">
            <v>Airport EG-790</v>
          </cell>
          <cell r="BM735" t="str">
            <v>No</v>
          </cell>
          <cell r="BN735" t="str">
            <v>No</v>
          </cell>
          <cell r="BO735" t="str">
            <v>CPay-000000005</v>
          </cell>
        </row>
        <row r="736">
          <cell r="B736" t="str">
            <v>308067</v>
          </cell>
          <cell r="C736" t="str">
            <v>38.0000000000000000</v>
          </cell>
          <cell r="E736" t="str">
            <v>Cust</v>
          </cell>
          <cell r="G736" t="str">
            <v>No</v>
          </cell>
          <cell r="H736" t="str">
            <v>1900-01-01 00:00:00</v>
          </cell>
          <cell r="K736" t="str">
            <v>M-P</v>
          </cell>
          <cell r="L736" t="str">
            <v>199.500000</v>
          </cell>
          <cell r="AL736" t="str">
            <v>308067</v>
          </cell>
          <cell r="BC736" t="str">
            <v>Cust-PP</v>
          </cell>
          <cell r="BD736" t="str">
            <v>1.9607843137254900</v>
          </cell>
          <cell r="BE736" t="str">
            <v>.0000000000000000</v>
          </cell>
          <cell r="BF736" t="str">
            <v>.0000000000000000</v>
          </cell>
          <cell r="BG736" t="str">
            <v>None</v>
          </cell>
          <cell r="BK736" t="str">
            <v>2025-05-07 00:00:00</v>
          </cell>
          <cell r="BL736" t="str">
            <v>Airport EG-791</v>
          </cell>
          <cell r="BM736" t="str">
            <v>No</v>
          </cell>
          <cell r="BN736" t="str">
            <v>No</v>
          </cell>
          <cell r="BO736" t="str">
            <v>CPay-000000005</v>
          </cell>
        </row>
        <row r="737">
          <cell r="B737" t="str">
            <v>308068</v>
          </cell>
          <cell r="C737" t="str">
            <v>39.0000000000000000</v>
          </cell>
          <cell r="E737" t="str">
            <v>Cust</v>
          </cell>
          <cell r="G737" t="str">
            <v>No</v>
          </cell>
          <cell r="H737" t="str">
            <v>1900-01-01 00:00:00</v>
          </cell>
          <cell r="K737" t="str">
            <v>M-P</v>
          </cell>
          <cell r="L737" t="str">
            <v>1653.000000</v>
          </cell>
          <cell r="AL737" t="str">
            <v>308068</v>
          </cell>
          <cell r="BC737" t="str">
            <v>Cust-PP</v>
          </cell>
          <cell r="BD737" t="str">
            <v>1.9607843137254900</v>
          </cell>
          <cell r="BE737" t="str">
            <v>.0000000000000000</v>
          </cell>
          <cell r="BF737" t="str">
            <v>.0000000000000000</v>
          </cell>
          <cell r="BG737" t="str">
            <v>None</v>
          </cell>
          <cell r="BK737" t="str">
            <v>2025-05-07 00:00:00</v>
          </cell>
          <cell r="BL737" t="str">
            <v>Airport EG-792</v>
          </cell>
          <cell r="BM737" t="str">
            <v>No</v>
          </cell>
          <cell r="BN737" t="str">
            <v>No</v>
          </cell>
          <cell r="BO737" t="str">
            <v>CPay-000000005</v>
          </cell>
        </row>
        <row r="738">
          <cell r="B738" t="str">
            <v>308069</v>
          </cell>
          <cell r="C738" t="str">
            <v>40.0000000000000000</v>
          </cell>
          <cell r="E738" t="str">
            <v>Cust</v>
          </cell>
          <cell r="G738" t="str">
            <v>No</v>
          </cell>
          <cell r="H738" t="str">
            <v>1900-01-01 00:00:00</v>
          </cell>
          <cell r="K738" t="str">
            <v>M-P</v>
          </cell>
          <cell r="L738" t="str">
            <v>199.500000</v>
          </cell>
          <cell r="AL738" t="str">
            <v>308069</v>
          </cell>
          <cell r="BC738" t="str">
            <v>Cust-PP</v>
          </cell>
          <cell r="BD738" t="str">
            <v>1.9607843137254900</v>
          </cell>
          <cell r="BE738" t="str">
            <v>.0000000000000000</v>
          </cell>
          <cell r="BF738" t="str">
            <v>.0000000000000000</v>
          </cell>
          <cell r="BG738" t="str">
            <v>None</v>
          </cell>
          <cell r="BK738" t="str">
            <v>2025-05-07 00:00:00</v>
          </cell>
          <cell r="BL738" t="str">
            <v>Airport EG-793</v>
          </cell>
          <cell r="BM738" t="str">
            <v>No</v>
          </cell>
          <cell r="BN738" t="str">
            <v>No</v>
          </cell>
          <cell r="BO738" t="str">
            <v>CPay-000000005</v>
          </cell>
        </row>
        <row r="739">
          <cell r="B739" t="str">
            <v>308111</v>
          </cell>
          <cell r="C739" t="str">
            <v>41.0000000000000000</v>
          </cell>
          <cell r="E739" t="str">
            <v>Cust</v>
          </cell>
          <cell r="G739" t="str">
            <v>No</v>
          </cell>
          <cell r="H739" t="str">
            <v>1900-01-01 00:00:00</v>
          </cell>
          <cell r="K739" t="str">
            <v>M-P</v>
          </cell>
          <cell r="L739" t="str">
            <v>503.540000</v>
          </cell>
          <cell r="AL739" t="str">
            <v>308111</v>
          </cell>
          <cell r="BC739" t="str">
            <v>Cust-PP</v>
          </cell>
          <cell r="BD739" t="str">
            <v>1.9607843137254900</v>
          </cell>
          <cell r="BE739" t="str">
            <v>.0000000000000000</v>
          </cell>
          <cell r="BF739" t="str">
            <v>.0000000000000000</v>
          </cell>
          <cell r="BG739" t="str">
            <v>None</v>
          </cell>
          <cell r="BK739" t="str">
            <v>2025-05-07 00:00:00</v>
          </cell>
          <cell r="BL739" t="str">
            <v>Airport EG-797</v>
          </cell>
          <cell r="BM739" t="str">
            <v>No</v>
          </cell>
          <cell r="BN739" t="str">
            <v>No</v>
          </cell>
          <cell r="BO739" t="str">
            <v>CPay-000000005</v>
          </cell>
        </row>
        <row r="740">
          <cell r="B740" t="str">
            <v>308112</v>
          </cell>
          <cell r="C740" t="str">
            <v>42.0000000000000000</v>
          </cell>
          <cell r="E740" t="str">
            <v>Cust</v>
          </cell>
          <cell r="G740" t="str">
            <v>No</v>
          </cell>
          <cell r="H740" t="str">
            <v>1900-01-01 00:00:00</v>
          </cell>
          <cell r="K740" t="str">
            <v>M-P</v>
          </cell>
          <cell r="L740" t="str">
            <v>1140.000000</v>
          </cell>
          <cell r="AL740" t="str">
            <v>308112</v>
          </cell>
          <cell r="BC740" t="str">
            <v>Cust-PP</v>
          </cell>
          <cell r="BD740" t="str">
            <v>1.9607843137254900</v>
          </cell>
          <cell r="BE740" t="str">
            <v>.0000000000000000</v>
          </cell>
          <cell r="BF740" t="str">
            <v>.0000000000000000</v>
          </cell>
          <cell r="BG740" t="str">
            <v>None</v>
          </cell>
          <cell r="BK740" t="str">
            <v>2025-05-07 00:00:00</v>
          </cell>
          <cell r="BL740" t="str">
            <v>Airport EG-798</v>
          </cell>
          <cell r="BM740" t="str">
            <v>No</v>
          </cell>
          <cell r="BN740" t="str">
            <v>No</v>
          </cell>
          <cell r="BO740" t="str">
            <v>CPay-000000005</v>
          </cell>
        </row>
        <row r="741">
          <cell r="B741" t="str">
            <v>308115</v>
          </cell>
          <cell r="C741" t="str">
            <v>43.0000000000000000</v>
          </cell>
          <cell r="E741" t="str">
            <v>Cust</v>
          </cell>
          <cell r="G741" t="str">
            <v>No</v>
          </cell>
          <cell r="H741" t="str">
            <v>1900-01-01 00:00:00</v>
          </cell>
          <cell r="K741" t="str">
            <v>M-P</v>
          </cell>
          <cell r="L741" t="str">
            <v>600.550000</v>
          </cell>
          <cell r="AL741" t="str">
            <v>308115</v>
          </cell>
          <cell r="BC741" t="str">
            <v>Cust-PP</v>
          </cell>
          <cell r="BD741" t="str">
            <v>1.9607843137254900</v>
          </cell>
          <cell r="BE741" t="str">
            <v>.0000000000000000</v>
          </cell>
          <cell r="BF741" t="str">
            <v>.0000000000000000</v>
          </cell>
          <cell r="BG741" t="str">
            <v>None</v>
          </cell>
          <cell r="BK741" t="str">
            <v>2025-05-07 00:00:00</v>
          </cell>
          <cell r="BL741" t="str">
            <v>Airport EG-799</v>
          </cell>
          <cell r="BM741" t="str">
            <v>No</v>
          </cell>
          <cell r="BN741" t="str">
            <v>No</v>
          </cell>
          <cell r="BO741" t="str">
            <v>CPay-000000005</v>
          </cell>
        </row>
        <row r="742">
          <cell r="B742" t="str">
            <v>308116</v>
          </cell>
          <cell r="C742" t="str">
            <v>44.0000000000000000</v>
          </cell>
          <cell r="E742" t="str">
            <v>Cust</v>
          </cell>
          <cell r="G742" t="str">
            <v>No</v>
          </cell>
          <cell r="H742" t="str">
            <v>1900-01-01 00:00:00</v>
          </cell>
          <cell r="K742" t="str">
            <v>M-P</v>
          </cell>
          <cell r="L742" t="str">
            <v>1140.000000</v>
          </cell>
          <cell r="AL742" t="str">
            <v>308116</v>
          </cell>
          <cell r="BC742" t="str">
            <v>Cust-PP</v>
          </cell>
          <cell r="BD742" t="str">
            <v>1.9607843137254900</v>
          </cell>
          <cell r="BE742" t="str">
            <v>.0000000000000000</v>
          </cell>
          <cell r="BF742" t="str">
            <v>.0000000000000000</v>
          </cell>
          <cell r="BG742" t="str">
            <v>None</v>
          </cell>
          <cell r="BK742" t="str">
            <v>2025-05-07 00:00:00</v>
          </cell>
          <cell r="BL742" t="str">
            <v>Airport EG-800</v>
          </cell>
          <cell r="BM742" t="str">
            <v>No</v>
          </cell>
          <cell r="BN742" t="str">
            <v>No</v>
          </cell>
          <cell r="BO742" t="str">
            <v>CPay-000000005</v>
          </cell>
        </row>
        <row r="743">
          <cell r="B743" t="str">
            <v>308118</v>
          </cell>
          <cell r="C743" t="str">
            <v>45.0000000000000000</v>
          </cell>
          <cell r="E743" t="str">
            <v>Cust</v>
          </cell>
          <cell r="G743" t="str">
            <v>No</v>
          </cell>
          <cell r="H743" t="str">
            <v>1900-01-01 00:00:00</v>
          </cell>
          <cell r="K743" t="str">
            <v>M-P</v>
          </cell>
          <cell r="L743" t="str">
            <v>285.000000</v>
          </cell>
          <cell r="AL743" t="str">
            <v>308118</v>
          </cell>
          <cell r="BC743" t="str">
            <v>Cust-PP</v>
          </cell>
          <cell r="BD743" t="str">
            <v>1.9607843137254900</v>
          </cell>
          <cell r="BE743" t="str">
            <v>.0000000000000000</v>
          </cell>
          <cell r="BF743" t="str">
            <v>.0000000000000000</v>
          </cell>
          <cell r="BG743" t="str">
            <v>None</v>
          </cell>
          <cell r="BK743" t="str">
            <v>2025-05-07 00:00:00</v>
          </cell>
          <cell r="BL743" t="str">
            <v>Airport EG-801</v>
          </cell>
          <cell r="BM743" t="str">
            <v>No</v>
          </cell>
          <cell r="BN743" t="str">
            <v>No</v>
          </cell>
          <cell r="BO743" t="str">
            <v>CPay-000000005</v>
          </cell>
        </row>
        <row r="744">
          <cell r="B744" t="str">
            <v>308119</v>
          </cell>
          <cell r="C744" t="str">
            <v>46.0000000000000000</v>
          </cell>
          <cell r="E744" t="str">
            <v>Cust</v>
          </cell>
          <cell r="G744" t="str">
            <v>No</v>
          </cell>
          <cell r="H744" t="str">
            <v>1900-01-01 00:00:00</v>
          </cell>
          <cell r="K744" t="str">
            <v>M-P</v>
          </cell>
          <cell r="L744" t="str">
            <v>1000.000000</v>
          </cell>
          <cell r="AL744" t="str">
            <v>308119</v>
          </cell>
          <cell r="BC744" t="str">
            <v>Cust-PP</v>
          </cell>
          <cell r="BD744" t="str">
            <v>1.9607843137254900</v>
          </cell>
          <cell r="BE744" t="str">
            <v>.0000000000000000</v>
          </cell>
          <cell r="BF744" t="str">
            <v>.0000000000000000</v>
          </cell>
          <cell r="BG744" t="str">
            <v>None</v>
          </cell>
          <cell r="BK744" t="str">
            <v>2025-05-07 00:00:00</v>
          </cell>
          <cell r="BL744" t="str">
            <v>Airport EG-802</v>
          </cell>
          <cell r="BM744" t="str">
            <v>No</v>
          </cell>
          <cell r="BN744" t="str">
            <v>No</v>
          </cell>
          <cell r="BO744" t="str">
            <v>CPay-000000005</v>
          </cell>
        </row>
        <row r="745">
          <cell r="B745" t="str">
            <v>307991</v>
          </cell>
          <cell r="C745" t="str">
            <v>47.0000000000000000</v>
          </cell>
          <cell r="E745" t="str">
            <v>Cust</v>
          </cell>
          <cell r="G745" t="str">
            <v>No</v>
          </cell>
          <cell r="H745" t="str">
            <v>1900-01-01 00:00:00</v>
          </cell>
          <cell r="K745" t="str">
            <v>M-P</v>
          </cell>
          <cell r="L745" t="str">
            <v>296.400000</v>
          </cell>
          <cell r="AL745" t="str">
            <v>307991</v>
          </cell>
          <cell r="BC745" t="str">
            <v>Cust-PP</v>
          </cell>
          <cell r="BD745" t="str">
            <v>1.9607843137254900</v>
          </cell>
          <cell r="BE745" t="str">
            <v>.0000000000000000</v>
          </cell>
          <cell r="BF745" t="str">
            <v>.0000000000000000</v>
          </cell>
          <cell r="BG745" t="str">
            <v>None</v>
          </cell>
          <cell r="BK745" t="str">
            <v>2025-05-08 00:00:00</v>
          </cell>
          <cell r="BL745" t="str">
            <v>Airport EG-813</v>
          </cell>
          <cell r="BM745" t="str">
            <v>No</v>
          </cell>
          <cell r="BN745" t="str">
            <v>No</v>
          </cell>
          <cell r="BO745" t="str">
            <v>CPay-000000005</v>
          </cell>
        </row>
        <row r="746">
          <cell r="B746" t="str">
            <v>340277</v>
          </cell>
          <cell r="C746" t="str">
            <v>48.0000000000000000</v>
          </cell>
          <cell r="E746" t="str">
            <v>Cust</v>
          </cell>
          <cell r="G746" t="str">
            <v>No</v>
          </cell>
          <cell r="H746" t="str">
            <v>1900-01-01 00:00:00</v>
          </cell>
          <cell r="K746" t="str">
            <v>M-P</v>
          </cell>
          <cell r="L746" t="str">
            <v>558.600000</v>
          </cell>
          <cell r="AL746" t="str">
            <v>340277</v>
          </cell>
          <cell r="BC746" t="str">
            <v>Cust-PP</v>
          </cell>
          <cell r="BD746" t="str">
            <v>1.9607843137254900</v>
          </cell>
          <cell r="BE746" t="str">
            <v>.0000000000000000</v>
          </cell>
          <cell r="BF746" t="str">
            <v>.0000000000000000</v>
          </cell>
          <cell r="BG746" t="str">
            <v>None</v>
          </cell>
          <cell r="BK746" t="str">
            <v>2025-05-10 00:00:00</v>
          </cell>
          <cell r="BL746" t="str">
            <v>Airport EG-819</v>
          </cell>
          <cell r="BM746" t="str">
            <v>No</v>
          </cell>
          <cell r="BN746" t="str">
            <v>No</v>
          </cell>
          <cell r="BO746" t="str">
            <v>CPay-000000005</v>
          </cell>
        </row>
        <row r="747">
          <cell r="B747" t="str">
            <v>340293</v>
          </cell>
          <cell r="C747" t="str">
            <v>49.0000000000000000</v>
          </cell>
          <cell r="E747" t="str">
            <v>Cust</v>
          </cell>
          <cell r="G747" t="str">
            <v>No</v>
          </cell>
          <cell r="H747" t="str">
            <v>1900-01-01 00:00:00</v>
          </cell>
          <cell r="K747" t="str">
            <v>M-P</v>
          </cell>
          <cell r="L747" t="str">
            <v>1653.000000</v>
          </cell>
          <cell r="AL747" t="str">
            <v>340293</v>
          </cell>
          <cell r="BC747" t="str">
            <v>Cust-PP</v>
          </cell>
          <cell r="BD747" t="str">
            <v>1.9607843137254900</v>
          </cell>
          <cell r="BE747" t="str">
            <v>.0000000000000000</v>
          </cell>
          <cell r="BF747" t="str">
            <v>.0000000000000000</v>
          </cell>
          <cell r="BG747" t="str">
            <v>None</v>
          </cell>
          <cell r="BK747" t="str">
            <v>2025-05-10 00:00:00</v>
          </cell>
          <cell r="BL747" t="str">
            <v>Airport EG-818</v>
          </cell>
          <cell r="BM747" t="str">
            <v>No</v>
          </cell>
          <cell r="BN747" t="str">
            <v>No</v>
          </cell>
          <cell r="BO747" t="str">
            <v>CPay-000000005</v>
          </cell>
        </row>
        <row r="748">
          <cell r="B748" t="str">
            <v>340297</v>
          </cell>
          <cell r="C748" t="str">
            <v>50.0000000000000000</v>
          </cell>
          <cell r="E748" t="str">
            <v>Cust</v>
          </cell>
          <cell r="G748" t="str">
            <v>No</v>
          </cell>
          <cell r="H748" t="str">
            <v>1900-01-01 00:00:00</v>
          </cell>
          <cell r="K748" t="str">
            <v>M-P</v>
          </cell>
          <cell r="L748" t="str">
            <v>1653.000000</v>
          </cell>
          <cell r="AL748" t="str">
            <v>340297</v>
          </cell>
          <cell r="BC748" t="str">
            <v>Cust-PP</v>
          </cell>
          <cell r="BD748" t="str">
            <v>1.9607843137254900</v>
          </cell>
          <cell r="BE748" t="str">
            <v>.0000000000000000</v>
          </cell>
          <cell r="BF748" t="str">
            <v>.0000000000000000</v>
          </cell>
          <cell r="BG748" t="str">
            <v>None</v>
          </cell>
          <cell r="BK748" t="str">
            <v>2025-05-10 00:00:00</v>
          </cell>
          <cell r="BL748" t="str">
            <v>Airport EG-816</v>
          </cell>
          <cell r="BM748" t="str">
            <v>No</v>
          </cell>
          <cell r="BN748" t="str">
            <v>No</v>
          </cell>
          <cell r="BO748" t="str">
            <v>CPay-000000005</v>
          </cell>
        </row>
        <row r="749">
          <cell r="B749" t="str">
            <v>340298</v>
          </cell>
          <cell r="C749" t="str">
            <v>51.0000000000000000</v>
          </cell>
          <cell r="E749" t="str">
            <v>Cust</v>
          </cell>
          <cell r="G749" t="str">
            <v>No</v>
          </cell>
          <cell r="H749" t="str">
            <v>1900-01-01 00:00:00</v>
          </cell>
          <cell r="K749" t="str">
            <v>M-P</v>
          </cell>
          <cell r="L749" t="str">
            <v>3990.000000</v>
          </cell>
          <cell r="AL749" t="str">
            <v>340298</v>
          </cell>
          <cell r="BC749" t="str">
            <v>Cust-PP</v>
          </cell>
          <cell r="BD749" t="str">
            <v>1.9607843137254900</v>
          </cell>
          <cell r="BE749" t="str">
            <v>.0000000000000000</v>
          </cell>
          <cell r="BF749" t="str">
            <v>.0000000000000000</v>
          </cell>
          <cell r="BG749" t="str">
            <v>None</v>
          </cell>
          <cell r="BK749" t="str">
            <v>2025-05-10 00:00:00</v>
          </cell>
          <cell r="BL749" t="str">
            <v>Airport EG-817</v>
          </cell>
          <cell r="BM749" t="str">
            <v>No</v>
          </cell>
          <cell r="BN749" t="str">
            <v>No</v>
          </cell>
          <cell r="BO749" t="str">
            <v>CPay-000000005</v>
          </cell>
        </row>
        <row r="750">
          <cell r="B750" t="str">
            <v>340307</v>
          </cell>
          <cell r="C750" t="str">
            <v>52.0000000000000000</v>
          </cell>
          <cell r="E750" t="str">
            <v>Cust</v>
          </cell>
          <cell r="G750" t="str">
            <v>No</v>
          </cell>
          <cell r="H750" t="str">
            <v>1900-01-01 00:00:00</v>
          </cell>
          <cell r="K750" t="str">
            <v>M-P</v>
          </cell>
          <cell r="L750" t="str">
            <v>1653.000000</v>
          </cell>
          <cell r="AL750" t="str">
            <v>340307</v>
          </cell>
          <cell r="BC750" t="str">
            <v>Cust-PP</v>
          </cell>
          <cell r="BD750" t="str">
            <v>1.9607843137254900</v>
          </cell>
          <cell r="BE750" t="str">
            <v>.0000000000000000</v>
          </cell>
          <cell r="BF750" t="str">
            <v>.0000000000000000</v>
          </cell>
          <cell r="BG750" t="str">
            <v>None</v>
          </cell>
          <cell r="BK750" t="str">
            <v>2025-05-10 00:00:00</v>
          </cell>
          <cell r="BL750" t="str">
            <v>Airport EG-814</v>
          </cell>
          <cell r="BM750" t="str">
            <v>No</v>
          </cell>
          <cell r="BN750" t="str">
            <v>No</v>
          </cell>
          <cell r="BO750" t="str">
            <v>CPay-000000005</v>
          </cell>
        </row>
        <row r="751">
          <cell r="B751" t="str">
            <v>340308</v>
          </cell>
          <cell r="C751" t="str">
            <v>53.0000000000000000</v>
          </cell>
          <cell r="E751" t="str">
            <v>Cust</v>
          </cell>
          <cell r="G751" t="str">
            <v>No</v>
          </cell>
          <cell r="H751" t="str">
            <v>1900-01-01 00:00:00</v>
          </cell>
          <cell r="K751" t="str">
            <v>M-P</v>
          </cell>
          <cell r="L751" t="str">
            <v>296.400000</v>
          </cell>
          <cell r="AL751" t="str">
            <v>340308</v>
          </cell>
          <cell r="BC751" t="str">
            <v>Cust-PP</v>
          </cell>
          <cell r="BD751" t="str">
            <v>1.9607843137254900</v>
          </cell>
          <cell r="BE751" t="str">
            <v>.0000000000000000</v>
          </cell>
          <cell r="BF751" t="str">
            <v>.0000000000000000</v>
          </cell>
          <cell r="BG751" t="str">
            <v>None</v>
          </cell>
          <cell r="BK751" t="str">
            <v>2025-05-10 00:00:00</v>
          </cell>
          <cell r="BL751" t="str">
            <v>Airport EG-815</v>
          </cell>
          <cell r="BM751" t="str">
            <v>No</v>
          </cell>
          <cell r="BN751" t="str">
            <v>No</v>
          </cell>
          <cell r="BO751" t="str">
            <v>CPay-000000005</v>
          </cell>
        </row>
        <row r="752">
          <cell r="B752" t="str">
            <v>308755</v>
          </cell>
          <cell r="C752" t="str">
            <v>54.0000000000000000</v>
          </cell>
          <cell r="E752" t="str">
            <v>Cust</v>
          </cell>
          <cell r="G752" t="str">
            <v>No</v>
          </cell>
          <cell r="H752" t="str">
            <v>1900-01-01 00:00:00</v>
          </cell>
          <cell r="K752" t="str">
            <v>M-P</v>
          </cell>
          <cell r="L752" t="str">
            <v>1653.000000</v>
          </cell>
          <cell r="AL752" t="str">
            <v>308755</v>
          </cell>
          <cell r="BC752" t="str">
            <v>Cust-PP</v>
          </cell>
          <cell r="BD752" t="str">
            <v>1.9607843137254900</v>
          </cell>
          <cell r="BE752" t="str">
            <v>.0000000000000000</v>
          </cell>
          <cell r="BF752" t="str">
            <v>.0000000000000000</v>
          </cell>
          <cell r="BG752" t="str">
            <v>None</v>
          </cell>
          <cell r="BK752" t="str">
            <v>2025-05-11 00:00:00</v>
          </cell>
          <cell r="BL752" t="str">
            <v>Airport EG-831</v>
          </cell>
          <cell r="BM752" t="str">
            <v>No</v>
          </cell>
          <cell r="BN752" t="str">
            <v>No</v>
          </cell>
          <cell r="BO752" t="str">
            <v>CPay-000000005</v>
          </cell>
        </row>
        <row r="753">
          <cell r="B753" t="str">
            <v>308756</v>
          </cell>
          <cell r="C753" t="str">
            <v>55.0000000000000000</v>
          </cell>
          <cell r="E753" t="str">
            <v>Cust</v>
          </cell>
          <cell r="G753" t="str">
            <v>No</v>
          </cell>
          <cell r="H753" t="str">
            <v>1900-01-01 00:00:00</v>
          </cell>
          <cell r="K753" t="str">
            <v>M-P</v>
          </cell>
          <cell r="L753" t="str">
            <v>199.500000</v>
          </cell>
          <cell r="AL753" t="str">
            <v>308756</v>
          </cell>
          <cell r="BC753" t="str">
            <v>Cust-PP</v>
          </cell>
          <cell r="BD753" t="str">
            <v>1.9607843137254900</v>
          </cell>
          <cell r="BE753" t="str">
            <v>.0000000000000000</v>
          </cell>
          <cell r="BF753" t="str">
            <v>.0000000000000000</v>
          </cell>
          <cell r="BG753" t="str">
            <v>None</v>
          </cell>
          <cell r="BK753" t="str">
            <v>2025-05-11 00:00:00</v>
          </cell>
          <cell r="BL753" t="str">
            <v>Airport EG-832</v>
          </cell>
          <cell r="BM753" t="str">
            <v>No</v>
          </cell>
          <cell r="BN753" t="str">
            <v>No</v>
          </cell>
          <cell r="BO753" t="str">
            <v>CPay-000000005</v>
          </cell>
        </row>
        <row r="754">
          <cell r="B754" t="str">
            <v>308757</v>
          </cell>
          <cell r="C754" t="str">
            <v>56.0000000000000000</v>
          </cell>
          <cell r="E754" t="str">
            <v>Cust</v>
          </cell>
          <cell r="G754" t="str">
            <v>No</v>
          </cell>
          <cell r="H754" t="str">
            <v>1900-01-01 00:00:00</v>
          </cell>
          <cell r="K754" t="str">
            <v>M-P</v>
          </cell>
          <cell r="L754" t="str">
            <v>1653.000000</v>
          </cell>
          <cell r="AL754" t="str">
            <v>308757</v>
          </cell>
          <cell r="BC754" t="str">
            <v>Cust-PP</v>
          </cell>
          <cell r="BD754" t="str">
            <v>1.9607843137254900</v>
          </cell>
          <cell r="BE754" t="str">
            <v>.0000000000000000</v>
          </cell>
          <cell r="BF754" t="str">
            <v>.0000000000000000</v>
          </cell>
          <cell r="BG754" t="str">
            <v>None</v>
          </cell>
          <cell r="BK754" t="str">
            <v>2025-05-11 00:00:00</v>
          </cell>
          <cell r="BL754" t="str">
            <v>Airport EG-833</v>
          </cell>
          <cell r="BM754" t="str">
            <v>No</v>
          </cell>
          <cell r="BN754" t="str">
            <v>No</v>
          </cell>
          <cell r="BO754" t="str">
            <v>CPay-000000005</v>
          </cell>
        </row>
        <row r="755">
          <cell r="B755" t="str">
            <v>308758</v>
          </cell>
          <cell r="C755" t="str">
            <v>57.0000000000000000</v>
          </cell>
          <cell r="E755" t="str">
            <v>Cust</v>
          </cell>
          <cell r="G755" t="str">
            <v>No</v>
          </cell>
          <cell r="H755" t="str">
            <v>1900-01-01 00:00:00</v>
          </cell>
          <cell r="K755" t="str">
            <v>M-P</v>
          </cell>
          <cell r="L755" t="str">
            <v>285.000000</v>
          </cell>
          <cell r="AL755" t="str">
            <v>308758</v>
          </cell>
          <cell r="BC755" t="str">
            <v>Cust-PP</v>
          </cell>
          <cell r="BD755" t="str">
            <v>1.9607843137254900</v>
          </cell>
          <cell r="BE755" t="str">
            <v>.0000000000000000</v>
          </cell>
          <cell r="BF755" t="str">
            <v>.0000000000000000</v>
          </cell>
          <cell r="BG755" t="str">
            <v>None</v>
          </cell>
          <cell r="BK755" t="str">
            <v>2025-05-11 00:00:00</v>
          </cell>
          <cell r="BL755" t="str">
            <v>Airport EG-834</v>
          </cell>
          <cell r="BM755" t="str">
            <v>No</v>
          </cell>
          <cell r="BN755" t="str">
            <v>No</v>
          </cell>
          <cell r="BO755" t="str">
            <v>CPay-000000005</v>
          </cell>
        </row>
        <row r="756">
          <cell r="B756" t="str">
            <v>340190</v>
          </cell>
          <cell r="C756" t="str">
            <v>58.0000000000000000</v>
          </cell>
          <cell r="E756" t="str">
            <v>Cust</v>
          </cell>
          <cell r="G756" t="str">
            <v>No</v>
          </cell>
          <cell r="H756" t="str">
            <v>1900-01-01 00:00:00</v>
          </cell>
          <cell r="K756" t="str">
            <v>M-P</v>
          </cell>
          <cell r="L756" t="str">
            <v>1653.000000</v>
          </cell>
          <cell r="AL756" t="str">
            <v>340190</v>
          </cell>
          <cell r="BC756" t="str">
            <v>Cust-PP</v>
          </cell>
          <cell r="BD756" t="str">
            <v>1.9607843137254900</v>
          </cell>
          <cell r="BE756" t="str">
            <v>.0000000000000000</v>
          </cell>
          <cell r="BF756" t="str">
            <v>.0000000000000000</v>
          </cell>
          <cell r="BG756" t="str">
            <v>None</v>
          </cell>
          <cell r="BK756" t="str">
            <v>2025-05-11 00:00:00</v>
          </cell>
          <cell r="BL756" t="str">
            <v>Airport EG-829</v>
          </cell>
          <cell r="BM756" t="str">
            <v>No</v>
          </cell>
          <cell r="BN756" t="str">
            <v>No</v>
          </cell>
          <cell r="BO756" t="str">
            <v>CPay-000000005</v>
          </cell>
        </row>
        <row r="757">
          <cell r="B757" t="str">
            <v>340191</v>
          </cell>
          <cell r="C757" t="str">
            <v>59.0000000000000000</v>
          </cell>
          <cell r="E757" t="str">
            <v>Cust</v>
          </cell>
          <cell r="G757" t="str">
            <v>No</v>
          </cell>
          <cell r="H757" t="str">
            <v>1900-01-01 00:00:00</v>
          </cell>
          <cell r="K757" t="str">
            <v>M-P</v>
          </cell>
          <cell r="L757" t="str">
            <v>296.400000</v>
          </cell>
          <cell r="AL757" t="str">
            <v>340191</v>
          </cell>
          <cell r="BC757" t="str">
            <v>Cust-PP</v>
          </cell>
          <cell r="BD757" t="str">
            <v>1.9607843137254900</v>
          </cell>
          <cell r="BE757" t="str">
            <v>.0000000000000000</v>
          </cell>
          <cell r="BF757" t="str">
            <v>.0000000000000000</v>
          </cell>
          <cell r="BG757" t="str">
            <v>None</v>
          </cell>
          <cell r="BK757" t="str">
            <v>2025-05-11 00:00:00</v>
          </cell>
          <cell r="BL757" t="str">
            <v>Airport EG-830</v>
          </cell>
          <cell r="BM757" t="str">
            <v>No</v>
          </cell>
          <cell r="BN757" t="str">
            <v>No</v>
          </cell>
          <cell r="BO757" t="str">
            <v>CPay-000000005</v>
          </cell>
        </row>
        <row r="758">
          <cell r="B758" t="str">
            <v>340206</v>
          </cell>
          <cell r="C758" t="str">
            <v>60.0000000000000000</v>
          </cell>
          <cell r="E758" t="str">
            <v>Cust</v>
          </cell>
          <cell r="G758" t="str">
            <v>No</v>
          </cell>
          <cell r="H758" t="str">
            <v>1900-01-01 00:00:00</v>
          </cell>
          <cell r="K758" t="str">
            <v>M-P</v>
          </cell>
          <cell r="L758" t="str">
            <v>1653.000000</v>
          </cell>
          <cell r="AL758" t="str">
            <v>340206</v>
          </cell>
          <cell r="BC758" t="str">
            <v>Cust-PP</v>
          </cell>
          <cell r="BD758" t="str">
            <v>1.9607843137254900</v>
          </cell>
          <cell r="BE758" t="str">
            <v>.0000000000000000</v>
          </cell>
          <cell r="BF758" t="str">
            <v>.0000000000000000</v>
          </cell>
          <cell r="BG758" t="str">
            <v>None</v>
          </cell>
          <cell r="BK758" t="str">
            <v>2025-05-11 00:00:00</v>
          </cell>
          <cell r="BL758" t="str">
            <v>Airport EG-826</v>
          </cell>
          <cell r="BM758" t="str">
            <v>No</v>
          </cell>
          <cell r="BN758" t="str">
            <v>No</v>
          </cell>
          <cell r="BO758" t="str">
            <v>CPay-000000005</v>
          </cell>
        </row>
        <row r="759">
          <cell r="B759" t="str">
            <v>340207</v>
          </cell>
          <cell r="C759" t="str">
            <v>61.0000000000000000</v>
          </cell>
          <cell r="E759" t="str">
            <v>Cust</v>
          </cell>
          <cell r="G759" t="str">
            <v>No</v>
          </cell>
          <cell r="H759" t="str">
            <v>1900-01-01 00:00:00</v>
          </cell>
          <cell r="K759" t="str">
            <v>M-P</v>
          </cell>
          <cell r="L759" t="str">
            <v>199.500000</v>
          </cell>
          <cell r="AL759" t="str">
            <v>340207</v>
          </cell>
          <cell r="BC759" t="str">
            <v>Cust-PP</v>
          </cell>
          <cell r="BD759" t="str">
            <v>1.9607843137254900</v>
          </cell>
          <cell r="BE759" t="str">
            <v>.0000000000000000</v>
          </cell>
          <cell r="BF759" t="str">
            <v>.0000000000000000</v>
          </cell>
          <cell r="BG759" t="str">
            <v>None</v>
          </cell>
          <cell r="BK759" t="str">
            <v>2025-05-11 00:00:00</v>
          </cell>
          <cell r="BL759" t="str">
            <v>Airport EG-827</v>
          </cell>
          <cell r="BM759" t="str">
            <v>No</v>
          </cell>
          <cell r="BN759" t="str">
            <v>No</v>
          </cell>
          <cell r="BO759" t="str">
            <v>CPay-000000005</v>
          </cell>
        </row>
        <row r="760">
          <cell r="B760" t="str">
            <v>340216</v>
          </cell>
          <cell r="C760" t="str">
            <v>62.0000000000000000</v>
          </cell>
          <cell r="E760" t="str">
            <v>Cust</v>
          </cell>
          <cell r="G760" t="str">
            <v>No</v>
          </cell>
          <cell r="H760" t="str">
            <v>1900-01-01 00:00:00</v>
          </cell>
          <cell r="K760" t="str">
            <v>M-P</v>
          </cell>
          <cell r="L760" t="str">
            <v>1653.000000</v>
          </cell>
          <cell r="AL760" t="str">
            <v>340216</v>
          </cell>
          <cell r="BC760" t="str">
            <v>Cust-PP</v>
          </cell>
          <cell r="BD760" t="str">
            <v>1.9607843137254900</v>
          </cell>
          <cell r="BE760" t="str">
            <v>.0000000000000000</v>
          </cell>
          <cell r="BF760" t="str">
            <v>.0000000000000000</v>
          </cell>
          <cell r="BG760" t="str">
            <v>None</v>
          </cell>
          <cell r="BK760" t="str">
            <v>2025-05-11 00:00:00</v>
          </cell>
          <cell r="BL760" t="str">
            <v>Airport EG-822</v>
          </cell>
          <cell r="BM760" t="str">
            <v>No</v>
          </cell>
          <cell r="BN760" t="str">
            <v>No</v>
          </cell>
          <cell r="BO760" t="str">
            <v>CPay-000000005</v>
          </cell>
        </row>
        <row r="761">
          <cell r="B761" t="str">
            <v>340217</v>
          </cell>
          <cell r="C761" t="str">
            <v>63.0000000000000000</v>
          </cell>
          <cell r="E761" t="str">
            <v>Cust</v>
          </cell>
          <cell r="G761" t="str">
            <v>No</v>
          </cell>
          <cell r="H761" t="str">
            <v>1900-01-01 00:00:00</v>
          </cell>
          <cell r="K761" t="str">
            <v>M-P</v>
          </cell>
          <cell r="L761" t="str">
            <v>1509.590000</v>
          </cell>
          <cell r="AL761" t="str">
            <v>340217</v>
          </cell>
          <cell r="BC761" t="str">
            <v>Cust-PP</v>
          </cell>
          <cell r="BD761" t="str">
            <v>1.9607843137254900</v>
          </cell>
          <cell r="BE761" t="str">
            <v>.0000000000000000</v>
          </cell>
          <cell r="BF761" t="str">
            <v>.0000000000000000</v>
          </cell>
          <cell r="BG761" t="str">
            <v>None</v>
          </cell>
          <cell r="BK761" t="str">
            <v>2025-05-11 00:00:00</v>
          </cell>
          <cell r="BL761" t="str">
            <v>Airport EG-823</v>
          </cell>
          <cell r="BM761" t="str">
            <v>No</v>
          </cell>
          <cell r="BN761" t="str">
            <v>No</v>
          </cell>
          <cell r="BO761" t="str">
            <v>CPay-000000005</v>
          </cell>
        </row>
        <row r="762">
          <cell r="B762" t="str">
            <v>340218</v>
          </cell>
          <cell r="C762" t="str">
            <v>64.0000000000000000</v>
          </cell>
          <cell r="E762" t="str">
            <v>Cust</v>
          </cell>
          <cell r="G762" t="str">
            <v>No</v>
          </cell>
          <cell r="H762" t="str">
            <v>1900-01-01 00:00:00</v>
          </cell>
          <cell r="K762" t="str">
            <v>M-P</v>
          </cell>
          <cell r="L762" t="str">
            <v>1653.000000</v>
          </cell>
          <cell r="AL762" t="str">
            <v>340218</v>
          </cell>
          <cell r="BC762" t="str">
            <v>Cust-PP</v>
          </cell>
          <cell r="BD762" t="str">
            <v>1.9607843137254900</v>
          </cell>
          <cell r="BE762" t="str">
            <v>.0000000000000000</v>
          </cell>
          <cell r="BF762" t="str">
            <v>.0000000000000000</v>
          </cell>
          <cell r="BG762" t="str">
            <v>None</v>
          </cell>
          <cell r="BK762" t="str">
            <v>2025-05-11 00:00:00</v>
          </cell>
          <cell r="BL762" t="str">
            <v>Airport EG-824</v>
          </cell>
          <cell r="BM762" t="str">
            <v>No</v>
          </cell>
          <cell r="BN762" t="str">
            <v>No</v>
          </cell>
          <cell r="BO762" t="str">
            <v>CPay-000000005</v>
          </cell>
        </row>
        <row r="763">
          <cell r="B763" t="str">
            <v>340219</v>
          </cell>
          <cell r="C763" t="str">
            <v>65.0000000000000000</v>
          </cell>
          <cell r="E763" t="str">
            <v>Cust</v>
          </cell>
          <cell r="G763" t="str">
            <v>No</v>
          </cell>
          <cell r="H763" t="str">
            <v>1900-01-01 00:00:00</v>
          </cell>
          <cell r="K763" t="str">
            <v>M-P</v>
          </cell>
          <cell r="L763" t="str">
            <v>370.500000</v>
          </cell>
          <cell r="AL763" t="str">
            <v>340219</v>
          </cell>
          <cell r="BC763" t="str">
            <v>Cust-PP</v>
          </cell>
          <cell r="BD763" t="str">
            <v>1.9607843137254900</v>
          </cell>
          <cell r="BE763" t="str">
            <v>.0000000000000000</v>
          </cell>
          <cell r="BF763" t="str">
            <v>.0000000000000000</v>
          </cell>
          <cell r="BG763" t="str">
            <v>None</v>
          </cell>
          <cell r="BK763" t="str">
            <v>2025-05-11 00:00:00</v>
          </cell>
          <cell r="BL763" t="str">
            <v>Airport EG-825</v>
          </cell>
          <cell r="BM763" t="str">
            <v>No</v>
          </cell>
          <cell r="BN763" t="str">
            <v>No</v>
          </cell>
          <cell r="BO763" t="str">
            <v>CPay-000000005</v>
          </cell>
        </row>
        <row r="764">
          <cell r="B764" t="str">
            <v>340231</v>
          </cell>
          <cell r="C764" t="str">
            <v>66.0000000000000000</v>
          </cell>
          <cell r="E764" t="str">
            <v>Cust</v>
          </cell>
          <cell r="G764" t="str">
            <v>No</v>
          </cell>
          <cell r="H764" t="str">
            <v>1900-01-01 00:00:00</v>
          </cell>
          <cell r="K764" t="str">
            <v>M-P</v>
          </cell>
          <cell r="L764" t="str">
            <v>1653.000000</v>
          </cell>
          <cell r="AL764" t="str">
            <v>340231</v>
          </cell>
          <cell r="BC764" t="str">
            <v>Cust-PP</v>
          </cell>
          <cell r="BD764" t="str">
            <v>1.9607843137254900</v>
          </cell>
          <cell r="BE764" t="str">
            <v>.0000000000000000</v>
          </cell>
          <cell r="BF764" t="str">
            <v>.0000000000000000</v>
          </cell>
          <cell r="BG764" t="str">
            <v>None</v>
          </cell>
          <cell r="BK764" t="str">
            <v>2025-05-11 00:00:00</v>
          </cell>
          <cell r="BL764" t="str">
            <v>Airport EG-820</v>
          </cell>
          <cell r="BM764" t="str">
            <v>No</v>
          </cell>
          <cell r="BN764" t="str">
            <v>No</v>
          </cell>
          <cell r="BO764" t="str">
            <v>CPay-000000005</v>
          </cell>
        </row>
        <row r="765">
          <cell r="B765" t="str">
            <v>340232</v>
          </cell>
          <cell r="C765" t="str">
            <v>67.0000000000000000</v>
          </cell>
          <cell r="E765" t="str">
            <v>Cust</v>
          </cell>
          <cell r="G765" t="str">
            <v>No</v>
          </cell>
          <cell r="H765" t="str">
            <v>1900-01-01 00:00:00</v>
          </cell>
          <cell r="K765" t="str">
            <v>M-P</v>
          </cell>
          <cell r="L765" t="str">
            <v>285.000000</v>
          </cell>
          <cell r="AL765" t="str">
            <v>340232</v>
          </cell>
          <cell r="BC765" t="str">
            <v>Cust-PP</v>
          </cell>
          <cell r="BD765" t="str">
            <v>1.9607843137254900</v>
          </cell>
          <cell r="BE765" t="str">
            <v>.0000000000000000</v>
          </cell>
          <cell r="BF765" t="str">
            <v>.0000000000000000</v>
          </cell>
          <cell r="BG765" t="str">
            <v>None</v>
          </cell>
          <cell r="BK765" t="str">
            <v>2025-05-11 00:00:00</v>
          </cell>
          <cell r="BL765" t="str">
            <v>Airport EG-821</v>
          </cell>
          <cell r="BM765" t="str">
            <v>No</v>
          </cell>
          <cell r="BN765" t="str">
            <v>No</v>
          </cell>
          <cell r="BO765" t="str">
            <v>CPay-000000005</v>
          </cell>
        </row>
        <row r="766">
          <cell r="B766" t="str">
            <v>340047</v>
          </cell>
          <cell r="C766" t="str">
            <v>68.0000000000000000</v>
          </cell>
          <cell r="E766" t="str">
            <v>Cust</v>
          </cell>
          <cell r="G766" t="str">
            <v>No</v>
          </cell>
          <cell r="H766" t="str">
            <v>1900-01-01 00:00:00</v>
          </cell>
          <cell r="K766" t="str">
            <v>M-P</v>
          </cell>
          <cell r="L766" t="str">
            <v>1653.000000</v>
          </cell>
          <cell r="AL766" t="str">
            <v>340047</v>
          </cell>
          <cell r="BC766" t="str">
            <v>Cust-PP</v>
          </cell>
          <cell r="BD766" t="str">
            <v>1.9607843137254900</v>
          </cell>
          <cell r="BE766" t="str">
            <v>.0000000000000000</v>
          </cell>
          <cell r="BF766" t="str">
            <v>.0000000000000000</v>
          </cell>
          <cell r="BG766" t="str">
            <v>None</v>
          </cell>
          <cell r="BK766" t="str">
            <v>2025-05-12 00:00:00</v>
          </cell>
          <cell r="BL766" t="str">
            <v>Airport EG-851</v>
          </cell>
          <cell r="BM766" t="str">
            <v>No</v>
          </cell>
          <cell r="BN766" t="str">
            <v>No</v>
          </cell>
          <cell r="BO766" t="str">
            <v>CPay-000000005</v>
          </cell>
        </row>
        <row r="767">
          <cell r="B767" t="str">
            <v>340048</v>
          </cell>
          <cell r="C767" t="str">
            <v>69.0000000000000000</v>
          </cell>
          <cell r="E767" t="str">
            <v>Cust</v>
          </cell>
          <cell r="G767" t="str">
            <v>No</v>
          </cell>
          <cell r="H767" t="str">
            <v>1900-01-01 00:00:00</v>
          </cell>
          <cell r="K767" t="str">
            <v>M-P</v>
          </cell>
          <cell r="L767" t="str">
            <v>199.500000</v>
          </cell>
          <cell r="AL767" t="str">
            <v>340048</v>
          </cell>
          <cell r="BC767" t="str">
            <v>Cust-PP</v>
          </cell>
          <cell r="BD767" t="str">
            <v>1.9607843137254900</v>
          </cell>
          <cell r="BE767" t="str">
            <v>.0000000000000000</v>
          </cell>
          <cell r="BF767" t="str">
            <v>.0000000000000000</v>
          </cell>
          <cell r="BG767" t="str">
            <v>None</v>
          </cell>
          <cell r="BK767" t="str">
            <v>2025-05-12 00:00:00</v>
          </cell>
          <cell r="BL767" t="str">
            <v>Airport EG-852</v>
          </cell>
          <cell r="BM767" t="str">
            <v>No</v>
          </cell>
          <cell r="BN767" t="str">
            <v>No</v>
          </cell>
          <cell r="BO767" t="str">
            <v>CPay-000000005</v>
          </cell>
        </row>
        <row r="768">
          <cell r="B768" t="str">
            <v>340076</v>
          </cell>
          <cell r="C768" t="str">
            <v>70.0000000000000000</v>
          </cell>
          <cell r="E768" t="str">
            <v>Cust</v>
          </cell>
          <cell r="G768" t="str">
            <v>No</v>
          </cell>
          <cell r="H768" t="str">
            <v>1900-01-01 00:00:00</v>
          </cell>
          <cell r="K768" t="str">
            <v>M-P</v>
          </cell>
          <cell r="L768" t="str">
            <v>2052.000000</v>
          </cell>
          <cell r="AL768" t="str">
            <v>340076</v>
          </cell>
          <cell r="BC768" t="str">
            <v>Cust-PP</v>
          </cell>
          <cell r="BD768" t="str">
            <v>1.9607843137254900</v>
          </cell>
          <cell r="BE768" t="str">
            <v>.0000000000000000</v>
          </cell>
          <cell r="BF768" t="str">
            <v>.0000000000000000</v>
          </cell>
          <cell r="BG768" t="str">
            <v>None</v>
          </cell>
          <cell r="BK768" t="str">
            <v>2025-05-12 00:00:00</v>
          </cell>
          <cell r="BL768" t="str">
            <v>Airport EG-847</v>
          </cell>
          <cell r="BM768" t="str">
            <v>No</v>
          </cell>
          <cell r="BN768" t="str">
            <v>No</v>
          </cell>
          <cell r="BO768" t="str">
            <v>CPay-000000005</v>
          </cell>
        </row>
        <row r="769">
          <cell r="B769" t="str">
            <v>340077</v>
          </cell>
          <cell r="C769" t="str">
            <v>71.0000000000000000</v>
          </cell>
          <cell r="E769" t="str">
            <v>Cust</v>
          </cell>
          <cell r="G769" t="str">
            <v>No</v>
          </cell>
          <cell r="H769" t="str">
            <v>1900-01-01 00:00:00</v>
          </cell>
          <cell r="K769" t="str">
            <v>M-P</v>
          </cell>
          <cell r="L769" t="str">
            <v>285.000000</v>
          </cell>
          <cell r="AL769" t="str">
            <v>340077</v>
          </cell>
          <cell r="BC769" t="str">
            <v>Cust-PP</v>
          </cell>
          <cell r="BD769" t="str">
            <v>1.9607843137254900</v>
          </cell>
          <cell r="BE769" t="str">
            <v>.0000000000000000</v>
          </cell>
          <cell r="BF769" t="str">
            <v>.0000000000000000</v>
          </cell>
          <cell r="BG769" t="str">
            <v>None</v>
          </cell>
          <cell r="BK769" t="str">
            <v>2025-05-12 00:00:00</v>
          </cell>
          <cell r="BL769" t="str">
            <v>Airport EG-848</v>
          </cell>
          <cell r="BM769" t="str">
            <v>No</v>
          </cell>
          <cell r="BN769" t="str">
            <v>No</v>
          </cell>
          <cell r="BO769" t="str">
            <v>CPay-000000005</v>
          </cell>
        </row>
        <row r="770">
          <cell r="B770" t="str">
            <v>340078</v>
          </cell>
          <cell r="C770" t="str">
            <v>72.0000000000000000</v>
          </cell>
          <cell r="E770" t="str">
            <v>Cust</v>
          </cell>
          <cell r="G770" t="str">
            <v>No</v>
          </cell>
          <cell r="H770" t="str">
            <v>1900-01-01 00:00:00</v>
          </cell>
          <cell r="K770" t="str">
            <v>M-P</v>
          </cell>
          <cell r="L770" t="str">
            <v>1653.000000</v>
          </cell>
          <cell r="AL770" t="str">
            <v>340078</v>
          </cell>
          <cell r="BC770" t="str">
            <v>Cust-PP</v>
          </cell>
          <cell r="BD770" t="str">
            <v>1.9607843137254900</v>
          </cell>
          <cell r="BE770" t="str">
            <v>.0000000000000000</v>
          </cell>
          <cell r="BF770" t="str">
            <v>.0000000000000000</v>
          </cell>
          <cell r="BG770" t="str">
            <v>None</v>
          </cell>
          <cell r="BK770" t="str">
            <v>2025-05-12 00:00:00</v>
          </cell>
          <cell r="BL770" t="str">
            <v>Airport EG-849</v>
          </cell>
          <cell r="BM770" t="str">
            <v>No</v>
          </cell>
          <cell r="BN770" t="str">
            <v>No</v>
          </cell>
          <cell r="BO770" t="str">
            <v>CPay-000000005</v>
          </cell>
        </row>
        <row r="771">
          <cell r="B771" t="str">
            <v>340079</v>
          </cell>
          <cell r="C771" t="str">
            <v>73.0000000000000000</v>
          </cell>
          <cell r="E771" t="str">
            <v>Cust</v>
          </cell>
          <cell r="G771" t="str">
            <v>No</v>
          </cell>
          <cell r="H771" t="str">
            <v>1900-01-01 00:00:00</v>
          </cell>
          <cell r="K771" t="str">
            <v>M-P</v>
          </cell>
          <cell r="L771" t="str">
            <v>2507.320000</v>
          </cell>
          <cell r="AL771" t="str">
            <v>340079</v>
          </cell>
          <cell r="BC771" t="str">
            <v>Cust-PP</v>
          </cell>
          <cell r="BD771" t="str">
            <v>1.9607843137254900</v>
          </cell>
          <cell r="BE771" t="str">
            <v>.0000000000000000</v>
          </cell>
          <cell r="BF771" t="str">
            <v>.0000000000000000</v>
          </cell>
          <cell r="BG771" t="str">
            <v>None</v>
          </cell>
          <cell r="BK771" t="str">
            <v>2025-05-12 00:00:00</v>
          </cell>
          <cell r="BL771" t="str">
            <v>Airport EG-850</v>
          </cell>
          <cell r="BM771" t="str">
            <v>No</v>
          </cell>
          <cell r="BN771" t="str">
            <v>No</v>
          </cell>
          <cell r="BO771" t="str">
            <v>CPay-000000005</v>
          </cell>
        </row>
        <row r="772">
          <cell r="B772" t="str">
            <v>340126</v>
          </cell>
          <cell r="C772" t="str">
            <v>74.0000000000000000</v>
          </cell>
          <cell r="E772" t="str">
            <v>Cust</v>
          </cell>
          <cell r="G772" t="str">
            <v>No</v>
          </cell>
          <cell r="H772" t="str">
            <v>1900-01-01 00:00:00</v>
          </cell>
          <cell r="K772" t="str">
            <v>M-P</v>
          </cell>
          <cell r="L772" t="str">
            <v>498.290000</v>
          </cell>
          <cell r="AL772" t="str">
            <v>340126</v>
          </cell>
          <cell r="BC772" t="str">
            <v>Cust-PP</v>
          </cell>
          <cell r="BD772" t="str">
            <v>1.9607843137254900</v>
          </cell>
          <cell r="BE772" t="str">
            <v>.0000000000000000</v>
          </cell>
          <cell r="BF772" t="str">
            <v>.0000000000000000</v>
          </cell>
          <cell r="BG772" t="str">
            <v>None</v>
          </cell>
          <cell r="BK772" t="str">
            <v>2025-05-12 00:00:00</v>
          </cell>
          <cell r="BL772" t="str">
            <v>Airport EG-844</v>
          </cell>
          <cell r="BM772" t="str">
            <v>No</v>
          </cell>
          <cell r="BN772" t="str">
            <v>No</v>
          </cell>
          <cell r="BO772" t="str">
            <v>CPay-000000005</v>
          </cell>
        </row>
        <row r="773">
          <cell r="B773" t="str">
            <v>340127</v>
          </cell>
          <cell r="C773" t="str">
            <v>75.0000000000000000</v>
          </cell>
          <cell r="E773" t="str">
            <v>Cust</v>
          </cell>
          <cell r="G773" t="str">
            <v>No</v>
          </cell>
          <cell r="H773" t="str">
            <v>1900-01-01 00:00:00</v>
          </cell>
          <cell r="K773" t="str">
            <v>M-P</v>
          </cell>
          <cell r="L773" t="str">
            <v>1653.000000</v>
          </cell>
          <cell r="AL773" t="str">
            <v>340127</v>
          </cell>
          <cell r="BC773" t="str">
            <v>Cust-PP</v>
          </cell>
          <cell r="BD773" t="str">
            <v>1.9607843137254900</v>
          </cell>
          <cell r="BE773" t="str">
            <v>.0000000000000000</v>
          </cell>
          <cell r="BF773" t="str">
            <v>.0000000000000000</v>
          </cell>
          <cell r="BG773" t="str">
            <v>None</v>
          </cell>
          <cell r="BK773" t="str">
            <v>2025-05-12 00:00:00</v>
          </cell>
          <cell r="BL773" t="str">
            <v>Airport EG-845</v>
          </cell>
          <cell r="BM773" t="str">
            <v>No</v>
          </cell>
          <cell r="BN773" t="str">
            <v>No</v>
          </cell>
          <cell r="BO773" t="str">
            <v>CPay-000000005</v>
          </cell>
        </row>
        <row r="774">
          <cell r="B774" t="str">
            <v>340128</v>
          </cell>
          <cell r="C774" t="str">
            <v>76.0000000000000000</v>
          </cell>
          <cell r="E774" t="str">
            <v>Cust</v>
          </cell>
          <cell r="G774" t="str">
            <v>No</v>
          </cell>
          <cell r="H774" t="str">
            <v>1900-01-01 00:00:00</v>
          </cell>
          <cell r="K774" t="str">
            <v>M-P</v>
          </cell>
          <cell r="L774" t="str">
            <v>335.730000</v>
          </cell>
          <cell r="AL774" t="str">
            <v>340128</v>
          </cell>
          <cell r="BC774" t="str">
            <v>Cust-PP</v>
          </cell>
          <cell r="BD774" t="str">
            <v>1.9607843137254900</v>
          </cell>
          <cell r="BE774" t="str">
            <v>.0000000000000000</v>
          </cell>
          <cell r="BF774" t="str">
            <v>.0000000000000000</v>
          </cell>
          <cell r="BG774" t="str">
            <v>None</v>
          </cell>
          <cell r="BK774" t="str">
            <v>2025-05-12 00:00:00</v>
          </cell>
          <cell r="BL774" t="str">
            <v>Airport EG-846</v>
          </cell>
          <cell r="BM774" t="str">
            <v>No</v>
          </cell>
          <cell r="BN774" t="str">
            <v>No</v>
          </cell>
          <cell r="BO774" t="str">
            <v>CPay-000000005</v>
          </cell>
        </row>
        <row r="775">
          <cell r="B775" t="str">
            <v>340136</v>
          </cell>
          <cell r="C775" t="str">
            <v>77.0000000000000000</v>
          </cell>
          <cell r="E775" t="str">
            <v>Cust</v>
          </cell>
          <cell r="G775" t="str">
            <v>No</v>
          </cell>
          <cell r="H775" t="str">
            <v>1900-01-01 00:00:00</v>
          </cell>
          <cell r="K775" t="str">
            <v>M-P</v>
          </cell>
          <cell r="L775" t="str">
            <v>1653.000000</v>
          </cell>
          <cell r="AL775" t="str">
            <v>340136</v>
          </cell>
          <cell r="BC775" t="str">
            <v>Cust-PP</v>
          </cell>
          <cell r="BD775" t="str">
            <v>1.9607843137254900</v>
          </cell>
          <cell r="BE775" t="str">
            <v>.0000000000000000</v>
          </cell>
          <cell r="BF775" t="str">
            <v>.0000000000000000</v>
          </cell>
          <cell r="BG775" t="str">
            <v>None</v>
          </cell>
          <cell r="BK775" t="str">
            <v>2025-05-12 00:00:00</v>
          </cell>
          <cell r="BL775" t="str">
            <v>Airport EG-839</v>
          </cell>
          <cell r="BM775" t="str">
            <v>No</v>
          </cell>
          <cell r="BN775" t="str">
            <v>No</v>
          </cell>
          <cell r="BO775" t="str">
            <v>CPay-000000005</v>
          </cell>
        </row>
        <row r="776">
          <cell r="B776" t="str">
            <v>340137</v>
          </cell>
          <cell r="C776" t="str">
            <v>78.0000000000000000</v>
          </cell>
          <cell r="E776" t="str">
            <v>Cust</v>
          </cell>
          <cell r="G776" t="str">
            <v>No</v>
          </cell>
          <cell r="H776" t="str">
            <v>1900-01-01 00:00:00</v>
          </cell>
          <cell r="K776" t="str">
            <v>M-P</v>
          </cell>
          <cell r="L776" t="str">
            <v>285.000000</v>
          </cell>
          <cell r="AL776" t="str">
            <v>340137</v>
          </cell>
          <cell r="BC776" t="str">
            <v>Cust-PP</v>
          </cell>
          <cell r="BD776" t="str">
            <v>1.9607843137254900</v>
          </cell>
          <cell r="BE776" t="str">
            <v>.0000000000000000</v>
          </cell>
          <cell r="BF776" t="str">
            <v>.0000000000000000</v>
          </cell>
          <cell r="BG776" t="str">
            <v>None</v>
          </cell>
          <cell r="BK776" t="str">
            <v>2025-05-12 00:00:00</v>
          </cell>
          <cell r="BL776" t="str">
            <v>Airport EG-840</v>
          </cell>
          <cell r="BM776" t="str">
            <v>No</v>
          </cell>
          <cell r="BN776" t="str">
            <v>No</v>
          </cell>
          <cell r="BO776" t="str">
            <v>CPay-000000005</v>
          </cell>
        </row>
        <row r="777">
          <cell r="B777" t="str">
            <v>340138</v>
          </cell>
          <cell r="C777" t="str">
            <v>79.0000000000000000</v>
          </cell>
          <cell r="E777" t="str">
            <v>Cust</v>
          </cell>
          <cell r="G777" t="str">
            <v>No</v>
          </cell>
          <cell r="H777" t="str">
            <v>1900-01-01 00:00:00</v>
          </cell>
          <cell r="K777" t="str">
            <v>M-P</v>
          </cell>
          <cell r="L777" t="str">
            <v>2052.000000</v>
          </cell>
          <cell r="AL777" t="str">
            <v>340138</v>
          </cell>
          <cell r="BC777" t="str">
            <v>Cust-PP</v>
          </cell>
          <cell r="BD777" t="str">
            <v>1.9607843137254900</v>
          </cell>
          <cell r="BE777" t="str">
            <v>.0000000000000000</v>
          </cell>
          <cell r="BF777" t="str">
            <v>.0000000000000000</v>
          </cell>
          <cell r="BG777" t="str">
            <v>None</v>
          </cell>
          <cell r="BK777" t="str">
            <v>2025-05-12 00:00:00</v>
          </cell>
          <cell r="BL777" t="str">
            <v>Airport EG-841</v>
          </cell>
          <cell r="BM777" t="str">
            <v>No</v>
          </cell>
          <cell r="BN777" t="str">
            <v>No</v>
          </cell>
          <cell r="BO777" t="str">
            <v>CPay-000000005</v>
          </cell>
        </row>
        <row r="778">
          <cell r="B778" t="str">
            <v>340139</v>
          </cell>
          <cell r="C778" t="str">
            <v>80.0000000000000000</v>
          </cell>
          <cell r="E778" t="str">
            <v>Cust</v>
          </cell>
          <cell r="G778" t="str">
            <v>No</v>
          </cell>
          <cell r="H778" t="str">
            <v>1900-01-01 00:00:00</v>
          </cell>
          <cell r="K778" t="str">
            <v>M-P</v>
          </cell>
          <cell r="L778" t="str">
            <v>296.400000</v>
          </cell>
          <cell r="AL778" t="str">
            <v>340139</v>
          </cell>
          <cell r="BC778" t="str">
            <v>Cust-PP</v>
          </cell>
          <cell r="BD778" t="str">
            <v>1.9607843137254900</v>
          </cell>
          <cell r="BE778" t="str">
            <v>.0000000000000000</v>
          </cell>
          <cell r="BF778" t="str">
            <v>.0000000000000000</v>
          </cell>
          <cell r="BG778" t="str">
            <v>None</v>
          </cell>
          <cell r="BK778" t="str">
            <v>2025-05-12 00:00:00</v>
          </cell>
          <cell r="BL778" t="str">
            <v>Airport EG-842</v>
          </cell>
          <cell r="BM778" t="str">
            <v>No</v>
          </cell>
          <cell r="BN778" t="str">
            <v>No</v>
          </cell>
          <cell r="BO778" t="str">
            <v>CPay-000000005</v>
          </cell>
        </row>
        <row r="779">
          <cell r="B779" t="str">
            <v>340142</v>
          </cell>
          <cell r="C779" t="str">
            <v>81.0000000000000000</v>
          </cell>
          <cell r="E779" t="str">
            <v>Cust</v>
          </cell>
          <cell r="G779" t="str">
            <v>No</v>
          </cell>
          <cell r="H779" t="str">
            <v>1900-01-01 00:00:00</v>
          </cell>
          <cell r="K779" t="str">
            <v>M-P</v>
          </cell>
          <cell r="L779" t="str">
            <v>1653.000000</v>
          </cell>
          <cell r="AL779" t="str">
            <v>340142</v>
          </cell>
          <cell r="BC779" t="str">
            <v>Cust-PP</v>
          </cell>
          <cell r="BD779" t="str">
            <v>1.9607843137254900</v>
          </cell>
          <cell r="BE779" t="str">
            <v>.0000000000000000</v>
          </cell>
          <cell r="BF779" t="str">
            <v>.0000000000000000</v>
          </cell>
          <cell r="BG779" t="str">
            <v>None</v>
          </cell>
          <cell r="BK779" t="str">
            <v>2025-05-12 00:00:00</v>
          </cell>
          <cell r="BL779" t="str">
            <v>Airport EG-843</v>
          </cell>
          <cell r="BM779" t="str">
            <v>No</v>
          </cell>
          <cell r="BN779" t="str">
            <v>No</v>
          </cell>
          <cell r="BO779" t="str">
            <v>CPay-000000005</v>
          </cell>
        </row>
        <row r="780">
          <cell r="B780" t="str">
            <v>340147</v>
          </cell>
          <cell r="C780" t="str">
            <v>82.0000000000000000</v>
          </cell>
          <cell r="E780" t="str">
            <v>Cust</v>
          </cell>
          <cell r="G780" t="str">
            <v>No</v>
          </cell>
          <cell r="H780" t="str">
            <v>1900-01-01 00:00:00</v>
          </cell>
          <cell r="K780" t="str">
            <v>M-P</v>
          </cell>
          <cell r="L780" t="str">
            <v>1653.000000</v>
          </cell>
          <cell r="AL780" t="str">
            <v>340147</v>
          </cell>
          <cell r="BC780" t="str">
            <v>Cust-PP</v>
          </cell>
          <cell r="BD780" t="str">
            <v>1.9607843137254900</v>
          </cell>
          <cell r="BE780" t="str">
            <v>.0000000000000000</v>
          </cell>
          <cell r="BF780" t="str">
            <v>.0000000000000000</v>
          </cell>
          <cell r="BG780" t="str">
            <v>None</v>
          </cell>
          <cell r="BK780" t="str">
            <v>2025-05-12 00:00:00</v>
          </cell>
          <cell r="BL780" t="str">
            <v>Airport EG-837</v>
          </cell>
          <cell r="BM780" t="str">
            <v>No</v>
          </cell>
          <cell r="BN780" t="str">
            <v>No</v>
          </cell>
          <cell r="BO780" t="str">
            <v>CPay-000000005</v>
          </cell>
        </row>
        <row r="781">
          <cell r="B781" t="str">
            <v>340148</v>
          </cell>
          <cell r="C781" t="str">
            <v>83.0000000000000000</v>
          </cell>
          <cell r="E781" t="str">
            <v>Cust</v>
          </cell>
          <cell r="G781" t="str">
            <v>No</v>
          </cell>
          <cell r="H781" t="str">
            <v>1900-01-01 00:00:00</v>
          </cell>
          <cell r="K781" t="str">
            <v>M-P</v>
          </cell>
          <cell r="L781" t="str">
            <v>199.500000</v>
          </cell>
          <cell r="AL781" t="str">
            <v>340148</v>
          </cell>
          <cell r="BC781" t="str">
            <v>Cust-PP</v>
          </cell>
          <cell r="BD781" t="str">
            <v>1.9607843137254900</v>
          </cell>
          <cell r="BE781" t="str">
            <v>.0000000000000000</v>
          </cell>
          <cell r="BF781" t="str">
            <v>.0000000000000000</v>
          </cell>
          <cell r="BG781" t="str">
            <v>None</v>
          </cell>
          <cell r="BK781" t="str">
            <v>2025-05-12 00:00:00</v>
          </cell>
          <cell r="BL781" t="str">
            <v>Airport EG-838</v>
          </cell>
          <cell r="BM781" t="str">
            <v>No</v>
          </cell>
          <cell r="BN781" t="str">
            <v>No</v>
          </cell>
          <cell r="BO781" t="str">
            <v>CPay-000000005</v>
          </cell>
        </row>
        <row r="782">
          <cell r="B782" t="str">
            <v>340169</v>
          </cell>
          <cell r="C782" t="str">
            <v>84.0000000000000000</v>
          </cell>
          <cell r="E782" t="str">
            <v>Cust</v>
          </cell>
          <cell r="G782" t="str">
            <v>No</v>
          </cell>
          <cell r="H782" t="str">
            <v>1900-01-01 00:00:00</v>
          </cell>
          <cell r="K782" t="str">
            <v>M-P</v>
          </cell>
          <cell r="L782" t="str">
            <v>1653.000000</v>
          </cell>
          <cell r="AL782" t="str">
            <v>340169</v>
          </cell>
          <cell r="BC782" t="str">
            <v>Cust-PP</v>
          </cell>
          <cell r="BD782" t="str">
            <v>1.9607843137254900</v>
          </cell>
          <cell r="BE782" t="str">
            <v>.0000000000000000</v>
          </cell>
          <cell r="BF782" t="str">
            <v>.0000000000000000</v>
          </cell>
          <cell r="BG782" t="str">
            <v>None</v>
          </cell>
          <cell r="BK782" t="str">
            <v>2025-05-12 00:00:00</v>
          </cell>
          <cell r="BL782" t="str">
            <v>Airport EG-835</v>
          </cell>
          <cell r="BM782" t="str">
            <v>No</v>
          </cell>
          <cell r="BN782" t="str">
            <v>No</v>
          </cell>
          <cell r="BO782" t="str">
            <v>CPay-000000005</v>
          </cell>
        </row>
        <row r="783">
          <cell r="B783" t="str">
            <v>340170</v>
          </cell>
          <cell r="C783" t="str">
            <v>85.0000000000000000</v>
          </cell>
          <cell r="E783" t="str">
            <v>Cust</v>
          </cell>
          <cell r="G783" t="str">
            <v>No</v>
          </cell>
          <cell r="H783" t="str">
            <v>1900-01-01 00:00:00</v>
          </cell>
          <cell r="K783" t="str">
            <v>M-P</v>
          </cell>
          <cell r="L783" t="str">
            <v>301.640000</v>
          </cell>
          <cell r="AL783" t="str">
            <v>340170</v>
          </cell>
          <cell r="BC783" t="str">
            <v>Cust-PP</v>
          </cell>
          <cell r="BD783" t="str">
            <v>1.9607843137254900</v>
          </cell>
          <cell r="BE783" t="str">
            <v>.0000000000000000</v>
          </cell>
          <cell r="BF783" t="str">
            <v>.0000000000000000</v>
          </cell>
          <cell r="BG783" t="str">
            <v>None</v>
          </cell>
          <cell r="BK783" t="str">
            <v>2025-05-12 00:00:00</v>
          </cell>
          <cell r="BL783" t="str">
            <v>Airport EG-836</v>
          </cell>
          <cell r="BM783" t="str">
            <v>No</v>
          </cell>
          <cell r="BN783" t="str">
            <v>No</v>
          </cell>
          <cell r="BO783" t="str">
            <v>CPay-000000005</v>
          </cell>
        </row>
        <row r="784">
          <cell r="B784" t="str">
            <v>340009</v>
          </cell>
          <cell r="C784" t="str">
            <v>86.0000000000000000</v>
          </cell>
          <cell r="E784" t="str">
            <v>Cust</v>
          </cell>
          <cell r="G784" t="str">
            <v>No</v>
          </cell>
          <cell r="H784" t="str">
            <v>1900-01-01 00:00:00</v>
          </cell>
          <cell r="K784" t="str">
            <v>M-P</v>
          </cell>
          <cell r="L784" t="str">
            <v>1653.000000</v>
          </cell>
          <cell r="AL784" t="str">
            <v>340009</v>
          </cell>
          <cell r="BC784" t="str">
            <v>Cust-PP</v>
          </cell>
          <cell r="BD784" t="str">
            <v>1.9607843137254900</v>
          </cell>
          <cell r="BE784" t="str">
            <v>.0000000000000000</v>
          </cell>
          <cell r="BF784" t="str">
            <v>.0000000000000000</v>
          </cell>
          <cell r="BG784" t="str">
            <v>None</v>
          </cell>
          <cell r="BK784" t="str">
            <v>2025-05-13 00:00:00</v>
          </cell>
          <cell r="BL784" t="str">
            <v>Airport EG-858</v>
          </cell>
          <cell r="BM784" t="str">
            <v>No</v>
          </cell>
          <cell r="BN784" t="str">
            <v>No</v>
          </cell>
          <cell r="BO784" t="str">
            <v>CPay-000000005</v>
          </cell>
        </row>
        <row r="785">
          <cell r="B785" t="str">
            <v>340010</v>
          </cell>
          <cell r="C785" t="str">
            <v>87.0000000000000000</v>
          </cell>
          <cell r="E785" t="str">
            <v>Cust</v>
          </cell>
          <cell r="G785" t="str">
            <v>No</v>
          </cell>
          <cell r="H785" t="str">
            <v>1900-01-01 00:00:00</v>
          </cell>
          <cell r="K785" t="str">
            <v>M-P</v>
          </cell>
          <cell r="L785" t="str">
            <v>296.400000</v>
          </cell>
          <cell r="AL785" t="str">
            <v>340010</v>
          </cell>
          <cell r="BC785" t="str">
            <v>Cust-PP</v>
          </cell>
          <cell r="BD785" t="str">
            <v>1.9607843137254900</v>
          </cell>
          <cell r="BE785" t="str">
            <v>.0000000000000000</v>
          </cell>
          <cell r="BF785" t="str">
            <v>.0000000000000000</v>
          </cell>
          <cell r="BG785" t="str">
            <v>None</v>
          </cell>
          <cell r="BK785" t="str">
            <v>2025-05-13 00:00:00</v>
          </cell>
          <cell r="BL785" t="str">
            <v>Airport EG-859</v>
          </cell>
          <cell r="BM785" t="str">
            <v>No</v>
          </cell>
          <cell r="BN785" t="str">
            <v>No</v>
          </cell>
          <cell r="BO785" t="str">
            <v>CPay-000000005</v>
          </cell>
        </row>
        <row r="786">
          <cell r="B786" t="str">
            <v>340017</v>
          </cell>
          <cell r="C786" t="str">
            <v>88.0000000000000000</v>
          </cell>
          <cell r="E786" t="str">
            <v>Cust</v>
          </cell>
          <cell r="G786" t="str">
            <v>No</v>
          </cell>
          <cell r="H786" t="str">
            <v>1900-01-01 00:00:00</v>
          </cell>
          <cell r="K786" t="str">
            <v>M-P</v>
          </cell>
          <cell r="L786" t="str">
            <v>1653.000000</v>
          </cell>
          <cell r="AL786" t="str">
            <v>340017</v>
          </cell>
          <cell r="BC786" t="str">
            <v>Cust-PP</v>
          </cell>
          <cell r="BD786" t="str">
            <v>1.9607843137254900</v>
          </cell>
          <cell r="BE786" t="str">
            <v>.0000000000000000</v>
          </cell>
          <cell r="BF786" t="str">
            <v>.0000000000000000</v>
          </cell>
          <cell r="BG786" t="str">
            <v>None</v>
          </cell>
          <cell r="BK786" t="str">
            <v>2025-05-13 00:00:00</v>
          </cell>
          <cell r="BL786" t="str">
            <v>Airport EG-856</v>
          </cell>
          <cell r="BM786" t="str">
            <v>No</v>
          </cell>
          <cell r="BN786" t="str">
            <v>No</v>
          </cell>
          <cell r="BO786" t="str">
            <v>CPay-000000005</v>
          </cell>
        </row>
        <row r="787">
          <cell r="B787" t="str">
            <v>340018</v>
          </cell>
          <cell r="C787" t="str">
            <v>89.0000000000000000</v>
          </cell>
          <cell r="E787" t="str">
            <v>Cust</v>
          </cell>
          <cell r="G787" t="str">
            <v>No</v>
          </cell>
          <cell r="H787" t="str">
            <v>1900-01-01 00:00:00</v>
          </cell>
          <cell r="K787" t="str">
            <v>M-P</v>
          </cell>
          <cell r="L787" t="str">
            <v>306.890000</v>
          </cell>
          <cell r="AL787" t="str">
            <v>340018</v>
          </cell>
          <cell r="BC787" t="str">
            <v>Cust-PP</v>
          </cell>
          <cell r="BD787" t="str">
            <v>1.9607843137254900</v>
          </cell>
          <cell r="BE787" t="str">
            <v>.0000000000000000</v>
          </cell>
          <cell r="BF787" t="str">
            <v>.0000000000000000</v>
          </cell>
          <cell r="BG787" t="str">
            <v>None</v>
          </cell>
          <cell r="BK787" t="str">
            <v>2025-05-13 00:00:00</v>
          </cell>
          <cell r="BL787" t="str">
            <v>Airport EG-857</v>
          </cell>
          <cell r="BM787" t="str">
            <v>No</v>
          </cell>
          <cell r="BN787" t="str">
            <v>No</v>
          </cell>
          <cell r="BO787" t="str">
            <v>CPay-000000005</v>
          </cell>
        </row>
        <row r="788">
          <cell r="B788" t="str">
            <v>339866</v>
          </cell>
          <cell r="C788" t="str">
            <v>90.0000000000000000</v>
          </cell>
          <cell r="E788" t="str">
            <v>Cust</v>
          </cell>
          <cell r="G788" t="str">
            <v>No</v>
          </cell>
          <cell r="H788" t="str">
            <v>1900-01-01 00:00:00</v>
          </cell>
          <cell r="K788" t="str">
            <v>M-P</v>
          </cell>
          <cell r="L788" t="str">
            <v>2052.000000</v>
          </cell>
          <cell r="AL788" t="str">
            <v>339866</v>
          </cell>
          <cell r="BC788" t="str">
            <v>Cust-PP</v>
          </cell>
          <cell r="BD788" t="str">
            <v>1.9607843137254900</v>
          </cell>
          <cell r="BE788" t="str">
            <v>.0000000000000000</v>
          </cell>
          <cell r="BF788" t="str">
            <v>.0000000000000000</v>
          </cell>
          <cell r="BG788" t="str">
            <v>None</v>
          </cell>
          <cell r="BK788" t="str">
            <v>2025-05-14 00:00:00</v>
          </cell>
          <cell r="BL788" t="str">
            <v>Airport EG-868</v>
          </cell>
          <cell r="BM788" t="str">
            <v>No</v>
          </cell>
          <cell r="BN788" t="str">
            <v>No</v>
          </cell>
          <cell r="BO788" t="str">
            <v>CPay-000000005</v>
          </cell>
        </row>
        <row r="789">
          <cell r="B789" t="str">
            <v>339867</v>
          </cell>
          <cell r="C789" t="str">
            <v>91.0000000000000000</v>
          </cell>
          <cell r="E789" t="str">
            <v>Cust</v>
          </cell>
          <cell r="G789" t="str">
            <v>No</v>
          </cell>
          <cell r="H789" t="str">
            <v>1900-01-01 00:00:00</v>
          </cell>
          <cell r="K789" t="str">
            <v>M-P</v>
          </cell>
          <cell r="L789" t="str">
            <v>1254.000000</v>
          </cell>
          <cell r="AL789" t="str">
            <v>339867</v>
          </cell>
          <cell r="BC789" t="str">
            <v>Cust-PP</v>
          </cell>
          <cell r="BD789" t="str">
            <v>1.9607843137254900</v>
          </cell>
          <cell r="BE789" t="str">
            <v>.0000000000000000</v>
          </cell>
          <cell r="BF789" t="str">
            <v>.0000000000000000</v>
          </cell>
          <cell r="BG789" t="str">
            <v>None</v>
          </cell>
          <cell r="BK789" t="str">
            <v>2025-05-14 00:00:00</v>
          </cell>
          <cell r="BL789" t="str">
            <v>Airport EG-869</v>
          </cell>
          <cell r="BM789" t="str">
            <v>No</v>
          </cell>
          <cell r="BN789" t="str">
            <v>No</v>
          </cell>
          <cell r="BO789" t="str">
            <v>CPay-000000005</v>
          </cell>
        </row>
        <row r="790">
          <cell r="B790" t="str">
            <v>339868</v>
          </cell>
          <cell r="C790" t="str">
            <v>92.0000000000000000</v>
          </cell>
          <cell r="E790" t="str">
            <v>Cust</v>
          </cell>
          <cell r="G790" t="str">
            <v>No</v>
          </cell>
          <cell r="H790" t="str">
            <v>1900-01-01 00:00:00</v>
          </cell>
          <cell r="K790" t="str">
            <v>M-P</v>
          </cell>
          <cell r="L790" t="str">
            <v>2052.000000</v>
          </cell>
          <cell r="AL790" t="str">
            <v>339868</v>
          </cell>
          <cell r="BC790" t="str">
            <v>Cust-PP</v>
          </cell>
          <cell r="BD790" t="str">
            <v>1.9607843137254900</v>
          </cell>
          <cell r="BE790" t="str">
            <v>.0000000000000000</v>
          </cell>
          <cell r="BF790" t="str">
            <v>.0000000000000000</v>
          </cell>
          <cell r="BG790" t="str">
            <v>None</v>
          </cell>
          <cell r="BK790" t="str">
            <v>2025-05-14 00:00:00</v>
          </cell>
          <cell r="BL790" t="str">
            <v>Airport EG-870</v>
          </cell>
          <cell r="BM790" t="str">
            <v>No</v>
          </cell>
          <cell r="BN790" t="str">
            <v>No</v>
          </cell>
          <cell r="BO790" t="str">
            <v>CPay-000000005</v>
          </cell>
        </row>
        <row r="791">
          <cell r="B791" t="str">
            <v>339869</v>
          </cell>
          <cell r="C791" t="str">
            <v>93.0000000000000000</v>
          </cell>
          <cell r="E791" t="str">
            <v>Cust</v>
          </cell>
          <cell r="G791" t="str">
            <v>No</v>
          </cell>
          <cell r="H791" t="str">
            <v>1900-01-01 00:00:00</v>
          </cell>
          <cell r="K791" t="str">
            <v>M-P</v>
          </cell>
          <cell r="L791" t="str">
            <v>285.000000</v>
          </cell>
          <cell r="AL791" t="str">
            <v>339869</v>
          </cell>
          <cell r="BC791" t="str">
            <v>Cust-PP</v>
          </cell>
          <cell r="BD791" t="str">
            <v>1.9607843137254900</v>
          </cell>
          <cell r="BE791" t="str">
            <v>.0000000000000000</v>
          </cell>
          <cell r="BF791" t="str">
            <v>.0000000000000000</v>
          </cell>
          <cell r="BG791" t="str">
            <v>None</v>
          </cell>
          <cell r="BK791" t="str">
            <v>2025-05-14 00:00:00</v>
          </cell>
          <cell r="BL791" t="str">
            <v>Airport EG-871</v>
          </cell>
          <cell r="BM791" t="str">
            <v>No</v>
          </cell>
          <cell r="BN791" t="str">
            <v>No</v>
          </cell>
          <cell r="BO791" t="str">
            <v>CPay-000000005</v>
          </cell>
        </row>
        <row r="792">
          <cell r="B792" t="str">
            <v>339876</v>
          </cell>
          <cell r="C792" t="str">
            <v>94.0000000000000000</v>
          </cell>
          <cell r="E792" t="str">
            <v>Cust</v>
          </cell>
          <cell r="G792" t="str">
            <v>No</v>
          </cell>
          <cell r="H792" t="str">
            <v>1900-01-01 00:00:00</v>
          </cell>
          <cell r="K792" t="str">
            <v>M-P</v>
          </cell>
          <cell r="L792" t="str">
            <v>1653.000000</v>
          </cell>
          <cell r="AL792" t="str">
            <v>339876</v>
          </cell>
          <cell r="BC792" t="str">
            <v>Cust-PP</v>
          </cell>
          <cell r="BD792" t="str">
            <v>1.9607843137254900</v>
          </cell>
          <cell r="BE792" t="str">
            <v>.0000000000000000</v>
          </cell>
          <cell r="BF792" t="str">
            <v>.0000000000000000</v>
          </cell>
          <cell r="BG792" t="str">
            <v>None</v>
          </cell>
          <cell r="BK792" t="str">
            <v>2025-05-14 00:00:00</v>
          </cell>
          <cell r="BL792" t="str">
            <v>Airport EG-864</v>
          </cell>
          <cell r="BM792" t="str">
            <v>No</v>
          </cell>
          <cell r="BN792" t="str">
            <v>No</v>
          </cell>
          <cell r="BO792" t="str">
            <v>CPay-000000005</v>
          </cell>
        </row>
        <row r="793">
          <cell r="B793" t="str">
            <v>339877</v>
          </cell>
          <cell r="C793" t="str">
            <v>95.0000000000000000</v>
          </cell>
          <cell r="E793" t="str">
            <v>Cust</v>
          </cell>
          <cell r="G793" t="str">
            <v>No</v>
          </cell>
          <cell r="H793" t="str">
            <v>1900-01-01 00:00:00</v>
          </cell>
          <cell r="K793" t="str">
            <v>M-P</v>
          </cell>
          <cell r="L793" t="str">
            <v>3990.000000</v>
          </cell>
          <cell r="AL793" t="str">
            <v>339877</v>
          </cell>
          <cell r="BC793" t="str">
            <v>Cust-PP</v>
          </cell>
          <cell r="BD793" t="str">
            <v>1.9607843137254900</v>
          </cell>
          <cell r="BE793" t="str">
            <v>.0000000000000000</v>
          </cell>
          <cell r="BF793" t="str">
            <v>.0000000000000000</v>
          </cell>
          <cell r="BG793" t="str">
            <v>None</v>
          </cell>
          <cell r="BK793" t="str">
            <v>2025-05-14 00:00:00</v>
          </cell>
          <cell r="BL793" t="str">
            <v>Airport EG-865</v>
          </cell>
          <cell r="BM793" t="str">
            <v>No</v>
          </cell>
          <cell r="BN793" t="str">
            <v>No</v>
          </cell>
          <cell r="BO793" t="str">
            <v>CPay-000000005</v>
          </cell>
        </row>
        <row r="794">
          <cell r="B794" t="str">
            <v>339881</v>
          </cell>
          <cell r="C794" t="str">
            <v>96.0000000000000000</v>
          </cell>
          <cell r="E794" t="str">
            <v>Cust</v>
          </cell>
          <cell r="G794" t="str">
            <v>No</v>
          </cell>
          <cell r="H794" t="str">
            <v>1900-01-01 00:00:00</v>
          </cell>
          <cell r="K794" t="str">
            <v>M-P</v>
          </cell>
          <cell r="L794" t="str">
            <v>2052.000000</v>
          </cell>
          <cell r="AL794" t="str">
            <v>339881</v>
          </cell>
          <cell r="BC794" t="str">
            <v>Cust-PP</v>
          </cell>
          <cell r="BD794" t="str">
            <v>1.9607843137254900</v>
          </cell>
          <cell r="BE794" t="str">
            <v>.0000000000000000</v>
          </cell>
          <cell r="BF794" t="str">
            <v>.0000000000000000</v>
          </cell>
          <cell r="BG794" t="str">
            <v>None</v>
          </cell>
          <cell r="BK794" t="str">
            <v>2025-05-14 00:00:00</v>
          </cell>
          <cell r="BL794" t="str">
            <v>Airport EG-866</v>
          </cell>
          <cell r="BM794" t="str">
            <v>No</v>
          </cell>
          <cell r="BN794" t="str">
            <v>No</v>
          </cell>
          <cell r="BO794" t="str">
            <v>CPay-000000005</v>
          </cell>
        </row>
        <row r="795">
          <cell r="B795" t="str">
            <v>339882</v>
          </cell>
          <cell r="C795" t="str">
            <v>97.0000000000000000</v>
          </cell>
          <cell r="E795" t="str">
            <v>Cust</v>
          </cell>
          <cell r="G795" t="str">
            <v>No</v>
          </cell>
          <cell r="H795" t="str">
            <v>1900-01-01 00:00:00</v>
          </cell>
          <cell r="K795" t="str">
            <v>M-P</v>
          </cell>
          <cell r="L795" t="str">
            <v>296.400000</v>
          </cell>
          <cell r="AL795" t="str">
            <v>339882</v>
          </cell>
          <cell r="BC795" t="str">
            <v>Cust-PP</v>
          </cell>
          <cell r="BD795" t="str">
            <v>1.9607843137254900</v>
          </cell>
          <cell r="BE795" t="str">
            <v>.0000000000000000</v>
          </cell>
          <cell r="BF795" t="str">
            <v>.0000000000000000</v>
          </cell>
          <cell r="BG795" t="str">
            <v>None</v>
          </cell>
          <cell r="BK795" t="str">
            <v>2025-05-14 00:00:00</v>
          </cell>
          <cell r="BL795" t="str">
            <v>Airport EG-867</v>
          </cell>
          <cell r="BM795" t="str">
            <v>No</v>
          </cell>
          <cell r="BN795" t="str">
            <v>No</v>
          </cell>
          <cell r="BO795" t="str">
            <v>CPay-000000005</v>
          </cell>
        </row>
        <row r="796">
          <cell r="B796" t="str">
            <v>339946</v>
          </cell>
          <cell r="C796" t="str">
            <v>98.0000000000000000</v>
          </cell>
          <cell r="E796" t="str">
            <v>Cust</v>
          </cell>
          <cell r="G796" t="str">
            <v>No</v>
          </cell>
          <cell r="H796" t="str">
            <v>1900-01-01 00:00:00</v>
          </cell>
          <cell r="K796" t="str">
            <v>M-P</v>
          </cell>
          <cell r="L796" t="str">
            <v>1653.000000</v>
          </cell>
          <cell r="AL796" t="str">
            <v>339946</v>
          </cell>
          <cell r="BC796" t="str">
            <v>Cust-PP</v>
          </cell>
          <cell r="BD796" t="str">
            <v>1.9607843137254900</v>
          </cell>
          <cell r="BE796" t="str">
            <v>.0000000000000000</v>
          </cell>
          <cell r="BF796" t="str">
            <v>.0000000000000000</v>
          </cell>
          <cell r="BG796" t="str">
            <v>None</v>
          </cell>
          <cell r="BK796" t="str">
            <v>2025-05-14 00:00:00</v>
          </cell>
          <cell r="BL796" t="str">
            <v>Airport EG-862</v>
          </cell>
          <cell r="BM796" t="str">
            <v>No</v>
          </cell>
          <cell r="BN796" t="str">
            <v>No</v>
          </cell>
          <cell r="BO796" t="str">
            <v>CPay-000000005</v>
          </cell>
        </row>
        <row r="797">
          <cell r="B797" t="str">
            <v>339947</v>
          </cell>
          <cell r="C797" t="str">
            <v>99.0000000000000000</v>
          </cell>
          <cell r="E797" t="str">
            <v>Cust</v>
          </cell>
          <cell r="G797" t="str">
            <v>No</v>
          </cell>
          <cell r="H797" t="str">
            <v>1900-01-01 00:00:00</v>
          </cell>
          <cell r="K797" t="str">
            <v>M-P</v>
          </cell>
          <cell r="L797" t="str">
            <v>296.400000</v>
          </cell>
          <cell r="AL797" t="str">
            <v>339947</v>
          </cell>
          <cell r="BC797" t="str">
            <v>Cust-PP</v>
          </cell>
          <cell r="BD797" t="str">
            <v>1.9607843137254900</v>
          </cell>
          <cell r="BE797" t="str">
            <v>.0000000000000000</v>
          </cell>
          <cell r="BF797" t="str">
            <v>.0000000000000000</v>
          </cell>
          <cell r="BG797" t="str">
            <v>None</v>
          </cell>
          <cell r="BK797" t="str">
            <v>2025-05-14 00:00:00</v>
          </cell>
          <cell r="BL797" t="str">
            <v>Airport EG-863</v>
          </cell>
          <cell r="BM797" t="str">
            <v>No</v>
          </cell>
          <cell r="BN797" t="str">
            <v>No</v>
          </cell>
          <cell r="BO797" t="str">
            <v>CPay-000000005</v>
          </cell>
        </row>
        <row r="798">
          <cell r="B798" t="str">
            <v>316876</v>
          </cell>
          <cell r="C798" t="str">
            <v>100.0000000000000000</v>
          </cell>
          <cell r="E798" t="str">
            <v>Cust</v>
          </cell>
          <cell r="G798" t="str">
            <v>No</v>
          </cell>
          <cell r="H798" t="str">
            <v>1900-01-01 00:00:00</v>
          </cell>
          <cell r="K798" t="str">
            <v>M-P</v>
          </cell>
          <cell r="L798" t="str">
            <v>2052.000000</v>
          </cell>
          <cell r="AL798" t="str">
            <v>316876</v>
          </cell>
          <cell r="BC798" t="str">
            <v>Cust-PP</v>
          </cell>
          <cell r="BD798" t="str">
            <v>1.9607843137254900</v>
          </cell>
          <cell r="BE798" t="str">
            <v>.0000000000000000</v>
          </cell>
          <cell r="BF798" t="str">
            <v>.0000000000000000</v>
          </cell>
          <cell r="BG798" t="str">
            <v>None</v>
          </cell>
          <cell r="BK798" t="str">
            <v>2025-05-15 00:00:00</v>
          </cell>
          <cell r="BL798" t="str">
            <v>Airport EG-881</v>
          </cell>
          <cell r="BM798" t="str">
            <v>No</v>
          </cell>
          <cell r="BN798" t="str">
            <v>No</v>
          </cell>
          <cell r="BO798" t="str">
            <v>CPay-000000005</v>
          </cell>
        </row>
        <row r="799">
          <cell r="B799" t="str">
            <v>316877</v>
          </cell>
          <cell r="C799" t="str">
            <v>101.0000000000000000</v>
          </cell>
          <cell r="E799" t="str">
            <v>Cust</v>
          </cell>
          <cell r="G799" t="str">
            <v>No</v>
          </cell>
          <cell r="H799" t="str">
            <v>1900-01-01 00:00:00</v>
          </cell>
          <cell r="K799" t="str">
            <v>M-P</v>
          </cell>
          <cell r="L799" t="str">
            <v>901.740000</v>
          </cell>
          <cell r="AL799" t="str">
            <v>316877</v>
          </cell>
          <cell r="BC799" t="str">
            <v>Cust-PP</v>
          </cell>
          <cell r="BD799" t="str">
            <v>1.9607843137254900</v>
          </cell>
          <cell r="BE799" t="str">
            <v>.0000000000000000</v>
          </cell>
          <cell r="BF799" t="str">
            <v>.0000000000000000</v>
          </cell>
          <cell r="BG799" t="str">
            <v>None</v>
          </cell>
          <cell r="BK799" t="str">
            <v>2025-05-15 00:00:00</v>
          </cell>
          <cell r="BL799" t="str">
            <v>Airport EG-882</v>
          </cell>
          <cell r="BM799" t="str">
            <v>No</v>
          </cell>
          <cell r="BN799" t="str">
            <v>No</v>
          </cell>
          <cell r="BO799" t="str">
            <v>CPay-000000005</v>
          </cell>
        </row>
        <row r="800">
          <cell r="B800" t="str">
            <v>316916</v>
          </cell>
          <cell r="C800" t="str">
            <v>102.0000000000000000</v>
          </cell>
          <cell r="E800" t="str">
            <v>Cust</v>
          </cell>
          <cell r="G800" t="str">
            <v>No</v>
          </cell>
          <cell r="H800" t="str">
            <v>1900-01-01 00:00:00</v>
          </cell>
          <cell r="K800" t="str">
            <v>M-P</v>
          </cell>
          <cell r="L800" t="str">
            <v>1653.000000</v>
          </cell>
          <cell r="AL800" t="str">
            <v>316916</v>
          </cell>
          <cell r="BC800" t="str">
            <v>Cust-PP</v>
          </cell>
          <cell r="BD800" t="str">
            <v>1.9607843137254900</v>
          </cell>
          <cell r="BE800" t="str">
            <v>.0000000000000000</v>
          </cell>
          <cell r="BF800" t="str">
            <v>.0000000000000000</v>
          </cell>
          <cell r="BG800" t="str">
            <v>None</v>
          </cell>
          <cell r="BK800" t="str">
            <v>2025-05-15 00:00:00</v>
          </cell>
          <cell r="BL800" t="str">
            <v>Airport EG-879</v>
          </cell>
          <cell r="BM800" t="str">
            <v>No</v>
          </cell>
          <cell r="BN800" t="str">
            <v>No</v>
          </cell>
          <cell r="BO800" t="str">
            <v>CPay-000000005</v>
          </cell>
        </row>
        <row r="801">
          <cell r="B801" t="str">
            <v>316918</v>
          </cell>
          <cell r="C801" t="str">
            <v>103.0000000000000000</v>
          </cell>
          <cell r="E801" t="str">
            <v>Cust</v>
          </cell>
          <cell r="G801" t="str">
            <v>No</v>
          </cell>
          <cell r="H801" t="str">
            <v>1900-01-01 00:00:00</v>
          </cell>
          <cell r="K801" t="str">
            <v>M-P</v>
          </cell>
          <cell r="L801" t="str">
            <v>954.180000</v>
          </cell>
          <cell r="AL801" t="str">
            <v>316918</v>
          </cell>
          <cell r="BC801" t="str">
            <v>Cust-PP</v>
          </cell>
          <cell r="BD801" t="str">
            <v>1.9607843137254900</v>
          </cell>
          <cell r="BE801" t="str">
            <v>.0000000000000000</v>
          </cell>
          <cell r="BF801" t="str">
            <v>.0000000000000000</v>
          </cell>
          <cell r="BG801" t="str">
            <v>None</v>
          </cell>
          <cell r="BK801" t="str">
            <v>2025-05-15 00:00:00</v>
          </cell>
          <cell r="BL801" t="str">
            <v>Airport EG-880</v>
          </cell>
          <cell r="BM801" t="str">
            <v>No</v>
          </cell>
          <cell r="BN801" t="str">
            <v>No</v>
          </cell>
          <cell r="BO801" t="str">
            <v>CPay-000000005</v>
          </cell>
        </row>
        <row r="802">
          <cell r="B802" t="str">
            <v>316996</v>
          </cell>
          <cell r="C802" t="str">
            <v>104.0000000000000000</v>
          </cell>
          <cell r="E802" t="str">
            <v>Cust</v>
          </cell>
          <cell r="G802" t="str">
            <v>No</v>
          </cell>
          <cell r="H802" t="str">
            <v>1900-01-01 00:00:00</v>
          </cell>
          <cell r="K802" t="str">
            <v>M-P</v>
          </cell>
          <cell r="L802" t="str">
            <v>4269.300000</v>
          </cell>
          <cell r="AL802" t="str">
            <v>316996</v>
          </cell>
          <cell r="BC802" t="str">
            <v>Cust-PP</v>
          </cell>
          <cell r="BD802" t="str">
            <v>1.9607843137254900</v>
          </cell>
          <cell r="BE802" t="str">
            <v>.0000000000000000</v>
          </cell>
          <cell r="BF802" t="str">
            <v>.0000000000000000</v>
          </cell>
          <cell r="BG802" t="str">
            <v>None</v>
          </cell>
          <cell r="BK802" t="str">
            <v>2025-05-15 00:00:00</v>
          </cell>
          <cell r="BL802" t="str">
            <v>Airport EG-878</v>
          </cell>
          <cell r="BM802" t="str">
            <v>No</v>
          </cell>
          <cell r="BN802" t="str">
            <v>No</v>
          </cell>
          <cell r="BO802" t="str">
            <v>CPay-000000005</v>
          </cell>
        </row>
        <row r="803">
          <cell r="B803" t="str">
            <v>317000</v>
          </cell>
          <cell r="C803" t="str">
            <v>105.0000000000000000</v>
          </cell>
          <cell r="E803" t="str">
            <v>Cust</v>
          </cell>
          <cell r="G803" t="str">
            <v>No</v>
          </cell>
          <cell r="H803" t="str">
            <v>1900-01-01 00:00:00</v>
          </cell>
          <cell r="K803" t="str">
            <v>M-P</v>
          </cell>
          <cell r="L803" t="str">
            <v>1653.000000</v>
          </cell>
          <cell r="AL803" t="str">
            <v>317000</v>
          </cell>
          <cell r="BC803" t="str">
            <v>Cust-PP</v>
          </cell>
          <cell r="BD803" t="str">
            <v>1.9607843137254900</v>
          </cell>
          <cell r="BE803" t="str">
            <v>.0000000000000000</v>
          </cell>
          <cell r="BF803" t="str">
            <v>.0000000000000000</v>
          </cell>
          <cell r="BG803" t="str">
            <v>None</v>
          </cell>
          <cell r="BK803" t="str">
            <v>2025-05-15 00:00:00</v>
          </cell>
          <cell r="BL803" t="str">
            <v>Airport EG-875</v>
          </cell>
          <cell r="BM803" t="str">
            <v>No</v>
          </cell>
          <cell r="BN803" t="str">
            <v>No</v>
          </cell>
          <cell r="BO803" t="str">
            <v>CPay-000000005</v>
          </cell>
        </row>
        <row r="804">
          <cell r="B804" t="str">
            <v>317001</v>
          </cell>
          <cell r="C804" t="str">
            <v>106.0000000000000000</v>
          </cell>
          <cell r="E804" t="str">
            <v>Cust</v>
          </cell>
          <cell r="G804" t="str">
            <v>No</v>
          </cell>
          <cell r="H804" t="str">
            <v>1900-01-01 00:00:00</v>
          </cell>
          <cell r="K804" t="str">
            <v>M-P</v>
          </cell>
          <cell r="L804" t="str">
            <v>4251.060000</v>
          </cell>
          <cell r="AL804" t="str">
            <v>317001</v>
          </cell>
          <cell r="BC804" t="str">
            <v>Cust-PP</v>
          </cell>
          <cell r="BD804" t="str">
            <v>1.9607843137254900</v>
          </cell>
          <cell r="BE804" t="str">
            <v>.0000000000000000</v>
          </cell>
          <cell r="BF804" t="str">
            <v>.0000000000000000</v>
          </cell>
          <cell r="BG804" t="str">
            <v>None</v>
          </cell>
          <cell r="BK804" t="str">
            <v>2025-05-15 00:00:00</v>
          </cell>
          <cell r="BL804" t="str">
            <v>Airport EG-876</v>
          </cell>
          <cell r="BM804" t="str">
            <v>No</v>
          </cell>
          <cell r="BN804" t="str">
            <v>No</v>
          </cell>
          <cell r="BO804" t="str">
            <v>CPay-000000005</v>
          </cell>
        </row>
        <row r="805">
          <cell r="B805" t="str">
            <v>317002</v>
          </cell>
          <cell r="C805" t="str">
            <v>107.0000000000000000</v>
          </cell>
          <cell r="E805" t="str">
            <v>Cust</v>
          </cell>
          <cell r="G805" t="str">
            <v>No</v>
          </cell>
          <cell r="H805" t="str">
            <v>1900-01-01 00:00:00</v>
          </cell>
          <cell r="K805" t="str">
            <v>M-P</v>
          </cell>
          <cell r="L805" t="str">
            <v>1653.000000</v>
          </cell>
          <cell r="AL805" t="str">
            <v>317002</v>
          </cell>
          <cell r="BC805" t="str">
            <v>Cust-PP</v>
          </cell>
          <cell r="BD805" t="str">
            <v>1.9607843137254900</v>
          </cell>
          <cell r="BE805" t="str">
            <v>.0000000000000000</v>
          </cell>
          <cell r="BF805" t="str">
            <v>.0000000000000000</v>
          </cell>
          <cell r="BG805" t="str">
            <v>None</v>
          </cell>
          <cell r="BK805" t="str">
            <v>2025-05-15 00:00:00</v>
          </cell>
          <cell r="BL805" t="str">
            <v>Airport EG-877</v>
          </cell>
          <cell r="BM805" t="str">
            <v>No</v>
          </cell>
          <cell r="BN805" t="str">
            <v>No</v>
          </cell>
          <cell r="BO805" t="str">
            <v>CPay-000000005</v>
          </cell>
        </row>
        <row r="806">
          <cell r="B806" t="str">
            <v>339839</v>
          </cell>
          <cell r="C806" t="str">
            <v>108.0000000000000000</v>
          </cell>
          <cell r="E806" t="str">
            <v>Cust</v>
          </cell>
          <cell r="G806" t="str">
            <v>No</v>
          </cell>
          <cell r="H806" t="str">
            <v>1900-01-01 00:00:00</v>
          </cell>
          <cell r="K806" t="str">
            <v>M-P</v>
          </cell>
          <cell r="L806" t="str">
            <v>1653.000000</v>
          </cell>
          <cell r="AL806" t="str">
            <v>339839</v>
          </cell>
          <cell r="BC806" t="str">
            <v>Cust-PP</v>
          </cell>
          <cell r="BD806" t="str">
            <v>1.9607843137254900</v>
          </cell>
          <cell r="BE806" t="str">
            <v>.0000000000000000</v>
          </cell>
          <cell r="BF806" t="str">
            <v>.0000000000000000</v>
          </cell>
          <cell r="BG806" t="str">
            <v>None</v>
          </cell>
          <cell r="BK806" t="str">
            <v>2025-05-15 00:00:00</v>
          </cell>
          <cell r="BL806" t="str">
            <v>Airport EG-872</v>
          </cell>
          <cell r="BM806" t="str">
            <v>No</v>
          </cell>
          <cell r="BN806" t="str">
            <v>No</v>
          </cell>
          <cell r="BO806" t="str">
            <v>CPay-000000005</v>
          </cell>
        </row>
        <row r="807">
          <cell r="B807" t="str">
            <v>339840</v>
          </cell>
          <cell r="C807" t="str">
            <v>109.0000000000000000</v>
          </cell>
          <cell r="E807" t="str">
            <v>Cust</v>
          </cell>
          <cell r="G807" t="str">
            <v>No</v>
          </cell>
          <cell r="H807" t="str">
            <v>1900-01-01 00:00:00</v>
          </cell>
          <cell r="K807" t="str">
            <v>M-P</v>
          </cell>
          <cell r="L807" t="str">
            <v>949.620000</v>
          </cell>
          <cell r="AL807" t="str">
            <v>339840</v>
          </cell>
          <cell r="BC807" t="str">
            <v>Cust-PP</v>
          </cell>
          <cell r="BD807" t="str">
            <v>1.9607843137254900</v>
          </cell>
          <cell r="BE807" t="str">
            <v>.0000000000000000</v>
          </cell>
          <cell r="BF807" t="str">
            <v>.0000000000000000</v>
          </cell>
          <cell r="BG807" t="str">
            <v>None</v>
          </cell>
          <cell r="BK807" t="str">
            <v>2025-05-15 00:00:00</v>
          </cell>
          <cell r="BL807" t="str">
            <v>Airport EG-873</v>
          </cell>
          <cell r="BM807" t="str">
            <v>No</v>
          </cell>
          <cell r="BN807" t="str">
            <v>No</v>
          </cell>
          <cell r="BO807" t="str">
            <v>CPay-000000005</v>
          </cell>
        </row>
        <row r="808">
          <cell r="B808" t="str">
            <v>338932</v>
          </cell>
          <cell r="C808" t="str">
            <v>110.0000000000000000</v>
          </cell>
          <cell r="E808" t="str">
            <v>Cust</v>
          </cell>
          <cell r="G808" t="str">
            <v>No</v>
          </cell>
          <cell r="H808" t="str">
            <v>1900-01-01 00:00:00</v>
          </cell>
          <cell r="K808" t="str">
            <v>M-P</v>
          </cell>
          <cell r="L808" t="str">
            <v>1653.000000</v>
          </cell>
          <cell r="AL808" t="str">
            <v>338932</v>
          </cell>
          <cell r="BC808" t="str">
            <v>Cust-PP</v>
          </cell>
          <cell r="BD808" t="str">
            <v>1.9607843137254900</v>
          </cell>
          <cell r="BE808" t="str">
            <v>.0000000000000000</v>
          </cell>
          <cell r="BF808" t="str">
            <v>.0000000000000000</v>
          </cell>
          <cell r="BG808" t="str">
            <v>None</v>
          </cell>
          <cell r="BK808" t="str">
            <v>2025-05-18 00:00:00</v>
          </cell>
          <cell r="BL808" t="str">
            <v>Airport EG-905</v>
          </cell>
          <cell r="BM808" t="str">
            <v>No</v>
          </cell>
          <cell r="BN808" t="str">
            <v>No</v>
          </cell>
          <cell r="BO808" t="str">
            <v>CPay-000000005</v>
          </cell>
        </row>
        <row r="809">
          <cell r="B809" t="str">
            <v>338933</v>
          </cell>
          <cell r="C809" t="str">
            <v>111.0000000000000000</v>
          </cell>
          <cell r="E809" t="str">
            <v>Cust</v>
          </cell>
          <cell r="G809" t="str">
            <v>No</v>
          </cell>
          <cell r="H809" t="str">
            <v>1900-01-01 00:00:00</v>
          </cell>
          <cell r="K809" t="str">
            <v>M-P</v>
          </cell>
          <cell r="L809" t="str">
            <v>4256.530000</v>
          </cell>
          <cell r="AL809" t="str">
            <v>338933</v>
          </cell>
          <cell r="BC809" t="str">
            <v>Cust-PP</v>
          </cell>
          <cell r="BD809" t="str">
            <v>1.9607843137254900</v>
          </cell>
          <cell r="BE809" t="str">
            <v>.0000000000000000</v>
          </cell>
          <cell r="BF809" t="str">
            <v>.0000000000000000</v>
          </cell>
          <cell r="BG809" t="str">
            <v>None</v>
          </cell>
          <cell r="BK809" t="str">
            <v>2025-05-18 00:00:00</v>
          </cell>
          <cell r="BL809" t="str">
            <v>Airport EG-906</v>
          </cell>
          <cell r="BM809" t="str">
            <v>No</v>
          </cell>
          <cell r="BN809" t="str">
            <v>No</v>
          </cell>
          <cell r="BO809" t="str">
            <v>CPay-000000005</v>
          </cell>
        </row>
        <row r="810">
          <cell r="B810" t="str">
            <v>338934</v>
          </cell>
          <cell r="C810" t="str">
            <v>112.0000000000000000</v>
          </cell>
          <cell r="E810" t="str">
            <v>Cust</v>
          </cell>
          <cell r="G810" t="str">
            <v>No</v>
          </cell>
          <cell r="H810" t="str">
            <v>1900-01-01 00:00:00</v>
          </cell>
          <cell r="K810" t="str">
            <v>M-P</v>
          </cell>
          <cell r="L810" t="str">
            <v>1653.000000</v>
          </cell>
          <cell r="AL810" t="str">
            <v>338934</v>
          </cell>
          <cell r="BC810" t="str">
            <v>Cust-PP</v>
          </cell>
          <cell r="BD810" t="str">
            <v>1.9607843137254900</v>
          </cell>
          <cell r="BE810" t="str">
            <v>.0000000000000000</v>
          </cell>
          <cell r="BF810" t="str">
            <v>.0000000000000000</v>
          </cell>
          <cell r="BG810" t="str">
            <v>None</v>
          </cell>
          <cell r="BK810" t="str">
            <v>2025-05-18 00:00:00</v>
          </cell>
          <cell r="BL810" t="str">
            <v>Airport EG-907</v>
          </cell>
          <cell r="BM810" t="str">
            <v>No</v>
          </cell>
          <cell r="BN810" t="str">
            <v>No</v>
          </cell>
          <cell r="BO810" t="str">
            <v>CPay-000000005</v>
          </cell>
        </row>
        <row r="811">
          <cell r="B811" t="str">
            <v>338935</v>
          </cell>
          <cell r="C811" t="str">
            <v>113.0000000000000000</v>
          </cell>
          <cell r="E811" t="str">
            <v>Cust</v>
          </cell>
          <cell r="G811" t="str">
            <v>No</v>
          </cell>
          <cell r="H811" t="str">
            <v>1900-01-01 00:00:00</v>
          </cell>
          <cell r="K811" t="str">
            <v>M-P</v>
          </cell>
          <cell r="L811" t="str">
            <v>199.500000</v>
          </cell>
          <cell r="AL811" t="str">
            <v>338935</v>
          </cell>
          <cell r="BC811" t="str">
            <v>Cust-PP</v>
          </cell>
          <cell r="BD811" t="str">
            <v>1.9607843137254900</v>
          </cell>
          <cell r="BE811" t="str">
            <v>.0000000000000000</v>
          </cell>
          <cell r="BF811" t="str">
            <v>.0000000000000000</v>
          </cell>
          <cell r="BG811" t="str">
            <v>None</v>
          </cell>
          <cell r="BK811" t="str">
            <v>2025-05-18 00:00:00</v>
          </cell>
          <cell r="BL811" t="str">
            <v>Airport EG-908</v>
          </cell>
          <cell r="BM811" t="str">
            <v>No</v>
          </cell>
          <cell r="BN811" t="str">
            <v>No</v>
          </cell>
          <cell r="BO811" t="str">
            <v>CPay-000000005</v>
          </cell>
        </row>
        <row r="812">
          <cell r="B812" t="str">
            <v>338947</v>
          </cell>
          <cell r="C812" t="str">
            <v>114.0000000000000000</v>
          </cell>
          <cell r="E812" t="str">
            <v>Cust</v>
          </cell>
          <cell r="G812" t="str">
            <v>No</v>
          </cell>
          <cell r="H812" t="str">
            <v>1900-01-01 00:00:00</v>
          </cell>
          <cell r="K812" t="str">
            <v>M-P</v>
          </cell>
          <cell r="L812" t="str">
            <v>1653.000000</v>
          </cell>
          <cell r="AL812" t="str">
            <v>338947</v>
          </cell>
          <cell r="BC812" t="str">
            <v>Cust-PP</v>
          </cell>
          <cell r="BD812" t="str">
            <v>1.9607843137254900</v>
          </cell>
          <cell r="BE812" t="str">
            <v>.0000000000000000</v>
          </cell>
          <cell r="BF812" t="str">
            <v>.0000000000000000</v>
          </cell>
          <cell r="BG812" t="str">
            <v>None</v>
          </cell>
          <cell r="BK812" t="str">
            <v>2025-05-18 00:00:00</v>
          </cell>
          <cell r="BL812" t="str">
            <v>Airport EG-903</v>
          </cell>
          <cell r="BM812" t="str">
            <v>No</v>
          </cell>
          <cell r="BN812" t="str">
            <v>No</v>
          </cell>
          <cell r="BO812" t="str">
            <v>CPay-000000005</v>
          </cell>
        </row>
        <row r="813">
          <cell r="B813" t="str">
            <v>338948</v>
          </cell>
          <cell r="C813" t="str">
            <v>115.0000000000000000</v>
          </cell>
          <cell r="E813" t="str">
            <v>Cust</v>
          </cell>
          <cell r="G813" t="str">
            <v>No</v>
          </cell>
          <cell r="H813" t="str">
            <v>1900-01-01 00:00:00</v>
          </cell>
          <cell r="K813" t="str">
            <v>M-P</v>
          </cell>
          <cell r="L813" t="str">
            <v>359.330000</v>
          </cell>
          <cell r="AL813" t="str">
            <v>338948</v>
          </cell>
          <cell r="BC813" t="str">
            <v>Cust-PP</v>
          </cell>
          <cell r="BD813" t="str">
            <v>1.9607843137254900</v>
          </cell>
          <cell r="BE813" t="str">
            <v>.0000000000000000</v>
          </cell>
          <cell r="BF813" t="str">
            <v>.0000000000000000</v>
          </cell>
          <cell r="BG813" t="str">
            <v>None</v>
          </cell>
          <cell r="BK813" t="str">
            <v>2025-05-18 00:00:00</v>
          </cell>
          <cell r="BL813" t="str">
            <v>Airport EG-904</v>
          </cell>
          <cell r="BM813" t="str">
            <v>No</v>
          </cell>
          <cell r="BN813" t="str">
            <v>No</v>
          </cell>
          <cell r="BO813" t="str">
            <v>CPay-000000005</v>
          </cell>
        </row>
        <row r="814">
          <cell r="B814" t="str">
            <v>338953</v>
          </cell>
          <cell r="C814" t="str">
            <v>116.0000000000000000</v>
          </cell>
          <cell r="E814" t="str">
            <v>Cust</v>
          </cell>
          <cell r="G814" t="str">
            <v>No</v>
          </cell>
          <cell r="H814" t="str">
            <v>1900-01-01 00:00:00</v>
          </cell>
          <cell r="K814" t="str">
            <v>M-P</v>
          </cell>
          <cell r="L814" t="str">
            <v>1653.000000</v>
          </cell>
          <cell r="AL814" t="str">
            <v>338953</v>
          </cell>
          <cell r="BC814" t="str">
            <v>Cust-PP</v>
          </cell>
          <cell r="BD814" t="str">
            <v>1.9607843137254900</v>
          </cell>
          <cell r="BE814" t="str">
            <v>.0000000000000000</v>
          </cell>
          <cell r="BF814" t="str">
            <v>.0000000000000000</v>
          </cell>
          <cell r="BG814" t="str">
            <v>None</v>
          </cell>
          <cell r="BK814" t="str">
            <v>2025-05-18 00:00:00</v>
          </cell>
          <cell r="BL814" t="str">
            <v>Airport EG-899</v>
          </cell>
          <cell r="BM814" t="str">
            <v>No</v>
          </cell>
          <cell r="BN814" t="str">
            <v>No</v>
          </cell>
          <cell r="BO814" t="str">
            <v>CPay-000000005</v>
          </cell>
        </row>
        <row r="815">
          <cell r="B815" t="str">
            <v>338954</v>
          </cell>
          <cell r="C815" t="str">
            <v>117.0000000000000000</v>
          </cell>
          <cell r="E815" t="str">
            <v>Cust</v>
          </cell>
          <cell r="G815" t="str">
            <v>No</v>
          </cell>
          <cell r="H815" t="str">
            <v>1900-01-01 00:00:00</v>
          </cell>
          <cell r="K815" t="str">
            <v>M-P</v>
          </cell>
          <cell r="L815" t="str">
            <v>4254.710000</v>
          </cell>
          <cell r="AL815" t="str">
            <v>338954</v>
          </cell>
          <cell r="BC815" t="str">
            <v>Cust-PP</v>
          </cell>
          <cell r="BD815" t="str">
            <v>1.9607843137254900</v>
          </cell>
          <cell r="BE815" t="str">
            <v>.0000000000000000</v>
          </cell>
          <cell r="BF815" t="str">
            <v>.0000000000000000</v>
          </cell>
          <cell r="BG815" t="str">
            <v>None</v>
          </cell>
          <cell r="BK815" t="str">
            <v>2025-05-18 00:00:00</v>
          </cell>
          <cell r="BL815" t="str">
            <v>Airport EG-900</v>
          </cell>
          <cell r="BM815" t="str">
            <v>No</v>
          </cell>
          <cell r="BN815" t="str">
            <v>No</v>
          </cell>
          <cell r="BO815" t="str">
            <v>CPay-000000005</v>
          </cell>
        </row>
        <row r="816">
          <cell r="B816" t="str">
            <v>338955</v>
          </cell>
          <cell r="C816" t="str">
            <v>118.0000000000000000</v>
          </cell>
          <cell r="E816" t="str">
            <v>Cust</v>
          </cell>
          <cell r="G816" t="str">
            <v>No</v>
          </cell>
          <cell r="H816" t="str">
            <v>1900-01-01 00:00:00</v>
          </cell>
          <cell r="K816" t="str">
            <v>M-P</v>
          </cell>
          <cell r="L816" t="str">
            <v>1653.000000</v>
          </cell>
          <cell r="AL816" t="str">
            <v>338955</v>
          </cell>
          <cell r="BC816" t="str">
            <v>Cust-PP</v>
          </cell>
          <cell r="BD816" t="str">
            <v>1.9607843137254900</v>
          </cell>
          <cell r="BE816" t="str">
            <v>.0000000000000000</v>
          </cell>
          <cell r="BF816" t="str">
            <v>.0000000000000000</v>
          </cell>
          <cell r="BG816" t="str">
            <v>None</v>
          </cell>
          <cell r="BK816" t="str">
            <v>2025-05-18 00:00:00</v>
          </cell>
          <cell r="BL816" t="str">
            <v>Airport EG-901</v>
          </cell>
          <cell r="BM816" t="str">
            <v>No</v>
          </cell>
          <cell r="BN816" t="str">
            <v>No</v>
          </cell>
          <cell r="BO816" t="str">
            <v>CPay-000000005</v>
          </cell>
        </row>
        <row r="817">
          <cell r="B817" t="str">
            <v>338956</v>
          </cell>
          <cell r="C817" t="str">
            <v>119.0000000000000000</v>
          </cell>
          <cell r="E817" t="str">
            <v>Cust</v>
          </cell>
          <cell r="G817" t="str">
            <v>No</v>
          </cell>
          <cell r="H817" t="str">
            <v>1900-01-01 00:00:00</v>
          </cell>
          <cell r="K817" t="str">
            <v>M-P</v>
          </cell>
          <cell r="L817" t="str">
            <v>5135.930000</v>
          </cell>
          <cell r="AL817" t="str">
            <v>338956</v>
          </cell>
          <cell r="BC817" t="str">
            <v>Cust-PP</v>
          </cell>
          <cell r="BD817" t="str">
            <v>1.9607843137254900</v>
          </cell>
          <cell r="BE817" t="str">
            <v>.0000000000000000</v>
          </cell>
          <cell r="BF817" t="str">
            <v>.0000000000000000</v>
          </cell>
          <cell r="BG817" t="str">
            <v>None</v>
          </cell>
          <cell r="BK817" t="str">
            <v>2025-05-18 00:00:00</v>
          </cell>
          <cell r="BL817" t="str">
            <v>Airport EG-902</v>
          </cell>
          <cell r="BM817" t="str">
            <v>No</v>
          </cell>
          <cell r="BN817" t="str">
            <v>No</v>
          </cell>
          <cell r="BO817" t="str">
            <v>CPay-000000005</v>
          </cell>
        </row>
        <row r="818">
          <cell r="B818" t="str">
            <v>338963</v>
          </cell>
          <cell r="C818" t="str">
            <v>120.0000000000000000</v>
          </cell>
          <cell r="E818" t="str">
            <v>Cust</v>
          </cell>
          <cell r="G818" t="str">
            <v>No</v>
          </cell>
          <cell r="H818" t="str">
            <v>1900-01-01 00:00:00</v>
          </cell>
          <cell r="K818" t="str">
            <v>M-P</v>
          </cell>
          <cell r="L818" t="str">
            <v>285.000000</v>
          </cell>
          <cell r="AL818" t="str">
            <v>338963</v>
          </cell>
          <cell r="BC818" t="str">
            <v>Cust-PP</v>
          </cell>
          <cell r="BD818" t="str">
            <v>1.9607843137254900</v>
          </cell>
          <cell r="BE818" t="str">
            <v>.0000000000000000</v>
          </cell>
          <cell r="BF818" t="str">
            <v>.0000000000000000</v>
          </cell>
          <cell r="BG818" t="str">
            <v>None</v>
          </cell>
          <cell r="BK818" t="str">
            <v>2025-05-18 00:00:00</v>
          </cell>
          <cell r="BL818" t="str">
            <v>Airport EG-894</v>
          </cell>
          <cell r="BM818" t="str">
            <v>No</v>
          </cell>
          <cell r="BN818" t="str">
            <v>No</v>
          </cell>
          <cell r="BO818" t="str">
            <v>CPay-000000005</v>
          </cell>
        </row>
        <row r="819">
          <cell r="B819" t="str">
            <v>338965</v>
          </cell>
          <cell r="C819" t="str">
            <v>121.0000000000000000</v>
          </cell>
          <cell r="E819" t="str">
            <v>Cust</v>
          </cell>
          <cell r="G819" t="str">
            <v>No</v>
          </cell>
          <cell r="H819" t="str">
            <v>1900-01-01 00:00:00</v>
          </cell>
          <cell r="K819" t="str">
            <v>M-P</v>
          </cell>
          <cell r="L819" t="str">
            <v>1653.000000</v>
          </cell>
          <cell r="AL819" t="str">
            <v>338965</v>
          </cell>
          <cell r="BC819" t="str">
            <v>Cust-PP</v>
          </cell>
          <cell r="BD819" t="str">
            <v>1.9607843137254900</v>
          </cell>
          <cell r="BE819" t="str">
            <v>.0000000000000000</v>
          </cell>
          <cell r="BF819" t="str">
            <v>.0000000000000000</v>
          </cell>
          <cell r="BG819" t="str">
            <v>None</v>
          </cell>
          <cell r="BK819" t="str">
            <v>2025-05-18 00:00:00</v>
          </cell>
          <cell r="BL819" t="str">
            <v>Airport EG-895</v>
          </cell>
          <cell r="BM819" t="str">
            <v>No</v>
          </cell>
          <cell r="BN819" t="str">
            <v>No</v>
          </cell>
          <cell r="BO819" t="str">
            <v>CPay-000000005</v>
          </cell>
        </row>
        <row r="820">
          <cell r="B820" t="str">
            <v>338966</v>
          </cell>
          <cell r="C820" t="str">
            <v>122.0000000000000000</v>
          </cell>
          <cell r="E820" t="str">
            <v>Cust</v>
          </cell>
          <cell r="G820" t="str">
            <v>No</v>
          </cell>
          <cell r="H820" t="str">
            <v>1900-01-01 00:00:00</v>
          </cell>
          <cell r="K820" t="str">
            <v>M-P</v>
          </cell>
          <cell r="L820" t="str">
            <v>285.000000</v>
          </cell>
          <cell r="AL820" t="str">
            <v>338966</v>
          </cell>
          <cell r="BC820" t="str">
            <v>Cust-PP</v>
          </cell>
          <cell r="BD820" t="str">
            <v>1.9607843137254900</v>
          </cell>
          <cell r="BE820" t="str">
            <v>.0000000000000000</v>
          </cell>
          <cell r="BF820" t="str">
            <v>.0000000000000000</v>
          </cell>
          <cell r="BG820" t="str">
            <v>None</v>
          </cell>
          <cell r="BK820" t="str">
            <v>2025-05-18 00:00:00</v>
          </cell>
          <cell r="BL820" t="str">
            <v>Airport EG-896</v>
          </cell>
          <cell r="BM820" t="str">
            <v>No</v>
          </cell>
          <cell r="BN820" t="str">
            <v>No</v>
          </cell>
          <cell r="BO820" t="str">
            <v>CPay-000000005</v>
          </cell>
        </row>
        <row r="821">
          <cell r="B821" t="str">
            <v>338967</v>
          </cell>
          <cell r="C821" t="str">
            <v>123.0000000000000000</v>
          </cell>
          <cell r="E821" t="str">
            <v>Cust</v>
          </cell>
          <cell r="G821" t="str">
            <v>No</v>
          </cell>
          <cell r="H821" t="str">
            <v>1900-01-01 00:00:00</v>
          </cell>
          <cell r="K821" t="str">
            <v>M-P</v>
          </cell>
          <cell r="L821" t="str">
            <v>1653.000000</v>
          </cell>
          <cell r="AL821" t="str">
            <v>338967</v>
          </cell>
          <cell r="BC821" t="str">
            <v>Cust-PP</v>
          </cell>
          <cell r="BD821" t="str">
            <v>1.9607843137254900</v>
          </cell>
          <cell r="BE821" t="str">
            <v>.0000000000000000</v>
          </cell>
          <cell r="BF821" t="str">
            <v>.0000000000000000</v>
          </cell>
          <cell r="BG821" t="str">
            <v>None</v>
          </cell>
          <cell r="BK821" t="str">
            <v>2025-05-18 00:00:00</v>
          </cell>
          <cell r="BL821" t="str">
            <v>Airport EG-897</v>
          </cell>
          <cell r="BM821" t="str">
            <v>No</v>
          </cell>
          <cell r="BN821" t="str">
            <v>No</v>
          </cell>
          <cell r="BO821" t="str">
            <v>CPay-000000005</v>
          </cell>
        </row>
        <row r="822">
          <cell r="B822" t="str">
            <v>338968</v>
          </cell>
          <cell r="C822" t="str">
            <v>124.0000000000000000</v>
          </cell>
          <cell r="E822" t="str">
            <v>Cust</v>
          </cell>
          <cell r="G822" t="str">
            <v>No</v>
          </cell>
          <cell r="H822" t="str">
            <v>1900-01-01 00:00:00</v>
          </cell>
          <cell r="K822" t="str">
            <v>M-P</v>
          </cell>
          <cell r="L822" t="str">
            <v>285.000000</v>
          </cell>
          <cell r="AL822" t="str">
            <v>338968</v>
          </cell>
          <cell r="BC822" t="str">
            <v>Cust-PP</v>
          </cell>
          <cell r="BD822" t="str">
            <v>1.9607843137254900</v>
          </cell>
          <cell r="BE822" t="str">
            <v>.0000000000000000</v>
          </cell>
          <cell r="BF822" t="str">
            <v>.0000000000000000</v>
          </cell>
          <cell r="BG822" t="str">
            <v>None</v>
          </cell>
          <cell r="BK822" t="str">
            <v>2025-05-18 00:00:00</v>
          </cell>
          <cell r="BL822" t="str">
            <v>Airport EG-898</v>
          </cell>
          <cell r="BM822" t="str">
            <v>No</v>
          </cell>
          <cell r="BN822" t="str">
            <v>No</v>
          </cell>
          <cell r="BO822" t="str">
            <v>CPay-000000005</v>
          </cell>
        </row>
        <row r="823">
          <cell r="B823" t="str">
            <v>339716</v>
          </cell>
          <cell r="C823" t="str">
            <v>125.0000000000000000</v>
          </cell>
          <cell r="E823" t="str">
            <v>Cust</v>
          </cell>
          <cell r="G823" t="str">
            <v>No</v>
          </cell>
          <cell r="H823" t="str">
            <v>1900-01-01 00:00:00</v>
          </cell>
          <cell r="K823" t="str">
            <v>M-P</v>
          </cell>
          <cell r="L823" t="str">
            <v>1653.000000</v>
          </cell>
          <cell r="AL823" t="str">
            <v>339716</v>
          </cell>
          <cell r="BC823" t="str">
            <v>Cust-PP</v>
          </cell>
          <cell r="BD823" t="str">
            <v>1.9607843137254900</v>
          </cell>
          <cell r="BE823" t="str">
            <v>.0000000000000000</v>
          </cell>
          <cell r="BF823" t="str">
            <v>.0000000000000000</v>
          </cell>
          <cell r="BG823" t="str">
            <v>None</v>
          </cell>
          <cell r="BK823" t="str">
            <v>2025-05-18 00:00:00</v>
          </cell>
          <cell r="BL823" t="str">
            <v>Airport EG-889</v>
          </cell>
          <cell r="BM823" t="str">
            <v>No</v>
          </cell>
          <cell r="BN823" t="str">
            <v>No</v>
          </cell>
          <cell r="BO823" t="str">
            <v>CPay-000000005</v>
          </cell>
        </row>
        <row r="824">
          <cell r="B824" t="str">
            <v>339717</v>
          </cell>
          <cell r="C824" t="str">
            <v>126.0000000000000000</v>
          </cell>
          <cell r="E824" t="str">
            <v>Cust</v>
          </cell>
          <cell r="G824" t="str">
            <v>No</v>
          </cell>
          <cell r="H824" t="str">
            <v>1900-01-01 00:00:00</v>
          </cell>
          <cell r="K824" t="str">
            <v>M-P</v>
          </cell>
          <cell r="L824" t="str">
            <v>456.000000</v>
          </cell>
          <cell r="AL824" t="str">
            <v>339717</v>
          </cell>
          <cell r="BC824" t="str">
            <v>Cust-PP</v>
          </cell>
          <cell r="BD824" t="str">
            <v>1.9607843137254900</v>
          </cell>
          <cell r="BE824" t="str">
            <v>.0000000000000000</v>
          </cell>
          <cell r="BF824" t="str">
            <v>.0000000000000000</v>
          </cell>
          <cell r="BG824" t="str">
            <v>None</v>
          </cell>
          <cell r="BK824" t="str">
            <v>2025-05-18 00:00:00</v>
          </cell>
          <cell r="BL824" t="str">
            <v>Airport EG-890</v>
          </cell>
          <cell r="BM824" t="str">
            <v>No</v>
          </cell>
          <cell r="BN824" t="str">
            <v>No</v>
          </cell>
          <cell r="BO824" t="str">
            <v>CPay-000000005</v>
          </cell>
        </row>
        <row r="825">
          <cell r="B825" t="str">
            <v>339719</v>
          </cell>
          <cell r="C825" t="str">
            <v>127.0000000000000000</v>
          </cell>
          <cell r="E825" t="str">
            <v>Cust</v>
          </cell>
          <cell r="G825" t="str">
            <v>No</v>
          </cell>
          <cell r="H825" t="str">
            <v>1900-01-01 00:00:00</v>
          </cell>
          <cell r="K825" t="str">
            <v>M-P</v>
          </cell>
          <cell r="L825" t="str">
            <v>1653.000000</v>
          </cell>
          <cell r="AL825" t="str">
            <v>339719</v>
          </cell>
          <cell r="BC825" t="str">
            <v>Cust-PP</v>
          </cell>
          <cell r="BD825" t="str">
            <v>1.9607843137254900</v>
          </cell>
          <cell r="BE825" t="str">
            <v>.0000000000000000</v>
          </cell>
          <cell r="BF825" t="str">
            <v>.0000000000000000</v>
          </cell>
          <cell r="BG825" t="str">
            <v>None</v>
          </cell>
          <cell r="BK825" t="str">
            <v>2025-05-18 00:00:00</v>
          </cell>
          <cell r="BL825" t="str">
            <v>Airport EG-891</v>
          </cell>
          <cell r="BM825" t="str">
            <v>No</v>
          </cell>
          <cell r="BN825" t="str">
            <v>No</v>
          </cell>
          <cell r="BO825" t="str">
            <v>CPay-000000005</v>
          </cell>
        </row>
        <row r="826">
          <cell r="B826" t="str">
            <v>339720</v>
          </cell>
          <cell r="C826" t="str">
            <v>128.0000000000000000</v>
          </cell>
          <cell r="E826" t="str">
            <v>Cust</v>
          </cell>
          <cell r="G826" t="str">
            <v>No</v>
          </cell>
          <cell r="H826" t="str">
            <v>1900-01-01 00:00:00</v>
          </cell>
          <cell r="K826" t="str">
            <v>M-P</v>
          </cell>
          <cell r="L826" t="str">
            <v>414.390000</v>
          </cell>
          <cell r="AL826" t="str">
            <v>339720</v>
          </cell>
          <cell r="BC826" t="str">
            <v>Cust-PP</v>
          </cell>
          <cell r="BD826" t="str">
            <v>1.9607843137254900</v>
          </cell>
          <cell r="BE826" t="str">
            <v>.0000000000000000</v>
          </cell>
          <cell r="BF826" t="str">
            <v>.0000000000000000</v>
          </cell>
          <cell r="BG826" t="str">
            <v>None</v>
          </cell>
          <cell r="BK826" t="str">
            <v>2025-05-18 00:00:00</v>
          </cell>
          <cell r="BL826" t="str">
            <v>Airport EG-892</v>
          </cell>
          <cell r="BM826" t="str">
            <v>No</v>
          </cell>
          <cell r="BN826" t="str">
            <v>No</v>
          </cell>
          <cell r="BO826" t="str">
            <v>CPay-000000005</v>
          </cell>
        </row>
        <row r="827">
          <cell r="B827" t="str">
            <v>339721</v>
          </cell>
          <cell r="C827" t="str">
            <v>129.0000000000000000</v>
          </cell>
          <cell r="E827" t="str">
            <v>Cust</v>
          </cell>
          <cell r="G827" t="str">
            <v>No</v>
          </cell>
          <cell r="H827" t="str">
            <v>1900-01-01 00:00:00</v>
          </cell>
          <cell r="K827" t="str">
            <v>M-P</v>
          </cell>
          <cell r="L827" t="str">
            <v>1653.000000</v>
          </cell>
          <cell r="AL827" t="str">
            <v>339721</v>
          </cell>
          <cell r="BC827" t="str">
            <v>Cust-PP</v>
          </cell>
          <cell r="BD827" t="str">
            <v>1.9607843137254900</v>
          </cell>
          <cell r="BE827" t="str">
            <v>.0000000000000000</v>
          </cell>
          <cell r="BF827" t="str">
            <v>.0000000000000000</v>
          </cell>
          <cell r="BG827" t="str">
            <v>None</v>
          </cell>
          <cell r="BK827" t="str">
            <v>2025-05-18 00:00:00</v>
          </cell>
          <cell r="BL827" t="str">
            <v>Airport EG-893</v>
          </cell>
          <cell r="BM827" t="str">
            <v>No</v>
          </cell>
          <cell r="BN827" t="str">
            <v>No</v>
          </cell>
          <cell r="BO827" t="str">
            <v>CPay-000000005</v>
          </cell>
        </row>
        <row r="828">
          <cell r="B828" t="str">
            <v>339727</v>
          </cell>
          <cell r="C828" t="str">
            <v>130.0000000000000000</v>
          </cell>
          <cell r="E828" t="str">
            <v>Cust</v>
          </cell>
          <cell r="G828" t="str">
            <v>No</v>
          </cell>
          <cell r="H828" t="str">
            <v>1900-01-01 00:00:00</v>
          </cell>
          <cell r="K828" t="str">
            <v>M-P</v>
          </cell>
          <cell r="L828" t="str">
            <v>1653.000000</v>
          </cell>
          <cell r="AL828" t="str">
            <v>339727</v>
          </cell>
          <cell r="BC828" t="str">
            <v>Cust-PP</v>
          </cell>
          <cell r="BD828" t="str">
            <v>1.9607843137254900</v>
          </cell>
          <cell r="BE828" t="str">
            <v>.0000000000000000</v>
          </cell>
          <cell r="BF828" t="str">
            <v>.0000000000000000</v>
          </cell>
          <cell r="BG828" t="str">
            <v>None</v>
          </cell>
          <cell r="BK828" t="str">
            <v>2025-05-18 00:00:00</v>
          </cell>
          <cell r="BL828" t="str">
            <v>Airport EG-887</v>
          </cell>
          <cell r="BM828" t="str">
            <v>No</v>
          </cell>
          <cell r="BN828" t="str">
            <v>No</v>
          </cell>
          <cell r="BO828" t="str">
            <v>CPay-000000005</v>
          </cell>
        </row>
        <row r="829">
          <cell r="B829" t="str">
            <v>339728</v>
          </cell>
          <cell r="C829" t="str">
            <v>131.0000000000000000</v>
          </cell>
          <cell r="E829" t="str">
            <v>Cust</v>
          </cell>
          <cell r="G829" t="str">
            <v>No</v>
          </cell>
          <cell r="H829" t="str">
            <v>1900-01-01 00:00:00</v>
          </cell>
          <cell r="K829" t="str">
            <v>M-P</v>
          </cell>
          <cell r="L829" t="str">
            <v>285.000000</v>
          </cell>
          <cell r="AL829" t="str">
            <v>339728</v>
          </cell>
          <cell r="BC829" t="str">
            <v>Cust-PP</v>
          </cell>
          <cell r="BD829" t="str">
            <v>1.9607843137254900</v>
          </cell>
          <cell r="BE829" t="str">
            <v>.0000000000000000</v>
          </cell>
          <cell r="BF829" t="str">
            <v>.0000000000000000</v>
          </cell>
          <cell r="BG829" t="str">
            <v>None</v>
          </cell>
          <cell r="BK829" t="str">
            <v>2025-05-18 00:00:00</v>
          </cell>
          <cell r="BL829" t="str">
            <v>Airport EG-888</v>
          </cell>
          <cell r="BM829" t="str">
            <v>No</v>
          </cell>
          <cell r="BN829" t="str">
            <v>No</v>
          </cell>
          <cell r="BO829" t="str">
            <v>CPay-000000005</v>
          </cell>
        </row>
        <row r="830">
          <cell r="B830" t="str">
            <v>339739</v>
          </cell>
          <cell r="C830" t="str">
            <v>132.0000000000000000</v>
          </cell>
          <cell r="E830" t="str">
            <v>Cust</v>
          </cell>
          <cell r="G830" t="str">
            <v>No</v>
          </cell>
          <cell r="H830" t="str">
            <v>1900-01-01 00:00:00</v>
          </cell>
          <cell r="K830" t="str">
            <v>M-P</v>
          </cell>
          <cell r="L830" t="str">
            <v>1653.000000</v>
          </cell>
          <cell r="AL830" t="str">
            <v>339739</v>
          </cell>
          <cell r="BC830" t="str">
            <v>Cust-PP</v>
          </cell>
          <cell r="BD830" t="str">
            <v>1.9607843137254900</v>
          </cell>
          <cell r="BE830" t="str">
            <v>.0000000000000000</v>
          </cell>
          <cell r="BF830" t="str">
            <v>.0000000000000000</v>
          </cell>
          <cell r="BG830" t="str">
            <v>None</v>
          </cell>
          <cell r="BK830" t="str">
            <v>2025-05-18 00:00:00</v>
          </cell>
          <cell r="BL830" t="str">
            <v>Airport EG-885</v>
          </cell>
          <cell r="BM830" t="str">
            <v>No</v>
          </cell>
          <cell r="BN830" t="str">
            <v>No</v>
          </cell>
          <cell r="BO830" t="str">
            <v>CPay-000000005</v>
          </cell>
        </row>
        <row r="831">
          <cell r="B831" t="str">
            <v>339740</v>
          </cell>
          <cell r="C831" t="str">
            <v>133.0000000000000000</v>
          </cell>
          <cell r="E831" t="str">
            <v>Cust</v>
          </cell>
          <cell r="G831" t="str">
            <v>No</v>
          </cell>
          <cell r="H831" t="str">
            <v>1900-01-01 00:00:00</v>
          </cell>
          <cell r="K831" t="str">
            <v>M-P</v>
          </cell>
          <cell r="L831" t="str">
            <v>2811.920000</v>
          </cell>
          <cell r="AL831" t="str">
            <v>339740</v>
          </cell>
          <cell r="BC831" t="str">
            <v>Cust-PP</v>
          </cell>
          <cell r="BD831" t="str">
            <v>1.9607843137254900</v>
          </cell>
          <cell r="BE831" t="str">
            <v>.0000000000000000</v>
          </cell>
          <cell r="BF831" t="str">
            <v>.0000000000000000</v>
          </cell>
          <cell r="BG831" t="str">
            <v>None</v>
          </cell>
          <cell r="BK831" t="str">
            <v>2025-05-18 00:00:00</v>
          </cell>
          <cell r="BL831" t="str">
            <v>Airport EG-886</v>
          </cell>
          <cell r="BM831" t="str">
            <v>No</v>
          </cell>
          <cell r="BN831" t="str">
            <v>No</v>
          </cell>
          <cell r="BO831" t="str">
            <v>CPay-000000005</v>
          </cell>
        </row>
        <row r="832">
          <cell r="B832" t="str">
            <v>338800</v>
          </cell>
          <cell r="C832" t="str">
            <v>134.0000000000000000</v>
          </cell>
          <cell r="E832" t="str">
            <v>Cust</v>
          </cell>
          <cell r="G832" t="str">
            <v>No</v>
          </cell>
          <cell r="H832" t="str">
            <v>1900-01-01 00:00:00</v>
          </cell>
          <cell r="K832" t="str">
            <v>M-P</v>
          </cell>
          <cell r="L832" t="str">
            <v>1653.000000</v>
          </cell>
          <cell r="AL832" t="str">
            <v>338800</v>
          </cell>
          <cell r="BC832" t="str">
            <v>Cust-PP</v>
          </cell>
          <cell r="BD832" t="str">
            <v>1.9607843137254900</v>
          </cell>
          <cell r="BE832" t="str">
            <v>.0000000000000000</v>
          </cell>
          <cell r="BF832" t="str">
            <v>.0000000000000000</v>
          </cell>
          <cell r="BG832" t="str">
            <v>None</v>
          </cell>
          <cell r="BK832" t="str">
            <v>2025-05-19 00:00:00</v>
          </cell>
          <cell r="BL832" t="str">
            <v>Airport EG-913</v>
          </cell>
          <cell r="BM832" t="str">
            <v>No</v>
          </cell>
          <cell r="BN832" t="str">
            <v>No</v>
          </cell>
          <cell r="BO832" t="str">
            <v>CPay-000000005</v>
          </cell>
        </row>
        <row r="833">
          <cell r="B833" t="str">
            <v>338801</v>
          </cell>
          <cell r="C833" t="str">
            <v>135.0000000000000000</v>
          </cell>
          <cell r="E833" t="str">
            <v>Cust</v>
          </cell>
          <cell r="G833" t="str">
            <v>No</v>
          </cell>
          <cell r="H833" t="str">
            <v>1900-01-01 00:00:00</v>
          </cell>
          <cell r="K833" t="str">
            <v>M-P</v>
          </cell>
          <cell r="L833" t="str">
            <v>2850.000000</v>
          </cell>
          <cell r="AL833" t="str">
            <v>338801</v>
          </cell>
          <cell r="BC833" t="str">
            <v>Cust-PP</v>
          </cell>
          <cell r="BD833" t="str">
            <v>1.9607843137254900</v>
          </cell>
          <cell r="BE833" t="str">
            <v>.0000000000000000</v>
          </cell>
          <cell r="BF833" t="str">
            <v>.0000000000000000</v>
          </cell>
          <cell r="BG833" t="str">
            <v>None</v>
          </cell>
          <cell r="BK833" t="str">
            <v>2025-05-19 00:00:00</v>
          </cell>
          <cell r="BL833" t="str">
            <v>Airport EG-914</v>
          </cell>
          <cell r="BM833" t="str">
            <v>No</v>
          </cell>
          <cell r="BN833" t="str">
            <v>No</v>
          </cell>
          <cell r="BO833" t="str">
            <v>CPay-000000005</v>
          </cell>
        </row>
        <row r="834">
          <cell r="B834" t="str">
            <v>338816</v>
          </cell>
          <cell r="C834" t="str">
            <v>136.0000000000000000</v>
          </cell>
          <cell r="E834" t="str">
            <v>Cust</v>
          </cell>
          <cell r="G834" t="str">
            <v>No</v>
          </cell>
          <cell r="H834" t="str">
            <v>1900-01-01 00:00:00</v>
          </cell>
          <cell r="K834" t="str">
            <v>M-P</v>
          </cell>
          <cell r="L834" t="str">
            <v>1653.000000</v>
          </cell>
          <cell r="AL834" t="str">
            <v>338816</v>
          </cell>
          <cell r="BC834" t="str">
            <v>Cust-PP</v>
          </cell>
          <cell r="BD834" t="str">
            <v>1.9607843137254900</v>
          </cell>
          <cell r="BE834" t="str">
            <v>.0000000000000000</v>
          </cell>
          <cell r="BF834" t="str">
            <v>.0000000000000000</v>
          </cell>
          <cell r="BG834" t="str">
            <v>None</v>
          </cell>
          <cell r="BK834" t="str">
            <v>2025-05-19 00:00:00</v>
          </cell>
          <cell r="BL834" t="str">
            <v>Airport EG-911</v>
          </cell>
          <cell r="BM834" t="str">
            <v>No</v>
          </cell>
          <cell r="BN834" t="str">
            <v>No</v>
          </cell>
          <cell r="BO834" t="str">
            <v>CPay-000000005</v>
          </cell>
        </row>
        <row r="835">
          <cell r="B835" t="str">
            <v>338817</v>
          </cell>
          <cell r="C835" t="str">
            <v>137.0000000000000000</v>
          </cell>
          <cell r="E835" t="str">
            <v>Cust</v>
          </cell>
          <cell r="G835" t="str">
            <v>No</v>
          </cell>
          <cell r="H835" t="str">
            <v>1900-01-01 00:00:00</v>
          </cell>
          <cell r="K835" t="str">
            <v>M-P</v>
          </cell>
          <cell r="L835" t="str">
            <v>4560.000000</v>
          </cell>
          <cell r="AL835" t="str">
            <v>338817</v>
          </cell>
          <cell r="BC835" t="str">
            <v>Cust-PP</v>
          </cell>
          <cell r="BD835" t="str">
            <v>1.9607843137254900</v>
          </cell>
          <cell r="BE835" t="str">
            <v>.0000000000000000</v>
          </cell>
          <cell r="BF835" t="str">
            <v>.0000000000000000</v>
          </cell>
          <cell r="BG835" t="str">
            <v>None</v>
          </cell>
          <cell r="BK835" t="str">
            <v>2025-05-19 00:00:00</v>
          </cell>
          <cell r="BL835" t="str">
            <v>Airport EG-912</v>
          </cell>
          <cell r="BM835" t="str">
            <v>No</v>
          </cell>
          <cell r="BN835" t="str">
            <v>No</v>
          </cell>
          <cell r="BO835" t="str">
            <v>CPay-000000005</v>
          </cell>
        </row>
        <row r="836">
          <cell r="B836" t="str">
            <v>338854</v>
          </cell>
          <cell r="C836" t="str">
            <v>138.0000000000000000</v>
          </cell>
          <cell r="E836" t="str">
            <v>Cust</v>
          </cell>
          <cell r="G836" t="str">
            <v>No</v>
          </cell>
          <cell r="H836" t="str">
            <v>1900-01-01 00:00:00</v>
          </cell>
          <cell r="K836" t="str">
            <v>M-P</v>
          </cell>
          <cell r="L836" t="str">
            <v>1450.000000</v>
          </cell>
          <cell r="AL836" t="str">
            <v>338854</v>
          </cell>
          <cell r="BC836" t="str">
            <v>Cust-PP</v>
          </cell>
          <cell r="BD836" t="str">
            <v>1.9607843137254900</v>
          </cell>
          <cell r="BE836" t="str">
            <v>.0000000000000000</v>
          </cell>
          <cell r="BF836" t="str">
            <v>.0000000000000000</v>
          </cell>
          <cell r="BG836" t="str">
            <v>None</v>
          </cell>
          <cell r="BK836" t="str">
            <v>2025-05-19 00:00:00</v>
          </cell>
          <cell r="BL836" t="str">
            <v>Airport EG-909</v>
          </cell>
          <cell r="BM836" t="str">
            <v>No</v>
          </cell>
          <cell r="BN836" t="str">
            <v>No</v>
          </cell>
          <cell r="BO836" t="str">
            <v>CPay-000000005</v>
          </cell>
        </row>
        <row r="837">
          <cell r="B837" t="str">
            <v>338855</v>
          </cell>
          <cell r="C837" t="str">
            <v>139.0000000000000000</v>
          </cell>
          <cell r="E837" t="str">
            <v>Cust</v>
          </cell>
          <cell r="G837" t="str">
            <v>No</v>
          </cell>
          <cell r="H837" t="str">
            <v>1900-01-01 00:00:00</v>
          </cell>
          <cell r="K837" t="str">
            <v>M-P</v>
          </cell>
          <cell r="L837" t="str">
            <v>199.500000</v>
          </cell>
          <cell r="AL837" t="str">
            <v>338855</v>
          </cell>
          <cell r="BC837" t="str">
            <v>Cust-PP</v>
          </cell>
          <cell r="BD837" t="str">
            <v>1.9607843137254900</v>
          </cell>
          <cell r="BE837" t="str">
            <v>.0000000000000000</v>
          </cell>
          <cell r="BF837" t="str">
            <v>.0000000000000000</v>
          </cell>
          <cell r="BG837" t="str">
            <v>None</v>
          </cell>
          <cell r="BK837" t="str">
            <v>2025-05-19 00:00:00</v>
          </cell>
          <cell r="BL837" t="str">
            <v>Airport EG-910</v>
          </cell>
          <cell r="BM837" t="str">
            <v>No</v>
          </cell>
          <cell r="BN837" t="str">
            <v>No</v>
          </cell>
          <cell r="BO837" t="str">
            <v>CPay-000000005</v>
          </cell>
        </row>
        <row r="838">
          <cell r="B838" t="str">
            <v>338712</v>
          </cell>
          <cell r="C838" t="str">
            <v>140.0000000000000000</v>
          </cell>
          <cell r="E838" t="str">
            <v>Cust</v>
          </cell>
          <cell r="G838" t="str">
            <v>No</v>
          </cell>
          <cell r="H838" t="str">
            <v>1900-01-01 00:00:00</v>
          </cell>
          <cell r="K838" t="str">
            <v>M-P</v>
          </cell>
          <cell r="L838" t="str">
            <v>1653.000000</v>
          </cell>
          <cell r="AL838" t="str">
            <v>338712</v>
          </cell>
          <cell r="BC838" t="str">
            <v>Cust-PP</v>
          </cell>
          <cell r="BD838" t="str">
            <v>1.9607843137254900</v>
          </cell>
          <cell r="BE838" t="str">
            <v>.0000000000000000</v>
          </cell>
          <cell r="BF838" t="str">
            <v>.0000000000000000</v>
          </cell>
          <cell r="BG838" t="str">
            <v>None</v>
          </cell>
          <cell r="BK838" t="str">
            <v>2025-05-20 00:00:00</v>
          </cell>
          <cell r="BL838" t="str">
            <v>Airport EG-923</v>
          </cell>
          <cell r="BM838" t="str">
            <v>No</v>
          </cell>
          <cell r="BN838" t="str">
            <v>No</v>
          </cell>
          <cell r="BO838" t="str">
            <v>CPay-000000005</v>
          </cell>
        </row>
        <row r="839">
          <cell r="B839" t="str">
            <v>338713</v>
          </cell>
          <cell r="C839" t="str">
            <v>141.0000000000000000</v>
          </cell>
          <cell r="E839" t="str">
            <v>Cust</v>
          </cell>
          <cell r="G839" t="str">
            <v>No</v>
          </cell>
          <cell r="H839" t="str">
            <v>1900-01-01 00:00:00</v>
          </cell>
          <cell r="K839" t="str">
            <v>M-P</v>
          </cell>
          <cell r="L839" t="str">
            <v>2208.180000</v>
          </cell>
          <cell r="AL839" t="str">
            <v>338713</v>
          </cell>
          <cell r="BC839" t="str">
            <v>Cust-PP</v>
          </cell>
          <cell r="BD839" t="str">
            <v>1.9607843137254900</v>
          </cell>
          <cell r="BE839" t="str">
            <v>.0000000000000000</v>
          </cell>
          <cell r="BF839" t="str">
            <v>.0000000000000000</v>
          </cell>
          <cell r="BG839" t="str">
            <v>None</v>
          </cell>
          <cell r="BK839" t="str">
            <v>2025-05-20 00:00:00</v>
          </cell>
          <cell r="BL839" t="str">
            <v>Airport EG-924</v>
          </cell>
          <cell r="BM839" t="str">
            <v>No</v>
          </cell>
          <cell r="BN839" t="str">
            <v>No</v>
          </cell>
          <cell r="BO839" t="str">
            <v>CPay-000000005</v>
          </cell>
        </row>
        <row r="840">
          <cell r="B840" t="str">
            <v>338724</v>
          </cell>
          <cell r="C840" t="str">
            <v>142.0000000000000000</v>
          </cell>
          <cell r="E840" t="str">
            <v>Cust</v>
          </cell>
          <cell r="G840" t="str">
            <v>No</v>
          </cell>
          <cell r="H840" t="str">
            <v>1900-01-01 00:00:00</v>
          </cell>
          <cell r="K840" t="str">
            <v>M-P</v>
          </cell>
          <cell r="L840" t="str">
            <v>25128.440000</v>
          </cell>
          <cell r="AL840" t="str">
            <v>338724</v>
          </cell>
          <cell r="BC840" t="str">
            <v>Cust-PP</v>
          </cell>
          <cell r="BD840" t="str">
            <v>1.9607843137254900</v>
          </cell>
          <cell r="BE840" t="str">
            <v>.0000000000000000</v>
          </cell>
          <cell r="BF840" t="str">
            <v>.0000000000000000</v>
          </cell>
          <cell r="BG840" t="str">
            <v>None</v>
          </cell>
          <cell r="BK840" t="str">
            <v>2025-05-20 00:00:00</v>
          </cell>
          <cell r="BL840" t="str">
            <v>Airport EG-921</v>
          </cell>
          <cell r="BM840" t="str">
            <v>No</v>
          </cell>
          <cell r="BN840" t="str">
            <v>No</v>
          </cell>
          <cell r="BO840" t="str">
            <v>CPay-000000005</v>
          </cell>
        </row>
        <row r="841">
          <cell r="B841" t="str">
            <v>338725</v>
          </cell>
          <cell r="C841" t="str">
            <v>143.0000000000000000</v>
          </cell>
          <cell r="E841" t="str">
            <v>Cust</v>
          </cell>
          <cell r="G841" t="str">
            <v>No</v>
          </cell>
          <cell r="H841" t="str">
            <v>1900-01-01 00:00:00</v>
          </cell>
          <cell r="K841" t="str">
            <v>M-P</v>
          </cell>
          <cell r="L841" t="str">
            <v>2115.500000</v>
          </cell>
          <cell r="AL841" t="str">
            <v>338725</v>
          </cell>
          <cell r="BC841" t="str">
            <v>Cust-PP</v>
          </cell>
          <cell r="BD841" t="str">
            <v>1.9607843137254900</v>
          </cell>
          <cell r="BE841" t="str">
            <v>.0000000000000000</v>
          </cell>
          <cell r="BF841" t="str">
            <v>.0000000000000000</v>
          </cell>
          <cell r="BG841" t="str">
            <v>None</v>
          </cell>
          <cell r="BK841" t="str">
            <v>2025-05-20 00:00:00</v>
          </cell>
          <cell r="BL841" t="str">
            <v>Airport EG-922</v>
          </cell>
          <cell r="BM841" t="str">
            <v>No</v>
          </cell>
          <cell r="BN841" t="str">
            <v>No</v>
          </cell>
          <cell r="BO841" t="str">
            <v>CPay-000000005</v>
          </cell>
        </row>
        <row r="842">
          <cell r="B842" t="str">
            <v>338733</v>
          </cell>
          <cell r="C842" t="str">
            <v>144.0000000000000000</v>
          </cell>
          <cell r="E842" t="str">
            <v>Cust</v>
          </cell>
          <cell r="G842" t="str">
            <v>No</v>
          </cell>
          <cell r="H842" t="str">
            <v>1900-01-01 00:00:00</v>
          </cell>
          <cell r="K842" t="str">
            <v>M-P</v>
          </cell>
          <cell r="L842" t="str">
            <v>1653.000000</v>
          </cell>
          <cell r="AL842" t="str">
            <v>338733</v>
          </cell>
          <cell r="BC842" t="str">
            <v>Cust-PP</v>
          </cell>
          <cell r="BD842" t="str">
            <v>1.9607843137254900</v>
          </cell>
          <cell r="BE842" t="str">
            <v>.0000000000000000</v>
          </cell>
          <cell r="BF842" t="str">
            <v>.0000000000000000</v>
          </cell>
          <cell r="BG842" t="str">
            <v>None</v>
          </cell>
          <cell r="BK842" t="str">
            <v>2025-05-20 00:00:00</v>
          </cell>
          <cell r="BL842" t="str">
            <v>Airport EG-919</v>
          </cell>
          <cell r="BM842" t="str">
            <v>No</v>
          </cell>
          <cell r="BN842" t="str">
            <v>No</v>
          </cell>
          <cell r="BO842" t="str">
            <v>CPay-000000005</v>
          </cell>
        </row>
        <row r="843">
          <cell r="B843" t="str">
            <v>338734</v>
          </cell>
          <cell r="C843" t="str">
            <v>145.0000000000000000</v>
          </cell>
          <cell r="E843" t="str">
            <v>Cust</v>
          </cell>
          <cell r="G843" t="str">
            <v>No</v>
          </cell>
          <cell r="H843" t="str">
            <v>1900-01-01 00:00:00</v>
          </cell>
          <cell r="K843" t="str">
            <v>M-P</v>
          </cell>
          <cell r="L843" t="str">
            <v>2169.880000</v>
          </cell>
          <cell r="AL843" t="str">
            <v>338734</v>
          </cell>
          <cell r="BC843" t="str">
            <v>Cust-PP</v>
          </cell>
          <cell r="BD843" t="str">
            <v>1.9607843137254900</v>
          </cell>
          <cell r="BE843" t="str">
            <v>.0000000000000000</v>
          </cell>
          <cell r="BF843" t="str">
            <v>.0000000000000000</v>
          </cell>
          <cell r="BG843" t="str">
            <v>None</v>
          </cell>
          <cell r="BK843" t="str">
            <v>2025-05-20 00:00:00</v>
          </cell>
          <cell r="BL843" t="str">
            <v>Airport EG-920</v>
          </cell>
          <cell r="BM843" t="str">
            <v>No</v>
          </cell>
          <cell r="BN843" t="str">
            <v>No</v>
          </cell>
          <cell r="BO843" t="str">
            <v>CPay-000000005</v>
          </cell>
        </row>
        <row r="844">
          <cell r="B844" t="str">
            <v>338743</v>
          </cell>
          <cell r="C844" t="str">
            <v>146.0000000000000000</v>
          </cell>
          <cell r="E844" t="str">
            <v>Cust</v>
          </cell>
          <cell r="G844" t="str">
            <v>No</v>
          </cell>
          <cell r="H844" t="str">
            <v>1900-01-01 00:00:00</v>
          </cell>
          <cell r="K844" t="str">
            <v>M-P</v>
          </cell>
          <cell r="L844" t="str">
            <v>1653.000000</v>
          </cell>
          <cell r="AL844" t="str">
            <v>338743</v>
          </cell>
          <cell r="BC844" t="str">
            <v>Cust-PP</v>
          </cell>
          <cell r="BD844" t="str">
            <v>1.9607843137254900</v>
          </cell>
          <cell r="BE844" t="str">
            <v>.0000000000000000</v>
          </cell>
          <cell r="BF844" t="str">
            <v>.0000000000000000</v>
          </cell>
          <cell r="BG844" t="str">
            <v>None</v>
          </cell>
          <cell r="BK844" t="str">
            <v>2025-05-20 00:00:00</v>
          </cell>
          <cell r="BL844" t="str">
            <v>Airport EG-917</v>
          </cell>
          <cell r="BM844" t="str">
            <v>No</v>
          </cell>
          <cell r="BN844" t="str">
            <v>No</v>
          </cell>
          <cell r="BO844" t="str">
            <v>CPay-000000005</v>
          </cell>
        </row>
        <row r="845">
          <cell r="B845" t="str">
            <v>338744</v>
          </cell>
          <cell r="C845" t="str">
            <v>147.0000000000000000</v>
          </cell>
          <cell r="E845" t="str">
            <v>Cust</v>
          </cell>
          <cell r="G845" t="str">
            <v>No</v>
          </cell>
          <cell r="H845" t="str">
            <v>1900-01-01 00:00:00</v>
          </cell>
          <cell r="K845" t="str">
            <v>M-P</v>
          </cell>
          <cell r="L845" t="str">
            <v>658.240000</v>
          </cell>
          <cell r="AL845" t="str">
            <v>338744</v>
          </cell>
          <cell r="BC845" t="str">
            <v>Cust-PP</v>
          </cell>
          <cell r="BD845" t="str">
            <v>1.9607843137254900</v>
          </cell>
          <cell r="BE845" t="str">
            <v>.0000000000000000</v>
          </cell>
          <cell r="BF845" t="str">
            <v>.0000000000000000</v>
          </cell>
          <cell r="BG845" t="str">
            <v>None</v>
          </cell>
          <cell r="BK845" t="str">
            <v>2025-05-20 00:00:00</v>
          </cell>
          <cell r="BL845" t="str">
            <v>Airport EG-918</v>
          </cell>
          <cell r="BM845" t="str">
            <v>No</v>
          </cell>
          <cell r="BN845" t="str">
            <v>No</v>
          </cell>
          <cell r="BO845" t="str">
            <v>CPay-000000005</v>
          </cell>
        </row>
        <row r="846">
          <cell r="B846" t="str">
            <v>338781</v>
          </cell>
          <cell r="C846" t="str">
            <v>148.0000000000000000</v>
          </cell>
          <cell r="E846" t="str">
            <v>Cust</v>
          </cell>
          <cell r="G846" t="str">
            <v>No</v>
          </cell>
          <cell r="H846" t="str">
            <v>1900-01-01 00:00:00</v>
          </cell>
          <cell r="K846" t="str">
            <v>M-P</v>
          </cell>
          <cell r="L846" t="str">
            <v>1653.000000</v>
          </cell>
          <cell r="AL846" t="str">
            <v>338781</v>
          </cell>
          <cell r="BC846" t="str">
            <v>Cust-PP</v>
          </cell>
          <cell r="BD846" t="str">
            <v>1.9607843137254900</v>
          </cell>
          <cell r="BE846" t="str">
            <v>.0000000000000000</v>
          </cell>
          <cell r="BF846" t="str">
            <v>.0000000000000000</v>
          </cell>
          <cell r="BG846" t="str">
            <v>None</v>
          </cell>
          <cell r="BK846" t="str">
            <v>2025-05-20 00:00:00</v>
          </cell>
          <cell r="BL846" t="str">
            <v>Airport EG-915</v>
          </cell>
          <cell r="BM846" t="str">
            <v>No</v>
          </cell>
          <cell r="BN846" t="str">
            <v>No</v>
          </cell>
          <cell r="BO846" t="str">
            <v>CPay-000000005</v>
          </cell>
        </row>
        <row r="847">
          <cell r="B847" t="str">
            <v>338782</v>
          </cell>
          <cell r="C847" t="str">
            <v>149.0000000000000000</v>
          </cell>
          <cell r="E847" t="str">
            <v>Cust</v>
          </cell>
          <cell r="G847" t="str">
            <v>No</v>
          </cell>
          <cell r="H847" t="str">
            <v>1900-01-01 00:00:00</v>
          </cell>
          <cell r="K847" t="str">
            <v>M-P</v>
          </cell>
          <cell r="L847" t="str">
            <v>296.400000</v>
          </cell>
          <cell r="AL847" t="str">
            <v>338782</v>
          </cell>
          <cell r="BC847" t="str">
            <v>Cust-PP</v>
          </cell>
          <cell r="BD847" t="str">
            <v>1.9607843137254900</v>
          </cell>
          <cell r="BE847" t="str">
            <v>.0000000000000000</v>
          </cell>
          <cell r="BF847" t="str">
            <v>.0000000000000000</v>
          </cell>
          <cell r="BG847" t="str">
            <v>None</v>
          </cell>
          <cell r="BK847" t="str">
            <v>2025-05-20 00:00:00</v>
          </cell>
          <cell r="BL847" t="str">
            <v>Airport EG-916</v>
          </cell>
          <cell r="BM847" t="str">
            <v>No</v>
          </cell>
          <cell r="BN847" t="str">
            <v>No</v>
          </cell>
          <cell r="BO847" t="str">
            <v>CPay-000000005</v>
          </cell>
        </row>
        <row r="848">
          <cell r="B848" t="str">
            <v>338588</v>
          </cell>
          <cell r="C848" t="str">
            <v>150.0000000000000000</v>
          </cell>
          <cell r="E848" t="str">
            <v>Cust</v>
          </cell>
          <cell r="G848" t="str">
            <v>No</v>
          </cell>
          <cell r="H848" t="str">
            <v>1900-01-01 00:00:00</v>
          </cell>
          <cell r="K848" t="str">
            <v>M-P</v>
          </cell>
          <cell r="L848" t="str">
            <v>1653.000000</v>
          </cell>
          <cell r="AL848" t="str">
            <v>338588</v>
          </cell>
          <cell r="BC848" t="str">
            <v>Cust-PP</v>
          </cell>
          <cell r="BD848" t="str">
            <v>1.9607843137254900</v>
          </cell>
          <cell r="BE848" t="str">
            <v>.0000000000000000</v>
          </cell>
          <cell r="BF848" t="str">
            <v>.0000000000000000</v>
          </cell>
          <cell r="BG848" t="str">
            <v>None</v>
          </cell>
          <cell r="BK848" t="str">
            <v>2025-05-22 00:00:00</v>
          </cell>
          <cell r="BL848" t="str">
            <v>Airport EG-932</v>
          </cell>
          <cell r="BM848" t="str">
            <v>No</v>
          </cell>
          <cell r="BN848" t="str">
            <v>No</v>
          </cell>
          <cell r="BO848" t="str">
            <v>CPay-000000005</v>
          </cell>
        </row>
        <row r="849">
          <cell r="B849" t="str">
            <v>338589</v>
          </cell>
          <cell r="C849" t="str">
            <v>151.0000000000000000</v>
          </cell>
          <cell r="E849" t="str">
            <v>Cust</v>
          </cell>
          <cell r="G849" t="str">
            <v>No</v>
          </cell>
          <cell r="H849" t="str">
            <v>1900-01-01 00:00:00</v>
          </cell>
          <cell r="K849" t="str">
            <v>M-P</v>
          </cell>
          <cell r="L849" t="str">
            <v>333.110000</v>
          </cell>
          <cell r="AL849" t="str">
            <v>338589</v>
          </cell>
          <cell r="BC849" t="str">
            <v>Cust-PP</v>
          </cell>
          <cell r="BD849" t="str">
            <v>1.9607843137254900</v>
          </cell>
          <cell r="BE849" t="str">
            <v>.0000000000000000</v>
          </cell>
          <cell r="BF849" t="str">
            <v>.0000000000000000</v>
          </cell>
          <cell r="BG849" t="str">
            <v>None</v>
          </cell>
          <cell r="BK849" t="str">
            <v>2025-05-22 00:00:00</v>
          </cell>
          <cell r="BL849" t="str">
            <v>Airport EG-933</v>
          </cell>
          <cell r="BM849" t="str">
            <v>No</v>
          </cell>
          <cell r="BN849" t="str">
            <v>No</v>
          </cell>
          <cell r="BO849" t="str">
            <v>CPay-000000005</v>
          </cell>
        </row>
        <row r="850">
          <cell r="B850" t="str">
            <v>338609</v>
          </cell>
          <cell r="C850" t="str">
            <v>152.0000000000000000</v>
          </cell>
          <cell r="E850" t="str">
            <v>Cust</v>
          </cell>
          <cell r="G850" t="str">
            <v>No</v>
          </cell>
          <cell r="H850" t="str">
            <v>1900-01-01 00:00:00</v>
          </cell>
          <cell r="K850" t="str">
            <v>M-P</v>
          </cell>
          <cell r="L850" t="str">
            <v>1653.000000</v>
          </cell>
          <cell r="AL850" t="str">
            <v>338609</v>
          </cell>
          <cell r="BC850" t="str">
            <v>Cust-PP</v>
          </cell>
          <cell r="BD850" t="str">
            <v>1.9607843137254900</v>
          </cell>
          <cell r="BE850" t="str">
            <v>.0000000000000000</v>
          </cell>
          <cell r="BF850" t="str">
            <v>.0000000000000000</v>
          </cell>
          <cell r="BG850" t="str">
            <v>None</v>
          </cell>
          <cell r="BK850" t="str">
            <v>2025-05-22 00:00:00</v>
          </cell>
          <cell r="BL850" t="str">
            <v>Airport EG-927</v>
          </cell>
          <cell r="BM850" t="str">
            <v>No</v>
          </cell>
          <cell r="BN850" t="str">
            <v>No</v>
          </cell>
          <cell r="BO850" t="str">
            <v>CPay-000000005</v>
          </cell>
        </row>
        <row r="851">
          <cell r="B851" t="str">
            <v>338610</v>
          </cell>
          <cell r="C851" t="str">
            <v>153.0000000000000000</v>
          </cell>
          <cell r="E851" t="str">
            <v>Cust</v>
          </cell>
          <cell r="G851" t="str">
            <v>No</v>
          </cell>
          <cell r="H851" t="str">
            <v>1900-01-01 00:00:00</v>
          </cell>
          <cell r="K851" t="str">
            <v>M-P</v>
          </cell>
          <cell r="L851" t="str">
            <v>1154.820000</v>
          </cell>
          <cell r="AL851" t="str">
            <v>338610</v>
          </cell>
          <cell r="BC851" t="str">
            <v>Cust-PP</v>
          </cell>
          <cell r="BD851" t="str">
            <v>1.9607843137254900</v>
          </cell>
          <cell r="BE851" t="str">
            <v>.0000000000000000</v>
          </cell>
          <cell r="BF851" t="str">
            <v>.0000000000000000</v>
          </cell>
          <cell r="BG851" t="str">
            <v>None</v>
          </cell>
          <cell r="BK851" t="str">
            <v>2025-05-22 00:00:00</v>
          </cell>
          <cell r="BL851" t="str">
            <v>Airport EG-928</v>
          </cell>
          <cell r="BM851" t="str">
            <v>No</v>
          </cell>
          <cell r="BN851" t="str">
            <v>No</v>
          </cell>
          <cell r="BO851" t="str">
            <v>CPay-000000005</v>
          </cell>
        </row>
        <row r="852">
          <cell r="B852" t="str">
            <v>338611</v>
          </cell>
          <cell r="C852" t="str">
            <v>154.0000000000000000</v>
          </cell>
          <cell r="E852" t="str">
            <v>Cust</v>
          </cell>
          <cell r="G852" t="str">
            <v>No</v>
          </cell>
          <cell r="H852" t="str">
            <v>1900-01-01 00:00:00</v>
          </cell>
          <cell r="K852" t="str">
            <v>M-P</v>
          </cell>
          <cell r="L852" t="str">
            <v>1653.000000</v>
          </cell>
          <cell r="AL852" t="str">
            <v>338611</v>
          </cell>
          <cell r="BC852" t="str">
            <v>Cust-PP</v>
          </cell>
          <cell r="BD852" t="str">
            <v>1.9607843137254900</v>
          </cell>
          <cell r="BE852" t="str">
            <v>.0000000000000000</v>
          </cell>
          <cell r="BF852" t="str">
            <v>.0000000000000000</v>
          </cell>
          <cell r="BG852" t="str">
            <v>None</v>
          </cell>
          <cell r="BK852" t="str">
            <v>2025-05-22 00:00:00</v>
          </cell>
          <cell r="BL852" t="str">
            <v>Airport EG-929</v>
          </cell>
          <cell r="BM852" t="str">
            <v>No</v>
          </cell>
          <cell r="BN852" t="str">
            <v>No</v>
          </cell>
          <cell r="BO852" t="str">
            <v>CPay-000000005</v>
          </cell>
        </row>
        <row r="853">
          <cell r="B853" t="str">
            <v>338612</v>
          </cell>
          <cell r="C853" t="str">
            <v>155.0000000000000000</v>
          </cell>
          <cell r="E853" t="str">
            <v>Cust</v>
          </cell>
          <cell r="G853" t="str">
            <v>No</v>
          </cell>
          <cell r="H853" t="str">
            <v>1900-01-01 00:00:00</v>
          </cell>
          <cell r="K853" t="str">
            <v>M-P</v>
          </cell>
          <cell r="L853" t="str">
            <v>403.900000</v>
          </cell>
          <cell r="AL853" t="str">
            <v>338612</v>
          </cell>
          <cell r="BC853" t="str">
            <v>Cust-PP</v>
          </cell>
          <cell r="BD853" t="str">
            <v>1.9607843137254900</v>
          </cell>
          <cell r="BE853" t="str">
            <v>.0000000000000000</v>
          </cell>
          <cell r="BF853" t="str">
            <v>.0000000000000000</v>
          </cell>
          <cell r="BG853" t="str">
            <v>None</v>
          </cell>
          <cell r="BK853" t="str">
            <v>2025-05-22 00:00:00</v>
          </cell>
          <cell r="BL853" t="str">
            <v>Airport EG-930</v>
          </cell>
          <cell r="BM853" t="str">
            <v>No</v>
          </cell>
          <cell r="BN853" t="str">
            <v>No</v>
          </cell>
          <cell r="BO853" t="str">
            <v>CPay-000000005</v>
          </cell>
        </row>
        <row r="854">
          <cell r="B854" t="str">
            <v>338526</v>
          </cell>
          <cell r="C854" t="str">
            <v>156.0000000000000000</v>
          </cell>
          <cell r="E854" t="str">
            <v>Cust</v>
          </cell>
          <cell r="G854" t="str">
            <v>No</v>
          </cell>
          <cell r="H854" t="str">
            <v>1900-01-01 00:00:00</v>
          </cell>
          <cell r="K854" t="str">
            <v>M-P</v>
          </cell>
          <cell r="L854" t="str">
            <v>1653.000000</v>
          </cell>
          <cell r="AL854" t="str">
            <v>338526</v>
          </cell>
          <cell r="BC854" t="str">
            <v>Cust-PP</v>
          </cell>
          <cell r="BD854" t="str">
            <v>1.9607843137254900</v>
          </cell>
          <cell r="BE854" t="str">
            <v>.0000000000000000</v>
          </cell>
          <cell r="BF854" t="str">
            <v>.0000000000000000</v>
          </cell>
          <cell r="BG854" t="str">
            <v>None</v>
          </cell>
          <cell r="BK854" t="str">
            <v>2025-05-24 00:00:00</v>
          </cell>
          <cell r="BL854" t="str">
            <v>Airport EG-939</v>
          </cell>
          <cell r="BM854" t="str">
            <v>No</v>
          </cell>
          <cell r="BN854" t="str">
            <v>No</v>
          </cell>
          <cell r="BO854" t="str">
            <v>CPay-000000005</v>
          </cell>
        </row>
        <row r="855">
          <cell r="B855" t="str">
            <v>338527</v>
          </cell>
          <cell r="C855" t="str">
            <v>157.0000000000000000</v>
          </cell>
          <cell r="E855" t="str">
            <v>Cust</v>
          </cell>
          <cell r="G855" t="str">
            <v>No</v>
          </cell>
          <cell r="H855" t="str">
            <v>1900-01-01 00:00:00</v>
          </cell>
          <cell r="K855" t="str">
            <v>M-P</v>
          </cell>
          <cell r="L855" t="str">
            <v>285.000000</v>
          </cell>
          <cell r="AL855" t="str">
            <v>338527</v>
          </cell>
          <cell r="BC855" t="str">
            <v>Cust-PP</v>
          </cell>
          <cell r="BD855" t="str">
            <v>1.9607843137254900</v>
          </cell>
          <cell r="BE855" t="str">
            <v>.0000000000000000</v>
          </cell>
          <cell r="BF855" t="str">
            <v>.0000000000000000</v>
          </cell>
          <cell r="BG855" t="str">
            <v>None</v>
          </cell>
          <cell r="BK855" t="str">
            <v>2025-05-24 00:00:00</v>
          </cell>
          <cell r="BL855" t="str">
            <v>Airport EG-940</v>
          </cell>
          <cell r="BM855" t="str">
            <v>No</v>
          </cell>
          <cell r="BN855" t="str">
            <v>No</v>
          </cell>
          <cell r="BO855" t="str">
            <v>CPay-000000005</v>
          </cell>
        </row>
        <row r="856">
          <cell r="B856" t="str">
            <v>338528</v>
          </cell>
          <cell r="C856" t="str">
            <v>158.0000000000000000</v>
          </cell>
          <cell r="E856" t="str">
            <v>Cust</v>
          </cell>
          <cell r="G856" t="str">
            <v>No</v>
          </cell>
          <cell r="H856" t="str">
            <v>1900-01-01 00:00:00</v>
          </cell>
          <cell r="K856" t="str">
            <v>M-P</v>
          </cell>
          <cell r="L856" t="str">
            <v>1653.000000</v>
          </cell>
          <cell r="AL856" t="str">
            <v>338528</v>
          </cell>
          <cell r="BC856" t="str">
            <v>Cust-PP</v>
          </cell>
          <cell r="BD856" t="str">
            <v>1.9607843137254900</v>
          </cell>
          <cell r="BE856" t="str">
            <v>.0000000000000000</v>
          </cell>
          <cell r="BF856" t="str">
            <v>.0000000000000000</v>
          </cell>
          <cell r="BG856" t="str">
            <v>None</v>
          </cell>
          <cell r="BK856" t="str">
            <v>2025-05-24 00:00:00</v>
          </cell>
          <cell r="BL856" t="str">
            <v>Airport EG-941</v>
          </cell>
          <cell r="BM856" t="str">
            <v>No</v>
          </cell>
          <cell r="BN856" t="str">
            <v>No</v>
          </cell>
          <cell r="BO856" t="str">
            <v>CPay-000000005</v>
          </cell>
        </row>
        <row r="857">
          <cell r="B857" t="str">
            <v>338529</v>
          </cell>
          <cell r="C857" t="str">
            <v>159.0000000000000000</v>
          </cell>
          <cell r="E857" t="str">
            <v>Cust</v>
          </cell>
          <cell r="G857" t="str">
            <v>No</v>
          </cell>
          <cell r="H857" t="str">
            <v>1900-01-01 00:00:00</v>
          </cell>
          <cell r="K857" t="str">
            <v>M-P</v>
          </cell>
          <cell r="L857" t="str">
            <v>296.400000</v>
          </cell>
          <cell r="AL857" t="str">
            <v>338529</v>
          </cell>
          <cell r="BC857" t="str">
            <v>Cust-PP</v>
          </cell>
          <cell r="BD857" t="str">
            <v>1.9607843137254900</v>
          </cell>
          <cell r="BE857" t="str">
            <v>.0000000000000000</v>
          </cell>
          <cell r="BF857" t="str">
            <v>.0000000000000000</v>
          </cell>
          <cell r="BG857" t="str">
            <v>None</v>
          </cell>
          <cell r="BK857" t="str">
            <v>2025-05-24 00:00:00</v>
          </cell>
          <cell r="BL857" t="str">
            <v>Airport EG-942</v>
          </cell>
          <cell r="BM857" t="str">
            <v>No</v>
          </cell>
          <cell r="BN857" t="str">
            <v>No</v>
          </cell>
          <cell r="BO857" t="str">
            <v>CPay-000000005</v>
          </cell>
        </row>
        <row r="858">
          <cell r="B858" t="str">
            <v>338535</v>
          </cell>
          <cell r="C858" t="str">
            <v>160.0000000000000000</v>
          </cell>
          <cell r="E858" t="str">
            <v>Cust</v>
          </cell>
          <cell r="G858" t="str">
            <v>No</v>
          </cell>
          <cell r="H858" t="str">
            <v>1900-01-01 00:00:00</v>
          </cell>
          <cell r="K858" t="str">
            <v>M-P</v>
          </cell>
          <cell r="L858" t="str">
            <v>852.720000</v>
          </cell>
          <cell r="AL858" t="str">
            <v>338535</v>
          </cell>
          <cell r="BC858" t="str">
            <v>Cust-PP</v>
          </cell>
          <cell r="BD858" t="str">
            <v>1.9607843137254900</v>
          </cell>
          <cell r="BE858" t="str">
            <v>.0000000000000000</v>
          </cell>
          <cell r="BF858" t="str">
            <v>.0000000000000000</v>
          </cell>
          <cell r="BG858" t="str">
            <v>None</v>
          </cell>
          <cell r="BK858" t="str">
            <v>2025-05-24 00:00:00</v>
          </cell>
          <cell r="BL858" t="str">
            <v>Airport EG-938</v>
          </cell>
          <cell r="BM858" t="str">
            <v>No</v>
          </cell>
          <cell r="BN858" t="str">
            <v>No</v>
          </cell>
          <cell r="BO858" t="str">
            <v>CPay-000000005</v>
          </cell>
        </row>
        <row r="859">
          <cell r="B859" t="str">
            <v>338552</v>
          </cell>
          <cell r="C859" t="str">
            <v>161.0000000000000000</v>
          </cell>
          <cell r="E859" t="str">
            <v>Cust</v>
          </cell>
          <cell r="G859" t="str">
            <v>No</v>
          </cell>
          <cell r="H859" t="str">
            <v>1900-01-01 00:00:00</v>
          </cell>
          <cell r="K859" t="str">
            <v>M-P</v>
          </cell>
          <cell r="L859" t="str">
            <v>1653.000000</v>
          </cell>
          <cell r="AL859" t="str">
            <v>338552</v>
          </cell>
          <cell r="BC859" t="str">
            <v>Cust-PP</v>
          </cell>
          <cell r="BD859" t="str">
            <v>1.9607843137254900</v>
          </cell>
          <cell r="BE859" t="str">
            <v>.0000000000000000</v>
          </cell>
          <cell r="BF859" t="str">
            <v>.0000000000000000</v>
          </cell>
          <cell r="BG859" t="str">
            <v>None</v>
          </cell>
          <cell r="BK859" t="str">
            <v>2025-05-24 00:00:00</v>
          </cell>
          <cell r="BL859" t="str">
            <v>Airport EG-937</v>
          </cell>
          <cell r="BM859" t="str">
            <v>No</v>
          </cell>
          <cell r="BN859" t="str">
            <v>No</v>
          </cell>
          <cell r="BO859" t="str">
            <v>CPay-000000005</v>
          </cell>
        </row>
        <row r="860">
          <cell r="B860" t="str">
            <v>338557</v>
          </cell>
          <cell r="C860" t="str">
            <v>162.0000000000000000</v>
          </cell>
          <cell r="E860" t="str">
            <v>Cust</v>
          </cell>
          <cell r="G860" t="str">
            <v>No</v>
          </cell>
          <cell r="H860" t="str">
            <v>1900-01-01 00:00:00</v>
          </cell>
          <cell r="K860" t="str">
            <v>M-P</v>
          </cell>
          <cell r="L860" t="str">
            <v>1653.000000</v>
          </cell>
          <cell r="AL860" t="str">
            <v>338557</v>
          </cell>
          <cell r="BC860" t="str">
            <v>Cust-PP</v>
          </cell>
          <cell r="BD860" t="str">
            <v>1.9607843137254900</v>
          </cell>
          <cell r="BE860" t="str">
            <v>.0000000000000000</v>
          </cell>
          <cell r="BF860" t="str">
            <v>.0000000000000000</v>
          </cell>
          <cell r="BG860" t="str">
            <v>None</v>
          </cell>
          <cell r="BK860" t="str">
            <v>2025-05-24 00:00:00</v>
          </cell>
          <cell r="BL860" t="str">
            <v>Airport EG-935</v>
          </cell>
          <cell r="BM860" t="str">
            <v>No</v>
          </cell>
          <cell r="BN860" t="str">
            <v>No</v>
          </cell>
          <cell r="BO860" t="str">
            <v>CPay-000000005</v>
          </cell>
        </row>
        <row r="861">
          <cell r="B861" t="str">
            <v>338558</v>
          </cell>
          <cell r="C861" t="str">
            <v>163.0000000000000000</v>
          </cell>
          <cell r="E861" t="str">
            <v>Cust</v>
          </cell>
          <cell r="G861" t="str">
            <v>No</v>
          </cell>
          <cell r="H861" t="str">
            <v>1900-01-01 00:00:00</v>
          </cell>
          <cell r="K861" t="str">
            <v>M-P</v>
          </cell>
          <cell r="L861" t="str">
            <v>285.000000</v>
          </cell>
          <cell r="AL861" t="str">
            <v>338558</v>
          </cell>
          <cell r="BC861" t="str">
            <v>Cust-PP</v>
          </cell>
          <cell r="BD861" t="str">
            <v>1.9607843137254900</v>
          </cell>
          <cell r="BE861" t="str">
            <v>.0000000000000000</v>
          </cell>
          <cell r="BF861" t="str">
            <v>.0000000000000000</v>
          </cell>
          <cell r="BG861" t="str">
            <v>None</v>
          </cell>
          <cell r="BK861" t="str">
            <v>2025-05-24 00:00:00</v>
          </cell>
          <cell r="BL861" t="str">
            <v>Airport EG-936</v>
          </cell>
          <cell r="BM861" t="str">
            <v>No</v>
          </cell>
          <cell r="BN861" t="str">
            <v>No</v>
          </cell>
          <cell r="BO861" t="str">
            <v>CPay-000000005</v>
          </cell>
        </row>
        <row r="862">
          <cell r="B862" t="str">
            <v>338475</v>
          </cell>
          <cell r="C862" t="str">
            <v>164.0000000000000000</v>
          </cell>
          <cell r="E862" t="str">
            <v>Cust</v>
          </cell>
          <cell r="G862" t="str">
            <v>No</v>
          </cell>
          <cell r="H862" t="str">
            <v>1900-01-01 00:00:00</v>
          </cell>
          <cell r="K862" t="str">
            <v>M-P</v>
          </cell>
          <cell r="L862" t="str">
            <v>1653.000000</v>
          </cell>
          <cell r="AL862" t="str">
            <v>338475</v>
          </cell>
          <cell r="BC862" t="str">
            <v>Cust-PP</v>
          </cell>
          <cell r="BD862" t="str">
            <v>1.9607843137254900</v>
          </cell>
          <cell r="BE862" t="str">
            <v>.0000000000000000</v>
          </cell>
          <cell r="BF862" t="str">
            <v>.0000000000000000</v>
          </cell>
          <cell r="BG862" t="str">
            <v>None</v>
          </cell>
          <cell r="BK862" t="str">
            <v>2025-05-25 00:00:00</v>
          </cell>
          <cell r="BL862" t="str">
            <v>Airport EG-944</v>
          </cell>
          <cell r="BM862" t="str">
            <v>No</v>
          </cell>
          <cell r="BN862" t="str">
            <v>No</v>
          </cell>
          <cell r="BO862" t="str">
            <v>CPay-000000005</v>
          </cell>
        </row>
        <row r="863">
          <cell r="B863" t="str">
            <v>338476</v>
          </cell>
          <cell r="C863" t="str">
            <v>165.0000000000000000</v>
          </cell>
          <cell r="E863" t="str">
            <v>Cust</v>
          </cell>
          <cell r="G863" t="str">
            <v>No</v>
          </cell>
          <cell r="H863" t="str">
            <v>1900-01-01 00:00:00</v>
          </cell>
          <cell r="K863" t="str">
            <v>M-P</v>
          </cell>
          <cell r="L863" t="str">
            <v>406.520000</v>
          </cell>
          <cell r="AL863" t="str">
            <v>338476</v>
          </cell>
          <cell r="BC863" t="str">
            <v>Cust-PP</v>
          </cell>
          <cell r="BD863" t="str">
            <v>1.9607843137254900</v>
          </cell>
          <cell r="BE863" t="str">
            <v>.0000000000000000</v>
          </cell>
          <cell r="BF863" t="str">
            <v>.0000000000000000</v>
          </cell>
          <cell r="BG863" t="str">
            <v>None</v>
          </cell>
          <cell r="BK863" t="str">
            <v>2025-05-25 00:00:00</v>
          </cell>
          <cell r="BL863" t="str">
            <v>Airport EG-945</v>
          </cell>
          <cell r="BM863" t="str">
            <v>No</v>
          </cell>
          <cell r="BN863" t="str">
            <v>No</v>
          </cell>
          <cell r="BO863" t="str">
            <v>CPay-000000005</v>
          </cell>
        </row>
        <row r="864">
          <cell r="B864" t="str">
            <v>338479</v>
          </cell>
          <cell r="C864" t="str">
            <v>166.0000000000000000</v>
          </cell>
          <cell r="E864" t="str">
            <v>Cust</v>
          </cell>
          <cell r="G864" t="str">
            <v>No</v>
          </cell>
          <cell r="H864" t="str">
            <v>1900-01-01 00:00:00</v>
          </cell>
          <cell r="K864" t="str">
            <v>M-P</v>
          </cell>
          <cell r="L864" t="str">
            <v>1653.000000</v>
          </cell>
          <cell r="AL864" t="str">
            <v>338479</v>
          </cell>
          <cell r="BC864" t="str">
            <v>Cust-PP</v>
          </cell>
          <cell r="BD864" t="str">
            <v>1.9607843137254900</v>
          </cell>
          <cell r="BE864" t="str">
            <v>.0000000000000000</v>
          </cell>
          <cell r="BF864" t="str">
            <v>.0000000000000000</v>
          </cell>
          <cell r="BG864" t="str">
            <v>None</v>
          </cell>
          <cell r="BK864" t="str">
            <v>2025-05-25 00:00:00</v>
          </cell>
          <cell r="BL864" t="str">
            <v>Airport EG-946</v>
          </cell>
          <cell r="BM864" t="str">
            <v>No</v>
          </cell>
          <cell r="BN864" t="str">
            <v>No</v>
          </cell>
          <cell r="BO864" t="str">
            <v>CPay-000000005</v>
          </cell>
        </row>
        <row r="865">
          <cell r="B865" t="str">
            <v>338480</v>
          </cell>
          <cell r="C865" t="str">
            <v>167.0000000000000000</v>
          </cell>
          <cell r="E865" t="str">
            <v>Cust</v>
          </cell>
          <cell r="G865" t="str">
            <v>No</v>
          </cell>
          <cell r="H865" t="str">
            <v>1900-01-01 00:00:00</v>
          </cell>
          <cell r="K865" t="str">
            <v>M-P</v>
          </cell>
          <cell r="L865" t="str">
            <v>296.400000</v>
          </cell>
          <cell r="AL865" t="str">
            <v>338480</v>
          </cell>
          <cell r="BC865" t="str">
            <v>Cust-PP</v>
          </cell>
          <cell r="BD865" t="str">
            <v>1.9607843137254900</v>
          </cell>
          <cell r="BE865" t="str">
            <v>.0000000000000000</v>
          </cell>
          <cell r="BF865" t="str">
            <v>.0000000000000000</v>
          </cell>
          <cell r="BG865" t="str">
            <v>None</v>
          </cell>
          <cell r="BK865" t="str">
            <v>2025-05-25 00:00:00</v>
          </cell>
          <cell r="BL865" t="str">
            <v>Airport EG-947</v>
          </cell>
          <cell r="BM865" t="str">
            <v>No</v>
          </cell>
          <cell r="BN865" t="str">
            <v>No</v>
          </cell>
          <cell r="BO865" t="str">
            <v>CPay-000000005</v>
          </cell>
        </row>
        <row r="866">
          <cell r="B866" t="str">
            <v>338481</v>
          </cell>
          <cell r="C866" t="str">
            <v>168.0000000000000000</v>
          </cell>
          <cell r="E866" t="str">
            <v>Cust</v>
          </cell>
          <cell r="G866" t="str">
            <v>No</v>
          </cell>
          <cell r="H866" t="str">
            <v>1900-01-01 00:00:00</v>
          </cell>
          <cell r="K866" t="str">
            <v>M-P</v>
          </cell>
          <cell r="L866" t="str">
            <v>1653.000000</v>
          </cell>
          <cell r="AL866" t="str">
            <v>338481</v>
          </cell>
          <cell r="BC866" t="str">
            <v>Cust-PP</v>
          </cell>
          <cell r="BD866" t="str">
            <v>1.9607843137254900</v>
          </cell>
          <cell r="BE866" t="str">
            <v>.0000000000000000</v>
          </cell>
          <cell r="BF866" t="str">
            <v>.0000000000000000</v>
          </cell>
          <cell r="BG866" t="str">
            <v>None</v>
          </cell>
          <cell r="BK866" t="str">
            <v>2025-05-25 00:00:00</v>
          </cell>
          <cell r="BL866" t="str">
            <v>Airport EG-948</v>
          </cell>
          <cell r="BM866" t="str">
            <v>No</v>
          </cell>
          <cell r="BN866" t="str">
            <v>No</v>
          </cell>
          <cell r="BO866" t="str">
            <v>CPay-000000005</v>
          </cell>
        </row>
        <row r="867">
          <cell r="B867" t="str">
            <v>338482</v>
          </cell>
          <cell r="C867" t="str">
            <v>169.0000000000000000</v>
          </cell>
          <cell r="E867" t="str">
            <v>Cust</v>
          </cell>
          <cell r="G867" t="str">
            <v>No</v>
          </cell>
          <cell r="H867" t="str">
            <v>1900-01-01 00:00:00</v>
          </cell>
          <cell r="K867" t="str">
            <v>M-P</v>
          </cell>
          <cell r="L867" t="str">
            <v>296.400000</v>
          </cell>
          <cell r="AL867" t="str">
            <v>338482</v>
          </cell>
          <cell r="BC867" t="str">
            <v>Cust-PP</v>
          </cell>
          <cell r="BD867" t="str">
            <v>1.9607843137254900</v>
          </cell>
          <cell r="BE867" t="str">
            <v>.0000000000000000</v>
          </cell>
          <cell r="BF867" t="str">
            <v>.0000000000000000</v>
          </cell>
          <cell r="BG867" t="str">
            <v>None</v>
          </cell>
          <cell r="BK867" t="str">
            <v>2025-05-25 00:00:00</v>
          </cell>
          <cell r="BL867" t="str">
            <v>Airport EG-949</v>
          </cell>
          <cell r="BM867" t="str">
            <v>No</v>
          </cell>
          <cell r="BN867" t="str">
            <v>No</v>
          </cell>
          <cell r="BO867" t="str">
            <v>CPay-000000005</v>
          </cell>
        </row>
        <row r="868">
          <cell r="B868" t="str">
            <v>338503</v>
          </cell>
          <cell r="C868" t="str">
            <v>170.0000000000000000</v>
          </cell>
          <cell r="E868" t="str">
            <v>Cust</v>
          </cell>
          <cell r="G868" t="str">
            <v>No</v>
          </cell>
          <cell r="H868" t="str">
            <v>1900-01-01 00:00:00</v>
          </cell>
          <cell r="K868" t="str">
            <v>M-P</v>
          </cell>
          <cell r="L868" t="str">
            <v>2724.370000</v>
          </cell>
          <cell r="AL868" t="str">
            <v>338503</v>
          </cell>
          <cell r="BC868" t="str">
            <v>Cust-PP</v>
          </cell>
          <cell r="BD868" t="str">
            <v>1.9607843137254900</v>
          </cell>
          <cell r="BE868" t="str">
            <v>.0000000000000000</v>
          </cell>
          <cell r="BF868" t="str">
            <v>.0000000000000000</v>
          </cell>
          <cell r="BG868" t="str">
            <v>None</v>
          </cell>
          <cell r="BK868" t="str">
            <v>2025-05-25 00:00:00</v>
          </cell>
          <cell r="BL868" t="str">
            <v>Airport EG-943</v>
          </cell>
          <cell r="BM868" t="str">
            <v>No</v>
          </cell>
          <cell r="BN868" t="str">
            <v>No</v>
          </cell>
          <cell r="BO868" t="str">
            <v>CPay-000000005</v>
          </cell>
        </row>
        <row r="869">
          <cell r="B869" t="str">
            <v>338370</v>
          </cell>
          <cell r="C869" t="str">
            <v>171.0000000000000000</v>
          </cell>
          <cell r="E869" t="str">
            <v>Cust</v>
          </cell>
          <cell r="G869" t="str">
            <v>No</v>
          </cell>
          <cell r="H869" t="str">
            <v>1900-01-01 00:00:00</v>
          </cell>
          <cell r="K869" t="str">
            <v>M-P</v>
          </cell>
          <cell r="L869" t="str">
            <v>1653.000000</v>
          </cell>
          <cell r="AL869" t="str">
            <v>338370</v>
          </cell>
          <cell r="BC869" t="str">
            <v>Cust-PP</v>
          </cell>
          <cell r="BD869" t="str">
            <v>1.9607843137254900</v>
          </cell>
          <cell r="BE869" t="str">
            <v>.0000000000000000</v>
          </cell>
          <cell r="BF869" t="str">
            <v>.0000000000000000</v>
          </cell>
          <cell r="BG869" t="str">
            <v>None</v>
          </cell>
          <cell r="BK869" t="str">
            <v>2025-05-26 00:00:00</v>
          </cell>
          <cell r="BL869" t="str">
            <v>Airport EG-955</v>
          </cell>
          <cell r="BM869" t="str">
            <v>No</v>
          </cell>
          <cell r="BN869" t="str">
            <v>No</v>
          </cell>
          <cell r="BO869" t="str">
            <v>CPay-000000005</v>
          </cell>
        </row>
        <row r="870">
          <cell r="B870" t="str">
            <v>338371</v>
          </cell>
          <cell r="C870" t="str">
            <v>172.0000000000000000</v>
          </cell>
          <cell r="E870" t="str">
            <v>Cust</v>
          </cell>
          <cell r="G870" t="str">
            <v>No</v>
          </cell>
          <cell r="H870" t="str">
            <v>1900-01-01 00:00:00</v>
          </cell>
          <cell r="K870" t="str">
            <v>M-P</v>
          </cell>
          <cell r="L870" t="str">
            <v>296.400000</v>
          </cell>
          <cell r="AL870" t="str">
            <v>338371</v>
          </cell>
          <cell r="BC870" t="str">
            <v>Cust-PP</v>
          </cell>
          <cell r="BD870" t="str">
            <v>1.9607843137254900</v>
          </cell>
          <cell r="BE870" t="str">
            <v>.0000000000000000</v>
          </cell>
          <cell r="BF870" t="str">
            <v>.0000000000000000</v>
          </cell>
          <cell r="BG870" t="str">
            <v>None</v>
          </cell>
          <cell r="BK870" t="str">
            <v>2025-05-26 00:00:00</v>
          </cell>
          <cell r="BL870" t="str">
            <v>Airport EG-956</v>
          </cell>
          <cell r="BM870" t="str">
            <v>No</v>
          </cell>
          <cell r="BN870" t="str">
            <v>No</v>
          </cell>
          <cell r="BO870" t="str">
            <v>CPay-000000005</v>
          </cell>
        </row>
        <row r="871">
          <cell r="B871" t="str">
            <v>338396</v>
          </cell>
          <cell r="C871" t="str">
            <v>173.0000000000000000</v>
          </cell>
          <cell r="E871" t="str">
            <v>Cust</v>
          </cell>
          <cell r="G871" t="str">
            <v>No</v>
          </cell>
          <cell r="H871" t="str">
            <v>1900-01-01 00:00:00</v>
          </cell>
          <cell r="K871" t="str">
            <v>M-P</v>
          </cell>
          <cell r="L871" t="str">
            <v>1653.000000</v>
          </cell>
          <cell r="AL871" t="str">
            <v>338396</v>
          </cell>
          <cell r="BC871" t="str">
            <v>Cust-PP</v>
          </cell>
          <cell r="BD871" t="str">
            <v>1.9607843137254900</v>
          </cell>
          <cell r="BE871" t="str">
            <v>.0000000000000000</v>
          </cell>
          <cell r="BF871" t="str">
            <v>.0000000000000000</v>
          </cell>
          <cell r="BG871" t="str">
            <v>None</v>
          </cell>
          <cell r="BK871" t="str">
            <v>2025-05-26 00:00:00</v>
          </cell>
          <cell r="BL871" t="str">
            <v>Airport EG-952</v>
          </cell>
          <cell r="BM871" t="str">
            <v>No</v>
          </cell>
          <cell r="BN871" t="str">
            <v>No</v>
          </cell>
          <cell r="BO871" t="str">
            <v>CPay-000000005</v>
          </cell>
        </row>
        <row r="872">
          <cell r="B872" t="str">
            <v>338397</v>
          </cell>
          <cell r="C872" t="str">
            <v>174.0000000000000000</v>
          </cell>
          <cell r="E872" t="str">
            <v>Cust</v>
          </cell>
          <cell r="G872" t="str">
            <v>No</v>
          </cell>
          <cell r="H872" t="str">
            <v>1900-01-01 00:00:00</v>
          </cell>
          <cell r="K872" t="str">
            <v>M-P</v>
          </cell>
          <cell r="L872" t="str">
            <v>296.400000</v>
          </cell>
          <cell r="AL872" t="str">
            <v>338397</v>
          </cell>
          <cell r="BC872" t="str">
            <v>Cust-PP</v>
          </cell>
          <cell r="BD872" t="str">
            <v>1.9607843137254900</v>
          </cell>
          <cell r="BE872" t="str">
            <v>.0000000000000000</v>
          </cell>
          <cell r="BF872" t="str">
            <v>.0000000000000000</v>
          </cell>
          <cell r="BG872" t="str">
            <v>None</v>
          </cell>
          <cell r="BK872" t="str">
            <v>2025-05-26 00:00:00</v>
          </cell>
          <cell r="BL872" t="str">
            <v>Airport EG-953</v>
          </cell>
          <cell r="BM872" t="str">
            <v>No</v>
          </cell>
          <cell r="BN872" t="str">
            <v>No</v>
          </cell>
          <cell r="BO872" t="str">
            <v>CPay-000000005</v>
          </cell>
        </row>
        <row r="873">
          <cell r="B873" t="str">
            <v>338427</v>
          </cell>
          <cell r="C873" t="str">
            <v>175.0000000000000000</v>
          </cell>
          <cell r="E873" t="str">
            <v>Cust</v>
          </cell>
          <cell r="G873" t="str">
            <v>No</v>
          </cell>
          <cell r="H873" t="str">
            <v>1900-01-01 00:00:00</v>
          </cell>
          <cell r="K873" t="str">
            <v>M-P</v>
          </cell>
          <cell r="L873" t="str">
            <v>1653.000000</v>
          </cell>
          <cell r="AL873" t="str">
            <v>338427</v>
          </cell>
          <cell r="BC873" t="str">
            <v>Cust-PP</v>
          </cell>
          <cell r="BD873" t="str">
            <v>1.9607843137254900</v>
          </cell>
          <cell r="BE873" t="str">
            <v>.0000000000000000</v>
          </cell>
          <cell r="BF873" t="str">
            <v>.0000000000000000</v>
          </cell>
          <cell r="BG873" t="str">
            <v>None</v>
          </cell>
          <cell r="BK873" t="str">
            <v>2025-05-26 00:00:00</v>
          </cell>
          <cell r="BL873" t="str">
            <v>Airport EG-950</v>
          </cell>
          <cell r="BM873" t="str">
            <v>No</v>
          </cell>
          <cell r="BN873" t="str">
            <v>No</v>
          </cell>
          <cell r="BO873" t="str">
            <v>CPay-000000005</v>
          </cell>
        </row>
        <row r="874">
          <cell r="B874" t="str">
            <v>338428</v>
          </cell>
          <cell r="C874" t="str">
            <v>176.0000000000000000</v>
          </cell>
          <cell r="E874" t="str">
            <v>Cust</v>
          </cell>
          <cell r="G874" t="str">
            <v>No</v>
          </cell>
          <cell r="H874" t="str">
            <v>1900-01-01 00:00:00</v>
          </cell>
          <cell r="K874" t="str">
            <v>M-P</v>
          </cell>
          <cell r="L874" t="str">
            <v>296.400000</v>
          </cell>
          <cell r="AL874" t="str">
            <v>338428</v>
          </cell>
          <cell r="BC874" t="str">
            <v>Cust-PP</v>
          </cell>
          <cell r="BD874" t="str">
            <v>1.9607843137254900</v>
          </cell>
          <cell r="BE874" t="str">
            <v>.0000000000000000</v>
          </cell>
          <cell r="BF874" t="str">
            <v>.0000000000000000</v>
          </cell>
          <cell r="BG874" t="str">
            <v>None</v>
          </cell>
          <cell r="BK874" t="str">
            <v>2025-05-26 00:00:00</v>
          </cell>
          <cell r="BL874" t="str">
            <v>Airport EG-951</v>
          </cell>
          <cell r="BM874" t="str">
            <v>No</v>
          </cell>
          <cell r="BN874" t="str">
            <v>No</v>
          </cell>
          <cell r="BO874" t="str">
            <v>CPay-000000005</v>
          </cell>
        </row>
        <row r="875">
          <cell r="B875" t="str">
            <v>338323</v>
          </cell>
          <cell r="C875" t="str">
            <v>177.0000000000000000</v>
          </cell>
          <cell r="E875" t="str">
            <v>Cust</v>
          </cell>
          <cell r="G875" t="str">
            <v>No</v>
          </cell>
          <cell r="H875" t="str">
            <v>1900-01-01 00:00:00</v>
          </cell>
          <cell r="K875" t="str">
            <v>M-P</v>
          </cell>
          <cell r="L875" t="str">
            <v>199.500000</v>
          </cell>
          <cell r="AL875" t="str">
            <v>338323</v>
          </cell>
          <cell r="BC875" t="str">
            <v>Cust-PP</v>
          </cell>
          <cell r="BD875" t="str">
            <v>1.9607843137254900</v>
          </cell>
          <cell r="BE875" t="str">
            <v>.0000000000000000</v>
          </cell>
          <cell r="BF875" t="str">
            <v>.0000000000000000</v>
          </cell>
          <cell r="BG875" t="str">
            <v>None</v>
          </cell>
          <cell r="BK875" t="str">
            <v>2025-05-27 00:00:00</v>
          </cell>
          <cell r="BL875" t="str">
            <v>Airport EG-965</v>
          </cell>
          <cell r="BM875" t="str">
            <v>No</v>
          </cell>
          <cell r="BN875" t="str">
            <v>No</v>
          </cell>
          <cell r="BO875" t="str">
            <v>CPay-000000005</v>
          </cell>
        </row>
        <row r="876">
          <cell r="B876" t="str">
            <v>338334</v>
          </cell>
          <cell r="C876" t="str">
            <v>178.0000000000000000</v>
          </cell>
          <cell r="E876" t="str">
            <v>Cust</v>
          </cell>
          <cell r="G876" t="str">
            <v>No</v>
          </cell>
          <cell r="H876" t="str">
            <v>1900-01-01 00:00:00</v>
          </cell>
          <cell r="K876" t="str">
            <v>M-P</v>
          </cell>
          <cell r="L876" t="str">
            <v>912.000000</v>
          </cell>
          <cell r="AL876" t="str">
            <v>338334</v>
          </cell>
          <cell r="BC876" t="str">
            <v>Cust-PP</v>
          </cell>
          <cell r="BD876" t="str">
            <v>1.9607843137254900</v>
          </cell>
          <cell r="BE876" t="str">
            <v>.0000000000000000</v>
          </cell>
          <cell r="BF876" t="str">
            <v>.0000000000000000</v>
          </cell>
          <cell r="BG876" t="str">
            <v>None</v>
          </cell>
          <cell r="BK876" t="str">
            <v>2025-05-27 00:00:00</v>
          </cell>
          <cell r="BL876" t="str">
            <v>Airport EG-962</v>
          </cell>
          <cell r="BM876" t="str">
            <v>No</v>
          </cell>
          <cell r="BN876" t="str">
            <v>No</v>
          </cell>
          <cell r="BO876" t="str">
            <v>CPay-000000005</v>
          </cell>
        </row>
        <row r="877">
          <cell r="B877" t="str">
            <v>338342</v>
          </cell>
          <cell r="C877" t="str">
            <v>179.0000000000000000</v>
          </cell>
          <cell r="E877" t="str">
            <v>Cust</v>
          </cell>
          <cell r="G877" t="str">
            <v>No</v>
          </cell>
          <cell r="H877" t="str">
            <v>1900-01-01 00:00:00</v>
          </cell>
          <cell r="K877" t="str">
            <v>M-P</v>
          </cell>
          <cell r="L877" t="str">
            <v>1653.000000</v>
          </cell>
          <cell r="AL877" t="str">
            <v>338342</v>
          </cell>
          <cell r="BC877" t="str">
            <v>Cust-PP</v>
          </cell>
          <cell r="BD877" t="str">
            <v>1.9607843137254900</v>
          </cell>
          <cell r="BE877" t="str">
            <v>.0000000000000000</v>
          </cell>
          <cell r="BF877" t="str">
            <v>.0000000000000000</v>
          </cell>
          <cell r="BG877" t="str">
            <v>None</v>
          </cell>
          <cell r="BK877" t="str">
            <v>2025-05-27 00:00:00</v>
          </cell>
          <cell r="BL877" t="str">
            <v>Airport EG-963</v>
          </cell>
          <cell r="BM877" t="str">
            <v>No</v>
          </cell>
          <cell r="BN877" t="str">
            <v>No</v>
          </cell>
          <cell r="BO877" t="str">
            <v>CPay-000000005</v>
          </cell>
        </row>
        <row r="878">
          <cell r="B878" t="str">
            <v>338343</v>
          </cell>
          <cell r="C878" t="str">
            <v>180.0000000000000000</v>
          </cell>
          <cell r="E878" t="str">
            <v>Cust</v>
          </cell>
          <cell r="G878" t="str">
            <v>No</v>
          </cell>
          <cell r="H878" t="str">
            <v>1900-01-01 00:00:00</v>
          </cell>
          <cell r="K878" t="str">
            <v>M-P</v>
          </cell>
          <cell r="L878" t="str">
            <v>199.500000</v>
          </cell>
          <cell r="AL878" t="str">
            <v>338343</v>
          </cell>
          <cell r="BC878" t="str">
            <v>Cust-PP</v>
          </cell>
          <cell r="BD878" t="str">
            <v>1.9607843137254900</v>
          </cell>
          <cell r="BE878" t="str">
            <v>.0000000000000000</v>
          </cell>
          <cell r="BF878" t="str">
            <v>.0000000000000000</v>
          </cell>
          <cell r="BG878" t="str">
            <v>None</v>
          </cell>
          <cell r="BK878" t="str">
            <v>2025-05-27 00:00:00</v>
          </cell>
          <cell r="BL878" t="str">
            <v>Airport EG-964</v>
          </cell>
          <cell r="BM878" t="str">
            <v>No</v>
          </cell>
          <cell r="BN878" t="str">
            <v>No</v>
          </cell>
          <cell r="BO878" t="str">
            <v>CPay-000000005</v>
          </cell>
        </row>
        <row r="879">
          <cell r="B879" t="str">
            <v>338345</v>
          </cell>
          <cell r="C879" t="str">
            <v>181.0000000000000000</v>
          </cell>
          <cell r="E879" t="str">
            <v>Cust</v>
          </cell>
          <cell r="G879" t="str">
            <v>No</v>
          </cell>
          <cell r="H879" t="str">
            <v>1900-01-01 00:00:00</v>
          </cell>
          <cell r="K879" t="str">
            <v>M-P</v>
          </cell>
          <cell r="L879" t="str">
            <v>2052.000000</v>
          </cell>
          <cell r="AL879" t="str">
            <v>338345</v>
          </cell>
          <cell r="BC879" t="str">
            <v>Cust-PP</v>
          </cell>
          <cell r="BD879" t="str">
            <v>1.9607843137254900</v>
          </cell>
          <cell r="BE879" t="str">
            <v>.0000000000000000</v>
          </cell>
          <cell r="BF879" t="str">
            <v>.0000000000000000</v>
          </cell>
          <cell r="BG879" t="str">
            <v>None</v>
          </cell>
          <cell r="BK879" t="str">
            <v>2025-05-27 00:00:00</v>
          </cell>
          <cell r="BL879" t="str">
            <v>Airport EG-957</v>
          </cell>
          <cell r="BM879" t="str">
            <v>No</v>
          </cell>
          <cell r="BN879" t="str">
            <v>No</v>
          </cell>
          <cell r="BO879" t="str">
            <v>CPay-000000005</v>
          </cell>
        </row>
        <row r="880">
          <cell r="B880" t="str">
            <v>338347</v>
          </cell>
          <cell r="C880" t="str">
            <v>182.0000000000000000</v>
          </cell>
          <cell r="E880" t="str">
            <v>Cust</v>
          </cell>
          <cell r="G880" t="str">
            <v>No</v>
          </cell>
          <cell r="H880" t="str">
            <v>1900-01-01 00:00:00</v>
          </cell>
          <cell r="K880" t="str">
            <v>M-P</v>
          </cell>
          <cell r="L880" t="str">
            <v>285.000000</v>
          </cell>
          <cell r="AL880" t="str">
            <v>338347</v>
          </cell>
          <cell r="BC880" t="str">
            <v>Cust-PP</v>
          </cell>
          <cell r="BD880" t="str">
            <v>1.9607843137254900</v>
          </cell>
          <cell r="BE880" t="str">
            <v>.0000000000000000</v>
          </cell>
          <cell r="BF880" t="str">
            <v>.0000000000000000</v>
          </cell>
          <cell r="BG880" t="str">
            <v>None</v>
          </cell>
          <cell r="BK880" t="str">
            <v>2025-05-27 00:00:00</v>
          </cell>
          <cell r="BL880" t="str">
            <v>Airport EG-958</v>
          </cell>
          <cell r="BM880" t="str">
            <v>No</v>
          </cell>
          <cell r="BN880" t="str">
            <v>No</v>
          </cell>
          <cell r="BO880" t="str">
            <v>CPay-000000005</v>
          </cell>
        </row>
        <row r="881">
          <cell r="B881" t="str">
            <v>338351</v>
          </cell>
          <cell r="C881" t="str">
            <v>183.0000000000000000</v>
          </cell>
          <cell r="E881" t="str">
            <v>Cust</v>
          </cell>
          <cell r="G881" t="str">
            <v>No</v>
          </cell>
          <cell r="H881" t="str">
            <v>1900-01-01 00:00:00</v>
          </cell>
          <cell r="K881" t="str">
            <v>M-P</v>
          </cell>
          <cell r="L881" t="str">
            <v>2052.000000</v>
          </cell>
          <cell r="AL881" t="str">
            <v>338351</v>
          </cell>
          <cell r="BC881" t="str">
            <v>Cust-PP</v>
          </cell>
          <cell r="BD881" t="str">
            <v>1.9607843137254900</v>
          </cell>
          <cell r="BE881" t="str">
            <v>.0000000000000000</v>
          </cell>
          <cell r="BF881" t="str">
            <v>.0000000000000000</v>
          </cell>
          <cell r="BG881" t="str">
            <v>None</v>
          </cell>
          <cell r="BK881" t="str">
            <v>2025-05-27 00:00:00</v>
          </cell>
          <cell r="BL881" t="str">
            <v>Airport EG-959</v>
          </cell>
          <cell r="BM881" t="str">
            <v>No</v>
          </cell>
          <cell r="BN881" t="str">
            <v>No</v>
          </cell>
          <cell r="BO881" t="str">
            <v>CPay-000000005</v>
          </cell>
        </row>
        <row r="882">
          <cell r="B882" t="str">
            <v>338352</v>
          </cell>
          <cell r="C882" t="str">
            <v>184.0000000000000000</v>
          </cell>
          <cell r="E882" t="str">
            <v>Cust</v>
          </cell>
          <cell r="G882" t="str">
            <v>No</v>
          </cell>
          <cell r="H882" t="str">
            <v>1900-01-01 00:00:00</v>
          </cell>
          <cell r="K882" t="str">
            <v>M-P</v>
          </cell>
          <cell r="L882" t="str">
            <v>1938.000000</v>
          </cell>
          <cell r="AL882" t="str">
            <v>338352</v>
          </cell>
          <cell r="BC882" t="str">
            <v>Cust-PP</v>
          </cell>
          <cell r="BD882" t="str">
            <v>1.9607843137254900</v>
          </cell>
          <cell r="BE882" t="str">
            <v>.0000000000000000</v>
          </cell>
          <cell r="BF882" t="str">
            <v>.0000000000000000</v>
          </cell>
          <cell r="BG882" t="str">
            <v>None</v>
          </cell>
          <cell r="BK882" t="str">
            <v>2025-05-27 00:00:00</v>
          </cell>
          <cell r="BL882" t="str">
            <v>Airport EG-960</v>
          </cell>
          <cell r="BM882" t="str">
            <v>No</v>
          </cell>
          <cell r="BN882" t="str">
            <v>No</v>
          </cell>
          <cell r="BO882" t="str">
            <v>CPay-000000005</v>
          </cell>
        </row>
        <row r="883">
          <cell r="B883" t="str">
            <v>338353</v>
          </cell>
          <cell r="C883" t="str">
            <v>185.0000000000000000</v>
          </cell>
          <cell r="E883" t="str">
            <v>Cust</v>
          </cell>
          <cell r="G883" t="str">
            <v>No</v>
          </cell>
          <cell r="H883" t="str">
            <v>1900-01-01 00:00:00</v>
          </cell>
          <cell r="K883" t="str">
            <v>M-P</v>
          </cell>
          <cell r="L883" t="str">
            <v>2052.000000</v>
          </cell>
          <cell r="AL883" t="str">
            <v>338353</v>
          </cell>
          <cell r="BC883" t="str">
            <v>Cust-PP</v>
          </cell>
          <cell r="BD883" t="str">
            <v>1.9607843137254900</v>
          </cell>
          <cell r="BE883" t="str">
            <v>.0000000000000000</v>
          </cell>
          <cell r="BF883" t="str">
            <v>.0000000000000000</v>
          </cell>
          <cell r="BG883" t="str">
            <v>None</v>
          </cell>
          <cell r="BK883" t="str">
            <v>2025-05-27 00:00:00</v>
          </cell>
          <cell r="BL883" t="str">
            <v>Airport EG-961</v>
          </cell>
          <cell r="BM883" t="str">
            <v>No</v>
          </cell>
          <cell r="BN883" t="str">
            <v>No</v>
          </cell>
          <cell r="BO883" t="str">
            <v>CPay-000000005</v>
          </cell>
        </row>
        <row r="884">
          <cell r="B884" t="str">
            <v>338214</v>
          </cell>
          <cell r="C884" t="str">
            <v>186.0000000000000000</v>
          </cell>
          <cell r="E884" t="str">
            <v>Cust</v>
          </cell>
          <cell r="G884" t="str">
            <v>No</v>
          </cell>
          <cell r="H884" t="str">
            <v>1900-01-01 00:00:00</v>
          </cell>
          <cell r="K884" t="str">
            <v>M-P</v>
          </cell>
          <cell r="L884" t="str">
            <v>1254.000000</v>
          </cell>
          <cell r="AL884" t="str">
            <v>338214</v>
          </cell>
          <cell r="BC884" t="str">
            <v>Cust-PP</v>
          </cell>
          <cell r="BD884" t="str">
            <v>1.9607843137254900</v>
          </cell>
          <cell r="BE884" t="str">
            <v>.0000000000000000</v>
          </cell>
          <cell r="BF884" t="str">
            <v>.0000000000000000</v>
          </cell>
          <cell r="BG884" t="str">
            <v>None</v>
          </cell>
          <cell r="BK884" t="str">
            <v>2025-05-28 00:00:00</v>
          </cell>
          <cell r="BL884" t="str">
            <v>Airport EG-988</v>
          </cell>
          <cell r="BM884" t="str">
            <v>No</v>
          </cell>
          <cell r="BN884" t="str">
            <v>No</v>
          </cell>
          <cell r="BO884" t="str">
            <v>CPay-000000005</v>
          </cell>
        </row>
        <row r="885">
          <cell r="B885" t="str">
            <v>338215</v>
          </cell>
          <cell r="C885" t="str">
            <v>187.0000000000000000</v>
          </cell>
          <cell r="E885" t="str">
            <v>Cust</v>
          </cell>
          <cell r="G885" t="str">
            <v>No</v>
          </cell>
          <cell r="H885" t="str">
            <v>1900-01-01 00:00:00</v>
          </cell>
          <cell r="K885" t="str">
            <v>M-P</v>
          </cell>
          <cell r="L885" t="str">
            <v>1653.000000</v>
          </cell>
          <cell r="AL885" t="str">
            <v>338215</v>
          </cell>
          <cell r="BC885" t="str">
            <v>Cust-PP</v>
          </cell>
          <cell r="BD885" t="str">
            <v>1.9607843137254900</v>
          </cell>
          <cell r="BE885" t="str">
            <v>.0000000000000000</v>
          </cell>
          <cell r="BF885" t="str">
            <v>.0000000000000000</v>
          </cell>
          <cell r="BG885" t="str">
            <v>None</v>
          </cell>
          <cell r="BK885" t="str">
            <v>2025-05-28 00:00:00</v>
          </cell>
          <cell r="BL885" t="str">
            <v>Airport EG-989</v>
          </cell>
          <cell r="BM885" t="str">
            <v>No</v>
          </cell>
          <cell r="BN885" t="str">
            <v>No</v>
          </cell>
          <cell r="BO885" t="str">
            <v>CPay-000000005</v>
          </cell>
        </row>
        <row r="886">
          <cell r="B886" t="str">
            <v>338216</v>
          </cell>
          <cell r="C886" t="str">
            <v>188.0000000000000000</v>
          </cell>
          <cell r="E886" t="str">
            <v>Cust</v>
          </cell>
          <cell r="G886" t="str">
            <v>No</v>
          </cell>
          <cell r="H886" t="str">
            <v>1900-01-01 00:00:00</v>
          </cell>
          <cell r="K886" t="str">
            <v>M-P</v>
          </cell>
          <cell r="L886" t="str">
            <v>458.960000</v>
          </cell>
          <cell r="AL886" t="str">
            <v>338216</v>
          </cell>
          <cell r="BC886" t="str">
            <v>Cust-PP</v>
          </cell>
          <cell r="BD886" t="str">
            <v>1.9607843137254900</v>
          </cell>
          <cell r="BE886" t="str">
            <v>.0000000000000000</v>
          </cell>
          <cell r="BF886" t="str">
            <v>.0000000000000000</v>
          </cell>
          <cell r="BG886" t="str">
            <v>None</v>
          </cell>
          <cell r="BK886" t="str">
            <v>2025-05-28 00:00:00</v>
          </cell>
          <cell r="BL886" t="str">
            <v>Airport EG-990</v>
          </cell>
          <cell r="BM886" t="str">
            <v>No</v>
          </cell>
          <cell r="BN886" t="str">
            <v>No</v>
          </cell>
          <cell r="BO886" t="str">
            <v>CPay-000000005</v>
          </cell>
        </row>
        <row r="887">
          <cell r="B887" t="str">
            <v>338231</v>
          </cell>
          <cell r="C887" t="str">
            <v>189.0000000000000000</v>
          </cell>
          <cell r="E887" t="str">
            <v>Cust</v>
          </cell>
          <cell r="G887" t="str">
            <v>No</v>
          </cell>
          <cell r="H887" t="str">
            <v>1900-01-01 00:00:00</v>
          </cell>
          <cell r="K887" t="str">
            <v>M-P</v>
          </cell>
          <cell r="L887" t="str">
            <v>2052.000000</v>
          </cell>
          <cell r="AL887" t="str">
            <v>338231</v>
          </cell>
          <cell r="BC887" t="str">
            <v>Cust-PP</v>
          </cell>
          <cell r="BD887" t="str">
            <v>1.9607843137254900</v>
          </cell>
          <cell r="BE887" t="str">
            <v>.0000000000000000</v>
          </cell>
          <cell r="BF887" t="str">
            <v>.0000000000000000</v>
          </cell>
          <cell r="BG887" t="str">
            <v>None</v>
          </cell>
          <cell r="BK887" t="str">
            <v>2025-05-28 00:00:00</v>
          </cell>
          <cell r="BL887" t="str">
            <v>Airport EG-985</v>
          </cell>
          <cell r="BM887" t="str">
            <v>No</v>
          </cell>
          <cell r="BN887" t="str">
            <v>No</v>
          </cell>
          <cell r="BO887" t="str">
            <v>CPay-000000005</v>
          </cell>
        </row>
        <row r="888">
          <cell r="B888" t="str">
            <v>338232</v>
          </cell>
          <cell r="C888" t="str">
            <v>190.0000000000000000</v>
          </cell>
          <cell r="E888" t="str">
            <v>Cust</v>
          </cell>
          <cell r="G888" t="str">
            <v>No</v>
          </cell>
          <cell r="H888" t="str">
            <v>1900-01-01 00:00:00</v>
          </cell>
          <cell r="K888" t="str">
            <v>M-P</v>
          </cell>
          <cell r="L888" t="str">
            <v>1938.000000</v>
          </cell>
          <cell r="AL888" t="str">
            <v>338232</v>
          </cell>
          <cell r="BC888" t="str">
            <v>Cust-PP</v>
          </cell>
          <cell r="BD888" t="str">
            <v>1.9607843137254900</v>
          </cell>
          <cell r="BE888" t="str">
            <v>.0000000000000000</v>
          </cell>
          <cell r="BF888" t="str">
            <v>.0000000000000000</v>
          </cell>
          <cell r="BG888" t="str">
            <v>None</v>
          </cell>
          <cell r="BK888" t="str">
            <v>2025-05-28 00:00:00</v>
          </cell>
          <cell r="BL888" t="str">
            <v>Airport EG-986</v>
          </cell>
          <cell r="BM888" t="str">
            <v>No</v>
          </cell>
          <cell r="BN888" t="str">
            <v>No</v>
          </cell>
          <cell r="BO888" t="str">
            <v>CPay-000000005</v>
          </cell>
        </row>
        <row r="889">
          <cell r="B889" t="str">
            <v>338233</v>
          </cell>
          <cell r="C889" t="str">
            <v>191.0000000000000000</v>
          </cell>
          <cell r="E889" t="str">
            <v>Cust</v>
          </cell>
          <cell r="G889" t="str">
            <v>No</v>
          </cell>
          <cell r="H889" t="str">
            <v>1900-01-01 00:00:00</v>
          </cell>
          <cell r="K889" t="str">
            <v>M-P</v>
          </cell>
          <cell r="L889" t="str">
            <v>2052.000000</v>
          </cell>
          <cell r="AL889" t="str">
            <v>338233</v>
          </cell>
          <cell r="BC889" t="str">
            <v>Cust-PP</v>
          </cell>
          <cell r="BD889" t="str">
            <v>1.9607843137254900</v>
          </cell>
          <cell r="BE889" t="str">
            <v>.0000000000000000</v>
          </cell>
          <cell r="BF889" t="str">
            <v>.0000000000000000</v>
          </cell>
          <cell r="BG889" t="str">
            <v>None</v>
          </cell>
          <cell r="BK889" t="str">
            <v>2025-05-28 00:00:00</v>
          </cell>
          <cell r="BL889" t="str">
            <v>Airport EG-987</v>
          </cell>
          <cell r="BM889" t="str">
            <v>No</v>
          </cell>
          <cell r="BN889" t="str">
            <v>No</v>
          </cell>
          <cell r="BO889" t="str">
            <v>CPay-000000005</v>
          </cell>
        </row>
        <row r="890">
          <cell r="B890" t="str">
            <v>338255</v>
          </cell>
          <cell r="C890" t="str">
            <v>192.0000000000000000</v>
          </cell>
          <cell r="E890" t="str">
            <v>Cust</v>
          </cell>
          <cell r="G890" t="str">
            <v>No</v>
          </cell>
          <cell r="H890" t="str">
            <v>1900-01-01 00:00:00</v>
          </cell>
          <cell r="K890" t="str">
            <v>M-P</v>
          </cell>
          <cell r="L890" t="str">
            <v>1653.000000</v>
          </cell>
          <cell r="AL890" t="str">
            <v>338255</v>
          </cell>
          <cell r="BC890" t="str">
            <v>Cust-PP</v>
          </cell>
          <cell r="BD890" t="str">
            <v>1.9607843137254900</v>
          </cell>
          <cell r="BE890" t="str">
            <v>.0000000000000000</v>
          </cell>
          <cell r="BF890" t="str">
            <v>.0000000000000000</v>
          </cell>
          <cell r="BG890" t="str">
            <v>None</v>
          </cell>
          <cell r="BK890" t="str">
            <v>2025-05-28 00:00:00</v>
          </cell>
          <cell r="BL890" t="str">
            <v>Airport EG-976</v>
          </cell>
          <cell r="BM890" t="str">
            <v>No</v>
          </cell>
          <cell r="BN890" t="str">
            <v>No</v>
          </cell>
          <cell r="BO890" t="str">
            <v>CPay-000000005</v>
          </cell>
        </row>
        <row r="891">
          <cell r="B891" t="str">
            <v>338256</v>
          </cell>
          <cell r="C891" t="str">
            <v>193.0000000000000000</v>
          </cell>
          <cell r="E891" t="str">
            <v>Cust</v>
          </cell>
          <cell r="G891" t="str">
            <v>No</v>
          </cell>
          <cell r="H891" t="str">
            <v>1900-01-01 00:00:00</v>
          </cell>
          <cell r="K891" t="str">
            <v>M-P</v>
          </cell>
          <cell r="L891" t="str">
            <v>296.400000</v>
          </cell>
          <cell r="AL891" t="str">
            <v>338256</v>
          </cell>
          <cell r="BC891" t="str">
            <v>Cust-PP</v>
          </cell>
          <cell r="BD891" t="str">
            <v>1.9607843137254900</v>
          </cell>
          <cell r="BE891" t="str">
            <v>.0000000000000000</v>
          </cell>
          <cell r="BF891" t="str">
            <v>.0000000000000000</v>
          </cell>
          <cell r="BG891" t="str">
            <v>None</v>
          </cell>
          <cell r="BK891" t="str">
            <v>2025-05-28 00:00:00</v>
          </cell>
          <cell r="BL891" t="str">
            <v>Airport EG-977</v>
          </cell>
          <cell r="BM891" t="str">
            <v>No</v>
          </cell>
          <cell r="BN891" t="str">
            <v>No</v>
          </cell>
          <cell r="BO891" t="str">
            <v>CPay-000000005</v>
          </cell>
        </row>
        <row r="892">
          <cell r="B892" t="str">
            <v>338262</v>
          </cell>
          <cell r="C892" t="str">
            <v>194.0000000000000000</v>
          </cell>
          <cell r="E892" t="str">
            <v>Cust</v>
          </cell>
          <cell r="G892" t="str">
            <v>No</v>
          </cell>
          <cell r="H892" t="str">
            <v>1900-01-01 00:00:00</v>
          </cell>
          <cell r="K892" t="str">
            <v>M-P</v>
          </cell>
          <cell r="L892" t="str">
            <v>2052.000000</v>
          </cell>
          <cell r="AL892" t="str">
            <v>338262</v>
          </cell>
          <cell r="BC892" t="str">
            <v>Cust-PP</v>
          </cell>
          <cell r="BD892" t="str">
            <v>1.9607843137254900</v>
          </cell>
          <cell r="BE892" t="str">
            <v>.0000000000000000</v>
          </cell>
          <cell r="BF892" t="str">
            <v>.0000000000000000</v>
          </cell>
          <cell r="BG892" t="str">
            <v>None</v>
          </cell>
          <cell r="BK892" t="str">
            <v>2025-05-28 00:00:00</v>
          </cell>
          <cell r="BL892" t="str">
            <v>Airport EG-978</v>
          </cell>
          <cell r="BM892" t="str">
            <v>No</v>
          </cell>
          <cell r="BN892" t="str">
            <v>No</v>
          </cell>
          <cell r="BO892" t="str">
            <v>CPay-000000005</v>
          </cell>
        </row>
        <row r="893">
          <cell r="B893" t="str">
            <v>338263</v>
          </cell>
          <cell r="C893" t="str">
            <v>195.0000000000000000</v>
          </cell>
          <cell r="E893" t="str">
            <v>Cust</v>
          </cell>
          <cell r="G893" t="str">
            <v>No</v>
          </cell>
          <cell r="H893" t="str">
            <v>1900-01-01 00:00:00</v>
          </cell>
          <cell r="K893" t="str">
            <v>M-P</v>
          </cell>
          <cell r="L893" t="str">
            <v>1026.000000</v>
          </cell>
          <cell r="AL893" t="str">
            <v>338263</v>
          </cell>
          <cell r="BC893" t="str">
            <v>Cust-PP</v>
          </cell>
          <cell r="BD893" t="str">
            <v>1.9607843137254900</v>
          </cell>
          <cell r="BE893" t="str">
            <v>.0000000000000000</v>
          </cell>
          <cell r="BF893" t="str">
            <v>.0000000000000000</v>
          </cell>
          <cell r="BG893" t="str">
            <v>None</v>
          </cell>
          <cell r="BK893" t="str">
            <v>2025-05-28 00:00:00</v>
          </cell>
          <cell r="BL893" t="str">
            <v>Airport EG-979</v>
          </cell>
          <cell r="BM893" t="str">
            <v>No</v>
          </cell>
          <cell r="BN893" t="str">
            <v>No</v>
          </cell>
          <cell r="BO893" t="str">
            <v>CPay-000000005</v>
          </cell>
        </row>
        <row r="894">
          <cell r="B894" t="str">
            <v>338274</v>
          </cell>
          <cell r="C894" t="str">
            <v>196.0000000000000000</v>
          </cell>
          <cell r="E894" t="str">
            <v>Cust</v>
          </cell>
          <cell r="G894" t="str">
            <v>No</v>
          </cell>
          <cell r="H894" t="str">
            <v>1900-01-01 00:00:00</v>
          </cell>
          <cell r="K894" t="str">
            <v>M-P</v>
          </cell>
          <cell r="L894" t="str">
            <v>1653.000000</v>
          </cell>
          <cell r="AL894" t="str">
            <v>338274</v>
          </cell>
          <cell r="BC894" t="str">
            <v>Cust-PP</v>
          </cell>
          <cell r="BD894" t="str">
            <v>1.9607843137254900</v>
          </cell>
          <cell r="BE894" t="str">
            <v>.0000000000000000</v>
          </cell>
          <cell r="BF894" t="str">
            <v>.0000000000000000</v>
          </cell>
          <cell r="BG894" t="str">
            <v>None</v>
          </cell>
          <cell r="BK894" t="str">
            <v>2025-05-28 00:00:00</v>
          </cell>
          <cell r="BL894" t="str">
            <v>Airport EG-970</v>
          </cell>
          <cell r="BM894" t="str">
            <v>No</v>
          </cell>
          <cell r="BN894" t="str">
            <v>No</v>
          </cell>
          <cell r="BO894" t="str">
            <v>CPay-000000005</v>
          </cell>
        </row>
        <row r="895">
          <cell r="B895" t="str">
            <v>338275</v>
          </cell>
          <cell r="C895" t="str">
            <v>197.0000000000000000</v>
          </cell>
          <cell r="E895" t="str">
            <v>Cust</v>
          </cell>
          <cell r="G895" t="str">
            <v>No</v>
          </cell>
          <cell r="H895" t="str">
            <v>1900-01-01 00:00:00</v>
          </cell>
          <cell r="K895" t="str">
            <v>M-P</v>
          </cell>
          <cell r="L895" t="str">
            <v>2402.440000</v>
          </cell>
          <cell r="AL895" t="str">
            <v>338275</v>
          </cell>
          <cell r="BC895" t="str">
            <v>Cust-PP</v>
          </cell>
          <cell r="BD895" t="str">
            <v>1.9607843137254900</v>
          </cell>
          <cell r="BE895" t="str">
            <v>.0000000000000000</v>
          </cell>
          <cell r="BF895" t="str">
            <v>.0000000000000000</v>
          </cell>
          <cell r="BG895" t="str">
            <v>None</v>
          </cell>
          <cell r="BK895" t="str">
            <v>2025-05-28 00:00:00</v>
          </cell>
          <cell r="BL895" t="str">
            <v>Airport EG-971</v>
          </cell>
          <cell r="BM895" t="str">
            <v>No</v>
          </cell>
          <cell r="BN895" t="str">
            <v>No</v>
          </cell>
          <cell r="BO895" t="str">
            <v>CPay-000000005</v>
          </cell>
        </row>
        <row r="896">
          <cell r="B896" t="str">
            <v>338277</v>
          </cell>
          <cell r="C896" t="str">
            <v>198.0000000000000000</v>
          </cell>
          <cell r="E896" t="str">
            <v>Cust</v>
          </cell>
          <cell r="G896" t="str">
            <v>No</v>
          </cell>
          <cell r="H896" t="str">
            <v>1900-01-01 00:00:00</v>
          </cell>
          <cell r="K896" t="str">
            <v>M-P</v>
          </cell>
          <cell r="L896" t="str">
            <v>2052.000000</v>
          </cell>
          <cell r="AL896" t="str">
            <v>338277</v>
          </cell>
          <cell r="BC896" t="str">
            <v>Cust-PP</v>
          </cell>
          <cell r="BD896" t="str">
            <v>1.9607843137254900</v>
          </cell>
          <cell r="BE896" t="str">
            <v>.0000000000000000</v>
          </cell>
          <cell r="BF896" t="str">
            <v>.0000000000000000</v>
          </cell>
          <cell r="BG896" t="str">
            <v>None</v>
          </cell>
          <cell r="BK896" t="str">
            <v>2025-05-28 00:00:00</v>
          </cell>
          <cell r="BL896" t="str">
            <v>Airport EG-972</v>
          </cell>
          <cell r="BM896" t="str">
            <v>No</v>
          </cell>
          <cell r="BN896" t="str">
            <v>No</v>
          </cell>
          <cell r="BO896" t="str">
            <v>CPay-000000005</v>
          </cell>
        </row>
        <row r="897">
          <cell r="B897" t="str">
            <v>338278</v>
          </cell>
          <cell r="C897" t="str">
            <v>199.0000000000000000</v>
          </cell>
          <cell r="E897" t="str">
            <v>Cust</v>
          </cell>
          <cell r="G897" t="str">
            <v>No</v>
          </cell>
          <cell r="H897" t="str">
            <v>1900-01-01 00:00:00</v>
          </cell>
          <cell r="K897" t="str">
            <v>M-P</v>
          </cell>
          <cell r="L897" t="str">
            <v>668.720000</v>
          </cell>
          <cell r="AL897" t="str">
            <v>338278</v>
          </cell>
          <cell r="BC897" t="str">
            <v>Cust-PP</v>
          </cell>
          <cell r="BD897" t="str">
            <v>1.9607843137254900</v>
          </cell>
          <cell r="BE897" t="str">
            <v>.0000000000000000</v>
          </cell>
          <cell r="BF897" t="str">
            <v>.0000000000000000</v>
          </cell>
          <cell r="BG897" t="str">
            <v>None</v>
          </cell>
          <cell r="BK897" t="str">
            <v>2025-05-28 00:00:00</v>
          </cell>
          <cell r="BL897" t="str">
            <v>Airport EG-973</v>
          </cell>
          <cell r="BM897" t="str">
            <v>No</v>
          </cell>
          <cell r="BN897" t="str">
            <v>No</v>
          </cell>
          <cell r="BO897" t="str">
            <v>CPay-000000005</v>
          </cell>
        </row>
        <row r="898">
          <cell r="B898" t="str">
            <v>338280</v>
          </cell>
          <cell r="C898" t="str">
            <v>200.0000000000000000</v>
          </cell>
          <cell r="E898" t="str">
            <v>Cust</v>
          </cell>
          <cell r="G898" t="str">
            <v>No</v>
          </cell>
          <cell r="H898" t="str">
            <v>1900-01-01 00:00:00</v>
          </cell>
          <cell r="K898" t="str">
            <v>M-P</v>
          </cell>
          <cell r="L898" t="str">
            <v>453.720000</v>
          </cell>
          <cell r="AL898" t="str">
            <v>338280</v>
          </cell>
          <cell r="BC898" t="str">
            <v>Cust-PP</v>
          </cell>
          <cell r="BD898" t="str">
            <v>1.9607843137254900</v>
          </cell>
          <cell r="BE898" t="str">
            <v>.0000000000000000</v>
          </cell>
          <cell r="BF898" t="str">
            <v>.0000000000000000</v>
          </cell>
          <cell r="BG898" t="str">
            <v>None</v>
          </cell>
          <cell r="BK898" t="str">
            <v>2025-05-28 00:00:00</v>
          </cell>
          <cell r="BL898" t="str">
            <v>Airport EG-974</v>
          </cell>
          <cell r="BM898" t="str">
            <v>No</v>
          </cell>
          <cell r="BN898" t="str">
            <v>No</v>
          </cell>
          <cell r="BO898" t="str">
            <v>CPay-000000005</v>
          </cell>
        </row>
        <row r="899">
          <cell r="B899" t="str">
            <v>326556</v>
          </cell>
          <cell r="C899" t="str">
            <v>201.0000000000000000</v>
          </cell>
          <cell r="E899" t="str">
            <v>Cust</v>
          </cell>
          <cell r="G899" t="str">
            <v>No</v>
          </cell>
          <cell r="H899" t="str">
            <v>1900-01-01 00:00:00</v>
          </cell>
          <cell r="K899" t="str">
            <v>M-P</v>
          </cell>
          <cell r="L899" t="str">
            <v>1000.000000</v>
          </cell>
          <cell r="AL899" t="str">
            <v>326556</v>
          </cell>
          <cell r="BC899" t="str">
            <v>Cust-PP</v>
          </cell>
          <cell r="BD899" t="str">
            <v>1.9607843137254900</v>
          </cell>
          <cell r="BE899" t="str">
            <v>.0000000000000000</v>
          </cell>
          <cell r="BF899" t="str">
            <v>.0000000000000000</v>
          </cell>
          <cell r="BG899" t="str">
            <v>None</v>
          </cell>
          <cell r="BK899" t="str">
            <v>2025-05-29 00:00:00</v>
          </cell>
          <cell r="BL899" t="str">
            <v>Airport EG-1004</v>
          </cell>
          <cell r="BM899" t="str">
            <v>No</v>
          </cell>
          <cell r="BN899" t="str">
            <v>No</v>
          </cell>
          <cell r="BO899" t="str">
            <v>CPay-000000005</v>
          </cell>
        </row>
        <row r="900">
          <cell r="B900" t="str">
            <v>326559</v>
          </cell>
          <cell r="C900" t="str">
            <v>202.0000000000000000</v>
          </cell>
          <cell r="E900" t="str">
            <v>Cust</v>
          </cell>
          <cell r="G900" t="str">
            <v>No</v>
          </cell>
          <cell r="H900" t="str">
            <v>1900-01-01 00:00:00</v>
          </cell>
          <cell r="K900" t="str">
            <v>M-P</v>
          </cell>
          <cell r="L900" t="str">
            <v>296.400000</v>
          </cell>
          <cell r="AL900" t="str">
            <v>326559</v>
          </cell>
          <cell r="BC900" t="str">
            <v>Cust-PP</v>
          </cell>
          <cell r="BD900" t="str">
            <v>1.9607843137254900</v>
          </cell>
          <cell r="BE900" t="str">
            <v>.0000000000000000</v>
          </cell>
          <cell r="BF900" t="str">
            <v>.0000000000000000</v>
          </cell>
          <cell r="BG900" t="str">
            <v>None</v>
          </cell>
          <cell r="BK900" t="str">
            <v>2025-05-29 00:00:00</v>
          </cell>
          <cell r="BL900" t="str">
            <v>Airport EG-1005</v>
          </cell>
          <cell r="BM900" t="str">
            <v>No</v>
          </cell>
          <cell r="BN900" t="str">
            <v>No</v>
          </cell>
          <cell r="BO900" t="str">
            <v>CPay-000000005</v>
          </cell>
        </row>
        <row r="901">
          <cell r="B901" t="str">
            <v>326562</v>
          </cell>
          <cell r="C901" t="str">
            <v>203.0000000000000000</v>
          </cell>
          <cell r="E901" t="str">
            <v>Cust</v>
          </cell>
          <cell r="G901" t="str">
            <v>No</v>
          </cell>
          <cell r="H901" t="str">
            <v>1900-01-01 00:00:00</v>
          </cell>
          <cell r="K901" t="str">
            <v>M-P</v>
          </cell>
          <cell r="L901" t="str">
            <v>1000.000000</v>
          </cell>
          <cell r="AL901" t="str">
            <v>326562</v>
          </cell>
          <cell r="BC901" t="str">
            <v>Cust-PP</v>
          </cell>
          <cell r="BD901" t="str">
            <v>1.9607843137254900</v>
          </cell>
          <cell r="BE901" t="str">
            <v>.0000000000000000</v>
          </cell>
          <cell r="BF901" t="str">
            <v>.0000000000000000</v>
          </cell>
          <cell r="BG901" t="str">
            <v>None</v>
          </cell>
          <cell r="BK901" t="str">
            <v>2025-05-29 00:00:00</v>
          </cell>
          <cell r="BL901" t="str">
            <v>Airport EG-1006</v>
          </cell>
          <cell r="BM901" t="str">
            <v>No</v>
          </cell>
          <cell r="BN901" t="str">
            <v>No</v>
          </cell>
          <cell r="BO901" t="str">
            <v>CPay-000000005</v>
          </cell>
        </row>
        <row r="902">
          <cell r="B902" t="str">
            <v>326566</v>
          </cell>
          <cell r="C902" t="str">
            <v>204.0000000000000000</v>
          </cell>
          <cell r="E902" t="str">
            <v>Cust</v>
          </cell>
          <cell r="G902" t="str">
            <v>No</v>
          </cell>
          <cell r="H902" t="str">
            <v>1900-01-01 00:00:00</v>
          </cell>
          <cell r="K902" t="str">
            <v>M-P</v>
          </cell>
          <cell r="L902" t="str">
            <v>296.400000</v>
          </cell>
          <cell r="AL902" t="str">
            <v>326566</v>
          </cell>
          <cell r="BC902" t="str">
            <v>Cust-PP</v>
          </cell>
          <cell r="BD902" t="str">
            <v>1.9607843137254900</v>
          </cell>
          <cell r="BE902" t="str">
            <v>.0000000000000000</v>
          </cell>
          <cell r="BF902" t="str">
            <v>.0000000000000000</v>
          </cell>
          <cell r="BG902" t="str">
            <v>None</v>
          </cell>
          <cell r="BK902" t="str">
            <v>2025-05-29 00:00:00</v>
          </cell>
          <cell r="BL902" t="str">
            <v>Airport EG-1007</v>
          </cell>
          <cell r="BM902" t="str">
            <v>No</v>
          </cell>
          <cell r="BN902" t="str">
            <v>No</v>
          </cell>
          <cell r="BO902" t="str">
            <v>CPay-000000005</v>
          </cell>
        </row>
        <row r="903">
          <cell r="B903" t="str">
            <v>326628</v>
          </cell>
          <cell r="C903" t="str">
            <v>205.0000000000000000</v>
          </cell>
          <cell r="E903" t="str">
            <v>Cust</v>
          </cell>
          <cell r="G903" t="str">
            <v>No</v>
          </cell>
          <cell r="H903" t="str">
            <v>1900-01-01 00:00:00</v>
          </cell>
          <cell r="K903" t="str">
            <v>M-P</v>
          </cell>
          <cell r="L903" t="str">
            <v>1653.000000</v>
          </cell>
          <cell r="AL903" t="str">
            <v>326628</v>
          </cell>
          <cell r="BC903" t="str">
            <v>Cust-PP</v>
          </cell>
          <cell r="BD903" t="str">
            <v>1.9607843137254900</v>
          </cell>
          <cell r="BE903" t="str">
            <v>.0000000000000000</v>
          </cell>
          <cell r="BF903" t="str">
            <v>.0000000000000000</v>
          </cell>
          <cell r="BG903" t="str">
            <v>None</v>
          </cell>
          <cell r="BK903" t="str">
            <v>2025-05-29 00:00:00</v>
          </cell>
          <cell r="BL903" t="str">
            <v>Airport EG-993</v>
          </cell>
          <cell r="BM903" t="str">
            <v>No</v>
          </cell>
          <cell r="BN903" t="str">
            <v>No</v>
          </cell>
          <cell r="BO903" t="str">
            <v>CPay-000000005</v>
          </cell>
        </row>
        <row r="904">
          <cell r="B904" t="str">
            <v>326629</v>
          </cell>
          <cell r="C904" t="str">
            <v>206.0000000000000000</v>
          </cell>
          <cell r="E904" t="str">
            <v>Cust</v>
          </cell>
          <cell r="G904" t="str">
            <v>No</v>
          </cell>
          <cell r="H904" t="str">
            <v>1900-01-01 00:00:00</v>
          </cell>
          <cell r="K904" t="str">
            <v>M-P</v>
          </cell>
          <cell r="L904" t="str">
            <v>296.400000</v>
          </cell>
          <cell r="AL904" t="str">
            <v>326629</v>
          </cell>
          <cell r="BC904" t="str">
            <v>Cust-PP</v>
          </cell>
          <cell r="BD904" t="str">
            <v>1.9607843137254900</v>
          </cell>
          <cell r="BE904" t="str">
            <v>.0000000000000000</v>
          </cell>
          <cell r="BF904" t="str">
            <v>.0000000000000000</v>
          </cell>
          <cell r="BG904" t="str">
            <v>None</v>
          </cell>
          <cell r="BK904" t="str">
            <v>2025-05-29 00:00:00</v>
          </cell>
          <cell r="BL904" t="str">
            <v>Airport EG-994</v>
          </cell>
          <cell r="BM904" t="str">
            <v>No</v>
          </cell>
          <cell r="BN904" t="str">
            <v>No</v>
          </cell>
          <cell r="BO904" t="str">
            <v>CPay-000000005</v>
          </cell>
        </row>
        <row r="905">
          <cell r="B905" t="str">
            <v>326637</v>
          </cell>
          <cell r="C905" t="str">
            <v>207.0000000000000000</v>
          </cell>
          <cell r="E905" t="str">
            <v>Cust</v>
          </cell>
          <cell r="G905" t="str">
            <v>No</v>
          </cell>
          <cell r="H905" t="str">
            <v>1900-01-01 00:00:00</v>
          </cell>
          <cell r="K905" t="str">
            <v>M-P</v>
          </cell>
          <cell r="L905" t="str">
            <v>1653.000000</v>
          </cell>
          <cell r="AL905" t="str">
            <v>326637</v>
          </cell>
          <cell r="BC905" t="str">
            <v>Cust-PP</v>
          </cell>
          <cell r="BD905" t="str">
            <v>1.9607843137254900</v>
          </cell>
          <cell r="BE905" t="str">
            <v>.0000000000000000</v>
          </cell>
          <cell r="BF905" t="str">
            <v>.0000000000000000</v>
          </cell>
          <cell r="BG905" t="str">
            <v>None</v>
          </cell>
          <cell r="BK905" t="str">
            <v>2025-05-29 00:00:00</v>
          </cell>
          <cell r="BL905" t="str">
            <v>Airport EG-995</v>
          </cell>
          <cell r="BM905" t="str">
            <v>No</v>
          </cell>
          <cell r="BN905" t="str">
            <v>No</v>
          </cell>
          <cell r="BO905" t="str">
            <v>CPay-000000005</v>
          </cell>
        </row>
        <row r="906">
          <cell r="B906" t="str">
            <v>326638</v>
          </cell>
          <cell r="C906" t="str">
            <v>208.0000000000000000</v>
          </cell>
          <cell r="E906" t="str">
            <v>Cust</v>
          </cell>
          <cell r="G906" t="str">
            <v>No</v>
          </cell>
          <cell r="H906" t="str">
            <v>1900-01-01 00:00:00</v>
          </cell>
          <cell r="K906" t="str">
            <v>M-P</v>
          </cell>
          <cell r="L906" t="str">
            <v>296.400000</v>
          </cell>
          <cell r="AL906" t="str">
            <v>326638</v>
          </cell>
          <cell r="BC906" t="str">
            <v>Cust-PP</v>
          </cell>
          <cell r="BD906" t="str">
            <v>1.9607843137254900</v>
          </cell>
          <cell r="BE906" t="str">
            <v>.0000000000000000</v>
          </cell>
          <cell r="BF906" t="str">
            <v>.0000000000000000</v>
          </cell>
          <cell r="BG906" t="str">
            <v>None</v>
          </cell>
          <cell r="BK906" t="str">
            <v>2025-05-29 00:00:00</v>
          </cell>
          <cell r="BL906" t="str">
            <v>Airport EG-996</v>
          </cell>
          <cell r="BM906" t="str">
            <v>No</v>
          </cell>
          <cell r="BN906" t="str">
            <v>No</v>
          </cell>
          <cell r="BO906" t="str">
            <v>CPay-000000005</v>
          </cell>
        </row>
        <row r="907">
          <cell r="B907" t="str">
            <v>326647</v>
          </cell>
          <cell r="C907" t="str">
            <v>209.0000000000000000</v>
          </cell>
          <cell r="E907" t="str">
            <v>Cust</v>
          </cell>
          <cell r="G907" t="str">
            <v>No</v>
          </cell>
          <cell r="H907" t="str">
            <v>1900-01-01 00:00:00</v>
          </cell>
          <cell r="K907" t="str">
            <v>M-P</v>
          </cell>
          <cell r="L907" t="str">
            <v>1653.000000</v>
          </cell>
          <cell r="AL907" t="str">
            <v>326647</v>
          </cell>
          <cell r="BC907" t="str">
            <v>Cust-PP</v>
          </cell>
          <cell r="BD907" t="str">
            <v>1.9607843137254900</v>
          </cell>
          <cell r="BE907" t="str">
            <v>.0000000000000000</v>
          </cell>
          <cell r="BF907" t="str">
            <v>.0000000000000000</v>
          </cell>
          <cell r="BG907" t="str">
            <v>None</v>
          </cell>
          <cell r="BK907" t="str">
            <v>2025-05-29 00:00:00</v>
          </cell>
          <cell r="BL907" t="str">
            <v>Airport EG-998</v>
          </cell>
          <cell r="BM907" t="str">
            <v>No</v>
          </cell>
          <cell r="BN907" t="str">
            <v>No</v>
          </cell>
          <cell r="BO907" t="str">
            <v>CPay-000000005</v>
          </cell>
        </row>
        <row r="908">
          <cell r="B908" t="str">
            <v>326648</v>
          </cell>
          <cell r="C908" t="str">
            <v>210.0000000000000000</v>
          </cell>
          <cell r="E908" t="str">
            <v>Cust</v>
          </cell>
          <cell r="G908" t="str">
            <v>No</v>
          </cell>
          <cell r="H908" t="str">
            <v>1900-01-01 00:00:00</v>
          </cell>
          <cell r="K908" t="str">
            <v>M-P</v>
          </cell>
          <cell r="L908" t="str">
            <v>285.000000</v>
          </cell>
          <cell r="AL908" t="str">
            <v>326648</v>
          </cell>
          <cell r="BC908" t="str">
            <v>Cust-PP</v>
          </cell>
          <cell r="BD908" t="str">
            <v>1.9607843137254900</v>
          </cell>
          <cell r="BE908" t="str">
            <v>.0000000000000000</v>
          </cell>
          <cell r="BF908" t="str">
            <v>.0000000000000000</v>
          </cell>
          <cell r="BG908" t="str">
            <v>None</v>
          </cell>
          <cell r="BK908" t="str">
            <v>2025-05-29 00:00:00</v>
          </cell>
          <cell r="BL908" t="str">
            <v>Airport EG-999</v>
          </cell>
          <cell r="BM908" t="str">
            <v>No</v>
          </cell>
          <cell r="BN908" t="str">
            <v>No</v>
          </cell>
          <cell r="BO908" t="str">
            <v>CPay-000000005</v>
          </cell>
        </row>
        <row r="909">
          <cell r="B909" t="str">
            <v>326650</v>
          </cell>
          <cell r="C909" t="str">
            <v>211.0000000000000000</v>
          </cell>
          <cell r="E909" t="str">
            <v>Cust</v>
          </cell>
          <cell r="G909" t="str">
            <v>No</v>
          </cell>
          <cell r="H909" t="str">
            <v>1900-01-01 00:00:00</v>
          </cell>
          <cell r="K909" t="str">
            <v>M-P</v>
          </cell>
          <cell r="L909" t="str">
            <v>1653.000000</v>
          </cell>
          <cell r="AL909" t="str">
            <v>326650</v>
          </cell>
          <cell r="BC909" t="str">
            <v>Cust-PP</v>
          </cell>
          <cell r="BD909" t="str">
            <v>1.9607843137254900</v>
          </cell>
          <cell r="BE909" t="str">
            <v>.0000000000000000</v>
          </cell>
          <cell r="BF909" t="str">
            <v>.0000000000000000</v>
          </cell>
          <cell r="BG909" t="str">
            <v>None</v>
          </cell>
          <cell r="BK909" t="str">
            <v>2025-05-29 00:00:00</v>
          </cell>
          <cell r="BL909" t="str">
            <v>Airport EG-1000</v>
          </cell>
          <cell r="BM909" t="str">
            <v>No</v>
          </cell>
          <cell r="BN909" t="str">
            <v>No</v>
          </cell>
          <cell r="BO909" t="str">
            <v>CPay-000000005</v>
          </cell>
        </row>
        <row r="910">
          <cell r="B910" t="str">
            <v>326653</v>
          </cell>
          <cell r="C910" t="str">
            <v>212.0000000000000000</v>
          </cell>
          <cell r="E910" t="str">
            <v>Cust</v>
          </cell>
          <cell r="G910" t="str">
            <v>No</v>
          </cell>
          <cell r="H910" t="str">
            <v>1900-01-01 00:00:00</v>
          </cell>
          <cell r="K910" t="str">
            <v>M-P</v>
          </cell>
          <cell r="L910" t="str">
            <v>524.510000</v>
          </cell>
          <cell r="AL910" t="str">
            <v>326653</v>
          </cell>
          <cell r="BC910" t="str">
            <v>Cust-PP</v>
          </cell>
          <cell r="BD910" t="str">
            <v>1.9607843137254900</v>
          </cell>
          <cell r="BE910" t="str">
            <v>.0000000000000000</v>
          </cell>
          <cell r="BF910" t="str">
            <v>.0000000000000000</v>
          </cell>
          <cell r="BG910" t="str">
            <v>None</v>
          </cell>
          <cell r="BK910" t="str">
            <v>2025-05-29 00:00:00</v>
          </cell>
          <cell r="BL910" t="str">
            <v>Airport EG-1001</v>
          </cell>
          <cell r="BM910" t="str">
            <v>No</v>
          </cell>
          <cell r="BN910" t="str">
            <v>No</v>
          </cell>
          <cell r="BO910" t="str">
            <v>CPay-000000005</v>
          </cell>
        </row>
        <row r="911">
          <cell r="B911" t="str">
            <v>326687</v>
          </cell>
          <cell r="C911" t="str">
            <v>213.0000000000000000</v>
          </cell>
          <cell r="E911" t="str">
            <v>Cust</v>
          </cell>
          <cell r="G911" t="str">
            <v>No</v>
          </cell>
          <cell r="H911" t="str">
            <v>1900-01-01 00:00:00</v>
          </cell>
          <cell r="K911" t="str">
            <v>M-P</v>
          </cell>
          <cell r="L911" t="str">
            <v>1653.000000</v>
          </cell>
          <cell r="AL911" t="str">
            <v>326687</v>
          </cell>
          <cell r="BC911" t="str">
            <v>Cust-PP</v>
          </cell>
          <cell r="BD911" t="str">
            <v>1.9607843137254900</v>
          </cell>
          <cell r="BE911" t="str">
            <v>.0000000000000000</v>
          </cell>
          <cell r="BF911" t="str">
            <v>.0000000000000000</v>
          </cell>
          <cell r="BG911" t="str">
            <v>None</v>
          </cell>
          <cell r="BK911" t="str">
            <v>2025-05-29 00:00:00</v>
          </cell>
          <cell r="BL911" t="str">
            <v>Airport EG-1002</v>
          </cell>
          <cell r="BM911" t="str">
            <v>No</v>
          </cell>
          <cell r="BN911" t="str">
            <v>No</v>
          </cell>
          <cell r="BO911" t="str">
            <v>CPay-000000005</v>
          </cell>
        </row>
        <row r="912">
          <cell r="B912" t="str">
            <v>326688</v>
          </cell>
          <cell r="C912" t="str">
            <v>214.0000000000000000</v>
          </cell>
          <cell r="E912" t="str">
            <v>Cust</v>
          </cell>
          <cell r="G912" t="str">
            <v>No</v>
          </cell>
          <cell r="H912" t="str">
            <v>1900-01-01 00:00:00</v>
          </cell>
          <cell r="K912" t="str">
            <v>M-P</v>
          </cell>
          <cell r="L912" t="str">
            <v>541.500000</v>
          </cell>
          <cell r="AL912" t="str">
            <v>326688</v>
          </cell>
          <cell r="BC912" t="str">
            <v>Cust-PP</v>
          </cell>
          <cell r="BD912" t="str">
            <v>1.9607843137254900</v>
          </cell>
          <cell r="BE912" t="str">
            <v>.0000000000000000</v>
          </cell>
          <cell r="BF912" t="str">
            <v>.0000000000000000</v>
          </cell>
          <cell r="BG912" t="str">
            <v>None</v>
          </cell>
          <cell r="BK912" t="str">
            <v>2025-05-29 00:00:00</v>
          </cell>
          <cell r="BL912" t="str">
            <v>Airport EG-1003</v>
          </cell>
          <cell r="BM912" t="str">
            <v>No</v>
          </cell>
          <cell r="BN912" t="str">
            <v>No</v>
          </cell>
          <cell r="BO912" t="str">
            <v>CPay-000000005</v>
          </cell>
        </row>
        <row r="913">
          <cell r="B913" t="str">
            <v>338219</v>
          </cell>
          <cell r="C913" t="str">
            <v>215.0000000000000000</v>
          </cell>
          <cell r="E913" t="str">
            <v>Cust</v>
          </cell>
          <cell r="G913" t="str">
            <v>No</v>
          </cell>
          <cell r="H913" t="str">
            <v>1900-01-01 00:00:00</v>
          </cell>
          <cell r="K913" t="str">
            <v>M-P</v>
          </cell>
          <cell r="L913" t="str">
            <v>2052.000000</v>
          </cell>
          <cell r="AL913" t="str">
            <v>338219</v>
          </cell>
          <cell r="BC913" t="str">
            <v>Cust-PP</v>
          </cell>
          <cell r="BD913" t="str">
            <v>1.9607843137254900</v>
          </cell>
          <cell r="BE913" t="str">
            <v>.0000000000000000</v>
          </cell>
          <cell r="BF913" t="str">
            <v>.0000000000000000</v>
          </cell>
          <cell r="BG913" t="str">
            <v>None</v>
          </cell>
          <cell r="BK913" t="str">
            <v>2025-05-29 00:00:00</v>
          </cell>
          <cell r="BL913" t="str">
            <v>Airport EG-991</v>
          </cell>
          <cell r="BM913" t="str">
            <v>No</v>
          </cell>
          <cell r="BN913" t="str">
            <v>No</v>
          </cell>
          <cell r="BO913" t="str">
            <v>CPay-000000005</v>
          </cell>
        </row>
        <row r="914">
          <cell r="B914" t="str">
            <v>338220</v>
          </cell>
          <cell r="C914" t="str">
            <v>216.0000000000000000</v>
          </cell>
          <cell r="E914" t="str">
            <v>Cust</v>
          </cell>
          <cell r="G914" t="str">
            <v>No</v>
          </cell>
          <cell r="H914" t="str">
            <v>1900-01-01 00:00:00</v>
          </cell>
          <cell r="K914" t="str">
            <v>M-P</v>
          </cell>
          <cell r="L914" t="str">
            <v>390.790000</v>
          </cell>
          <cell r="AL914" t="str">
            <v>338220</v>
          </cell>
          <cell r="BC914" t="str">
            <v>Cust-PP</v>
          </cell>
          <cell r="BD914" t="str">
            <v>1.9607843137254900</v>
          </cell>
          <cell r="BE914" t="str">
            <v>.0000000000000000</v>
          </cell>
          <cell r="BF914" t="str">
            <v>.0000000000000000</v>
          </cell>
          <cell r="BG914" t="str">
            <v>None</v>
          </cell>
          <cell r="BK914" t="str">
            <v>2025-05-29 00:00:00</v>
          </cell>
          <cell r="BL914" t="str">
            <v>Airport EG-992</v>
          </cell>
          <cell r="BM914" t="str">
            <v>No</v>
          </cell>
          <cell r="BN914" t="str">
            <v>No</v>
          </cell>
          <cell r="BO914" t="str">
            <v>CPay-000000005</v>
          </cell>
        </row>
        <row r="915">
          <cell r="B915" t="str">
            <v>322787</v>
          </cell>
          <cell r="C915" t="str">
            <v>217.0000000000000000</v>
          </cell>
          <cell r="E915" t="str">
            <v>Cust</v>
          </cell>
          <cell r="G915" t="str">
            <v>No</v>
          </cell>
          <cell r="H915" t="str">
            <v>1900-01-01 00:00:00</v>
          </cell>
          <cell r="K915" t="str">
            <v>M-P</v>
          </cell>
          <cell r="L915" t="str">
            <v>1653.000000</v>
          </cell>
          <cell r="AL915" t="str">
            <v>322787</v>
          </cell>
          <cell r="BC915" t="str">
            <v>Cust-PP</v>
          </cell>
          <cell r="BD915" t="str">
            <v>1.9607843137254900</v>
          </cell>
          <cell r="BE915" t="str">
            <v>.0000000000000000</v>
          </cell>
          <cell r="BF915" t="str">
            <v>.0000000000000000</v>
          </cell>
          <cell r="BG915" t="str">
            <v>None</v>
          </cell>
          <cell r="BK915" t="str">
            <v>2025-05-31 00:00:00</v>
          </cell>
          <cell r="BL915" t="str">
            <v>Airport EG-1008</v>
          </cell>
          <cell r="BM915" t="str">
            <v>No</v>
          </cell>
          <cell r="BN915" t="str">
            <v>No</v>
          </cell>
          <cell r="BO915" t="str">
            <v>CPay-000000005</v>
          </cell>
        </row>
        <row r="916">
          <cell r="B916" t="str">
            <v>322788</v>
          </cell>
          <cell r="C916" t="str">
            <v>218.0000000000000000</v>
          </cell>
          <cell r="E916" t="str">
            <v>Cust</v>
          </cell>
          <cell r="G916" t="str">
            <v>No</v>
          </cell>
          <cell r="H916" t="str">
            <v>1900-01-01 00:00:00</v>
          </cell>
          <cell r="K916" t="str">
            <v>M-P</v>
          </cell>
          <cell r="L916" t="str">
            <v>296.400000</v>
          </cell>
          <cell r="AL916" t="str">
            <v>322788</v>
          </cell>
          <cell r="BC916" t="str">
            <v>Cust-PP</v>
          </cell>
          <cell r="BD916" t="str">
            <v>1.9607843137254900</v>
          </cell>
          <cell r="BE916" t="str">
            <v>.0000000000000000</v>
          </cell>
          <cell r="BF916" t="str">
            <v>.0000000000000000</v>
          </cell>
          <cell r="BG916" t="str">
            <v>None</v>
          </cell>
          <cell r="BK916" t="str">
            <v>2025-05-31 00:00:00</v>
          </cell>
          <cell r="BL916" t="str">
            <v>Airport EG-1009</v>
          </cell>
          <cell r="BM916" t="str">
            <v>No</v>
          </cell>
          <cell r="BN916" t="str">
            <v>No</v>
          </cell>
          <cell r="BO916" t="str">
            <v>CPay-000000005</v>
          </cell>
        </row>
        <row r="917">
          <cell r="B917" t="str">
            <v>322555</v>
          </cell>
          <cell r="C917" t="str">
            <v>1.0000000000000000</v>
          </cell>
          <cell r="E917" t="str">
            <v>Cust</v>
          </cell>
          <cell r="G917" t="str">
            <v>No</v>
          </cell>
          <cell r="H917" t="str">
            <v>1900-01-01 00:00:00</v>
          </cell>
          <cell r="K917" t="str">
            <v>M-P</v>
          </cell>
          <cell r="L917" t="str">
            <v>855.000000</v>
          </cell>
          <cell r="AL917" t="str">
            <v>322555</v>
          </cell>
          <cell r="BC917" t="str">
            <v>Cust-PP</v>
          </cell>
          <cell r="BD917" t="str">
            <v>2.0080321285140560</v>
          </cell>
          <cell r="BE917" t="str">
            <v>.0000000000000000</v>
          </cell>
          <cell r="BF917" t="str">
            <v>.0000000000000000</v>
          </cell>
          <cell r="BG917" t="str">
            <v>None</v>
          </cell>
          <cell r="BK917" t="str">
            <v>2025-06-01 00:00:00</v>
          </cell>
          <cell r="BL917" t="str">
            <v>Airport EG-1011</v>
          </cell>
          <cell r="BM917" t="str">
            <v>No</v>
          </cell>
          <cell r="BN917" t="str">
            <v>No</v>
          </cell>
          <cell r="BO917" t="str">
            <v>CPay-000000006</v>
          </cell>
        </row>
        <row r="918">
          <cell r="B918" t="str">
            <v>322584</v>
          </cell>
          <cell r="C918" t="str">
            <v>2.0000000000000000</v>
          </cell>
          <cell r="E918" t="str">
            <v>Cust</v>
          </cell>
          <cell r="G918" t="str">
            <v>No</v>
          </cell>
          <cell r="H918" t="str">
            <v>1900-01-01 00:00:00</v>
          </cell>
          <cell r="K918" t="str">
            <v>M-P</v>
          </cell>
          <cell r="L918" t="str">
            <v>1653.000000</v>
          </cell>
          <cell r="AL918" t="str">
            <v>322584</v>
          </cell>
          <cell r="BC918" t="str">
            <v>Cust-PP</v>
          </cell>
          <cell r="BD918" t="str">
            <v>2.0080321285140560</v>
          </cell>
          <cell r="BE918" t="str">
            <v>.0000000000000000</v>
          </cell>
          <cell r="BF918" t="str">
            <v>.0000000000000000</v>
          </cell>
          <cell r="BG918" t="str">
            <v>None</v>
          </cell>
          <cell r="BK918" t="str">
            <v>2025-06-01 00:00:00</v>
          </cell>
          <cell r="BL918" t="str">
            <v>Airport EG-1012</v>
          </cell>
          <cell r="BM918" t="str">
            <v>No</v>
          </cell>
          <cell r="BN918" t="str">
            <v>No</v>
          </cell>
          <cell r="BO918" t="str">
            <v>CPay-000000006</v>
          </cell>
        </row>
        <row r="919">
          <cell r="B919" t="str">
            <v>322585</v>
          </cell>
          <cell r="C919" t="str">
            <v>3.0000000000000000</v>
          </cell>
          <cell r="E919" t="str">
            <v>Cust</v>
          </cell>
          <cell r="G919" t="str">
            <v>No</v>
          </cell>
          <cell r="H919" t="str">
            <v>1900-01-01 00:00:00</v>
          </cell>
          <cell r="K919" t="str">
            <v>M-P</v>
          </cell>
          <cell r="L919" t="str">
            <v>701.100000</v>
          </cell>
          <cell r="AL919" t="str">
            <v>322585</v>
          </cell>
          <cell r="BC919" t="str">
            <v>Cust-PP</v>
          </cell>
          <cell r="BD919" t="str">
            <v>2.0080321285140560</v>
          </cell>
          <cell r="BE919" t="str">
            <v>.0000000000000000</v>
          </cell>
          <cell r="BF919" t="str">
            <v>.0000000000000000</v>
          </cell>
          <cell r="BG919" t="str">
            <v>None</v>
          </cell>
          <cell r="BK919" t="str">
            <v>2025-06-01 00:00:00</v>
          </cell>
          <cell r="BL919" t="str">
            <v>Airport EG-1013</v>
          </cell>
          <cell r="BM919" t="str">
            <v>No</v>
          </cell>
          <cell r="BN919" t="str">
            <v>No</v>
          </cell>
          <cell r="BO919" t="str">
            <v>CPay-000000006</v>
          </cell>
        </row>
        <row r="920">
          <cell r="B920" t="str">
            <v>322588</v>
          </cell>
          <cell r="C920" t="str">
            <v>4.0000000000000000</v>
          </cell>
          <cell r="E920" t="str">
            <v>Cust</v>
          </cell>
          <cell r="G920" t="str">
            <v>No</v>
          </cell>
          <cell r="H920" t="str">
            <v>1900-01-01 00:00:00</v>
          </cell>
          <cell r="K920" t="str">
            <v>M-P</v>
          </cell>
          <cell r="L920" t="str">
            <v>296.400000</v>
          </cell>
          <cell r="AL920" t="str">
            <v>322588</v>
          </cell>
          <cell r="BC920" t="str">
            <v>Cust-PP</v>
          </cell>
          <cell r="BD920" t="str">
            <v>2.0080321285140560</v>
          </cell>
          <cell r="BE920" t="str">
            <v>.0000000000000000</v>
          </cell>
          <cell r="BF920" t="str">
            <v>.0000000000000000</v>
          </cell>
          <cell r="BG920" t="str">
            <v>None</v>
          </cell>
          <cell r="BK920" t="str">
            <v>2025-06-01 00:00:00</v>
          </cell>
          <cell r="BL920" t="str">
            <v>Airport EG-1014</v>
          </cell>
          <cell r="BM920" t="str">
            <v>No</v>
          </cell>
          <cell r="BN920" t="str">
            <v>No</v>
          </cell>
          <cell r="BO920" t="str">
            <v>CPay-000000006</v>
          </cell>
        </row>
        <row r="921">
          <cell r="B921" t="str">
            <v>322590</v>
          </cell>
          <cell r="C921" t="str">
            <v>5.0000000000000000</v>
          </cell>
          <cell r="E921" t="str">
            <v>Cust</v>
          </cell>
          <cell r="G921" t="str">
            <v>No</v>
          </cell>
          <cell r="H921" t="str">
            <v>1900-01-01 00:00:00</v>
          </cell>
          <cell r="K921" t="str">
            <v>M-P</v>
          </cell>
          <cell r="L921" t="str">
            <v>1653.000000</v>
          </cell>
          <cell r="AL921" t="str">
            <v>322590</v>
          </cell>
          <cell r="BC921" t="str">
            <v>Cust-PP</v>
          </cell>
          <cell r="BD921" t="str">
            <v>2.0080321285140560</v>
          </cell>
          <cell r="BE921" t="str">
            <v>.0000000000000000</v>
          </cell>
          <cell r="BF921" t="str">
            <v>.0000000000000000</v>
          </cell>
          <cell r="BG921" t="str">
            <v>None</v>
          </cell>
          <cell r="BK921" t="str">
            <v>2025-06-01 00:00:00</v>
          </cell>
          <cell r="BL921" t="str">
            <v>Airport EG-1015</v>
          </cell>
          <cell r="BM921" t="str">
            <v>No</v>
          </cell>
          <cell r="BN921" t="str">
            <v>No</v>
          </cell>
          <cell r="BO921" t="str">
            <v>CPay-000000006</v>
          </cell>
        </row>
        <row r="922">
          <cell r="B922" t="str">
            <v>322591</v>
          </cell>
          <cell r="C922" t="str">
            <v>6.0000000000000000</v>
          </cell>
          <cell r="E922" t="str">
            <v>Cust</v>
          </cell>
          <cell r="G922" t="str">
            <v>No</v>
          </cell>
          <cell r="H922" t="str">
            <v>1900-01-01 00:00:00</v>
          </cell>
          <cell r="K922" t="str">
            <v>M-P</v>
          </cell>
          <cell r="L922" t="str">
            <v>456.000000</v>
          </cell>
          <cell r="AL922" t="str">
            <v>322591</v>
          </cell>
          <cell r="BC922" t="str">
            <v>Cust-PP</v>
          </cell>
          <cell r="BD922" t="str">
            <v>2.0080321285140560</v>
          </cell>
          <cell r="BE922" t="str">
            <v>.0000000000000000</v>
          </cell>
          <cell r="BF922" t="str">
            <v>.0000000000000000</v>
          </cell>
          <cell r="BG922" t="str">
            <v>None</v>
          </cell>
          <cell r="BK922" t="str">
            <v>2025-06-01 00:00:00</v>
          </cell>
          <cell r="BL922" t="str">
            <v>Airport EG-1016</v>
          </cell>
          <cell r="BM922" t="str">
            <v>No</v>
          </cell>
          <cell r="BN922" t="str">
            <v>No</v>
          </cell>
          <cell r="BO922" t="str">
            <v>CPay-000000006</v>
          </cell>
        </row>
        <row r="923">
          <cell r="B923" t="str">
            <v>322798</v>
          </cell>
          <cell r="C923" t="str">
            <v>7.0000000000000000</v>
          </cell>
          <cell r="E923" t="str">
            <v>Cust</v>
          </cell>
          <cell r="G923" t="str">
            <v>No</v>
          </cell>
          <cell r="H923" t="str">
            <v>1900-01-01 00:00:00</v>
          </cell>
          <cell r="K923" t="str">
            <v>M-P</v>
          </cell>
          <cell r="L923" t="str">
            <v>15960.000000</v>
          </cell>
          <cell r="AL923" t="str">
            <v>322798</v>
          </cell>
          <cell r="BC923" t="str">
            <v>Cust-PP</v>
          </cell>
          <cell r="BD923" t="str">
            <v>2.0080321285140560</v>
          </cell>
          <cell r="BE923" t="str">
            <v>.0000000000000000</v>
          </cell>
          <cell r="BF923" t="str">
            <v>.0000000000000000</v>
          </cell>
          <cell r="BG923" t="str">
            <v>None</v>
          </cell>
          <cell r="BK923" t="str">
            <v>2025-06-01 00:00:00</v>
          </cell>
          <cell r="BL923" t="str">
            <v>Airport EG-1010</v>
          </cell>
          <cell r="BM923" t="str">
            <v>No</v>
          </cell>
          <cell r="BN923" t="str">
            <v>No</v>
          </cell>
          <cell r="BO923" t="str">
            <v>CPay-000000006</v>
          </cell>
        </row>
        <row r="924">
          <cell r="B924" t="str">
            <v>322608</v>
          </cell>
          <cell r="C924" t="str">
            <v>8.0000000000000000</v>
          </cell>
          <cell r="E924" t="str">
            <v>Cust</v>
          </cell>
          <cell r="G924" t="str">
            <v>No</v>
          </cell>
          <cell r="H924" t="str">
            <v>1900-01-01 00:00:00</v>
          </cell>
          <cell r="K924" t="str">
            <v>M-P</v>
          </cell>
          <cell r="L924" t="str">
            <v>1653.000000</v>
          </cell>
          <cell r="AL924" t="str">
            <v>322608</v>
          </cell>
          <cell r="BC924" t="str">
            <v>Cust-PP</v>
          </cell>
          <cell r="BD924" t="str">
            <v>2.0080321285140560</v>
          </cell>
          <cell r="BE924" t="str">
            <v>.0000000000000000</v>
          </cell>
          <cell r="BF924" t="str">
            <v>.0000000000000000</v>
          </cell>
          <cell r="BG924" t="str">
            <v>None</v>
          </cell>
          <cell r="BK924" t="str">
            <v>2025-06-02 00:00:00</v>
          </cell>
          <cell r="BL924" t="str">
            <v>Airport EG-1017</v>
          </cell>
          <cell r="BM924" t="str">
            <v>No</v>
          </cell>
          <cell r="BN924" t="str">
            <v>No</v>
          </cell>
          <cell r="BO924" t="str">
            <v>CPay-000000006</v>
          </cell>
        </row>
        <row r="925">
          <cell r="B925" t="str">
            <v>322609</v>
          </cell>
          <cell r="C925" t="str">
            <v>9.0000000000000000</v>
          </cell>
          <cell r="E925" t="str">
            <v>Cust</v>
          </cell>
          <cell r="G925" t="str">
            <v>No</v>
          </cell>
          <cell r="H925" t="str">
            <v>1900-01-01 00:00:00</v>
          </cell>
          <cell r="K925" t="str">
            <v>M-P</v>
          </cell>
          <cell r="L925" t="str">
            <v>456.000000</v>
          </cell>
          <cell r="AL925" t="str">
            <v>322609</v>
          </cell>
          <cell r="BC925" t="str">
            <v>Cust-PP</v>
          </cell>
          <cell r="BD925" t="str">
            <v>2.0080321285140560</v>
          </cell>
          <cell r="BE925" t="str">
            <v>.0000000000000000</v>
          </cell>
          <cell r="BF925" t="str">
            <v>.0000000000000000</v>
          </cell>
          <cell r="BG925" t="str">
            <v>None</v>
          </cell>
          <cell r="BK925" t="str">
            <v>2025-06-02 00:00:00</v>
          </cell>
          <cell r="BL925" t="str">
            <v>Airport EG-1018</v>
          </cell>
          <cell r="BM925" t="str">
            <v>No</v>
          </cell>
          <cell r="BN925" t="str">
            <v>No</v>
          </cell>
          <cell r="BO925" t="str">
            <v>CPay-000000006</v>
          </cell>
        </row>
        <row r="926">
          <cell r="B926" t="str">
            <v>341866</v>
          </cell>
          <cell r="C926" t="str">
            <v>10.0000000000000000</v>
          </cell>
          <cell r="E926" t="str">
            <v>Cust</v>
          </cell>
          <cell r="G926" t="str">
            <v>No</v>
          </cell>
          <cell r="H926" t="str">
            <v>1900-01-01 00:00:00</v>
          </cell>
          <cell r="K926" t="str">
            <v>M-P</v>
          </cell>
          <cell r="L926" t="str">
            <v>262.200000</v>
          </cell>
          <cell r="AL926" t="str">
            <v>341866</v>
          </cell>
          <cell r="BC926" t="str">
            <v>Cust-PP</v>
          </cell>
          <cell r="BD926" t="str">
            <v>2.0080321285140560</v>
          </cell>
          <cell r="BE926" t="str">
            <v>.0000000000000000</v>
          </cell>
          <cell r="BF926" t="str">
            <v>.0000000000000000</v>
          </cell>
          <cell r="BG926" t="str">
            <v>None</v>
          </cell>
          <cell r="BK926" t="str">
            <v>2025-06-02 00:00:00</v>
          </cell>
          <cell r="BL926" t="str">
            <v>Airport EG-1036</v>
          </cell>
          <cell r="BM926" t="str">
            <v>No</v>
          </cell>
          <cell r="BN926" t="str">
            <v>No</v>
          </cell>
          <cell r="BO926" t="str">
            <v>CPay-000000006</v>
          </cell>
        </row>
        <row r="927">
          <cell r="B927" t="str">
            <v>341870</v>
          </cell>
          <cell r="C927" t="str">
            <v>11.0000000000000000</v>
          </cell>
          <cell r="E927" t="str">
            <v>Cust</v>
          </cell>
          <cell r="G927" t="str">
            <v>No</v>
          </cell>
          <cell r="H927" t="str">
            <v>1900-01-01 00:00:00</v>
          </cell>
          <cell r="K927" t="str">
            <v>M-P</v>
          </cell>
          <cell r="L927" t="str">
            <v>1653.000000</v>
          </cell>
          <cell r="AL927" t="str">
            <v>341870</v>
          </cell>
          <cell r="BC927" t="str">
            <v>Cust-PP</v>
          </cell>
          <cell r="BD927" t="str">
            <v>2.0080321285140560</v>
          </cell>
          <cell r="BE927" t="str">
            <v>.0000000000000000</v>
          </cell>
          <cell r="BF927" t="str">
            <v>.0000000000000000</v>
          </cell>
          <cell r="BG927" t="str">
            <v>None</v>
          </cell>
          <cell r="BK927" t="str">
            <v>2025-06-02 00:00:00</v>
          </cell>
          <cell r="BL927" t="str">
            <v>Airport EG-1037</v>
          </cell>
          <cell r="BM927" t="str">
            <v>No</v>
          </cell>
          <cell r="BN927" t="str">
            <v>No</v>
          </cell>
          <cell r="BO927" t="str">
            <v>CPay-000000006</v>
          </cell>
        </row>
        <row r="928">
          <cell r="B928" t="str">
            <v>341871</v>
          </cell>
          <cell r="C928" t="str">
            <v>12.0000000000000000</v>
          </cell>
          <cell r="E928" t="str">
            <v>Cust</v>
          </cell>
          <cell r="G928" t="str">
            <v>No</v>
          </cell>
          <cell r="H928" t="str">
            <v>1900-01-01 00:00:00</v>
          </cell>
          <cell r="K928" t="str">
            <v>M-P</v>
          </cell>
          <cell r="L928" t="str">
            <v>2850.000000</v>
          </cell>
          <cell r="AL928" t="str">
            <v>341871</v>
          </cell>
          <cell r="BC928" t="str">
            <v>Cust-PP</v>
          </cell>
          <cell r="BD928" t="str">
            <v>2.0080321285140560</v>
          </cell>
          <cell r="BE928" t="str">
            <v>.0000000000000000</v>
          </cell>
          <cell r="BF928" t="str">
            <v>.0000000000000000</v>
          </cell>
          <cell r="BG928" t="str">
            <v>None</v>
          </cell>
          <cell r="BK928" t="str">
            <v>2025-06-02 00:00:00</v>
          </cell>
          <cell r="BL928" t="str">
            <v>Airport EG-1038</v>
          </cell>
          <cell r="BM928" t="str">
            <v>No</v>
          </cell>
          <cell r="BN928" t="str">
            <v>No</v>
          </cell>
          <cell r="BO928" t="str">
            <v>CPay-000000006</v>
          </cell>
        </row>
        <row r="929">
          <cell r="B929" t="str">
            <v>341876</v>
          </cell>
          <cell r="C929" t="str">
            <v>13.0000000000000000</v>
          </cell>
          <cell r="E929" t="str">
            <v>Cust</v>
          </cell>
          <cell r="G929" t="str">
            <v>No</v>
          </cell>
          <cell r="H929" t="str">
            <v>1900-01-01 00:00:00</v>
          </cell>
          <cell r="K929" t="str">
            <v>M-P</v>
          </cell>
          <cell r="L929" t="str">
            <v>1653.000000</v>
          </cell>
          <cell r="AL929" t="str">
            <v>341876</v>
          </cell>
          <cell r="BC929" t="str">
            <v>Cust-PP</v>
          </cell>
          <cell r="BD929" t="str">
            <v>2.0080321285140560</v>
          </cell>
          <cell r="BE929" t="str">
            <v>.0000000000000000</v>
          </cell>
          <cell r="BF929" t="str">
            <v>.0000000000000000</v>
          </cell>
          <cell r="BG929" t="str">
            <v>None</v>
          </cell>
          <cell r="BK929" t="str">
            <v>2025-06-02 00:00:00</v>
          </cell>
          <cell r="BL929" t="str">
            <v>Airport EG-1029</v>
          </cell>
          <cell r="BM929" t="str">
            <v>No</v>
          </cell>
          <cell r="BN929" t="str">
            <v>No</v>
          </cell>
          <cell r="BO929" t="str">
            <v>CPay-000000006</v>
          </cell>
        </row>
        <row r="930">
          <cell r="B930" t="str">
            <v>341878</v>
          </cell>
          <cell r="C930" t="str">
            <v>14.0000000000000000</v>
          </cell>
          <cell r="E930" t="str">
            <v>Cust</v>
          </cell>
          <cell r="G930" t="str">
            <v>No</v>
          </cell>
          <cell r="H930" t="str">
            <v>1900-01-01 00:00:00</v>
          </cell>
          <cell r="K930" t="str">
            <v>M-P</v>
          </cell>
          <cell r="L930" t="str">
            <v>1383.730000</v>
          </cell>
          <cell r="AL930" t="str">
            <v>341878</v>
          </cell>
          <cell r="BC930" t="str">
            <v>Cust-PP</v>
          </cell>
          <cell r="BD930" t="str">
            <v>2.0080321285140560</v>
          </cell>
          <cell r="BE930" t="str">
            <v>.0000000000000000</v>
          </cell>
          <cell r="BF930" t="str">
            <v>.0000000000000000</v>
          </cell>
          <cell r="BG930" t="str">
            <v>None</v>
          </cell>
          <cell r="BK930" t="str">
            <v>2025-06-02 00:00:00</v>
          </cell>
          <cell r="BL930" t="str">
            <v>Airport EG-1030</v>
          </cell>
          <cell r="BM930" t="str">
            <v>No</v>
          </cell>
          <cell r="BN930" t="str">
            <v>No</v>
          </cell>
          <cell r="BO930" t="str">
            <v>CPay-000000006</v>
          </cell>
        </row>
        <row r="931">
          <cell r="B931" t="str">
            <v>341879</v>
          </cell>
          <cell r="C931" t="str">
            <v>15.0000000000000000</v>
          </cell>
          <cell r="E931" t="str">
            <v>Cust</v>
          </cell>
          <cell r="G931" t="str">
            <v>No</v>
          </cell>
          <cell r="H931" t="str">
            <v>1900-01-01 00:00:00</v>
          </cell>
          <cell r="K931" t="str">
            <v>M-P</v>
          </cell>
          <cell r="L931" t="str">
            <v>1653.000000</v>
          </cell>
          <cell r="AL931" t="str">
            <v>341879</v>
          </cell>
          <cell r="BC931" t="str">
            <v>Cust-PP</v>
          </cell>
          <cell r="BD931" t="str">
            <v>2.0080321285140560</v>
          </cell>
          <cell r="BE931" t="str">
            <v>.0000000000000000</v>
          </cell>
          <cell r="BF931" t="str">
            <v>.0000000000000000</v>
          </cell>
          <cell r="BG931" t="str">
            <v>None</v>
          </cell>
          <cell r="BK931" t="str">
            <v>2025-06-02 00:00:00</v>
          </cell>
          <cell r="BL931" t="str">
            <v>Airport EG-1031</v>
          </cell>
          <cell r="BM931" t="str">
            <v>No</v>
          </cell>
          <cell r="BN931" t="str">
            <v>No</v>
          </cell>
          <cell r="BO931" t="str">
            <v>CPay-000000006</v>
          </cell>
        </row>
        <row r="932">
          <cell r="B932" t="str">
            <v>341880</v>
          </cell>
          <cell r="C932" t="str">
            <v>16.0000000000000000</v>
          </cell>
          <cell r="E932" t="str">
            <v>Cust</v>
          </cell>
          <cell r="G932" t="str">
            <v>No</v>
          </cell>
          <cell r="H932" t="str">
            <v>1900-01-01 00:00:00</v>
          </cell>
          <cell r="K932" t="str">
            <v>M-P</v>
          </cell>
          <cell r="L932" t="str">
            <v>2341.330000</v>
          </cell>
          <cell r="AL932" t="str">
            <v>341880</v>
          </cell>
          <cell r="BC932" t="str">
            <v>Cust-PP</v>
          </cell>
          <cell r="BD932" t="str">
            <v>2.0080321285140560</v>
          </cell>
          <cell r="BE932" t="str">
            <v>.0000000000000000</v>
          </cell>
          <cell r="BF932" t="str">
            <v>.0000000000000000</v>
          </cell>
          <cell r="BG932" t="str">
            <v>None</v>
          </cell>
          <cell r="BK932" t="str">
            <v>2025-06-02 00:00:00</v>
          </cell>
          <cell r="BL932" t="str">
            <v>Airport EG-1032</v>
          </cell>
          <cell r="BM932" t="str">
            <v>No</v>
          </cell>
          <cell r="BN932" t="str">
            <v>No</v>
          </cell>
          <cell r="BO932" t="str">
            <v>CPay-000000006</v>
          </cell>
        </row>
        <row r="933">
          <cell r="B933" t="str">
            <v>341881</v>
          </cell>
          <cell r="C933" t="str">
            <v>17.0000000000000000</v>
          </cell>
          <cell r="E933" t="str">
            <v>Cust</v>
          </cell>
          <cell r="G933" t="str">
            <v>No</v>
          </cell>
          <cell r="H933" t="str">
            <v>1900-01-01 00:00:00</v>
          </cell>
          <cell r="K933" t="str">
            <v>M-P</v>
          </cell>
          <cell r="L933" t="str">
            <v>1653.000000</v>
          </cell>
          <cell r="AL933" t="str">
            <v>341881</v>
          </cell>
          <cell r="BC933" t="str">
            <v>Cust-PP</v>
          </cell>
          <cell r="BD933" t="str">
            <v>2.0080321285140560</v>
          </cell>
          <cell r="BE933" t="str">
            <v>.0000000000000000</v>
          </cell>
          <cell r="BF933" t="str">
            <v>.0000000000000000</v>
          </cell>
          <cell r="BG933" t="str">
            <v>None</v>
          </cell>
          <cell r="BK933" t="str">
            <v>2025-06-02 00:00:00</v>
          </cell>
          <cell r="BL933" t="str">
            <v>Airport EG-1033</v>
          </cell>
          <cell r="BM933" t="str">
            <v>No</v>
          </cell>
          <cell r="BN933" t="str">
            <v>No</v>
          </cell>
          <cell r="BO933" t="str">
            <v>CPay-000000006</v>
          </cell>
        </row>
        <row r="934">
          <cell r="B934" t="str">
            <v>341882</v>
          </cell>
          <cell r="C934" t="str">
            <v>18.0000000000000000</v>
          </cell>
          <cell r="E934" t="str">
            <v>Cust</v>
          </cell>
          <cell r="G934" t="str">
            <v>No</v>
          </cell>
          <cell r="H934" t="str">
            <v>1900-01-01 00:00:00</v>
          </cell>
          <cell r="K934" t="str">
            <v>M-P</v>
          </cell>
          <cell r="L934" t="str">
            <v>3052.690000</v>
          </cell>
          <cell r="AL934" t="str">
            <v>341882</v>
          </cell>
          <cell r="BC934" t="str">
            <v>Cust-PP</v>
          </cell>
          <cell r="BD934" t="str">
            <v>2.0080321285140560</v>
          </cell>
          <cell r="BE934" t="str">
            <v>.0000000000000000</v>
          </cell>
          <cell r="BF934" t="str">
            <v>.0000000000000000</v>
          </cell>
          <cell r="BG934" t="str">
            <v>None</v>
          </cell>
          <cell r="BK934" t="str">
            <v>2025-06-02 00:00:00</v>
          </cell>
          <cell r="BL934" t="str">
            <v>Airport EG-1034</v>
          </cell>
          <cell r="BM934" t="str">
            <v>No</v>
          </cell>
          <cell r="BN934" t="str">
            <v>No</v>
          </cell>
          <cell r="BO934" t="str">
            <v>CPay-000000006</v>
          </cell>
        </row>
        <row r="935">
          <cell r="B935" t="str">
            <v>341883</v>
          </cell>
          <cell r="C935" t="str">
            <v>19.0000000000000000</v>
          </cell>
          <cell r="E935" t="str">
            <v>Cust</v>
          </cell>
          <cell r="G935" t="str">
            <v>No</v>
          </cell>
          <cell r="H935" t="str">
            <v>1900-01-01 00:00:00</v>
          </cell>
          <cell r="K935" t="str">
            <v>M-P</v>
          </cell>
          <cell r="L935" t="str">
            <v>1653.000000</v>
          </cell>
          <cell r="AL935" t="str">
            <v>341883</v>
          </cell>
          <cell r="BC935" t="str">
            <v>Cust-PP</v>
          </cell>
          <cell r="BD935" t="str">
            <v>2.0080321285140560</v>
          </cell>
          <cell r="BE935" t="str">
            <v>.0000000000000000</v>
          </cell>
          <cell r="BF935" t="str">
            <v>.0000000000000000</v>
          </cell>
          <cell r="BG935" t="str">
            <v>None</v>
          </cell>
          <cell r="BK935" t="str">
            <v>2025-06-02 00:00:00</v>
          </cell>
          <cell r="BL935" t="str">
            <v>Airport EG-1035</v>
          </cell>
          <cell r="BM935" t="str">
            <v>No</v>
          </cell>
          <cell r="BN935" t="str">
            <v>No</v>
          </cell>
          <cell r="BO935" t="str">
            <v>CPay-000000006</v>
          </cell>
        </row>
        <row r="936">
          <cell r="B936" t="str">
            <v>341886</v>
          </cell>
          <cell r="C936" t="str">
            <v>20.0000000000000000</v>
          </cell>
          <cell r="E936" t="str">
            <v>Cust</v>
          </cell>
          <cell r="G936" t="str">
            <v>No</v>
          </cell>
          <cell r="H936" t="str">
            <v>1900-01-01 00:00:00</v>
          </cell>
          <cell r="K936" t="str">
            <v>M-P</v>
          </cell>
          <cell r="L936" t="str">
            <v>1653.000000</v>
          </cell>
          <cell r="AL936" t="str">
            <v>341886</v>
          </cell>
          <cell r="BC936" t="str">
            <v>Cust-PP</v>
          </cell>
          <cell r="BD936" t="str">
            <v>2.0080321285140560</v>
          </cell>
          <cell r="BE936" t="str">
            <v>.0000000000000000</v>
          </cell>
          <cell r="BF936" t="str">
            <v>.0000000000000000</v>
          </cell>
          <cell r="BG936" t="str">
            <v>None</v>
          </cell>
          <cell r="BK936" t="str">
            <v>2025-06-02 00:00:00</v>
          </cell>
          <cell r="BL936" t="str">
            <v>Airport EG-1025</v>
          </cell>
          <cell r="BM936" t="str">
            <v>No</v>
          </cell>
          <cell r="BN936" t="str">
            <v>No</v>
          </cell>
          <cell r="BO936" t="str">
            <v>CPay-000000006</v>
          </cell>
        </row>
        <row r="937">
          <cell r="B937" t="str">
            <v>341888</v>
          </cell>
          <cell r="C937" t="str">
            <v>21.0000000000000000</v>
          </cell>
          <cell r="E937" t="str">
            <v>Cust</v>
          </cell>
          <cell r="G937" t="str">
            <v>No</v>
          </cell>
          <cell r="H937" t="str">
            <v>1900-01-01 00:00:00</v>
          </cell>
          <cell r="K937" t="str">
            <v>M-P</v>
          </cell>
          <cell r="L937" t="str">
            <v>296.400000</v>
          </cell>
          <cell r="AL937" t="str">
            <v>341888</v>
          </cell>
          <cell r="BC937" t="str">
            <v>Cust-PP</v>
          </cell>
          <cell r="BD937" t="str">
            <v>2.0080321285140560</v>
          </cell>
          <cell r="BE937" t="str">
            <v>.0000000000000000</v>
          </cell>
          <cell r="BF937" t="str">
            <v>.0000000000000000</v>
          </cell>
          <cell r="BG937" t="str">
            <v>None</v>
          </cell>
          <cell r="BK937" t="str">
            <v>2025-06-02 00:00:00</v>
          </cell>
          <cell r="BL937" t="str">
            <v>Airport EG-1026</v>
          </cell>
          <cell r="BM937" t="str">
            <v>No</v>
          </cell>
          <cell r="BN937" t="str">
            <v>No</v>
          </cell>
          <cell r="BO937" t="str">
            <v>CPay-000000006</v>
          </cell>
        </row>
        <row r="938">
          <cell r="B938" t="str">
            <v>341890</v>
          </cell>
          <cell r="C938" t="str">
            <v>22.0000000000000000</v>
          </cell>
          <cell r="E938" t="str">
            <v>Cust</v>
          </cell>
          <cell r="G938" t="str">
            <v>No</v>
          </cell>
          <cell r="H938" t="str">
            <v>1900-01-01 00:00:00</v>
          </cell>
          <cell r="K938" t="str">
            <v>M-P</v>
          </cell>
          <cell r="L938" t="str">
            <v>1653.000000</v>
          </cell>
          <cell r="AL938" t="str">
            <v>341890</v>
          </cell>
          <cell r="BC938" t="str">
            <v>Cust-PP</v>
          </cell>
          <cell r="BD938" t="str">
            <v>2.0080321285140560</v>
          </cell>
          <cell r="BE938" t="str">
            <v>.0000000000000000</v>
          </cell>
          <cell r="BF938" t="str">
            <v>.0000000000000000</v>
          </cell>
          <cell r="BG938" t="str">
            <v>None</v>
          </cell>
          <cell r="BK938" t="str">
            <v>2025-06-02 00:00:00</v>
          </cell>
          <cell r="BL938" t="str">
            <v>Airport EG-1027</v>
          </cell>
          <cell r="BM938" t="str">
            <v>No</v>
          </cell>
          <cell r="BN938" t="str">
            <v>No</v>
          </cell>
          <cell r="BO938" t="str">
            <v>CPay-000000006</v>
          </cell>
        </row>
        <row r="939">
          <cell r="B939" t="str">
            <v>341891</v>
          </cell>
          <cell r="C939" t="str">
            <v>23.0000000000000000</v>
          </cell>
          <cell r="E939" t="str">
            <v>Cust</v>
          </cell>
          <cell r="G939" t="str">
            <v>No</v>
          </cell>
          <cell r="H939" t="str">
            <v>1900-01-01 00:00:00</v>
          </cell>
          <cell r="K939" t="str">
            <v>M-P</v>
          </cell>
          <cell r="L939" t="str">
            <v>1113.780000</v>
          </cell>
          <cell r="AL939" t="str">
            <v>341891</v>
          </cell>
          <cell r="BC939" t="str">
            <v>Cust-PP</v>
          </cell>
          <cell r="BD939" t="str">
            <v>2.0080321285140560</v>
          </cell>
          <cell r="BE939" t="str">
            <v>.0000000000000000</v>
          </cell>
          <cell r="BF939" t="str">
            <v>.0000000000000000</v>
          </cell>
          <cell r="BG939" t="str">
            <v>None</v>
          </cell>
          <cell r="BK939" t="str">
            <v>2025-06-02 00:00:00</v>
          </cell>
          <cell r="BL939" t="str">
            <v>Airport EG-1028</v>
          </cell>
          <cell r="BM939" t="str">
            <v>No</v>
          </cell>
          <cell r="BN939" t="str">
            <v>No</v>
          </cell>
          <cell r="BO939" t="str">
            <v>CPay-000000006</v>
          </cell>
        </row>
        <row r="940">
          <cell r="B940" t="str">
            <v>341902</v>
          </cell>
          <cell r="C940" t="str">
            <v>24.0000000000000000</v>
          </cell>
          <cell r="E940" t="str">
            <v>Cust</v>
          </cell>
          <cell r="G940" t="str">
            <v>No</v>
          </cell>
          <cell r="H940" t="str">
            <v>1900-01-01 00:00:00</v>
          </cell>
          <cell r="K940" t="str">
            <v>M-P</v>
          </cell>
          <cell r="L940" t="str">
            <v>1653.000000</v>
          </cell>
          <cell r="AL940" t="str">
            <v>341902</v>
          </cell>
          <cell r="BC940" t="str">
            <v>Cust-PP</v>
          </cell>
          <cell r="BD940" t="str">
            <v>2.0080321285140560</v>
          </cell>
          <cell r="BE940" t="str">
            <v>.0000000000000000</v>
          </cell>
          <cell r="BF940" t="str">
            <v>.0000000000000000</v>
          </cell>
          <cell r="BG940" t="str">
            <v>None</v>
          </cell>
          <cell r="BK940" t="str">
            <v>2025-06-02 00:00:00</v>
          </cell>
          <cell r="BL940" t="str">
            <v>Airport EG-1023</v>
          </cell>
          <cell r="BM940" t="str">
            <v>No</v>
          </cell>
          <cell r="BN940" t="str">
            <v>No</v>
          </cell>
          <cell r="BO940" t="str">
            <v>CPay-000000006</v>
          </cell>
        </row>
        <row r="941">
          <cell r="B941" t="str">
            <v>341903</v>
          </cell>
          <cell r="C941" t="str">
            <v>25.0000000000000000</v>
          </cell>
          <cell r="E941" t="str">
            <v>Cust</v>
          </cell>
          <cell r="G941" t="str">
            <v>No</v>
          </cell>
          <cell r="H941" t="str">
            <v>1900-01-01 00:00:00</v>
          </cell>
          <cell r="K941" t="str">
            <v>M-P</v>
          </cell>
          <cell r="L941" t="str">
            <v>296.400000</v>
          </cell>
          <cell r="AL941" t="str">
            <v>341903</v>
          </cell>
          <cell r="BC941" t="str">
            <v>Cust-PP</v>
          </cell>
          <cell r="BD941" t="str">
            <v>2.0080321285140560</v>
          </cell>
          <cell r="BE941" t="str">
            <v>.0000000000000000</v>
          </cell>
          <cell r="BF941" t="str">
            <v>.0000000000000000</v>
          </cell>
          <cell r="BG941" t="str">
            <v>None</v>
          </cell>
          <cell r="BK941" t="str">
            <v>2025-06-02 00:00:00</v>
          </cell>
          <cell r="BL941" t="str">
            <v>Airport EG-1024</v>
          </cell>
          <cell r="BM941" t="str">
            <v>No</v>
          </cell>
          <cell r="BN941" t="str">
            <v>No</v>
          </cell>
          <cell r="BO941" t="str">
            <v>CPay-000000006</v>
          </cell>
        </row>
        <row r="942">
          <cell r="B942" t="str">
            <v>341909</v>
          </cell>
          <cell r="C942" t="str">
            <v>26.0000000000000000</v>
          </cell>
          <cell r="E942" t="str">
            <v>Cust</v>
          </cell>
          <cell r="G942" t="str">
            <v>No</v>
          </cell>
          <cell r="H942" t="str">
            <v>1900-01-01 00:00:00</v>
          </cell>
          <cell r="K942" t="str">
            <v>M-P</v>
          </cell>
          <cell r="L942" t="str">
            <v>1653.000000</v>
          </cell>
          <cell r="AL942" t="str">
            <v>341909</v>
          </cell>
          <cell r="BC942" t="str">
            <v>Cust-PP</v>
          </cell>
          <cell r="BD942" t="str">
            <v>2.0080321285140560</v>
          </cell>
          <cell r="BE942" t="str">
            <v>.0000000000000000</v>
          </cell>
          <cell r="BF942" t="str">
            <v>.0000000000000000</v>
          </cell>
          <cell r="BG942" t="str">
            <v>None</v>
          </cell>
          <cell r="BK942" t="str">
            <v>2025-06-02 00:00:00</v>
          </cell>
          <cell r="BL942" t="str">
            <v>Airport EG-1019</v>
          </cell>
          <cell r="BM942" t="str">
            <v>No</v>
          </cell>
          <cell r="BN942" t="str">
            <v>No</v>
          </cell>
          <cell r="BO942" t="str">
            <v>CPay-000000006</v>
          </cell>
        </row>
        <row r="943">
          <cell r="B943" t="str">
            <v>341910</v>
          </cell>
          <cell r="C943" t="str">
            <v>27.0000000000000000</v>
          </cell>
          <cell r="E943" t="str">
            <v>Cust</v>
          </cell>
          <cell r="G943" t="str">
            <v>No</v>
          </cell>
          <cell r="H943" t="str">
            <v>1900-01-01 00:00:00</v>
          </cell>
          <cell r="K943" t="str">
            <v>M-P</v>
          </cell>
          <cell r="L943" t="str">
            <v>2272.020000</v>
          </cell>
          <cell r="AL943" t="str">
            <v>341910</v>
          </cell>
          <cell r="BC943" t="str">
            <v>Cust-PP</v>
          </cell>
          <cell r="BD943" t="str">
            <v>2.0080321285140560</v>
          </cell>
          <cell r="BE943" t="str">
            <v>.0000000000000000</v>
          </cell>
          <cell r="BF943" t="str">
            <v>.0000000000000000</v>
          </cell>
          <cell r="BG943" t="str">
            <v>None</v>
          </cell>
          <cell r="BK943" t="str">
            <v>2025-06-02 00:00:00</v>
          </cell>
          <cell r="BL943" t="str">
            <v>Airport EG-1020</v>
          </cell>
          <cell r="BM943" t="str">
            <v>No</v>
          </cell>
          <cell r="BN943" t="str">
            <v>No</v>
          </cell>
          <cell r="BO943" t="str">
            <v>CPay-000000006</v>
          </cell>
        </row>
        <row r="944">
          <cell r="B944" t="str">
            <v>341911</v>
          </cell>
          <cell r="C944" t="str">
            <v>28.0000000000000000</v>
          </cell>
          <cell r="E944" t="str">
            <v>Cust</v>
          </cell>
          <cell r="G944" t="str">
            <v>No</v>
          </cell>
          <cell r="H944" t="str">
            <v>1900-01-01 00:00:00</v>
          </cell>
          <cell r="K944" t="str">
            <v>M-P</v>
          </cell>
          <cell r="L944" t="str">
            <v>1653.000000</v>
          </cell>
          <cell r="AL944" t="str">
            <v>341911</v>
          </cell>
          <cell r="BC944" t="str">
            <v>Cust-PP</v>
          </cell>
          <cell r="BD944" t="str">
            <v>2.0080321285140560</v>
          </cell>
          <cell r="BE944" t="str">
            <v>.0000000000000000</v>
          </cell>
          <cell r="BF944" t="str">
            <v>.0000000000000000</v>
          </cell>
          <cell r="BG944" t="str">
            <v>None</v>
          </cell>
          <cell r="BK944" t="str">
            <v>2025-06-02 00:00:00</v>
          </cell>
          <cell r="BL944" t="str">
            <v>Airport EG-1021</v>
          </cell>
          <cell r="BM944" t="str">
            <v>No</v>
          </cell>
          <cell r="BN944" t="str">
            <v>No</v>
          </cell>
          <cell r="BO944" t="str">
            <v>CPay-000000006</v>
          </cell>
        </row>
        <row r="945">
          <cell r="B945" t="str">
            <v>341912</v>
          </cell>
          <cell r="C945" t="str">
            <v>29.0000000000000000</v>
          </cell>
          <cell r="E945" t="str">
            <v>Cust</v>
          </cell>
          <cell r="G945" t="str">
            <v>No</v>
          </cell>
          <cell r="H945" t="str">
            <v>1900-01-01 00:00:00</v>
          </cell>
          <cell r="K945" t="str">
            <v>M-P</v>
          </cell>
          <cell r="L945" t="str">
            <v>312.130000</v>
          </cell>
          <cell r="AL945" t="str">
            <v>341912</v>
          </cell>
          <cell r="BC945" t="str">
            <v>Cust-PP</v>
          </cell>
          <cell r="BD945" t="str">
            <v>2.0080321285140560</v>
          </cell>
          <cell r="BE945" t="str">
            <v>.0000000000000000</v>
          </cell>
          <cell r="BF945" t="str">
            <v>.0000000000000000</v>
          </cell>
          <cell r="BG945" t="str">
            <v>None</v>
          </cell>
          <cell r="BK945" t="str">
            <v>2025-06-02 00:00:00</v>
          </cell>
          <cell r="BL945" t="str">
            <v>Airport EG-1022</v>
          </cell>
          <cell r="BM945" t="str">
            <v>No</v>
          </cell>
          <cell r="BN945" t="str">
            <v>No</v>
          </cell>
          <cell r="BO945" t="str">
            <v>CPay-000000006</v>
          </cell>
        </row>
        <row r="946">
          <cell r="B946" t="str">
            <v>341784</v>
          </cell>
          <cell r="C946" t="str">
            <v>30.0000000000000000</v>
          </cell>
          <cell r="E946" t="str">
            <v>Cust</v>
          </cell>
          <cell r="G946" t="str">
            <v>No</v>
          </cell>
          <cell r="H946" t="str">
            <v>1900-01-01 00:00:00</v>
          </cell>
          <cell r="K946" t="str">
            <v>M-P</v>
          </cell>
          <cell r="L946" t="str">
            <v>1103.520000</v>
          </cell>
          <cell r="AL946" t="str">
            <v>341784</v>
          </cell>
          <cell r="BC946" t="str">
            <v>Cust-PP</v>
          </cell>
          <cell r="BD946" t="str">
            <v>2.0080321285140560</v>
          </cell>
          <cell r="BE946" t="str">
            <v>.0000000000000000</v>
          </cell>
          <cell r="BF946" t="str">
            <v>.0000000000000000</v>
          </cell>
          <cell r="BG946" t="str">
            <v>None</v>
          </cell>
          <cell r="BK946" t="str">
            <v>2025-06-03 00:00:00</v>
          </cell>
          <cell r="BL946" t="str">
            <v>Airport EG-1046</v>
          </cell>
          <cell r="BM946" t="str">
            <v>No</v>
          </cell>
          <cell r="BN946" t="str">
            <v>No</v>
          </cell>
          <cell r="BO946" t="str">
            <v>CPay-000000006</v>
          </cell>
        </row>
        <row r="947">
          <cell r="B947" t="str">
            <v>341786</v>
          </cell>
          <cell r="C947" t="str">
            <v>31.0000000000000000</v>
          </cell>
          <cell r="E947" t="str">
            <v>Cust</v>
          </cell>
          <cell r="G947" t="str">
            <v>No</v>
          </cell>
          <cell r="H947" t="str">
            <v>1900-01-01 00:00:00</v>
          </cell>
          <cell r="K947" t="str">
            <v>M-P</v>
          </cell>
          <cell r="L947" t="str">
            <v>1653.000000</v>
          </cell>
          <cell r="AL947" t="str">
            <v>341786</v>
          </cell>
          <cell r="BC947" t="str">
            <v>Cust-PP</v>
          </cell>
          <cell r="BD947" t="str">
            <v>2.0080321285140560</v>
          </cell>
          <cell r="BE947" t="str">
            <v>.0000000000000000</v>
          </cell>
          <cell r="BF947" t="str">
            <v>.0000000000000000</v>
          </cell>
          <cell r="BG947" t="str">
            <v>None</v>
          </cell>
          <cell r="BK947" t="str">
            <v>2025-06-03 00:00:00</v>
          </cell>
          <cell r="BL947" t="str">
            <v>Airport EG-1047</v>
          </cell>
          <cell r="BM947" t="str">
            <v>No</v>
          </cell>
          <cell r="BN947" t="str">
            <v>No</v>
          </cell>
          <cell r="BO947" t="str">
            <v>CPay-000000006</v>
          </cell>
        </row>
        <row r="948">
          <cell r="B948" t="str">
            <v>341787</v>
          </cell>
          <cell r="C948" t="str">
            <v>32.0000000000000000</v>
          </cell>
          <cell r="E948" t="str">
            <v>Cust</v>
          </cell>
          <cell r="G948" t="str">
            <v>No</v>
          </cell>
          <cell r="H948" t="str">
            <v>1900-01-01 00:00:00</v>
          </cell>
          <cell r="K948" t="str">
            <v>M-P</v>
          </cell>
          <cell r="L948" t="str">
            <v>361.950000</v>
          </cell>
          <cell r="AL948" t="str">
            <v>341787</v>
          </cell>
          <cell r="BC948" t="str">
            <v>Cust-PP</v>
          </cell>
          <cell r="BD948" t="str">
            <v>2.0080321285140560</v>
          </cell>
          <cell r="BE948" t="str">
            <v>.0000000000000000</v>
          </cell>
          <cell r="BF948" t="str">
            <v>.0000000000000000</v>
          </cell>
          <cell r="BG948" t="str">
            <v>None</v>
          </cell>
          <cell r="BK948" t="str">
            <v>2025-06-03 00:00:00</v>
          </cell>
          <cell r="BL948" t="str">
            <v>Airport EG-1048</v>
          </cell>
          <cell r="BM948" t="str">
            <v>No</v>
          </cell>
          <cell r="BN948" t="str">
            <v>No</v>
          </cell>
          <cell r="BO948" t="str">
            <v>CPay-000000006</v>
          </cell>
        </row>
        <row r="949">
          <cell r="B949" t="str">
            <v>341788</v>
          </cell>
          <cell r="C949" t="str">
            <v>33.0000000000000000</v>
          </cell>
          <cell r="E949" t="str">
            <v>Cust</v>
          </cell>
          <cell r="G949" t="str">
            <v>No</v>
          </cell>
          <cell r="H949" t="str">
            <v>1900-01-01 00:00:00</v>
          </cell>
          <cell r="K949" t="str">
            <v>M-P</v>
          </cell>
          <cell r="L949" t="str">
            <v>500.000000</v>
          </cell>
          <cell r="AL949" t="str">
            <v>341788</v>
          </cell>
          <cell r="BC949" t="str">
            <v>Cust-PP</v>
          </cell>
          <cell r="BD949" t="str">
            <v>112.8514056000000000</v>
          </cell>
          <cell r="BE949" t="str">
            <v>.0000000000000000</v>
          </cell>
          <cell r="BF949" t="str">
            <v>.0000000000000000</v>
          </cell>
          <cell r="BG949" t="str">
            <v>None</v>
          </cell>
          <cell r="BK949" t="str">
            <v>2025-06-03 00:00:00</v>
          </cell>
          <cell r="BL949" t="str">
            <v>Airport EU-1</v>
          </cell>
          <cell r="BM949" t="str">
            <v>No</v>
          </cell>
          <cell r="BN949" t="str">
            <v>No</v>
          </cell>
          <cell r="BO949" t="str">
            <v>CPay-000000006</v>
          </cell>
        </row>
        <row r="950">
          <cell r="B950" t="str">
            <v>341804</v>
          </cell>
          <cell r="C950" t="str">
            <v>34.0000000000000000</v>
          </cell>
          <cell r="E950" t="str">
            <v>Cust</v>
          </cell>
          <cell r="G950" t="str">
            <v>No</v>
          </cell>
          <cell r="H950" t="str">
            <v>1900-01-01 00:00:00</v>
          </cell>
          <cell r="K950" t="str">
            <v>M-P</v>
          </cell>
          <cell r="L950" t="str">
            <v>1653.000000</v>
          </cell>
          <cell r="AL950" t="str">
            <v>341804</v>
          </cell>
          <cell r="BC950" t="str">
            <v>Cust-PP</v>
          </cell>
          <cell r="BD950" t="str">
            <v>2.0080321285140560</v>
          </cell>
          <cell r="BE950" t="str">
            <v>.0000000000000000</v>
          </cell>
          <cell r="BF950" t="str">
            <v>.0000000000000000</v>
          </cell>
          <cell r="BG950" t="str">
            <v>None</v>
          </cell>
          <cell r="BK950" t="str">
            <v>2025-06-03 00:00:00</v>
          </cell>
          <cell r="BL950" t="str">
            <v>Airport EG-1045</v>
          </cell>
          <cell r="BM950" t="str">
            <v>No</v>
          </cell>
          <cell r="BN950" t="str">
            <v>No</v>
          </cell>
          <cell r="BO950" t="str">
            <v>CPay-000000006</v>
          </cell>
        </row>
        <row r="951">
          <cell r="B951" t="str">
            <v>341808</v>
          </cell>
          <cell r="C951" t="str">
            <v>35.0000000000000000</v>
          </cell>
          <cell r="E951" t="str">
            <v>Cust</v>
          </cell>
          <cell r="G951" t="str">
            <v>No</v>
          </cell>
          <cell r="H951" t="str">
            <v>1900-01-01 00:00:00</v>
          </cell>
          <cell r="K951" t="str">
            <v>M-P</v>
          </cell>
          <cell r="L951" t="str">
            <v>7980.000000</v>
          </cell>
          <cell r="AL951" t="str">
            <v>341808</v>
          </cell>
          <cell r="BC951" t="str">
            <v>Cust-PP</v>
          </cell>
          <cell r="BD951" t="str">
            <v>2.0080321285140560</v>
          </cell>
          <cell r="BE951" t="str">
            <v>.0000000000000000</v>
          </cell>
          <cell r="BF951" t="str">
            <v>.0000000000000000</v>
          </cell>
          <cell r="BG951" t="str">
            <v>None</v>
          </cell>
          <cell r="BK951" t="str">
            <v>2025-06-03 00:00:00</v>
          </cell>
          <cell r="BL951" t="str">
            <v>Airport EG-1042</v>
          </cell>
          <cell r="BM951" t="str">
            <v>No</v>
          </cell>
          <cell r="BN951" t="str">
            <v>No</v>
          </cell>
          <cell r="BO951" t="str">
            <v>CPay-000000006</v>
          </cell>
        </row>
        <row r="952">
          <cell r="B952" t="str">
            <v>341809</v>
          </cell>
          <cell r="C952" t="str">
            <v>36.0000000000000000</v>
          </cell>
          <cell r="E952" t="str">
            <v>Cust</v>
          </cell>
          <cell r="G952" t="str">
            <v>No</v>
          </cell>
          <cell r="H952" t="str">
            <v>1900-01-01 00:00:00</v>
          </cell>
          <cell r="K952" t="str">
            <v>M-P</v>
          </cell>
          <cell r="L952" t="str">
            <v>855.000000</v>
          </cell>
          <cell r="AL952" t="str">
            <v>341809</v>
          </cell>
          <cell r="BC952" t="str">
            <v>Cust-PP</v>
          </cell>
          <cell r="BD952" t="str">
            <v>2.0080321285140560</v>
          </cell>
          <cell r="BE952" t="str">
            <v>.0000000000000000</v>
          </cell>
          <cell r="BF952" t="str">
            <v>.0000000000000000</v>
          </cell>
          <cell r="BG952" t="str">
            <v>None</v>
          </cell>
          <cell r="BK952" t="str">
            <v>2025-06-03 00:00:00</v>
          </cell>
          <cell r="BL952" t="str">
            <v>Airport EG-1043</v>
          </cell>
          <cell r="BM952" t="str">
            <v>No</v>
          </cell>
          <cell r="BN952" t="str">
            <v>No</v>
          </cell>
          <cell r="BO952" t="str">
            <v>CPay-000000006</v>
          </cell>
        </row>
        <row r="953">
          <cell r="B953" t="str">
            <v>341820</v>
          </cell>
          <cell r="C953" t="str">
            <v>37.0000000000000000</v>
          </cell>
          <cell r="E953" t="str">
            <v>Cust</v>
          </cell>
          <cell r="G953" t="str">
            <v>No</v>
          </cell>
          <cell r="H953" t="str">
            <v>1900-01-01 00:00:00</v>
          </cell>
          <cell r="K953" t="str">
            <v>M-P</v>
          </cell>
          <cell r="L953" t="str">
            <v>3760.000000</v>
          </cell>
          <cell r="AL953" t="str">
            <v>341820</v>
          </cell>
          <cell r="BC953" t="str">
            <v>Cust-PP</v>
          </cell>
          <cell r="BD953" t="str">
            <v>2.0080321285140560</v>
          </cell>
          <cell r="BE953" t="str">
            <v>.0000000000000000</v>
          </cell>
          <cell r="BF953" t="str">
            <v>.0000000000000000</v>
          </cell>
          <cell r="BG953" t="str">
            <v>None</v>
          </cell>
          <cell r="BK953" t="str">
            <v>2025-06-03 00:00:00</v>
          </cell>
          <cell r="BL953" t="str">
            <v>Airport EG-1039</v>
          </cell>
          <cell r="BM953" t="str">
            <v>No</v>
          </cell>
          <cell r="BN953" t="str">
            <v>No</v>
          </cell>
          <cell r="BO953" t="str">
            <v>CPay-000000006</v>
          </cell>
        </row>
        <row r="954">
          <cell r="B954" t="str">
            <v>341841</v>
          </cell>
          <cell r="C954" t="str">
            <v>38.0000000000000000</v>
          </cell>
          <cell r="E954" t="str">
            <v>Cust</v>
          </cell>
          <cell r="G954" t="str">
            <v>No</v>
          </cell>
          <cell r="H954" t="str">
            <v>1900-01-01 00:00:00</v>
          </cell>
          <cell r="K954" t="str">
            <v>M-P</v>
          </cell>
          <cell r="L954" t="str">
            <v>2052.000000</v>
          </cell>
          <cell r="AL954" t="str">
            <v>341841</v>
          </cell>
          <cell r="BC954" t="str">
            <v>Cust-PP</v>
          </cell>
          <cell r="BD954" t="str">
            <v>2.0080321285140560</v>
          </cell>
          <cell r="BE954" t="str">
            <v>.0000000000000000</v>
          </cell>
          <cell r="BF954" t="str">
            <v>.0000000000000000</v>
          </cell>
          <cell r="BG954" t="str">
            <v>None</v>
          </cell>
          <cell r="BK954" t="str">
            <v>2025-06-03 00:00:00</v>
          </cell>
          <cell r="BL954" t="str">
            <v>Airport EG-1040</v>
          </cell>
          <cell r="BM954" t="str">
            <v>No</v>
          </cell>
          <cell r="BN954" t="str">
            <v>No</v>
          </cell>
          <cell r="BO954" t="str">
            <v>CPay-000000006</v>
          </cell>
        </row>
        <row r="955">
          <cell r="B955" t="str">
            <v>341842</v>
          </cell>
          <cell r="C955" t="str">
            <v>39.0000000000000000</v>
          </cell>
          <cell r="E955" t="str">
            <v>Cust</v>
          </cell>
          <cell r="G955" t="str">
            <v>No</v>
          </cell>
          <cell r="H955" t="str">
            <v>1900-01-01 00:00:00</v>
          </cell>
          <cell r="K955" t="str">
            <v>M-P</v>
          </cell>
          <cell r="L955" t="str">
            <v>958.740000</v>
          </cell>
          <cell r="AL955" t="str">
            <v>341842</v>
          </cell>
          <cell r="BC955" t="str">
            <v>Cust-PP</v>
          </cell>
          <cell r="BD955" t="str">
            <v>2.0080321285140560</v>
          </cell>
          <cell r="BE955" t="str">
            <v>.0000000000000000</v>
          </cell>
          <cell r="BF955" t="str">
            <v>.0000000000000000</v>
          </cell>
          <cell r="BG955" t="str">
            <v>None</v>
          </cell>
          <cell r="BK955" t="str">
            <v>2025-06-03 00:00:00</v>
          </cell>
          <cell r="BL955" t="str">
            <v>Airport EG-1041</v>
          </cell>
          <cell r="BM955" t="str">
            <v>No</v>
          </cell>
          <cell r="BN955" t="str">
            <v>No</v>
          </cell>
          <cell r="BO955" t="str">
            <v>CPay-000000006</v>
          </cell>
        </row>
        <row r="956">
          <cell r="B956" t="str">
            <v>341551</v>
          </cell>
          <cell r="C956" t="str">
            <v>40.0000000000000000</v>
          </cell>
          <cell r="E956" t="str">
            <v>Cust</v>
          </cell>
          <cell r="G956" t="str">
            <v>No</v>
          </cell>
          <cell r="H956" t="str">
            <v>1900-01-01 00:00:00</v>
          </cell>
          <cell r="K956" t="str">
            <v>M-P</v>
          </cell>
          <cell r="L956" t="str">
            <v>1653.000000</v>
          </cell>
          <cell r="AL956" t="str">
            <v>341551</v>
          </cell>
          <cell r="BC956" t="str">
            <v>Cust-PP</v>
          </cell>
          <cell r="BD956" t="str">
            <v>2.0080321285140560</v>
          </cell>
          <cell r="BE956" t="str">
            <v>.0000000000000000</v>
          </cell>
          <cell r="BF956" t="str">
            <v>.0000000000000000</v>
          </cell>
          <cell r="BG956" t="str">
            <v>None</v>
          </cell>
          <cell r="BK956" t="str">
            <v>2025-06-04 00:00:00</v>
          </cell>
          <cell r="BL956" t="str">
            <v>Airport EG-1052</v>
          </cell>
          <cell r="BM956" t="str">
            <v>No</v>
          </cell>
          <cell r="BN956" t="str">
            <v>No</v>
          </cell>
          <cell r="BO956" t="str">
            <v>CPay-000000006</v>
          </cell>
        </row>
        <row r="957">
          <cell r="B957" t="str">
            <v>341552</v>
          </cell>
          <cell r="C957" t="str">
            <v>41.0000000000000000</v>
          </cell>
          <cell r="E957" t="str">
            <v>Cust</v>
          </cell>
          <cell r="G957" t="str">
            <v>No</v>
          </cell>
          <cell r="H957" t="str">
            <v>1900-01-01 00:00:00</v>
          </cell>
          <cell r="K957" t="str">
            <v>M-P</v>
          </cell>
          <cell r="L957" t="str">
            <v>519.270000</v>
          </cell>
          <cell r="AL957" t="str">
            <v>341552</v>
          </cell>
          <cell r="BC957" t="str">
            <v>Cust-PP</v>
          </cell>
          <cell r="BD957" t="str">
            <v>2.0080321285140560</v>
          </cell>
          <cell r="BE957" t="str">
            <v>.0000000000000000</v>
          </cell>
          <cell r="BF957" t="str">
            <v>.0000000000000000</v>
          </cell>
          <cell r="BG957" t="str">
            <v>None</v>
          </cell>
          <cell r="BK957" t="str">
            <v>2025-06-04 00:00:00</v>
          </cell>
          <cell r="BL957" t="str">
            <v>Airport EG-1053</v>
          </cell>
          <cell r="BM957" t="str">
            <v>No</v>
          </cell>
          <cell r="BN957" t="str">
            <v>No</v>
          </cell>
          <cell r="BO957" t="str">
            <v>CPay-000000006</v>
          </cell>
        </row>
        <row r="958">
          <cell r="B958" t="str">
            <v>341554</v>
          </cell>
          <cell r="C958" t="str">
            <v>42.0000000000000000</v>
          </cell>
          <cell r="E958" t="str">
            <v>Cust</v>
          </cell>
          <cell r="G958" t="str">
            <v>No</v>
          </cell>
          <cell r="H958" t="str">
            <v>1900-01-01 00:00:00</v>
          </cell>
          <cell r="K958" t="str">
            <v>M-P</v>
          </cell>
          <cell r="L958" t="str">
            <v>2867.500000</v>
          </cell>
          <cell r="AL958" t="str">
            <v>341554</v>
          </cell>
          <cell r="BC958" t="str">
            <v>Cust-PP</v>
          </cell>
          <cell r="BD958" t="str">
            <v>2.0080321285140560</v>
          </cell>
          <cell r="BE958" t="str">
            <v>.0000000000000000</v>
          </cell>
          <cell r="BF958" t="str">
            <v>.0000000000000000</v>
          </cell>
          <cell r="BG958" t="str">
            <v>None</v>
          </cell>
          <cell r="BK958" t="str">
            <v>2025-06-04 00:00:00</v>
          </cell>
          <cell r="BL958" t="str">
            <v>Airport EG-1054</v>
          </cell>
          <cell r="BM958" t="str">
            <v>No</v>
          </cell>
          <cell r="BN958" t="str">
            <v>No</v>
          </cell>
          <cell r="BO958" t="str">
            <v>CPay-000000006</v>
          </cell>
        </row>
        <row r="959">
          <cell r="B959" t="str">
            <v>341747</v>
          </cell>
          <cell r="C959" t="str">
            <v>43.0000000000000000</v>
          </cell>
          <cell r="E959" t="str">
            <v>Cust</v>
          </cell>
          <cell r="G959" t="str">
            <v>No</v>
          </cell>
          <cell r="H959" t="str">
            <v>1900-01-01 00:00:00</v>
          </cell>
          <cell r="K959" t="str">
            <v>M-P</v>
          </cell>
          <cell r="L959" t="str">
            <v>1653.000000</v>
          </cell>
          <cell r="AL959" t="str">
            <v>341747</v>
          </cell>
          <cell r="BC959" t="str">
            <v>Cust-PP</v>
          </cell>
          <cell r="BD959" t="str">
            <v>2.0080321285140560</v>
          </cell>
          <cell r="BE959" t="str">
            <v>.0000000000000000</v>
          </cell>
          <cell r="BF959" t="str">
            <v>.0000000000000000</v>
          </cell>
          <cell r="BG959" t="str">
            <v>None</v>
          </cell>
          <cell r="BK959" t="str">
            <v>2025-06-04 00:00:00</v>
          </cell>
          <cell r="BL959" t="str">
            <v>Airport EG-1049</v>
          </cell>
          <cell r="BM959" t="str">
            <v>No</v>
          </cell>
          <cell r="BN959" t="str">
            <v>No</v>
          </cell>
          <cell r="BO959" t="str">
            <v>CPay-000000006</v>
          </cell>
        </row>
        <row r="960">
          <cell r="B960" t="str">
            <v>341748</v>
          </cell>
          <cell r="C960" t="str">
            <v>44.0000000000000000</v>
          </cell>
          <cell r="E960" t="str">
            <v>Cust</v>
          </cell>
          <cell r="G960" t="str">
            <v>No</v>
          </cell>
          <cell r="H960" t="str">
            <v>1900-01-01 00:00:00</v>
          </cell>
          <cell r="K960" t="str">
            <v>M-P</v>
          </cell>
          <cell r="L960" t="str">
            <v>6754.500000</v>
          </cell>
          <cell r="AL960" t="str">
            <v>341748</v>
          </cell>
          <cell r="BC960" t="str">
            <v>Cust-PP</v>
          </cell>
          <cell r="BD960" t="str">
            <v>2.0080321285140560</v>
          </cell>
          <cell r="BE960" t="str">
            <v>.0000000000000000</v>
          </cell>
          <cell r="BF960" t="str">
            <v>.0000000000000000</v>
          </cell>
          <cell r="BG960" t="str">
            <v>None</v>
          </cell>
          <cell r="BK960" t="str">
            <v>2025-06-04 00:00:00</v>
          </cell>
          <cell r="BL960" t="str">
            <v>Airport EG-1050</v>
          </cell>
          <cell r="BM960" t="str">
            <v>No</v>
          </cell>
          <cell r="BN960" t="str">
            <v>No</v>
          </cell>
          <cell r="BO960" t="str">
            <v>CPay-000000006</v>
          </cell>
        </row>
        <row r="961">
          <cell r="B961" t="str">
            <v>341483</v>
          </cell>
          <cell r="C961" t="str">
            <v>45.0000000000000000</v>
          </cell>
          <cell r="E961" t="str">
            <v>Cust</v>
          </cell>
          <cell r="G961" t="str">
            <v>No</v>
          </cell>
          <cell r="H961" t="str">
            <v>1900-01-01 00:00:00</v>
          </cell>
          <cell r="K961" t="str">
            <v>M-P</v>
          </cell>
          <cell r="L961" t="str">
            <v>1653.000000</v>
          </cell>
          <cell r="AL961" t="str">
            <v>341483</v>
          </cell>
          <cell r="BC961" t="str">
            <v>Cust-PP</v>
          </cell>
          <cell r="BD961" t="str">
            <v>2.0080321285140560</v>
          </cell>
          <cell r="BE961" t="str">
            <v>.0000000000000000</v>
          </cell>
          <cell r="BF961" t="str">
            <v>.0000000000000000</v>
          </cell>
          <cell r="BG961" t="str">
            <v>None</v>
          </cell>
          <cell r="BK961" t="str">
            <v>2025-06-10 00:00:00</v>
          </cell>
          <cell r="BL961" t="str">
            <v>Airport EG-1063</v>
          </cell>
          <cell r="BM961" t="str">
            <v>No</v>
          </cell>
          <cell r="BN961" t="str">
            <v>No</v>
          </cell>
          <cell r="BO961" t="str">
            <v>CPay-000000006</v>
          </cell>
        </row>
        <row r="962">
          <cell r="B962" t="str">
            <v>341484</v>
          </cell>
          <cell r="C962" t="str">
            <v>46.0000000000000000</v>
          </cell>
          <cell r="E962" t="str">
            <v>Cust</v>
          </cell>
          <cell r="G962" t="str">
            <v>No</v>
          </cell>
          <cell r="H962" t="str">
            <v>1900-01-01 00:00:00</v>
          </cell>
          <cell r="K962" t="str">
            <v>M-P</v>
          </cell>
          <cell r="L962" t="str">
            <v>627.000000</v>
          </cell>
          <cell r="AL962" t="str">
            <v>341484</v>
          </cell>
          <cell r="BC962" t="str">
            <v>Cust-PP</v>
          </cell>
          <cell r="BD962" t="str">
            <v>2.0080321285140560</v>
          </cell>
          <cell r="BE962" t="str">
            <v>.0000000000000000</v>
          </cell>
          <cell r="BF962" t="str">
            <v>.0000000000000000</v>
          </cell>
          <cell r="BG962" t="str">
            <v>None</v>
          </cell>
          <cell r="BK962" t="str">
            <v>2025-06-10 00:00:00</v>
          </cell>
          <cell r="BL962" t="str">
            <v>Airport EG-1064</v>
          </cell>
          <cell r="BM962" t="str">
            <v>No</v>
          </cell>
          <cell r="BN962" t="str">
            <v>No</v>
          </cell>
          <cell r="BO962" t="str">
            <v>CPay-000000006</v>
          </cell>
        </row>
        <row r="963">
          <cell r="B963" t="str">
            <v>341485</v>
          </cell>
          <cell r="C963" t="str">
            <v>47.0000000000000000</v>
          </cell>
          <cell r="E963" t="str">
            <v>Cust</v>
          </cell>
          <cell r="G963" t="str">
            <v>No</v>
          </cell>
          <cell r="H963" t="str">
            <v>1900-01-01 00:00:00</v>
          </cell>
          <cell r="K963" t="str">
            <v>M-P</v>
          </cell>
          <cell r="L963" t="str">
            <v>1653.000000</v>
          </cell>
          <cell r="AL963" t="str">
            <v>341485</v>
          </cell>
          <cell r="BC963" t="str">
            <v>Cust-PP</v>
          </cell>
          <cell r="BD963" t="str">
            <v>2.0080321285140560</v>
          </cell>
          <cell r="BE963" t="str">
            <v>.0000000000000000</v>
          </cell>
          <cell r="BF963" t="str">
            <v>.0000000000000000</v>
          </cell>
          <cell r="BG963" t="str">
            <v>None</v>
          </cell>
          <cell r="BK963" t="str">
            <v>2025-06-10 00:00:00</v>
          </cell>
          <cell r="BL963" t="str">
            <v>Airport EG-1065</v>
          </cell>
          <cell r="BM963" t="str">
            <v>No</v>
          </cell>
          <cell r="BN963" t="str">
            <v>No</v>
          </cell>
          <cell r="BO963" t="str">
            <v>CPay-000000006</v>
          </cell>
        </row>
        <row r="964">
          <cell r="B964" t="str">
            <v>341486</v>
          </cell>
          <cell r="C964" t="str">
            <v>48.0000000000000000</v>
          </cell>
          <cell r="E964" t="str">
            <v>Cust</v>
          </cell>
          <cell r="G964" t="str">
            <v>No</v>
          </cell>
          <cell r="H964" t="str">
            <v>1900-01-01 00:00:00</v>
          </cell>
          <cell r="K964" t="str">
            <v>M-P</v>
          </cell>
          <cell r="L964" t="str">
            <v>2759.030000</v>
          </cell>
          <cell r="AL964" t="str">
            <v>341486</v>
          </cell>
          <cell r="BC964" t="str">
            <v>Cust-PP</v>
          </cell>
          <cell r="BD964" t="str">
            <v>2.0080321285140560</v>
          </cell>
          <cell r="BE964" t="str">
            <v>.0000000000000000</v>
          </cell>
          <cell r="BF964" t="str">
            <v>.0000000000000000</v>
          </cell>
          <cell r="BG964" t="str">
            <v>None</v>
          </cell>
          <cell r="BK964" t="str">
            <v>2025-06-10 00:00:00</v>
          </cell>
          <cell r="BL964" t="str">
            <v>Airport EG-1066</v>
          </cell>
          <cell r="BM964" t="str">
            <v>No</v>
          </cell>
          <cell r="BN964" t="str">
            <v>No</v>
          </cell>
          <cell r="BO964" t="str">
            <v>CPay-000000006</v>
          </cell>
        </row>
        <row r="965">
          <cell r="B965" t="str">
            <v>341491</v>
          </cell>
          <cell r="C965" t="str">
            <v>49.0000000000000000</v>
          </cell>
          <cell r="E965" t="str">
            <v>Cust</v>
          </cell>
          <cell r="G965" t="str">
            <v>No</v>
          </cell>
          <cell r="H965" t="str">
            <v>1900-01-01 00:00:00</v>
          </cell>
          <cell r="K965" t="str">
            <v>M-P</v>
          </cell>
          <cell r="L965" t="str">
            <v>1653.000000</v>
          </cell>
          <cell r="AL965" t="str">
            <v>341491</v>
          </cell>
          <cell r="BC965" t="str">
            <v>Cust-PP</v>
          </cell>
          <cell r="BD965" t="str">
            <v>2.0080321285140560</v>
          </cell>
          <cell r="BE965" t="str">
            <v>.0000000000000000</v>
          </cell>
          <cell r="BF965" t="str">
            <v>.0000000000000000</v>
          </cell>
          <cell r="BG965" t="str">
            <v>None</v>
          </cell>
          <cell r="BK965" t="str">
            <v>2025-06-10 00:00:00</v>
          </cell>
          <cell r="BL965" t="str">
            <v>Airport EG-1057</v>
          </cell>
          <cell r="BM965" t="str">
            <v>No</v>
          </cell>
          <cell r="BN965" t="str">
            <v>No</v>
          </cell>
          <cell r="BO965" t="str">
            <v>CPay-000000006</v>
          </cell>
        </row>
        <row r="966">
          <cell r="B966" t="str">
            <v>341492</v>
          </cell>
          <cell r="C966" t="str">
            <v>50.0000000000000000</v>
          </cell>
          <cell r="E966" t="str">
            <v>Cust</v>
          </cell>
          <cell r="G966" t="str">
            <v>No</v>
          </cell>
          <cell r="H966" t="str">
            <v>1900-01-01 00:00:00</v>
          </cell>
          <cell r="K966" t="str">
            <v>M-P</v>
          </cell>
          <cell r="L966" t="str">
            <v>1482.000000</v>
          </cell>
          <cell r="AL966" t="str">
            <v>341492</v>
          </cell>
          <cell r="BC966" t="str">
            <v>Cust-PP</v>
          </cell>
          <cell r="BD966" t="str">
            <v>2.0080321285140560</v>
          </cell>
          <cell r="BE966" t="str">
            <v>.0000000000000000</v>
          </cell>
          <cell r="BF966" t="str">
            <v>.0000000000000000</v>
          </cell>
          <cell r="BG966" t="str">
            <v>None</v>
          </cell>
          <cell r="BK966" t="str">
            <v>2025-06-10 00:00:00</v>
          </cell>
          <cell r="BL966" t="str">
            <v>Airport EG-1058</v>
          </cell>
          <cell r="BM966" t="str">
            <v>No</v>
          </cell>
          <cell r="BN966" t="str">
            <v>No</v>
          </cell>
          <cell r="BO966" t="str">
            <v>CPay-000000006</v>
          </cell>
        </row>
        <row r="967">
          <cell r="B967" t="str">
            <v>341493</v>
          </cell>
          <cell r="C967" t="str">
            <v>51.0000000000000000</v>
          </cell>
          <cell r="E967" t="str">
            <v>Cust</v>
          </cell>
          <cell r="G967" t="str">
            <v>No</v>
          </cell>
          <cell r="H967" t="str">
            <v>1900-01-01 00:00:00</v>
          </cell>
          <cell r="K967" t="str">
            <v>M-P</v>
          </cell>
          <cell r="L967" t="str">
            <v>2052.000000</v>
          </cell>
          <cell r="AL967" t="str">
            <v>341493</v>
          </cell>
          <cell r="BC967" t="str">
            <v>Cust-PP</v>
          </cell>
          <cell r="BD967" t="str">
            <v>2.0080321285140560</v>
          </cell>
          <cell r="BE967" t="str">
            <v>.0000000000000000</v>
          </cell>
          <cell r="BF967" t="str">
            <v>.0000000000000000</v>
          </cell>
          <cell r="BG967" t="str">
            <v>None</v>
          </cell>
          <cell r="BK967" t="str">
            <v>2025-06-10 00:00:00</v>
          </cell>
          <cell r="BL967" t="str">
            <v>Airport EG-1059</v>
          </cell>
          <cell r="BM967" t="str">
            <v>No</v>
          </cell>
          <cell r="BN967" t="str">
            <v>No</v>
          </cell>
          <cell r="BO967" t="str">
            <v>CPay-000000006</v>
          </cell>
        </row>
        <row r="968">
          <cell r="B968" t="str">
            <v>341494</v>
          </cell>
          <cell r="C968" t="str">
            <v>52.0000000000000000</v>
          </cell>
          <cell r="E968" t="str">
            <v>Cust</v>
          </cell>
          <cell r="G968" t="str">
            <v>No</v>
          </cell>
          <cell r="H968" t="str">
            <v>1900-01-01 00:00:00</v>
          </cell>
          <cell r="K968" t="str">
            <v>M-P</v>
          </cell>
          <cell r="L968" t="str">
            <v>296.400000</v>
          </cell>
          <cell r="AL968" t="str">
            <v>341494</v>
          </cell>
          <cell r="BC968" t="str">
            <v>Cust-PP</v>
          </cell>
          <cell r="BD968" t="str">
            <v>2.0080321285140560</v>
          </cell>
          <cell r="BE968" t="str">
            <v>.0000000000000000</v>
          </cell>
          <cell r="BF968" t="str">
            <v>.0000000000000000</v>
          </cell>
          <cell r="BG968" t="str">
            <v>None</v>
          </cell>
          <cell r="BK968" t="str">
            <v>2025-06-10 00:00:00</v>
          </cell>
          <cell r="BL968" t="str">
            <v>Airport EG-1060</v>
          </cell>
          <cell r="BM968" t="str">
            <v>No</v>
          </cell>
          <cell r="BN968" t="str">
            <v>No</v>
          </cell>
          <cell r="BO968" t="str">
            <v>CPay-000000006</v>
          </cell>
        </row>
        <row r="969">
          <cell r="B969" t="str">
            <v>341497</v>
          </cell>
          <cell r="C969" t="str">
            <v>53.0000000000000000</v>
          </cell>
          <cell r="E969" t="str">
            <v>Cust</v>
          </cell>
          <cell r="G969" t="str">
            <v>No</v>
          </cell>
          <cell r="H969" t="str">
            <v>1900-01-01 00:00:00</v>
          </cell>
          <cell r="K969" t="str">
            <v>M-P</v>
          </cell>
          <cell r="L969" t="str">
            <v>1653.000000</v>
          </cell>
          <cell r="AL969" t="str">
            <v>341497</v>
          </cell>
          <cell r="BC969" t="str">
            <v>Cust-PP</v>
          </cell>
          <cell r="BD969" t="str">
            <v>2.0080321285140560</v>
          </cell>
          <cell r="BE969" t="str">
            <v>.0000000000000000</v>
          </cell>
          <cell r="BF969" t="str">
            <v>.0000000000000000</v>
          </cell>
          <cell r="BG969" t="str">
            <v>None</v>
          </cell>
          <cell r="BK969" t="str">
            <v>2025-06-10 00:00:00</v>
          </cell>
          <cell r="BL969" t="str">
            <v>Airport EG-1061</v>
          </cell>
          <cell r="BM969" t="str">
            <v>No</v>
          </cell>
          <cell r="BN969" t="str">
            <v>No</v>
          </cell>
          <cell r="BO969" t="str">
            <v>CPay-000000006</v>
          </cell>
        </row>
        <row r="970">
          <cell r="B970" t="str">
            <v>341498</v>
          </cell>
          <cell r="C970" t="str">
            <v>54.0000000000000000</v>
          </cell>
          <cell r="E970" t="str">
            <v>Cust</v>
          </cell>
          <cell r="G970" t="str">
            <v>No</v>
          </cell>
          <cell r="H970" t="str">
            <v>1900-01-01 00:00:00</v>
          </cell>
          <cell r="K970" t="str">
            <v>M-P</v>
          </cell>
          <cell r="L970" t="str">
            <v>199.500000</v>
          </cell>
          <cell r="AL970" t="str">
            <v>341498</v>
          </cell>
          <cell r="BC970" t="str">
            <v>Cust-PP</v>
          </cell>
          <cell r="BD970" t="str">
            <v>2.0080321285140560</v>
          </cell>
          <cell r="BE970" t="str">
            <v>.0000000000000000</v>
          </cell>
          <cell r="BF970" t="str">
            <v>.0000000000000000</v>
          </cell>
          <cell r="BG970" t="str">
            <v>None</v>
          </cell>
          <cell r="BK970" t="str">
            <v>2025-06-10 00:00:00</v>
          </cell>
          <cell r="BL970" t="str">
            <v>Airport EG-1062</v>
          </cell>
          <cell r="BM970" t="str">
            <v>No</v>
          </cell>
          <cell r="BN970" t="str">
            <v>No</v>
          </cell>
          <cell r="BO970" t="str">
            <v>CPay-000000006</v>
          </cell>
        </row>
        <row r="971">
          <cell r="B971" t="str">
            <v>341517</v>
          </cell>
          <cell r="C971" t="str">
            <v>55.0000000000000000</v>
          </cell>
          <cell r="E971" t="str">
            <v>Cust</v>
          </cell>
          <cell r="G971" t="str">
            <v>No</v>
          </cell>
          <cell r="H971" t="str">
            <v>1900-01-01 00:00:00</v>
          </cell>
          <cell r="K971" t="str">
            <v>M-P</v>
          </cell>
          <cell r="L971" t="str">
            <v>1653.000000</v>
          </cell>
          <cell r="AL971" t="str">
            <v>341517</v>
          </cell>
          <cell r="BC971" t="str">
            <v>Cust-PP</v>
          </cell>
          <cell r="BD971" t="str">
            <v>2.0080321285140560</v>
          </cell>
          <cell r="BE971" t="str">
            <v>.0000000000000000</v>
          </cell>
          <cell r="BF971" t="str">
            <v>.0000000000000000</v>
          </cell>
          <cell r="BG971" t="str">
            <v>None</v>
          </cell>
          <cell r="BK971" t="str">
            <v>2025-06-10 00:00:00</v>
          </cell>
          <cell r="BL971" t="str">
            <v>Airport EG-1055</v>
          </cell>
          <cell r="BM971" t="str">
            <v>No</v>
          </cell>
          <cell r="BN971" t="str">
            <v>No</v>
          </cell>
          <cell r="BO971" t="str">
            <v>CPay-000000006</v>
          </cell>
        </row>
        <row r="972">
          <cell r="B972" t="str">
            <v>341518</v>
          </cell>
          <cell r="C972" t="str">
            <v>56.0000000000000000</v>
          </cell>
          <cell r="E972" t="str">
            <v>Cust</v>
          </cell>
          <cell r="G972" t="str">
            <v>No</v>
          </cell>
          <cell r="H972" t="str">
            <v>1900-01-01 00:00:00</v>
          </cell>
          <cell r="K972" t="str">
            <v>M-P</v>
          </cell>
          <cell r="L972" t="str">
            <v>798.000000</v>
          </cell>
          <cell r="AL972" t="str">
            <v>341518</v>
          </cell>
          <cell r="BC972" t="str">
            <v>Cust-PP</v>
          </cell>
          <cell r="BD972" t="str">
            <v>2.0080321285140560</v>
          </cell>
          <cell r="BE972" t="str">
            <v>.0000000000000000</v>
          </cell>
          <cell r="BF972" t="str">
            <v>.0000000000000000</v>
          </cell>
          <cell r="BG972" t="str">
            <v>None</v>
          </cell>
          <cell r="BK972" t="str">
            <v>2025-06-10 00:00:00</v>
          </cell>
          <cell r="BL972" t="str">
            <v>Airport EG-1056</v>
          </cell>
          <cell r="BM972" t="str">
            <v>No</v>
          </cell>
          <cell r="BN972" t="str">
            <v>No</v>
          </cell>
          <cell r="BO972" t="str">
            <v>CPay-000000006</v>
          </cell>
        </row>
        <row r="973">
          <cell r="B973" t="str">
            <v>341420</v>
          </cell>
          <cell r="C973" t="str">
            <v>57.0000000000000000</v>
          </cell>
          <cell r="E973" t="str">
            <v>Cust</v>
          </cell>
          <cell r="G973" t="str">
            <v>No</v>
          </cell>
          <cell r="H973" t="str">
            <v>1900-01-01 00:00:00</v>
          </cell>
          <cell r="K973" t="str">
            <v>M-P</v>
          </cell>
          <cell r="L973" t="str">
            <v>1653.000000</v>
          </cell>
          <cell r="AL973" t="str">
            <v>341420</v>
          </cell>
          <cell r="BC973" t="str">
            <v>Cust-PP</v>
          </cell>
          <cell r="BD973" t="str">
            <v>2.0080321285140560</v>
          </cell>
          <cell r="BE973" t="str">
            <v>.0000000000000000</v>
          </cell>
          <cell r="BF973" t="str">
            <v>.0000000000000000</v>
          </cell>
          <cell r="BG973" t="str">
            <v>None</v>
          </cell>
          <cell r="BK973" t="str">
            <v>2025-06-11 00:00:00</v>
          </cell>
          <cell r="BL973" t="str">
            <v>Airport EG-1078</v>
          </cell>
          <cell r="BM973" t="str">
            <v>No</v>
          </cell>
          <cell r="BN973" t="str">
            <v>No</v>
          </cell>
          <cell r="BO973" t="str">
            <v>CPay-000000006</v>
          </cell>
        </row>
        <row r="974">
          <cell r="B974" t="str">
            <v>341421</v>
          </cell>
          <cell r="C974" t="str">
            <v>58.0000000000000000</v>
          </cell>
          <cell r="E974" t="str">
            <v>Cust</v>
          </cell>
          <cell r="G974" t="str">
            <v>No</v>
          </cell>
          <cell r="H974" t="str">
            <v>1900-01-01 00:00:00</v>
          </cell>
          <cell r="K974" t="str">
            <v>M-P</v>
          </cell>
          <cell r="L974" t="str">
            <v>2422.500000</v>
          </cell>
          <cell r="AL974" t="str">
            <v>341421</v>
          </cell>
          <cell r="BC974" t="str">
            <v>Cust-PP</v>
          </cell>
          <cell r="BD974" t="str">
            <v>2.0080321285140560</v>
          </cell>
          <cell r="BE974" t="str">
            <v>.0000000000000000</v>
          </cell>
          <cell r="BF974" t="str">
            <v>.0000000000000000</v>
          </cell>
          <cell r="BG974" t="str">
            <v>None</v>
          </cell>
          <cell r="BK974" t="str">
            <v>2025-06-11 00:00:00</v>
          </cell>
          <cell r="BL974" t="str">
            <v>Airport EG-1079</v>
          </cell>
          <cell r="BM974" t="str">
            <v>No</v>
          </cell>
          <cell r="BN974" t="str">
            <v>No</v>
          </cell>
          <cell r="BO974" t="str">
            <v>CPay-000000006</v>
          </cell>
        </row>
        <row r="975">
          <cell r="B975" t="str">
            <v>341440</v>
          </cell>
          <cell r="C975" t="str">
            <v>59.0000000000000000</v>
          </cell>
          <cell r="E975" t="str">
            <v>Cust</v>
          </cell>
          <cell r="G975" t="str">
            <v>No</v>
          </cell>
          <cell r="H975" t="str">
            <v>1900-01-01 00:00:00</v>
          </cell>
          <cell r="K975" t="str">
            <v>M-P</v>
          </cell>
          <cell r="L975" t="str">
            <v>439.300000</v>
          </cell>
          <cell r="AL975" t="str">
            <v>341440</v>
          </cell>
          <cell r="BC975" t="str">
            <v>Cust-PP</v>
          </cell>
          <cell r="BD975" t="str">
            <v>2.0080321285140560</v>
          </cell>
          <cell r="BE975" t="str">
            <v>.0000000000000000</v>
          </cell>
          <cell r="BF975" t="str">
            <v>.0000000000000000</v>
          </cell>
          <cell r="BG975" t="str">
            <v>None</v>
          </cell>
          <cell r="BK975" t="str">
            <v>2025-06-11 00:00:00</v>
          </cell>
          <cell r="BL975" t="str">
            <v>Airport EG-1070</v>
          </cell>
          <cell r="BM975" t="str">
            <v>No</v>
          </cell>
          <cell r="BN975" t="str">
            <v>No</v>
          </cell>
          <cell r="BO975" t="str">
            <v>CPay-000000006</v>
          </cell>
        </row>
        <row r="976">
          <cell r="B976" t="str">
            <v>341441</v>
          </cell>
          <cell r="C976" t="str">
            <v>60.0000000000000000</v>
          </cell>
          <cell r="E976" t="str">
            <v>Cust</v>
          </cell>
          <cell r="G976" t="str">
            <v>No</v>
          </cell>
          <cell r="H976" t="str">
            <v>1900-01-01 00:00:00</v>
          </cell>
          <cell r="K976" t="str">
            <v>M-P</v>
          </cell>
          <cell r="L976" t="str">
            <v>1000.000000</v>
          </cell>
          <cell r="AL976" t="str">
            <v>341441</v>
          </cell>
          <cell r="BC976" t="str">
            <v>Cust-PP</v>
          </cell>
          <cell r="BD976" t="str">
            <v>2.0080321285140560</v>
          </cell>
          <cell r="BE976" t="str">
            <v>.0000000000000000</v>
          </cell>
          <cell r="BF976" t="str">
            <v>.0000000000000000</v>
          </cell>
          <cell r="BG976" t="str">
            <v>None</v>
          </cell>
          <cell r="BK976" t="str">
            <v>2025-06-11 00:00:00</v>
          </cell>
          <cell r="BL976" t="str">
            <v>Airport EG-1071</v>
          </cell>
          <cell r="BM976" t="str">
            <v>No</v>
          </cell>
          <cell r="BN976" t="str">
            <v>No</v>
          </cell>
          <cell r="BO976" t="str">
            <v>CPay-000000006</v>
          </cell>
        </row>
        <row r="977">
          <cell r="B977" t="str">
            <v>341442</v>
          </cell>
          <cell r="C977" t="str">
            <v>61.0000000000000000</v>
          </cell>
          <cell r="E977" t="str">
            <v>Cust</v>
          </cell>
          <cell r="G977" t="str">
            <v>No</v>
          </cell>
          <cell r="H977" t="str">
            <v>1900-01-01 00:00:00</v>
          </cell>
          <cell r="K977" t="str">
            <v>M-P</v>
          </cell>
          <cell r="L977" t="str">
            <v>372.440000</v>
          </cell>
          <cell r="AL977" t="str">
            <v>341442</v>
          </cell>
          <cell r="BC977" t="str">
            <v>Cust-PP</v>
          </cell>
          <cell r="BD977" t="str">
            <v>2.0080321285140560</v>
          </cell>
          <cell r="BE977" t="str">
            <v>.0000000000000000</v>
          </cell>
          <cell r="BF977" t="str">
            <v>.0000000000000000</v>
          </cell>
          <cell r="BG977" t="str">
            <v>None</v>
          </cell>
          <cell r="BK977" t="str">
            <v>2025-06-11 00:00:00</v>
          </cell>
          <cell r="BL977" t="str">
            <v>Airport EG-1072</v>
          </cell>
          <cell r="BM977" t="str">
            <v>No</v>
          </cell>
          <cell r="BN977" t="str">
            <v>No</v>
          </cell>
          <cell r="BO977" t="str">
            <v>CPay-000000006</v>
          </cell>
        </row>
        <row r="978">
          <cell r="B978" t="str">
            <v>341443</v>
          </cell>
          <cell r="C978" t="str">
            <v>62.0000000000000000</v>
          </cell>
          <cell r="E978" t="str">
            <v>Cust</v>
          </cell>
          <cell r="G978" t="str">
            <v>No</v>
          </cell>
          <cell r="H978" t="str">
            <v>1900-01-01 00:00:00</v>
          </cell>
          <cell r="K978" t="str">
            <v>M-P</v>
          </cell>
          <cell r="L978" t="str">
            <v>1000.000000</v>
          </cell>
          <cell r="AL978" t="str">
            <v>341443</v>
          </cell>
          <cell r="BC978" t="str">
            <v>Cust-PP</v>
          </cell>
          <cell r="BD978" t="str">
            <v>2.0080321285140560</v>
          </cell>
          <cell r="BE978" t="str">
            <v>.0000000000000000</v>
          </cell>
          <cell r="BF978" t="str">
            <v>.0000000000000000</v>
          </cell>
          <cell r="BG978" t="str">
            <v>None</v>
          </cell>
          <cell r="BK978" t="str">
            <v>2025-06-11 00:00:00</v>
          </cell>
          <cell r="BL978" t="str">
            <v>Airport EG-1073</v>
          </cell>
          <cell r="BM978" t="str">
            <v>No</v>
          </cell>
          <cell r="BN978" t="str">
            <v>No</v>
          </cell>
          <cell r="BO978" t="str">
            <v>CPay-000000006</v>
          </cell>
        </row>
        <row r="979">
          <cell r="B979" t="str">
            <v>341444</v>
          </cell>
          <cell r="C979" t="str">
            <v>63.0000000000000000</v>
          </cell>
          <cell r="E979" t="str">
            <v>Cust</v>
          </cell>
          <cell r="G979" t="str">
            <v>No</v>
          </cell>
          <cell r="H979" t="str">
            <v>1900-01-01 00:00:00</v>
          </cell>
          <cell r="K979" t="str">
            <v>M-P</v>
          </cell>
          <cell r="L979" t="str">
            <v>645.130000</v>
          </cell>
          <cell r="AL979" t="str">
            <v>341444</v>
          </cell>
          <cell r="BC979" t="str">
            <v>Cust-PP</v>
          </cell>
          <cell r="BD979" t="str">
            <v>2.0080321285140560</v>
          </cell>
          <cell r="BE979" t="str">
            <v>.0000000000000000</v>
          </cell>
          <cell r="BF979" t="str">
            <v>.0000000000000000</v>
          </cell>
          <cell r="BG979" t="str">
            <v>None</v>
          </cell>
          <cell r="BK979" t="str">
            <v>2025-06-11 00:00:00</v>
          </cell>
          <cell r="BL979" t="str">
            <v>Airport EG-1074</v>
          </cell>
          <cell r="BM979" t="str">
            <v>No</v>
          </cell>
          <cell r="BN979" t="str">
            <v>No</v>
          </cell>
          <cell r="BO979" t="str">
            <v>CPay-000000006</v>
          </cell>
        </row>
        <row r="980">
          <cell r="B980" t="str">
            <v>341445</v>
          </cell>
          <cell r="C980" t="str">
            <v>64.0000000000000000</v>
          </cell>
          <cell r="E980" t="str">
            <v>Cust</v>
          </cell>
          <cell r="G980" t="str">
            <v>No</v>
          </cell>
          <cell r="H980" t="str">
            <v>1900-01-01 00:00:00</v>
          </cell>
          <cell r="K980" t="str">
            <v>M-P</v>
          </cell>
          <cell r="L980" t="str">
            <v>1000.000000</v>
          </cell>
          <cell r="AL980" t="str">
            <v>341445</v>
          </cell>
          <cell r="BC980" t="str">
            <v>Cust-PP</v>
          </cell>
          <cell r="BD980" t="str">
            <v>2.0080321285140560</v>
          </cell>
          <cell r="BE980" t="str">
            <v>.0000000000000000</v>
          </cell>
          <cell r="BF980" t="str">
            <v>.0000000000000000</v>
          </cell>
          <cell r="BG980" t="str">
            <v>None</v>
          </cell>
          <cell r="BK980" t="str">
            <v>2025-06-11 00:00:00</v>
          </cell>
          <cell r="BL980" t="str">
            <v>Airport EG-1075</v>
          </cell>
          <cell r="BM980" t="str">
            <v>No</v>
          </cell>
          <cell r="BN980" t="str">
            <v>No</v>
          </cell>
          <cell r="BO980" t="str">
            <v>CPay-000000006</v>
          </cell>
        </row>
        <row r="981">
          <cell r="B981" t="str">
            <v>341446</v>
          </cell>
          <cell r="C981" t="str">
            <v>65.0000000000000000</v>
          </cell>
          <cell r="E981" t="str">
            <v>Cust</v>
          </cell>
          <cell r="G981" t="str">
            <v>No</v>
          </cell>
          <cell r="H981" t="str">
            <v>1900-01-01 00:00:00</v>
          </cell>
          <cell r="K981" t="str">
            <v>M-P</v>
          </cell>
          <cell r="L981" t="str">
            <v>199.500000</v>
          </cell>
          <cell r="AL981" t="str">
            <v>341446</v>
          </cell>
          <cell r="BC981" t="str">
            <v>Cust-PP</v>
          </cell>
          <cell r="BD981" t="str">
            <v>2.0080321285140560</v>
          </cell>
          <cell r="BE981" t="str">
            <v>.0000000000000000</v>
          </cell>
          <cell r="BF981" t="str">
            <v>.0000000000000000</v>
          </cell>
          <cell r="BG981" t="str">
            <v>None</v>
          </cell>
          <cell r="BK981" t="str">
            <v>2025-06-11 00:00:00</v>
          </cell>
          <cell r="BL981" t="str">
            <v>Airport EG-1076</v>
          </cell>
          <cell r="BM981" t="str">
            <v>No</v>
          </cell>
          <cell r="BN981" t="str">
            <v>No</v>
          </cell>
          <cell r="BO981" t="str">
            <v>CPay-000000006</v>
          </cell>
        </row>
        <row r="982">
          <cell r="B982" t="str">
            <v>341458</v>
          </cell>
          <cell r="C982" t="str">
            <v>66.0000000000000000</v>
          </cell>
          <cell r="E982" t="str">
            <v>Cust</v>
          </cell>
          <cell r="G982" t="str">
            <v>No</v>
          </cell>
          <cell r="H982" t="str">
            <v>1900-01-01 00:00:00</v>
          </cell>
          <cell r="K982" t="str">
            <v>M-P</v>
          </cell>
          <cell r="L982" t="str">
            <v>1000.000000</v>
          </cell>
          <cell r="AL982" t="str">
            <v>341458</v>
          </cell>
          <cell r="BC982" t="str">
            <v>Cust-PP</v>
          </cell>
          <cell r="BD982" t="str">
            <v>2.0080321285140560</v>
          </cell>
          <cell r="BE982" t="str">
            <v>.0000000000000000</v>
          </cell>
          <cell r="BF982" t="str">
            <v>.0000000000000000</v>
          </cell>
          <cell r="BG982" t="str">
            <v>None</v>
          </cell>
          <cell r="BK982" t="str">
            <v>2025-06-11 00:00:00</v>
          </cell>
          <cell r="BL982" t="str">
            <v>Airport EG-1069</v>
          </cell>
          <cell r="BM982" t="str">
            <v>No</v>
          </cell>
          <cell r="BN982" t="str">
            <v>No</v>
          </cell>
          <cell r="BO982" t="str">
            <v>CPay-000000006</v>
          </cell>
        </row>
        <row r="983">
          <cell r="B983" t="str">
            <v>341466</v>
          </cell>
          <cell r="C983" t="str">
            <v>67.0000000000000000</v>
          </cell>
          <cell r="E983" t="str">
            <v>Cust</v>
          </cell>
          <cell r="G983" t="str">
            <v>No</v>
          </cell>
          <cell r="H983" t="str">
            <v>1900-01-01 00:00:00</v>
          </cell>
          <cell r="K983" t="str">
            <v>M-P</v>
          </cell>
          <cell r="L983" t="str">
            <v>1653.000000</v>
          </cell>
          <cell r="AL983" t="str">
            <v>341466</v>
          </cell>
          <cell r="BC983" t="str">
            <v>Cust-PP</v>
          </cell>
          <cell r="BD983" t="str">
            <v>2.0080321285140560</v>
          </cell>
          <cell r="BE983" t="str">
            <v>.0000000000000000</v>
          </cell>
          <cell r="BF983" t="str">
            <v>.0000000000000000</v>
          </cell>
          <cell r="BG983" t="str">
            <v>None</v>
          </cell>
          <cell r="BK983" t="str">
            <v>2025-06-11 00:00:00</v>
          </cell>
          <cell r="BL983" t="str">
            <v>Airport EG-1067</v>
          </cell>
          <cell r="BM983" t="str">
            <v>No</v>
          </cell>
          <cell r="BN983" t="str">
            <v>No</v>
          </cell>
          <cell r="BO983" t="str">
            <v>CPay-000000006</v>
          </cell>
        </row>
        <row r="984">
          <cell r="B984" t="str">
            <v>341467</v>
          </cell>
          <cell r="C984" t="str">
            <v>68.0000000000000000</v>
          </cell>
          <cell r="E984" t="str">
            <v>Cust</v>
          </cell>
          <cell r="G984" t="str">
            <v>No</v>
          </cell>
          <cell r="H984" t="str">
            <v>1900-01-01 00:00:00</v>
          </cell>
          <cell r="K984" t="str">
            <v>M-P</v>
          </cell>
          <cell r="L984" t="str">
            <v>650.370000</v>
          </cell>
          <cell r="AL984" t="str">
            <v>341467</v>
          </cell>
          <cell r="BC984" t="str">
            <v>Cust-PP</v>
          </cell>
          <cell r="BD984" t="str">
            <v>2.0080321285140560</v>
          </cell>
          <cell r="BE984" t="str">
            <v>.0000000000000000</v>
          </cell>
          <cell r="BF984" t="str">
            <v>.0000000000000000</v>
          </cell>
          <cell r="BG984" t="str">
            <v>None</v>
          </cell>
          <cell r="BK984" t="str">
            <v>2025-06-11 00:00:00</v>
          </cell>
          <cell r="BL984" t="str">
            <v>Airport EG-1068</v>
          </cell>
          <cell r="BM984" t="str">
            <v>No</v>
          </cell>
          <cell r="BN984" t="str">
            <v>No</v>
          </cell>
          <cell r="BO984" t="str">
            <v>CPay-000000006</v>
          </cell>
        </row>
        <row r="985">
          <cell r="B985" t="str">
            <v>341356</v>
          </cell>
          <cell r="C985" t="str">
            <v>69.0000000000000000</v>
          </cell>
          <cell r="E985" t="str">
            <v>Cust</v>
          </cell>
          <cell r="G985" t="str">
            <v>No</v>
          </cell>
          <cell r="H985" t="str">
            <v>1900-01-01 00:00:00</v>
          </cell>
          <cell r="K985" t="str">
            <v>M-P</v>
          </cell>
          <cell r="L985" t="str">
            <v>2052.000000</v>
          </cell>
          <cell r="AL985" t="str">
            <v>341356</v>
          </cell>
          <cell r="BC985" t="str">
            <v>Cust-PP</v>
          </cell>
          <cell r="BD985" t="str">
            <v>2.0080321285140560</v>
          </cell>
          <cell r="BE985" t="str">
            <v>.0000000000000000</v>
          </cell>
          <cell r="BF985" t="str">
            <v>.0000000000000000</v>
          </cell>
          <cell r="BG985" t="str">
            <v>None</v>
          </cell>
          <cell r="BK985" t="str">
            <v>2025-06-12 00:00:00</v>
          </cell>
          <cell r="BL985" t="str">
            <v>Airport EG-1094</v>
          </cell>
          <cell r="BM985" t="str">
            <v>No</v>
          </cell>
          <cell r="BN985" t="str">
            <v>No</v>
          </cell>
          <cell r="BO985" t="str">
            <v>CPay-000000006</v>
          </cell>
        </row>
        <row r="986">
          <cell r="B986" t="str">
            <v>341357</v>
          </cell>
          <cell r="C986" t="str">
            <v>70.0000000000000000</v>
          </cell>
          <cell r="E986" t="str">
            <v>Cust</v>
          </cell>
          <cell r="G986" t="str">
            <v>No</v>
          </cell>
          <cell r="H986" t="str">
            <v>1900-01-01 00:00:00</v>
          </cell>
          <cell r="K986" t="str">
            <v>M-P</v>
          </cell>
          <cell r="L986" t="str">
            <v>3809.420000</v>
          </cell>
          <cell r="AL986" t="str">
            <v>341357</v>
          </cell>
          <cell r="BC986" t="str">
            <v>Cust-PP</v>
          </cell>
          <cell r="BD986" t="str">
            <v>2.0080321285140560</v>
          </cell>
          <cell r="BE986" t="str">
            <v>.0000000000000000</v>
          </cell>
          <cell r="BF986" t="str">
            <v>.0000000000000000</v>
          </cell>
          <cell r="BG986" t="str">
            <v>None</v>
          </cell>
          <cell r="BK986" t="str">
            <v>2025-06-12 00:00:00</v>
          </cell>
          <cell r="BL986" t="str">
            <v>Airport EG-1095</v>
          </cell>
          <cell r="BM986" t="str">
            <v>No</v>
          </cell>
          <cell r="BN986" t="str">
            <v>No</v>
          </cell>
          <cell r="BO986" t="str">
            <v>CPay-000000006</v>
          </cell>
        </row>
        <row r="987">
          <cell r="B987" t="str">
            <v>341361</v>
          </cell>
          <cell r="C987" t="str">
            <v>71.0000000000000000</v>
          </cell>
          <cell r="E987" t="str">
            <v>Cust</v>
          </cell>
          <cell r="G987" t="str">
            <v>No</v>
          </cell>
          <cell r="H987" t="str">
            <v>1900-01-01 00:00:00</v>
          </cell>
          <cell r="K987" t="str">
            <v>M-P</v>
          </cell>
          <cell r="L987" t="str">
            <v>1653.000000</v>
          </cell>
          <cell r="AL987" t="str">
            <v>341361</v>
          </cell>
          <cell r="BC987" t="str">
            <v>Cust-PP</v>
          </cell>
          <cell r="BD987" t="str">
            <v>2.0080321285140560</v>
          </cell>
          <cell r="BE987" t="str">
            <v>.0000000000000000</v>
          </cell>
          <cell r="BF987" t="str">
            <v>.0000000000000000</v>
          </cell>
          <cell r="BG987" t="str">
            <v>None</v>
          </cell>
          <cell r="BK987" t="str">
            <v>2025-06-12 00:00:00</v>
          </cell>
          <cell r="BL987" t="str">
            <v>Airport EG-1090</v>
          </cell>
          <cell r="BM987" t="str">
            <v>No</v>
          </cell>
          <cell r="BN987" t="str">
            <v>No</v>
          </cell>
          <cell r="BO987" t="str">
            <v>CPay-000000006</v>
          </cell>
        </row>
        <row r="988">
          <cell r="B988" t="str">
            <v>341362</v>
          </cell>
          <cell r="C988" t="str">
            <v>72.0000000000000000</v>
          </cell>
          <cell r="E988" t="str">
            <v>Cust</v>
          </cell>
          <cell r="G988" t="str">
            <v>No</v>
          </cell>
          <cell r="H988" t="str">
            <v>1900-01-01 00:00:00</v>
          </cell>
          <cell r="K988" t="str">
            <v>M-P</v>
          </cell>
          <cell r="L988" t="str">
            <v>199.500000</v>
          </cell>
          <cell r="AL988" t="str">
            <v>341362</v>
          </cell>
          <cell r="BC988" t="str">
            <v>Cust-PP</v>
          </cell>
          <cell r="BD988" t="str">
            <v>2.0080321285140560</v>
          </cell>
          <cell r="BE988" t="str">
            <v>.0000000000000000</v>
          </cell>
          <cell r="BF988" t="str">
            <v>.0000000000000000</v>
          </cell>
          <cell r="BG988" t="str">
            <v>None</v>
          </cell>
          <cell r="BK988" t="str">
            <v>2025-06-12 00:00:00</v>
          </cell>
          <cell r="BL988" t="str">
            <v>Airport EG-1091</v>
          </cell>
          <cell r="BM988" t="str">
            <v>No</v>
          </cell>
          <cell r="BN988" t="str">
            <v>No</v>
          </cell>
          <cell r="BO988" t="str">
            <v>CPay-000000006</v>
          </cell>
        </row>
        <row r="989">
          <cell r="B989" t="str">
            <v>341390</v>
          </cell>
          <cell r="C989" t="str">
            <v>73.0000000000000000</v>
          </cell>
          <cell r="E989" t="str">
            <v>Cust</v>
          </cell>
          <cell r="G989" t="str">
            <v>No</v>
          </cell>
          <cell r="H989" t="str">
            <v>1900-01-01 00:00:00</v>
          </cell>
          <cell r="K989" t="str">
            <v>M-P</v>
          </cell>
          <cell r="L989" t="str">
            <v>3990.000000</v>
          </cell>
          <cell r="AL989" t="str">
            <v>341390</v>
          </cell>
          <cell r="BC989" t="str">
            <v>Cust-PP</v>
          </cell>
          <cell r="BD989" t="str">
            <v>2.0080321285140560</v>
          </cell>
          <cell r="BE989" t="str">
            <v>.0000000000000000</v>
          </cell>
          <cell r="BF989" t="str">
            <v>.0000000000000000</v>
          </cell>
          <cell r="BG989" t="str">
            <v>None</v>
          </cell>
          <cell r="BK989" t="str">
            <v>2025-06-12 00:00:00</v>
          </cell>
          <cell r="BL989" t="str">
            <v>Airport EG-1085</v>
          </cell>
          <cell r="BM989" t="str">
            <v>No</v>
          </cell>
          <cell r="BN989" t="str">
            <v>No</v>
          </cell>
          <cell r="BO989" t="str">
            <v>CPay-000000006</v>
          </cell>
        </row>
        <row r="990">
          <cell r="B990" t="str">
            <v>341395</v>
          </cell>
          <cell r="C990" t="str">
            <v>74.0000000000000000</v>
          </cell>
          <cell r="E990" t="str">
            <v>Cust</v>
          </cell>
          <cell r="G990" t="str">
            <v>No</v>
          </cell>
          <cell r="H990" t="str">
            <v>1900-01-01 00:00:00</v>
          </cell>
          <cell r="K990" t="str">
            <v>M-P</v>
          </cell>
          <cell r="L990" t="str">
            <v>1653.000000</v>
          </cell>
          <cell r="AL990" t="str">
            <v>341395</v>
          </cell>
          <cell r="BC990" t="str">
            <v>Cust-PP</v>
          </cell>
          <cell r="BD990" t="str">
            <v>2.0080321285140560</v>
          </cell>
          <cell r="BE990" t="str">
            <v>.0000000000000000</v>
          </cell>
          <cell r="BF990" t="str">
            <v>.0000000000000000</v>
          </cell>
          <cell r="BG990" t="str">
            <v>None</v>
          </cell>
          <cell r="BK990" t="str">
            <v>2025-06-12 00:00:00</v>
          </cell>
          <cell r="BL990" t="str">
            <v>Airport EG-1086</v>
          </cell>
          <cell r="BM990" t="str">
            <v>No</v>
          </cell>
          <cell r="BN990" t="str">
            <v>No</v>
          </cell>
          <cell r="BO990" t="str">
            <v>CPay-000000006</v>
          </cell>
        </row>
        <row r="991">
          <cell r="B991" t="str">
            <v>341396</v>
          </cell>
          <cell r="C991" t="str">
            <v>75.0000000000000000</v>
          </cell>
          <cell r="E991" t="str">
            <v>Cust</v>
          </cell>
          <cell r="G991" t="str">
            <v>No</v>
          </cell>
          <cell r="H991" t="str">
            <v>1900-01-01 00:00:00</v>
          </cell>
          <cell r="K991" t="str">
            <v>M-P</v>
          </cell>
          <cell r="L991" t="str">
            <v>758.100000</v>
          </cell>
          <cell r="AL991" t="str">
            <v>341396</v>
          </cell>
          <cell r="BC991" t="str">
            <v>Cust-PP</v>
          </cell>
          <cell r="BD991" t="str">
            <v>2.0080321285140560</v>
          </cell>
          <cell r="BE991" t="str">
            <v>.0000000000000000</v>
          </cell>
          <cell r="BF991" t="str">
            <v>.0000000000000000</v>
          </cell>
          <cell r="BG991" t="str">
            <v>None</v>
          </cell>
          <cell r="BK991" t="str">
            <v>2025-06-12 00:00:00</v>
          </cell>
          <cell r="BL991" t="str">
            <v>Airport EG-1087</v>
          </cell>
          <cell r="BM991" t="str">
            <v>No</v>
          </cell>
          <cell r="BN991" t="str">
            <v>No</v>
          </cell>
          <cell r="BO991" t="str">
            <v>CPay-000000006</v>
          </cell>
        </row>
        <row r="992">
          <cell r="B992" t="str">
            <v>341397</v>
          </cell>
          <cell r="C992" t="str">
            <v>76.0000000000000000</v>
          </cell>
          <cell r="E992" t="str">
            <v>Cust</v>
          </cell>
          <cell r="G992" t="str">
            <v>No</v>
          </cell>
          <cell r="H992" t="str">
            <v>1900-01-01 00:00:00</v>
          </cell>
          <cell r="K992" t="str">
            <v>M-P</v>
          </cell>
          <cell r="L992" t="str">
            <v>1653.000000</v>
          </cell>
          <cell r="AL992" t="str">
            <v>341397</v>
          </cell>
          <cell r="BC992" t="str">
            <v>Cust-PP</v>
          </cell>
          <cell r="BD992" t="str">
            <v>2.0080321285140560</v>
          </cell>
          <cell r="BE992" t="str">
            <v>.0000000000000000</v>
          </cell>
          <cell r="BF992" t="str">
            <v>.0000000000000000</v>
          </cell>
          <cell r="BG992" t="str">
            <v>None</v>
          </cell>
          <cell r="BK992" t="str">
            <v>2025-06-12 00:00:00</v>
          </cell>
          <cell r="BL992" t="str">
            <v>Airport EG-1088</v>
          </cell>
          <cell r="BM992" t="str">
            <v>No</v>
          </cell>
          <cell r="BN992" t="str">
            <v>No</v>
          </cell>
          <cell r="BO992" t="str">
            <v>CPay-000000006</v>
          </cell>
        </row>
        <row r="993">
          <cell r="B993" t="str">
            <v>341398</v>
          </cell>
          <cell r="C993" t="str">
            <v>77.0000000000000000</v>
          </cell>
          <cell r="E993" t="str">
            <v>Cust</v>
          </cell>
          <cell r="G993" t="str">
            <v>No</v>
          </cell>
          <cell r="H993" t="str">
            <v>1900-01-01 00:00:00</v>
          </cell>
          <cell r="K993" t="str">
            <v>M-P</v>
          </cell>
          <cell r="L993" t="str">
            <v>717.060000</v>
          </cell>
          <cell r="AL993" t="str">
            <v>341398</v>
          </cell>
          <cell r="BC993" t="str">
            <v>Cust-PP</v>
          </cell>
          <cell r="BD993" t="str">
            <v>2.0080321285140560</v>
          </cell>
          <cell r="BE993" t="str">
            <v>.0000000000000000</v>
          </cell>
          <cell r="BF993" t="str">
            <v>.0000000000000000</v>
          </cell>
          <cell r="BG993" t="str">
            <v>None</v>
          </cell>
          <cell r="BK993" t="str">
            <v>2025-06-12 00:00:00</v>
          </cell>
          <cell r="BL993" t="str">
            <v>Airport EG-1089</v>
          </cell>
          <cell r="BM993" t="str">
            <v>No</v>
          </cell>
          <cell r="BN993" t="str">
            <v>No</v>
          </cell>
          <cell r="BO993" t="str">
            <v>CPay-000000006</v>
          </cell>
        </row>
        <row r="994">
          <cell r="B994" t="str">
            <v>341408</v>
          </cell>
          <cell r="C994" t="str">
            <v>78.0000000000000000</v>
          </cell>
          <cell r="E994" t="str">
            <v>Cust</v>
          </cell>
          <cell r="G994" t="str">
            <v>No</v>
          </cell>
          <cell r="H994" t="str">
            <v>1900-01-01 00:00:00</v>
          </cell>
          <cell r="K994" t="str">
            <v>M-P</v>
          </cell>
          <cell r="L994" t="str">
            <v>855.000000</v>
          </cell>
          <cell r="AL994" t="str">
            <v>341408</v>
          </cell>
          <cell r="BC994" t="str">
            <v>Cust-PP</v>
          </cell>
          <cell r="BD994" t="str">
            <v>2.0080321285140560</v>
          </cell>
          <cell r="BE994" t="str">
            <v>.0000000000000000</v>
          </cell>
          <cell r="BF994" t="str">
            <v>.0000000000000000</v>
          </cell>
          <cell r="BG994" t="str">
            <v>None</v>
          </cell>
          <cell r="BK994" t="str">
            <v>2025-06-12 00:00:00</v>
          </cell>
          <cell r="BL994" t="str">
            <v>Airport EG-1084</v>
          </cell>
          <cell r="BM994" t="str">
            <v>No</v>
          </cell>
          <cell r="BN994" t="str">
            <v>No</v>
          </cell>
          <cell r="BO994" t="str">
            <v>CPay-000000006</v>
          </cell>
        </row>
        <row r="995">
          <cell r="B995" t="str">
            <v>341415</v>
          </cell>
          <cell r="C995" t="str">
            <v>79.0000000000000000</v>
          </cell>
          <cell r="E995" t="str">
            <v>Cust</v>
          </cell>
          <cell r="G995" t="str">
            <v>No</v>
          </cell>
          <cell r="H995" t="str">
            <v>1900-01-01 00:00:00</v>
          </cell>
          <cell r="K995" t="str">
            <v>M-P</v>
          </cell>
          <cell r="L995" t="str">
            <v>1653.000000</v>
          </cell>
          <cell r="AL995" t="str">
            <v>341415</v>
          </cell>
          <cell r="BC995" t="str">
            <v>Cust-PP</v>
          </cell>
          <cell r="BD995" t="str">
            <v>2.0080321285140560</v>
          </cell>
          <cell r="BE995" t="str">
            <v>.0000000000000000</v>
          </cell>
          <cell r="BF995" t="str">
            <v>.0000000000000000</v>
          </cell>
          <cell r="BG995" t="str">
            <v>None</v>
          </cell>
          <cell r="BK995" t="str">
            <v>2025-06-12 00:00:00</v>
          </cell>
          <cell r="BL995" t="str">
            <v>Airport EG-1082</v>
          </cell>
          <cell r="BM995" t="str">
            <v>No</v>
          </cell>
          <cell r="BN995" t="str">
            <v>No</v>
          </cell>
          <cell r="BO995" t="str">
            <v>CPay-000000006</v>
          </cell>
        </row>
        <row r="996">
          <cell r="B996" t="str">
            <v>341416</v>
          </cell>
          <cell r="C996" t="str">
            <v>80.0000000000000000</v>
          </cell>
          <cell r="E996" t="str">
            <v>Cust</v>
          </cell>
          <cell r="G996" t="str">
            <v>No</v>
          </cell>
          <cell r="H996" t="str">
            <v>1900-01-01 00:00:00</v>
          </cell>
          <cell r="K996" t="str">
            <v>M-P</v>
          </cell>
          <cell r="L996" t="str">
            <v>621.530000</v>
          </cell>
          <cell r="AL996" t="str">
            <v>341416</v>
          </cell>
          <cell r="BC996" t="str">
            <v>Cust-PP</v>
          </cell>
          <cell r="BD996" t="str">
            <v>2.0080321285140560</v>
          </cell>
          <cell r="BE996" t="str">
            <v>.0000000000000000</v>
          </cell>
          <cell r="BF996" t="str">
            <v>.0000000000000000</v>
          </cell>
          <cell r="BG996" t="str">
            <v>None</v>
          </cell>
          <cell r="BK996" t="str">
            <v>2025-06-12 00:00:00</v>
          </cell>
          <cell r="BL996" t="str">
            <v>Airport EG-1083</v>
          </cell>
          <cell r="BM996" t="str">
            <v>No</v>
          </cell>
          <cell r="BN996" t="str">
            <v>No</v>
          </cell>
          <cell r="BO996" t="str">
            <v>CPay-000000006</v>
          </cell>
        </row>
        <row r="997">
          <cell r="B997" t="str">
            <v>341427</v>
          </cell>
          <cell r="C997" t="str">
            <v>81.0000000000000000</v>
          </cell>
          <cell r="E997" t="str">
            <v>Cust</v>
          </cell>
          <cell r="G997" t="str">
            <v>No</v>
          </cell>
          <cell r="H997" t="str">
            <v>1900-01-01 00:00:00</v>
          </cell>
          <cell r="K997" t="str">
            <v>M-P</v>
          </cell>
          <cell r="L997" t="str">
            <v>1653.000000</v>
          </cell>
          <cell r="AL997" t="str">
            <v>341427</v>
          </cell>
          <cell r="BC997" t="str">
            <v>Cust-PP</v>
          </cell>
          <cell r="BD997" t="str">
            <v>2.0080321285140560</v>
          </cell>
          <cell r="BE997" t="str">
            <v>.0000000000000000</v>
          </cell>
          <cell r="BF997" t="str">
            <v>.0000000000000000</v>
          </cell>
          <cell r="BG997" t="str">
            <v>None</v>
          </cell>
          <cell r="BK997" t="str">
            <v>2025-06-12 00:00:00</v>
          </cell>
          <cell r="BL997" t="str">
            <v>Airport EG-1080</v>
          </cell>
          <cell r="BM997" t="str">
            <v>No</v>
          </cell>
          <cell r="BN997" t="str">
            <v>No</v>
          </cell>
          <cell r="BO997" t="str">
            <v>CPay-000000006</v>
          </cell>
        </row>
        <row r="998">
          <cell r="B998" t="str">
            <v>341428</v>
          </cell>
          <cell r="C998" t="str">
            <v>82.0000000000000000</v>
          </cell>
          <cell r="E998" t="str">
            <v>Cust</v>
          </cell>
          <cell r="G998" t="str">
            <v>No</v>
          </cell>
          <cell r="H998" t="str">
            <v>1900-01-01 00:00:00</v>
          </cell>
          <cell r="K998" t="str">
            <v>M-P</v>
          </cell>
          <cell r="L998" t="str">
            <v>540.250000</v>
          </cell>
          <cell r="AL998" t="str">
            <v>341428</v>
          </cell>
          <cell r="BC998" t="str">
            <v>Cust-PP</v>
          </cell>
          <cell r="BD998" t="str">
            <v>2.0080321285140560</v>
          </cell>
          <cell r="BE998" t="str">
            <v>.0000000000000000</v>
          </cell>
          <cell r="BF998" t="str">
            <v>.0000000000000000</v>
          </cell>
          <cell r="BG998" t="str">
            <v>None</v>
          </cell>
          <cell r="BK998" t="str">
            <v>2025-06-12 00:00:00</v>
          </cell>
          <cell r="BL998" t="str">
            <v>Airport EG-1081</v>
          </cell>
          <cell r="BM998" t="str">
            <v>No</v>
          </cell>
          <cell r="BN998" t="str">
            <v>No</v>
          </cell>
          <cell r="BO998" t="str">
            <v>CPay-000000006</v>
          </cell>
        </row>
        <row r="999">
          <cell r="B999" t="str">
            <v>341315</v>
          </cell>
          <cell r="C999" t="str">
            <v>83.0000000000000000</v>
          </cell>
          <cell r="E999" t="str">
            <v>Cust</v>
          </cell>
          <cell r="G999" t="str">
            <v>No</v>
          </cell>
          <cell r="H999" t="str">
            <v>1900-01-01 00:00:00</v>
          </cell>
          <cell r="K999" t="str">
            <v>M-P</v>
          </cell>
          <cell r="L999" t="str">
            <v>1720.000000</v>
          </cell>
          <cell r="AL999" t="str">
            <v>341315</v>
          </cell>
          <cell r="BC999" t="str">
            <v>Cust-PP</v>
          </cell>
          <cell r="BD999" t="str">
            <v>2.0080321285140560</v>
          </cell>
          <cell r="BE999" t="str">
            <v>.0000000000000000</v>
          </cell>
          <cell r="BF999" t="str">
            <v>.0000000000000000</v>
          </cell>
          <cell r="BG999" t="str">
            <v>None</v>
          </cell>
          <cell r="BK999" t="str">
            <v>2025-06-14 00:00:00</v>
          </cell>
          <cell r="BL999" t="str">
            <v>Airport EG-1096</v>
          </cell>
          <cell r="BM999" t="str">
            <v>No</v>
          </cell>
          <cell r="BN999" t="str">
            <v>No</v>
          </cell>
          <cell r="BO999" t="str">
            <v>CPay-000000006</v>
          </cell>
        </row>
        <row r="1000">
          <cell r="B1000" t="str">
            <v>341247</v>
          </cell>
          <cell r="C1000" t="str">
            <v>84.0000000000000000</v>
          </cell>
          <cell r="E1000" t="str">
            <v>Cust</v>
          </cell>
          <cell r="G1000" t="str">
            <v>No</v>
          </cell>
          <cell r="H1000" t="str">
            <v>1900-01-01 00:00:00</v>
          </cell>
          <cell r="K1000" t="str">
            <v>M-P</v>
          </cell>
          <cell r="L1000" t="str">
            <v>2052.000000</v>
          </cell>
          <cell r="AL1000" t="str">
            <v>341247</v>
          </cell>
          <cell r="BC1000" t="str">
            <v>Cust-PP</v>
          </cell>
          <cell r="BD1000" t="str">
            <v>2.0080321285140560</v>
          </cell>
          <cell r="BE1000" t="str">
            <v>.0000000000000000</v>
          </cell>
          <cell r="BF1000" t="str">
            <v>.0000000000000000</v>
          </cell>
          <cell r="BG1000" t="str">
            <v>None</v>
          </cell>
          <cell r="BK1000" t="str">
            <v>2025-06-15 00:00:00</v>
          </cell>
          <cell r="BL1000" t="str">
            <v>Airport EG-1101</v>
          </cell>
          <cell r="BM1000" t="str">
            <v>No</v>
          </cell>
          <cell r="BN1000" t="str">
            <v>No</v>
          </cell>
          <cell r="BO1000" t="str">
            <v>CPay-000000006</v>
          </cell>
        </row>
        <row r="1001">
          <cell r="B1001" t="str">
            <v>341248</v>
          </cell>
          <cell r="C1001" t="str">
            <v>85.0000000000000000</v>
          </cell>
          <cell r="E1001" t="str">
            <v>Cust</v>
          </cell>
          <cell r="G1001" t="str">
            <v>No</v>
          </cell>
          <cell r="H1001" t="str">
            <v>1900-01-01 00:00:00</v>
          </cell>
          <cell r="K1001" t="str">
            <v>M-P</v>
          </cell>
          <cell r="L1001" t="str">
            <v>798.000000</v>
          </cell>
          <cell r="AL1001" t="str">
            <v>341248</v>
          </cell>
          <cell r="BC1001" t="str">
            <v>Cust-PP</v>
          </cell>
          <cell r="BD1001" t="str">
            <v>2.0080321285140560</v>
          </cell>
          <cell r="BE1001" t="str">
            <v>.0000000000000000</v>
          </cell>
          <cell r="BF1001" t="str">
            <v>.0000000000000000</v>
          </cell>
          <cell r="BG1001" t="str">
            <v>None</v>
          </cell>
          <cell r="BK1001" t="str">
            <v>2025-06-15 00:00:00</v>
          </cell>
          <cell r="BL1001" t="str">
            <v>Airport EG-1102</v>
          </cell>
          <cell r="BM1001" t="str">
            <v>No</v>
          </cell>
          <cell r="BN1001" t="str">
            <v>No</v>
          </cell>
          <cell r="BO1001" t="str">
            <v>CPay-000000006</v>
          </cell>
        </row>
        <row r="1002">
          <cell r="B1002" t="str">
            <v>341251</v>
          </cell>
          <cell r="C1002" t="str">
            <v>86.0000000000000000</v>
          </cell>
          <cell r="E1002" t="str">
            <v>Cust</v>
          </cell>
          <cell r="G1002" t="str">
            <v>No</v>
          </cell>
          <cell r="H1002" t="str">
            <v>1900-01-01 00:00:00</v>
          </cell>
          <cell r="K1002" t="str">
            <v>M-P</v>
          </cell>
          <cell r="L1002" t="str">
            <v>1653.000000</v>
          </cell>
          <cell r="AL1002" t="str">
            <v>341251</v>
          </cell>
          <cell r="BC1002" t="str">
            <v>Cust-PP</v>
          </cell>
          <cell r="BD1002" t="str">
            <v>2.0080321285140560</v>
          </cell>
          <cell r="BE1002" t="str">
            <v>.0000000000000000</v>
          </cell>
          <cell r="BF1002" t="str">
            <v>.0000000000000000</v>
          </cell>
          <cell r="BG1002" t="str">
            <v>None</v>
          </cell>
          <cell r="BK1002" t="str">
            <v>2025-06-15 00:00:00</v>
          </cell>
          <cell r="BL1002" t="str">
            <v>Airport EG-1103</v>
          </cell>
          <cell r="BM1002" t="str">
            <v>No</v>
          </cell>
          <cell r="BN1002" t="str">
            <v>No</v>
          </cell>
          <cell r="BO1002" t="str">
            <v>CPay-000000006</v>
          </cell>
        </row>
        <row r="1003">
          <cell r="B1003" t="str">
            <v>341252</v>
          </cell>
          <cell r="C1003" t="str">
            <v>87.0000000000000000</v>
          </cell>
          <cell r="E1003" t="str">
            <v>Cust</v>
          </cell>
          <cell r="G1003" t="str">
            <v>No</v>
          </cell>
          <cell r="H1003" t="str">
            <v>1900-01-01 00:00:00</v>
          </cell>
          <cell r="K1003" t="str">
            <v>M-P</v>
          </cell>
          <cell r="L1003" t="str">
            <v>456.000000</v>
          </cell>
          <cell r="AL1003" t="str">
            <v>341252</v>
          </cell>
          <cell r="BC1003" t="str">
            <v>Cust-PP</v>
          </cell>
          <cell r="BD1003" t="str">
            <v>2.0080321285140560</v>
          </cell>
          <cell r="BE1003" t="str">
            <v>.0000000000000000</v>
          </cell>
          <cell r="BF1003" t="str">
            <v>.0000000000000000</v>
          </cell>
          <cell r="BG1003" t="str">
            <v>None</v>
          </cell>
          <cell r="BK1003" t="str">
            <v>2025-06-15 00:00:00</v>
          </cell>
          <cell r="BL1003" t="str">
            <v>Airport EG-1104</v>
          </cell>
          <cell r="BM1003" t="str">
            <v>No</v>
          </cell>
          <cell r="BN1003" t="str">
            <v>No</v>
          </cell>
          <cell r="BO1003" t="str">
            <v>CPay-000000006</v>
          </cell>
        </row>
        <row r="1004">
          <cell r="B1004" t="str">
            <v>341261</v>
          </cell>
          <cell r="C1004" t="str">
            <v>88.0000000000000000</v>
          </cell>
          <cell r="E1004" t="str">
            <v>Cust</v>
          </cell>
          <cell r="G1004" t="str">
            <v>No</v>
          </cell>
          <cell r="H1004" t="str">
            <v>1900-01-01 00:00:00</v>
          </cell>
          <cell r="K1004" t="str">
            <v>M-P</v>
          </cell>
          <cell r="L1004" t="str">
            <v>1653.000000</v>
          </cell>
          <cell r="AL1004" t="str">
            <v>341261</v>
          </cell>
          <cell r="BC1004" t="str">
            <v>Cust-PP</v>
          </cell>
          <cell r="BD1004" t="str">
            <v>2.0080321285140560</v>
          </cell>
          <cell r="BE1004" t="str">
            <v>.0000000000000000</v>
          </cell>
          <cell r="BF1004" t="str">
            <v>.0000000000000000</v>
          </cell>
          <cell r="BG1004" t="str">
            <v>None</v>
          </cell>
          <cell r="BK1004" t="str">
            <v>2025-06-15 00:00:00</v>
          </cell>
          <cell r="BL1004" t="str">
            <v>Airport EG-1099</v>
          </cell>
          <cell r="BM1004" t="str">
            <v>No</v>
          </cell>
          <cell r="BN1004" t="str">
            <v>No</v>
          </cell>
          <cell r="BO1004" t="str">
            <v>CPay-000000006</v>
          </cell>
        </row>
        <row r="1005">
          <cell r="B1005" t="str">
            <v>341262</v>
          </cell>
          <cell r="C1005" t="str">
            <v>89.0000000000000000</v>
          </cell>
          <cell r="E1005" t="str">
            <v>Cust</v>
          </cell>
          <cell r="G1005" t="str">
            <v>No</v>
          </cell>
          <cell r="H1005" t="str">
            <v>1900-01-01 00:00:00</v>
          </cell>
          <cell r="K1005" t="str">
            <v>M-P</v>
          </cell>
          <cell r="L1005" t="str">
            <v>296.400000</v>
          </cell>
          <cell r="AL1005" t="str">
            <v>341262</v>
          </cell>
          <cell r="BC1005" t="str">
            <v>Cust-PP</v>
          </cell>
          <cell r="BD1005" t="str">
            <v>2.0080321285140560</v>
          </cell>
          <cell r="BE1005" t="str">
            <v>.0000000000000000</v>
          </cell>
          <cell r="BF1005" t="str">
            <v>.0000000000000000</v>
          </cell>
          <cell r="BG1005" t="str">
            <v>None</v>
          </cell>
          <cell r="BK1005" t="str">
            <v>2025-06-15 00:00:00</v>
          </cell>
          <cell r="BL1005" t="str">
            <v>Airport EG-1100</v>
          </cell>
          <cell r="BM1005" t="str">
            <v>No</v>
          </cell>
          <cell r="BN1005" t="str">
            <v>No</v>
          </cell>
          <cell r="BO1005" t="str">
            <v>CPay-000000006</v>
          </cell>
        </row>
        <row r="1006">
          <cell r="B1006" t="str">
            <v>341292</v>
          </cell>
          <cell r="C1006" t="str">
            <v>90.0000000000000000</v>
          </cell>
          <cell r="E1006" t="str">
            <v>Cust</v>
          </cell>
          <cell r="G1006" t="str">
            <v>No</v>
          </cell>
          <cell r="H1006" t="str">
            <v>1900-01-01 00:00:00</v>
          </cell>
          <cell r="K1006" t="str">
            <v>M-P</v>
          </cell>
          <cell r="L1006" t="str">
            <v>1653.000000</v>
          </cell>
          <cell r="AL1006" t="str">
            <v>341292</v>
          </cell>
          <cell r="BC1006" t="str">
            <v>Cust-PP</v>
          </cell>
          <cell r="BD1006" t="str">
            <v>2.0080321285140560</v>
          </cell>
          <cell r="BE1006" t="str">
            <v>.0000000000000000</v>
          </cell>
          <cell r="BF1006" t="str">
            <v>.0000000000000000</v>
          </cell>
          <cell r="BG1006" t="str">
            <v>None</v>
          </cell>
          <cell r="BK1006" t="str">
            <v>2025-06-15 00:00:00</v>
          </cell>
          <cell r="BL1006" t="str">
            <v>Airport EG-1097</v>
          </cell>
          <cell r="BM1006" t="str">
            <v>No</v>
          </cell>
          <cell r="BN1006" t="str">
            <v>No</v>
          </cell>
          <cell r="BO1006" t="str">
            <v>CPay-000000006</v>
          </cell>
        </row>
        <row r="1007">
          <cell r="B1007" t="str">
            <v>341293</v>
          </cell>
          <cell r="C1007" t="str">
            <v>91.0000000000000000</v>
          </cell>
          <cell r="E1007" t="str">
            <v>Cust</v>
          </cell>
          <cell r="G1007" t="str">
            <v>No</v>
          </cell>
          <cell r="H1007" t="str">
            <v>1900-01-01 00:00:00</v>
          </cell>
          <cell r="K1007" t="str">
            <v>M-P</v>
          </cell>
          <cell r="L1007" t="str">
            <v>361.950000</v>
          </cell>
          <cell r="AL1007" t="str">
            <v>341293</v>
          </cell>
          <cell r="BC1007" t="str">
            <v>Cust-PP</v>
          </cell>
          <cell r="BD1007" t="str">
            <v>2.0080321285140560</v>
          </cell>
          <cell r="BE1007" t="str">
            <v>.0000000000000000</v>
          </cell>
          <cell r="BF1007" t="str">
            <v>.0000000000000000</v>
          </cell>
          <cell r="BG1007" t="str">
            <v>None</v>
          </cell>
          <cell r="BK1007" t="str">
            <v>2025-06-15 00:00:00</v>
          </cell>
          <cell r="BL1007" t="str">
            <v>Airport EG-1098</v>
          </cell>
          <cell r="BM1007" t="str">
            <v>No</v>
          </cell>
          <cell r="BN1007" t="str">
            <v>No</v>
          </cell>
          <cell r="BO1007" t="str">
            <v>CPay-000000006</v>
          </cell>
        </row>
        <row r="1008">
          <cell r="B1008" t="str">
            <v>341174</v>
          </cell>
          <cell r="C1008" t="str">
            <v>92.0000000000000000</v>
          </cell>
          <cell r="E1008" t="str">
            <v>Cust</v>
          </cell>
          <cell r="G1008" t="str">
            <v>No</v>
          </cell>
          <cell r="H1008" t="str">
            <v>1900-01-01 00:00:00</v>
          </cell>
          <cell r="K1008" t="str">
            <v>M-P</v>
          </cell>
          <cell r="L1008" t="str">
            <v>1653.000000</v>
          </cell>
          <cell r="AL1008" t="str">
            <v>341174</v>
          </cell>
          <cell r="BC1008" t="str">
            <v>Cust-PP</v>
          </cell>
          <cell r="BD1008" t="str">
            <v>2.0080321285140560</v>
          </cell>
          <cell r="BE1008" t="str">
            <v>.0000000000000000</v>
          </cell>
          <cell r="BF1008" t="str">
            <v>.0000000000000000</v>
          </cell>
          <cell r="BG1008" t="str">
            <v>None</v>
          </cell>
          <cell r="BK1008" t="str">
            <v>2025-06-16 00:00:00</v>
          </cell>
          <cell r="BL1008" t="str">
            <v>Airport EG-1115</v>
          </cell>
          <cell r="BM1008" t="str">
            <v>No</v>
          </cell>
          <cell r="BN1008" t="str">
            <v>No</v>
          </cell>
          <cell r="BO1008" t="str">
            <v>CPay-000000006</v>
          </cell>
        </row>
        <row r="1009">
          <cell r="B1009" t="str">
            <v>341175</v>
          </cell>
          <cell r="C1009" t="str">
            <v>93.0000000000000000</v>
          </cell>
          <cell r="E1009" t="str">
            <v>Cust</v>
          </cell>
          <cell r="G1009" t="str">
            <v>No</v>
          </cell>
          <cell r="H1009" t="str">
            <v>1900-01-01 00:00:00</v>
          </cell>
          <cell r="K1009" t="str">
            <v>M-P</v>
          </cell>
          <cell r="L1009" t="str">
            <v>1500.470000</v>
          </cell>
          <cell r="AL1009" t="str">
            <v>341175</v>
          </cell>
          <cell r="BC1009" t="str">
            <v>Cust-PP</v>
          </cell>
          <cell r="BD1009" t="str">
            <v>2.0080321285140560</v>
          </cell>
          <cell r="BE1009" t="str">
            <v>.0000000000000000</v>
          </cell>
          <cell r="BF1009" t="str">
            <v>.0000000000000000</v>
          </cell>
          <cell r="BG1009" t="str">
            <v>None</v>
          </cell>
          <cell r="BK1009" t="str">
            <v>2025-06-16 00:00:00</v>
          </cell>
          <cell r="BL1009" t="str">
            <v>Airport EG-1116</v>
          </cell>
          <cell r="BM1009" t="str">
            <v>No</v>
          </cell>
          <cell r="BN1009" t="str">
            <v>No</v>
          </cell>
          <cell r="BO1009" t="str">
            <v>CPay-000000006</v>
          </cell>
        </row>
        <row r="1010">
          <cell r="B1010" t="str">
            <v>341178</v>
          </cell>
          <cell r="C1010" t="str">
            <v>94.0000000000000000</v>
          </cell>
          <cell r="E1010" t="str">
            <v>Cust</v>
          </cell>
          <cell r="G1010" t="str">
            <v>No</v>
          </cell>
          <cell r="H1010" t="str">
            <v>1900-01-01 00:00:00</v>
          </cell>
          <cell r="K1010" t="str">
            <v>M-P</v>
          </cell>
          <cell r="L1010" t="str">
            <v>1653.000000</v>
          </cell>
          <cell r="AL1010" t="str">
            <v>341178</v>
          </cell>
          <cell r="BC1010" t="str">
            <v>Cust-PP</v>
          </cell>
          <cell r="BD1010" t="str">
            <v>2.0080321285140560</v>
          </cell>
          <cell r="BE1010" t="str">
            <v>.0000000000000000</v>
          </cell>
          <cell r="BF1010" t="str">
            <v>.0000000000000000</v>
          </cell>
          <cell r="BG1010" t="str">
            <v>None</v>
          </cell>
          <cell r="BK1010" t="str">
            <v>2025-06-16 00:00:00</v>
          </cell>
          <cell r="BL1010" t="str">
            <v>Airport EG-1117</v>
          </cell>
          <cell r="BM1010" t="str">
            <v>No</v>
          </cell>
          <cell r="BN1010" t="str">
            <v>No</v>
          </cell>
          <cell r="BO1010" t="str">
            <v>CPay-000000006</v>
          </cell>
        </row>
        <row r="1011">
          <cell r="B1011" t="str">
            <v>341179</v>
          </cell>
          <cell r="C1011" t="str">
            <v>95.0000000000000000</v>
          </cell>
          <cell r="E1011" t="str">
            <v>Cust</v>
          </cell>
          <cell r="G1011" t="str">
            <v>No</v>
          </cell>
          <cell r="H1011" t="str">
            <v>1900-01-01 00:00:00</v>
          </cell>
          <cell r="K1011" t="str">
            <v>M-P</v>
          </cell>
          <cell r="L1011" t="str">
            <v>843.600000</v>
          </cell>
          <cell r="AL1011" t="str">
            <v>341179</v>
          </cell>
          <cell r="BC1011" t="str">
            <v>Cust-PP</v>
          </cell>
          <cell r="BD1011" t="str">
            <v>2.0080321285140560</v>
          </cell>
          <cell r="BE1011" t="str">
            <v>.0000000000000000</v>
          </cell>
          <cell r="BF1011" t="str">
            <v>.0000000000000000</v>
          </cell>
          <cell r="BG1011" t="str">
            <v>None</v>
          </cell>
          <cell r="BK1011" t="str">
            <v>2025-06-16 00:00:00</v>
          </cell>
          <cell r="BL1011" t="str">
            <v>Airport EG-1118</v>
          </cell>
          <cell r="BM1011" t="str">
            <v>No</v>
          </cell>
          <cell r="BN1011" t="str">
            <v>No</v>
          </cell>
          <cell r="BO1011" t="str">
            <v>CPay-000000006</v>
          </cell>
        </row>
        <row r="1012">
          <cell r="B1012" t="str">
            <v>341180</v>
          </cell>
          <cell r="C1012" t="str">
            <v>96.0000000000000000</v>
          </cell>
          <cell r="E1012" t="str">
            <v>Cust</v>
          </cell>
          <cell r="G1012" t="str">
            <v>No</v>
          </cell>
          <cell r="H1012" t="str">
            <v>1900-01-01 00:00:00</v>
          </cell>
          <cell r="K1012" t="str">
            <v>M-P</v>
          </cell>
          <cell r="L1012" t="str">
            <v>1653.000000</v>
          </cell>
          <cell r="AL1012" t="str">
            <v>341180</v>
          </cell>
          <cell r="BC1012" t="str">
            <v>Cust-PP</v>
          </cell>
          <cell r="BD1012" t="str">
            <v>2.0080321285140560</v>
          </cell>
          <cell r="BE1012" t="str">
            <v>.0000000000000000</v>
          </cell>
          <cell r="BF1012" t="str">
            <v>.0000000000000000</v>
          </cell>
          <cell r="BG1012" t="str">
            <v>None</v>
          </cell>
          <cell r="BK1012" t="str">
            <v>2025-06-16 00:00:00</v>
          </cell>
          <cell r="BL1012" t="str">
            <v>Airport EG-1119</v>
          </cell>
          <cell r="BM1012" t="str">
            <v>No</v>
          </cell>
          <cell r="BN1012" t="str">
            <v>No</v>
          </cell>
          <cell r="BO1012" t="str">
            <v>CPay-000000006</v>
          </cell>
        </row>
        <row r="1013">
          <cell r="B1013" t="str">
            <v>341181</v>
          </cell>
          <cell r="C1013" t="str">
            <v>97.0000000000000000</v>
          </cell>
          <cell r="E1013" t="str">
            <v>Cust</v>
          </cell>
          <cell r="G1013" t="str">
            <v>No</v>
          </cell>
          <cell r="H1013" t="str">
            <v>1900-01-01 00:00:00</v>
          </cell>
          <cell r="K1013" t="str">
            <v>M-P</v>
          </cell>
          <cell r="L1013" t="str">
            <v>199.500000</v>
          </cell>
          <cell r="AL1013" t="str">
            <v>341181</v>
          </cell>
          <cell r="BC1013" t="str">
            <v>Cust-PP</v>
          </cell>
          <cell r="BD1013" t="str">
            <v>2.0080321285140560</v>
          </cell>
          <cell r="BE1013" t="str">
            <v>.0000000000000000</v>
          </cell>
          <cell r="BF1013" t="str">
            <v>.0000000000000000</v>
          </cell>
          <cell r="BG1013" t="str">
            <v>None</v>
          </cell>
          <cell r="BK1013" t="str">
            <v>2025-06-16 00:00:00</v>
          </cell>
          <cell r="BL1013" t="str">
            <v>Airport EG-1120</v>
          </cell>
          <cell r="BM1013" t="str">
            <v>No</v>
          </cell>
          <cell r="BN1013" t="str">
            <v>No</v>
          </cell>
          <cell r="BO1013" t="str">
            <v>CPay-000000006</v>
          </cell>
        </row>
        <row r="1014">
          <cell r="B1014" t="str">
            <v>341184</v>
          </cell>
          <cell r="C1014" t="str">
            <v>98.0000000000000000</v>
          </cell>
          <cell r="E1014" t="str">
            <v>Cust</v>
          </cell>
          <cell r="G1014" t="str">
            <v>No</v>
          </cell>
          <cell r="H1014" t="str">
            <v>1900-01-01 00:00:00</v>
          </cell>
          <cell r="K1014" t="str">
            <v>M-P</v>
          </cell>
          <cell r="L1014" t="str">
            <v>199.500000</v>
          </cell>
          <cell r="AL1014" t="str">
            <v>341184</v>
          </cell>
          <cell r="BC1014" t="str">
            <v>Cust-PP</v>
          </cell>
          <cell r="BD1014" t="str">
            <v>2.0080321285140560</v>
          </cell>
          <cell r="BE1014" t="str">
            <v>.0000000000000000</v>
          </cell>
          <cell r="BF1014" t="str">
            <v>.0000000000000000</v>
          </cell>
          <cell r="BG1014" t="str">
            <v>None</v>
          </cell>
          <cell r="BK1014" t="str">
            <v>2025-06-16 00:00:00</v>
          </cell>
          <cell r="BL1014" t="str">
            <v>Airport EG-1110</v>
          </cell>
          <cell r="BM1014" t="str">
            <v>No</v>
          </cell>
          <cell r="BN1014" t="str">
            <v>No</v>
          </cell>
          <cell r="BO1014" t="str">
            <v>CPay-000000006</v>
          </cell>
        </row>
        <row r="1015">
          <cell r="B1015" t="str">
            <v>341185</v>
          </cell>
          <cell r="C1015" t="str">
            <v>99.0000000000000000</v>
          </cell>
          <cell r="E1015" t="str">
            <v>Cust</v>
          </cell>
          <cell r="G1015" t="str">
            <v>No</v>
          </cell>
          <cell r="H1015" t="str">
            <v>1900-01-01 00:00:00</v>
          </cell>
          <cell r="K1015" t="str">
            <v>M-P</v>
          </cell>
          <cell r="L1015" t="str">
            <v>1653.000000</v>
          </cell>
          <cell r="AL1015" t="str">
            <v>341185</v>
          </cell>
          <cell r="BC1015" t="str">
            <v>Cust-PP</v>
          </cell>
          <cell r="BD1015" t="str">
            <v>2.0080321285140560</v>
          </cell>
          <cell r="BE1015" t="str">
            <v>.0000000000000000</v>
          </cell>
          <cell r="BF1015" t="str">
            <v>.0000000000000000</v>
          </cell>
          <cell r="BG1015" t="str">
            <v>None</v>
          </cell>
          <cell r="BK1015" t="str">
            <v>2025-06-16 00:00:00</v>
          </cell>
          <cell r="BL1015" t="str">
            <v>Airport EG-1111</v>
          </cell>
          <cell r="BM1015" t="str">
            <v>No</v>
          </cell>
          <cell r="BN1015" t="str">
            <v>No</v>
          </cell>
          <cell r="BO1015" t="str">
            <v>CPay-000000006</v>
          </cell>
        </row>
        <row r="1016">
          <cell r="B1016" t="str">
            <v>341186</v>
          </cell>
          <cell r="C1016" t="str">
            <v>100.0000000000000000</v>
          </cell>
          <cell r="E1016" t="str">
            <v>Cust</v>
          </cell>
          <cell r="G1016" t="str">
            <v>No</v>
          </cell>
          <cell r="H1016" t="str">
            <v>1900-01-01 00:00:00</v>
          </cell>
          <cell r="K1016" t="str">
            <v>M-P</v>
          </cell>
          <cell r="L1016" t="str">
            <v>969.000000</v>
          </cell>
          <cell r="AL1016" t="str">
            <v>341186</v>
          </cell>
          <cell r="BC1016" t="str">
            <v>Cust-PP</v>
          </cell>
          <cell r="BD1016" t="str">
            <v>2.0080321285140560</v>
          </cell>
          <cell r="BE1016" t="str">
            <v>.0000000000000000</v>
          </cell>
          <cell r="BF1016" t="str">
            <v>.0000000000000000</v>
          </cell>
          <cell r="BG1016" t="str">
            <v>None</v>
          </cell>
          <cell r="BK1016" t="str">
            <v>2025-06-16 00:00:00</v>
          </cell>
          <cell r="BL1016" t="str">
            <v>Airport EG-1112</v>
          </cell>
          <cell r="BM1016" t="str">
            <v>No</v>
          </cell>
          <cell r="BN1016" t="str">
            <v>No</v>
          </cell>
          <cell r="BO1016" t="str">
            <v>CPay-000000006</v>
          </cell>
        </row>
        <row r="1017">
          <cell r="B1017" t="str">
            <v>341187</v>
          </cell>
          <cell r="C1017" t="str">
            <v>101.0000000000000000</v>
          </cell>
          <cell r="E1017" t="str">
            <v>Cust</v>
          </cell>
          <cell r="G1017" t="str">
            <v>No</v>
          </cell>
          <cell r="H1017" t="str">
            <v>1900-01-01 00:00:00</v>
          </cell>
          <cell r="K1017" t="str">
            <v>M-P</v>
          </cell>
          <cell r="L1017" t="str">
            <v>13167.000000</v>
          </cell>
          <cell r="AL1017" t="str">
            <v>341187</v>
          </cell>
          <cell r="BC1017" t="str">
            <v>Cust-PP</v>
          </cell>
          <cell r="BD1017" t="str">
            <v>2.0080321285140560</v>
          </cell>
          <cell r="BE1017" t="str">
            <v>.0000000000000000</v>
          </cell>
          <cell r="BF1017" t="str">
            <v>.0000000000000000</v>
          </cell>
          <cell r="BG1017" t="str">
            <v>None</v>
          </cell>
          <cell r="BK1017" t="str">
            <v>2025-06-16 00:00:00</v>
          </cell>
          <cell r="BL1017" t="str">
            <v>Airport EG-1113</v>
          </cell>
          <cell r="BM1017" t="str">
            <v>No</v>
          </cell>
          <cell r="BN1017" t="str">
            <v>No</v>
          </cell>
          <cell r="BO1017" t="str">
            <v>CPay-000000006</v>
          </cell>
        </row>
        <row r="1018">
          <cell r="B1018" t="str">
            <v>341188</v>
          </cell>
          <cell r="C1018" t="str">
            <v>102.0000000000000000</v>
          </cell>
          <cell r="E1018" t="str">
            <v>Cust</v>
          </cell>
          <cell r="G1018" t="str">
            <v>No</v>
          </cell>
          <cell r="H1018" t="str">
            <v>1900-01-01 00:00:00</v>
          </cell>
          <cell r="K1018" t="str">
            <v>M-P</v>
          </cell>
          <cell r="L1018" t="str">
            <v>855.000000</v>
          </cell>
          <cell r="AL1018" t="str">
            <v>341188</v>
          </cell>
          <cell r="BC1018" t="str">
            <v>Cust-PP</v>
          </cell>
          <cell r="BD1018" t="str">
            <v>2.0080321285140560</v>
          </cell>
          <cell r="BE1018" t="str">
            <v>.0000000000000000</v>
          </cell>
          <cell r="BF1018" t="str">
            <v>.0000000000000000</v>
          </cell>
          <cell r="BG1018" t="str">
            <v>None</v>
          </cell>
          <cell r="BK1018" t="str">
            <v>2025-06-16 00:00:00</v>
          </cell>
          <cell r="BL1018" t="str">
            <v>Airport EG-1114</v>
          </cell>
          <cell r="BM1018" t="str">
            <v>No</v>
          </cell>
          <cell r="BN1018" t="str">
            <v>No</v>
          </cell>
          <cell r="BO1018" t="str">
            <v>CPay-000000006</v>
          </cell>
        </row>
        <row r="1019">
          <cell r="B1019" t="str">
            <v>341197</v>
          </cell>
          <cell r="C1019" t="str">
            <v>103.0000000000000000</v>
          </cell>
          <cell r="E1019" t="str">
            <v>Cust</v>
          </cell>
          <cell r="G1019" t="str">
            <v>No</v>
          </cell>
          <cell r="H1019" t="str">
            <v>1900-01-01 00:00:00</v>
          </cell>
          <cell r="K1019" t="str">
            <v>M-P</v>
          </cell>
          <cell r="L1019" t="str">
            <v>1653.000000</v>
          </cell>
          <cell r="AL1019" t="str">
            <v>341197</v>
          </cell>
          <cell r="BC1019" t="str">
            <v>Cust-PP</v>
          </cell>
          <cell r="BD1019" t="str">
            <v>2.0080321285140560</v>
          </cell>
          <cell r="BE1019" t="str">
            <v>.0000000000000000</v>
          </cell>
          <cell r="BF1019" t="str">
            <v>.0000000000000000</v>
          </cell>
          <cell r="BG1019" t="str">
            <v>None</v>
          </cell>
          <cell r="BK1019" t="str">
            <v>2025-06-16 00:00:00</v>
          </cell>
          <cell r="BL1019" t="str">
            <v>Airport EG-1107</v>
          </cell>
          <cell r="BM1019" t="str">
            <v>No</v>
          </cell>
          <cell r="BN1019" t="str">
            <v>No</v>
          </cell>
          <cell r="BO1019" t="str">
            <v>CPay-000000006</v>
          </cell>
        </row>
        <row r="1020">
          <cell r="B1020" t="str">
            <v>341198</v>
          </cell>
          <cell r="C1020" t="str">
            <v>104.0000000000000000</v>
          </cell>
          <cell r="E1020" t="str">
            <v>Cust</v>
          </cell>
          <cell r="G1020" t="str">
            <v>No</v>
          </cell>
          <cell r="H1020" t="str">
            <v>1900-01-01 00:00:00</v>
          </cell>
          <cell r="K1020" t="str">
            <v>M-P</v>
          </cell>
          <cell r="L1020" t="str">
            <v>359.330000</v>
          </cell>
          <cell r="AL1020" t="str">
            <v>341198</v>
          </cell>
          <cell r="BC1020" t="str">
            <v>Cust-PP</v>
          </cell>
          <cell r="BD1020" t="str">
            <v>2.0080321285140560</v>
          </cell>
          <cell r="BE1020" t="str">
            <v>.0000000000000000</v>
          </cell>
          <cell r="BF1020" t="str">
            <v>.0000000000000000</v>
          </cell>
          <cell r="BG1020" t="str">
            <v>None</v>
          </cell>
          <cell r="BK1020" t="str">
            <v>2025-06-16 00:00:00</v>
          </cell>
          <cell r="BL1020" t="str">
            <v>Airport EG-1108</v>
          </cell>
          <cell r="BM1020" t="str">
            <v>No</v>
          </cell>
          <cell r="BN1020" t="str">
            <v>No</v>
          </cell>
          <cell r="BO1020" t="str">
            <v>CPay-000000006</v>
          </cell>
        </row>
        <row r="1021">
          <cell r="B1021" t="str">
            <v>341202</v>
          </cell>
          <cell r="C1021" t="str">
            <v>105.0000000000000000</v>
          </cell>
          <cell r="E1021" t="str">
            <v>Cust</v>
          </cell>
          <cell r="G1021" t="str">
            <v>No</v>
          </cell>
          <cell r="H1021" t="str">
            <v>1900-01-01 00:00:00</v>
          </cell>
          <cell r="K1021" t="str">
            <v>M-P</v>
          </cell>
          <cell r="L1021" t="str">
            <v>1653.000000</v>
          </cell>
          <cell r="AL1021" t="str">
            <v>341202</v>
          </cell>
          <cell r="BC1021" t="str">
            <v>Cust-PP</v>
          </cell>
          <cell r="BD1021" t="str">
            <v>2.0080321285140560</v>
          </cell>
          <cell r="BE1021" t="str">
            <v>.0000000000000000</v>
          </cell>
          <cell r="BF1021" t="str">
            <v>.0000000000000000</v>
          </cell>
          <cell r="BG1021" t="str">
            <v>None</v>
          </cell>
          <cell r="BK1021" t="str">
            <v>2025-06-16 00:00:00</v>
          </cell>
          <cell r="BL1021" t="str">
            <v>Airport EG-1109</v>
          </cell>
          <cell r="BM1021" t="str">
            <v>No</v>
          </cell>
          <cell r="BN1021" t="str">
            <v>No</v>
          </cell>
          <cell r="BO1021" t="str">
            <v>CPay-000000006</v>
          </cell>
        </row>
        <row r="1022">
          <cell r="B1022" t="str">
            <v>341208</v>
          </cell>
          <cell r="C1022" t="str">
            <v>106.0000000000000000</v>
          </cell>
          <cell r="E1022" t="str">
            <v>Cust</v>
          </cell>
          <cell r="G1022" t="str">
            <v>No</v>
          </cell>
          <cell r="H1022" t="str">
            <v>1900-01-01 00:00:00</v>
          </cell>
          <cell r="K1022" t="str">
            <v>M-P</v>
          </cell>
          <cell r="L1022" t="str">
            <v>1653.000000</v>
          </cell>
          <cell r="AL1022" t="str">
            <v>341208</v>
          </cell>
          <cell r="BC1022" t="str">
            <v>Cust-PP</v>
          </cell>
          <cell r="BD1022" t="str">
            <v>2.0080321285140560</v>
          </cell>
          <cell r="BE1022" t="str">
            <v>.0000000000000000</v>
          </cell>
          <cell r="BF1022" t="str">
            <v>.0000000000000000</v>
          </cell>
          <cell r="BG1022" t="str">
            <v>None</v>
          </cell>
          <cell r="BK1022" t="str">
            <v>2025-06-16 00:00:00</v>
          </cell>
          <cell r="BL1022" t="str">
            <v>Airport EG-1105</v>
          </cell>
          <cell r="BM1022" t="str">
            <v>No</v>
          </cell>
          <cell r="BN1022" t="str">
            <v>No</v>
          </cell>
          <cell r="BO1022" t="str">
            <v>CPay-000000006</v>
          </cell>
        </row>
        <row r="1023">
          <cell r="B1023" t="str">
            <v>341209</v>
          </cell>
          <cell r="C1023" t="str">
            <v>107.0000000000000000</v>
          </cell>
          <cell r="E1023" t="str">
            <v>Cust</v>
          </cell>
          <cell r="G1023" t="str">
            <v>No</v>
          </cell>
          <cell r="H1023" t="str">
            <v>1900-01-01 00:00:00</v>
          </cell>
          <cell r="K1023" t="str">
            <v>M-P</v>
          </cell>
          <cell r="L1023" t="str">
            <v>199.500000</v>
          </cell>
          <cell r="AL1023" t="str">
            <v>341209</v>
          </cell>
          <cell r="BC1023" t="str">
            <v>Cust-PP</v>
          </cell>
          <cell r="BD1023" t="str">
            <v>2.0080321285140560</v>
          </cell>
          <cell r="BE1023" t="str">
            <v>.0000000000000000</v>
          </cell>
          <cell r="BF1023" t="str">
            <v>.0000000000000000</v>
          </cell>
          <cell r="BG1023" t="str">
            <v>None</v>
          </cell>
          <cell r="BK1023" t="str">
            <v>2025-06-16 00:00:00</v>
          </cell>
          <cell r="BL1023" t="str">
            <v>Airport EG-1106</v>
          </cell>
          <cell r="BM1023" t="str">
            <v>No</v>
          </cell>
          <cell r="BN1023" t="str">
            <v>No</v>
          </cell>
          <cell r="BO1023" t="str">
            <v>CPay-000000006</v>
          </cell>
        </row>
        <row r="1024">
          <cell r="B1024" t="str">
            <v>341094</v>
          </cell>
          <cell r="C1024" t="str">
            <v>108.0000000000000000</v>
          </cell>
          <cell r="E1024" t="str">
            <v>Cust</v>
          </cell>
          <cell r="G1024" t="str">
            <v>No</v>
          </cell>
          <cell r="H1024" t="str">
            <v>1900-01-01 00:00:00</v>
          </cell>
          <cell r="K1024" t="str">
            <v>M-P</v>
          </cell>
          <cell r="L1024" t="str">
            <v>2052.000000</v>
          </cell>
          <cell r="AL1024" t="str">
            <v>341094</v>
          </cell>
          <cell r="BC1024" t="str">
            <v>Cust-PP</v>
          </cell>
          <cell r="BD1024" t="str">
            <v>2.0080321285140560</v>
          </cell>
          <cell r="BE1024" t="str">
            <v>.0000000000000000</v>
          </cell>
          <cell r="BF1024" t="str">
            <v>.0000000000000000</v>
          </cell>
          <cell r="BG1024" t="str">
            <v>None</v>
          </cell>
          <cell r="BK1024" t="str">
            <v>2025-06-17 00:00:00</v>
          </cell>
          <cell r="BL1024" t="str">
            <v>Airport EG-1127</v>
          </cell>
          <cell r="BM1024" t="str">
            <v>No</v>
          </cell>
          <cell r="BN1024" t="str">
            <v>No</v>
          </cell>
          <cell r="BO1024" t="str">
            <v>CPay-000000006</v>
          </cell>
        </row>
        <row r="1025">
          <cell r="B1025" t="str">
            <v>341095</v>
          </cell>
          <cell r="C1025" t="str">
            <v>109.0000000000000000</v>
          </cell>
          <cell r="E1025" t="str">
            <v>Cust</v>
          </cell>
          <cell r="G1025" t="str">
            <v>No</v>
          </cell>
          <cell r="H1025" t="str">
            <v>1900-01-01 00:00:00</v>
          </cell>
          <cell r="K1025" t="str">
            <v>M-P</v>
          </cell>
          <cell r="L1025" t="str">
            <v>285.000000</v>
          </cell>
          <cell r="AL1025" t="str">
            <v>341095</v>
          </cell>
          <cell r="BC1025" t="str">
            <v>Cust-PP</v>
          </cell>
          <cell r="BD1025" t="str">
            <v>2.0080321285140560</v>
          </cell>
          <cell r="BE1025" t="str">
            <v>.0000000000000000</v>
          </cell>
          <cell r="BF1025" t="str">
            <v>.0000000000000000</v>
          </cell>
          <cell r="BG1025" t="str">
            <v>None</v>
          </cell>
          <cell r="BK1025" t="str">
            <v>2025-06-17 00:00:00</v>
          </cell>
          <cell r="BL1025" t="str">
            <v>Airport EG-1128</v>
          </cell>
          <cell r="BM1025" t="str">
            <v>No</v>
          </cell>
          <cell r="BN1025" t="str">
            <v>No</v>
          </cell>
          <cell r="BO1025" t="str">
            <v>CPay-000000006</v>
          </cell>
        </row>
        <row r="1026">
          <cell r="B1026" t="str">
            <v>341146</v>
          </cell>
          <cell r="C1026" t="str">
            <v>110.0000000000000000</v>
          </cell>
          <cell r="E1026" t="str">
            <v>Cust</v>
          </cell>
          <cell r="G1026" t="str">
            <v>No</v>
          </cell>
          <cell r="H1026" t="str">
            <v>1900-01-01 00:00:00</v>
          </cell>
          <cell r="K1026" t="str">
            <v>M-P</v>
          </cell>
          <cell r="L1026" t="str">
            <v>1653.000000</v>
          </cell>
          <cell r="AL1026" t="str">
            <v>341146</v>
          </cell>
          <cell r="BC1026" t="str">
            <v>Cust-PP</v>
          </cell>
          <cell r="BD1026" t="str">
            <v>2.0080321285140560</v>
          </cell>
          <cell r="BE1026" t="str">
            <v>.0000000000000000</v>
          </cell>
          <cell r="BF1026" t="str">
            <v>.0000000000000000</v>
          </cell>
          <cell r="BG1026" t="str">
            <v>None</v>
          </cell>
          <cell r="BK1026" t="str">
            <v>2025-06-17 00:00:00</v>
          </cell>
          <cell r="BL1026" t="str">
            <v>Airport EG-1121</v>
          </cell>
          <cell r="BM1026" t="str">
            <v>No</v>
          </cell>
          <cell r="BN1026" t="str">
            <v>No</v>
          </cell>
          <cell r="BO1026" t="str">
            <v>CPay-000000006</v>
          </cell>
        </row>
        <row r="1027">
          <cell r="B1027" t="str">
            <v>341147</v>
          </cell>
          <cell r="C1027" t="str">
            <v>111.0000000000000000</v>
          </cell>
          <cell r="E1027" t="str">
            <v>Cust</v>
          </cell>
          <cell r="G1027" t="str">
            <v>No</v>
          </cell>
          <cell r="H1027" t="str">
            <v>1900-01-01 00:00:00</v>
          </cell>
          <cell r="K1027" t="str">
            <v>M-P</v>
          </cell>
          <cell r="L1027" t="str">
            <v>1026.000000</v>
          </cell>
          <cell r="AL1027" t="str">
            <v>341147</v>
          </cell>
          <cell r="BC1027" t="str">
            <v>Cust-PP</v>
          </cell>
          <cell r="BD1027" t="str">
            <v>2.0080321285140560</v>
          </cell>
          <cell r="BE1027" t="str">
            <v>.0000000000000000</v>
          </cell>
          <cell r="BF1027" t="str">
            <v>.0000000000000000</v>
          </cell>
          <cell r="BG1027" t="str">
            <v>None</v>
          </cell>
          <cell r="BK1027" t="str">
            <v>2025-06-17 00:00:00</v>
          </cell>
          <cell r="BL1027" t="str">
            <v>Airport EG-1122</v>
          </cell>
          <cell r="BM1027" t="str">
            <v>No</v>
          </cell>
          <cell r="BN1027" t="str">
            <v>No</v>
          </cell>
          <cell r="BO1027" t="str">
            <v>CPay-000000006</v>
          </cell>
        </row>
        <row r="1028">
          <cell r="B1028" t="str">
            <v>341148</v>
          </cell>
          <cell r="C1028" t="str">
            <v>112.0000000000000000</v>
          </cell>
          <cell r="E1028" t="str">
            <v>Cust</v>
          </cell>
          <cell r="G1028" t="str">
            <v>No</v>
          </cell>
          <cell r="H1028" t="str">
            <v>1900-01-01 00:00:00</v>
          </cell>
          <cell r="K1028" t="str">
            <v>M-P</v>
          </cell>
          <cell r="L1028" t="str">
            <v>1653.000000</v>
          </cell>
          <cell r="AL1028" t="str">
            <v>341148</v>
          </cell>
          <cell r="BC1028" t="str">
            <v>Cust-PP</v>
          </cell>
          <cell r="BD1028" t="str">
            <v>2.0080321285140560</v>
          </cell>
          <cell r="BE1028" t="str">
            <v>.0000000000000000</v>
          </cell>
          <cell r="BF1028" t="str">
            <v>.0000000000000000</v>
          </cell>
          <cell r="BG1028" t="str">
            <v>None</v>
          </cell>
          <cell r="BK1028" t="str">
            <v>2025-06-17 00:00:00</v>
          </cell>
          <cell r="BL1028" t="str">
            <v>Airport EG-1123</v>
          </cell>
          <cell r="BM1028" t="str">
            <v>No</v>
          </cell>
          <cell r="BN1028" t="str">
            <v>No</v>
          </cell>
          <cell r="BO1028" t="str">
            <v>CPay-000000006</v>
          </cell>
        </row>
        <row r="1029">
          <cell r="B1029" t="str">
            <v>341149</v>
          </cell>
          <cell r="C1029" t="str">
            <v>113.0000000000000000</v>
          </cell>
          <cell r="E1029" t="str">
            <v>Cust</v>
          </cell>
          <cell r="G1029" t="str">
            <v>No</v>
          </cell>
          <cell r="H1029" t="str">
            <v>1900-01-01 00:00:00</v>
          </cell>
          <cell r="K1029" t="str">
            <v>M-P</v>
          </cell>
          <cell r="L1029" t="str">
            <v>574.330000</v>
          </cell>
          <cell r="AL1029" t="str">
            <v>341149</v>
          </cell>
          <cell r="BC1029" t="str">
            <v>Cust-PP</v>
          </cell>
          <cell r="BD1029" t="str">
            <v>2.0080321285140560</v>
          </cell>
          <cell r="BE1029" t="str">
            <v>.0000000000000000</v>
          </cell>
          <cell r="BF1029" t="str">
            <v>.0000000000000000</v>
          </cell>
          <cell r="BG1029" t="str">
            <v>None</v>
          </cell>
          <cell r="BK1029" t="str">
            <v>2025-06-17 00:00:00</v>
          </cell>
          <cell r="BL1029" t="str">
            <v>Airport EG-1124</v>
          </cell>
          <cell r="BM1029" t="str">
            <v>No</v>
          </cell>
          <cell r="BN1029" t="str">
            <v>No</v>
          </cell>
          <cell r="BO1029" t="str">
            <v>CPay-000000006</v>
          </cell>
        </row>
        <row r="1030">
          <cell r="B1030" t="str">
            <v>341057</v>
          </cell>
          <cell r="C1030" t="str">
            <v>114.0000000000000000</v>
          </cell>
          <cell r="E1030" t="str">
            <v>Cust</v>
          </cell>
          <cell r="G1030" t="str">
            <v>No</v>
          </cell>
          <cell r="H1030" t="str">
            <v>1900-01-01 00:00:00</v>
          </cell>
          <cell r="K1030" t="str">
            <v>M-P</v>
          </cell>
          <cell r="L1030" t="str">
            <v>1653.000000</v>
          </cell>
          <cell r="AL1030" t="str">
            <v>341057</v>
          </cell>
          <cell r="BC1030" t="str">
            <v>Cust-PP</v>
          </cell>
          <cell r="BD1030" t="str">
            <v>2.0080321285140560</v>
          </cell>
          <cell r="BE1030" t="str">
            <v>.0000000000000000</v>
          </cell>
          <cell r="BF1030" t="str">
            <v>.0000000000000000</v>
          </cell>
          <cell r="BG1030" t="str">
            <v>None</v>
          </cell>
          <cell r="BK1030" t="str">
            <v>2025-06-18 00:00:00</v>
          </cell>
          <cell r="BL1030" t="str">
            <v>Airport EG-1129</v>
          </cell>
          <cell r="BM1030" t="str">
            <v>No</v>
          </cell>
          <cell r="BN1030" t="str">
            <v>No</v>
          </cell>
          <cell r="BO1030" t="str">
            <v>CPay-000000006</v>
          </cell>
        </row>
        <row r="1031">
          <cell r="B1031" t="str">
            <v>341058</v>
          </cell>
          <cell r="C1031" t="str">
            <v>115.0000000000000000</v>
          </cell>
          <cell r="E1031" t="str">
            <v>Cust</v>
          </cell>
          <cell r="G1031" t="str">
            <v>No</v>
          </cell>
          <cell r="H1031" t="str">
            <v>1900-01-01 00:00:00</v>
          </cell>
          <cell r="K1031" t="str">
            <v>M-P</v>
          </cell>
          <cell r="L1031" t="str">
            <v>285.000000</v>
          </cell>
          <cell r="AL1031" t="str">
            <v>341058</v>
          </cell>
          <cell r="BC1031" t="str">
            <v>Cust-PP</v>
          </cell>
          <cell r="BD1031" t="str">
            <v>2.0080321285140560</v>
          </cell>
          <cell r="BE1031" t="str">
            <v>.0000000000000000</v>
          </cell>
          <cell r="BF1031" t="str">
            <v>.0000000000000000</v>
          </cell>
          <cell r="BG1031" t="str">
            <v>None</v>
          </cell>
          <cell r="BK1031" t="str">
            <v>2025-06-18 00:00:00</v>
          </cell>
          <cell r="BL1031" t="str">
            <v>Airport EG-1130</v>
          </cell>
          <cell r="BM1031" t="str">
            <v>No</v>
          </cell>
          <cell r="BN1031" t="str">
            <v>No</v>
          </cell>
          <cell r="BO1031" t="str">
            <v>CPay-000000006</v>
          </cell>
        </row>
        <row r="1032">
          <cell r="B1032" t="str">
            <v>340982</v>
          </cell>
          <cell r="C1032" t="str">
            <v>116.0000000000000000</v>
          </cell>
          <cell r="E1032" t="str">
            <v>Cust</v>
          </cell>
          <cell r="G1032" t="str">
            <v>No</v>
          </cell>
          <cell r="H1032" t="str">
            <v>1900-01-01 00:00:00</v>
          </cell>
          <cell r="K1032" t="str">
            <v>M-P</v>
          </cell>
          <cell r="L1032" t="str">
            <v>424.880000</v>
          </cell>
          <cell r="AL1032" t="str">
            <v>340982</v>
          </cell>
          <cell r="BC1032" t="str">
            <v>Cust-PP</v>
          </cell>
          <cell r="BD1032" t="str">
            <v>2.0080321285140560</v>
          </cell>
          <cell r="BE1032" t="str">
            <v>.0000000000000000</v>
          </cell>
          <cell r="BF1032" t="str">
            <v>.0000000000000000</v>
          </cell>
          <cell r="BG1032" t="str">
            <v>None</v>
          </cell>
          <cell r="BK1032" t="str">
            <v>2025-06-19 00:00:00</v>
          </cell>
          <cell r="BL1032" t="str">
            <v>Airport EG-1135</v>
          </cell>
          <cell r="BM1032" t="str">
            <v>No</v>
          </cell>
          <cell r="BN1032" t="str">
            <v>No</v>
          </cell>
          <cell r="BO1032" t="str">
            <v>CPay-000000006</v>
          </cell>
        </row>
        <row r="1033">
          <cell r="B1033" t="str">
            <v>340986</v>
          </cell>
          <cell r="C1033" t="str">
            <v>117.0000000000000000</v>
          </cell>
          <cell r="E1033" t="str">
            <v>Cust</v>
          </cell>
          <cell r="G1033" t="str">
            <v>No</v>
          </cell>
          <cell r="H1033" t="str">
            <v>1900-01-01 00:00:00</v>
          </cell>
          <cell r="K1033" t="str">
            <v>M-P</v>
          </cell>
          <cell r="L1033" t="str">
            <v>456.000000</v>
          </cell>
          <cell r="AL1033" t="str">
            <v>340986</v>
          </cell>
          <cell r="BC1033" t="str">
            <v>Cust-PP</v>
          </cell>
          <cell r="BD1033" t="str">
            <v>2.0080321285140560</v>
          </cell>
          <cell r="BE1033" t="str">
            <v>.0000000000000000</v>
          </cell>
          <cell r="BF1033" t="str">
            <v>.0000000000000000</v>
          </cell>
          <cell r="BG1033" t="str">
            <v>None</v>
          </cell>
          <cell r="BK1033" t="str">
            <v>2025-06-19 00:00:00</v>
          </cell>
          <cell r="BL1033" t="str">
            <v>Airport EG-1136</v>
          </cell>
          <cell r="BM1033" t="str">
            <v>No</v>
          </cell>
          <cell r="BN1033" t="str">
            <v>No</v>
          </cell>
          <cell r="BO1033" t="str">
            <v>CPay-000000006</v>
          </cell>
        </row>
        <row r="1034">
          <cell r="B1034" t="str">
            <v>341011</v>
          </cell>
          <cell r="C1034" t="str">
            <v>118.0000000000000000</v>
          </cell>
          <cell r="E1034" t="str">
            <v>Cust</v>
          </cell>
          <cell r="G1034" t="str">
            <v>No</v>
          </cell>
          <cell r="H1034" t="str">
            <v>1900-01-01 00:00:00</v>
          </cell>
          <cell r="K1034" t="str">
            <v>M-P</v>
          </cell>
          <cell r="L1034" t="str">
            <v>1653.000000</v>
          </cell>
          <cell r="AL1034" t="str">
            <v>341011</v>
          </cell>
          <cell r="BC1034" t="str">
            <v>Cust-PP</v>
          </cell>
          <cell r="BD1034" t="str">
            <v>2.0080321285140560</v>
          </cell>
          <cell r="BE1034" t="str">
            <v>.0000000000000000</v>
          </cell>
          <cell r="BF1034" t="str">
            <v>.0000000000000000</v>
          </cell>
          <cell r="BG1034" t="str">
            <v>None</v>
          </cell>
          <cell r="BK1034" t="str">
            <v>2025-06-19 00:00:00</v>
          </cell>
          <cell r="BL1034" t="str">
            <v>Airport EG-1134</v>
          </cell>
          <cell r="BM1034" t="str">
            <v>No</v>
          </cell>
          <cell r="BN1034" t="str">
            <v>No</v>
          </cell>
          <cell r="BO1034" t="str">
            <v>CPay-000000006</v>
          </cell>
        </row>
        <row r="1035">
          <cell r="B1035" t="str">
            <v>341024</v>
          </cell>
          <cell r="C1035" t="str">
            <v>119.0000000000000000</v>
          </cell>
          <cell r="E1035" t="str">
            <v>Cust</v>
          </cell>
          <cell r="G1035" t="str">
            <v>No</v>
          </cell>
          <cell r="H1035" t="str">
            <v>1900-01-01 00:00:00</v>
          </cell>
          <cell r="K1035" t="str">
            <v>M-P</v>
          </cell>
          <cell r="L1035" t="str">
            <v>1653.000000</v>
          </cell>
          <cell r="AL1035" t="str">
            <v>341024</v>
          </cell>
          <cell r="BC1035" t="str">
            <v>Cust-PP</v>
          </cell>
          <cell r="BD1035" t="str">
            <v>2.0080321285140560</v>
          </cell>
          <cell r="BE1035" t="str">
            <v>.0000000000000000</v>
          </cell>
          <cell r="BF1035" t="str">
            <v>.0000000000000000</v>
          </cell>
          <cell r="BG1035" t="str">
            <v>None</v>
          </cell>
          <cell r="BK1035" t="str">
            <v>2025-06-19 00:00:00</v>
          </cell>
          <cell r="BL1035" t="str">
            <v>Airport EG-1131</v>
          </cell>
          <cell r="BM1035" t="str">
            <v>No</v>
          </cell>
          <cell r="BN1035" t="str">
            <v>No</v>
          </cell>
          <cell r="BO1035" t="str">
            <v>CPay-000000006</v>
          </cell>
        </row>
        <row r="1036">
          <cell r="B1036" t="str">
            <v>341025</v>
          </cell>
          <cell r="C1036" t="str">
            <v>120.0000000000000000</v>
          </cell>
          <cell r="E1036" t="str">
            <v>Cust</v>
          </cell>
          <cell r="G1036" t="str">
            <v>No</v>
          </cell>
          <cell r="H1036" t="str">
            <v>1900-01-01 00:00:00</v>
          </cell>
          <cell r="K1036" t="str">
            <v>M-P</v>
          </cell>
          <cell r="L1036" t="str">
            <v>541.500000</v>
          </cell>
          <cell r="AL1036" t="str">
            <v>341025</v>
          </cell>
          <cell r="BC1036" t="str">
            <v>Cust-PP</v>
          </cell>
          <cell r="BD1036" t="str">
            <v>2.0080321285140560</v>
          </cell>
          <cell r="BE1036" t="str">
            <v>.0000000000000000</v>
          </cell>
          <cell r="BF1036" t="str">
            <v>.0000000000000000</v>
          </cell>
          <cell r="BG1036" t="str">
            <v>None</v>
          </cell>
          <cell r="BK1036" t="str">
            <v>2025-06-19 00:00:00</v>
          </cell>
          <cell r="BL1036" t="str">
            <v>Airport EG-1132</v>
          </cell>
          <cell r="BM1036" t="str">
            <v>No</v>
          </cell>
          <cell r="BN1036" t="str">
            <v>No</v>
          </cell>
          <cell r="BO1036" t="str">
            <v>CPay-000000006</v>
          </cell>
        </row>
        <row r="1037">
          <cell r="B1037" t="str">
            <v>340912</v>
          </cell>
          <cell r="C1037" t="str">
            <v>121.0000000000000000</v>
          </cell>
          <cell r="E1037" t="str">
            <v>Cust</v>
          </cell>
          <cell r="G1037" t="str">
            <v>No</v>
          </cell>
          <cell r="H1037" t="str">
            <v>1900-01-01 00:00:00</v>
          </cell>
          <cell r="K1037" t="str">
            <v>M-P</v>
          </cell>
          <cell r="L1037" t="str">
            <v>3420.000000</v>
          </cell>
          <cell r="AL1037" t="str">
            <v>340912</v>
          </cell>
          <cell r="BC1037" t="str">
            <v>Cust-PP</v>
          </cell>
          <cell r="BD1037" t="str">
            <v>2.0080321285140560</v>
          </cell>
          <cell r="BE1037" t="str">
            <v>.0000000000000000</v>
          </cell>
          <cell r="BF1037" t="str">
            <v>.0000000000000000</v>
          </cell>
          <cell r="BG1037" t="str">
            <v>None</v>
          </cell>
          <cell r="BK1037" t="str">
            <v>2025-06-21 00:00:00</v>
          </cell>
          <cell r="BL1037" t="str">
            <v>Airport EG-1139</v>
          </cell>
          <cell r="BM1037" t="str">
            <v>No</v>
          </cell>
          <cell r="BN1037" t="str">
            <v>No</v>
          </cell>
          <cell r="BO1037" t="str">
            <v>CPay-000000006</v>
          </cell>
        </row>
        <row r="1038">
          <cell r="B1038" t="str">
            <v>340931</v>
          </cell>
          <cell r="C1038" t="str">
            <v>122.0000000000000000</v>
          </cell>
          <cell r="E1038" t="str">
            <v>Cust</v>
          </cell>
          <cell r="G1038" t="str">
            <v>No</v>
          </cell>
          <cell r="H1038" t="str">
            <v>1900-01-01 00:00:00</v>
          </cell>
          <cell r="K1038" t="str">
            <v>M-P</v>
          </cell>
          <cell r="L1038" t="str">
            <v>3420.000000</v>
          </cell>
          <cell r="AL1038" t="str">
            <v>340931</v>
          </cell>
          <cell r="BC1038" t="str">
            <v>Cust-PP</v>
          </cell>
          <cell r="BD1038" t="str">
            <v>2.0080321285140560</v>
          </cell>
          <cell r="BE1038" t="str">
            <v>.0000000000000000</v>
          </cell>
          <cell r="BF1038" t="str">
            <v>.0000000000000000</v>
          </cell>
          <cell r="BG1038" t="str">
            <v>None</v>
          </cell>
          <cell r="BK1038" t="str">
            <v>2025-06-21 00:00:00</v>
          </cell>
          <cell r="BL1038" t="str">
            <v>Airport EG-1138</v>
          </cell>
          <cell r="BM1038" t="str">
            <v>No</v>
          </cell>
          <cell r="BN1038" t="str">
            <v>No</v>
          </cell>
          <cell r="BO1038" t="str">
            <v>CPay-000000006</v>
          </cell>
        </row>
        <row r="1039">
          <cell r="B1039" t="str">
            <v>340868</v>
          </cell>
          <cell r="C1039" t="str">
            <v>123.0000000000000000</v>
          </cell>
          <cell r="E1039" t="str">
            <v>Cust</v>
          </cell>
          <cell r="G1039" t="str">
            <v>No</v>
          </cell>
          <cell r="H1039" t="str">
            <v>1900-01-01 00:00:00</v>
          </cell>
          <cell r="K1039" t="str">
            <v>M-P</v>
          </cell>
          <cell r="L1039" t="str">
            <v>1653.000000</v>
          </cell>
          <cell r="AL1039" t="str">
            <v>340868</v>
          </cell>
          <cell r="BC1039" t="str">
            <v>Cust-PP</v>
          </cell>
          <cell r="BD1039" t="str">
            <v>2.0080321285140560</v>
          </cell>
          <cell r="BE1039" t="str">
            <v>.0000000000000000</v>
          </cell>
          <cell r="BF1039" t="str">
            <v>.0000000000000000</v>
          </cell>
          <cell r="BG1039" t="str">
            <v>None</v>
          </cell>
          <cell r="BK1039" t="str">
            <v>2025-06-22 00:00:00</v>
          </cell>
          <cell r="BL1039" t="str">
            <v>Airport EG-1146</v>
          </cell>
          <cell r="BM1039" t="str">
            <v>No</v>
          </cell>
          <cell r="BN1039" t="str">
            <v>No</v>
          </cell>
          <cell r="BO1039" t="str">
            <v>CPay-000000006</v>
          </cell>
        </row>
        <row r="1040">
          <cell r="B1040" t="str">
            <v>340869</v>
          </cell>
          <cell r="C1040" t="str">
            <v>124.0000000000000000</v>
          </cell>
          <cell r="E1040" t="str">
            <v>Cust</v>
          </cell>
          <cell r="G1040" t="str">
            <v>No</v>
          </cell>
          <cell r="H1040" t="str">
            <v>1900-01-01 00:00:00</v>
          </cell>
          <cell r="K1040" t="str">
            <v>M-P</v>
          </cell>
          <cell r="L1040" t="str">
            <v>285.000000</v>
          </cell>
          <cell r="AL1040" t="str">
            <v>340869</v>
          </cell>
          <cell r="BC1040" t="str">
            <v>Cust-PP</v>
          </cell>
          <cell r="BD1040" t="str">
            <v>2.0080321285140560</v>
          </cell>
          <cell r="BE1040" t="str">
            <v>.0000000000000000</v>
          </cell>
          <cell r="BF1040" t="str">
            <v>.0000000000000000</v>
          </cell>
          <cell r="BG1040" t="str">
            <v>None</v>
          </cell>
          <cell r="BK1040" t="str">
            <v>2025-06-22 00:00:00</v>
          </cell>
          <cell r="BL1040" t="str">
            <v>Airport EG-1147</v>
          </cell>
          <cell r="BM1040" t="str">
            <v>No</v>
          </cell>
          <cell r="BN1040" t="str">
            <v>No</v>
          </cell>
          <cell r="BO1040" t="str">
            <v>CPay-000000006</v>
          </cell>
        </row>
        <row r="1041">
          <cell r="B1041" t="str">
            <v>340879</v>
          </cell>
          <cell r="C1041" t="str">
            <v>125.0000000000000000</v>
          </cell>
          <cell r="E1041" t="str">
            <v>Cust</v>
          </cell>
          <cell r="G1041" t="str">
            <v>No</v>
          </cell>
          <cell r="H1041" t="str">
            <v>1900-01-01 00:00:00</v>
          </cell>
          <cell r="K1041" t="str">
            <v>M-P</v>
          </cell>
          <cell r="L1041" t="str">
            <v>1000.000000</v>
          </cell>
          <cell r="AL1041" t="str">
            <v>340879</v>
          </cell>
          <cell r="BC1041" t="str">
            <v>Cust-PP</v>
          </cell>
          <cell r="BD1041" t="str">
            <v>2.0080321285140560</v>
          </cell>
          <cell r="BE1041" t="str">
            <v>.0000000000000000</v>
          </cell>
          <cell r="BF1041" t="str">
            <v>.0000000000000000</v>
          </cell>
          <cell r="BG1041" t="str">
            <v>None</v>
          </cell>
          <cell r="BK1041" t="str">
            <v>2025-06-22 00:00:00</v>
          </cell>
          <cell r="BL1041" t="str">
            <v>Airport EG-1144</v>
          </cell>
          <cell r="BM1041" t="str">
            <v>No</v>
          </cell>
          <cell r="BN1041" t="str">
            <v>No</v>
          </cell>
          <cell r="BO1041" t="str">
            <v>CPay-000000006</v>
          </cell>
        </row>
        <row r="1042">
          <cell r="B1042" t="str">
            <v>340880</v>
          </cell>
          <cell r="C1042" t="str">
            <v>126.0000000000000000</v>
          </cell>
          <cell r="E1042" t="str">
            <v>Cust</v>
          </cell>
          <cell r="G1042" t="str">
            <v>No</v>
          </cell>
          <cell r="H1042" t="str">
            <v>1900-01-01 00:00:00</v>
          </cell>
          <cell r="K1042" t="str">
            <v>M-P</v>
          </cell>
          <cell r="L1042" t="str">
            <v>432.740000</v>
          </cell>
          <cell r="AL1042" t="str">
            <v>340880</v>
          </cell>
          <cell r="BC1042" t="str">
            <v>Cust-PP</v>
          </cell>
          <cell r="BD1042" t="str">
            <v>2.0080321285140560</v>
          </cell>
          <cell r="BE1042" t="str">
            <v>.0000000000000000</v>
          </cell>
          <cell r="BF1042" t="str">
            <v>.0000000000000000</v>
          </cell>
          <cell r="BG1042" t="str">
            <v>None</v>
          </cell>
          <cell r="BK1042" t="str">
            <v>2025-06-22 00:00:00</v>
          </cell>
          <cell r="BL1042" t="str">
            <v>Airport EG-1145</v>
          </cell>
          <cell r="BM1042" t="str">
            <v>No</v>
          </cell>
          <cell r="BN1042" t="str">
            <v>No</v>
          </cell>
          <cell r="BO1042" t="str">
            <v>CPay-000000006</v>
          </cell>
        </row>
        <row r="1043">
          <cell r="B1043" t="str">
            <v>340891</v>
          </cell>
          <cell r="C1043" t="str">
            <v>127.0000000000000000</v>
          </cell>
          <cell r="E1043" t="str">
            <v>Cust</v>
          </cell>
          <cell r="G1043" t="str">
            <v>No</v>
          </cell>
          <cell r="H1043" t="str">
            <v>1900-01-01 00:00:00</v>
          </cell>
          <cell r="K1043" t="str">
            <v>M-P</v>
          </cell>
          <cell r="L1043" t="str">
            <v>1653.000000</v>
          </cell>
          <cell r="AL1043" t="str">
            <v>340891</v>
          </cell>
          <cell r="BC1043" t="str">
            <v>Cust-PP</v>
          </cell>
          <cell r="BD1043" t="str">
            <v>2.0080321285140560</v>
          </cell>
          <cell r="BE1043" t="str">
            <v>.0000000000000000</v>
          </cell>
          <cell r="BF1043" t="str">
            <v>.0000000000000000</v>
          </cell>
          <cell r="BG1043" t="str">
            <v>None</v>
          </cell>
          <cell r="BK1043" t="str">
            <v>2025-06-22 00:00:00</v>
          </cell>
          <cell r="BL1043" t="str">
            <v>Airport EG-1142</v>
          </cell>
          <cell r="BM1043" t="str">
            <v>No</v>
          </cell>
          <cell r="BN1043" t="str">
            <v>No</v>
          </cell>
          <cell r="BO1043" t="str">
            <v>CPay-000000006</v>
          </cell>
        </row>
        <row r="1044">
          <cell r="B1044" t="str">
            <v>340892</v>
          </cell>
          <cell r="C1044" t="str">
            <v>128.0000000000000000</v>
          </cell>
          <cell r="E1044" t="str">
            <v>Cust</v>
          </cell>
          <cell r="G1044" t="str">
            <v>No</v>
          </cell>
          <cell r="H1044" t="str">
            <v>1900-01-01 00:00:00</v>
          </cell>
          <cell r="K1044" t="str">
            <v>M-P</v>
          </cell>
          <cell r="L1044" t="str">
            <v>296.400000</v>
          </cell>
          <cell r="AL1044" t="str">
            <v>340892</v>
          </cell>
          <cell r="BC1044" t="str">
            <v>Cust-PP</v>
          </cell>
          <cell r="BD1044" t="str">
            <v>2.0080321285140560</v>
          </cell>
          <cell r="BE1044" t="str">
            <v>.0000000000000000</v>
          </cell>
          <cell r="BF1044" t="str">
            <v>.0000000000000000</v>
          </cell>
          <cell r="BG1044" t="str">
            <v>None</v>
          </cell>
          <cell r="BK1044" t="str">
            <v>2025-06-22 00:00:00</v>
          </cell>
          <cell r="BL1044" t="str">
            <v>Airport EG-1143</v>
          </cell>
          <cell r="BM1044" t="str">
            <v>No</v>
          </cell>
          <cell r="BN1044" t="str">
            <v>No</v>
          </cell>
          <cell r="BO1044" t="str">
            <v>CPay-000000006</v>
          </cell>
        </row>
        <row r="1045">
          <cell r="B1045" t="str">
            <v>340916</v>
          </cell>
          <cell r="C1045" t="str">
            <v>129.0000000000000000</v>
          </cell>
          <cell r="E1045" t="str">
            <v>Cust</v>
          </cell>
          <cell r="G1045" t="str">
            <v>No</v>
          </cell>
          <cell r="H1045" t="str">
            <v>1900-01-01 00:00:00</v>
          </cell>
          <cell r="K1045" t="str">
            <v>M-P</v>
          </cell>
          <cell r="L1045" t="str">
            <v>1653.000000</v>
          </cell>
          <cell r="AL1045" t="str">
            <v>340916</v>
          </cell>
          <cell r="BC1045" t="str">
            <v>Cust-PP</v>
          </cell>
          <cell r="BD1045" t="str">
            <v>2.0080321285140560</v>
          </cell>
          <cell r="BE1045" t="str">
            <v>.0000000000000000</v>
          </cell>
          <cell r="BF1045" t="str">
            <v>.0000000000000000</v>
          </cell>
          <cell r="BG1045" t="str">
            <v>None</v>
          </cell>
          <cell r="BK1045" t="str">
            <v>2025-06-22 00:00:00</v>
          </cell>
          <cell r="BL1045" t="str">
            <v>Airport EG-1140</v>
          </cell>
          <cell r="BM1045" t="str">
            <v>No</v>
          </cell>
          <cell r="BN1045" t="str">
            <v>No</v>
          </cell>
          <cell r="BO1045" t="str">
            <v>CPay-000000006</v>
          </cell>
        </row>
        <row r="1046">
          <cell r="B1046" t="str">
            <v>340917</v>
          </cell>
          <cell r="C1046" t="str">
            <v>130.0000000000000000</v>
          </cell>
          <cell r="E1046" t="str">
            <v>Cust</v>
          </cell>
          <cell r="G1046" t="str">
            <v>No</v>
          </cell>
          <cell r="H1046" t="str">
            <v>1900-01-01 00:00:00</v>
          </cell>
          <cell r="K1046" t="str">
            <v>M-P</v>
          </cell>
          <cell r="L1046" t="str">
            <v>595.310000</v>
          </cell>
          <cell r="AL1046" t="str">
            <v>340917</v>
          </cell>
          <cell r="BC1046" t="str">
            <v>Cust-PP</v>
          </cell>
          <cell r="BD1046" t="str">
            <v>2.0080321285140560</v>
          </cell>
          <cell r="BE1046" t="str">
            <v>.0000000000000000</v>
          </cell>
          <cell r="BF1046" t="str">
            <v>.0000000000000000</v>
          </cell>
          <cell r="BG1046" t="str">
            <v>None</v>
          </cell>
          <cell r="BK1046" t="str">
            <v>2025-06-22 00:00:00</v>
          </cell>
          <cell r="BL1046" t="str">
            <v>Airport EG-1141</v>
          </cell>
          <cell r="BM1046" t="str">
            <v>No</v>
          </cell>
          <cell r="BN1046" t="str">
            <v>No</v>
          </cell>
          <cell r="BO1046" t="str">
            <v>CPay-000000006</v>
          </cell>
        </row>
        <row r="1047">
          <cell r="B1047" t="str">
            <v>340822</v>
          </cell>
          <cell r="C1047" t="str">
            <v>131.0000000000000000</v>
          </cell>
          <cell r="E1047" t="str">
            <v>Cust</v>
          </cell>
          <cell r="G1047" t="str">
            <v>No</v>
          </cell>
          <cell r="H1047" t="str">
            <v>1900-01-01 00:00:00</v>
          </cell>
          <cell r="K1047" t="str">
            <v>M-P</v>
          </cell>
          <cell r="L1047" t="str">
            <v>1653.000000</v>
          </cell>
          <cell r="AL1047" t="str">
            <v>340822</v>
          </cell>
          <cell r="BC1047" t="str">
            <v>Cust-PP</v>
          </cell>
          <cell r="BD1047" t="str">
            <v>2.0080321285140560</v>
          </cell>
          <cell r="BE1047" t="str">
            <v>.0000000000000000</v>
          </cell>
          <cell r="BF1047" t="str">
            <v>.0000000000000000</v>
          </cell>
          <cell r="BG1047" t="str">
            <v>None</v>
          </cell>
          <cell r="BK1047" t="str">
            <v>2025-06-23 00:00:00</v>
          </cell>
          <cell r="BL1047" t="str">
            <v>Airport EG-1153</v>
          </cell>
          <cell r="BM1047" t="str">
            <v>No</v>
          </cell>
          <cell r="BN1047" t="str">
            <v>No</v>
          </cell>
          <cell r="BO1047" t="str">
            <v>CPay-000000006</v>
          </cell>
        </row>
        <row r="1048">
          <cell r="B1048" t="str">
            <v>340823</v>
          </cell>
          <cell r="C1048" t="str">
            <v>132.0000000000000000</v>
          </cell>
          <cell r="E1048" t="str">
            <v>Cust</v>
          </cell>
          <cell r="G1048" t="str">
            <v>No</v>
          </cell>
          <cell r="H1048" t="str">
            <v>1900-01-01 00:00:00</v>
          </cell>
          <cell r="K1048" t="str">
            <v>M-P</v>
          </cell>
          <cell r="L1048" t="str">
            <v>3815.120000</v>
          </cell>
          <cell r="AL1048" t="str">
            <v>340823</v>
          </cell>
          <cell r="BC1048" t="str">
            <v>Cust-PP</v>
          </cell>
          <cell r="BD1048" t="str">
            <v>2.0080321285140560</v>
          </cell>
          <cell r="BE1048" t="str">
            <v>.0000000000000000</v>
          </cell>
          <cell r="BF1048" t="str">
            <v>.0000000000000000</v>
          </cell>
          <cell r="BG1048" t="str">
            <v>None</v>
          </cell>
          <cell r="BK1048" t="str">
            <v>2025-06-23 00:00:00</v>
          </cell>
          <cell r="BL1048" t="str">
            <v>Airport EG-1154</v>
          </cell>
          <cell r="BM1048" t="str">
            <v>No</v>
          </cell>
          <cell r="BN1048" t="str">
            <v>No</v>
          </cell>
          <cell r="BO1048" t="str">
            <v>CPay-000000006</v>
          </cell>
        </row>
        <row r="1049">
          <cell r="B1049" t="str">
            <v>340834</v>
          </cell>
          <cell r="C1049" t="str">
            <v>133.0000000000000000</v>
          </cell>
          <cell r="E1049" t="str">
            <v>Cust</v>
          </cell>
          <cell r="G1049" t="str">
            <v>No</v>
          </cell>
          <cell r="H1049" t="str">
            <v>1900-01-01 00:00:00</v>
          </cell>
          <cell r="K1049" t="str">
            <v>M-P</v>
          </cell>
          <cell r="L1049" t="str">
            <v>2052.000000</v>
          </cell>
          <cell r="AL1049" t="str">
            <v>340834</v>
          </cell>
          <cell r="BC1049" t="str">
            <v>Cust-PP</v>
          </cell>
          <cell r="BD1049" t="str">
            <v>2.0080321285140560</v>
          </cell>
          <cell r="BE1049" t="str">
            <v>.0000000000000000</v>
          </cell>
          <cell r="BF1049" t="str">
            <v>.0000000000000000</v>
          </cell>
          <cell r="BG1049" t="str">
            <v>None</v>
          </cell>
          <cell r="BK1049" t="str">
            <v>2025-06-23 00:00:00</v>
          </cell>
          <cell r="BL1049" t="str">
            <v>Airport EG-1151</v>
          </cell>
          <cell r="BM1049" t="str">
            <v>No</v>
          </cell>
          <cell r="BN1049" t="str">
            <v>No</v>
          </cell>
          <cell r="BO1049" t="str">
            <v>CPay-000000006</v>
          </cell>
        </row>
        <row r="1050">
          <cell r="B1050" t="str">
            <v>340835</v>
          </cell>
          <cell r="C1050" t="str">
            <v>134.0000000000000000</v>
          </cell>
          <cell r="E1050" t="str">
            <v>Cust</v>
          </cell>
          <cell r="G1050" t="str">
            <v>No</v>
          </cell>
          <cell r="H1050" t="str">
            <v>1900-01-01 00:00:00</v>
          </cell>
          <cell r="K1050" t="str">
            <v>M-P</v>
          </cell>
          <cell r="L1050" t="str">
            <v>199.500000</v>
          </cell>
          <cell r="AL1050" t="str">
            <v>340835</v>
          </cell>
          <cell r="BC1050" t="str">
            <v>Cust-PP</v>
          </cell>
          <cell r="BD1050" t="str">
            <v>2.0080321285140560</v>
          </cell>
          <cell r="BE1050" t="str">
            <v>.0000000000000000</v>
          </cell>
          <cell r="BF1050" t="str">
            <v>.0000000000000000</v>
          </cell>
          <cell r="BG1050" t="str">
            <v>None</v>
          </cell>
          <cell r="BK1050" t="str">
            <v>2025-06-23 00:00:00</v>
          </cell>
          <cell r="BL1050" t="str">
            <v>Airport EG-1152</v>
          </cell>
          <cell r="BM1050" t="str">
            <v>No</v>
          </cell>
          <cell r="BN1050" t="str">
            <v>No</v>
          </cell>
          <cell r="BO1050" t="str">
            <v>CPay-000000006</v>
          </cell>
        </row>
        <row r="1051">
          <cell r="B1051" t="str">
            <v>340848</v>
          </cell>
          <cell r="C1051" t="str">
            <v>135.0000000000000000</v>
          </cell>
          <cell r="E1051" t="str">
            <v>Cust</v>
          </cell>
          <cell r="G1051" t="str">
            <v>No</v>
          </cell>
          <cell r="H1051" t="str">
            <v>1900-01-01 00:00:00</v>
          </cell>
          <cell r="K1051" t="str">
            <v>M-P</v>
          </cell>
          <cell r="L1051" t="str">
            <v>1808.720000</v>
          </cell>
          <cell r="AL1051" t="str">
            <v>340848</v>
          </cell>
          <cell r="BC1051" t="str">
            <v>Cust-PP</v>
          </cell>
          <cell r="BD1051" t="str">
            <v>2.0080321285140560</v>
          </cell>
          <cell r="BE1051" t="str">
            <v>.0000000000000000</v>
          </cell>
          <cell r="BF1051" t="str">
            <v>.0000000000000000</v>
          </cell>
          <cell r="BG1051" t="str">
            <v>None</v>
          </cell>
          <cell r="BK1051" t="str">
            <v>2025-06-23 00:00:00</v>
          </cell>
          <cell r="BL1051" t="str">
            <v>Airport EG-1149</v>
          </cell>
          <cell r="BM1051" t="str">
            <v>No</v>
          </cell>
          <cell r="BN1051" t="str">
            <v>No</v>
          </cell>
          <cell r="BO1051" t="str">
            <v>CPay-000000006</v>
          </cell>
        </row>
        <row r="1052">
          <cell r="B1052" t="str">
            <v>340867</v>
          </cell>
          <cell r="C1052" t="str">
            <v>136.0000000000000000</v>
          </cell>
          <cell r="E1052" t="str">
            <v>Cust</v>
          </cell>
          <cell r="G1052" t="str">
            <v>No</v>
          </cell>
          <cell r="H1052" t="str">
            <v>1900-01-01 00:00:00</v>
          </cell>
          <cell r="K1052" t="str">
            <v>M-P</v>
          </cell>
          <cell r="L1052" t="str">
            <v>1653.000000</v>
          </cell>
          <cell r="AL1052" t="str">
            <v>340867</v>
          </cell>
          <cell r="BC1052" t="str">
            <v>Cust-PP</v>
          </cell>
          <cell r="BD1052" t="str">
            <v>2.0080321285140560</v>
          </cell>
          <cell r="BE1052" t="str">
            <v>.0000000000000000</v>
          </cell>
          <cell r="BF1052" t="str">
            <v>.0000000000000000</v>
          </cell>
          <cell r="BG1052" t="str">
            <v>None</v>
          </cell>
          <cell r="BK1052" t="str">
            <v>2025-06-23 00:00:00</v>
          </cell>
          <cell r="BL1052" t="str">
            <v>Airport EG-1148</v>
          </cell>
          <cell r="BM1052" t="str">
            <v>No</v>
          </cell>
          <cell r="BN1052" t="str">
            <v>No</v>
          </cell>
          <cell r="BO1052" t="str">
            <v>CPay-000000006</v>
          </cell>
        </row>
        <row r="1053">
          <cell r="B1053" t="str">
            <v>340726</v>
          </cell>
          <cell r="C1053" t="str">
            <v>137.0000000000000000</v>
          </cell>
          <cell r="E1053" t="str">
            <v>Cust</v>
          </cell>
          <cell r="G1053" t="str">
            <v>No</v>
          </cell>
          <cell r="H1053" t="str">
            <v>1900-01-01 00:00:00</v>
          </cell>
          <cell r="K1053" t="str">
            <v>M-P</v>
          </cell>
          <cell r="L1053" t="str">
            <v>917.810000</v>
          </cell>
          <cell r="AL1053" t="str">
            <v>340726</v>
          </cell>
          <cell r="BC1053" t="str">
            <v>Cust-PP</v>
          </cell>
          <cell r="BD1053" t="str">
            <v>2.0080321285140560</v>
          </cell>
          <cell r="BE1053" t="str">
            <v>.0000000000000000</v>
          </cell>
          <cell r="BF1053" t="str">
            <v>.0000000000000000</v>
          </cell>
          <cell r="BG1053" t="str">
            <v>None</v>
          </cell>
          <cell r="BK1053" t="str">
            <v>2025-06-24 00:00:00</v>
          </cell>
          <cell r="BL1053" t="str">
            <v>Airport EG-1164</v>
          </cell>
          <cell r="BM1053" t="str">
            <v>No</v>
          </cell>
          <cell r="BN1053" t="str">
            <v>No</v>
          </cell>
          <cell r="BO1053" t="str">
            <v>CPay-000000006</v>
          </cell>
        </row>
        <row r="1054">
          <cell r="B1054" t="str">
            <v>340745</v>
          </cell>
          <cell r="C1054" t="str">
            <v>138.0000000000000000</v>
          </cell>
          <cell r="E1054" t="str">
            <v>Cust</v>
          </cell>
          <cell r="G1054" t="str">
            <v>No</v>
          </cell>
          <cell r="H1054" t="str">
            <v>1900-01-01 00:00:00</v>
          </cell>
          <cell r="K1054" t="str">
            <v>M-P</v>
          </cell>
          <cell r="L1054" t="str">
            <v>445.850000</v>
          </cell>
          <cell r="AL1054" t="str">
            <v>340745</v>
          </cell>
          <cell r="BC1054" t="str">
            <v>Cust-PP</v>
          </cell>
          <cell r="BD1054" t="str">
            <v>2.0080321285140560</v>
          </cell>
          <cell r="BE1054" t="str">
            <v>.0000000000000000</v>
          </cell>
          <cell r="BF1054" t="str">
            <v>.0000000000000000</v>
          </cell>
          <cell r="BG1054" t="str">
            <v>None</v>
          </cell>
          <cell r="BK1054" t="str">
            <v>2025-06-24 00:00:00</v>
          </cell>
          <cell r="BL1054" t="str">
            <v>Airport EG-1161</v>
          </cell>
          <cell r="BM1054" t="str">
            <v>No</v>
          </cell>
          <cell r="BN1054" t="str">
            <v>No</v>
          </cell>
          <cell r="BO1054" t="str">
            <v>CPay-000000006</v>
          </cell>
        </row>
        <row r="1055">
          <cell r="B1055" t="str">
            <v>340746</v>
          </cell>
          <cell r="C1055" t="str">
            <v>139.0000000000000000</v>
          </cell>
          <cell r="E1055" t="str">
            <v>Cust</v>
          </cell>
          <cell r="G1055" t="str">
            <v>No</v>
          </cell>
          <cell r="H1055" t="str">
            <v>1900-01-01 00:00:00</v>
          </cell>
          <cell r="K1055" t="str">
            <v>M-P</v>
          </cell>
          <cell r="L1055" t="str">
            <v>1653.000000</v>
          </cell>
          <cell r="AL1055" t="str">
            <v>340746</v>
          </cell>
          <cell r="BC1055" t="str">
            <v>Cust-PP</v>
          </cell>
          <cell r="BD1055" t="str">
            <v>2.0080321285140560</v>
          </cell>
          <cell r="BE1055" t="str">
            <v>.0000000000000000</v>
          </cell>
          <cell r="BF1055" t="str">
            <v>.0000000000000000</v>
          </cell>
          <cell r="BG1055" t="str">
            <v>None</v>
          </cell>
          <cell r="BK1055" t="str">
            <v>2025-06-24 00:00:00</v>
          </cell>
          <cell r="BL1055" t="str">
            <v>Airport EG-1162</v>
          </cell>
          <cell r="BM1055" t="str">
            <v>No</v>
          </cell>
          <cell r="BN1055" t="str">
            <v>No</v>
          </cell>
          <cell r="BO1055" t="str">
            <v>CPay-000000006</v>
          </cell>
        </row>
        <row r="1056">
          <cell r="B1056" t="str">
            <v>340747</v>
          </cell>
          <cell r="C1056" t="str">
            <v>140.0000000000000000</v>
          </cell>
          <cell r="E1056" t="str">
            <v>Cust</v>
          </cell>
          <cell r="G1056" t="str">
            <v>No</v>
          </cell>
          <cell r="H1056" t="str">
            <v>1900-01-01 00:00:00</v>
          </cell>
          <cell r="K1056" t="str">
            <v>M-P</v>
          </cell>
          <cell r="L1056" t="str">
            <v>532.380000</v>
          </cell>
          <cell r="AL1056" t="str">
            <v>340747</v>
          </cell>
          <cell r="BC1056" t="str">
            <v>Cust-PP</v>
          </cell>
          <cell r="BD1056" t="str">
            <v>2.0080321285140560</v>
          </cell>
          <cell r="BE1056" t="str">
            <v>.0000000000000000</v>
          </cell>
          <cell r="BF1056" t="str">
            <v>.0000000000000000</v>
          </cell>
          <cell r="BG1056" t="str">
            <v>None</v>
          </cell>
          <cell r="BK1056" t="str">
            <v>2025-06-24 00:00:00</v>
          </cell>
          <cell r="BL1056" t="str">
            <v>Airport EG-1163</v>
          </cell>
          <cell r="BM1056" t="str">
            <v>No</v>
          </cell>
          <cell r="BN1056" t="str">
            <v>No</v>
          </cell>
          <cell r="BO1056" t="str">
            <v>CPay-000000006</v>
          </cell>
        </row>
        <row r="1057">
          <cell r="B1057" t="str">
            <v>340756</v>
          </cell>
          <cell r="C1057" t="str">
            <v>141.0000000000000000</v>
          </cell>
          <cell r="E1057" t="str">
            <v>Cust</v>
          </cell>
          <cell r="G1057" t="str">
            <v>No</v>
          </cell>
          <cell r="H1057" t="str">
            <v>1900-01-01 00:00:00</v>
          </cell>
          <cell r="K1057" t="str">
            <v>M-P</v>
          </cell>
          <cell r="L1057" t="str">
            <v>1653.000000</v>
          </cell>
          <cell r="AL1057" t="str">
            <v>340756</v>
          </cell>
          <cell r="BC1057" t="str">
            <v>Cust-PP</v>
          </cell>
          <cell r="BD1057" t="str">
            <v>2.0080321285140560</v>
          </cell>
          <cell r="BE1057" t="str">
            <v>.0000000000000000</v>
          </cell>
          <cell r="BF1057" t="str">
            <v>.0000000000000000</v>
          </cell>
          <cell r="BG1057" t="str">
            <v>None</v>
          </cell>
          <cell r="BK1057" t="str">
            <v>2025-06-24 00:00:00</v>
          </cell>
          <cell r="BL1057" t="str">
            <v>Airport EG-1156</v>
          </cell>
          <cell r="BM1057" t="str">
            <v>No</v>
          </cell>
          <cell r="BN1057" t="str">
            <v>No</v>
          </cell>
          <cell r="BO1057" t="str">
            <v>CPay-000000006</v>
          </cell>
        </row>
        <row r="1058">
          <cell r="B1058" t="str">
            <v>340757</v>
          </cell>
          <cell r="C1058" t="str">
            <v>142.0000000000000000</v>
          </cell>
          <cell r="E1058" t="str">
            <v>Cust</v>
          </cell>
          <cell r="G1058" t="str">
            <v>No</v>
          </cell>
          <cell r="H1058" t="str">
            <v>1900-01-01 00:00:00</v>
          </cell>
          <cell r="K1058" t="str">
            <v>M-P</v>
          </cell>
          <cell r="L1058" t="str">
            <v>1416.560000</v>
          </cell>
          <cell r="AL1058" t="str">
            <v>340757</v>
          </cell>
          <cell r="BC1058" t="str">
            <v>Cust-PP</v>
          </cell>
          <cell r="BD1058" t="str">
            <v>2.0080321285140560</v>
          </cell>
          <cell r="BE1058" t="str">
            <v>.0000000000000000</v>
          </cell>
          <cell r="BF1058" t="str">
            <v>.0000000000000000</v>
          </cell>
          <cell r="BG1058" t="str">
            <v>None</v>
          </cell>
          <cell r="BK1058" t="str">
            <v>2025-06-24 00:00:00</v>
          </cell>
          <cell r="BL1058" t="str">
            <v>Airport EG-1157</v>
          </cell>
          <cell r="BM1058" t="str">
            <v>No</v>
          </cell>
          <cell r="BN1058" t="str">
            <v>No</v>
          </cell>
          <cell r="BO1058" t="str">
            <v>CPay-000000006</v>
          </cell>
        </row>
        <row r="1059">
          <cell r="B1059" t="str">
            <v>340764</v>
          </cell>
          <cell r="C1059" t="str">
            <v>143.0000000000000000</v>
          </cell>
          <cell r="E1059" t="str">
            <v>Cust</v>
          </cell>
          <cell r="G1059" t="str">
            <v>No</v>
          </cell>
          <cell r="H1059" t="str">
            <v>1900-01-01 00:00:00</v>
          </cell>
          <cell r="K1059" t="str">
            <v>M-P</v>
          </cell>
          <cell r="L1059" t="str">
            <v>1653.000000</v>
          </cell>
          <cell r="AL1059" t="str">
            <v>340764</v>
          </cell>
          <cell r="BC1059" t="str">
            <v>Cust-PP</v>
          </cell>
          <cell r="BD1059" t="str">
            <v>2.0080321285140560</v>
          </cell>
          <cell r="BE1059" t="str">
            <v>.0000000000000000</v>
          </cell>
          <cell r="BF1059" t="str">
            <v>.0000000000000000</v>
          </cell>
          <cell r="BG1059" t="str">
            <v>None</v>
          </cell>
          <cell r="BK1059" t="str">
            <v>2025-06-24 00:00:00</v>
          </cell>
          <cell r="BL1059" t="str">
            <v>Airport EG-1160</v>
          </cell>
          <cell r="BM1059" t="str">
            <v>No</v>
          </cell>
          <cell r="BN1059" t="str">
            <v>No</v>
          </cell>
          <cell r="BO1059" t="str">
            <v>CPay-000000006</v>
          </cell>
        </row>
        <row r="1060">
          <cell r="B1060" t="str">
            <v>401798</v>
          </cell>
          <cell r="C1060" t="str">
            <v>144.0000000000000000</v>
          </cell>
          <cell r="E1060" t="str">
            <v>Cust</v>
          </cell>
          <cell r="G1060" t="str">
            <v>No</v>
          </cell>
          <cell r="H1060" t="str">
            <v>1900-01-01 00:00:00</v>
          </cell>
          <cell r="K1060" t="str">
            <v>M-P</v>
          </cell>
          <cell r="L1060" t="str">
            <v>855.000000</v>
          </cell>
          <cell r="AL1060" t="str">
            <v>401798</v>
          </cell>
          <cell r="BC1060" t="str">
            <v>Cust-PP</v>
          </cell>
          <cell r="BD1060" t="str">
            <v>2.0080321285140560</v>
          </cell>
          <cell r="BE1060" t="str">
            <v>.0000000000000000</v>
          </cell>
          <cell r="BF1060" t="str">
            <v>.0000000000000000</v>
          </cell>
          <cell r="BG1060" t="str">
            <v>None</v>
          </cell>
          <cell r="BK1060" t="str">
            <v>2025-06-24 00:00:00</v>
          </cell>
          <cell r="BL1060" t="str">
            <v>Airport EG-1159</v>
          </cell>
          <cell r="BM1060" t="str">
            <v>No</v>
          </cell>
          <cell r="BN1060" t="str">
            <v>No</v>
          </cell>
          <cell r="BO1060" t="str">
            <v>CPay-000000006</v>
          </cell>
        </row>
        <row r="1061">
          <cell r="B1061" t="str">
            <v>403533</v>
          </cell>
          <cell r="C1061" t="str">
            <v>145.0000000000000000</v>
          </cell>
          <cell r="E1061" t="str">
            <v>Cust</v>
          </cell>
          <cell r="G1061" t="str">
            <v>No</v>
          </cell>
          <cell r="H1061" t="str">
            <v>1900-01-01 00:00:00</v>
          </cell>
          <cell r="K1061" t="str">
            <v>M-P</v>
          </cell>
          <cell r="L1061" t="str">
            <v>8550.000000</v>
          </cell>
          <cell r="AL1061" t="str">
            <v>403533</v>
          </cell>
          <cell r="BC1061" t="str">
            <v>Cust-PP</v>
          </cell>
          <cell r="BD1061" t="str">
            <v>2.0080321285140560</v>
          </cell>
          <cell r="BE1061" t="str">
            <v>.0000000000000000</v>
          </cell>
          <cell r="BF1061" t="str">
            <v>.0000000000000000</v>
          </cell>
          <cell r="BG1061" t="str">
            <v>None</v>
          </cell>
          <cell r="BK1061" t="str">
            <v>2025-06-24 00:00:00</v>
          </cell>
          <cell r="BL1061" t="str">
            <v>Airport EG-1158</v>
          </cell>
          <cell r="BM1061" t="str">
            <v>No</v>
          </cell>
          <cell r="BN1061" t="str">
            <v>No</v>
          </cell>
          <cell r="BO1061" t="str">
            <v>CPay-000000006</v>
          </cell>
        </row>
        <row r="1062">
          <cell r="B1062" t="str">
            <v>340678</v>
          </cell>
          <cell r="C1062" t="str">
            <v>146.0000000000000000</v>
          </cell>
          <cell r="E1062" t="str">
            <v>Cust</v>
          </cell>
          <cell r="G1062" t="str">
            <v>No</v>
          </cell>
          <cell r="H1062" t="str">
            <v>1900-01-01 00:00:00</v>
          </cell>
          <cell r="K1062" t="str">
            <v>M-P</v>
          </cell>
          <cell r="L1062" t="str">
            <v>1450.000000</v>
          </cell>
          <cell r="AL1062" t="str">
            <v>340678</v>
          </cell>
          <cell r="BC1062" t="str">
            <v>Cust-PP</v>
          </cell>
          <cell r="BD1062" t="str">
            <v>2.0080321285140560</v>
          </cell>
          <cell r="BE1062" t="str">
            <v>.0000000000000000</v>
          </cell>
          <cell r="BF1062" t="str">
            <v>.0000000000000000</v>
          </cell>
          <cell r="BG1062" t="str">
            <v>None</v>
          </cell>
          <cell r="BK1062" t="str">
            <v>2025-06-25 00:00:00</v>
          </cell>
          <cell r="BL1062" t="str">
            <v>Airport EG-1170</v>
          </cell>
          <cell r="BM1062" t="str">
            <v>No</v>
          </cell>
          <cell r="BN1062" t="str">
            <v>No</v>
          </cell>
          <cell r="BO1062" t="str">
            <v>CPay-000000006</v>
          </cell>
        </row>
        <row r="1063">
          <cell r="B1063" t="str">
            <v>340679</v>
          </cell>
          <cell r="C1063" t="str">
            <v>147.0000000000000000</v>
          </cell>
          <cell r="E1063" t="str">
            <v>Cust</v>
          </cell>
          <cell r="G1063" t="str">
            <v>No</v>
          </cell>
          <cell r="H1063" t="str">
            <v>1900-01-01 00:00:00</v>
          </cell>
          <cell r="K1063" t="str">
            <v>M-P</v>
          </cell>
          <cell r="L1063" t="str">
            <v>285.000000</v>
          </cell>
          <cell r="AL1063" t="str">
            <v>340679</v>
          </cell>
          <cell r="BC1063" t="str">
            <v>Cust-PP</v>
          </cell>
          <cell r="BD1063" t="str">
            <v>2.0080321285140560</v>
          </cell>
          <cell r="BE1063" t="str">
            <v>.0000000000000000</v>
          </cell>
          <cell r="BF1063" t="str">
            <v>.0000000000000000</v>
          </cell>
          <cell r="BG1063" t="str">
            <v>None</v>
          </cell>
          <cell r="BK1063" t="str">
            <v>2025-06-25 00:00:00</v>
          </cell>
          <cell r="BL1063" t="str">
            <v>Airport EG-1171</v>
          </cell>
          <cell r="BM1063" t="str">
            <v>No</v>
          </cell>
          <cell r="BN1063" t="str">
            <v>No</v>
          </cell>
          <cell r="BO1063" t="str">
            <v>CPay-000000006</v>
          </cell>
        </row>
        <row r="1064">
          <cell r="B1064" t="str">
            <v>340728</v>
          </cell>
          <cell r="C1064" t="str">
            <v>148.0000000000000000</v>
          </cell>
          <cell r="E1064" t="str">
            <v>Cust</v>
          </cell>
          <cell r="G1064" t="str">
            <v>No</v>
          </cell>
          <cell r="H1064" t="str">
            <v>1900-01-01 00:00:00</v>
          </cell>
          <cell r="K1064" t="str">
            <v>M-P</v>
          </cell>
          <cell r="L1064" t="str">
            <v>1653.000000</v>
          </cell>
          <cell r="AL1064" t="str">
            <v>340728</v>
          </cell>
          <cell r="BC1064" t="str">
            <v>Cust-PP</v>
          </cell>
          <cell r="BD1064" t="str">
            <v>2.0080321285140560</v>
          </cell>
          <cell r="BE1064" t="str">
            <v>.0000000000000000</v>
          </cell>
          <cell r="BF1064" t="str">
            <v>.0000000000000000</v>
          </cell>
          <cell r="BG1064" t="str">
            <v>None</v>
          </cell>
          <cell r="BK1064" t="str">
            <v>2025-06-25 00:00:00</v>
          </cell>
          <cell r="BL1064" t="str">
            <v>Airport EG-1165</v>
          </cell>
          <cell r="BM1064" t="str">
            <v>No</v>
          </cell>
          <cell r="BN1064" t="str">
            <v>No</v>
          </cell>
          <cell r="BO1064" t="str">
            <v>CPay-000000006</v>
          </cell>
        </row>
        <row r="1065">
          <cell r="B1065" t="str">
            <v>340729</v>
          </cell>
          <cell r="C1065" t="str">
            <v>149.0000000000000000</v>
          </cell>
          <cell r="E1065" t="str">
            <v>Cust</v>
          </cell>
          <cell r="G1065" t="str">
            <v>No</v>
          </cell>
          <cell r="H1065" t="str">
            <v>1900-01-01 00:00:00</v>
          </cell>
          <cell r="K1065" t="str">
            <v>M-P</v>
          </cell>
          <cell r="L1065" t="str">
            <v>199.500000</v>
          </cell>
          <cell r="AL1065" t="str">
            <v>340729</v>
          </cell>
          <cell r="BC1065" t="str">
            <v>Cust-PP</v>
          </cell>
          <cell r="BD1065" t="str">
            <v>2.0080321285140560</v>
          </cell>
          <cell r="BE1065" t="str">
            <v>.0000000000000000</v>
          </cell>
          <cell r="BF1065" t="str">
            <v>.0000000000000000</v>
          </cell>
          <cell r="BG1065" t="str">
            <v>None</v>
          </cell>
          <cell r="BK1065" t="str">
            <v>2025-06-25 00:00:00</v>
          </cell>
          <cell r="BL1065" t="str">
            <v>Airport EG-1166</v>
          </cell>
          <cell r="BM1065" t="str">
            <v>No</v>
          </cell>
          <cell r="BN1065" t="str">
            <v>No</v>
          </cell>
          <cell r="BO1065" t="str">
            <v>CPay-000000006</v>
          </cell>
        </row>
        <row r="1066">
          <cell r="B1066" t="str">
            <v>340730</v>
          </cell>
          <cell r="C1066" t="str">
            <v>150.0000000000000000</v>
          </cell>
          <cell r="E1066" t="str">
            <v>Cust</v>
          </cell>
          <cell r="G1066" t="str">
            <v>No</v>
          </cell>
          <cell r="H1066" t="str">
            <v>1900-01-01 00:00:00</v>
          </cell>
          <cell r="K1066" t="str">
            <v>M-P</v>
          </cell>
          <cell r="L1066" t="str">
            <v>1653.000000</v>
          </cell>
          <cell r="AL1066" t="str">
            <v>340730</v>
          </cell>
          <cell r="BC1066" t="str">
            <v>Cust-PP</v>
          </cell>
          <cell r="BD1066" t="str">
            <v>2.0080321285140560</v>
          </cell>
          <cell r="BE1066" t="str">
            <v>.0000000000000000</v>
          </cell>
          <cell r="BF1066" t="str">
            <v>.0000000000000000</v>
          </cell>
          <cell r="BG1066" t="str">
            <v>None</v>
          </cell>
          <cell r="BK1066" t="str">
            <v>2025-06-25 00:00:00</v>
          </cell>
          <cell r="BL1066" t="str">
            <v>Airport EG-1167</v>
          </cell>
          <cell r="BM1066" t="str">
            <v>No</v>
          </cell>
          <cell r="BN1066" t="str">
            <v>No</v>
          </cell>
          <cell r="BO1066" t="str">
            <v>CPay-000000006</v>
          </cell>
        </row>
        <row r="1067">
          <cell r="B1067" t="str">
            <v>340731</v>
          </cell>
          <cell r="C1067" t="str">
            <v>151.0000000000000000</v>
          </cell>
          <cell r="E1067" t="str">
            <v>Cust</v>
          </cell>
          <cell r="G1067" t="str">
            <v>No</v>
          </cell>
          <cell r="H1067" t="str">
            <v>1900-01-01 00:00:00</v>
          </cell>
          <cell r="K1067" t="str">
            <v>M-P</v>
          </cell>
          <cell r="L1067" t="str">
            <v>370.500000</v>
          </cell>
          <cell r="AL1067" t="str">
            <v>340731</v>
          </cell>
          <cell r="BC1067" t="str">
            <v>Cust-PP</v>
          </cell>
          <cell r="BD1067" t="str">
            <v>2.0080321285140560</v>
          </cell>
          <cell r="BE1067" t="str">
            <v>.0000000000000000</v>
          </cell>
          <cell r="BF1067" t="str">
            <v>.0000000000000000</v>
          </cell>
          <cell r="BG1067" t="str">
            <v>None</v>
          </cell>
          <cell r="BK1067" t="str">
            <v>2025-06-25 00:00:00</v>
          </cell>
          <cell r="BL1067" t="str">
            <v>Airport EG-1168</v>
          </cell>
          <cell r="BM1067" t="str">
            <v>No</v>
          </cell>
          <cell r="BN1067" t="str">
            <v>No</v>
          </cell>
          <cell r="BO1067" t="str">
            <v>CPay-000000006</v>
          </cell>
        </row>
        <row r="1068">
          <cell r="B1068" t="str">
            <v>340647</v>
          </cell>
          <cell r="C1068" t="str">
            <v>152.0000000000000000</v>
          </cell>
          <cell r="E1068" t="str">
            <v>Cust</v>
          </cell>
          <cell r="G1068" t="str">
            <v>No</v>
          </cell>
          <cell r="H1068" t="str">
            <v>1900-01-01 00:00:00</v>
          </cell>
          <cell r="K1068" t="str">
            <v>M-P</v>
          </cell>
          <cell r="L1068" t="str">
            <v>285.000000</v>
          </cell>
          <cell r="AL1068" t="str">
            <v>340647</v>
          </cell>
          <cell r="BC1068" t="str">
            <v>Cust-PP</v>
          </cell>
          <cell r="BD1068" t="str">
            <v>2.0080321285140560</v>
          </cell>
          <cell r="BE1068" t="str">
            <v>.0000000000000000</v>
          </cell>
          <cell r="BF1068" t="str">
            <v>.0000000000000000</v>
          </cell>
          <cell r="BG1068" t="str">
            <v>None</v>
          </cell>
          <cell r="BK1068" t="str">
            <v>2025-06-28 00:00:00</v>
          </cell>
          <cell r="BL1068" t="str">
            <v>Airport EG-1173</v>
          </cell>
          <cell r="BM1068" t="str">
            <v>No</v>
          </cell>
          <cell r="BN1068" t="str">
            <v>No</v>
          </cell>
          <cell r="BO1068" t="str">
            <v>CPay-000000006</v>
          </cell>
        </row>
        <row r="1069">
          <cell r="B1069" t="str">
            <v>340648</v>
          </cell>
          <cell r="C1069" t="str">
            <v>153.0000000000000000</v>
          </cell>
          <cell r="E1069" t="str">
            <v>Cust</v>
          </cell>
          <cell r="G1069" t="str">
            <v>No</v>
          </cell>
          <cell r="H1069" t="str">
            <v>1900-01-01 00:00:00</v>
          </cell>
          <cell r="K1069" t="str">
            <v>M-P</v>
          </cell>
          <cell r="L1069" t="str">
            <v>1653.000000</v>
          </cell>
          <cell r="AL1069" t="str">
            <v>340648</v>
          </cell>
          <cell r="BC1069" t="str">
            <v>Cust-PP</v>
          </cell>
          <cell r="BD1069" t="str">
            <v>2.0080321285140560</v>
          </cell>
          <cell r="BE1069" t="str">
            <v>.0000000000000000</v>
          </cell>
          <cell r="BF1069" t="str">
            <v>.0000000000000000</v>
          </cell>
          <cell r="BG1069" t="str">
            <v>None</v>
          </cell>
          <cell r="BK1069" t="str">
            <v>2025-06-28 00:00:00</v>
          </cell>
          <cell r="BL1069" t="str">
            <v>Airport EG-1174</v>
          </cell>
          <cell r="BM1069" t="str">
            <v>No</v>
          </cell>
          <cell r="BN1069" t="str">
            <v>No</v>
          </cell>
          <cell r="BO1069" t="str">
            <v>CPay-000000006</v>
          </cell>
        </row>
        <row r="1070">
          <cell r="B1070" t="str">
            <v>340653</v>
          </cell>
          <cell r="C1070" t="str">
            <v>154.0000000000000000</v>
          </cell>
          <cell r="E1070" t="str">
            <v>Cust</v>
          </cell>
          <cell r="G1070" t="str">
            <v>No</v>
          </cell>
          <cell r="H1070" t="str">
            <v>1900-01-01 00:00:00</v>
          </cell>
          <cell r="K1070" t="str">
            <v>M-P</v>
          </cell>
          <cell r="L1070" t="str">
            <v>2052.000000</v>
          </cell>
          <cell r="AL1070" t="str">
            <v>340653</v>
          </cell>
          <cell r="BC1070" t="str">
            <v>Cust-PP</v>
          </cell>
          <cell r="BD1070" t="str">
            <v>2.0080321285140560</v>
          </cell>
          <cell r="BE1070" t="str">
            <v>.0000000000000000</v>
          </cell>
          <cell r="BF1070" t="str">
            <v>.0000000000000000</v>
          </cell>
          <cell r="BG1070" t="str">
            <v>None</v>
          </cell>
          <cell r="BK1070" t="str">
            <v>2025-06-28 00:00:00</v>
          </cell>
          <cell r="BL1070" t="str">
            <v>Airport EG-1175</v>
          </cell>
          <cell r="BM1070" t="str">
            <v>No</v>
          </cell>
          <cell r="BN1070" t="str">
            <v>No</v>
          </cell>
          <cell r="BO1070" t="str">
            <v>CPay-000000006</v>
          </cell>
        </row>
        <row r="1071">
          <cell r="B1071" t="str">
            <v>340654</v>
          </cell>
          <cell r="C1071" t="str">
            <v>155.0000000000000000</v>
          </cell>
          <cell r="E1071" t="str">
            <v>Cust</v>
          </cell>
          <cell r="G1071" t="str">
            <v>No</v>
          </cell>
          <cell r="H1071" t="str">
            <v>1900-01-01 00:00:00</v>
          </cell>
          <cell r="K1071" t="str">
            <v>M-P</v>
          </cell>
          <cell r="L1071" t="str">
            <v>904.020000</v>
          </cell>
          <cell r="AL1071" t="str">
            <v>340654</v>
          </cell>
          <cell r="BC1071" t="str">
            <v>Cust-PP</v>
          </cell>
          <cell r="BD1071" t="str">
            <v>2.0080321285140560</v>
          </cell>
          <cell r="BE1071" t="str">
            <v>.0000000000000000</v>
          </cell>
          <cell r="BF1071" t="str">
            <v>.0000000000000000</v>
          </cell>
          <cell r="BG1071" t="str">
            <v>None</v>
          </cell>
          <cell r="BK1071" t="str">
            <v>2025-06-28 00:00:00</v>
          </cell>
          <cell r="BL1071" t="str">
            <v>Airport EG-1176</v>
          </cell>
          <cell r="BM1071" t="str">
            <v>No</v>
          </cell>
          <cell r="BN1071" t="str">
            <v>No</v>
          </cell>
          <cell r="BO1071" t="str">
            <v>CPay-000000006</v>
          </cell>
        </row>
        <row r="1072">
          <cell r="B1072" t="str">
            <v>340579</v>
          </cell>
          <cell r="C1072" t="str">
            <v>156.0000000000000000</v>
          </cell>
          <cell r="E1072" t="str">
            <v>Cust</v>
          </cell>
          <cell r="G1072" t="str">
            <v>No</v>
          </cell>
          <cell r="H1072" t="str">
            <v>1900-01-01 00:00:00</v>
          </cell>
          <cell r="K1072" t="str">
            <v>M-P</v>
          </cell>
          <cell r="L1072" t="str">
            <v>1653.000000</v>
          </cell>
          <cell r="AL1072" t="str">
            <v>340579</v>
          </cell>
          <cell r="BC1072" t="str">
            <v>Cust-PP</v>
          </cell>
          <cell r="BD1072" t="str">
            <v>2.0080321285140560</v>
          </cell>
          <cell r="BE1072" t="str">
            <v>.0000000000000000</v>
          </cell>
          <cell r="BF1072" t="str">
            <v>.0000000000000000</v>
          </cell>
          <cell r="BG1072" t="str">
            <v>None</v>
          </cell>
          <cell r="BK1072" t="str">
            <v>2025-06-29 00:00:00</v>
          </cell>
          <cell r="BL1072" t="str">
            <v>Airport EG-1181</v>
          </cell>
          <cell r="BM1072" t="str">
            <v>No</v>
          </cell>
          <cell r="BN1072" t="str">
            <v>No</v>
          </cell>
          <cell r="BO1072" t="str">
            <v>CPay-000000006</v>
          </cell>
        </row>
        <row r="1073">
          <cell r="B1073" t="str">
            <v>340581</v>
          </cell>
          <cell r="C1073" t="str">
            <v>157.0000000000000000</v>
          </cell>
          <cell r="E1073" t="str">
            <v>Cust</v>
          </cell>
          <cell r="G1073" t="str">
            <v>No</v>
          </cell>
          <cell r="H1073" t="str">
            <v>1900-01-01 00:00:00</v>
          </cell>
          <cell r="K1073" t="str">
            <v>M-P</v>
          </cell>
          <cell r="L1073" t="str">
            <v>798.000000</v>
          </cell>
          <cell r="AL1073" t="str">
            <v>340581</v>
          </cell>
          <cell r="BC1073" t="str">
            <v>Cust-PP</v>
          </cell>
          <cell r="BD1073" t="str">
            <v>2.0080321285140560</v>
          </cell>
          <cell r="BE1073" t="str">
            <v>.0000000000000000</v>
          </cell>
          <cell r="BF1073" t="str">
            <v>.0000000000000000</v>
          </cell>
          <cell r="BG1073" t="str">
            <v>None</v>
          </cell>
          <cell r="BK1073" t="str">
            <v>2025-06-29 00:00:00</v>
          </cell>
          <cell r="BL1073" t="str">
            <v>Airport EG-1182</v>
          </cell>
          <cell r="BM1073" t="str">
            <v>No</v>
          </cell>
          <cell r="BN1073" t="str">
            <v>No</v>
          </cell>
          <cell r="BO1073" t="str">
            <v>CPay-000000006</v>
          </cell>
        </row>
        <row r="1074">
          <cell r="B1074" t="str">
            <v>340609</v>
          </cell>
          <cell r="C1074" t="str">
            <v>158.0000000000000000</v>
          </cell>
          <cell r="E1074" t="str">
            <v>Cust</v>
          </cell>
          <cell r="G1074" t="str">
            <v>No</v>
          </cell>
          <cell r="H1074" t="str">
            <v>1900-01-01 00:00:00</v>
          </cell>
          <cell r="K1074" t="str">
            <v>M-P</v>
          </cell>
          <cell r="L1074" t="str">
            <v>1653.000000</v>
          </cell>
          <cell r="AL1074" t="str">
            <v>340609</v>
          </cell>
          <cell r="BC1074" t="str">
            <v>Cust-PP</v>
          </cell>
          <cell r="BD1074" t="str">
            <v>2.0080321285140560</v>
          </cell>
          <cell r="BE1074" t="str">
            <v>.0000000000000000</v>
          </cell>
          <cell r="BF1074" t="str">
            <v>.0000000000000000</v>
          </cell>
          <cell r="BG1074" t="str">
            <v>None</v>
          </cell>
          <cell r="BK1074" t="str">
            <v>2025-06-29 00:00:00</v>
          </cell>
          <cell r="BL1074" t="str">
            <v>Airport EG-1179</v>
          </cell>
          <cell r="BM1074" t="str">
            <v>No</v>
          </cell>
          <cell r="BN1074" t="str">
            <v>No</v>
          </cell>
          <cell r="BO1074" t="str">
            <v>CPay-000000006</v>
          </cell>
        </row>
        <row r="1075">
          <cell r="B1075" t="str">
            <v>340614</v>
          </cell>
          <cell r="C1075" t="str">
            <v>159.0000000000000000</v>
          </cell>
          <cell r="E1075" t="str">
            <v>Cust</v>
          </cell>
          <cell r="G1075" t="str">
            <v>No</v>
          </cell>
          <cell r="H1075" t="str">
            <v>1900-01-01 00:00:00</v>
          </cell>
          <cell r="K1075" t="str">
            <v>M-P</v>
          </cell>
          <cell r="L1075" t="str">
            <v>912.000000</v>
          </cell>
          <cell r="AL1075" t="str">
            <v>340614</v>
          </cell>
          <cell r="BC1075" t="str">
            <v>Cust-PP</v>
          </cell>
          <cell r="BD1075" t="str">
            <v>2.0080321285140560</v>
          </cell>
          <cell r="BE1075" t="str">
            <v>.0000000000000000</v>
          </cell>
          <cell r="BF1075" t="str">
            <v>.0000000000000000</v>
          </cell>
          <cell r="BG1075" t="str">
            <v>None</v>
          </cell>
          <cell r="BK1075" t="str">
            <v>2025-06-29 00:00:00</v>
          </cell>
          <cell r="BL1075" t="str">
            <v>Airport EG-1180</v>
          </cell>
          <cell r="BM1075" t="str">
            <v>No</v>
          </cell>
          <cell r="BN1075" t="str">
            <v>No</v>
          </cell>
          <cell r="BO1075" t="str">
            <v>CPay-000000006</v>
          </cell>
        </row>
        <row r="1076">
          <cell r="B1076" t="str">
            <v>340637</v>
          </cell>
          <cell r="C1076" t="str">
            <v>160.0000000000000000</v>
          </cell>
          <cell r="E1076" t="str">
            <v>Cust</v>
          </cell>
          <cell r="G1076" t="str">
            <v>No</v>
          </cell>
          <cell r="H1076" t="str">
            <v>1900-01-01 00:00:00</v>
          </cell>
          <cell r="K1076" t="str">
            <v>M-P</v>
          </cell>
          <cell r="L1076" t="str">
            <v>1653.000000</v>
          </cell>
          <cell r="AL1076" t="str">
            <v>340637</v>
          </cell>
          <cell r="BC1076" t="str">
            <v>Cust-PP</v>
          </cell>
          <cell r="BD1076" t="str">
            <v>2.0080321285140560</v>
          </cell>
          <cell r="BE1076" t="str">
            <v>.0000000000000000</v>
          </cell>
          <cell r="BF1076" t="str">
            <v>.0000000000000000</v>
          </cell>
          <cell r="BG1076" t="str">
            <v>None</v>
          </cell>
          <cell r="BK1076" t="str">
            <v>2025-06-29 00:00:00</v>
          </cell>
          <cell r="BL1076" t="str">
            <v>Airport EG-1177</v>
          </cell>
          <cell r="BM1076" t="str">
            <v>No</v>
          </cell>
          <cell r="BN1076" t="str">
            <v>No</v>
          </cell>
          <cell r="BO1076" t="str">
            <v>CPay-000000006</v>
          </cell>
        </row>
        <row r="1077">
          <cell r="B1077" t="str">
            <v>340638</v>
          </cell>
          <cell r="C1077" t="str">
            <v>161.0000000000000000</v>
          </cell>
          <cell r="E1077" t="str">
            <v>Cust</v>
          </cell>
          <cell r="G1077" t="str">
            <v>No</v>
          </cell>
          <cell r="H1077" t="str">
            <v>1900-01-01 00:00:00</v>
          </cell>
          <cell r="K1077" t="str">
            <v>M-P</v>
          </cell>
          <cell r="L1077" t="str">
            <v>335.730000</v>
          </cell>
          <cell r="AL1077" t="str">
            <v>340638</v>
          </cell>
          <cell r="BC1077" t="str">
            <v>Cust-PP</v>
          </cell>
          <cell r="BD1077" t="str">
            <v>2.0080321285140560</v>
          </cell>
          <cell r="BE1077" t="str">
            <v>.0000000000000000</v>
          </cell>
          <cell r="BF1077" t="str">
            <v>.0000000000000000</v>
          </cell>
          <cell r="BG1077" t="str">
            <v>None</v>
          </cell>
          <cell r="BK1077" t="str">
            <v>2025-06-29 00:00:00</v>
          </cell>
          <cell r="BL1077" t="str">
            <v>Airport EG-1178</v>
          </cell>
          <cell r="BM1077" t="str">
            <v>No</v>
          </cell>
          <cell r="BN1077" t="str">
            <v>No</v>
          </cell>
          <cell r="BO1077" t="str">
            <v>CPay-000000006</v>
          </cell>
        </row>
        <row r="1078">
          <cell r="B1078" t="str">
            <v>341857</v>
          </cell>
          <cell r="C1078" t="str">
            <v>162.0000000000000000</v>
          </cell>
          <cell r="E1078" t="str">
            <v>Cust</v>
          </cell>
          <cell r="G1078" t="str">
            <v>No</v>
          </cell>
          <cell r="H1078" t="str">
            <v>1900-01-01 00:00:00</v>
          </cell>
          <cell r="K1078" t="str">
            <v>M-P</v>
          </cell>
          <cell r="L1078" t="str">
            <v>1653.000000</v>
          </cell>
          <cell r="AL1078" t="str">
            <v>341857</v>
          </cell>
          <cell r="BC1078" t="str">
            <v>Cust-PP</v>
          </cell>
          <cell r="BD1078" t="str">
            <v>2.0080321285140560</v>
          </cell>
          <cell r="BE1078" t="str">
            <v>.0000000000000000</v>
          </cell>
          <cell r="BF1078" t="str">
            <v>.0000000000000000</v>
          </cell>
          <cell r="BG1078" t="str">
            <v>None</v>
          </cell>
          <cell r="BK1078" t="str">
            <v>2025-06-29 00:00:00</v>
          </cell>
          <cell r="BL1078" t="str">
            <v>Airport EG-1184</v>
          </cell>
          <cell r="BM1078" t="str">
            <v>No</v>
          </cell>
          <cell r="BN1078" t="str">
            <v>No</v>
          </cell>
          <cell r="BO1078" t="str">
            <v>CPay-000000006</v>
          </cell>
        </row>
        <row r="1079">
          <cell r="B1079" t="str">
            <v>341858</v>
          </cell>
          <cell r="C1079" t="str">
            <v>163.0000000000000000</v>
          </cell>
          <cell r="E1079" t="str">
            <v>Cust</v>
          </cell>
          <cell r="G1079" t="str">
            <v>No</v>
          </cell>
          <cell r="H1079" t="str">
            <v>1900-01-01 00:00:00</v>
          </cell>
          <cell r="K1079" t="str">
            <v>M-P</v>
          </cell>
          <cell r="L1079" t="str">
            <v>798.000000</v>
          </cell>
          <cell r="AL1079" t="str">
            <v>341858</v>
          </cell>
          <cell r="BC1079" t="str">
            <v>Cust-PP</v>
          </cell>
          <cell r="BD1079" t="str">
            <v>2.0080321285140560</v>
          </cell>
          <cell r="BE1079" t="str">
            <v>.0000000000000000</v>
          </cell>
          <cell r="BF1079" t="str">
            <v>.0000000000000000</v>
          </cell>
          <cell r="BG1079" t="str">
            <v>None</v>
          </cell>
          <cell r="BK1079" t="str">
            <v>2025-06-29 00:00:00</v>
          </cell>
          <cell r="BL1079" t="str">
            <v>Airport EG-1185</v>
          </cell>
          <cell r="BM1079" t="str">
            <v>No</v>
          </cell>
          <cell r="BN1079" t="str">
            <v>No</v>
          </cell>
          <cell r="BO1079" t="str">
            <v>CPay-000000006</v>
          </cell>
        </row>
        <row r="1080">
          <cell r="B1080" t="str">
            <v>339787</v>
          </cell>
          <cell r="C1080" t="str">
            <v>164.0000000000000000</v>
          </cell>
          <cell r="E1080" t="str">
            <v>Cust</v>
          </cell>
          <cell r="G1080" t="str">
            <v>No</v>
          </cell>
          <cell r="H1080" t="str">
            <v>1900-01-01 00:00:00</v>
          </cell>
          <cell r="K1080" t="str">
            <v>M-P</v>
          </cell>
          <cell r="L1080" t="str">
            <v>2052.000000</v>
          </cell>
          <cell r="AL1080" t="str">
            <v>339787</v>
          </cell>
          <cell r="BC1080" t="str">
            <v>Cust-PP</v>
          </cell>
          <cell r="BD1080" t="str">
            <v>2.0080321285140560</v>
          </cell>
          <cell r="BE1080" t="str">
            <v>.0000000000000000</v>
          </cell>
          <cell r="BF1080" t="str">
            <v>.0000000000000000</v>
          </cell>
          <cell r="BG1080" t="str">
            <v>None</v>
          </cell>
          <cell r="BK1080" t="str">
            <v>2025-06-30 00:00:00</v>
          </cell>
          <cell r="BL1080" t="str">
            <v>Airport EG-1195</v>
          </cell>
          <cell r="BM1080" t="str">
            <v>No</v>
          </cell>
          <cell r="BN1080" t="str">
            <v>No</v>
          </cell>
          <cell r="BO1080" t="str">
            <v>CPay-000000006</v>
          </cell>
        </row>
        <row r="1081">
          <cell r="B1081" t="str">
            <v>339788</v>
          </cell>
          <cell r="C1081" t="str">
            <v>165.0000000000000000</v>
          </cell>
          <cell r="E1081" t="str">
            <v>Cust</v>
          </cell>
          <cell r="G1081" t="str">
            <v>No</v>
          </cell>
          <cell r="H1081" t="str">
            <v>1900-01-01 00:00:00</v>
          </cell>
          <cell r="K1081" t="str">
            <v>M-P</v>
          </cell>
          <cell r="L1081" t="str">
            <v>370.500000</v>
          </cell>
          <cell r="AL1081" t="str">
            <v>339788</v>
          </cell>
          <cell r="BC1081" t="str">
            <v>Cust-PP</v>
          </cell>
          <cell r="BD1081" t="str">
            <v>2.0080321285140560</v>
          </cell>
          <cell r="BE1081" t="str">
            <v>.0000000000000000</v>
          </cell>
          <cell r="BF1081" t="str">
            <v>.0000000000000000</v>
          </cell>
          <cell r="BG1081" t="str">
            <v>None</v>
          </cell>
          <cell r="BK1081" t="str">
            <v>2025-06-30 00:00:00</v>
          </cell>
          <cell r="BL1081" t="str">
            <v>Airport EG-1196</v>
          </cell>
          <cell r="BM1081" t="str">
            <v>No</v>
          </cell>
          <cell r="BN1081" t="str">
            <v>No</v>
          </cell>
          <cell r="BO1081" t="str">
            <v>CPay-000000006</v>
          </cell>
        </row>
        <row r="1082">
          <cell r="B1082" t="str">
            <v>339803</v>
          </cell>
          <cell r="C1082" t="str">
            <v>166.0000000000000000</v>
          </cell>
          <cell r="E1082" t="str">
            <v>Cust</v>
          </cell>
          <cell r="G1082" t="str">
            <v>No</v>
          </cell>
          <cell r="H1082" t="str">
            <v>1900-01-01 00:00:00</v>
          </cell>
          <cell r="K1082" t="str">
            <v>M-P</v>
          </cell>
          <cell r="L1082" t="str">
            <v>199.500000</v>
          </cell>
          <cell r="AL1082" t="str">
            <v>339803</v>
          </cell>
          <cell r="BC1082" t="str">
            <v>Cust-PP</v>
          </cell>
          <cell r="BD1082" t="str">
            <v>2.0080321285140560</v>
          </cell>
          <cell r="BE1082" t="str">
            <v>.0000000000000000</v>
          </cell>
          <cell r="BF1082" t="str">
            <v>.0000000000000000</v>
          </cell>
          <cell r="BG1082" t="str">
            <v>None</v>
          </cell>
          <cell r="BK1082" t="str">
            <v>2025-06-30 00:00:00</v>
          </cell>
          <cell r="BL1082" t="str">
            <v>Airport EG-1192</v>
          </cell>
          <cell r="BM1082" t="str">
            <v>No</v>
          </cell>
          <cell r="BN1082" t="str">
            <v>No</v>
          </cell>
          <cell r="BO1082" t="str">
            <v>CPay-000000006</v>
          </cell>
        </row>
        <row r="1083">
          <cell r="B1083" t="str">
            <v>339804</v>
          </cell>
          <cell r="C1083" t="str">
            <v>167.0000000000000000</v>
          </cell>
          <cell r="E1083" t="str">
            <v>Cust</v>
          </cell>
          <cell r="G1083" t="str">
            <v>No</v>
          </cell>
          <cell r="H1083" t="str">
            <v>1900-01-01 00:00:00</v>
          </cell>
          <cell r="K1083" t="str">
            <v>M-P</v>
          </cell>
          <cell r="L1083" t="str">
            <v>2052.000000</v>
          </cell>
          <cell r="AL1083" t="str">
            <v>339804</v>
          </cell>
          <cell r="BC1083" t="str">
            <v>Cust-PP</v>
          </cell>
          <cell r="BD1083" t="str">
            <v>2.0080321285140560</v>
          </cell>
          <cell r="BE1083" t="str">
            <v>.0000000000000000</v>
          </cell>
          <cell r="BF1083" t="str">
            <v>.0000000000000000</v>
          </cell>
          <cell r="BG1083" t="str">
            <v>None</v>
          </cell>
          <cell r="BK1083" t="str">
            <v>2025-06-30 00:00:00</v>
          </cell>
          <cell r="BL1083" t="str">
            <v>Airport EG-1193</v>
          </cell>
          <cell r="BM1083" t="str">
            <v>No</v>
          </cell>
          <cell r="BN1083" t="str">
            <v>No</v>
          </cell>
          <cell r="BO1083" t="str">
            <v>CPay-000000006</v>
          </cell>
        </row>
        <row r="1084">
          <cell r="B1084" t="str">
            <v>339805</v>
          </cell>
          <cell r="C1084" t="str">
            <v>168.0000000000000000</v>
          </cell>
          <cell r="E1084" t="str">
            <v>Cust</v>
          </cell>
          <cell r="G1084" t="str">
            <v>No</v>
          </cell>
          <cell r="H1084" t="str">
            <v>1900-01-01 00:00:00</v>
          </cell>
          <cell r="K1084" t="str">
            <v>M-P</v>
          </cell>
          <cell r="L1084" t="str">
            <v>296.400000</v>
          </cell>
          <cell r="AL1084" t="str">
            <v>339805</v>
          </cell>
          <cell r="BC1084" t="str">
            <v>Cust-PP</v>
          </cell>
          <cell r="BD1084" t="str">
            <v>2.0080321285140560</v>
          </cell>
          <cell r="BE1084" t="str">
            <v>.0000000000000000</v>
          </cell>
          <cell r="BF1084" t="str">
            <v>.0000000000000000</v>
          </cell>
          <cell r="BG1084" t="str">
            <v>None</v>
          </cell>
          <cell r="BK1084" t="str">
            <v>2025-06-30 00:00:00</v>
          </cell>
          <cell r="BL1084" t="str">
            <v>Airport EG-1194</v>
          </cell>
          <cell r="BM1084" t="str">
            <v>No</v>
          </cell>
          <cell r="BN1084" t="str">
            <v>No</v>
          </cell>
          <cell r="BO1084" t="str">
            <v>CPay-000000006</v>
          </cell>
        </row>
        <row r="1085">
          <cell r="B1085" t="str">
            <v>340410</v>
          </cell>
          <cell r="C1085" t="str">
            <v>169.0000000000000000</v>
          </cell>
          <cell r="E1085" t="str">
            <v>Cust</v>
          </cell>
          <cell r="G1085" t="str">
            <v>No</v>
          </cell>
          <cell r="H1085" t="str">
            <v>1900-01-01 00:00:00</v>
          </cell>
          <cell r="K1085" t="str">
            <v>M-P</v>
          </cell>
          <cell r="L1085" t="str">
            <v>1653.000000</v>
          </cell>
          <cell r="AL1085" t="str">
            <v>340410</v>
          </cell>
          <cell r="BC1085" t="str">
            <v>Cust-PP</v>
          </cell>
          <cell r="BD1085" t="str">
            <v>2.0080321285140560</v>
          </cell>
          <cell r="BE1085" t="str">
            <v>.0000000000000000</v>
          </cell>
          <cell r="BF1085" t="str">
            <v>.0000000000000000</v>
          </cell>
          <cell r="BG1085" t="str">
            <v>None</v>
          </cell>
          <cell r="BK1085" t="str">
            <v>2025-06-30 00:00:00</v>
          </cell>
          <cell r="BL1085" t="str">
            <v>Airport EG-1189</v>
          </cell>
          <cell r="BM1085" t="str">
            <v>No</v>
          </cell>
          <cell r="BN1085" t="str">
            <v>No</v>
          </cell>
          <cell r="BO1085" t="str">
            <v>CPay-000000006</v>
          </cell>
        </row>
        <row r="1086">
          <cell r="B1086" t="str">
            <v>340411</v>
          </cell>
          <cell r="C1086" t="str">
            <v>170.0000000000000000</v>
          </cell>
          <cell r="E1086" t="str">
            <v>Cust</v>
          </cell>
          <cell r="G1086" t="str">
            <v>No</v>
          </cell>
          <cell r="H1086" t="str">
            <v>1900-01-01 00:00:00</v>
          </cell>
          <cell r="K1086" t="str">
            <v>M-P</v>
          </cell>
          <cell r="L1086" t="str">
            <v>296.400000</v>
          </cell>
          <cell r="AL1086" t="str">
            <v>340411</v>
          </cell>
          <cell r="BC1086" t="str">
            <v>Cust-PP</v>
          </cell>
          <cell r="BD1086" t="str">
            <v>2.0080321285140560</v>
          </cell>
          <cell r="BE1086" t="str">
            <v>.0000000000000000</v>
          </cell>
          <cell r="BF1086" t="str">
            <v>.0000000000000000</v>
          </cell>
          <cell r="BG1086" t="str">
            <v>None</v>
          </cell>
          <cell r="BK1086" t="str">
            <v>2025-06-30 00:00:00</v>
          </cell>
          <cell r="BL1086" t="str">
            <v>Airport EG-1190</v>
          </cell>
          <cell r="BM1086" t="str">
            <v>No</v>
          </cell>
          <cell r="BN1086" t="str">
            <v>No</v>
          </cell>
          <cell r="BO1086" t="str">
            <v>CPay-000000006</v>
          </cell>
        </row>
        <row r="1087">
          <cell r="B1087" t="str">
            <v>340418</v>
          </cell>
          <cell r="C1087" t="str">
            <v>171.0000000000000000</v>
          </cell>
          <cell r="E1087" t="str">
            <v>Cust</v>
          </cell>
          <cell r="G1087" t="str">
            <v>No</v>
          </cell>
          <cell r="H1087" t="str">
            <v>1900-01-01 00:00:00</v>
          </cell>
          <cell r="K1087" t="str">
            <v>M-P</v>
          </cell>
          <cell r="L1087" t="str">
            <v>1653.000000</v>
          </cell>
          <cell r="AL1087" t="str">
            <v>340418</v>
          </cell>
          <cell r="BC1087" t="str">
            <v>Cust-PP</v>
          </cell>
          <cell r="BD1087" t="str">
            <v>2.0080321285140560</v>
          </cell>
          <cell r="BE1087" t="str">
            <v>.0000000000000000</v>
          </cell>
          <cell r="BF1087" t="str">
            <v>.0000000000000000</v>
          </cell>
          <cell r="BG1087" t="str">
            <v>None</v>
          </cell>
          <cell r="BK1087" t="str">
            <v>2025-06-30 00:00:00</v>
          </cell>
          <cell r="BL1087" t="str">
            <v>Airport EG-1187</v>
          </cell>
          <cell r="BM1087" t="str">
            <v>No</v>
          </cell>
          <cell r="BN1087" t="str">
            <v>No</v>
          </cell>
          <cell r="BO1087" t="str">
            <v>CPay-000000006</v>
          </cell>
        </row>
        <row r="1088">
          <cell r="B1088" t="str">
            <v>340420</v>
          </cell>
          <cell r="C1088" t="str">
            <v>172.0000000000000000</v>
          </cell>
          <cell r="E1088" t="str">
            <v>Cust</v>
          </cell>
          <cell r="G1088" t="str">
            <v>No</v>
          </cell>
          <cell r="H1088" t="str">
            <v>1900-01-01 00:00:00</v>
          </cell>
          <cell r="K1088" t="str">
            <v>M-P</v>
          </cell>
          <cell r="L1088" t="str">
            <v>760.380000</v>
          </cell>
          <cell r="AL1088" t="str">
            <v>340420</v>
          </cell>
          <cell r="BC1088" t="str">
            <v>Cust-PP</v>
          </cell>
          <cell r="BD1088" t="str">
            <v>2.0080321285140560</v>
          </cell>
          <cell r="BE1088" t="str">
            <v>.0000000000000000</v>
          </cell>
          <cell r="BF1088" t="str">
            <v>.0000000000000000</v>
          </cell>
          <cell r="BG1088" t="str">
            <v>None</v>
          </cell>
          <cell r="BK1088" t="str">
            <v>2025-06-30 00:00:00</v>
          </cell>
          <cell r="BL1088" t="str">
            <v>Airport EG-1188</v>
          </cell>
          <cell r="BM1088" t="str">
            <v>No</v>
          </cell>
          <cell r="BN1088" t="str">
            <v>No</v>
          </cell>
          <cell r="BO1088" t="str">
            <v>CPay-000000006</v>
          </cell>
        </row>
        <row r="1089">
          <cell r="B1089" t="str">
            <v>341860</v>
          </cell>
          <cell r="C1089" t="str">
            <v>173.0000000000000000</v>
          </cell>
          <cell r="E1089" t="str">
            <v>Cust</v>
          </cell>
          <cell r="G1089" t="str">
            <v>No</v>
          </cell>
          <cell r="H1089" t="str">
            <v>1900-01-01 00:00:00</v>
          </cell>
          <cell r="K1089" t="str">
            <v>M-P</v>
          </cell>
          <cell r="L1089" t="str">
            <v>10.000000</v>
          </cell>
          <cell r="AL1089" t="str">
            <v>341860</v>
          </cell>
          <cell r="BC1089" t="str">
            <v>Cust-PP</v>
          </cell>
          <cell r="BD1089" t="str">
            <v>2.0080321285140560</v>
          </cell>
          <cell r="BE1089" t="str">
            <v>.0000000000000000</v>
          </cell>
          <cell r="BF1089" t="str">
            <v>.0000000000000000</v>
          </cell>
          <cell r="BG1089" t="str">
            <v>None</v>
          </cell>
          <cell r="BK1089" t="str">
            <v>2025-06-30 00:00:00</v>
          </cell>
          <cell r="BL1089" t="str">
            <v>Airport EG-1186</v>
          </cell>
          <cell r="BM1089" t="str">
            <v>No</v>
          </cell>
          <cell r="BN1089" t="str">
            <v>No</v>
          </cell>
          <cell r="BO1089" t="str">
            <v>CPay-000000006</v>
          </cell>
        </row>
        <row r="1090">
          <cell r="B1090" t="str">
            <v>390879</v>
          </cell>
          <cell r="C1090" t="str">
            <v>1.0000000000000000</v>
          </cell>
          <cell r="E1090" t="str">
            <v>Cust</v>
          </cell>
          <cell r="G1090" t="str">
            <v>No</v>
          </cell>
          <cell r="H1090" t="str">
            <v>1900-01-01 00:00:00</v>
          </cell>
          <cell r="K1090" t="str">
            <v>M-P</v>
          </cell>
          <cell r="L1090" t="str">
            <v>199.500000</v>
          </cell>
          <cell r="AL1090" t="str">
            <v>390879</v>
          </cell>
          <cell r="BC1090" t="str">
            <v>Cust-PP</v>
          </cell>
          <cell r="BD1090" t="str">
            <v>2.0000000000000000</v>
          </cell>
          <cell r="BE1090" t="str">
            <v>.0000000000000000</v>
          </cell>
          <cell r="BF1090" t="str">
            <v>.0000000000000000</v>
          </cell>
          <cell r="BG1090" t="str">
            <v>None</v>
          </cell>
          <cell r="BK1090" t="str">
            <v>2025-07-01 00:00:00</v>
          </cell>
          <cell r="BL1090" t="str">
            <v>Airport EG-1200</v>
          </cell>
          <cell r="BM1090" t="str">
            <v>No</v>
          </cell>
          <cell r="BN1090" t="str">
            <v>No</v>
          </cell>
          <cell r="BO1090" t="str">
            <v>CPay-000000007</v>
          </cell>
        </row>
        <row r="1091">
          <cell r="B1091" t="str">
            <v>391109</v>
          </cell>
          <cell r="C1091" t="str">
            <v>2.0000000000000000</v>
          </cell>
          <cell r="E1091" t="str">
            <v>Cust</v>
          </cell>
          <cell r="G1091" t="str">
            <v>No</v>
          </cell>
          <cell r="H1091" t="str">
            <v>1900-01-01 00:00:00</v>
          </cell>
          <cell r="K1091" t="str">
            <v>M-P</v>
          </cell>
          <cell r="L1091" t="str">
            <v>370.500000</v>
          </cell>
          <cell r="AL1091" t="str">
            <v>391109</v>
          </cell>
          <cell r="BC1091" t="str">
            <v>Cust-PP</v>
          </cell>
          <cell r="BD1091" t="str">
            <v>2.0000000000000000</v>
          </cell>
          <cell r="BE1091" t="str">
            <v>.0000000000000000</v>
          </cell>
          <cell r="BF1091" t="str">
            <v>.0000000000000000</v>
          </cell>
          <cell r="BG1091" t="str">
            <v>None</v>
          </cell>
          <cell r="BK1091" t="str">
            <v>2025-07-01 00:00:00</v>
          </cell>
          <cell r="BL1091" t="str">
            <v>Airport EG-1202</v>
          </cell>
          <cell r="BM1091" t="str">
            <v>No</v>
          </cell>
          <cell r="BN1091" t="str">
            <v>No</v>
          </cell>
          <cell r="BO1091" t="str">
            <v>CPay-000000007</v>
          </cell>
        </row>
        <row r="1092">
          <cell r="B1092" t="str">
            <v>391350</v>
          </cell>
          <cell r="C1092" t="str">
            <v>3.0000000000000000</v>
          </cell>
          <cell r="E1092" t="str">
            <v>Cust</v>
          </cell>
          <cell r="G1092" t="str">
            <v>No</v>
          </cell>
          <cell r="H1092" t="str">
            <v>1900-01-01 00:00:00</v>
          </cell>
          <cell r="K1092" t="str">
            <v>M-P</v>
          </cell>
          <cell r="L1092" t="str">
            <v>1653.000000</v>
          </cell>
          <cell r="AL1092" t="str">
            <v>391350</v>
          </cell>
          <cell r="BC1092" t="str">
            <v>Cust-PP</v>
          </cell>
          <cell r="BD1092" t="str">
            <v>2.0000000000000000</v>
          </cell>
          <cell r="BE1092" t="str">
            <v>.0000000000000000</v>
          </cell>
          <cell r="BF1092" t="str">
            <v>.0000000000000000</v>
          </cell>
          <cell r="BG1092" t="str">
            <v>None</v>
          </cell>
          <cell r="BK1092" t="str">
            <v>2025-07-01 00:00:00</v>
          </cell>
          <cell r="BL1092" t="str">
            <v>Airport EG-1204</v>
          </cell>
          <cell r="BM1092" t="str">
            <v>No</v>
          </cell>
          <cell r="BN1092" t="str">
            <v>No</v>
          </cell>
          <cell r="BO1092" t="str">
            <v>CPay-000000007</v>
          </cell>
        </row>
        <row r="1093">
          <cell r="B1093" t="str">
            <v>391353</v>
          </cell>
          <cell r="C1093" t="str">
            <v>4.0000000000000000</v>
          </cell>
          <cell r="E1093" t="str">
            <v>Cust</v>
          </cell>
          <cell r="G1093" t="str">
            <v>No</v>
          </cell>
          <cell r="H1093" t="str">
            <v>1900-01-01 00:00:00</v>
          </cell>
          <cell r="K1093" t="str">
            <v>M-P</v>
          </cell>
          <cell r="L1093" t="str">
            <v>24507.260000</v>
          </cell>
          <cell r="AL1093" t="str">
            <v>391353</v>
          </cell>
          <cell r="BC1093" t="str">
            <v>Cust-PP</v>
          </cell>
          <cell r="BD1093" t="str">
            <v>2.0000000000000000</v>
          </cell>
          <cell r="BE1093" t="str">
            <v>.0000000000000000</v>
          </cell>
          <cell r="BF1093" t="str">
            <v>.0000000000000000</v>
          </cell>
          <cell r="BG1093" t="str">
            <v>None</v>
          </cell>
          <cell r="BK1093" t="str">
            <v>2025-07-01 00:00:00</v>
          </cell>
          <cell r="BL1093" t="str">
            <v>Airport EG-1197</v>
          </cell>
          <cell r="BM1093" t="str">
            <v>No</v>
          </cell>
          <cell r="BN1093" t="str">
            <v>No</v>
          </cell>
          <cell r="BO1093" t="str">
            <v>CPay-000000007</v>
          </cell>
        </row>
        <row r="1094">
          <cell r="B1094" t="str">
            <v>391687</v>
          </cell>
          <cell r="C1094" t="str">
            <v>5.0000000000000000</v>
          </cell>
          <cell r="E1094" t="str">
            <v>Cust</v>
          </cell>
          <cell r="G1094" t="str">
            <v>No</v>
          </cell>
          <cell r="H1094" t="str">
            <v>1900-01-01 00:00:00</v>
          </cell>
          <cell r="K1094" t="str">
            <v>M-P</v>
          </cell>
          <cell r="L1094" t="str">
            <v>2052.000000</v>
          </cell>
          <cell r="AL1094" t="str">
            <v>391687</v>
          </cell>
          <cell r="BC1094" t="str">
            <v>Cust-PP</v>
          </cell>
          <cell r="BD1094" t="str">
            <v>2.0000000000000000</v>
          </cell>
          <cell r="BE1094" t="str">
            <v>.0000000000000000</v>
          </cell>
          <cell r="BF1094" t="str">
            <v>.0000000000000000</v>
          </cell>
          <cell r="BG1094" t="str">
            <v>None</v>
          </cell>
          <cell r="BK1094" t="str">
            <v>2025-07-01 00:00:00</v>
          </cell>
          <cell r="BL1094" t="str">
            <v>Airport EG-1199</v>
          </cell>
          <cell r="BM1094" t="str">
            <v>No</v>
          </cell>
          <cell r="BN1094" t="str">
            <v>No</v>
          </cell>
          <cell r="BO1094" t="str">
            <v>CPay-000000007</v>
          </cell>
        </row>
        <row r="1095">
          <cell r="B1095" t="str">
            <v>392858</v>
          </cell>
          <cell r="C1095" t="str">
            <v>6.0000000000000000</v>
          </cell>
          <cell r="E1095" t="str">
            <v>Cust</v>
          </cell>
          <cell r="G1095" t="str">
            <v>No</v>
          </cell>
          <cell r="H1095" t="str">
            <v>1900-01-01 00:00:00</v>
          </cell>
          <cell r="K1095" t="str">
            <v>M-P</v>
          </cell>
          <cell r="L1095" t="str">
            <v>855.000000</v>
          </cell>
          <cell r="AL1095" t="str">
            <v>392858</v>
          </cell>
          <cell r="BC1095" t="str">
            <v>Cust-PP</v>
          </cell>
          <cell r="BD1095" t="str">
            <v>2.0000000000000000</v>
          </cell>
          <cell r="BE1095" t="str">
            <v>.0000000000000000</v>
          </cell>
          <cell r="BF1095" t="str">
            <v>.0000000000000000</v>
          </cell>
          <cell r="BG1095" t="str">
            <v>None</v>
          </cell>
          <cell r="BK1095" t="str">
            <v>2025-07-01 00:00:00</v>
          </cell>
          <cell r="BL1095" t="str">
            <v>Airport EG-1198</v>
          </cell>
          <cell r="BM1095" t="str">
            <v>No</v>
          </cell>
          <cell r="BN1095" t="str">
            <v>No</v>
          </cell>
          <cell r="BO1095" t="str">
            <v>CPay-000000007</v>
          </cell>
        </row>
        <row r="1096">
          <cell r="B1096" t="str">
            <v>392979</v>
          </cell>
          <cell r="C1096" t="str">
            <v>7.0000000000000000</v>
          </cell>
          <cell r="E1096" t="str">
            <v>Cust</v>
          </cell>
          <cell r="G1096" t="str">
            <v>No</v>
          </cell>
          <cell r="H1096" t="str">
            <v>1900-01-01 00:00:00</v>
          </cell>
          <cell r="K1096" t="str">
            <v>M-P</v>
          </cell>
          <cell r="L1096" t="str">
            <v>2052.000000</v>
          </cell>
          <cell r="AL1096" t="str">
            <v>392979</v>
          </cell>
          <cell r="BC1096" t="str">
            <v>Cust-PP</v>
          </cell>
          <cell r="BD1096" t="str">
            <v>2.0000000000000000</v>
          </cell>
          <cell r="BE1096" t="str">
            <v>.0000000000000000</v>
          </cell>
          <cell r="BF1096" t="str">
            <v>.0000000000000000</v>
          </cell>
          <cell r="BG1096" t="str">
            <v>None</v>
          </cell>
          <cell r="BK1096" t="str">
            <v>2025-07-01 00:00:00</v>
          </cell>
          <cell r="BL1096" t="str">
            <v>Airport EG-1201</v>
          </cell>
          <cell r="BM1096" t="str">
            <v>No</v>
          </cell>
          <cell r="BN1096" t="str">
            <v>No</v>
          </cell>
          <cell r="BO1096" t="str">
            <v>CPay-000000007</v>
          </cell>
        </row>
        <row r="1097">
          <cell r="B1097" t="str">
            <v>393890</v>
          </cell>
          <cell r="C1097" t="str">
            <v>8.0000000000000000</v>
          </cell>
          <cell r="E1097" t="str">
            <v>Cust</v>
          </cell>
          <cell r="G1097" t="str">
            <v>No</v>
          </cell>
          <cell r="H1097" t="str">
            <v>1900-01-01 00:00:00</v>
          </cell>
          <cell r="K1097" t="str">
            <v>M-P</v>
          </cell>
          <cell r="L1097" t="str">
            <v>717.060000</v>
          </cell>
          <cell r="AL1097" t="str">
            <v>393890</v>
          </cell>
          <cell r="BC1097" t="str">
            <v>Cust-PP</v>
          </cell>
          <cell r="BD1097" t="str">
            <v>2.0000000000000000</v>
          </cell>
          <cell r="BE1097" t="str">
            <v>.0000000000000000</v>
          </cell>
          <cell r="BF1097" t="str">
            <v>.0000000000000000</v>
          </cell>
          <cell r="BG1097" t="str">
            <v>None</v>
          </cell>
          <cell r="BK1097" t="str">
            <v>2025-07-01 00:00:00</v>
          </cell>
          <cell r="BL1097" t="str">
            <v>Airport EG-1205</v>
          </cell>
          <cell r="BM1097" t="str">
            <v>No</v>
          </cell>
          <cell r="BN1097" t="str">
            <v>No</v>
          </cell>
          <cell r="BO1097" t="str">
            <v>CPay-000000007</v>
          </cell>
        </row>
        <row r="1098">
          <cell r="B1098" t="str">
            <v>390807</v>
          </cell>
          <cell r="C1098" t="str">
            <v>9.0000000000000000</v>
          </cell>
          <cell r="E1098" t="str">
            <v>Cust</v>
          </cell>
          <cell r="G1098" t="str">
            <v>No</v>
          </cell>
          <cell r="H1098" t="str">
            <v>1900-01-01 00:00:00</v>
          </cell>
          <cell r="K1098" t="str">
            <v>M-P</v>
          </cell>
          <cell r="L1098" t="str">
            <v>296.400000</v>
          </cell>
          <cell r="AL1098" t="str">
            <v>390807</v>
          </cell>
          <cell r="BC1098" t="str">
            <v>Cust-PP</v>
          </cell>
          <cell r="BD1098" t="str">
            <v>2.0000000000000000</v>
          </cell>
          <cell r="BE1098" t="str">
            <v>.0000000000000000</v>
          </cell>
          <cell r="BF1098" t="str">
            <v>.0000000000000000</v>
          </cell>
          <cell r="BG1098" t="str">
            <v>None</v>
          </cell>
          <cell r="BK1098" t="str">
            <v>2025-07-02 00:00:00</v>
          </cell>
          <cell r="BL1098" t="str">
            <v>Airport EG-1213</v>
          </cell>
          <cell r="BM1098" t="str">
            <v>No</v>
          </cell>
          <cell r="BN1098" t="str">
            <v>No</v>
          </cell>
          <cell r="BO1098" t="str">
            <v>CPay-000000007</v>
          </cell>
        </row>
        <row r="1099">
          <cell r="B1099" t="str">
            <v>391059</v>
          </cell>
          <cell r="C1099" t="str">
            <v>10.0000000000000000</v>
          </cell>
          <cell r="E1099" t="str">
            <v>Cust</v>
          </cell>
          <cell r="G1099" t="str">
            <v>No</v>
          </cell>
          <cell r="H1099" t="str">
            <v>1900-01-01 00:00:00</v>
          </cell>
          <cell r="K1099" t="str">
            <v>M-P</v>
          </cell>
          <cell r="L1099" t="str">
            <v>1653.000000</v>
          </cell>
          <cell r="AL1099" t="str">
            <v>391059</v>
          </cell>
          <cell r="BC1099" t="str">
            <v>Cust-PP</v>
          </cell>
          <cell r="BD1099" t="str">
            <v>2.0000000000000000</v>
          </cell>
          <cell r="BE1099" t="str">
            <v>.0000000000000000</v>
          </cell>
          <cell r="BF1099" t="str">
            <v>.0000000000000000</v>
          </cell>
          <cell r="BG1099" t="str">
            <v>None</v>
          </cell>
          <cell r="BK1099" t="str">
            <v>2025-07-02 00:00:00</v>
          </cell>
          <cell r="BL1099" t="str">
            <v>Airport EG-1219</v>
          </cell>
          <cell r="BM1099" t="str">
            <v>No</v>
          </cell>
          <cell r="BN1099" t="str">
            <v>No</v>
          </cell>
          <cell r="BO1099" t="str">
            <v>CPay-000000007</v>
          </cell>
        </row>
        <row r="1100">
          <cell r="B1100" t="str">
            <v>391067</v>
          </cell>
          <cell r="C1100" t="str">
            <v>11.0000000000000000</v>
          </cell>
          <cell r="E1100" t="str">
            <v>Cust</v>
          </cell>
          <cell r="G1100" t="str">
            <v>No</v>
          </cell>
          <cell r="H1100" t="str">
            <v>1900-01-01 00:00:00</v>
          </cell>
          <cell r="K1100" t="str">
            <v>M-P</v>
          </cell>
          <cell r="L1100" t="str">
            <v>1140.000000</v>
          </cell>
          <cell r="AL1100" t="str">
            <v>391067</v>
          </cell>
          <cell r="BC1100" t="str">
            <v>Cust-PP</v>
          </cell>
          <cell r="BD1100" t="str">
            <v>2.0000000000000000</v>
          </cell>
          <cell r="BE1100" t="str">
            <v>.0000000000000000</v>
          </cell>
          <cell r="BF1100" t="str">
            <v>.0000000000000000</v>
          </cell>
          <cell r="BG1100" t="str">
            <v>None</v>
          </cell>
          <cell r="BK1100" t="str">
            <v>2025-07-02 00:00:00</v>
          </cell>
          <cell r="BL1100" t="str">
            <v>Airport EG-1210</v>
          </cell>
          <cell r="BM1100" t="str">
            <v>No</v>
          </cell>
          <cell r="BN1100" t="str">
            <v>No</v>
          </cell>
          <cell r="BO1100" t="str">
            <v>CPay-000000007</v>
          </cell>
        </row>
        <row r="1101">
          <cell r="B1101" t="str">
            <v>391522</v>
          </cell>
          <cell r="C1101" t="str">
            <v>12.0000000000000000</v>
          </cell>
          <cell r="E1101" t="str">
            <v>Cust</v>
          </cell>
          <cell r="G1101" t="str">
            <v>No</v>
          </cell>
          <cell r="H1101" t="str">
            <v>1900-01-01 00:00:00</v>
          </cell>
          <cell r="K1101" t="str">
            <v>M-P</v>
          </cell>
          <cell r="L1101" t="str">
            <v>1653.000000</v>
          </cell>
          <cell r="AL1101" t="str">
            <v>391522</v>
          </cell>
          <cell r="BC1101" t="str">
            <v>Cust-PP</v>
          </cell>
          <cell r="BD1101" t="str">
            <v>2.0000000000000000</v>
          </cell>
          <cell r="BE1101" t="str">
            <v>.0000000000000000</v>
          </cell>
          <cell r="BF1101" t="str">
            <v>.0000000000000000</v>
          </cell>
          <cell r="BG1101" t="str">
            <v>None</v>
          </cell>
          <cell r="BK1101" t="str">
            <v>2025-07-02 00:00:00</v>
          </cell>
          <cell r="BL1101" t="str">
            <v>Airport EG-1206</v>
          </cell>
          <cell r="BM1101" t="str">
            <v>No</v>
          </cell>
          <cell r="BN1101" t="str">
            <v>No</v>
          </cell>
          <cell r="BO1101" t="str">
            <v>CPay-000000007</v>
          </cell>
        </row>
        <row r="1102">
          <cell r="B1102" t="str">
            <v>391645</v>
          </cell>
          <cell r="C1102" t="str">
            <v>13.0000000000000000</v>
          </cell>
          <cell r="E1102" t="str">
            <v>Cust</v>
          </cell>
          <cell r="G1102" t="str">
            <v>No</v>
          </cell>
          <cell r="H1102" t="str">
            <v>1900-01-01 00:00:00</v>
          </cell>
          <cell r="K1102" t="str">
            <v>M-P</v>
          </cell>
          <cell r="L1102" t="str">
            <v>541.500000</v>
          </cell>
          <cell r="AL1102" t="str">
            <v>391645</v>
          </cell>
          <cell r="BC1102" t="str">
            <v>Cust-PP</v>
          </cell>
          <cell r="BD1102" t="str">
            <v>2.0000000000000000</v>
          </cell>
          <cell r="BE1102" t="str">
            <v>.0000000000000000</v>
          </cell>
          <cell r="BF1102" t="str">
            <v>.0000000000000000</v>
          </cell>
          <cell r="BG1102" t="str">
            <v>None</v>
          </cell>
          <cell r="BK1102" t="str">
            <v>2025-07-02 00:00:00</v>
          </cell>
          <cell r="BL1102" t="str">
            <v>Airport EG-1220</v>
          </cell>
          <cell r="BM1102" t="str">
            <v>No</v>
          </cell>
          <cell r="BN1102" t="str">
            <v>No</v>
          </cell>
          <cell r="BO1102" t="str">
            <v>CPay-000000007</v>
          </cell>
        </row>
        <row r="1103">
          <cell r="B1103" t="str">
            <v>391792</v>
          </cell>
          <cell r="C1103" t="str">
            <v>14.0000000000000000</v>
          </cell>
          <cell r="E1103" t="str">
            <v>Cust</v>
          </cell>
          <cell r="G1103" t="str">
            <v>No</v>
          </cell>
          <cell r="H1103" t="str">
            <v>1900-01-01 00:00:00</v>
          </cell>
          <cell r="K1103" t="str">
            <v>M-P</v>
          </cell>
          <cell r="L1103" t="str">
            <v>541.500000</v>
          </cell>
          <cell r="AL1103" t="str">
            <v>391792</v>
          </cell>
          <cell r="BC1103" t="str">
            <v>Cust-PP</v>
          </cell>
          <cell r="BD1103" t="str">
            <v>2.0000000000000000</v>
          </cell>
          <cell r="BE1103" t="str">
            <v>.0000000000000000</v>
          </cell>
          <cell r="BF1103" t="str">
            <v>.0000000000000000</v>
          </cell>
          <cell r="BG1103" t="str">
            <v>None</v>
          </cell>
          <cell r="BK1103" t="str">
            <v>2025-07-02 00:00:00</v>
          </cell>
          <cell r="BL1103" t="str">
            <v>Airport EG-1215</v>
          </cell>
          <cell r="BM1103" t="str">
            <v>No</v>
          </cell>
          <cell r="BN1103" t="str">
            <v>No</v>
          </cell>
          <cell r="BO1103" t="str">
            <v>CPay-000000007</v>
          </cell>
        </row>
        <row r="1104">
          <cell r="B1104" t="str">
            <v>391824</v>
          </cell>
          <cell r="C1104" t="str">
            <v>15.0000000000000000</v>
          </cell>
          <cell r="E1104" t="str">
            <v>Cust</v>
          </cell>
          <cell r="G1104" t="str">
            <v>No</v>
          </cell>
          <cell r="H1104" t="str">
            <v>1900-01-01 00:00:00</v>
          </cell>
          <cell r="K1104" t="str">
            <v>M-P</v>
          </cell>
          <cell r="L1104" t="str">
            <v>1653.000000</v>
          </cell>
          <cell r="AL1104" t="str">
            <v>391824</v>
          </cell>
          <cell r="BC1104" t="str">
            <v>Cust-PP</v>
          </cell>
          <cell r="BD1104" t="str">
            <v>2.0000000000000000</v>
          </cell>
          <cell r="BE1104" t="str">
            <v>.0000000000000000</v>
          </cell>
          <cell r="BF1104" t="str">
            <v>.0000000000000000</v>
          </cell>
          <cell r="BG1104" t="str">
            <v>None</v>
          </cell>
          <cell r="BK1104" t="str">
            <v>2025-07-02 00:00:00</v>
          </cell>
          <cell r="BL1104" t="str">
            <v>Airport EG-1217</v>
          </cell>
          <cell r="BM1104" t="str">
            <v>No</v>
          </cell>
          <cell r="BN1104" t="str">
            <v>No</v>
          </cell>
          <cell r="BO1104" t="str">
            <v>CPay-000000007</v>
          </cell>
        </row>
        <row r="1105">
          <cell r="B1105" t="str">
            <v>392068</v>
          </cell>
          <cell r="C1105" t="str">
            <v>16.0000000000000000</v>
          </cell>
          <cell r="E1105" t="str">
            <v>Cust</v>
          </cell>
          <cell r="G1105" t="str">
            <v>No</v>
          </cell>
          <cell r="H1105" t="str">
            <v>1900-01-01 00:00:00</v>
          </cell>
          <cell r="K1105" t="str">
            <v>M-P</v>
          </cell>
          <cell r="L1105" t="str">
            <v>199.500000</v>
          </cell>
          <cell r="AL1105" t="str">
            <v>392068</v>
          </cell>
          <cell r="BC1105" t="str">
            <v>Cust-PP</v>
          </cell>
          <cell r="BD1105" t="str">
            <v>2.0000000000000000</v>
          </cell>
          <cell r="BE1105" t="str">
            <v>.0000000000000000</v>
          </cell>
          <cell r="BF1105" t="str">
            <v>.0000000000000000</v>
          </cell>
          <cell r="BG1105" t="str">
            <v>None</v>
          </cell>
          <cell r="BK1105" t="str">
            <v>2025-07-02 00:00:00</v>
          </cell>
          <cell r="BL1105" t="str">
            <v>Airport EG-1211</v>
          </cell>
          <cell r="BM1105" t="str">
            <v>No</v>
          </cell>
          <cell r="BN1105" t="str">
            <v>No</v>
          </cell>
          <cell r="BO1105" t="str">
            <v>CPay-000000007</v>
          </cell>
        </row>
        <row r="1106">
          <cell r="B1106" t="str">
            <v>392225</v>
          </cell>
          <cell r="C1106" t="str">
            <v>17.0000000000000000</v>
          </cell>
          <cell r="E1106" t="str">
            <v>Cust</v>
          </cell>
          <cell r="G1106" t="str">
            <v>No</v>
          </cell>
          <cell r="H1106" t="str">
            <v>1900-01-01 00:00:00</v>
          </cell>
          <cell r="K1106" t="str">
            <v>M-P</v>
          </cell>
          <cell r="L1106" t="str">
            <v>1653.000000</v>
          </cell>
          <cell r="AL1106" t="str">
            <v>392225</v>
          </cell>
          <cell r="BC1106" t="str">
            <v>Cust-PP</v>
          </cell>
          <cell r="BD1106" t="str">
            <v>2.0000000000000000</v>
          </cell>
          <cell r="BE1106" t="str">
            <v>.0000000000000000</v>
          </cell>
          <cell r="BF1106" t="str">
            <v>.0000000000000000</v>
          </cell>
          <cell r="BG1106" t="str">
            <v>None</v>
          </cell>
          <cell r="BK1106" t="str">
            <v>2025-07-02 00:00:00</v>
          </cell>
          <cell r="BL1106" t="str">
            <v>Airport EG-1208</v>
          </cell>
          <cell r="BM1106" t="str">
            <v>No</v>
          </cell>
          <cell r="BN1106" t="str">
            <v>No</v>
          </cell>
          <cell r="BO1106" t="str">
            <v>CPay-000000007</v>
          </cell>
        </row>
        <row r="1107">
          <cell r="B1107" t="str">
            <v>392464</v>
          </cell>
          <cell r="C1107" t="str">
            <v>18.0000000000000000</v>
          </cell>
          <cell r="E1107" t="str">
            <v>Cust</v>
          </cell>
          <cell r="G1107" t="str">
            <v>No</v>
          </cell>
          <cell r="H1107" t="str">
            <v>1900-01-01 00:00:00</v>
          </cell>
          <cell r="K1107" t="str">
            <v>M-P</v>
          </cell>
          <cell r="L1107" t="str">
            <v>1653.000000</v>
          </cell>
          <cell r="AL1107" t="str">
            <v>392464</v>
          </cell>
          <cell r="BC1107" t="str">
            <v>Cust-PP</v>
          </cell>
          <cell r="BD1107" t="str">
            <v>2.0000000000000000</v>
          </cell>
          <cell r="BE1107" t="str">
            <v>.0000000000000000</v>
          </cell>
          <cell r="BF1107" t="str">
            <v>.0000000000000000</v>
          </cell>
          <cell r="BG1107" t="str">
            <v>None</v>
          </cell>
          <cell r="BK1107" t="str">
            <v>2025-07-02 00:00:00</v>
          </cell>
          <cell r="BL1107" t="str">
            <v>Airport EG-1214</v>
          </cell>
          <cell r="BM1107" t="str">
            <v>No</v>
          </cell>
          <cell r="BN1107" t="str">
            <v>No</v>
          </cell>
          <cell r="BO1107" t="str">
            <v>CPay-000000007</v>
          </cell>
        </row>
        <row r="1108">
          <cell r="B1108" t="str">
            <v>392590</v>
          </cell>
          <cell r="C1108" t="str">
            <v>19.0000000000000000</v>
          </cell>
          <cell r="E1108" t="str">
            <v>Cust</v>
          </cell>
          <cell r="G1108" t="str">
            <v>No</v>
          </cell>
          <cell r="H1108" t="str">
            <v>1900-01-01 00:00:00</v>
          </cell>
          <cell r="K1108" t="str">
            <v>M-P</v>
          </cell>
          <cell r="L1108" t="str">
            <v>383.270000</v>
          </cell>
          <cell r="AL1108" t="str">
            <v>392590</v>
          </cell>
          <cell r="BC1108" t="str">
            <v>Cust-PP</v>
          </cell>
          <cell r="BD1108" t="str">
            <v>2.0000000000000000</v>
          </cell>
          <cell r="BE1108" t="str">
            <v>.0000000000000000</v>
          </cell>
          <cell r="BF1108" t="str">
            <v>.0000000000000000</v>
          </cell>
          <cell r="BG1108" t="str">
            <v>None</v>
          </cell>
          <cell r="BK1108" t="str">
            <v>2025-07-02 00:00:00</v>
          </cell>
          <cell r="BL1108" t="str">
            <v>Airport EG-1207</v>
          </cell>
          <cell r="BM1108" t="str">
            <v>No</v>
          </cell>
          <cell r="BN1108" t="str">
            <v>No</v>
          </cell>
          <cell r="BO1108" t="str">
            <v>CPay-000000007</v>
          </cell>
        </row>
        <row r="1109">
          <cell r="B1109" t="str">
            <v>393545</v>
          </cell>
          <cell r="C1109" t="str">
            <v>20.0000000000000000</v>
          </cell>
          <cell r="E1109" t="str">
            <v>Cust</v>
          </cell>
          <cell r="G1109" t="str">
            <v>No</v>
          </cell>
          <cell r="H1109" t="str">
            <v>1900-01-01 00:00:00</v>
          </cell>
          <cell r="K1109" t="str">
            <v>M-P</v>
          </cell>
          <cell r="L1109" t="str">
            <v>1140.000000</v>
          </cell>
          <cell r="AL1109" t="str">
            <v>393545</v>
          </cell>
          <cell r="BC1109" t="str">
            <v>Cust-PP</v>
          </cell>
          <cell r="BD1109" t="str">
            <v>2.0000000000000000</v>
          </cell>
          <cell r="BE1109" t="str">
            <v>.0000000000000000</v>
          </cell>
          <cell r="BF1109" t="str">
            <v>.0000000000000000</v>
          </cell>
          <cell r="BG1109" t="str">
            <v>None</v>
          </cell>
          <cell r="BK1109" t="str">
            <v>2025-07-02 00:00:00</v>
          </cell>
          <cell r="BL1109" t="str">
            <v>Airport EG-1212</v>
          </cell>
          <cell r="BM1109" t="str">
            <v>No</v>
          </cell>
          <cell r="BN1109" t="str">
            <v>No</v>
          </cell>
          <cell r="BO1109" t="str">
            <v>CPay-000000007</v>
          </cell>
        </row>
        <row r="1110">
          <cell r="B1110" t="str">
            <v>393709</v>
          </cell>
          <cell r="C1110" t="str">
            <v>21.0000000000000000</v>
          </cell>
          <cell r="E1110" t="str">
            <v>Cust</v>
          </cell>
          <cell r="G1110" t="str">
            <v>No</v>
          </cell>
          <cell r="H1110" t="str">
            <v>1900-01-01 00:00:00</v>
          </cell>
          <cell r="K1110" t="str">
            <v>M-P</v>
          </cell>
          <cell r="L1110" t="str">
            <v>296.400000</v>
          </cell>
          <cell r="AL1110" t="str">
            <v>393709</v>
          </cell>
          <cell r="BC1110" t="str">
            <v>Cust-PP</v>
          </cell>
          <cell r="BD1110" t="str">
            <v>2.0000000000000000</v>
          </cell>
          <cell r="BE1110" t="str">
            <v>.0000000000000000</v>
          </cell>
          <cell r="BF1110" t="str">
            <v>.0000000000000000</v>
          </cell>
          <cell r="BG1110" t="str">
            <v>None</v>
          </cell>
          <cell r="BK1110" t="str">
            <v>2025-07-02 00:00:00</v>
          </cell>
          <cell r="BL1110" t="str">
            <v>Airport EG-1209</v>
          </cell>
          <cell r="BM1110" t="str">
            <v>No</v>
          </cell>
          <cell r="BN1110" t="str">
            <v>No</v>
          </cell>
          <cell r="BO1110" t="str">
            <v>CPay-000000007</v>
          </cell>
        </row>
        <row r="1111">
          <cell r="B1111" t="str">
            <v>393943</v>
          </cell>
          <cell r="C1111" t="str">
            <v>22.0000000000000000</v>
          </cell>
          <cell r="E1111" t="str">
            <v>Cust</v>
          </cell>
          <cell r="G1111" t="str">
            <v>No</v>
          </cell>
          <cell r="H1111" t="str">
            <v>1900-01-01 00:00:00</v>
          </cell>
          <cell r="K1111" t="str">
            <v>M-P</v>
          </cell>
          <cell r="L1111" t="str">
            <v>370.500000</v>
          </cell>
          <cell r="AL1111" t="str">
            <v>393943</v>
          </cell>
          <cell r="BC1111" t="str">
            <v>Cust-PP</v>
          </cell>
          <cell r="BD1111" t="str">
            <v>2.0000000000000000</v>
          </cell>
          <cell r="BE1111" t="str">
            <v>.0000000000000000</v>
          </cell>
          <cell r="BF1111" t="str">
            <v>.0000000000000000</v>
          </cell>
          <cell r="BG1111" t="str">
            <v>None</v>
          </cell>
          <cell r="BK1111" t="str">
            <v>2025-07-02 00:00:00</v>
          </cell>
          <cell r="BL1111" t="str">
            <v>Airport EG-1218</v>
          </cell>
          <cell r="BM1111" t="str">
            <v>No</v>
          </cell>
          <cell r="BN1111" t="str">
            <v>No</v>
          </cell>
          <cell r="BO1111" t="str">
            <v>CPay-000000007</v>
          </cell>
        </row>
        <row r="1112">
          <cell r="B1112" t="str">
            <v>392513</v>
          </cell>
          <cell r="C1112" t="str">
            <v>23.0000000000000000</v>
          </cell>
          <cell r="E1112" t="str">
            <v>Cust</v>
          </cell>
          <cell r="G1112" t="str">
            <v>No</v>
          </cell>
          <cell r="H1112" t="str">
            <v>1900-01-01 00:00:00</v>
          </cell>
          <cell r="K1112" t="str">
            <v>M-P</v>
          </cell>
          <cell r="L1112" t="str">
            <v>1653.000000</v>
          </cell>
          <cell r="AL1112" t="str">
            <v>392513</v>
          </cell>
          <cell r="BC1112" t="str">
            <v>Cust-PP</v>
          </cell>
          <cell r="BD1112" t="str">
            <v>2.0000000000000000</v>
          </cell>
          <cell r="BE1112" t="str">
            <v>.0000000000000000</v>
          </cell>
          <cell r="BF1112" t="str">
            <v>.0000000000000000</v>
          </cell>
          <cell r="BG1112" t="str">
            <v>None</v>
          </cell>
          <cell r="BK1112" t="str">
            <v>2025-07-05 00:00:00</v>
          </cell>
          <cell r="BL1112" t="str">
            <v>Airport EG-1221</v>
          </cell>
          <cell r="BM1112" t="str">
            <v>No</v>
          </cell>
          <cell r="BN1112" t="str">
            <v>No</v>
          </cell>
          <cell r="BO1112" t="str">
            <v>CPay-000000007</v>
          </cell>
        </row>
        <row r="1113">
          <cell r="B1113" t="str">
            <v>392738</v>
          </cell>
          <cell r="C1113" t="str">
            <v>24.0000000000000000</v>
          </cell>
          <cell r="E1113" t="str">
            <v>Cust</v>
          </cell>
          <cell r="G1113" t="str">
            <v>No</v>
          </cell>
          <cell r="H1113" t="str">
            <v>1900-01-01 00:00:00</v>
          </cell>
          <cell r="K1113" t="str">
            <v>M-P</v>
          </cell>
          <cell r="L1113" t="str">
            <v>1653.000000</v>
          </cell>
          <cell r="AL1113" t="str">
            <v>392738</v>
          </cell>
          <cell r="BC1113" t="str">
            <v>Cust-PP</v>
          </cell>
          <cell r="BD1113" t="str">
            <v>2.0000000000000000</v>
          </cell>
          <cell r="BE1113" t="str">
            <v>.0000000000000000</v>
          </cell>
          <cell r="BF1113" t="str">
            <v>.0000000000000000</v>
          </cell>
          <cell r="BG1113" t="str">
            <v>None</v>
          </cell>
          <cell r="BK1113" t="str">
            <v>2025-07-05 00:00:00</v>
          </cell>
          <cell r="BL1113" t="str">
            <v>Airport EG-1223</v>
          </cell>
          <cell r="BM1113" t="str">
            <v>No</v>
          </cell>
          <cell r="BN1113" t="str">
            <v>No</v>
          </cell>
          <cell r="BO1113" t="str">
            <v>CPay-000000007</v>
          </cell>
        </row>
        <row r="1114">
          <cell r="B1114" t="str">
            <v>393798</v>
          </cell>
          <cell r="C1114" t="str">
            <v>25.0000000000000000</v>
          </cell>
          <cell r="E1114" t="str">
            <v>Cust</v>
          </cell>
          <cell r="G1114" t="str">
            <v>No</v>
          </cell>
          <cell r="H1114" t="str">
            <v>1900-01-01 00:00:00</v>
          </cell>
          <cell r="K1114" t="str">
            <v>M-P</v>
          </cell>
          <cell r="L1114" t="str">
            <v>285.000000</v>
          </cell>
          <cell r="AL1114" t="str">
            <v>393798</v>
          </cell>
          <cell r="BC1114" t="str">
            <v>Cust-PP</v>
          </cell>
          <cell r="BD1114" t="str">
            <v>2.0000000000000000</v>
          </cell>
          <cell r="BE1114" t="str">
            <v>.0000000000000000</v>
          </cell>
          <cell r="BF1114" t="str">
            <v>.0000000000000000</v>
          </cell>
          <cell r="BG1114" t="str">
            <v>None</v>
          </cell>
          <cell r="BK1114" t="str">
            <v>2025-07-05 00:00:00</v>
          </cell>
          <cell r="BL1114" t="str">
            <v>Airport EG-1224</v>
          </cell>
          <cell r="BM1114" t="str">
            <v>No</v>
          </cell>
          <cell r="BN1114" t="str">
            <v>No</v>
          </cell>
          <cell r="BO1114" t="str">
            <v>CPay-000000007</v>
          </cell>
        </row>
        <row r="1115">
          <cell r="B1115" t="str">
            <v>394010</v>
          </cell>
          <cell r="C1115" t="str">
            <v>26.0000000000000000</v>
          </cell>
          <cell r="E1115" t="str">
            <v>Cust</v>
          </cell>
          <cell r="G1115" t="str">
            <v>No</v>
          </cell>
          <cell r="H1115" t="str">
            <v>1900-01-01 00:00:00</v>
          </cell>
          <cell r="K1115" t="str">
            <v>M-P</v>
          </cell>
          <cell r="L1115" t="str">
            <v>512.540000</v>
          </cell>
          <cell r="AL1115" t="str">
            <v>394010</v>
          </cell>
          <cell r="BC1115" t="str">
            <v>Cust-PP</v>
          </cell>
          <cell r="BD1115" t="str">
            <v>2.0000000000000000</v>
          </cell>
          <cell r="BE1115" t="str">
            <v>.0000000000000000</v>
          </cell>
          <cell r="BF1115" t="str">
            <v>.0000000000000000</v>
          </cell>
          <cell r="BG1115" t="str">
            <v>None</v>
          </cell>
          <cell r="BK1115" t="str">
            <v>2025-07-05 00:00:00</v>
          </cell>
          <cell r="BL1115" t="str">
            <v>Airport EG-1222</v>
          </cell>
          <cell r="BM1115" t="str">
            <v>No</v>
          </cell>
          <cell r="BN1115" t="str">
            <v>No</v>
          </cell>
          <cell r="BO1115" t="str">
            <v>CPay-000000007</v>
          </cell>
        </row>
        <row r="1116">
          <cell r="B1116" t="str">
            <v>390818</v>
          </cell>
          <cell r="C1116" t="str">
            <v>27.0000000000000000</v>
          </cell>
          <cell r="E1116" t="str">
            <v>Cust</v>
          </cell>
          <cell r="G1116" t="str">
            <v>No</v>
          </cell>
          <cell r="H1116" t="str">
            <v>1900-01-01 00:00:00</v>
          </cell>
          <cell r="K1116" t="str">
            <v>M-P</v>
          </cell>
          <cell r="L1116" t="str">
            <v>456.000000</v>
          </cell>
          <cell r="AL1116" t="str">
            <v>390818</v>
          </cell>
          <cell r="BC1116" t="str">
            <v>Cust-PP</v>
          </cell>
          <cell r="BD1116" t="str">
            <v>2.0000000000000000</v>
          </cell>
          <cell r="BE1116" t="str">
            <v>.0000000000000000</v>
          </cell>
          <cell r="BF1116" t="str">
            <v>.0000000000000000</v>
          </cell>
          <cell r="BG1116" t="str">
            <v>None</v>
          </cell>
          <cell r="BK1116" t="str">
            <v>2025-07-06 00:00:00</v>
          </cell>
          <cell r="BL1116" t="str">
            <v>Airport EG-1233</v>
          </cell>
          <cell r="BM1116" t="str">
            <v>No</v>
          </cell>
          <cell r="BN1116" t="str">
            <v>No</v>
          </cell>
          <cell r="BO1116" t="str">
            <v>CPay-000000007</v>
          </cell>
        </row>
        <row r="1117">
          <cell r="B1117" t="str">
            <v>391055</v>
          </cell>
          <cell r="C1117" t="str">
            <v>28.0000000000000000</v>
          </cell>
          <cell r="E1117" t="str">
            <v>Cust</v>
          </cell>
          <cell r="G1117" t="str">
            <v>No</v>
          </cell>
          <cell r="H1117" t="str">
            <v>1900-01-01 00:00:00</v>
          </cell>
          <cell r="K1117" t="str">
            <v>M-P</v>
          </cell>
          <cell r="L1117" t="str">
            <v>1653.000000</v>
          </cell>
          <cell r="AL1117" t="str">
            <v>391055</v>
          </cell>
          <cell r="BC1117" t="str">
            <v>Cust-PP</v>
          </cell>
          <cell r="BD1117" t="str">
            <v>2.0000000000000000</v>
          </cell>
          <cell r="BE1117" t="str">
            <v>.0000000000000000</v>
          </cell>
          <cell r="BF1117" t="str">
            <v>.0000000000000000</v>
          </cell>
          <cell r="BG1117" t="str">
            <v>None</v>
          </cell>
          <cell r="BK1117" t="str">
            <v>2025-07-06 00:00:00</v>
          </cell>
          <cell r="BL1117" t="str">
            <v>Airport EG-1236</v>
          </cell>
          <cell r="BM1117" t="str">
            <v>No</v>
          </cell>
          <cell r="BN1117" t="str">
            <v>No</v>
          </cell>
          <cell r="BO1117" t="str">
            <v>CPay-000000007</v>
          </cell>
        </row>
        <row r="1118">
          <cell r="B1118" t="str">
            <v>391253</v>
          </cell>
          <cell r="C1118" t="str">
            <v>29.0000000000000000</v>
          </cell>
          <cell r="E1118" t="str">
            <v>Cust</v>
          </cell>
          <cell r="G1118" t="str">
            <v>No</v>
          </cell>
          <cell r="H1118" t="str">
            <v>1900-01-01 00:00:00</v>
          </cell>
          <cell r="K1118" t="str">
            <v>M-P</v>
          </cell>
          <cell r="L1118" t="str">
            <v>1486.560000</v>
          </cell>
          <cell r="AL1118" t="str">
            <v>391253</v>
          </cell>
          <cell r="BC1118" t="str">
            <v>Cust-PP</v>
          </cell>
          <cell r="BD1118" t="str">
            <v>2.0000000000000000</v>
          </cell>
          <cell r="BE1118" t="str">
            <v>.0000000000000000</v>
          </cell>
          <cell r="BF1118" t="str">
            <v>.0000000000000000</v>
          </cell>
          <cell r="BG1118" t="str">
            <v>None</v>
          </cell>
          <cell r="BK1118" t="str">
            <v>2025-07-06 00:00:00</v>
          </cell>
          <cell r="BL1118" t="str">
            <v>Airport EG-1229</v>
          </cell>
          <cell r="BM1118" t="str">
            <v>No</v>
          </cell>
          <cell r="BN1118" t="str">
            <v>No</v>
          </cell>
          <cell r="BO1118" t="str">
            <v>CPay-000000007</v>
          </cell>
        </row>
        <row r="1119">
          <cell r="B1119" t="str">
            <v>391420</v>
          </cell>
          <cell r="C1119" t="str">
            <v>30.0000000000000000</v>
          </cell>
          <cell r="E1119" t="str">
            <v>Cust</v>
          </cell>
          <cell r="G1119" t="str">
            <v>No</v>
          </cell>
          <cell r="H1119" t="str">
            <v>1900-01-01 00:00:00</v>
          </cell>
          <cell r="K1119" t="str">
            <v>M-P</v>
          </cell>
          <cell r="L1119" t="str">
            <v>285.000000</v>
          </cell>
          <cell r="AL1119" t="str">
            <v>391420</v>
          </cell>
          <cell r="BC1119" t="str">
            <v>Cust-PP</v>
          </cell>
          <cell r="BD1119" t="str">
            <v>2.0000000000000000</v>
          </cell>
          <cell r="BE1119" t="str">
            <v>.0000000000000000</v>
          </cell>
          <cell r="BF1119" t="str">
            <v>.0000000000000000</v>
          </cell>
          <cell r="BG1119" t="str">
            <v>None</v>
          </cell>
          <cell r="BK1119" t="str">
            <v>2025-07-06 00:00:00</v>
          </cell>
          <cell r="BL1119" t="str">
            <v>Airport EG-1227</v>
          </cell>
          <cell r="BM1119" t="str">
            <v>No</v>
          </cell>
          <cell r="BN1119" t="str">
            <v>No</v>
          </cell>
          <cell r="BO1119" t="str">
            <v>CPay-000000007</v>
          </cell>
        </row>
        <row r="1120">
          <cell r="B1120" t="str">
            <v>391484</v>
          </cell>
          <cell r="C1120" t="str">
            <v>31.0000000000000000</v>
          </cell>
          <cell r="E1120" t="str">
            <v>Cust</v>
          </cell>
          <cell r="G1120" t="str">
            <v>No</v>
          </cell>
          <cell r="H1120" t="str">
            <v>1900-01-01 00:00:00</v>
          </cell>
          <cell r="K1120" t="str">
            <v>M-P</v>
          </cell>
          <cell r="L1120" t="str">
            <v>1653.000000</v>
          </cell>
          <cell r="AL1120" t="str">
            <v>391484</v>
          </cell>
          <cell r="BC1120" t="str">
            <v>Cust-PP</v>
          </cell>
          <cell r="BD1120" t="str">
            <v>2.0000000000000000</v>
          </cell>
          <cell r="BE1120" t="str">
            <v>.0000000000000000</v>
          </cell>
          <cell r="BF1120" t="str">
            <v>.0000000000000000</v>
          </cell>
          <cell r="BG1120" t="str">
            <v>None</v>
          </cell>
          <cell r="BK1120" t="str">
            <v>2025-07-06 00:00:00</v>
          </cell>
          <cell r="BL1120" t="str">
            <v>Airport EG-1230</v>
          </cell>
          <cell r="BM1120" t="str">
            <v>No</v>
          </cell>
          <cell r="BN1120" t="str">
            <v>No</v>
          </cell>
          <cell r="BO1120" t="str">
            <v>CPay-000000007</v>
          </cell>
        </row>
        <row r="1121">
          <cell r="B1121" t="str">
            <v>392083</v>
          </cell>
          <cell r="C1121" t="str">
            <v>32.0000000000000000</v>
          </cell>
          <cell r="E1121" t="str">
            <v>Cust</v>
          </cell>
          <cell r="G1121" t="str">
            <v>No</v>
          </cell>
          <cell r="H1121" t="str">
            <v>1900-01-01 00:00:00</v>
          </cell>
          <cell r="K1121" t="str">
            <v>M-P</v>
          </cell>
          <cell r="L1121" t="str">
            <v>370.500000</v>
          </cell>
          <cell r="AL1121" t="str">
            <v>392083</v>
          </cell>
          <cell r="BC1121" t="str">
            <v>Cust-PP</v>
          </cell>
          <cell r="BD1121" t="str">
            <v>2.0000000000000000</v>
          </cell>
          <cell r="BE1121" t="str">
            <v>.0000000000000000</v>
          </cell>
          <cell r="BF1121" t="str">
            <v>.0000000000000000</v>
          </cell>
          <cell r="BG1121" t="str">
            <v>None</v>
          </cell>
          <cell r="BK1121" t="str">
            <v>2025-07-06 00:00:00</v>
          </cell>
          <cell r="BL1121" t="str">
            <v>Airport EG-1237</v>
          </cell>
          <cell r="BM1121" t="str">
            <v>No</v>
          </cell>
          <cell r="BN1121" t="str">
            <v>No</v>
          </cell>
          <cell r="BO1121" t="str">
            <v>CPay-000000007</v>
          </cell>
        </row>
        <row r="1122">
          <cell r="B1122" t="str">
            <v>392136</v>
          </cell>
          <cell r="C1122" t="str">
            <v>33.0000000000000000</v>
          </cell>
          <cell r="E1122" t="str">
            <v>Cust</v>
          </cell>
          <cell r="G1122" t="str">
            <v>No</v>
          </cell>
          <cell r="H1122" t="str">
            <v>1900-01-01 00:00:00</v>
          </cell>
          <cell r="K1122" t="str">
            <v>M-P</v>
          </cell>
          <cell r="L1122" t="str">
            <v>1653.000000</v>
          </cell>
          <cell r="AL1122" t="str">
            <v>392136</v>
          </cell>
          <cell r="BC1122" t="str">
            <v>Cust-PP</v>
          </cell>
          <cell r="BD1122" t="str">
            <v>2.0000000000000000</v>
          </cell>
          <cell r="BE1122" t="str">
            <v>.0000000000000000</v>
          </cell>
          <cell r="BF1122" t="str">
            <v>.0000000000000000</v>
          </cell>
          <cell r="BG1122" t="str">
            <v>None</v>
          </cell>
          <cell r="BK1122" t="str">
            <v>2025-07-06 00:00:00</v>
          </cell>
          <cell r="BL1122" t="str">
            <v>Airport EG-1228</v>
          </cell>
          <cell r="BM1122" t="str">
            <v>No</v>
          </cell>
          <cell r="BN1122" t="str">
            <v>No</v>
          </cell>
          <cell r="BO1122" t="str">
            <v>CPay-000000007</v>
          </cell>
        </row>
        <row r="1123">
          <cell r="B1123" t="str">
            <v>392259</v>
          </cell>
          <cell r="C1123" t="str">
            <v>34.0000000000000000</v>
          </cell>
          <cell r="E1123" t="str">
            <v>Cust</v>
          </cell>
          <cell r="G1123" t="str">
            <v>No</v>
          </cell>
          <cell r="H1123" t="str">
            <v>1900-01-01 00:00:00</v>
          </cell>
          <cell r="K1123" t="str">
            <v>M-P</v>
          </cell>
          <cell r="L1123" t="str">
            <v>2052.000000</v>
          </cell>
          <cell r="AL1123" t="str">
            <v>392259</v>
          </cell>
          <cell r="BC1123" t="str">
            <v>Cust-PP</v>
          </cell>
          <cell r="BD1123" t="str">
            <v>2.0000000000000000</v>
          </cell>
          <cell r="BE1123" t="str">
            <v>.0000000000000000</v>
          </cell>
          <cell r="BF1123" t="str">
            <v>.0000000000000000</v>
          </cell>
          <cell r="BG1123" t="str">
            <v>None</v>
          </cell>
          <cell r="BK1123" t="str">
            <v>2025-07-06 00:00:00</v>
          </cell>
          <cell r="BL1123" t="str">
            <v>Airport EG-1234</v>
          </cell>
          <cell r="BM1123" t="str">
            <v>No</v>
          </cell>
          <cell r="BN1123" t="str">
            <v>No</v>
          </cell>
          <cell r="BO1123" t="str">
            <v>CPay-000000007</v>
          </cell>
        </row>
        <row r="1124">
          <cell r="B1124" t="str">
            <v>392476</v>
          </cell>
          <cell r="C1124" t="str">
            <v>35.0000000000000000</v>
          </cell>
          <cell r="E1124" t="str">
            <v>Cust</v>
          </cell>
          <cell r="G1124" t="str">
            <v>No</v>
          </cell>
          <cell r="H1124" t="str">
            <v>1900-01-01 00:00:00</v>
          </cell>
          <cell r="K1124" t="str">
            <v>M-P</v>
          </cell>
          <cell r="L1124" t="str">
            <v>1997.510000</v>
          </cell>
          <cell r="AL1124" t="str">
            <v>392476</v>
          </cell>
          <cell r="BC1124" t="str">
            <v>Cust-PP</v>
          </cell>
          <cell r="BD1124" t="str">
            <v>2.0000000000000000</v>
          </cell>
          <cell r="BE1124" t="str">
            <v>.0000000000000000</v>
          </cell>
          <cell r="BF1124" t="str">
            <v>.0000000000000000</v>
          </cell>
          <cell r="BG1124" t="str">
            <v>None</v>
          </cell>
          <cell r="BK1124" t="str">
            <v>2025-07-06 00:00:00</v>
          </cell>
          <cell r="BL1124" t="str">
            <v>Airport EG-1231</v>
          </cell>
          <cell r="BM1124" t="str">
            <v>No</v>
          </cell>
          <cell r="BN1124" t="str">
            <v>No</v>
          </cell>
          <cell r="BO1124" t="str">
            <v>CPay-000000007</v>
          </cell>
        </row>
        <row r="1125">
          <cell r="B1125" t="str">
            <v>392905</v>
          </cell>
          <cell r="C1125" t="str">
            <v>36.0000000000000000</v>
          </cell>
          <cell r="E1125" t="str">
            <v>Cust</v>
          </cell>
          <cell r="G1125" t="str">
            <v>No</v>
          </cell>
          <cell r="H1125" t="str">
            <v>1900-01-01 00:00:00</v>
          </cell>
          <cell r="K1125" t="str">
            <v>M-P</v>
          </cell>
          <cell r="L1125" t="str">
            <v>199.500000</v>
          </cell>
          <cell r="AL1125" t="str">
            <v>392905</v>
          </cell>
          <cell r="BC1125" t="str">
            <v>Cust-PP</v>
          </cell>
          <cell r="BD1125" t="str">
            <v>2.0000000000000000</v>
          </cell>
          <cell r="BE1125" t="str">
            <v>.0000000000000000</v>
          </cell>
          <cell r="BF1125" t="str">
            <v>.0000000000000000</v>
          </cell>
          <cell r="BG1125" t="str">
            <v>None</v>
          </cell>
          <cell r="BK1125" t="str">
            <v>2025-07-06 00:00:00</v>
          </cell>
          <cell r="BL1125" t="str">
            <v>Airport EG-1235</v>
          </cell>
          <cell r="BM1125" t="str">
            <v>No</v>
          </cell>
          <cell r="BN1125" t="str">
            <v>No</v>
          </cell>
          <cell r="BO1125" t="str">
            <v>CPay-000000007</v>
          </cell>
        </row>
        <row r="1126">
          <cell r="B1126" t="str">
            <v>393107</v>
          </cell>
          <cell r="C1126" t="str">
            <v>37.0000000000000000</v>
          </cell>
          <cell r="E1126" t="str">
            <v>Cust</v>
          </cell>
          <cell r="G1126" t="str">
            <v>No</v>
          </cell>
          <cell r="H1126" t="str">
            <v>1900-01-01 00:00:00</v>
          </cell>
          <cell r="K1126" t="str">
            <v>M-P</v>
          </cell>
          <cell r="L1126" t="str">
            <v>2052.000000</v>
          </cell>
          <cell r="AL1126" t="str">
            <v>393107</v>
          </cell>
          <cell r="BC1126" t="str">
            <v>Cust-PP</v>
          </cell>
          <cell r="BD1126" t="str">
            <v>2.0000000000000000</v>
          </cell>
          <cell r="BE1126" t="str">
            <v>.0000000000000000</v>
          </cell>
          <cell r="BF1126" t="str">
            <v>.0000000000000000</v>
          </cell>
          <cell r="BG1126" t="str">
            <v>None</v>
          </cell>
          <cell r="BK1126" t="str">
            <v>2025-07-06 00:00:00</v>
          </cell>
          <cell r="BL1126" t="str">
            <v>Airport EG-1232</v>
          </cell>
          <cell r="BM1126" t="str">
            <v>No</v>
          </cell>
          <cell r="BN1126" t="str">
            <v>No</v>
          </cell>
          <cell r="BO1126" t="str">
            <v>CPay-000000007</v>
          </cell>
        </row>
        <row r="1127">
          <cell r="B1127" t="str">
            <v>393198</v>
          </cell>
          <cell r="C1127" t="str">
            <v>38.0000000000000000</v>
          </cell>
          <cell r="E1127" t="str">
            <v>Cust</v>
          </cell>
          <cell r="G1127" t="str">
            <v>No</v>
          </cell>
          <cell r="H1127" t="str">
            <v>1900-01-01 00:00:00</v>
          </cell>
          <cell r="K1127" t="str">
            <v>M-P</v>
          </cell>
          <cell r="L1127" t="str">
            <v>2391.720000</v>
          </cell>
          <cell r="AL1127" t="str">
            <v>393198</v>
          </cell>
          <cell r="BC1127" t="str">
            <v>Cust-PP</v>
          </cell>
          <cell r="BD1127" t="str">
            <v>2.0000000000000000</v>
          </cell>
          <cell r="BE1127" t="str">
            <v>.0000000000000000</v>
          </cell>
          <cell r="BF1127" t="str">
            <v>.0000000000000000</v>
          </cell>
          <cell r="BG1127" t="str">
            <v>None</v>
          </cell>
          <cell r="BK1127" t="str">
            <v>2025-07-06 00:00:00</v>
          </cell>
          <cell r="BL1127" t="str">
            <v>Airport EG-1225</v>
          </cell>
          <cell r="BM1127" t="str">
            <v>No</v>
          </cell>
          <cell r="BN1127" t="str">
            <v>No</v>
          </cell>
          <cell r="BO1127" t="str">
            <v>CPay-000000007</v>
          </cell>
        </row>
        <row r="1128">
          <cell r="B1128" t="str">
            <v>393466</v>
          </cell>
          <cell r="C1128" t="str">
            <v>39.0000000000000000</v>
          </cell>
          <cell r="E1128" t="str">
            <v>Cust</v>
          </cell>
          <cell r="G1128" t="str">
            <v>No</v>
          </cell>
          <cell r="H1128" t="str">
            <v>1900-01-01 00:00:00</v>
          </cell>
          <cell r="K1128" t="str">
            <v>M-P</v>
          </cell>
          <cell r="L1128" t="str">
            <v>2052.000000</v>
          </cell>
          <cell r="AL1128" t="str">
            <v>393466</v>
          </cell>
          <cell r="BC1128" t="str">
            <v>Cust-PP</v>
          </cell>
          <cell r="BD1128" t="str">
            <v>2.0000000000000000</v>
          </cell>
          <cell r="BE1128" t="str">
            <v>.0000000000000000</v>
          </cell>
          <cell r="BF1128" t="str">
            <v>.0000000000000000</v>
          </cell>
          <cell r="BG1128" t="str">
            <v>None</v>
          </cell>
          <cell r="BK1128" t="str">
            <v>2025-07-06 00:00:00</v>
          </cell>
          <cell r="BL1128" t="str">
            <v>Airport EG-1226</v>
          </cell>
          <cell r="BM1128" t="str">
            <v>No</v>
          </cell>
          <cell r="BN1128" t="str">
            <v>No</v>
          </cell>
          <cell r="BO1128" t="str">
            <v>CPay-000000007</v>
          </cell>
        </row>
        <row r="1129">
          <cell r="B1129" t="str">
            <v>390855</v>
          </cell>
          <cell r="C1129" t="str">
            <v>40.0000000000000000</v>
          </cell>
          <cell r="E1129" t="str">
            <v>Cust</v>
          </cell>
          <cell r="G1129" t="str">
            <v>No</v>
          </cell>
          <cell r="H1129" t="str">
            <v>1900-01-01 00:00:00</v>
          </cell>
          <cell r="K1129" t="str">
            <v>M-P</v>
          </cell>
          <cell r="L1129" t="str">
            <v>364.800000</v>
          </cell>
          <cell r="AL1129" t="str">
            <v>390855</v>
          </cell>
          <cell r="BC1129" t="str">
            <v>Cust-PP</v>
          </cell>
          <cell r="BD1129" t="str">
            <v>2.0000000000000000</v>
          </cell>
          <cell r="BE1129" t="str">
            <v>.0000000000000000</v>
          </cell>
          <cell r="BF1129" t="str">
            <v>.0000000000000000</v>
          </cell>
          <cell r="BG1129" t="str">
            <v>None</v>
          </cell>
          <cell r="BK1129" t="str">
            <v>2025-07-07 00:00:00</v>
          </cell>
          <cell r="BL1129" t="str">
            <v>Airport EG-1245</v>
          </cell>
          <cell r="BM1129" t="str">
            <v>No</v>
          </cell>
          <cell r="BN1129" t="str">
            <v>No</v>
          </cell>
          <cell r="BO1129" t="str">
            <v>CPay-000000007</v>
          </cell>
        </row>
        <row r="1130">
          <cell r="B1130" t="str">
            <v>391921</v>
          </cell>
          <cell r="C1130" t="str">
            <v>41.0000000000000000</v>
          </cell>
          <cell r="E1130" t="str">
            <v>Cust</v>
          </cell>
          <cell r="G1130" t="str">
            <v>No</v>
          </cell>
          <cell r="H1130" t="str">
            <v>1900-01-01 00:00:00</v>
          </cell>
          <cell r="K1130" t="str">
            <v>M-P</v>
          </cell>
          <cell r="L1130" t="str">
            <v>571.030000</v>
          </cell>
          <cell r="AL1130" t="str">
            <v>391921</v>
          </cell>
          <cell r="BC1130" t="str">
            <v>Cust-PP</v>
          </cell>
          <cell r="BD1130" t="str">
            <v>2.0000000000000000</v>
          </cell>
          <cell r="BE1130" t="str">
            <v>.0000000000000000</v>
          </cell>
          <cell r="BF1130" t="str">
            <v>.0000000000000000</v>
          </cell>
          <cell r="BG1130" t="str">
            <v>None</v>
          </cell>
          <cell r="BK1130" t="str">
            <v>2025-07-07 00:00:00</v>
          </cell>
          <cell r="BL1130" t="str">
            <v>Airport EG-1243</v>
          </cell>
          <cell r="BM1130" t="str">
            <v>No</v>
          </cell>
          <cell r="BN1130" t="str">
            <v>No</v>
          </cell>
          <cell r="BO1130" t="str">
            <v>CPay-000000007</v>
          </cell>
        </row>
        <row r="1131">
          <cell r="B1131" t="str">
            <v>393170</v>
          </cell>
          <cell r="C1131" t="str">
            <v>42.0000000000000000</v>
          </cell>
          <cell r="E1131" t="str">
            <v>Cust</v>
          </cell>
          <cell r="G1131" t="str">
            <v>No</v>
          </cell>
          <cell r="H1131" t="str">
            <v>1900-01-01 00:00:00</v>
          </cell>
          <cell r="K1131" t="str">
            <v>M-P</v>
          </cell>
          <cell r="L1131" t="str">
            <v>1653.000000</v>
          </cell>
          <cell r="AL1131" t="str">
            <v>393170</v>
          </cell>
          <cell r="BC1131" t="str">
            <v>Cust-PP</v>
          </cell>
          <cell r="BD1131" t="str">
            <v>2.0000000000000000</v>
          </cell>
          <cell r="BE1131" t="str">
            <v>.0000000000000000</v>
          </cell>
          <cell r="BF1131" t="str">
            <v>.0000000000000000</v>
          </cell>
          <cell r="BG1131" t="str">
            <v>None</v>
          </cell>
          <cell r="BK1131" t="str">
            <v>2025-07-07 00:00:00</v>
          </cell>
          <cell r="BL1131" t="str">
            <v>Airport EG-1244</v>
          </cell>
          <cell r="BM1131" t="str">
            <v>No</v>
          </cell>
          <cell r="BN1131" t="str">
            <v>No</v>
          </cell>
          <cell r="BO1131" t="str">
            <v>CPay-000000007</v>
          </cell>
        </row>
        <row r="1132">
          <cell r="B1132" t="str">
            <v>393814</v>
          </cell>
          <cell r="C1132" t="str">
            <v>43.0000000000000000</v>
          </cell>
          <cell r="E1132" t="str">
            <v>Cust</v>
          </cell>
          <cell r="G1132" t="str">
            <v>No</v>
          </cell>
          <cell r="H1132" t="str">
            <v>1900-01-01 00:00:00</v>
          </cell>
          <cell r="K1132" t="str">
            <v>M-P</v>
          </cell>
          <cell r="L1132" t="str">
            <v>1653.000000</v>
          </cell>
          <cell r="AL1132" t="str">
            <v>393814</v>
          </cell>
          <cell r="BC1132" t="str">
            <v>Cust-PP</v>
          </cell>
          <cell r="BD1132" t="str">
            <v>2.0000000000000000</v>
          </cell>
          <cell r="BE1132" t="str">
            <v>.0000000000000000</v>
          </cell>
          <cell r="BF1132" t="str">
            <v>.0000000000000000</v>
          </cell>
          <cell r="BG1132" t="str">
            <v>None</v>
          </cell>
          <cell r="BK1132" t="str">
            <v>2025-07-07 00:00:00</v>
          </cell>
          <cell r="BL1132" t="str">
            <v>Airport EG-1242</v>
          </cell>
          <cell r="BM1132" t="str">
            <v>No</v>
          </cell>
          <cell r="BN1132" t="str">
            <v>No</v>
          </cell>
          <cell r="BO1132" t="str">
            <v>CPay-000000007</v>
          </cell>
        </row>
        <row r="1133">
          <cell r="B1133" t="str">
            <v>390809</v>
          </cell>
          <cell r="C1133" t="str">
            <v>44.0000000000000000</v>
          </cell>
          <cell r="E1133" t="str">
            <v>Cust</v>
          </cell>
          <cell r="G1133" t="str">
            <v>No</v>
          </cell>
          <cell r="H1133" t="str">
            <v>1900-01-01 00:00:00</v>
          </cell>
          <cell r="K1133" t="str">
            <v>M-P</v>
          </cell>
          <cell r="L1133" t="str">
            <v>1653.000000</v>
          </cell>
          <cell r="AL1133" t="str">
            <v>390809</v>
          </cell>
          <cell r="BC1133" t="str">
            <v>Cust-PP</v>
          </cell>
          <cell r="BD1133" t="str">
            <v>2.0000000000000000</v>
          </cell>
          <cell r="BE1133" t="str">
            <v>.0000000000000000</v>
          </cell>
          <cell r="BF1133" t="str">
            <v>.0000000000000000</v>
          </cell>
          <cell r="BG1133" t="str">
            <v>None</v>
          </cell>
          <cell r="BK1133" t="str">
            <v>2025-07-09 00:00:00</v>
          </cell>
          <cell r="BL1133" t="str">
            <v>Airport EG-1246</v>
          </cell>
          <cell r="BM1133" t="str">
            <v>No</v>
          </cell>
          <cell r="BN1133" t="str">
            <v>No</v>
          </cell>
          <cell r="BO1133" t="str">
            <v>CPay-000000007</v>
          </cell>
        </row>
        <row r="1134">
          <cell r="B1134" t="str">
            <v>391260</v>
          </cell>
          <cell r="C1134" t="str">
            <v>45.0000000000000000</v>
          </cell>
          <cell r="E1134" t="str">
            <v>Cust</v>
          </cell>
          <cell r="G1134" t="str">
            <v>No</v>
          </cell>
          <cell r="H1134" t="str">
            <v>1900-01-01 00:00:00</v>
          </cell>
          <cell r="K1134" t="str">
            <v>M-P</v>
          </cell>
          <cell r="L1134" t="str">
            <v>1653.000000</v>
          </cell>
          <cell r="AL1134" t="str">
            <v>391260</v>
          </cell>
          <cell r="BC1134" t="str">
            <v>Cust-PP</v>
          </cell>
          <cell r="BD1134" t="str">
            <v>2.0000000000000000</v>
          </cell>
          <cell r="BE1134" t="str">
            <v>.0000000000000000</v>
          </cell>
          <cell r="BF1134" t="str">
            <v>.0000000000000000</v>
          </cell>
          <cell r="BG1134" t="str">
            <v>None</v>
          </cell>
          <cell r="BK1134" t="str">
            <v>2025-07-09 00:00:00</v>
          </cell>
          <cell r="BL1134" t="str">
            <v>Airport EG-1252</v>
          </cell>
          <cell r="BM1134" t="str">
            <v>No</v>
          </cell>
          <cell r="BN1134" t="str">
            <v>No</v>
          </cell>
          <cell r="BO1134" t="str">
            <v>CPay-000000007</v>
          </cell>
        </row>
        <row r="1135">
          <cell r="B1135" t="str">
            <v>391408</v>
          </cell>
          <cell r="C1135" t="str">
            <v>46.0000000000000000</v>
          </cell>
          <cell r="E1135" t="str">
            <v>Cust</v>
          </cell>
          <cell r="G1135" t="str">
            <v>No</v>
          </cell>
          <cell r="H1135" t="str">
            <v>1900-01-01 00:00:00</v>
          </cell>
          <cell r="K1135" t="str">
            <v>M-P</v>
          </cell>
          <cell r="L1135" t="str">
            <v>1653.000000</v>
          </cell>
          <cell r="AL1135" t="str">
            <v>391408</v>
          </cell>
          <cell r="BC1135" t="str">
            <v>Cust-PP</v>
          </cell>
          <cell r="BD1135" t="str">
            <v>2.0000000000000000</v>
          </cell>
          <cell r="BE1135" t="str">
            <v>.0000000000000000</v>
          </cell>
          <cell r="BF1135" t="str">
            <v>.0000000000000000</v>
          </cell>
          <cell r="BG1135" t="str">
            <v>None</v>
          </cell>
          <cell r="BK1135" t="str">
            <v>2025-07-09 00:00:00</v>
          </cell>
          <cell r="BL1135" t="str">
            <v>Airport EG-1256</v>
          </cell>
          <cell r="BM1135" t="str">
            <v>No</v>
          </cell>
          <cell r="BN1135" t="str">
            <v>No</v>
          </cell>
          <cell r="BO1135" t="str">
            <v>CPay-000000007</v>
          </cell>
        </row>
        <row r="1136">
          <cell r="B1136" t="str">
            <v>391423</v>
          </cell>
          <cell r="C1136" t="str">
            <v>47.0000000000000000</v>
          </cell>
          <cell r="E1136" t="str">
            <v>Cust</v>
          </cell>
          <cell r="G1136" t="str">
            <v>No</v>
          </cell>
          <cell r="H1136" t="str">
            <v>1900-01-01 00:00:00</v>
          </cell>
          <cell r="K1136" t="str">
            <v>M-P</v>
          </cell>
          <cell r="L1136" t="str">
            <v>285.000000</v>
          </cell>
          <cell r="AL1136" t="str">
            <v>391423</v>
          </cell>
          <cell r="BC1136" t="str">
            <v>Cust-PP</v>
          </cell>
          <cell r="BD1136" t="str">
            <v>2.0000000000000000</v>
          </cell>
          <cell r="BE1136" t="str">
            <v>.0000000000000000</v>
          </cell>
          <cell r="BF1136" t="str">
            <v>.0000000000000000</v>
          </cell>
          <cell r="BG1136" t="str">
            <v>None</v>
          </cell>
          <cell r="BK1136" t="str">
            <v>2025-07-09 00:00:00</v>
          </cell>
          <cell r="BL1136" t="str">
            <v>Airport EG-1249</v>
          </cell>
          <cell r="BM1136" t="str">
            <v>No</v>
          </cell>
          <cell r="BN1136" t="str">
            <v>No</v>
          </cell>
          <cell r="BO1136" t="str">
            <v>CPay-000000007</v>
          </cell>
        </row>
        <row r="1137">
          <cell r="B1137" t="str">
            <v>391697</v>
          </cell>
          <cell r="C1137" t="str">
            <v>48.0000000000000000</v>
          </cell>
          <cell r="E1137" t="str">
            <v>Cust</v>
          </cell>
          <cell r="G1137" t="str">
            <v>No</v>
          </cell>
          <cell r="H1137" t="str">
            <v>1900-01-01 00:00:00</v>
          </cell>
          <cell r="K1137" t="str">
            <v>M-P</v>
          </cell>
          <cell r="L1137" t="str">
            <v>1288.200000</v>
          </cell>
          <cell r="AL1137" t="str">
            <v>391697</v>
          </cell>
          <cell r="BC1137" t="str">
            <v>Cust-PP</v>
          </cell>
          <cell r="BD1137" t="str">
            <v>2.0000000000000000</v>
          </cell>
          <cell r="BE1137" t="str">
            <v>.0000000000000000</v>
          </cell>
          <cell r="BF1137" t="str">
            <v>.0000000000000000</v>
          </cell>
          <cell r="BG1137" t="str">
            <v>None</v>
          </cell>
          <cell r="BK1137" t="str">
            <v>2025-07-09 00:00:00</v>
          </cell>
          <cell r="BL1137" t="str">
            <v>Airport EG-1259</v>
          </cell>
          <cell r="BM1137" t="str">
            <v>No</v>
          </cell>
          <cell r="BN1137" t="str">
            <v>No</v>
          </cell>
          <cell r="BO1137" t="str">
            <v>CPay-000000007</v>
          </cell>
        </row>
        <row r="1138">
          <cell r="B1138" t="str">
            <v>391931</v>
          </cell>
          <cell r="C1138" t="str">
            <v>49.0000000000000000</v>
          </cell>
          <cell r="E1138" t="str">
            <v>Cust</v>
          </cell>
          <cell r="G1138" t="str">
            <v>No</v>
          </cell>
          <cell r="H1138" t="str">
            <v>1900-01-01 00:00:00</v>
          </cell>
          <cell r="K1138" t="str">
            <v>M-P</v>
          </cell>
          <cell r="L1138" t="str">
            <v>1653.000000</v>
          </cell>
          <cell r="AL1138" t="str">
            <v>391931</v>
          </cell>
          <cell r="BC1138" t="str">
            <v>Cust-PP</v>
          </cell>
          <cell r="BD1138" t="str">
            <v>2.0000000000000000</v>
          </cell>
          <cell r="BE1138" t="str">
            <v>.0000000000000000</v>
          </cell>
          <cell r="BF1138" t="str">
            <v>.0000000000000000</v>
          </cell>
          <cell r="BG1138" t="str">
            <v>None</v>
          </cell>
          <cell r="BK1138" t="str">
            <v>2025-07-09 00:00:00</v>
          </cell>
          <cell r="BL1138" t="str">
            <v>Airport EG-1255</v>
          </cell>
          <cell r="BM1138" t="str">
            <v>No</v>
          </cell>
          <cell r="BN1138" t="str">
            <v>No</v>
          </cell>
          <cell r="BO1138" t="str">
            <v>CPay-000000007</v>
          </cell>
        </row>
        <row r="1139">
          <cell r="B1139" t="str">
            <v>392120</v>
          </cell>
          <cell r="C1139" t="str">
            <v>50.0000000000000000</v>
          </cell>
          <cell r="E1139" t="str">
            <v>Cust</v>
          </cell>
          <cell r="G1139" t="str">
            <v>No</v>
          </cell>
          <cell r="H1139" t="str">
            <v>1900-01-01 00:00:00</v>
          </cell>
          <cell r="K1139" t="str">
            <v>M-P</v>
          </cell>
          <cell r="L1139" t="str">
            <v>1653.000000</v>
          </cell>
          <cell r="AL1139" t="str">
            <v>392120</v>
          </cell>
          <cell r="BC1139" t="str">
            <v>Cust-PP</v>
          </cell>
          <cell r="BD1139" t="str">
            <v>2.0000000000000000</v>
          </cell>
          <cell r="BE1139" t="str">
            <v>.0000000000000000</v>
          </cell>
          <cell r="BF1139" t="str">
            <v>.0000000000000000</v>
          </cell>
          <cell r="BG1139" t="str">
            <v>None</v>
          </cell>
          <cell r="BK1139" t="str">
            <v>2025-07-09 00:00:00</v>
          </cell>
          <cell r="BL1139" t="str">
            <v>Airport EG-1250</v>
          </cell>
          <cell r="BM1139" t="str">
            <v>No</v>
          </cell>
          <cell r="BN1139" t="str">
            <v>No</v>
          </cell>
          <cell r="BO1139" t="str">
            <v>CPay-000000007</v>
          </cell>
        </row>
        <row r="1140">
          <cell r="B1140" t="str">
            <v>392243</v>
          </cell>
          <cell r="C1140" t="str">
            <v>51.0000000000000000</v>
          </cell>
          <cell r="E1140" t="str">
            <v>Cust</v>
          </cell>
          <cell r="G1140" t="str">
            <v>No</v>
          </cell>
          <cell r="H1140" t="str">
            <v>1900-01-01 00:00:00</v>
          </cell>
          <cell r="K1140" t="str">
            <v>M-P</v>
          </cell>
          <cell r="L1140" t="str">
            <v>823.420000</v>
          </cell>
          <cell r="AL1140" t="str">
            <v>392243</v>
          </cell>
          <cell r="BC1140" t="str">
            <v>Cust-PP</v>
          </cell>
          <cell r="BD1140" t="str">
            <v>2.0000000000000000</v>
          </cell>
          <cell r="BE1140" t="str">
            <v>.0000000000000000</v>
          </cell>
          <cell r="BF1140" t="str">
            <v>.0000000000000000</v>
          </cell>
          <cell r="BG1140" t="str">
            <v>None</v>
          </cell>
          <cell r="BK1140" t="str">
            <v>2025-07-09 00:00:00</v>
          </cell>
          <cell r="BL1140" t="str">
            <v>Airport EG-1247</v>
          </cell>
          <cell r="BM1140" t="str">
            <v>No</v>
          </cell>
          <cell r="BN1140" t="str">
            <v>No</v>
          </cell>
          <cell r="BO1140" t="str">
            <v>CPay-000000007</v>
          </cell>
        </row>
        <row r="1141">
          <cell r="B1141" t="str">
            <v>392468</v>
          </cell>
          <cell r="C1141" t="str">
            <v>52.0000000000000000</v>
          </cell>
          <cell r="E1141" t="str">
            <v>Cust</v>
          </cell>
          <cell r="G1141" t="str">
            <v>No</v>
          </cell>
          <cell r="H1141" t="str">
            <v>1900-01-01 00:00:00</v>
          </cell>
          <cell r="K1141" t="str">
            <v>M-P</v>
          </cell>
          <cell r="L1141" t="str">
            <v>672.600000</v>
          </cell>
          <cell r="AL1141" t="str">
            <v>392468</v>
          </cell>
          <cell r="BC1141" t="str">
            <v>Cust-PP</v>
          </cell>
          <cell r="BD1141" t="str">
            <v>2.0000000000000000</v>
          </cell>
          <cell r="BE1141" t="str">
            <v>.0000000000000000</v>
          </cell>
          <cell r="BF1141" t="str">
            <v>.0000000000000000</v>
          </cell>
          <cell r="BG1141" t="str">
            <v>None</v>
          </cell>
          <cell r="BK1141" t="str">
            <v>2025-07-09 00:00:00</v>
          </cell>
          <cell r="BL1141" t="str">
            <v>Airport EG-1257</v>
          </cell>
          <cell r="BM1141" t="str">
            <v>No</v>
          </cell>
          <cell r="BN1141" t="str">
            <v>No</v>
          </cell>
          <cell r="BO1141" t="str">
            <v>CPay-000000007</v>
          </cell>
        </row>
        <row r="1142">
          <cell r="B1142" t="str">
            <v>392706</v>
          </cell>
          <cell r="C1142" t="str">
            <v>53.0000000000000000</v>
          </cell>
          <cell r="E1142" t="str">
            <v>Cust</v>
          </cell>
          <cell r="G1142" t="str">
            <v>No</v>
          </cell>
          <cell r="H1142" t="str">
            <v>1900-01-01 00:00:00</v>
          </cell>
          <cell r="K1142" t="str">
            <v>M-P</v>
          </cell>
          <cell r="L1142" t="str">
            <v>1653.000000</v>
          </cell>
          <cell r="AL1142" t="str">
            <v>392706</v>
          </cell>
          <cell r="BC1142" t="str">
            <v>Cust-PP</v>
          </cell>
          <cell r="BD1142" t="str">
            <v>2.0000000000000000</v>
          </cell>
          <cell r="BE1142" t="str">
            <v>.0000000000000000</v>
          </cell>
          <cell r="BF1142" t="str">
            <v>.0000000000000000</v>
          </cell>
          <cell r="BG1142" t="str">
            <v>None</v>
          </cell>
          <cell r="BK1142" t="str">
            <v>2025-07-09 00:00:00</v>
          </cell>
          <cell r="BL1142" t="str">
            <v>Airport EG-1260</v>
          </cell>
          <cell r="BM1142" t="str">
            <v>No</v>
          </cell>
          <cell r="BN1142" t="str">
            <v>No</v>
          </cell>
          <cell r="BO1142" t="str">
            <v>CPay-000000007</v>
          </cell>
        </row>
        <row r="1143">
          <cell r="B1143" t="str">
            <v>392711</v>
          </cell>
          <cell r="C1143" t="str">
            <v>54.0000000000000000</v>
          </cell>
          <cell r="E1143" t="str">
            <v>Cust</v>
          </cell>
          <cell r="G1143" t="str">
            <v>No</v>
          </cell>
          <cell r="H1143" t="str">
            <v>1900-01-01 00:00:00</v>
          </cell>
          <cell r="K1143" t="str">
            <v>M-P</v>
          </cell>
          <cell r="L1143" t="str">
            <v>199.500000</v>
          </cell>
          <cell r="AL1143" t="str">
            <v>392711</v>
          </cell>
          <cell r="BC1143" t="str">
            <v>Cust-PP</v>
          </cell>
          <cell r="BD1143" t="str">
            <v>2.0000000000000000</v>
          </cell>
          <cell r="BE1143" t="str">
            <v>.0000000000000000</v>
          </cell>
          <cell r="BF1143" t="str">
            <v>.0000000000000000</v>
          </cell>
          <cell r="BG1143" t="str">
            <v>None</v>
          </cell>
          <cell r="BK1143" t="str">
            <v>2025-07-09 00:00:00</v>
          </cell>
          <cell r="BL1143" t="str">
            <v>Airport EG-1253</v>
          </cell>
          <cell r="BM1143" t="str">
            <v>No</v>
          </cell>
          <cell r="BN1143" t="str">
            <v>No</v>
          </cell>
          <cell r="BO1143" t="str">
            <v>CPay-000000007</v>
          </cell>
        </row>
        <row r="1144">
          <cell r="B1144" t="str">
            <v>393312</v>
          </cell>
          <cell r="C1144" t="str">
            <v>55.0000000000000000</v>
          </cell>
          <cell r="E1144" t="str">
            <v>Cust</v>
          </cell>
          <cell r="G1144" t="str">
            <v>No</v>
          </cell>
          <cell r="H1144" t="str">
            <v>1900-01-01 00:00:00</v>
          </cell>
          <cell r="K1144" t="str">
            <v>M-P</v>
          </cell>
          <cell r="L1144" t="str">
            <v>2052.000000</v>
          </cell>
          <cell r="AL1144" t="str">
            <v>393312</v>
          </cell>
          <cell r="BC1144" t="str">
            <v>Cust-PP</v>
          </cell>
          <cell r="BD1144" t="str">
            <v>2.0000000000000000</v>
          </cell>
          <cell r="BE1144" t="str">
            <v>.0000000000000000</v>
          </cell>
          <cell r="BF1144" t="str">
            <v>.0000000000000000</v>
          </cell>
          <cell r="BG1144" t="str">
            <v>None</v>
          </cell>
          <cell r="BK1144" t="str">
            <v>2025-07-09 00:00:00</v>
          </cell>
          <cell r="BL1144" t="str">
            <v>Airport EG-1248</v>
          </cell>
          <cell r="BM1144" t="str">
            <v>No</v>
          </cell>
          <cell r="BN1144" t="str">
            <v>No</v>
          </cell>
          <cell r="BO1144" t="str">
            <v>CPay-000000007</v>
          </cell>
        </row>
        <row r="1145">
          <cell r="B1145" t="str">
            <v>393597</v>
          </cell>
          <cell r="C1145" t="str">
            <v>56.0000000000000000</v>
          </cell>
          <cell r="E1145" t="str">
            <v>Cust</v>
          </cell>
          <cell r="G1145" t="str">
            <v>No</v>
          </cell>
          <cell r="H1145" t="str">
            <v>1900-01-01 00:00:00</v>
          </cell>
          <cell r="K1145" t="str">
            <v>M-P</v>
          </cell>
          <cell r="L1145" t="str">
            <v>2850.000000</v>
          </cell>
          <cell r="AL1145" t="str">
            <v>393597</v>
          </cell>
          <cell r="BC1145" t="str">
            <v>Cust-PP</v>
          </cell>
          <cell r="BD1145" t="str">
            <v>2.0000000000000000</v>
          </cell>
          <cell r="BE1145" t="str">
            <v>.0000000000000000</v>
          </cell>
          <cell r="BF1145" t="str">
            <v>.0000000000000000</v>
          </cell>
          <cell r="BG1145" t="str">
            <v>None</v>
          </cell>
          <cell r="BK1145" t="str">
            <v>2025-07-09 00:00:00</v>
          </cell>
          <cell r="BL1145" t="str">
            <v>Airport EG-1251</v>
          </cell>
          <cell r="BM1145" t="str">
            <v>No</v>
          </cell>
          <cell r="BN1145" t="str">
            <v>No</v>
          </cell>
          <cell r="BO1145" t="str">
            <v>CPay-000000007</v>
          </cell>
        </row>
        <row r="1146">
          <cell r="B1146" t="str">
            <v>393752</v>
          </cell>
          <cell r="C1146" t="str">
            <v>57.0000000000000000</v>
          </cell>
          <cell r="E1146" t="str">
            <v>Cust</v>
          </cell>
          <cell r="G1146" t="str">
            <v>No</v>
          </cell>
          <cell r="H1146" t="str">
            <v>1900-01-01 00:00:00</v>
          </cell>
          <cell r="K1146" t="str">
            <v>M-P</v>
          </cell>
          <cell r="L1146" t="str">
            <v>1482.000000</v>
          </cell>
          <cell r="AL1146" t="str">
            <v>393752</v>
          </cell>
          <cell r="BC1146" t="str">
            <v>Cust-PP</v>
          </cell>
          <cell r="BD1146" t="str">
            <v>2.0000000000000000</v>
          </cell>
          <cell r="BE1146" t="str">
            <v>.0000000000000000</v>
          </cell>
          <cell r="BF1146" t="str">
            <v>.0000000000000000</v>
          </cell>
          <cell r="BG1146" t="str">
            <v>None</v>
          </cell>
          <cell r="BK1146" t="str">
            <v>2025-07-09 00:00:00</v>
          </cell>
          <cell r="BL1146" t="str">
            <v>Airport EG-1261</v>
          </cell>
          <cell r="BM1146" t="str">
            <v>No</v>
          </cell>
          <cell r="BN1146" t="str">
            <v>No</v>
          </cell>
          <cell r="BO1146" t="str">
            <v>CPay-000000007</v>
          </cell>
        </row>
        <row r="1147">
          <cell r="B1147" t="str">
            <v>393960</v>
          </cell>
          <cell r="C1147" t="str">
            <v>58.0000000000000000</v>
          </cell>
          <cell r="E1147" t="str">
            <v>Cust</v>
          </cell>
          <cell r="G1147" t="str">
            <v>No</v>
          </cell>
          <cell r="H1147" t="str">
            <v>1900-01-01 00:00:00</v>
          </cell>
          <cell r="K1147" t="str">
            <v>M-P</v>
          </cell>
          <cell r="L1147" t="str">
            <v>1653.000000</v>
          </cell>
          <cell r="AL1147" t="str">
            <v>393960</v>
          </cell>
          <cell r="BC1147" t="str">
            <v>Cust-PP</v>
          </cell>
          <cell r="BD1147" t="str">
            <v>2.0000000000000000</v>
          </cell>
          <cell r="BE1147" t="str">
            <v>.0000000000000000</v>
          </cell>
          <cell r="BF1147" t="str">
            <v>.0000000000000000</v>
          </cell>
          <cell r="BG1147" t="str">
            <v>None</v>
          </cell>
          <cell r="BK1147" t="str">
            <v>2025-07-09 00:00:00</v>
          </cell>
          <cell r="BL1147" t="str">
            <v>Airport EG-1258</v>
          </cell>
          <cell r="BM1147" t="str">
            <v>No</v>
          </cell>
          <cell r="BN1147" t="str">
            <v>No</v>
          </cell>
          <cell r="BO1147" t="str">
            <v>CPay-000000007</v>
          </cell>
        </row>
        <row r="1148">
          <cell r="B1148" t="str">
            <v>394021</v>
          </cell>
          <cell r="C1148" t="str">
            <v>59.0000000000000000</v>
          </cell>
          <cell r="E1148" t="str">
            <v>Cust</v>
          </cell>
          <cell r="G1148" t="str">
            <v>No</v>
          </cell>
          <cell r="H1148" t="str">
            <v>1900-01-01 00:00:00</v>
          </cell>
          <cell r="K1148" t="str">
            <v>M-P</v>
          </cell>
          <cell r="L1148" t="str">
            <v>1653.000000</v>
          </cell>
          <cell r="AL1148" t="str">
            <v>394021</v>
          </cell>
          <cell r="BC1148" t="str">
            <v>Cust-PP</v>
          </cell>
          <cell r="BD1148" t="str">
            <v>2.0000000000000000</v>
          </cell>
          <cell r="BE1148" t="str">
            <v>.0000000000000000</v>
          </cell>
          <cell r="BF1148" t="str">
            <v>.0000000000000000</v>
          </cell>
          <cell r="BG1148" t="str">
            <v>None</v>
          </cell>
          <cell r="BK1148" t="str">
            <v>2025-07-09 00:00:00</v>
          </cell>
          <cell r="BL1148" t="str">
            <v>Airport EG-1254</v>
          </cell>
          <cell r="BM1148" t="str">
            <v>No</v>
          </cell>
          <cell r="BN1148" t="str">
            <v>No</v>
          </cell>
          <cell r="BO1148" t="str">
            <v>CPay-000000007</v>
          </cell>
        </row>
        <row r="1149">
          <cell r="B1149" t="str">
            <v>394110</v>
          </cell>
          <cell r="C1149" t="str">
            <v>60.0000000000000000</v>
          </cell>
          <cell r="E1149" t="str">
            <v>Cust</v>
          </cell>
          <cell r="G1149" t="str">
            <v>No</v>
          </cell>
          <cell r="H1149" t="str">
            <v>1900-01-01 00:00:00</v>
          </cell>
          <cell r="K1149" t="str">
            <v>M-P</v>
          </cell>
          <cell r="L1149" t="str">
            <v>330.000000</v>
          </cell>
          <cell r="AL1149" t="str">
            <v>394110</v>
          </cell>
          <cell r="BC1149" t="str">
            <v>Cust-PP</v>
          </cell>
          <cell r="BD1149" t="str">
            <v>100.0000000000000000</v>
          </cell>
          <cell r="BE1149" t="str">
            <v>.0000000000000000</v>
          </cell>
          <cell r="BF1149" t="str">
            <v>.0000000000000000</v>
          </cell>
          <cell r="BG1149" t="str">
            <v>None</v>
          </cell>
          <cell r="BK1149" t="str">
            <v>2025-07-09 00:00:00</v>
          </cell>
          <cell r="BL1149" t="str">
            <v>Airport EG-1262</v>
          </cell>
          <cell r="BM1149" t="str">
            <v>No</v>
          </cell>
          <cell r="BN1149" t="str">
            <v>No</v>
          </cell>
          <cell r="BO1149" t="str">
            <v>CPay-000000007</v>
          </cell>
        </row>
        <row r="1150">
          <cell r="B1150" t="str">
            <v>390848</v>
          </cell>
          <cell r="C1150" t="str">
            <v>61.0000000000000000</v>
          </cell>
          <cell r="E1150" t="str">
            <v>Cust</v>
          </cell>
          <cell r="G1150" t="str">
            <v>No</v>
          </cell>
          <cell r="H1150" t="str">
            <v>1900-01-01 00:00:00</v>
          </cell>
          <cell r="K1150" t="str">
            <v>M-P</v>
          </cell>
          <cell r="L1150" t="str">
            <v>1653.000000</v>
          </cell>
          <cell r="AL1150" t="str">
            <v>390848</v>
          </cell>
          <cell r="BC1150" t="str">
            <v>Cust-PP</v>
          </cell>
          <cell r="BD1150" t="str">
            <v>2.0000000000000000</v>
          </cell>
          <cell r="BE1150" t="str">
            <v>.0000000000000000</v>
          </cell>
          <cell r="BF1150" t="str">
            <v>.0000000000000000</v>
          </cell>
          <cell r="BG1150" t="str">
            <v>None</v>
          </cell>
          <cell r="BK1150" t="str">
            <v>2025-07-10 00:00:00</v>
          </cell>
          <cell r="BL1150" t="str">
            <v>Airport EG-1269</v>
          </cell>
          <cell r="BM1150" t="str">
            <v>No</v>
          </cell>
          <cell r="BN1150" t="str">
            <v>No</v>
          </cell>
          <cell r="BO1150" t="str">
            <v>CPay-000000007</v>
          </cell>
        </row>
        <row r="1151">
          <cell r="B1151" t="str">
            <v>391424</v>
          </cell>
          <cell r="C1151" t="str">
            <v>62.0000000000000000</v>
          </cell>
          <cell r="E1151" t="str">
            <v>Cust</v>
          </cell>
          <cell r="G1151" t="str">
            <v>No</v>
          </cell>
          <cell r="H1151" t="str">
            <v>1900-01-01 00:00:00</v>
          </cell>
          <cell r="K1151" t="str">
            <v>M-P</v>
          </cell>
          <cell r="L1151" t="str">
            <v>364.800000</v>
          </cell>
          <cell r="AL1151" t="str">
            <v>391424</v>
          </cell>
          <cell r="BC1151" t="str">
            <v>Cust-PP</v>
          </cell>
          <cell r="BD1151" t="str">
            <v>2.0000000000000000</v>
          </cell>
          <cell r="BE1151" t="str">
            <v>.0000000000000000</v>
          </cell>
          <cell r="BF1151" t="str">
            <v>.0000000000000000</v>
          </cell>
          <cell r="BG1151" t="str">
            <v>None</v>
          </cell>
          <cell r="BK1151" t="str">
            <v>2025-07-10 00:00:00</v>
          </cell>
          <cell r="BL1151" t="str">
            <v>Airport EG-1272</v>
          </cell>
          <cell r="BM1151" t="str">
            <v>No</v>
          </cell>
          <cell r="BN1151" t="str">
            <v>No</v>
          </cell>
          <cell r="BO1151" t="str">
            <v>CPay-000000007</v>
          </cell>
        </row>
        <row r="1152">
          <cell r="B1152" t="str">
            <v>391449</v>
          </cell>
          <cell r="C1152" t="str">
            <v>63.0000000000000000</v>
          </cell>
          <cell r="E1152" t="str">
            <v>Cust</v>
          </cell>
          <cell r="G1152" t="str">
            <v>No</v>
          </cell>
          <cell r="H1152" t="str">
            <v>1900-01-01 00:00:00</v>
          </cell>
          <cell r="K1152" t="str">
            <v>M-P</v>
          </cell>
          <cell r="L1152" t="str">
            <v>364.800000</v>
          </cell>
          <cell r="AL1152" t="str">
            <v>391449</v>
          </cell>
          <cell r="BC1152" t="str">
            <v>Cust-PP</v>
          </cell>
          <cell r="BD1152" t="str">
            <v>2.0000000000000000</v>
          </cell>
          <cell r="BE1152" t="str">
            <v>.0000000000000000</v>
          </cell>
          <cell r="BF1152" t="str">
            <v>.0000000000000000</v>
          </cell>
          <cell r="BG1152" t="str">
            <v>None</v>
          </cell>
          <cell r="BK1152" t="str">
            <v>2025-07-10 00:00:00</v>
          </cell>
          <cell r="BL1152" t="str">
            <v>Airport EG-1274</v>
          </cell>
          <cell r="BM1152" t="str">
            <v>No</v>
          </cell>
          <cell r="BN1152" t="str">
            <v>No</v>
          </cell>
          <cell r="BO1152" t="str">
            <v>CPay-000000007</v>
          </cell>
        </row>
        <row r="1153">
          <cell r="B1153" t="str">
            <v>391690</v>
          </cell>
          <cell r="C1153" t="str">
            <v>64.0000000000000000</v>
          </cell>
          <cell r="E1153" t="str">
            <v>Cust</v>
          </cell>
          <cell r="G1153" t="str">
            <v>No</v>
          </cell>
          <cell r="H1153" t="str">
            <v>1900-01-01 00:00:00</v>
          </cell>
          <cell r="K1153" t="str">
            <v>M-P</v>
          </cell>
          <cell r="L1153" t="str">
            <v>1938.000000</v>
          </cell>
          <cell r="AL1153" t="str">
            <v>391690</v>
          </cell>
          <cell r="BC1153" t="str">
            <v>Cust-PP</v>
          </cell>
          <cell r="BD1153" t="str">
            <v>2.0000000000000000</v>
          </cell>
          <cell r="BE1153" t="str">
            <v>.0000000000000000</v>
          </cell>
          <cell r="BF1153" t="str">
            <v>.0000000000000000</v>
          </cell>
          <cell r="BG1153" t="str">
            <v>None</v>
          </cell>
          <cell r="BK1153" t="str">
            <v>2025-07-10 00:00:00</v>
          </cell>
          <cell r="BL1153" t="str">
            <v>Airport EG-1268</v>
          </cell>
          <cell r="BM1153" t="str">
            <v>No</v>
          </cell>
          <cell r="BN1153" t="str">
            <v>No</v>
          </cell>
          <cell r="BO1153" t="str">
            <v>CPay-000000007</v>
          </cell>
        </row>
        <row r="1154">
          <cell r="B1154" t="str">
            <v>391856</v>
          </cell>
          <cell r="C1154" t="str">
            <v>65.0000000000000000</v>
          </cell>
          <cell r="E1154" t="str">
            <v>Cust</v>
          </cell>
          <cell r="G1154" t="str">
            <v>No</v>
          </cell>
          <cell r="H1154" t="str">
            <v>1900-01-01 00:00:00</v>
          </cell>
          <cell r="K1154" t="str">
            <v>M-P</v>
          </cell>
          <cell r="L1154" t="str">
            <v>2052.000000</v>
          </cell>
          <cell r="AL1154" t="str">
            <v>391856</v>
          </cell>
          <cell r="BC1154" t="str">
            <v>Cust-PP</v>
          </cell>
          <cell r="BD1154" t="str">
            <v>2.0000000000000000</v>
          </cell>
          <cell r="BE1154" t="str">
            <v>.0000000000000000</v>
          </cell>
          <cell r="BF1154" t="str">
            <v>.0000000000000000</v>
          </cell>
          <cell r="BG1154" t="str">
            <v>None</v>
          </cell>
          <cell r="BK1154" t="str">
            <v>2025-07-10 00:00:00</v>
          </cell>
          <cell r="BL1154" t="str">
            <v>Airport EG-1275</v>
          </cell>
          <cell r="BM1154" t="str">
            <v>No</v>
          </cell>
          <cell r="BN1154" t="str">
            <v>No</v>
          </cell>
          <cell r="BO1154" t="str">
            <v>CPay-000000007</v>
          </cell>
        </row>
        <row r="1155">
          <cell r="B1155" t="str">
            <v>391903</v>
          </cell>
          <cell r="C1155" t="str">
            <v>66.0000000000000000</v>
          </cell>
          <cell r="E1155" t="str">
            <v>Cust</v>
          </cell>
          <cell r="G1155" t="str">
            <v>No</v>
          </cell>
          <cell r="H1155" t="str">
            <v>1900-01-01 00:00:00</v>
          </cell>
          <cell r="K1155" t="str">
            <v>M-P</v>
          </cell>
          <cell r="L1155" t="str">
            <v>2052.000000</v>
          </cell>
          <cell r="AL1155" t="str">
            <v>391903</v>
          </cell>
          <cell r="BC1155" t="str">
            <v>Cust-PP</v>
          </cell>
          <cell r="BD1155" t="str">
            <v>2.0000000000000000</v>
          </cell>
          <cell r="BE1155" t="str">
            <v>.0000000000000000</v>
          </cell>
          <cell r="BF1155" t="str">
            <v>.0000000000000000</v>
          </cell>
          <cell r="BG1155" t="str">
            <v>None</v>
          </cell>
          <cell r="BK1155" t="str">
            <v>2025-07-10 00:00:00</v>
          </cell>
          <cell r="BL1155" t="str">
            <v>Airport EG-1264</v>
          </cell>
          <cell r="BM1155" t="str">
            <v>No</v>
          </cell>
          <cell r="BN1155" t="str">
            <v>No</v>
          </cell>
          <cell r="BO1155" t="str">
            <v>CPay-000000007</v>
          </cell>
        </row>
        <row r="1156">
          <cell r="B1156" t="str">
            <v>392304</v>
          </cell>
          <cell r="C1156" t="str">
            <v>67.0000000000000000</v>
          </cell>
          <cell r="E1156" t="str">
            <v>Cust</v>
          </cell>
          <cell r="G1156" t="str">
            <v>No</v>
          </cell>
          <cell r="H1156" t="str">
            <v>1900-01-01 00:00:00</v>
          </cell>
          <cell r="K1156" t="str">
            <v>M-P</v>
          </cell>
          <cell r="L1156" t="str">
            <v>364.800000</v>
          </cell>
          <cell r="AL1156" t="str">
            <v>392304</v>
          </cell>
          <cell r="BC1156" t="str">
            <v>Cust-PP</v>
          </cell>
          <cell r="BD1156" t="str">
            <v>2.0000000000000000</v>
          </cell>
          <cell r="BE1156" t="str">
            <v>.0000000000000000</v>
          </cell>
          <cell r="BF1156" t="str">
            <v>.0000000000000000</v>
          </cell>
          <cell r="BG1156" t="str">
            <v>None</v>
          </cell>
          <cell r="BK1156" t="str">
            <v>2025-07-10 00:00:00</v>
          </cell>
          <cell r="BL1156" t="str">
            <v>Airport EG-1270</v>
          </cell>
          <cell r="BM1156" t="str">
            <v>No</v>
          </cell>
          <cell r="BN1156" t="str">
            <v>No</v>
          </cell>
          <cell r="BO1156" t="str">
            <v>CPay-000000007</v>
          </cell>
        </row>
        <row r="1157">
          <cell r="B1157" t="str">
            <v>392897</v>
          </cell>
          <cell r="C1157" t="str">
            <v>68.0000000000000000</v>
          </cell>
          <cell r="E1157" t="str">
            <v>Cust</v>
          </cell>
          <cell r="G1157" t="str">
            <v>No</v>
          </cell>
          <cell r="H1157" t="str">
            <v>1900-01-01 00:00:00</v>
          </cell>
          <cell r="K1157" t="str">
            <v>M-P</v>
          </cell>
          <cell r="L1157" t="str">
            <v>12301.740000</v>
          </cell>
          <cell r="AL1157" t="str">
            <v>392897</v>
          </cell>
          <cell r="BC1157" t="str">
            <v>Cust-PP</v>
          </cell>
          <cell r="BD1157" t="str">
            <v>2.0000000000000000</v>
          </cell>
          <cell r="BE1157" t="str">
            <v>.0000000000000000</v>
          </cell>
          <cell r="BF1157" t="str">
            <v>.0000000000000000</v>
          </cell>
          <cell r="BG1157" t="str">
            <v>None</v>
          </cell>
          <cell r="BK1157" t="str">
            <v>2025-07-10 00:00:00</v>
          </cell>
          <cell r="BL1157" t="str">
            <v>Airport EG-1276</v>
          </cell>
          <cell r="BM1157" t="str">
            <v>No</v>
          </cell>
          <cell r="BN1157" t="str">
            <v>No</v>
          </cell>
          <cell r="BO1157" t="str">
            <v>CPay-000000007</v>
          </cell>
        </row>
        <row r="1158">
          <cell r="B1158" t="str">
            <v>392965</v>
          </cell>
          <cell r="C1158" t="str">
            <v>69.0000000000000000</v>
          </cell>
          <cell r="E1158" t="str">
            <v>Cust</v>
          </cell>
          <cell r="G1158" t="str">
            <v>No</v>
          </cell>
          <cell r="H1158" t="str">
            <v>1900-01-01 00:00:00</v>
          </cell>
          <cell r="K1158" t="str">
            <v>M-P</v>
          </cell>
          <cell r="L1158" t="str">
            <v>364.800000</v>
          </cell>
          <cell r="AL1158" t="str">
            <v>392965</v>
          </cell>
          <cell r="BC1158" t="str">
            <v>Cust-PP</v>
          </cell>
          <cell r="BD1158" t="str">
            <v>2.0000000000000000</v>
          </cell>
          <cell r="BE1158" t="str">
            <v>.0000000000000000</v>
          </cell>
          <cell r="BF1158" t="str">
            <v>.0000000000000000</v>
          </cell>
          <cell r="BG1158" t="str">
            <v>None</v>
          </cell>
          <cell r="BK1158" t="str">
            <v>2025-07-10 00:00:00</v>
          </cell>
          <cell r="BL1158" t="str">
            <v>Airport EG-1265</v>
          </cell>
          <cell r="BM1158" t="str">
            <v>No</v>
          </cell>
          <cell r="BN1158" t="str">
            <v>No</v>
          </cell>
          <cell r="BO1158" t="str">
            <v>CPay-000000007</v>
          </cell>
        </row>
        <row r="1159">
          <cell r="B1159" t="str">
            <v>393365</v>
          </cell>
          <cell r="C1159" t="str">
            <v>70.0000000000000000</v>
          </cell>
          <cell r="E1159" t="str">
            <v>Cust</v>
          </cell>
          <cell r="G1159" t="str">
            <v>No</v>
          </cell>
          <cell r="H1159" t="str">
            <v>1900-01-01 00:00:00</v>
          </cell>
          <cell r="K1159" t="str">
            <v>M-P</v>
          </cell>
          <cell r="L1159" t="str">
            <v>1653.000000</v>
          </cell>
          <cell r="AL1159" t="str">
            <v>393365</v>
          </cell>
          <cell r="BC1159" t="str">
            <v>Cust-PP</v>
          </cell>
          <cell r="BD1159" t="str">
            <v>2.0000000000000000</v>
          </cell>
          <cell r="BE1159" t="str">
            <v>.0000000000000000</v>
          </cell>
          <cell r="BF1159" t="str">
            <v>.0000000000000000</v>
          </cell>
          <cell r="BG1159" t="str">
            <v>None</v>
          </cell>
          <cell r="BK1159" t="str">
            <v>2025-07-10 00:00:00</v>
          </cell>
          <cell r="BL1159" t="str">
            <v>Airport EG-1271</v>
          </cell>
          <cell r="BM1159" t="str">
            <v>No</v>
          </cell>
          <cell r="BN1159" t="str">
            <v>No</v>
          </cell>
          <cell r="BO1159" t="str">
            <v>CPay-000000007</v>
          </cell>
        </row>
        <row r="1160">
          <cell r="B1160" t="str">
            <v>393758</v>
          </cell>
          <cell r="C1160" t="str">
            <v>71.0000000000000000</v>
          </cell>
          <cell r="E1160" t="str">
            <v>Cust</v>
          </cell>
          <cell r="G1160" t="str">
            <v>No</v>
          </cell>
          <cell r="H1160" t="str">
            <v>1900-01-01 00:00:00</v>
          </cell>
          <cell r="K1160" t="str">
            <v>M-P</v>
          </cell>
          <cell r="L1160" t="str">
            <v>2052.000000</v>
          </cell>
          <cell r="AL1160" t="str">
            <v>393758</v>
          </cell>
          <cell r="BC1160" t="str">
            <v>Cust-PP</v>
          </cell>
          <cell r="BD1160" t="str">
            <v>2.0000000000000000</v>
          </cell>
          <cell r="BE1160" t="str">
            <v>.0000000000000000</v>
          </cell>
          <cell r="BF1160" t="str">
            <v>.0000000000000000</v>
          </cell>
          <cell r="BG1160" t="str">
            <v>None</v>
          </cell>
          <cell r="BK1160" t="str">
            <v>2025-07-10 00:00:00</v>
          </cell>
          <cell r="BL1160" t="str">
            <v>Airport EG-1273</v>
          </cell>
          <cell r="BM1160" t="str">
            <v>No</v>
          </cell>
          <cell r="BN1160" t="str">
            <v>No</v>
          </cell>
          <cell r="BO1160" t="str">
            <v>CPay-000000007</v>
          </cell>
        </row>
        <row r="1161">
          <cell r="B1161" t="str">
            <v>393995</v>
          </cell>
          <cell r="C1161" t="str">
            <v>72.0000000000000000</v>
          </cell>
          <cell r="E1161" t="str">
            <v>Cust</v>
          </cell>
          <cell r="G1161" t="str">
            <v>No</v>
          </cell>
          <cell r="H1161" t="str">
            <v>1900-01-01 00:00:00</v>
          </cell>
          <cell r="K1161" t="str">
            <v>M-P</v>
          </cell>
          <cell r="L1161" t="str">
            <v>1653.000000</v>
          </cell>
          <cell r="AL1161" t="str">
            <v>393995</v>
          </cell>
          <cell r="BC1161" t="str">
            <v>Cust-PP</v>
          </cell>
          <cell r="BD1161" t="str">
            <v>2.0000000000000000</v>
          </cell>
          <cell r="BE1161" t="str">
            <v>.0000000000000000</v>
          </cell>
          <cell r="BF1161" t="str">
            <v>.0000000000000000</v>
          </cell>
          <cell r="BG1161" t="str">
            <v>None</v>
          </cell>
          <cell r="BK1161" t="str">
            <v>2025-07-10 00:00:00</v>
          </cell>
          <cell r="BL1161" t="str">
            <v>Airport EG-1267</v>
          </cell>
          <cell r="BM1161" t="str">
            <v>No</v>
          </cell>
          <cell r="BN1161" t="str">
            <v>No</v>
          </cell>
          <cell r="BO1161" t="str">
            <v>CPay-000000007</v>
          </cell>
        </row>
        <row r="1162">
          <cell r="B1162" t="str">
            <v>392794</v>
          </cell>
          <cell r="C1162" t="str">
            <v>73.0000000000000000</v>
          </cell>
          <cell r="E1162" t="str">
            <v>Cust</v>
          </cell>
          <cell r="G1162" t="str">
            <v>No</v>
          </cell>
          <cell r="H1162" t="str">
            <v>1900-01-01 00:00:00</v>
          </cell>
          <cell r="K1162" t="str">
            <v>M-P</v>
          </cell>
          <cell r="L1162" t="str">
            <v>1653.000000</v>
          </cell>
          <cell r="AL1162" t="str">
            <v>392794</v>
          </cell>
          <cell r="BC1162" t="str">
            <v>Cust-PP</v>
          </cell>
          <cell r="BD1162" t="str">
            <v>2.0000000000000000</v>
          </cell>
          <cell r="BE1162" t="str">
            <v>.0000000000000000</v>
          </cell>
          <cell r="BF1162" t="str">
            <v>.0000000000000000</v>
          </cell>
          <cell r="BG1162" t="str">
            <v>None</v>
          </cell>
          <cell r="BK1162" t="str">
            <v>2025-07-12 00:00:00</v>
          </cell>
          <cell r="BL1162" t="str">
            <v>Airport EG-1277</v>
          </cell>
          <cell r="BM1162" t="str">
            <v>No</v>
          </cell>
          <cell r="BN1162" t="str">
            <v>No</v>
          </cell>
          <cell r="BO1162" t="str">
            <v>CPay-000000007</v>
          </cell>
        </row>
        <row r="1163">
          <cell r="B1163" t="str">
            <v>393858</v>
          </cell>
          <cell r="C1163" t="str">
            <v>74.0000000000000000</v>
          </cell>
          <cell r="E1163" t="str">
            <v>Cust</v>
          </cell>
          <cell r="G1163" t="str">
            <v>No</v>
          </cell>
          <cell r="H1163" t="str">
            <v>1900-01-01 00:00:00</v>
          </cell>
          <cell r="K1163" t="str">
            <v>M-P</v>
          </cell>
          <cell r="L1163" t="str">
            <v>370.500000</v>
          </cell>
          <cell r="AL1163" t="str">
            <v>393858</v>
          </cell>
          <cell r="BC1163" t="str">
            <v>Cust-PP</v>
          </cell>
          <cell r="BD1163" t="str">
            <v>2.0000000000000000</v>
          </cell>
          <cell r="BE1163" t="str">
            <v>.0000000000000000</v>
          </cell>
          <cell r="BF1163" t="str">
            <v>.0000000000000000</v>
          </cell>
          <cell r="BG1163" t="str">
            <v>None</v>
          </cell>
          <cell r="BK1163" t="str">
            <v>2025-07-12 00:00:00</v>
          </cell>
          <cell r="BL1163" t="str">
            <v>Airport EG-1278</v>
          </cell>
          <cell r="BM1163" t="str">
            <v>No</v>
          </cell>
          <cell r="BN1163" t="str">
            <v>No</v>
          </cell>
          <cell r="BO1163" t="str">
            <v>CPay-000000007</v>
          </cell>
        </row>
        <row r="1164">
          <cell r="B1164" t="str">
            <v>390869</v>
          </cell>
          <cell r="C1164" t="str">
            <v>75.0000000000000000</v>
          </cell>
          <cell r="E1164" t="str">
            <v>Cust</v>
          </cell>
          <cell r="G1164" t="str">
            <v>No</v>
          </cell>
          <cell r="H1164" t="str">
            <v>1900-01-01 00:00:00</v>
          </cell>
          <cell r="K1164" t="str">
            <v>M-P</v>
          </cell>
          <cell r="L1164" t="str">
            <v>199.500000</v>
          </cell>
          <cell r="AL1164" t="str">
            <v>390869</v>
          </cell>
          <cell r="BC1164" t="str">
            <v>Cust-PP</v>
          </cell>
          <cell r="BD1164" t="str">
            <v>2.0000000000000000</v>
          </cell>
          <cell r="BE1164" t="str">
            <v>.0000000000000000</v>
          </cell>
          <cell r="BF1164" t="str">
            <v>.0000000000000000</v>
          </cell>
          <cell r="BG1164" t="str">
            <v>None</v>
          </cell>
          <cell r="BK1164" t="str">
            <v>2025-07-13 00:00:00</v>
          </cell>
          <cell r="BL1164" t="str">
            <v>Airport EG-1288</v>
          </cell>
          <cell r="BM1164" t="str">
            <v>No</v>
          </cell>
          <cell r="BN1164" t="str">
            <v>No</v>
          </cell>
          <cell r="BO1164" t="str">
            <v>CPay-000000007</v>
          </cell>
        </row>
        <row r="1165">
          <cell r="B1165" t="str">
            <v>390899</v>
          </cell>
          <cell r="C1165" t="str">
            <v>76.0000000000000000</v>
          </cell>
          <cell r="E1165" t="str">
            <v>Cust</v>
          </cell>
          <cell r="G1165" t="str">
            <v>No</v>
          </cell>
          <cell r="H1165" t="str">
            <v>1900-01-01 00:00:00</v>
          </cell>
          <cell r="K1165" t="str">
            <v>M-P</v>
          </cell>
          <cell r="L1165" t="str">
            <v>1000.000000</v>
          </cell>
          <cell r="AL1165" t="str">
            <v>390899</v>
          </cell>
          <cell r="BC1165" t="str">
            <v>Cust-PP</v>
          </cell>
          <cell r="BD1165" t="str">
            <v>2.0000000000000000</v>
          </cell>
          <cell r="BE1165" t="str">
            <v>.0000000000000000</v>
          </cell>
          <cell r="BF1165" t="str">
            <v>.0000000000000000</v>
          </cell>
          <cell r="BG1165" t="str">
            <v>None</v>
          </cell>
          <cell r="BK1165" t="str">
            <v>2025-07-13 00:00:00</v>
          </cell>
          <cell r="BL1165" t="str">
            <v>Airport EG-1294</v>
          </cell>
          <cell r="BM1165" t="str">
            <v>No</v>
          </cell>
          <cell r="BN1165" t="str">
            <v>No</v>
          </cell>
          <cell r="BO1165" t="str">
            <v>CPay-000000007</v>
          </cell>
        </row>
        <row r="1166">
          <cell r="B1166" t="str">
            <v>391673</v>
          </cell>
          <cell r="C1166" t="str">
            <v>77.0000000000000000</v>
          </cell>
          <cell r="E1166" t="str">
            <v>Cust</v>
          </cell>
          <cell r="G1166" t="str">
            <v>No</v>
          </cell>
          <cell r="H1166" t="str">
            <v>1900-01-01 00:00:00</v>
          </cell>
          <cell r="K1166" t="str">
            <v>M-P</v>
          </cell>
          <cell r="L1166" t="str">
            <v>199.500000</v>
          </cell>
          <cell r="AL1166" t="str">
            <v>391673</v>
          </cell>
          <cell r="BC1166" t="str">
            <v>Cust-PP</v>
          </cell>
          <cell r="BD1166" t="str">
            <v>2.0000000000000000</v>
          </cell>
          <cell r="BE1166" t="str">
            <v>.0000000000000000</v>
          </cell>
          <cell r="BF1166" t="str">
            <v>.0000000000000000</v>
          </cell>
          <cell r="BG1166" t="str">
            <v>None</v>
          </cell>
          <cell r="BK1166" t="str">
            <v>2025-07-13 00:00:00</v>
          </cell>
          <cell r="BL1166" t="str">
            <v>Airport EG-1286</v>
          </cell>
          <cell r="BM1166" t="str">
            <v>No</v>
          </cell>
          <cell r="BN1166" t="str">
            <v>No</v>
          </cell>
          <cell r="BO1166" t="str">
            <v>CPay-000000007</v>
          </cell>
        </row>
        <row r="1167">
          <cell r="B1167" t="str">
            <v>391815</v>
          </cell>
          <cell r="C1167" t="str">
            <v>78.0000000000000000</v>
          </cell>
          <cell r="E1167" t="str">
            <v>Cust</v>
          </cell>
          <cell r="G1167" t="str">
            <v>No</v>
          </cell>
          <cell r="H1167" t="str">
            <v>1900-01-01 00:00:00</v>
          </cell>
          <cell r="K1167" t="str">
            <v>M-P</v>
          </cell>
          <cell r="L1167" t="str">
            <v>1653.000000</v>
          </cell>
          <cell r="AL1167" t="str">
            <v>391815</v>
          </cell>
          <cell r="BC1167" t="str">
            <v>Cust-PP</v>
          </cell>
          <cell r="BD1167" t="str">
            <v>2.0000000000000000</v>
          </cell>
          <cell r="BE1167" t="str">
            <v>.0000000000000000</v>
          </cell>
          <cell r="BF1167" t="str">
            <v>.0000000000000000</v>
          </cell>
          <cell r="BG1167" t="str">
            <v>None</v>
          </cell>
          <cell r="BK1167" t="str">
            <v>2025-07-13 00:00:00</v>
          </cell>
          <cell r="BL1167" t="str">
            <v>Airport EG-1280</v>
          </cell>
          <cell r="BM1167" t="str">
            <v>No</v>
          </cell>
          <cell r="BN1167" t="str">
            <v>No</v>
          </cell>
          <cell r="BO1167" t="str">
            <v>CPay-000000007</v>
          </cell>
        </row>
        <row r="1168">
          <cell r="B1168" t="str">
            <v>391904</v>
          </cell>
          <cell r="C1168" t="str">
            <v>79.0000000000000000</v>
          </cell>
          <cell r="E1168" t="str">
            <v>Cust</v>
          </cell>
          <cell r="G1168" t="str">
            <v>No</v>
          </cell>
          <cell r="H1168" t="str">
            <v>1900-01-01 00:00:00</v>
          </cell>
          <cell r="K1168" t="str">
            <v>M-P</v>
          </cell>
          <cell r="L1168" t="str">
            <v>1000.000000</v>
          </cell>
          <cell r="AL1168" t="str">
            <v>391904</v>
          </cell>
          <cell r="BC1168" t="str">
            <v>Cust-PP</v>
          </cell>
          <cell r="BD1168" t="str">
            <v>2.0000000000000000</v>
          </cell>
          <cell r="BE1168" t="str">
            <v>.0000000000000000</v>
          </cell>
          <cell r="BF1168" t="str">
            <v>.0000000000000000</v>
          </cell>
          <cell r="BG1168" t="str">
            <v>None</v>
          </cell>
          <cell r="BK1168" t="str">
            <v>2025-07-13 00:00:00</v>
          </cell>
          <cell r="BL1168" t="str">
            <v>Airport EG-1289</v>
          </cell>
          <cell r="BM1168" t="str">
            <v>No</v>
          </cell>
          <cell r="BN1168" t="str">
            <v>No</v>
          </cell>
          <cell r="BO1168" t="str">
            <v>CPay-000000007</v>
          </cell>
        </row>
        <row r="1169">
          <cell r="B1169" t="str">
            <v>392031</v>
          </cell>
          <cell r="C1169" t="str">
            <v>80.0000000000000000</v>
          </cell>
          <cell r="E1169" t="str">
            <v>Cust</v>
          </cell>
          <cell r="G1169" t="str">
            <v>No</v>
          </cell>
          <cell r="H1169" t="str">
            <v>1900-01-01 00:00:00</v>
          </cell>
          <cell r="K1169" t="str">
            <v>M-P</v>
          </cell>
          <cell r="L1169" t="str">
            <v>1000.000000</v>
          </cell>
          <cell r="AL1169" t="str">
            <v>392031</v>
          </cell>
          <cell r="BC1169" t="str">
            <v>Cust-PP</v>
          </cell>
          <cell r="BD1169" t="str">
            <v>2.0000000000000000</v>
          </cell>
          <cell r="BE1169" t="str">
            <v>.0000000000000000</v>
          </cell>
          <cell r="BF1169" t="str">
            <v>.0000000000000000</v>
          </cell>
          <cell r="BG1169" t="str">
            <v>None</v>
          </cell>
          <cell r="BK1169" t="str">
            <v>2025-07-13 00:00:00</v>
          </cell>
          <cell r="BL1169" t="str">
            <v>Airport EG-1292</v>
          </cell>
          <cell r="BM1169" t="str">
            <v>No</v>
          </cell>
          <cell r="BN1169" t="str">
            <v>No</v>
          </cell>
          <cell r="BO1169" t="str">
            <v>CPay-000000007</v>
          </cell>
        </row>
        <row r="1170">
          <cell r="B1170" t="str">
            <v>392320</v>
          </cell>
          <cell r="C1170" t="str">
            <v>81.0000000000000000</v>
          </cell>
          <cell r="E1170" t="str">
            <v>Cust</v>
          </cell>
          <cell r="G1170" t="str">
            <v>No</v>
          </cell>
          <cell r="H1170" t="str">
            <v>1900-01-01 00:00:00</v>
          </cell>
          <cell r="K1170" t="str">
            <v>M-P</v>
          </cell>
          <cell r="L1170" t="str">
            <v>364.800000</v>
          </cell>
          <cell r="AL1170" t="str">
            <v>392320</v>
          </cell>
          <cell r="BC1170" t="str">
            <v>Cust-PP</v>
          </cell>
          <cell r="BD1170" t="str">
            <v>2.0000000000000000</v>
          </cell>
          <cell r="BE1170" t="str">
            <v>.0000000000000000</v>
          </cell>
          <cell r="BF1170" t="str">
            <v>.0000000000000000</v>
          </cell>
          <cell r="BG1170" t="str">
            <v>None</v>
          </cell>
          <cell r="BK1170" t="str">
            <v>2025-07-13 00:00:00</v>
          </cell>
          <cell r="BL1170" t="str">
            <v>Airport EG-1295</v>
          </cell>
          <cell r="BM1170" t="str">
            <v>No</v>
          </cell>
          <cell r="BN1170" t="str">
            <v>No</v>
          </cell>
          <cell r="BO1170" t="str">
            <v>CPay-000000007</v>
          </cell>
        </row>
        <row r="1171">
          <cell r="B1171" t="str">
            <v>392450</v>
          </cell>
          <cell r="C1171" t="str">
            <v>82.0000000000000000</v>
          </cell>
          <cell r="E1171" t="str">
            <v>Cust</v>
          </cell>
          <cell r="G1171" t="str">
            <v>No</v>
          </cell>
          <cell r="H1171" t="str">
            <v>1900-01-01 00:00:00</v>
          </cell>
          <cell r="K1171" t="str">
            <v>M-P</v>
          </cell>
          <cell r="L1171" t="str">
            <v>199.500000</v>
          </cell>
          <cell r="AL1171" t="str">
            <v>392450</v>
          </cell>
          <cell r="BC1171" t="str">
            <v>Cust-PP</v>
          </cell>
          <cell r="BD1171" t="str">
            <v>2.0000000000000000</v>
          </cell>
          <cell r="BE1171" t="str">
            <v>.0000000000000000</v>
          </cell>
          <cell r="BF1171" t="str">
            <v>.0000000000000000</v>
          </cell>
          <cell r="BG1171" t="str">
            <v>None</v>
          </cell>
          <cell r="BK1171" t="str">
            <v>2025-07-13 00:00:00</v>
          </cell>
          <cell r="BL1171" t="str">
            <v>Airport EG-1281</v>
          </cell>
          <cell r="BM1171" t="str">
            <v>No</v>
          </cell>
          <cell r="BN1171" t="str">
            <v>No</v>
          </cell>
          <cell r="BO1171" t="str">
            <v>CPay-000000007</v>
          </cell>
        </row>
        <row r="1172">
          <cell r="B1172" t="str">
            <v>392801</v>
          </cell>
          <cell r="C1172" t="str">
            <v>83.0000000000000000</v>
          </cell>
          <cell r="E1172" t="str">
            <v>Cust</v>
          </cell>
          <cell r="G1172" t="str">
            <v>No</v>
          </cell>
          <cell r="H1172" t="str">
            <v>1900-01-01 00:00:00</v>
          </cell>
          <cell r="K1172" t="str">
            <v>M-P</v>
          </cell>
          <cell r="L1172" t="str">
            <v>1000.000000</v>
          </cell>
          <cell r="AL1172" t="str">
            <v>392801</v>
          </cell>
          <cell r="BC1172" t="str">
            <v>Cust-PP</v>
          </cell>
          <cell r="BD1172" t="str">
            <v>2.0000000000000000</v>
          </cell>
          <cell r="BE1172" t="str">
            <v>.0000000000000000</v>
          </cell>
          <cell r="BF1172" t="str">
            <v>.0000000000000000</v>
          </cell>
          <cell r="BG1172" t="str">
            <v>None</v>
          </cell>
          <cell r="BK1172" t="str">
            <v>2025-07-13 00:00:00</v>
          </cell>
          <cell r="BL1172" t="str">
            <v>Airport EG-1285</v>
          </cell>
          <cell r="BM1172" t="str">
            <v>No</v>
          </cell>
          <cell r="BN1172" t="str">
            <v>No</v>
          </cell>
          <cell r="BO1172" t="str">
            <v>CPay-000000007</v>
          </cell>
        </row>
        <row r="1173">
          <cell r="B1173" t="str">
            <v>392966</v>
          </cell>
          <cell r="C1173" t="str">
            <v>84.0000000000000000</v>
          </cell>
          <cell r="E1173" t="str">
            <v>Cust</v>
          </cell>
          <cell r="G1173" t="str">
            <v>No</v>
          </cell>
          <cell r="H1173" t="str">
            <v>1900-01-01 00:00:00</v>
          </cell>
          <cell r="K1173" t="str">
            <v>M-P</v>
          </cell>
          <cell r="L1173" t="str">
            <v>199.500000</v>
          </cell>
          <cell r="AL1173" t="str">
            <v>392966</v>
          </cell>
          <cell r="BC1173" t="str">
            <v>Cust-PP</v>
          </cell>
          <cell r="BD1173" t="str">
            <v>2.0000000000000000</v>
          </cell>
          <cell r="BE1173" t="str">
            <v>.0000000000000000</v>
          </cell>
          <cell r="BF1173" t="str">
            <v>.0000000000000000</v>
          </cell>
          <cell r="BG1173" t="str">
            <v>None</v>
          </cell>
          <cell r="BK1173" t="str">
            <v>2025-07-13 00:00:00</v>
          </cell>
          <cell r="BL1173" t="str">
            <v>Airport EG-1290</v>
          </cell>
          <cell r="BM1173" t="str">
            <v>No</v>
          </cell>
          <cell r="BN1173" t="str">
            <v>No</v>
          </cell>
          <cell r="BO1173" t="str">
            <v>CPay-000000007</v>
          </cell>
        </row>
        <row r="1174">
          <cell r="B1174" t="str">
            <v>393169</v>
          </cell>
          <cell r="C1174" t="str">
            <v>85.0000000000000000</v>
          </cell>
          <cell r="E1174" t="str">
            <v>Cust</v>
          </cell>
          <cell r="G1174" t="str">
            <v>No</v>
          </cell>
          <cell r="H1174" t="str">
            <v>1900-01-01 00:00:00</v>
          </cell>
          <cell r="K1174" t="str">
            <v>M-P</v>
          </cell>
          <cell r="L1174" t="str">
            <v>1000.000000</v>
          </cell>
          <cell r="AL1174" t="str">
            <v>393169</v>
          </cell>
          <cell r="BC1174" t="str">
            <v>Cust-PP</v>
          </cell>
          <cell r="BD1174" t="str">
            <v>2.0000000000000000</v>
          </cell>
          <cell r="BE1174" t="str">
            <v>.0000000000000000</v>
          </cell>
          <cell r="BF1174" t="str">
            <v>.0000000000000000</v>
          </cell>
          <cell r="BG1174" t="str">
            <v>None</v>
          </cell>
          <cell r="BK1174" t="str">
            <v>2025-07-13 00:00:00</v>
          </cell>
          <cell r="BL1174" t="str">
            <v>Airport EG-1287</v>
          </cell>
          <cell r="BM1174" t="str">
            <v>No</v>
          </cell>
          <cell r="BN1174" t="str">
            <v>No</v>
          </cell>
          <cell r="BO1174" t="str">
            <v>CPay-000000007</v>
          </cell>
        </row>
        <row r="1175">
          <cell r="B1175" t="str">
            <v>393613</v>
          </cell>
          <cell r="C1175" t="str">
            <v>86.0000000000000000</v>
          </cell>
          <cell r="E1175" t="str">
            <v>Cust</v>
          </cell>
          <cell r="G1175" t="str">
            <v>No</v>
          </cell>
          <cell r="H1175" t="str">
            <v>1900-01-01 00:00:00</v>
          </cell>
          <cell r="K1175" t="str">
            <v>M-P</v>
          </cell>
          <cell r="L1175" t="str">
            <v>199.500000</v>
          </cell>
          <cell r="AL1175" t="str">
            <v>393613</v>
          </cell>
          <cell r="BC1175" t="str">
            <v>Cust-PP</v>
          </cell>
          <cell r="BD1175" t="str">
            <v>2.0000000000000000</v>
          </cell>
          <cell r="BE1175" t="str">
            <v>.0000000000000000</v>
          </cell>
          <cell r="BF1175" t="str">
            <v>.0000000000000000</v>
          </cell>
          <cell r="BG1175" t="str">
            <v>None</v>
          </cell>
          <cell r="BK1175" t="str">
            <v>2025-07-13 00:00:00</v>
          </cell>
          <cell r="BL1175" t="str">
            <v>Airport EG-1293</v>
          </cell>
          <cell r="BM1175" t="str">
            <v>No</v>
          </cell>
          <cell r="BN1175" t="str">
            <v>No</v>
          </cell>
          <cell r="BO1175" t="str">
            <v>CPay-000000007</v>
          </cell>
        </row>
        <row r="1176">
          <cell r="B1176" t="str">
            <v>391441</v>
          </cell>
          <cell r="C1176" t="str">
            <v>87.0000000000000000</v>
          </cell>
          <cell r="E1176" t="str">
            <v>Cust</v>
          </cell>
          <cell r="G1176" t="str">
            <v>No</v>
          </cell>
          <cell r="H1176" t="str">
            <v>1900-01-01 00:00:00</v>
          </cell>
          <cell r="K1176" t="str">
            <v>M-P</v>
          </cell>
          <cell r="L1176" t="str">
            <v>894.670000</v>
          </cell>
          <cell r="AL1176" t="str">
            <v>391441</v>
          </cell>
          <cell r="BC1176" t="str">
            <v>Cust-PP</v>
          </cell>
          <cell r="BD1176" t="str">
            <v>2.0000000000000000</v>
          </cell>
          <cell r="BE1176" t="str">
            <v>.0000000000000000</v>
          </cell>
          <cell r="BF1176" t="str">
            <v>.0000000000000000</v>
          </cell>
          <cell r="BG1176" t="str">
            <v>None</v>
          </cell>
          <cell r="BK1176" t="str">
            <v>2025-07-14 00:00:00</v>
          </cell>
          <cell r="BL1176" t="str">
            <v>Airport EG-1301</v>
          </cell>
          <cell r="BM1176" t="str">
            <v>No</v>
          </cell>
          <cell r="BN1176" t="str">
            <v>No</v>
          </cell>
          <cell r="BO1176" t="str">
            <v>CPay-000000007</v>
          </cell>
        </row>
        <row r="1177">
          <cell r="B1177" t="str">
            <v>391553</v>
          </cell>
          <cell r="C1177" t="str">
            <v>88.0000000000000000</v>
          </cell>
          <cell r="E1177" t="str">
            <v>Cust</v>
          </cell>
          <cell r="G1177" t="str">
            <v>No</v>
          </cell>
          <cell r="H1177" t="str">
            <v>1900-01-01 00:00:00</v>
          </cell>
          <cell r="K1177" t="str">
            <v>M-P</v>
          </cell>
          <cell r="L1177" t="str">
            <v>3219.130000</v>
          </cell>
          <cell r="AL1177" t="str">
            <v>391553</v>
          </cell>
          <cell r="BC1177" t="str">
            <v>Cust-PP</v>
          </cell>
          <cell r="BD1177" t="str">
            <v>2.0000000000000000</v>
          </cell>
          <cell r="BE1177" t="str">
            <v>.0000000000000000</v>
          </cell>
          <cell r="BF1177" t="str">
            <v>.0000000000000000</v>
          </cell>
          <cell r="BG1177" t="str">
            <v>None</v>
          </cell>
          <cell r="BK1177" t="str">
            <v>2025-07-14 00:00:00</v>
          </cell>
          <cell r="BL1177" t="str">
            <v>Airport EG-1299</v>
          </cell>
          <cell r="BM1177" t="str">
            <v>No</v>
          </cell>
          <cell r="BN1177" t="str">
            <v>No</v>
          </cell>
          <cell r="BO1177" t="str">
            <v>CPay-000000007</v>
          </cell>
        </row>
        <row r="1178">
          <cell r="B1178" t="str">
            <v>391835</v>
          </cell>
          <cell r="C1178" t="str">
            <v>89.0000000000000000</v>
          </cell>
          <cell r="E1178" t="str">
            <v>Cust</v>
          </cell>
          <cell r="G1178" t="str">
            <v>No</v>
          </cell>
          <cell r="H1178" t="str">
            <v>1900-01-01 00:00:00</v>
          </cell>
          <cell r="K1178" t="str">
            <v>M-P</v>
          </cell>
          <cell r="L1178" t="str">
            <v>1653.000000</v>
          </cell>
          <cell r="AL1178" t="str">
            <v>391835</v>
          </cell>
          <cell r="BC1178" t="str">
            <v>Cust-PP</v>
          </cell>
          <cell r="BD1178" t="str">
            <v>2.0000000000000000</v>
          </cell>
          <cell r="BE1178" t="str">
            <v>.0000000000000000</v>
          </cell>
          <cell r="BF1178" t="str">
            <v>.0000000000000000</v>
          </cell>
          <cell r="BG1178" t="str">
            <v>None</v>
          </cell>
          <cell r="BK1178" t="str">
            <v>2025-07-14 00:00:00</v>
          </cell>
          <cell r="BL1178" t="str">
            <v>Airport EG-1306</v>
          </cell>
          <cell r="BM1178" t="str">
            <v>No</v>
          </cell>
          <cell r="BN1178" t="str">
            <v>No</v>
          </cell>
          <cell r="BO1178" t="str">
            <v>CPay-000000007</v>
          </cell>
        </row>
        <row r="1179">
          <cell r="B1179" t="str">
            <v>392159</v>
          </cell>
          <cell r="C1179" t="str">
            <v>90.0000000000000000</v>
          </cell>
          <cell r="E1179" t="str">
            <v>Cust</v>
          </cell>
          <cell r="G1179" t="str">
            <v>No</v>
          </cell>
          <cell r="H1179" t="str">
            <v>1900-01-01 00:00:00</v>
          </cell>
          <cell r="K1179" t="str">
            <v>M-P</v>
          </cell>
          <cell r="L1179" t="str">
            <v>1653.000000</v>
          </cell>
          <cell r="AL1179" t="str">
            <v>392159</v>
          </cell>
          <cell r="BC1179" t="str">
            <v>Cust-PP</v>
          </cell>
          <cell r="BD1179" t="str">
            <v>2.0000000000000000</v>
          </cell>
          <cell r="BE1179" t="str">
            <v>.0000000000000000</v>
          </cell>
          <cell r="BF1179" t="str">
            <v>.0000000000000000</v>
          </cell>
          <cell r="BG1179" t="str">
            <v>None</v>
          </cell>
          <cell r="BK1179" t="str">
            <v>2025-07-14 00:00:00</v>
          </cell>
          <cell r="BL1179" t="str">
            <v>Airport EG-1296</v>
          </cell>
          <cell r="BM1179" t="str">
            <v>No</v>
          </cell>
          <cell r="BN1179" t="str">
            <v>No</v>
          </cell>
          <cell r="BO1179" t="str">
            <v>CPay-000000007</v>
          </cell>
        </row>
        <row r="1180">
          <cell r="B1180" t="str">
            <v>392275</v>
          </cell>
          <cell r="C1180" t="str">
            <v>91.0000000000000000</v>
          </cell>
          <cell r="E1180" t="str">
            <v>Cust</v>
          </cell>
          <cell r="G1180" t="str">
            <v>No</v>
          </cell>
          <cell r="H1180" t="str">
            <v>1900-01-01 00:00:00</v>
          </cell>
          <cell r="K1180" t="str">
            <v>M-P</v>
          </cell>
          <cell r="L1180" t="str">
            <v>672.600000</v>
          </cell>
          <cell r="AL1180" t="str">
            <v>392275</v>
          </cell>
          <cell r="BC1180" t="str">
            <v>Cust-PP</v>
          </cell>
          <cell r="BD1180" t="str">
            <v>2.0000000000000000</v>
          </cell>
          <cell r="BE1180" t="str">
            <v>.0000000000000000</v>
          </cell>
          <cell r="BF1180" t="str">
            <v>.0000000000000000</v>
          </cell>
          <cell r="BG1180" t="str">
            <v>None</v>
          </cell>
          <cell r="BK1180" t="str">
            <v>2025-07-14 00:00:00</v>
          </cell>
          <cell r="BL1180" t="str">
            <v>Airport EG-1308</v>
          </cell>
          <cell r="BM1180" t="str">
            <v>No</v>
          </cell>
          <cell r="BN1180" t="str">
            <v>No</v>
          </cell>
          <cell r="BO1180" t="str">
            <v>CPay-000000007</v>
          </cell>
        </row>
        <row r="1181">
          <cell r="B1181" t="str">
            <v>392490</v>
          </cell>
          <cell r="C1181" t="str">
            <v>92.0000000000000000</v>
          </cell>
          <cell r="E1181" t="str">
            <v>Cust</v>
          </cell>
          <cell r="G1181" t="str">
            <v>No</v>
          </cell>
          <cell r="H1181" t="str">
            <v>1900-01-01 00:00:00</v>
          </cell>
          <cell r="K1181" t="str">
            <v>M-P</v>
          </cell>
          <cell r="L1181" t="str">
            <v>1653.000000</v>
          </cell>
          <cell r="AL1181" t="str">
            <v>392490</v>
          </cell>
          <cell r="BC1181" t="str">
            <v>Cust-PP</v>
          </cell>
          <cell r="BD1181" t="str">
            <v>2.0000000000000000</v>
          </cell>
          <cell r="BE1181" t="str">
            <v>.0000000000000000</v>
          </cell>
          <cell r="BF1181" t="str">
            <v>.0000000000000000</v>
          </cell>
          <cell r="BG1181" t="str">
            <v>None</v>
          </cell>
          <cell r="BK1181" t="str">
            <v>2025-07-14 00:00:00</v>
          </cell>
          <cell r="BL1181" t="str">
            <v>Airport EG-1302</v>
          </cell>
          <cell r="BM1181" t="str">
            <v>No</v>
          </cell>
          <cell r="BN1181" t="str">
            <v>No</v>
          </cell>
          <cell r="BO1181" t="str">
            <v>CPay-000000007</v>
          </cell>
        </row>
        <row r="1182">
          <cell r="B1182" t="str">
            <v>393110</v>
          </cell>
          <cell r="C1182" t="str">
            <v>93.0000000000000000</v>
          </cell>
          <cell r="E1182" t="str">
            <v>Cust</v>
          </cell>
          <cell r="G1182" t="str">
            <v>No</v>
          </cell>
          <cell r="H1182" t="str">
            <v>1900-01-01 00:00:00</v>
          </cell>
          <cell r="K1182" t="str">
            <v>M-P</v>
          </cell>
          <cell r="L1182" t="str">
            <v>1653.000000</v>
          </cell>
          <cell r="AL1182" t="str">
            <v>393110</v>
          </cell>
          <cell r="BC1182" t="str">
            <v>Cust-PP</v>
          </cell>
          <cell r="BD1182" t="str">
            <v>2.0000000000000000</v>
          </cell>
          <cell r="BE1182" t="str">
            <v>.0000000000000000</v>
          </cell>
          <cell r="BF1182" t="str">
            <v>.0000000000000000</v>
          </cell>
          <cell r="BG1182" t="str">
            <v>None</v>
          </cell>
          <cell r="BK1182" t="str">
            <v>2025-07-14 00:00:00</v>
          </cell>
          <cell r="BL1182" t="str">
            <v>Airport EG-1304</v>
          </cell>
          <cell r="BM1182" t="str">
            <v>No</v>
          </cell>
          <cell r="BN1182" t="str">
            <v>No</v>
          </cell>
          <cell r="BO1182" t="str">
            <v>CPay-000000007</v>
          </cell>
        </row>
        <row r="1183">
          <cell r="B1183" t="str">
            <v>393275</v>
          </cell>
          <cell r="C1183" t="str">
            <v>94.0000000000000000</v>
          </cell>
          <cell r="E1183" t="str">
            <v>Cust</v>
          </cell>
          <cell r="G1183" t="str">
            <v>No</v>
          </cell>
          <cell r="H1183" t="str">
            <v>1900-01-01 00:00:00</v>
          </cell>
          <cell r="K1183" t="str">
            <v>M-P</v>
          </cell>
          <cell r="L1183" t="str">
            <v>681.830000</v>
          </cell>
          <cell r="AL1183" t="str">
            <v>393275</v>
          </cell>
          <cell r="BC1183" t="str">
            <v>Cust-PP</v>
          </cell>
          <cell r="BD1183" t="str">
            <v>2.0000000000000000</v>
          </cell>
          <cell r="BE1183" t="str">
            <v>.0000000000000000</v>
          </cell>
          <cell r="BF1183" t="str">
            <v>.0000000000000000</v>
          </cell>
          <cell r="BG1183" t="str">
            <v>None</v>
          </cell>
          <cell r="BK1183" t="str">
            <v>2025-07-14 00:00:00</v>
          </cell>
          <cell r="BL1183" t="str">
            <v>Airport EG-1307</v>
          </cell>
          <cell r="BM1183" t="str">
            <v>No</v>
          </cell>
          <cell r="BN1183" t="str">
            <v>No</v>
          </cell>
          <cell r="BO1183" t="str">
            <v>CPay-000000007</v>
          </cell>
        </row>
        <row r="1184">
          <cell r="B1184" t="str">
            <v>393425</v>
          </cell>
          <cell r="C1184" t="str">
            <v>95.0000000000000000</v>
          </cell>
          <cell r="E1184" t="str">
            <v>Cust</v>
          </cell>
          <cell r="G1184" t="str">
            <v>No</v>
          </cell>
          <cell r="H1184" t="str">
            <v>1900-01-01 00:00:00</v>
          </cell>
          <cell r="K1184" t="str">
            <v>M-P</v>
          </cell>
          <cell r="L1184" t="str">
            <v>1653.000000</v>
          </cell>
          <cell r="AL1184" t="str">
            <v>393425</v>
          </cell>
          <cell r="BC1184" t="str">
            <v>Cust-PP</v>
          </cell>
          <cell r="BD1184" t="str">
            <v>2.0000000000000000</v>
          </cell>
          <cell r="BE1184" t="str">
            <v>.0000000000000000</v>
          </cell>
          <cell r="BF1184" t="str">
            <v>.0000000000000000</v>
          </cell>
          <cell r="BG1184" t="str">
            <v>None</v>
          </cell>
          <cell r="BK1184" t="str">
            <v>2025-07-14 00:00:00</v>
          </cell>
          <cell r="BL1184" t="str">
            <v>Airport EG-1298</v>
          </cell>
          <cell r="BM1184" t="str">
            <v>No</v>
          </cell>
          <cell r="BN1184" t="str">
            <v>No</v>
          </cell>
          <cell r="BO1184" t="str">
            <v>CPay-000000007</v>
          </cell>
        </row>
        <row r="1185">
          <cell r="B1185" t="str">
            <v>393618</v>
          </cell>
          <cell r="C1185" t="str">
            <v>96.0000000000000000</v>
          </cell>
          <cell r="E1185" t="str">
            <v>Cust</v>
          </cell>
          <cell r="G1185" t="str">
            <v>No</v>
          </cell>
          <cell r="H1185" t="str">
            <v>1900-01-01 00:00:00</v>
          </cell>
          <cell r="K1185" t="str">
            <v>M-P</v>
          </cell>
          <cell r="L1185" t="str">
            <v>199.500000</v>
          </cell>
          <cell r="AL1185" t="str">
            <v>393618</v>
          </cell>
          <cell r="BC1185" t="str">
            <v>Cust-PP</v>
          </cell>
          <cell r="BD1185" t="str">
            <v>2.0000000000000000</v>
          </cell>
          <cell r="BE1185" t="str">
            <v>.0000000000000000</v>
          </cell>
          <cell r="BF1185" t="str">
            <v>.0000000000000000</v>
          </cell>
          <cell r="BG1185" t="str">
            <v>None</v>
          </cell>
          <cell r="BK1185" t="str">
            <v>2025-07-14 00:00:00</v>
          </cell>
          <cell r="BL1185" t="str">
            <v>Airport EG-1297</v>
          </cell>
          <cell r="BM1185" t="str">
            <v>No</v>
          </cell>
          <cell r="BN1185" t="str">
            <v>No</v>
          </cell>
          <cell r="BO1185" t="str">
            <v>CPay-000000007</v>
          </cell>
        </row>
        <row r="1186">
          <cell r="B1186" t="str">
            <v>393717</v>
          </cell>
          <cell r="C1186" t="str">
            <v>97.0000000000000000</v>
          </cell>
          <cell r="E1186" t="str">
            <v>Cust</v>
          </cell>
          <cell r="G1186" t="str">
            <v>No</v>
          </cell>
          <cell r="H1186" t="str">
            <v>1900-01-01 00:00:00</v>
          </cell>
          <cell r="K1186" t="str">
            <v>M-P</v>
          </cell>
          <cell r="L1186" t="str">
            <v>6148.930000</v>
          </cell>
          <cell r="AL1186" t="str">
            <v>393717</v>
          </cell>
          <cell r="BC1186" t="str">
            <v>Cust-PP</v>
          </cell>
          <cell r="BD1186" t="str">
            <v>2.0000000000000000</v>
          </cell>
          <cell r="BE1186" t="str">
            <v>.0000000000000000</v>
          </cell>
          <cell r="BF1186" t="str">
            <v>.0000000000000000</v>
          </cell>
          <cell r="BG1186" t="str">
            <v>None</v>
          </cell>
          <cell r="BK1186" t="str">
            <v>2025-07-14 00:00:00</v>
          </cell>
          <cell r="BL1186" t="str">
            <v>Airport EG-1305</v>
          </cell>
          <cell r="BM1186" t="str">
            <v>No</v>
          </cell>
          <cell r="BN1186" t="str">
            <v>No</v>
          </cell>
          <cell r="BO1186" t="str">
            <v>CPay-000000007</v>
          </cell>
        </row>
        <row r="1187">
          <cell r="B1187" t="str">
            <v>393969</v>
          </cell>
          <cell r="C1187" t="str">
            <v>98.0000000000000000</v>
          </cell>
          <cell r="E1187" t="str">
            <v>Cust</v>
          </cell>
          <cell r="G1187" t="str">
            <v>No</v>
          </cell>
          <cell r="H1187" t="str">
            <v>1900-01-01 00:00:00</v>
          </cell>
          <cell r="K1187" t="str">
            <v>M-P</v>
          </cell>
          <cell r="L1187" t="str">
            <v>199.500000</v>
          </cell>
          <cell r="AL1187" t="str">
            <v>393969</v>
          </cell>
          <cell r="BC1187" t="str">
            <v>Cust-PP</v>
          </cell>
          <cell r="BD1187" t="str">
            <v>2.0000000000000000</v>
          </cell>
          <cell r="BE1187" t="str">
            <v>.0000000000000000</v>
          </cell>
          <cell r="BF1187" t="str">
            <v>.0000000000000000</v>
          </cell>
          <cell r="BG1187" t="str">
            <v>None</v>
          </cell>
          <cell r="BK1187" t="str">
            <v>2025-07-14 00:00:00</v>
          </cell>
          <cell r="BL1187" t="str">
            <v>Airport EG-1303</v>
          </cell>
          <cell r="BM1187" t="str">
            <v>No</v>
          </cell>
          <cell r="BN1187" t="str">
            <v>No</v>
          </cell>
          <cell r="BO1187" t="str">
            <v>CPay-000000007</v>
          </cell>
        </row>
        <row r="1188">
          <cell r="B1188" t="str">
            <v>394098</v>
          </cell>
          <cell r="C1188" t="str">
            <v>99.0000000000000000</v>
          </cell>
          <cell r="E1188" t="str">
            <v>Cust</v>
          </cell>
          <cell r="G1188" t="str">
            <v>No</v>
          </cell>
          <cell r="H1188" t="str">
            <v>1900-01-01 00:00:00</v>
          </cell>
          <cell r="K1188" t="str">
            <v>M-P</v>
          </cell>
          <cell r="L1188" t="str">
            <v>1653.000000</v>
          </cell>
          <cell r="AL1188" t="str">
            <v>394098</v>
          </cell>
          <cell r="BC1188" t="str">
            <v>Cust-PP</v>
          </cell>
          <cell r="BD1188" t="str">
            <v>2.0000000000000000</v>
          </cell>
          <cell r="BE1188" t="str">
            <v>.0000000000000000</v>
          </cell>
          <cell r="BF1188" t="str">
            <v>.0000000000000000</v>
          </cell>
          <cell r="BG1188" t="str">
            <v>None</v>
          </cell>
          <cell r="BK1188" t="str">
            <v>2025-07-14 00:00:00</v>
          </cell>
          <cell r="BL1188" t="str">
            <v>Airport EG-1300</v>
          </cell>
          <cell r="BM1188" t="str">
            <v>No</v>
          </cell>
          <cell r="BN1188" t="str">
            <v>No</v>
          </cell>
          <cell r="BO1188" t="str">
            <v>CPay-000000007</v>
          </cell>
        </row>
        <row r="1189">
          <cell r="B1189" t="str">
            <v>391092</v>
          </cell>
          <cell r="C1189" t="str">
            <v>100.0000000000000000</v>
          </cell>
          <cell r="E1189" t="str">
            <v>Cust</v>
          </cell>
          <cell r="G1189" t="str">
            <v>No</v>
          </cell>
          <cell r="H1189" t="str">
            <v>1900-01-01 00:00:00</v>
          </cell>
          <cell r="K1189" t="str">
            <v>M-P</v>
          </cell>
          <cell r="L1189" t="str">
            <v>199.500000</v>
          </cell>
          <cell r="AL1189" t="str">
            <v>391092</v>
          </cell>
          <cell r="BC1189" t="str">
            <v>Cust-PP</v>
          </cell>
          <cell r="BD1189" t="str">
            <v>2.0000000000000000</v>
          </cell>
          <cell r="BE1189" t="str">
            <v>.0000000000000000</v>
          </cell>
          <cell r="BF1189" t="str">
            <v>.0000000000000000</v>
          </cell>
          <cell r="BG1189" t="str">
            <v>None</v>
          </cell>
          <cell r="BK1189" t="str">
            <v>2025-07-15 00:00:00</v>
          </cell>
          <cell r="BL1189" t="str">
            <v>Airport EG-1311</v>
          </cell>
          <cell r="BM1189" t="str">
            <v>No</v>
          </cell>
          <cell r="BN1189" t="str">
            <v>No</v>
          </cell>
          <cell r="BO1189" t="str">
            <v>CPay-000000007</v>
          </cell>
        </row>
        <row r="1190">
          <cell r="B1190" t="str">
            <v>391655</v>
          </cell>
          <cell r="C1190" t="str">
            <v>101.0000000000000000</v>
          </cell>
          <cell r="E1190" t="str">
            <v>Cust</v>
          </cell>
          <cell r="G1190" t="str">
            <v>No</v>
          </cell>
          <cell r="H1190" t="str">
            <v>1900-01-01 00:00:00</v>
          </cell>
          <cell r="K1190" t="str">
            <v>M-P</v>
          </cell>
          <cell r="L1190" t="str">
            <v>199.500000</v>
          </cell>
          <cell r="AL1190" t="str">
            <v>391655</v>
          </cell>
          <cell r="BC1190" t="str">
            <v>Cust-PP</v>
          </cell>
          <cell r="BD1190" t="str">
            <v>2.0000000000000000</v>
          </cell>
          <cell r="BE1190" t="str">
            <v>.0000000000000000</v>
          </cell>
          <cell r="BF1190" t="str">
            <v>.0000000000000000</v>
          </cell>
          <cell r="BG1190" t="str">
            <v>None</v>
          </cell>
          <cell r="BK1190" t="str">
            <v>2025-07-15 00:00:00</v>
          </cell>
          <cell r="BL1190" t="str">
            <v>Airport EG-1309</v>
          </cell>
          <cell r="BM1190" t="str">
            <v>No</v>
          </cell>
          <cell r="BN1190" t="str">
            <v>No</v>
          </cell>
          <cell r="BO1190" t="str">
            <v>CPay-000000007</v>
          </cell>
        </row>
        <row r="1191">
          <cell r="B1191" t="str">
            <v>392016</v>
          </cell>
          <cell r="C1191" t="str">
            <v>102.0000000000000000</v>
          </cell>
          <cell r="E1191" t="str">
            <v>Cust</v>
          </cell>
          <cell r="G1191" t="str">
            <v>No</v>
          </cell>
          <cell r="H1191" t="str">
            <v>1900-01-01 00:00:00</v>
          </cell>
          <cell r="K1191" t="str">
            <v>M-P</v>
          </cell>
          <cell r="L1191" t="str">
            <v>2052.000000</v>
          </cell>
          <cell r="AL1191" t="str">
            <v>392016</v>
          </cell>
          <cell r="BC1191" t="str">
            <v>Cust-PP</v>
          </cell>
          <cell r="BD1191" t="str">
            <v>2.0000000000000000</v>
          </cell>
          <cell r="BE1191" t="str">
            <v>.0000000000000000</v>
          </cell>
          <cell r="BF1191" t="str">
            <v>.0000000000000000</v>
          </cell>
          <cell r="BG1191" t="str">
            <v>None</v>
          </cell>
          <cell r="BK1191" t="str">
            <v>2025-07-15 00:00:00</v>
          </cell>
          <cell r="BL1191" t="str">
            <v>Airport EG-1315</v>
          </cell>
          <cell r="BM1191" t="str">
            <v>No</v>
          </cell>
          <cell r="BN1191" t="str">
            <v>No</v>
          </cell>
          <cell r="BO1191" t="str">
            <v>CPay-000000007</v>
          </cell>
        </row>
        <row r="1192">
          <cell r="B1192" t="str">
            <v>392334</v>
          </cell>
          <cell r="C1192" t="str">
            <v>103.0000000000000000</v>
          </cell>
          <cell r="E1192" t="str">
            <v>Cust</v>
          </cell>
          <cell r="G1192" t="str">
            <v>No</v>
          </cell>
          <cell r="H1192" t="str">
            <v>1900-01-01 00:00:00</v>
          </cell>
          <cell r="K1192" t="str">
            <v>M-P</v>
          </cell>
          <cell r="L1192" t="str">
            <v>1653.000000</v>
          </cell>
          <cell r="AL1192" t="str">
            <v>392334</v>
          </cell>
          <cell r="BC1192" t="str">
            <v>Cust-PP</v>
          </cell>
          <cell r="BD1192" t="str">
            <v>2.0000000000000000</v>
          </cell>
          <cell r="BE1192" t="str">
            <v>.0000000000000000</v>
          </cell>
          <cell r="BF1192" t="str">
            <v>.0000000000000000</v>
          </cell>
          <cell r="BG1192" t="str">
            <v>None</v>
          </cell>
          <cell r="BK1192" t="str">
            <v>2025-07-15 00:00:00</v>
          </cell>
          <cell r="BL1192" t="str">
            <v>Airport EG-1312</v>
          </cell>
          <cell r="BM1192" t="str">
            <v>No</v>
          </cell>
          <cell r="BN1192" t="str">
            <v>No</v>
          </cell>
          <cell r="BO1192" t="str">
            <v>CPay-000000007</v>
          </cell>
        </row>
        <row r="1193">
          <cell r="B1193" t="str">
            <v>392756</v>
          </cell>
          <cell r="C1193" t="str">
            <v>104.0000000000000000</v>
          </cell>
          <cell r="E1193" t="str">
            <v>Cust</v>
          </cell>
          <cell r="G1193" t="str">
            <v>No</v>
          </cell>
          <cell r="H1193" t="str">
            <v>1900-01-01 00:00:00</v>
          </cell>
          <cell r="K1193" t="str">
            <v>M-P</v>
          </cell>
          <cell r="L1193" t="str">
            <v>2036.500000</v>
          </cell>
          <cell r="AL1193" t="str">
            <v>392756</v>
          </cell>
          <cell r="BC1193" t="str">
            <v>Cust-PP</v>
          </cell>
          <cell r="BD1193" t="str">
            <v>2.0000000000000000</v>
          </cell>
          <cell r="BE1193" t="str">
            <v>.0000000000000000</v>
          </cell>
          <cell r="BF1193" t="str">
            <v>.0000000000000000</v>
          </cell>
          <cell r="BG1193" t="str">
            <v>None</v>
          </cell>
          <cell r="BK1193" t="str">
            <v>2025-07-15 00:00:00</v>
          </cell>
          <cell r="BL1193" t="str">
            <v>Airport EG-1313</v>
          </cell>
          <cell r="BM1193" t="str">
            <v>No</v>
          </cell>
          <cell r="BN1193" t="str">
            <v>No</v>
          </cell>
          <cell r="BO1193" t="str">
            <v>CPay-000000007</v>
          </cell>
        </row>
        <row r="1194">
          <cell r="B1194" t="str">
            <v>392949</v>
          </cell>
          <cell r="C1194" t="str">
            <v>105.0000000000000000</v>
          </cell>
          <cell r="E1194" t="str">
            <v>Cust</v>
          </cell>
          <cell r="G1194" t="str">
            <v>No</v>
          </cell>
          <cell r="H1194" t="str">
            <v>1900-01-01 00:00:00</v>
          </cell>
          <cell r="K1194" t="str">
            <v>M-P</v>
          </cell>
          <cell r="L1194" t="str">
            <v>1653.000000</v>
          </cell>
          <cell r="AL1194" t="str">
            <v>392949</v>
          </cell>
          <cell r="BC1194" t="str">
            <v>Cust-PP</v>
          </cell>
          <cell r="BD1194" t="str">
            <v>2.0000000000000000</v>
          </cell>
          <cell r="BE1194" t="str">
            <v>.0000000000000000</v>
          </cell>
          <cell r="BF1194" t="str">
            <v>.0000000000000000</v>
          </cell>
          <cell r="BG1194" t="str">
            <v>None</v>
          </cell>
          <cell r="BK1194" t="str">
            <v>2025-07-15 00:00:00</v>
          </cell>
          <cell r="BL1194" t="str">
            <v>Airport EG-1310</v>
          </cell>
          <cell r="BM1194" t="str">
            <v>No</v>
          </cell>
          <cell r="BN1194" t="str">
            <v>No</v>
          </cell>
          <cell r="BO1194" t="str">
            <v>CPay-000000007</v>
          </cell>
        </row>
        <row r="1195">
          <cell r="B1195" t="str">
            <v>393049</v>
          </cell>
          <cell r="C1195" t="str">
            <v>106.0000000000000000</v>
          </cell>
          <cell r="E1195" t="str">
            <v>Cust</v>
          </cell>
          <cell r="G1195" t="str">
            <v>No</v>
          </cell>
          <cell r="H1195" t="str">
            <v>1900-01-01 00:00:00</v>
          </cell>
          <cell r="K1195" t="str">
            <v>M-P</v>
          </cell>
          <cell r="L1195" t="str">
            <v>296.400000</v>
          </cell>
          <cell r="AL1195" t="str">
            <v>393049</v>
          </cell>
          <cell r="BC1195" t="str">
            <v>Cust-PP</v>
          </cell>
          <cell r="BD1195" t="str">
            <v>2.0000000000000000</v>
          </cell>
          <cell r="BE1195" t="str">
            <v>.0000000000000000</v>
          </cell>
          <cell r="BF1195" t="str">
            <v>.0000000000000000</v>
          </cell>
          <cell r="BG1195" t="str">
            <v>None</v>
          </cell>
          <cell r="BK1195" t="str">
            <v>2025-07-15 00:00:00</v>
          </cell>
          <cell r="BL1195" t="str">
            <v>Airport EG-1316</v>
          </cell>
          <cell r="BM1195" t="str">
            <v>No</v>
          </cell>
          <cell r="BN1195" t="str">
            <v>No</v>
          </cell>
          <cell r="BO1195" t="str">
            <v>CPay-000000007</v>
          </cell>
        </row>
        <row r="1196">
          <cell r="B1196" t="str">
            <v>391057</v>
          </cell>
          <cell r="C1196" t="str">
            <v>107.0000000000000000</v>
          </cell>
          <cell r="E1196" t="str">
            <v>Cust</v>
          </cell>
          <cell r="G1196" t="str">
            <v>No</v>
          </cell>
          <cell r="H1196" t="str">
            <v>1900-01-01 00:00:00</v>
          </cell>
          <cell r="K1196" t="str">
            <v>M-P</v>
          </cell>
          <cell r="L1196" t="str">
            <v>1653.000000</v>
          </cell>
          <cell r="AL1196" t="str">
            <v>391057</v>
          </cell>
          <cell r="BC1196" t="str">
            <v>Cust-PP</v>
          </cell>
          <cell r="BD1196" t="str">
            <v>2.0000000000000000</v>
          </cell>
          <cell r="BE1196" t="str">
            <v>.0000000000000000</v>
          </cell>
          <cell r="BF1196" t="str">
            <v>.0000000000000000</v>
          </cell>
          <cell r="BG1196" t="str">
            <v>None</v>
          </cell>
          <cell r="BK1196" t="str">
            <v>2025-07-16 00:00:00</v>
          </cell>
          <cell r="BL1196" t="str">
            <v>Airport EG-1317</v>
          </cell>
          <cell r="BM1196" t="str">
            <v>No</v>
          </cell>
          <cell r="BN1196" t="str">
            <v>No</v>
          </cell>
          <cell r="BO1196" t="str">
            <v>CPay-000000007</v>
          </cell>
        </row>
        <row r="1197">
          <cell r="B1197" t="str">
            <v>391656</v>
          </cell>
          <cell r="C1197" t="str">
            <v>108.0000000000000000</v>
          </cell>
          <cell r="E1197" t="str">
            <v>Cust</v>
          </cell>
          <cell r="G1197" t="str">
            <v>No</v>
          </cell>
          <cell r="H1197" t="str">
            <v>1900-01-01 00:00:00</v>
          </cell>
          <cell r="K1197" t="str">
            <v>M-P</v>
          </cell>
          <cell r="L1197" t="str">
            <v>392.500000</v>
          </cell>
          <cell r="AL1197" t="str">
            <v>391656</v>
          </cell>
          <cell r="BC1197" t="str">
            <v>Cust-PP</v>
          </cell>
          <cell r="BD1197" t="str">
            <v>2.0000000000000000</v>
          </cell>
          <cell r="BE1197" t="str">
            <v>.0000000000000000</v>
          </cell>
          <cell r="BF1197" t="str">
            <v>.0000000000000000</v>
          </cell>
          <cell r="BG1197" t="str">
            <v>None</v>
          </cell>
          <cell r="BK1197" t="str">
            <v>2025-07-16 00:00:00</v>
          </cell>
          <cell r="BL1197" t="str">
            <v>Airport EG-1318</v>
          </cell>
          <cell r="BM1197" t="str">
            <v>No</v>
          </cell>
          <cell r="BN1197" t="str">
            <v>No</v>
          </cell>
          <cell r="BO1197" t="str">
            <v>CPay-000000007</v>
          </cell>
        </row>
        <row r="1198">
          <cell r="B1198" t="str">
            <v>391748</v>
          </cell>
          <cell r="C1198" t="str">
            <v>109.0000000000000000</v>
          </cell>
          <cell r="E1198" t="str">
            <v>Cust</v>
          </cell>
          <cell r="G1198" t="str">
            <v>No</v>
          </cell>
          <cell r="H1198" t="str">
            <v>1900-01-01 00:00:00</v>
          </cell>
          <cell r="K1198" t="str">
            <v>M-P</v>
          </cell>
          <cell r="L1198" t="str">
            <v>1177.850000</v>
          </cell>
          <cell r="AL1198" t="str">
            <v>391748</v>
          </cell>
          <cell r="BC1198" t="str">
            <v>Cust-PP</v>
          </cell>
          <cell r="BD1198" t="str">
            <v>2.0000000000000000</v>
          </cell>
          <cell r="BE1198" t="str">
            <v>.0000000000000000</v>
          </cell>
          <cell r="BF1198" t="str">
            <v>.0000000000000000</v>
          </cell>
          <cell r="BG1198" t="str">
            <v>None</v>
          </cell>
          <cell r="BK1198" t="str">
            <v>2025-07-16 00:00:00</v>
          </cell>
          <cell r="BL1198" t="str">
            <v>Airport EG-1324</v>
          </cell>
          <cell r="BM1198" t="str">
            <v>No</v>
          </cell>
          <cell r="BN1198" t="str">
            <v>No</v>
          </cell>
          <cell r="BO1198" t="str">
            <v>CPay-000000007</v>
          </cell>
        </row>
        <row r="1199">
          <cell r="B1199" t="str">
            <v>392577</v>
          </cell>
          <cell r="C1199" t="str">
            <v>110.0000000000000000</v>
          </cell>
          <cell r="E1199" t="str">
            <v>Cust</v>
          </cell>
          <cell r="G1199" t="str">
            <v>No</v>
          </cell>
          <cell r="H1199" t="str">
            <v>1900-01-01 00:00:00</v>
          </cell>
          <cell r="K1199" t="str">
            <v>M-P</v>
          </cell>
          <cell r="L1199" t="str">
            <v>1653.000000</v>
          </cell>
          <cell r="AL1199" t="str">
            <v>392577</v>
          </cell>
          <cell r="BC1199" t="str">
            <v>Cust-PP</v>
          </cell>
          <cell r="BD1199" t="str">
            <v>2.0000000000000000</v>
          </cell>
          <cell r="BE1199" t="str">
            <v>.0000000000000000</v>
          </cell>
          <cell r="BF1199" t="str">
            <v>.0000000000000000</v>
          </cell>
          <cell r="BG1199" t="str">
            <v>None</v>
          </cell>
          <cell r="BK1199" t="str">
            <v>2025-07-16 00:00:00</v>
          </cell>
          <cell r="BL1199" t="str">
            <v>Airport EG-1321</v>
          </cell>
          <cell r="BM1199" t="str">
            <v>No</v>
          </cell>
          <cell r="BN1199" t="str">
            <v>No</v>
          </cell>
          <cell r="BO1199" t="str">
            <v>CPay-000000007</v>
          </cell>
        </row>
        <row r="1200">
          <cell r="B1200" t="str">
            <v>392781</v>
          </cell>
          <cell r="C1200" t="str">
            <v>111.0000000000000000</v>
          </cell>
          <cell r="E1200" t="str">
            <v>Cust</v>
          </cell>
          <cell r="G1200" t="str">
            <v>No</v>
          </cell>
          <cell r="H1200" t="str">
            <v>1900-01-01 00:00:00</v>
          </cell>
          <cell r="K1200" t="str">
            <v>M-P</v>
          </cell>
          <cell r="L1200" t="str">
            <v>863.210000</v>
          </cell>
          <cell r="AL1200" t="str">
            <v>392781</v>
          </cell>
          <cell r="BC1200" t="str">
            <v>Cust-PP</v>
          </cell>
          <cell r="BD1200" t="str">
            <v>2.0000000000000000</v>
          </cell>
          <cell r="BE1200" t="str">
            <v>.0000000000000000</v>
          </cell>
          <cell r="BF1200" t="str">
            <v>.0000000000000000</v>
          </cell>
          <cell r="BG1200" t="str">
            <v>None</v>
          </cell>
          <cell r="BK1200" t="str">
            <v>2025-07-16 00:00:00</v>
          </cell>
          <cell r="BL1200" t="str">
            <v>Airport EG-1320</v>
          </cell>
          <cell r="BM1200" t="str">
            <v>No</v>
          </cell>
          <cell r="BN1200" t="str">
            <v>No</v>
          </cell>
          <cell r="BO1200" t="str">
            <v>CPay-000000007</v>
          </cell>
        </row>
        <row r="1201">
          <cell r="B1201" t="str">
            <v>393630</v>
          </cell>
          <cell r="C1201" t="str">
            <v>112.0000000000000000</v>
          </cell>
          <cell r="E1201" t="str">
            <v>Cust</v>
          </cell>
          <cell r="G1201" t="str">
            <v>No</v>
          </cell>
          <cell r="H1201" t="str">
            <v>1900-01-01 00:00:00</v>
          </cell>
          <cell r="K1201" t="str">
            <v>M-P</v>
          </cell>
          <cell r="L1201" t="str">
            <v>1653.000000</v>
          </cell>
          <cell r="AL1201" t="str">
            <v>393630</v>
          </cell>
          <cell r="BC1201" t="str">
            <v>Cust-PP</v>
          </cell>
          <cell r="BD1201" t="str">
            <v>2.0000000000000000</v>
          </cell>
          <cell r="BE1201" t="str">
            <v>.0000000000000000</v>
          </cell>
          <cell r="BF1201" t="str">
            <v>.0000000000000000</v>
          </cell>
          <cell r="BG1201" t="str">
            <v>None</v>
          </cell>
          <cell r="BK1201" t="str">
            <v>2025-07-16 00:00:00</v>
          </cell>
          <cell r="BL1201" t="str">
            <v>Airport EG-1319</v>
          </cell>
          <cell r="BM1201" t="str">
            <v>No</v>
          </cell>
          <cell r="BN1201" t="str">
            <v>No</v>
          </cell>
          <cell r="BO1201" t="str">
            <v>CPay-000000007</v>
          </cell>
        </row>
        <row r="1202">
          <cell r="B1202" t="str">
            <v>394059</v>
          </cell>
          <cell r="C1202" t="str">
            <v>113.0000000000000000</v>
          </cell>
          <cell r="E1202" t="str">
            <v>Cust</v>
          </cell>
          <cell r="G1202" t="str">
            <v>No</v>
          </cell>
          <cell r="H1202" t="str">
            <v>1900-01-01 00:00:00</v>
          </cell>
          <cell r="K1202" t="str">
            <v>M-P</v>
          </cell>
          <cell r="L1202" t="str">
            <v>1939.030000</v>
          </cell>
          <cell r="AL1202" t="str">
            <v>394059</v>
          </cell>
          <cell r="BC1202" t="str">
            <v>Cust-PP</v>
          </cell>
          <cell r="BD1202" t="str">
            <v>2.0000000000000000</v>
          </cell>
          <cell r="BE1202" t="str">
            <v>.0000000000000000</v>
          </cell>
          <cell r="BF1202" t="str">
            <v>.0000000000000000</v>
          </cell>
          <cell r="BG1202" t="str">
            <v>None</v>
          </cell>
          <cell r="BK1202" t="str">
            <v>2025-07-16 00:00:00</v>
          </cell>
          <cell r="BL1202" t="str">
            <v>Airport EG-1322</v>
          </cell>
          <cell r="BM1202" t="str">
            <v>No</v>
          </cell>
          <cell r="BN1202" t="str">
            <v>No</v>
          </cell>
          <cell r="BO1202" t="str">
            <v>CPay-000000007</v>
          </cell>
        </row>
        <row r="1203">
          <cell r="B1203" t="str">
            <v>394064</v>
          </cell>
          <cell r="C1203" t="str">
            <v>114.0000000000000000</v>
          </cell>
          <cell r="E1203" t="str">
            <v>Cust</v>
          </cell>
          <cell r="G1203" t="str">
            <v>No</v>
          </cell>
          <cell r="H1203" t="str">
            <v>1900-01-01 00:00:00</v>
          </cell>
          <cell r="K1203" t="str">
            <v>M-P</v>
          </cell>
          <cell r="L1203" t="str">
            <v>2052.000000</v>
          </cell>
          <cell r="AL1203" t="str">
            <v>394064</v>
          </cell>
          <cell r="BC1203" t="str">
            <v>Cust-PP</v>
          </cell>
          <cell r="BD1203" t="str">
            <v>2.0000000000000000</v>
          </cell>
          <cell r="BE1203" t="str">
            <v>.0000000000000000</v>
          </cell>
          <cell r="BF1203" t="str">
            <v>.0000000000000000</v>
          </cell>
          <cell r="BG1203" t="str">
            <v>None</v>
          </cell>
          <cell r="BK1203" t="str">
            <v>2025-07-16 00:00:00</v>
          </cell>
          <cell r="BL1203" t="str">
            <v>Airport EG-1323</v>
          </cell>
          <cell r="BM1203" t="str">
            <v>No</v>
          </cell>
          <cell r="BN1203" t="str">
            <v>No</v>
          </cell>
          <cell r="BO1203" t="str">
            <v>CPay-000000007</v>
          </cell>
        </row>
        <row r="1204">
          <cell r="B1204" t="str">
            <v>390861</v>
          </cell>
          <cell r="C1204" t="str">
            <v>115.0000000000000000</v>
          </cell>
          <cell r="E1204" t="str">
            <v>Cust</v>
          </cell>
          <cell r="G1204" t="str">
            <v>No</v>
          </cell>
          <cell r="H1204" t="str">
            <v>1900-01-01 00:00:00</v>
          </cell>
          <cell r="K1204" t="str">
            <v>M-P</v>
          </cell>
          <cell r="L1204" t="str">
            <v>1653.000000</v>
          </cell>
          <cell r="AL1204" t="str">
            <v>390861</v>
          </cell>
          <cell r="BC1204" t="str">
            <v>Cust-PP</v>
          </cell>
          <cell r="BD1204" t="str">
            <v>2.0000000000000000</v>
          </cell>
          <cell r="BE1204" t="str">
            <v>.0000000000000000</v>
          </cell>
          <cell r="BF1204" t="str">
            <v>.0000000000000000</v>
          </cell>
          <cell r="BG1204" t="str">
            <v>None</v>
          </cell>
          <cell r="BK1204" t="str">
            <v>2025-07-17 00:00:00</v>
          </cell>
          <cell r="BL1204" t="str">
            <v>Airport EG-1330</v>
          </cell>
          <cell r="BM1204" t="str">
            <v>No</v>
          </cell>
          <cell r="BN1204" t="str">
            <v>No</v>
          </cell>
          <cell r="BO1204" t="str">
            <v>CPay-000000007</v>
          </cell>
        </row>
        <row r="1205">
          <cell r="B1205" t="str">
            <v>391683</v>
          </cell>
          <cell r="C1205" t="str">
            <v>116.0000000000000000</v>
          </cell>
          <cell r="E1205" t="str">
            <v>Cust</v>
          </cell>
          <cell r="G1205" t="str">
            <v>No</v>
          </cell>
          <cell r="H1205" t="str">
            <v>1900-01-01 00:00:00</v>
          </cell>
          <cell r="K1205" t="str">
            <v>M-P</v>
          </cell>
          <cell r="L1205" t="str">
            <v>1653.000000</v>
          </cell>
          <cell r="AL1205" t="str">
            <v>391683</v>
          </cell>
          <cell r="BC1205" t="str">
            <v>Cust-PP</v>
          </cell>
          <cell r="BD1205" t="str">
            <v>2.0000000000000000</v>
          </cell>
          <cell r="BE1205" t="str">
            <v>.0000000000000000</v>
          </cell>
          <cell r="BF1205" t="str">
            <v>.0000000000000000</v>
          </cell>
          <cell r="BG1205" t="str">
            <v>None</v>
          </cell>
          <cell r="BK1205" t="str">
            <v>2025-07-17 00:00:00</v>
          </cell>
          <cell r="BL1205" t="str">
            <v>Airport EG-1328</v>
          </cell>
          <cell r="BM1205" t="str">
            <v>No</v>
          </cell>
          <cell r="BN1205" t="str">
            <v>No</v>
          </cell>
          <cell r="BO1205" t="str">
            <v>CPay-000000007</v>
          </cell>
        </row>
        <row r="1206">
          <cell r="B1206" t="str">
            <v>391896</v>
          </cell>
          <cell r="C1206" t="str">
            <v>117.0000000000000000</v>
          </cell>
          <cell r="E1206" t="str">
            <v>Cust</v>
          </cell>
          <cell r="G1206" t="str">
            <v>No</v>
          </cell>
          <cell r="H1206" t="str">
            <v>1900-01-01 00:00:00</v>
          </cell>
          <cell r="K1206" t="str">
            <v>M-P</v>
          </cell>
          <cell r="L1206" t="str">
            <v>364.800000</v>
          </cell>
          <cell r="AL1206" t="str">
            <v>391896</v>
          </cell>
          <cell r="BC1206" t="str">
            <v>Cust-PP</v>
          </cell>
          <cell r="BD1206" t="str">
            <v>2.0000000000000000</v>
          </cell>
          <cell r="BE1206" t="str">
            <v>.0000000000000000</v>
          </cell>
          <cell r="BF1206" t="str">
            <v>.0000000000000000</v>
          </cell>
          <cell r="BG1206" t="str">
            <v>None</v>
          </cell>
          <cell r="BK1206" t="str">
            <v>2025-07-17 00:00:00</v>
          </cell>
          <cell r="BL1206" t="str">
            <v>Airport EG-1331</v>
          </cell>
          <cell r="BM1206" t="str">
            <v>No</v>
          </cell>
          <cell r="BN1206" t="str">
            <v>No</v>
          </cell>
          <cell r="BO1206" t="str">
            <v>CPay-000000007</v>
          </cell>
        </row>
        <row r="1207">
          <cell r="B1207" t="str">
            <v>392017</v>
          </cell>
          <cell r="C1207" t="str">
            <v>118.0000000000000000</v>
          </cell>
          <cell r="E1207" t="str">
            <v>Cust</v>
          </cell>
          <cell r="G1207" t="str">
            <v>No</v>
          </cell>
          <cell r="H1207" t="str">
            <v>1900-01-01 00:00:00</v>
          </cell>
          <cell r="K1207" t="str">
            <v>M-P</v>
          </cell>
          <cell r="L1207" t="str">
            <v>364.800000</v>
          </cell>
          <cell r="AL1207" t="str">
            <v>392017</v>
          </cell>
          <cell r="BC1207" t="str">
            <v>Cust-PP</v>
          </cell>
          <cell r="BD1207" t="str">
            <v>2.0000000000000000</v>
          </cell>
          <cell r="BE1207" t="str">
            <v>.0000000000000000</v>
          </cell>
          <cell r="BF1207" t="str">
            <v>.0000000000000000</v>
          </cell>
          <cell r="BG1207" t="str">
            <v>None</v>
          </cell>
          <cell r="BK1207" t="str">
            <v>2025-07-17 00:00:00</v>
          </cell>
          <cell r="BL1207" t="str">
            <v>Airport EG-1327</v>
          </cell>
          <cell r="BM1207" t="str">
            <v>No</v>
          </cell>
          <cell r="BN1207" t="str">
            <v>No</v>
          </cell>
          <cell r="BO1207" t="str">
            <v>CPay-000000007</v>
          </cell>
        </row>
        <row r="1208">
          <cell r="B1208" t="str">
            <v>393150</v>
          </cell>
          <cell r="C1208" t="str">
            <v>119.0000000000000000</v>
          </cell>
          <cell r="E1208" t="str">
            <v>Cust</v>
          </cell>
          <cell r="G1208" t="str">
            <v>No</v>
          </cell>
          <cell r="H1208" t="str">
            <v>1900-01-01 00:00:00</v>
          </cell>
          <cell r="K1208" t="str">
            <v>M-P</v>
          </cell>
          <cell r="L1208" t="str">
            <v>370.500000</v>
          </cell>
          <cell r="AL1208" t="str">
            <v>393150</v>
          </cell>
          <cell r="BC1208" t="str">
            <v>Cust-PP</v>
          </cell>
          <cell r="BD1208" t="str">
            <v>2.0000000000000000</v>
          </cell>
          <cell r="BE1208" t="str">
            <v>.0000000000000000</v>
          </cell>
          <cell r="BF1208" t="str">
            <v>.0000000000000000</v>
          </cell>
          <cell r="BG1208" t="str">
            <v>None</v>
          </cell>
          <cell r="BK1208" t="str">
            <v>2025-07-17 00:00:00</v>
          </cell>
          <cell r="BL1208" t="str">
            <v>Airport EG-1329</v>
          </cell>
          <cell r="BM1208" t="str">
            <v>No</v>
          </cell>
          <cell r="BN1208" t="str">
            <v>No</v>
          </cell>
          <cell r="BO1208" t="str">
            <v>CPay-000000007</v>
          </cell>
        </row>
        <row r="1209">
          <cell r="B1209" t="str">
            <v>393906</v>
          </cell>
          <cell r="C1209" t="str">
            <v>120.0000000000000000</v>
          </cell>
          <cell r="E1209" t="str">
            <v>Cust</v>
          </cell>
          <cell r="G1209" t="str">
            <v>No</v>
          </cell>
          <cell r="H1209" t="str">
            <v>1900-01-01 00:00:00</v>
          </cell>
          <cell r="K1209" t="str">
            <v>M-P</v>
          </cell>
          <cell r="L1209" t="str">
            <v>1653.000000</v>
          </cell>
          <cell r="AL1209" t="str">
            <v>393906</v>
          </cell>
          <cell r="BC1209" t="str">
            <v>Cust-PP</v>
          </cell>
          <cell r="BD1209" t="str">
            <v>2.0000000000000000</v>
          </cell>
          <cell r="BE1209" t="str">
            <v>.0000000000000000</v>
          </cell>
          <cell r="BF1209" t="str">
            <v>.0000000000000000</v>
          </cell>
          <cell r="BG1209" t="str">
            <v>None</v>
          </cell>
          <cell r="BK1209" t="str">
            <v>2025-07-17 00:00:00</v>
          </cell>
          <cell r="BL1209" t="str">
            <v>Airport EG-1326</v>
          </cell>
          <cell r="BM1209" t="str">
            <v>No</v>
          </cell>
          <cell r="BN1209" t="str">
            <v>No</v>
          </cell>
          <cell r="BO1209" t="str">
            <v>CPay-000000007</v>
          </cell>
        </row>
        <row r="1210">
          <cell r="B1210" t="str">
            <v>390831</v>
          </cell>
          <cell r="C1210" t="str">
            <v>121.0000000000000000</v>
          </cell>
          <cell r="E1210" t="str">
            <v>Cust</v>
          </cell>
          <cell r="G1210" t="str">
            <v>No</v>
          </cell>
          <cell r="H1210" t="str">
            <v>1900-01-01 00:00:00</v>
          </cell>
          <cell r="K1210" t="str">
            <v>M-P</v>
          </cell>
          <cell r="L1210" t="str">
            <v>1653.000000</v>
          </cell>
          <cell r="AL1210" t="str">
            <v>390831</v>
          </cell>
          <cell r="BC1210" t="str">
            <v>Cust-PP</v>
          </cell>
          <cell r="BD1210" t="str">
            <v>2.0000000000000000</v>
          </cell>
          <cell r="BE1210" t="str">
            <v>.0000000000000000</v>
          </cell>
          <cell r="BF1210" t="str">
            <v>.0000000000000000</v>
          </cell>
          <cell r="BG1210" t="str">
            <v>None</v>
          </cell>
          <cell r="BK1210" t="str">
            <v>2025-07-20 00:00:00</v>
          </cell>
          <cell r="BL1210" t="str">
            <v>Airport EG-1333</v>
          </cell>
          <cell r="BM1210" t="str">
            <v>No</v>
          </cell>
          <cell r="BN1210" t="str">
            <v>No</v>
          </cell>
          <cell r="BO1210" t="str">
            <v>CPay-000000007</v>
          </cell>
        </row>
        <row r="1211">
          <cell r="B1211" t="str">
            <v>390892</v>
          </cell>
          <cell r="C1211" t="str">
            <v>122.0000000000000000</v>
          </cell>
          <cell r="E1211" t="str">
            <v>Cust</v>
          </cell>
          <cell r="G1211" t="str">
            <v>No</v>
          </cell>
          <cell r="H1211" t="str">
            <v>1900-01-01 00:00:00</v>
          </cell>
          <cell r="K1211" t="str">
            <v>M-P</v>
          </cell>
          <cell r="L1211" t="str">
            <v>2052.000000</v>
          </cell>
          <cell r="AL1211" t="str">
            <v>390892</v>
          </cell>
          <cell r="BC1211" t="str">
            <v>Cust-PP</v>
          </cell>
          <cell r="BD1211" t="str">
            <v>2.0000000000000000</v>
          </cell>
          <cell r="BE1211" t="str">
            <v>.0000000000000000</v>
          </cell>
          <cell r="BF1211" t="str">
            <v>.0000000000000000</v>
          </cell>
          <cell r="BG1211" t="str">
            <v>None</v>
          </cell>
          <cell r="BK1211" t="str">
            <v>2025-07-20 00:00:00</v>
          </cell>
          <cell r="BL1211" t="str">
            <v>Airport EG-1338</v>
          </cell>
          <cell r="BM1211" t="str">
            <v>No</v>
          </cell>
          <cell r="BN1211" t="str">
            <v>No</v>
          </cell>
          <cell r="BO1211" t="str">
            <v>CPay-000000007</v>
          </cell>
        </row>
        <row r="1212">
          <cell r="B1212" t="str">
            <v>391742</v>
          </cell>
          <cell r="C1212" t="str">
            <v>123.0000000000000000</v>
          </cell>
          <cell r="E1212" t="str">
            <v>Cust</v>
          </cell>
          <cell r="G1212" t="str">
            <v>No</v>
          </cell>
          <cell r="H1212" t="str">
            <v>1900-01-01 00:00:00</v>
          </cell>
          <cell r="K1212" t="str">
            <v>M-P</v>
          </cell>
          <cell r="L1212" t="str">
            <v>1450.000000</v>
          </cell>
          <cell r="AL1212" t="str">
            <v>391742</v>
          </cell>
          <cell r="BC1212" t="str">
            <v>Cust-PP</v>
          </cell>
          <cell r="BD1212" t="str">
            <v>2.0000000000000000</v>
          </cell>
          <cell r="BE1212" t="str">
            <v>.0000000000000000</v>
          </cell>
          <cell r="BF1212" t="str">
            <v>.0000000000000000</v>
          </cell>
          <cell r="BG1212" t="str">
            <v>None</v>
          </cell>
          <cell r="BK1212" t="str">
            <v>2025-07-20 00:00:00</v>
          </cell>
          <cell r="BL1212" t="str">
            <v>Airport EG-1334</v>
          </cell>
          <cell r="BM1212" t="str">
            <v>No</v>
          </cell>
          <cell r="BN1212" t="str">
            <v>No</v>
          </cell>
          <cell r="BO1212" t="str">
            <v>CPay-000000007</v>
          </cell>
        </row>
        <row r="1213">
          <cell r="B1213" t="str">
            <v>391897</v>
          </cell>
          <cell r="C1213" t="str">
            <v>124.0000000000000000</v>
          </cell>
          <cell r="E1213" t="str">
            <v>Cust</v>
          </cell>
          <cell r="G1213" t="str">
            <v>No</v>
          </cell>
          <cell r="H1213" t="str">
            <v>1900-01-01 00:00:00</v>
          </cell>
          <cell r="K1213" t="str">
            <v>M-P</v>
          </cell>
          <cell r="L1213" t="str">
            <v>1653.000000</v>
          </cell>
          <cell r="AL1213" t="str">
            <v>391897</v>
          </cell>
          <cell r="BC1213" t="str">
            <v>Cust-PP</v>
          </cell>
          <cell r="BD1213" t="str">
            <v>2.0000000000000000</v>
          </cell>
          <cell r="BE1213" t="str">
            <v>.0000000000000000</v>
          </cell>
          <cell r="BF1213" t="str">
            <v>.0000000000000000</v>
          </cell>
          <cell r="BG1213" t="str">
            <v>None</v>
          </cell>
          <cell r="BK1213" t="str">
            <v>2025-07-20 00:00:00</v>
          </cell>
          <cell r="BL1213" t="str">
            <v>Airport EG-1336</v>
          </cell>
          <cell r="BM1213" t="str">
            <v>No</v>
          </cell>
          <cell r="BN1213" t="str">
            <v>No</v>
          </cell>
          <cell r="BO1213" t="str">
            <v>CPay-000000007</v>
          </cell>
        </row>
        <row r="1214">
          <cell r="B1214" t="str">
            <v>392343</v>
          </cell>
          <cell r="C1214" t="str">
            <v>125.0000000000000000</v>
          </cell>
          <cell r="E1214" t="str">
            <v>Cust</v>
          </cell>
          <cell r="G1214" t="str">
            <v>No</v>
          </cell>
          <cell r="H1214" t="str">
            <v>1900-01-01 00:00:00</v>
          </cell>
          <cell r="K1214" t="str">
            <v>M-P</v>
          </cell>
          <cell r="L1214" t="str">
            <v>672.600000</v>
          </cell>
          <cell r="AL1214" t="str">
            <v>392343</v>
          </cell>
          <cell r="BC1214" t="str">
            <v>Cust-PP</v>
          </cell>
          <cell r="BD1214" t="str">
            <v>2.0000000000000000</v>
          </cell>
          <cell r="BE1214" t="str">
            <v>.0000000000000000</v>
          </cell>
          <cell r="BF1214" t="str">
            <v>.0000000000000000</v>
          </cell>
          <cell r="BG1214" t="str">
            <v>None</v>
          </cell>
          <cell r="BK1214" t="str">
            <v>2025-07-20 00:00:00</v>
          </cell>
          <cell r="BL1214" t="str">
            <v>Airport EG-1339</v>
          </cell>
          <cell r="BM1214" t="str">
            <v>No</v>
          </cell>
          <cell r="BN1214" t="str">
            <v>No</v>
          </cell>
          <cell r="BO1214" t="str">
            <v>CPay-000000007</v>
          </cell>
        </row>
        <row r="1215">
          <cell r="B1215" t="str">
            <v>392931</v>
          </cell>
          <cell r="C1215" t="str">
            <v>126.0000000000000000</v>
          </cell>
          <cell r="E1215" t="str">
            <v>Cust</v>
          </cell>
          <cell r="G1215" t="str">
            <v>No</v>
          </cell>
          <cell r="H1215" t="str">
            <v>1900-01-01 00:00:00</v>
          </cell>
          <cell r="K1215" t="str">
            <v>M-P</v>
          </cell>
          <cell r="L1215" t="str">
            <v>672.600000</v>
          </cell>
          <cell r="AL1215" t="str">
            <v>392931</v>
          </cell>
          <cell r="BC1215" t="str">
            <v>Cust-PP</v>
          </cell>
          <cell r="BD1215" t="str">
            <v>2.0000000000000000</v>
          </cell>
          <cell r="BE1215" t="str">
            <v>.0000000000000000</v>
          </cell>
          <cell r="BF1215" t="str">
            <v>.0000000000000000</v>
          </cell>
          <cell r="BG1215" t="str">
            <v>None</v>
          </cell>
          <cell r="BK1215" t="str">
            <v>2025-07-20 00:00:00</v>
          </cell>
          <cell r="BL1215" t="str">
            <v>Airport EG-1337</v>
          </cell>
          <cell r="BM1215" t="str">
            <v>No</v>
          </cell>
          <cell r="BN1215" t="str">
            <v>No</v>
          </cell>
          <cell r="BO1215" t="str">
            <v>CPay-000000007</v>
          </cell>
        </row>
        <row r="1216">
          <cell r="B1216" t="str">
            <v>393114</v>
          </cell>
          <cell r="C1216" t="str">
            <v>127.0000000000000000</v>
          </cell>
          <cell r="E1216" t="str">
            <v>Cust</v>
          </cell>
          <cell r="G1216" t="str">
            <v>No</v>
          </cell>
          <cell r="H1216" t="str">
            <v>1900-01-01 00:00:00</v>
          </cell>
          <cell r="K1216" t="str">
            <v>M-P</v>
          </cell>
          <cell r="L1216" t="str">
            <v>1403.340000</v>
          </cell>
          <cell r="AL1216" t="str">
            <v>393114</v>
          </cell>
          <cell r="BC1216" t="str">
            <v>Cust-PP</v>
          </cell>
          <cell r="BD1216" t="str">
            <v>2.0000000000000000</v>
          </cell>
          <cell r="BE1216" t="str">
            <v>.0000000000000000</v>
          </cell>
          <cell r="BF1216" t="str">
            <v>.0000000000000000</v>
          </cell>
          <cell r="BG1216" t="str">
            <v>None</v>
          </cell>
          <cell r="BK1216" t="str">
            <v>2025-07-20 00:00:00</v>
          </cell>
          <cell r="BL1216" t="str">
            <v>Airport EG-1332</v>
          </cell>
          <cell r="BM1216" t="str">
            <v>No</v>
          </cell>
          <cell r="BN1216" t="str">
            <v>No</v>
          </cell>
          <cell r="BO1216" t="str">
            <v>CPay-000000007</v>
          </cell>
        </row>
        <row r="1217">
          <cell r="B1217" t="str">
            <v>393851</v>
          </cell>
          <cell r="C1217" t="str">
            <v>128.0000000000000000</v>
          </cell>
          <cell r="E1217" t="str">
            <v>Cust</v>
          </cell>
          <cell r="G1217" t="str">
            <v>No</v>
          </cell>
          <cell r="H1217" t="str">
            <v>1900-01-01 00:00:00</v>
          </cell>
          <cell r="K1217" t="str">
            <v>M-P</v>
          </cell>
          <cell r="L1217" t="str">
            <v>364.800000</v>
          </cell>
          <cell r="AL1217" t="str">
            <v>393851</v>
          </cell>
          <cell r="BC1217" t="str">
            <v>Cust-PP</v>
          </cell>
          <cell r="BD1217" t="str">
            <v>2.0000000000000000</v>
          </cell>
          <cell r="BE1217" t="str">
            <v>.0000000000000000</v>
          </cell>
          <cell r="BF1217" t="str">
            <v>.0000000000000000</v>
          </cell>
          <cell r="BG1217" t="str">
            <v>None</v>
          </cell>
          <cell r="BK1217" t="str">
            <v>2025-07-20 00:00:00</v>
          </cell>
          <cell r="BL1217" t="str">
            <v>Airport EG-1335</v>
          </cell>
          <cell r="BM1217" t="str">
            <v>No</v>
          </cell>
          <cell r="BN1217" t="str">
            <v>No</v>
          </cell>
          <cell r="BO1217" t="str">
            <v>CPay-000000007</v>
          </cell>
        </row>
        <row r="1218">
          <cell r="B1218" t="str">
            <v>391393</v>
          </cell>
          <cell r="C1218" t="str">
            <v>129.0000000000000000</v>
          </cell>
          <cell r="E1218" t="str">
            <v>Cust</v>
          </cell>
          <cell r="G1218" t="str">
            <v>No</v>
          </cell>
          <cell r="H1218" t="str">
            <v>1900-01-01 00:00:00</v>
          </cell>
          <cell r="K1218" t="str">
            <v>M-P</v>
          </cell>
          <cell r="L1218" t="str">
            <v>1653.000000</v>
          </cell>
          <cell r="AL1218" t="str">
            <v>391393</v>
          </cell>
          <cell r="BC1218" t="str">
            <v>Cust-PP</v>
          </cell>
          <cell r="BD1218" t="str">
            <v>2.0000000000000000</v>
          </cell>
          <cell r="BE1218" t="str">
            <v>.0000000000000000</v>
          </cell>
          <cell r="BF1218" t="str">
            <v>.0000000000000000</v>
          </cell>
          <cell r="BG1218" t="str">
            <v>None</v>
          </cell>
          <cell r="BK1218" t="str">
            <v>2025-07-21 00:00:00</v>
          </cell>
          <cell r="BL1218" t="str">
            <v>Airport EG-1343</v>
          </cell>
          <cell r="BM1218" t="str">
            <v>No</v>
          </cell>
          <cell r="BN1218" t="str">
            <v>No</v>
          </cell>
          <cell r="BO1218" t="str">
            <v>CPay-000000007</v>
          </cell>
        </row>
        <row r="1219">
          <cell r="B1219" t="str">
            <v>391507</v>
          </cell>
          <cell r="C1219" t="str">
            <v>130.0000000000000000</v>
          </cell>
          <cell r="E1219" t="str">
            <v>Cust</v>
          </cell>
          <cell r="G1219" t="str">
            <v>No</v>
          </cell>
          <cell r="H1219" t="str">
            <v>1900-01-01 00:00:00</v>
          </cell>
          <cell r="K1219" t="str">
            <v>M-P</v>
          </cell>
          <cell r="L1219" t="str">
            <v>1653.000000</v>
          </cell>
          <cell r="AL1219" t="str">
            <v>391507</v>
          </cell>
          <cell r="BC1219" t="str">
            <v>Cust-PP</v>
          </cell>
          <cell r="BD1219" t="str">
            <v>2.0000000000000000</v>
          </cell>
          <cell r="BE1219" t="str">
            <v>.0000000000000000</v>
          </cell>
          <cell r="BF1219" t="str">
            <v>.0000000000000000</v>
          </cell>
          <cell r="BG1219" t="str">
            <v>None</v>
          </cell>
          <cell r="BK1219" t="str">
            <v>2025-07-21 00:00:00</v>
          </cell>
          <cell r="BL1219" t="str">
            <v>Airport EG-1345</v>
          </cell>
          <cell r="BM1219" t="str">
            <v>No</v>
          </cell>
          <cell r="BN1219" t="str">
            <v>No</v>
          </cell>
          <cell r="BO1219" t="str">
            <v>CPay-000000007</v>
          </cell>
        </row>
        <row r="1220">
          <cell r="B1220" t="str">
            <v>392546</v>
          </cell>
          <cell r="C1220" t="str">
            <v>131.0000000000000000</v>
          </cell>
          <cell r="E1220" t="str">
            <v>Cust</v>
          </cell>
          <cell r="G1220" t="str">
            <v>No</v>
          </cell>
          <cell r="H1220" t="str">
            <v>1900-01-01 00:00:00</v>
          </cell>
          <cell r="K1220" t="str">
            <v>M-P</v>
          </cell>
          <cell r="L1220" t="str">
            <v>970.710000</v>
          </cell>
          <cell r="AL1220" t="str">
            <v>392546</v>
          </cell>
          <cell r="BC1220" t="str">
            <v>Cust-PP</v>
          </cell>
          <cell r="BD1220" t="str">
            <v>2.0000000000000000</v>
          </cell>
          <cell r="BE1220" t="str">
            <v>.0000000000000000</v>
          </cell>
          <cell r="BF1220" t="str">
            <v>.0000000000000000</v>
          </cell>
          <cell r="BG1220" t="str">
            <v>None</v>
          </cell>
          <cell r="BK1220" t="str">
            <v>2025-07-21 00:00:00</v>
          </cell>
          <cell r="BL1220" t="str">
            <v>Airport EG-1346</v>
          </cell>
          <cell r="BM1220" t="str">
            <v>No</v>
          </cell>
          <cell r="BN1220" t="str">
            <v>No</v>
          </cell>
          <cell r="BO1220" t="str">
            <v>CPay-000000007</v>
          </cell>
        </row>
        <row r="1221">
          <cell r="B1221" t="str">
            <v>393908</v>
          </cell>
          <cell r="C1221" t="str">
            <v>132.0000000000000000</v>
          </cell>
          <cell r="E1221" t="str">
            <v>Cust</v>
          </cell>
          <cell r="G1221" t="str">
            <v>No</v>
          </cell>
          <cell r="H1221" t="str">
            <v>1900-01-01 00:00:00</v>
          </cell>
          <cell r="K1221" t="str">
            <v>M-P</v>
          </cell>
          <cell r="L1221" t="str">
            <v>199.500000</v>
          </cell>
          <cell r="AL1221" t="str">
            <v>393908</v>
          </cell>
          <cell r="BC1221" t="str">
            <v>Cust-PP</v>
          </cell>
          <cell r="BD1221" t="str">
            <v>2.0000000000000000</v>
          </cell>
          <cell r="BE1221" t="str">
            <v>.0000000000000000</v>
          </cell>
          <cell r="BF1221" t="str">
            <v>.0000000000000000</v>
          </cell>
          <cell r="BG1221" t="str">
            <v>None</v>
          </cell>
          <cell r="BK1221" t="str">
            <v>2025-07-21 00:00:00</v>
          </cell>
          <cell r="BL1221" t="str">
            <v>Airport EG-1344</v>
          </cell>
          <cell r="BM1221" t="str">
            <v>No</v>
          </cell>
          <cell r="BN1221" t="str">
            <v>No</v>
          </cell>
          <cell r="BO1221" t="str">
            <v>CPay-000000007</v>
          </cell>
        </row>
        <row r="1222">
          <cell r="B1222" t="str">
            <v>393914</v>
          </cell>
          <cell r="C1222" t="str">
            <v>133.0000000000000000</v>
          </cell>
          <cell r="E1222" t="str">
            <v>Cust</v>
          </cell>
          <cell r="G1222" t="str">
            <v>No</v>
          </cell>
          <cell r="H1222" t="str">
            <v>1900-01-01 00:00:00</v>
          </cell>
          <cell r="K1222" t="str">
            <v>M-P</v>
          </cell>
          <cell r="L1222" t="str">
            <v>364.800000</v>
          </cell>
          <cell r="AL1222" t="str">
            <v>393914</v>
          </cell>
          <cell r="BC1222" t="str">
            <v>Cust-PP</v>
          </cell>
          <cell r="BD1222" t="str">
            <v>2.0000000000000000</v>
          </cell>
          <cell r="BE1222" t="str">
            <v>.0000000000000000</v>
          </cell>
          <cell r="BF1222" t="str">
            <v>.0000000000000000</v>
          </cell>
          <cell r="BG1222" t="str">
            <v>None</v>
          </cell>
          <cell r="BK1222" t="str">
            <v>2025-07-21 00:00:00</v>
          </cell>
          <cell r="BL1222" t="str">
            <v>Airport EG-1342</v>
          </cell>
          <cell r="BM1222" t="str">
            <v>No</v>
          </cell>
          <cell r="BN1222" t="str">
            <v>No</v>
          </cell>
          <cell r="BO1222" t="str">
            <v>CPay-000000007</v>
          </cell>
        </row>
        <row r="1223">
          <cell r="B1223" t="str">
            <v>394145</v>
          </cell>
          <cell r="C1223" t="str">
            <v>134.0000000000000000</v>
          </cell>
          <cell r="E1223" t="str">
            <v>Cust</v>
          </cell>
          <cell r="G1223" t="str">
            <v>No</v>
          </cell>
          <cell r="H1223" t="str">
            <v>1900-01-01 00:00:00</v>
          </cell>
          <cell r="K1223" t="str">
            <v>M-P</v>
          </cell>
          <cell r="L1223" t="str">
            <v>1653.000000</v>
          </cell>
          <cell r="AL1223" t="str">
            <v>394145</v>
          </cell>
          <cell r="BC1223" t="str">
            <v>Cust-PP</v>
          </cell>
          <cell r="BD1223" t="str">
            <v>2.0000000000000000</v>
          </cell>
          <cell r="BE1223" t="str">
            <v>.0000000000000000</v>
          </cell>
          <cell r="BF1223" t="str">
            <v>.0000000000000000</v>
          </cell>
          <cell r="BG1223" t="str">
            <v>None</v>
          </cell>
          <cell r="BK1223" t="str">
            <v>2025-07-21 00:00:00</v>
          </cell>
          <cell r="BL1223" t="str">
            <v>Airport EG-1341</v>
          </cell>
          <cell r="BM1223" t="str">
            <v>No</v>
          </cell>
          <cell r="BN1223" t="str">
            <v>No</v>
          </cell>
          <cell r="BO1223" t="str">
            <v>CPay-000000007</v>
          </cell>
        </row>
        <row r="1224">
          <cell r="B1224" t="str">
            <v>391729</v>
          </cell>
          <cell r="C1224" t="str">
            <v>135.0000000000000000</v>
          </cell>
          <cell r="E1224" t="str">
            <v>Cust</v>
          </cell>
          <cell r="G1224" t="str">
            <v>No</v>
          </cell>
          <cell r="H1224" t="str">
            <v>1900-01-01 00:00:00</v>
          </cell>
          <cell r="K1224" t="str">
            <v>M-P</v>
          </cell>
          <cell r="L1224" t="str">
            <v>1653.000000</v>
          </cell>
          <cell r="AL1224" t="str">
            <v>391729</v>
          </cell>
          <cell r="BC1224" t="str">
            <v>Cust-PP</v>
          </cell>
          <cell r="BD1224" t="str">
            <v>2.0000000000000000</v>
          </cell>
          <cell r="BE1224" t="str">
            <v>.0000000000000000</v>
          </cell>
          <cell r="BF1224" t="str">
            <v>.0000000000000000</v>
          </cell>
          <cell r="BG1224" t="str">
            <v>None</v>
          </cell>
          <cell r="BK1224" t="str">
            <v>2025-07-22 00:00:00</v>
          </cell>
          <cell r="BL1224" t="str">
            <v>Airport EG-1355</v>
          </cell>
          <cell r="BM1224" t="str">
            <v>No</v>
          </cell>
          <cell r="BN1224" t="str">
            <v>No</v>
          </cell>
          <cell r="BO1224" t="str">
            <v>CPay-000000007</v>
          </cell>
        </row>
        <row r="1225">
          <cell r="B1225" t="str">
            <v>391957</v>
          </cell>
          <cell r="C1225" t="str">
            <v>136.0000000000000000</v>
          </cell>
          <cell r="E1225" t="str">
            <v>Cust</v>
          </cell>
          <cell r="G1225" t="str">
            <v>No</v>
          </cell>
          <cell r="H1225" t="str">
            <v>1900-01-01 00:00:00</v>
          </cell>
          <cell r="K1225" t="str">
            <v>M-P</v>
          </cell>
          <cell r="L1225" t="str">
            <v>1653.000000</v>
          </cell>
          <cell r="AL1225" t="str">
            <v>391957</v>
          </cell>
          <cell r="BC1225" t="str">
            <v>Cust-PP</v>
          </cell>
          <cell r="BD1225" t="str">
            <v>2.0000000000000000</v>
          </cell>
          <cell r="BE1225" t="str">
            <v>.0000000000000000</v>
          </cell>
          <cell r="BF1225" t="str">
            <v>.0000000000000000</v>
          </cell>
          <cell r="BG1225" t="str">
            <v>None</v>
          </cell>
          <cell r="BK1225" t="str">
            <v>2025-07-22 00:00:00</v>
          </cell>
          <cell r="BL1225" t="str">
            <v>Airport EG-1353</v>
          </cell>
          <cell r="BM1225" t="str">
            <v>No</v>
          </cell>
          <cell r="BN1225" t="str">
            <v>No</v>
          </cell>
          <cell r="BO1225" t="str">
            <v>CPay-000000007</v>
          </cell>
        </row>
        <row r="1226">
          <cell r="B1226" t="str">
            <v>391973</v>
          </cell>
          <cell r="C1226" t="str">
            <v>137.0000000000000000</v>
          </cell>
          <cell r="E1226" t="str">
            <v>Cust</v>
          </cell>
          <cell r="G1226" t="str">
            <v>No</v>
          </cell>
          <cell r="H1226" t="str">
            <v>1900-01-01 00:00:00</v>
          </cell>
          <cell r="K1226" t="str">
            <v>M-P</v>
          </cell>
          <cell r="L1226" t="str">
            <v>1653.000000</v>
          </cell>
          <cell r="AL1226" t="str">
            <v>391973</v>
          </cell>
          <cell r="BC1226" t="str">
            <v>Cust-PP</v>
          </cell>
          <cell r="BD1226" t="str">
            <v>2.0000000000000000</v>
          </cell>
          <cell r="BE1226" t="str">
            <v>.0000000000000000</v>
          </cell>
          <cell r="BF1226" t="str">
            <v>.0000000000000000</v>
          </cell>
          <cell r="BG1226" t="str">
            <v>None</v>
          </cell>
          <cell r="BK1226" t="str">
            <v>2025-07-22 00:00:00</v>
          </cell>
          <cell r="BL1226" t="str">
            <v>Airport EG-1349</v>
          </cell>
          <cell r="BM1226" t="str">
            <v>No</v>
          </cell>
          <cell r="BN1226" t="str">
            <v>No</v>
          </cell>
          <cell r="BO1226" t="str">
            <v>CPay-000000007</v>
          </cell>
        </row>
        <row r="1227">
          <cell r="B1227" t="str">
            <v>392061</v>
          </cell>
          <cell r="C1227" t="str">
            <v>138.0000000000000000</v>
          </cell>
          <cell r="E1227" t="str">
            <v>Cust</v>
          </cell>
          <cell r="G1227" t="str">
            <v>No</v>
          </cell>
          <cell r="H1227" t="str">
            <v>1900-01-01 00:00:00</v>
          </cell>
          <cell r="K1227" t="str">
            <v>M-P</v>
          </cell>
          <cell r="L1227" t="str">
            <v>1653.000000</v>
          </cell>
          <cell r="AL1227" t="str">
            <v>392061</v>
          </cell>
          <cell r="BC1227" t="str">
            <v>Cust-PP</v>
          </cell>
          <cell r="BD1227" t="str">
            <v>2.0000000000000000</v>
          </cell>
          <cell r="BE1227" t="str">
            <v>.0000000000000000</v>
          </cell>
          <cell r="BF1227" t="str">
            <v>.0000000000000000</v>
          </cell>
          <cell r="BG1227" t="str">
            <v>None</v>
          </cell>
          <cell r="BK1227" t="str">
            <v>2025-07-22 00:00:00</v>
          </cell>
          <cell r="BL1227" t="str">
            <v>Airport EG-1347</v>
          </cell>
          <cell r="BM1227" t="str">
            <v>No</v>
          </cell>
          <cell r="BN1227" t="str">
            <v>No</v>
          </cell>
          <cell r="BO1227" t="str">
            <v>CPay-000000007</v>
          </cell>
        </row>
        <row r="1228">
          <cell r="B1228" t="str">
            <v>392375</v>
          </cell>
          <cell r="C1228" t="str">
            <v>139.0000000000000000</v>
          </cell>
          <cell r="E1228" t="str">
            <v>Cust</v>
          </cell>
          <cell r="G1228" t="str">
            <v>No</v>
          </cell>
          <cell r="H1228" t="str">
            <v>1900-01-01 00:00:00</v>
          </cell>
          <cell r="K1228" t="str">
            <v>M-P</v>
          </cell>
          <cell r="L1228" t="str">
            <v>1653.000000</v>
          </cell>
          <cell r="AL1228" t="str">
            <v>392375</v>
          </cell>
          <cell r="BC1228" t="str">
            <v>Cust-PP</v>
          </cell>
          <cell r="BD1228" t="str">
            <v>2.0000000000000000</v>
          </cell>
          <cell r="BE1228" t="str">
            <v>.0000000000000000</v>
          </cell>
          <cell r="BF1228" t="str">
            <v>.0000000000000000</v>
          </cell>
          <cell r="BG1228" t="str">
            <v>None</v>
          </cell>
          <cell r="BK1228" t="str">
            <v>2025-07-22 00:00:00</v>
          </cell>
          <cell r="BL1228" t="str">
            <v>Airport EG-1357</v>
          </cell>
          <cell r="BM1228" t="str">
            <v>No</v>
          </cell>
          <cell r="BN1228" t="str">
            <v>No</v>
          </cell>
          <cell r="BO1228" t="str">
            <v>CPay-000000007</v>
          </cell>
        </row>
        <row r="1229">
          <cell r="B1229" t="str">
            <v>392524</v>
          </cell>
          <cell r="C1229" t="str">
            <v>140.0000000000000000</v>
          </cell>
          <cell r="E1229" t="str">
            <v>Cust</v>
          </cell>
          <cell r="G1229" t="str">
            <v>No</v>
          </cell>
          <cell r="H1229" t="str">
            <v>1900-01-01 00:00:00</v>
          </cell>
          <cell r="K1229" t="str">
            <v>M-P</v>
          </cell>
          <cell r="L1229" t="str">
            <v>1653.000000</v>
          </cell>
          <cell r="AL1229" t="str">
            <v>392524</v>
          </cell>
          <cell r="BC1229" t="str">
            <v>Cust-PP</v>
          </cell>
          <cell r="BD1229" t="str">
            <v>2.0000000000000000</v>
          </cell>
          <cell r="BE1229" t="str">
            <v>.0000000000000000</v>
          </cell>
          <cell r="BF1229" t="str">
            <v>.0000000000000000</v>
          </cell>
          <cell r="BG1229" t="str">
            <v>None</v>
          </cell>
          <cell r="BK1229" t="str">
            <v>2025-07-22 00:00:00</v>
          </cell>
          <cell r="BL1229" t="str">
            <v>Airport EG-1351</v>
          </cell>
          <cell r="BM1229" t="str">
            <v>No</v>
          </cell>
          <cell r="BN1229" t="str">
            <v>No</v>
          </cell>
          <cell r="BO1229" t="str">
            <v>CPay-000000007</v>
          </cell>
        </row>
        <row r="1230">
          <cell r="B1230" t="str">
            <v>393038</v>
          </cell>
          <cell r="C1230" t="str">
            <v>141.0000000000000000</v>
          </cell>
          <cell r="E1230" t="str">
            <v>Cust</v>
          </cell>
          <cell r="G1230" t="str">
            <v>No</v>
          </cell>
          <cell r="H1230" t="str">
            <v>1900-01-01 00:00:00</v>
          </cell>
          <cell r="K1230" t="str">
            <v>M-P</v>
          </cell>
          <cell r="L1230" t="str">
            <v>364.800000</v>
          </cell>
          <cell r="AL1230" t="str">
            <v>393038</v>
          </cell>
          <cell r="BC1230" t="str">
            <v>Cust-PP</v>
          </cell>
          <cell r="BD1230" t="str">
            <v>2.0000000000000000</v>
          </cell>
          <cell r="BE1230" t="str">
            <v>.0000000000000000</v>
          </cell>
          <cell r="BF1230" t="str">
            <v>.0000000000000000</v>
          </cell>
          <cell r="BG1230" t="str">
            <v>None</v>
          </cell>
          <cell r="BK1230" t="str">
            <v>2025-07-22 00:00:00</v>
          </cell>
          <cell r="BL1230" t="str">
            <v>Airport EG-1354</v>
          </cell>
          <cell r="BM1230" t="str">
            <v>No</v>
          </cell>
          <cell r="BN1230" t="str">
            <v>No</v>
          </cell>
          <cell r="BO1230" t="str">
            <v>CPay-000000007</v>
          </cell>
        </row>
        <row r="1231">
          <cell r="B1231" t="str">
            <v>393206</v>
          </cell>
          <cell r="C1231" t="str">
            <v>142.0000000000000000</v>
          </cell>
          <cell r="E1231" t="str">
            <v>Cust</v>
          </cell>
          <cell r="G1231" t="str">
            <v>No</v>
          </cell>
          <cell r="H1231" t="str">
            <v>1900-01-01 00:00:00</v>
          </cell>
          <cell r="K1231" t="str">
            <v>M-P</v>
          </cell>
          <cell r="L1231" t="str">
            <v>842.230000</v>
          </cell>
          <cell r="AL1231" t="str">
            <v>393206</v>
          </cell>
          <cell r="BC1231" t="str">
            <v>Cust-PP</v>
          </cell>
          <cell r="BD1231" t="str">
            <v>2.0000000000000000</v>
          </cell>
          <cell r="BE1231" t="str">
            <v>.0000000000000000</v>
          </cell>
          <cell r="BF1231" t="str">
            <v>.0000000000000000</v>
          </cell>
          <cell r="BG1231" t="str">
            <v>None</v>
          </cell>
          <cell r="BK1231" t="str">
            <v>2025-07-22 00:00:00</v>
          </cell>
          <cell r="BL1231" t="str">
            <v>Airport EG-1356</v>
          </cell>
          <cell r="BM1231" t="str">
            <v>No</v>
          </cell>
          <cell r="BN1231" t="str">
            <v>No</v>
          </cell>
          <cell r="BO1231" t="str">
            <v>CPay-000000007</v>
          </cell>
        </row>
        <row r="1232">
          <cell r="B1232" t="str">
            <v>393470</v>
          </cell>
          <cell r="C1232" t="str">
            <v>143.0000000000000000</v>
          </cell>
          <cell r="E1232" t="str">
            <v>Cust</v>
          </cell>
          <cell r="G1232" t="str">
            <v>No</v>
          </cell>
          <cell r="H1232" t="str">
            <v>1900-01-01 00:00:00</v>
          </cell>
          <cell r="K1232" t="str">
            <v>M-P</v>
          </cell>
          <cell r="L1232" t="str">
            <v>884.180000</v>
          </cell>
          <cell r="AL1232" t="str">
            <v>393470</v>
          </cell>
          <cell r="BC1232" t="str">
            <v>Cust-PP</v>
          </cell>
          <cell r="BD1232" t="str">
            <v>2.0000000000000000</v>
          </cell>
          <cell r="BE1232" t="str">
            <v>.0000000000000000</v>
          </cell>
          <cell r="BF1232" t="str">
            <v>.0000000000000000</v>
          </cell>
          <cell r="BG1232" t="str">
            <v>None</v>
          </cell>
          <cell r="BK1232" t="str">
            <v>2025-07-22 00:00:00</v>
          </cell>
          <cell r="BL1232" t="str">
            <v>Airport EG-1358</v>
          </cell>
          <cell r="BM1232" t="str">
            <v>No</v>
          </cell>
          <cell r="BN1232" t="str">
            <v>No</v>
          </cell>
          <cell r="BO1232" t="str">
            <v>CPay-000000007</v>
          </cell>
        </row>
        <row r="1233">
          <cell r="B1233" t="str">
            <v>393541</v>
          </cell>
          <cell r="C1233" t="str">
            <v>144.0000000000000000</v>
          </cell>
          <cell r="E1233" t="str">
            <v>Cust</v>
          </cell>
          <cell r="G1233" t="str">
            <v>No</v>
          </cell>
          <cell r="H1233" t="str">
            <v>1900-01-01 00:00:00</v>
          </cell>
          <cell r="K1233" t="str">
            <v>M-P</v>
          </cell>
          <cell r="L1233" t="str">
            <v>364.800000</v>
          </cell>
          <cell r="AL1233" t="str">
            <v>393541</v>
          </cell>
          <cell r="BC1233" t="str">
            <v>Cust-PP</v>
          </cell>
          <cell r="BD1233" t="str">
            <v>2.0000000000000000</v>
          </cell>
          <cell r="BE1233" t="str">
            <v>.0000000000000000</v>
          </cell>
          <cell r="BF1233" t="str">
            <v>.0000000000000000</v>
          </cell>
          <cell r="BG1233" t="str">
            <v>None</v>
          </cell>
          <cell r="BK1233" t="str">
            <v>2025-07-22 00:00:00</v>
          </cell>
          <cell r="BL1233" t="str">
            <v>Airport EG-1348</v>
          </cell>
          <cell r="BM1233" t="str">
            <v>No</v>
          </cell>
          <cell r="BN1233" t="str">
            <v>No</v>
          </cell>
          <cell r="BO1233" t="str">
            <v>CPay-000000007</v>
          </cell>
        </row>
        <row r="1234">
          <cell r="B1234" t="str">
            <v>393868</v>
          </cell>
          <cell r="C1234" t="str">
            <v>145.0000000000000000</v>
          </cell>
          <cell r="E1234" t="str">
            <v>Cust</v>
          </cell>
          <cell r="G1234" t="str">
            <v>No</v>
          </cell>
          <cell r="H1234" t="str">
            <v>1900-01-01 00:00:00</v>
          </cell>
          <cell r="K1234" t="str">
            <v>M-P</v>
          </cell>
          <cell r="L1234" t="str">
            <v>894.670000</v>
          </cell>
          <cell r="AL1234" t="str">
            <v>393868</v>
          </cell>
          <cell r="BC1234" t="str">
            <v>Cust-PP</v>
          </cell>
          <cell r="BD1234" t="str">
            <v>2.0000000000000000</v>
          </cell>
          <cell r="BE1234" t="str">
            <v>.0000000000000000</v>
          </cell>
          <cell r="BF1234" t="str">
            <v>.0000000000000000</v>
          </cell>
          <cell r="BG1234" t="str">
            <v>None</v>
          </cell>
          <cell r="BK1234" t="str">
            <v>2025-07-22 00:00:00</v>
          </cell>
          <cell r="BL1234" t="str">
            <v>Airport EG-1352</v>
          </cell>
          <cell r="BM1234" t="str">
            <v>No</v>
          </cell>
          <cell r="BN1234" t="str">
            <v>No</v>
          </cell>
          <cell r="BO1234" t="str">
            <v>CPay-000000007</v>
          </cell>
        </row>
        <row r="1235">
          <cell r="B1235" t="str">
            <v>394050</v>
          </cell>
          <cell r="C1235" t="str">
            <v>146.0000000000000000</v>
          </cell>
          <cell r="E1235" t="str">
            <v>Cust</v>
          </cell>
          <cell r="G1235" t="str">
            <v>No</v>
          </cell>
          <cell r="H1235" t="str">
            <v>1900-01-01 00:00:00</v>
          </cell>
          <cell r="K1235" t="str">
            <v>M-P</v>
          </cell>
          <cell r="L1235" t="str">
            <v>586.420000</v>
          </cell>
          <cell r="AL1235" t="str">
            <v>394050</v>
          </cell>
          <cell r="BC1235" t="str">
            <v>Cust-PP</v>
          </cell>
          <cell r="BD1235" t="str">
            <v>2.0000000000000000</v>
          </cell>
          <cell r="BE1235" t="str">
            <v>.0000000000000000</v>
          </cell>
          <cell r="BF1235" t="str">
            <v>.0000000000000000</v>
          </cell>
          <cell r="BG1235" t="str">
            <v>None</v>
          </cell>
          <cell r="BK1235" t="str">
            <v>2025-07-22 00:00:00</v>
          </cell>
          <cell r="BL1235" t="str">
            <v>Airport EG-1350</v>
          </cell>
          <cell r="BM1235" t="str">
            <v>No</v>
          </cell>
          <cell r="BN1235" t="str">
            <v>No</v>
          </cell>
          <cell r="BO1235" t="str">
            <v>CPay-000000007</v>
          </cell>
        </row>
        <row r="1236">
          <cell r="B1236" t="str">
            <v>391569</v>
          </cell>
          <cell r="C1236" t="str">
            <v>147.0000000000000000</v>
          </cell>
          <cell r="E1236" t="str">
            <v>Cust</v>
          </cell>
          <cell r="G1236" t="str">
            <v>No</v>
          </cell>
          <cell r="H1236" t="str">
            <v>1900-01-01 00:00:00</v>
          </cell>
          <cell r="K1236" t="str">
            <v>M-P</v>
          </cell>
          <cell r="L1236" t="str">
            <v>826.500000</v>
          </cell>
          <cell r="AL1236" t="str">
            <v>391569</v>
          </cell>
          <cell r="BC1236" t="str">
            <v>Cust-PP</v>
          </cell>
          <cell r="BD1236" t="str">
            <v>2.0000000000000000</v>
          </cell>
          <cell r="BE1236" t="str">
            <v>.0000000000000000</v>
          </cell>
          <cell r="BF1236" t="str">
            <v>.0000000000000000</v>
          </cell>
          <cell r="BG1236" t="str">
            <v>None</v>
          </cell>
          <cell r="BK1236" t="str">
            <v>2025-07-23 00:00:00</v>
          </cell>
          <cell r="BL1236" t="str">
            <v>Airport EG-1362</v>
          </cell>
          <cell r="BM1236" t="str">
            <v>No</v>
          </cell>
          <cell r="BN1236" t="str">
            <v>No</v>
          </cell>
          <cell r="BO1236" t="str">
            <v>CPay-000000007</v>
          </cell>
        </row>
        <row r="1237">
          <cell r="B1237" t="str">
            <v>393876</v>
          </cell>
          <cell r="C1237" t="str">
            <v>148.0000000000000000</v>
          </cell>
          <cell r="E1237" t="str">
            <v>Cust</v>
          </cell>
          <cell r="G1237" t="str">
            <v>No</v>
          </cell>
          <cell r="H1237" t="str">
            <v>1900-01-01 00:00:00</v>
          </cell>
          <cell r="K1237" t="str">
            <v>M-P</v>
          </cell>
          <cell r="L1237" t="str">
            <v>2052.000000</v>
          </cell>
          <cell r="AL1237" t="str">
            <v>393876</v>
          </cell>
          <cell r="BC1237" t="str">
            <v>Cust-PP</v>
          </cell>
          <cell r="BD1237" t="str">
            <v>2.0000000000000000</v>
          </cell>
          <cell r="BE1237" t="str">
            <v>.0000000000000000</v>
          </cell>
          <cell r="BF1237" t="str">
            <v>.0000000000000000</v>
          </cell>
          <cell r="BG1237" t="str">
            <v>None</v>
          </cell>
          <cell r="BK1237" t="str">
            <v>2025-07-23 00:00:00</v>
          </cell>
          <cell r="BL1237" t="str">
            <v>Airport EG-1359</v>
          </cell>
          <cell r="BM1237" t="str">
            <v>No</v>
          </cell>
          <cell r="BN1237" t="str">
            <v>No</v>
          </cell>
          <cell r="BO1237" t="str">
            <v>CPay-000000007</v>
          </cell>
        </row>
        <row r="1238">
          <cell r="B1238" t="str">
            <v>393920</v>
          </cell>
          <cell r="C1238" t="str">
            <v>149.0000000000000000</v>
          </cell>
          <cell r="E1238" t="str">
            <v>Cust</v>
          </cell>
          <cell r="G1238" t="str">
            <v>No</v>
          </cell>
          <cell r="H1238" t="str">
            <v>1900-01-01 00:00:00</v>
          </cell>
          <cell r="K1238" t="str">
            <v>M-P</v>
          </cell>
          <cell r="L1238" t="str">
            <v>1653.000000</v>
          </cell>
          <cell r="AL1238" t="str">
            <v>393920</v>
          </cell>
          <cell r="BC1238" t="str">
            <v>Cust-PP</v>
          </cell>
          <cell r="BD1238" t="str">
            <v>2.0000000000000000</v>
          </cell>
          <cell r="BE1238" t="str">
            <v>.0000000000000000</v>
          </cell>
          <cell r="BF1238" t="str">
            <v>.0000000000000000</v>
          </cell>
          <cell r="BG1238" t="str">
            <v>None</v>
          </cell>
          <cell r="BK1238" t="str">
            <v>2025-07-23 00:00:00</v>
          </cell>
          <cell r="BL1238" t="str">
            <v>Airport EG-1361</v>
          </cell>
          <cell r="BM1238" t="str">
            <v>No</v>
          </cell>
          <cell r="BN1238" t="str">
            <v>No</v>
          </cell>
          <cell r="BO1238" t="str">
            <v>CPay-000000007</v>
          </cell>
        </row>
        <row r="1239">
          <cell r="B1239" t="str">
            <v>394080</v>
          </cell>
          <cell r="C1239" t="str">
            <v>150.0000000000000000</v>
          </cell>
          <cell r="E1239" t="str">
            <v>Cust</v>
          </cell>
          <cell r="G1239" t="str">
            <v>No</v>
          </cell>
          <cell r="H1239" t="str">
            <v>1900-01-01 00:00:00</v>
          </cell>
          <cell r="K1239" t="str">
            <v>M-P</v>
          </cell>
          <cell r="L1239" t="str">
            <v>364.800000</v>
          </cell>
          <cell r="AL1239" t="str">
            <v>394080</v>
          </cell>
          <cell r="BC1239" t="str">
            <v>Cust-PP</v>
          </cell>
          <cell r="BD1239" t="str">
            <v>2.0000000000000000</v>
          </cell>
          <cell r="BE1239" t="str">
            <v>.0000000000000000</v>
          </cell>
          <cell r="BF1239" t="str">
            <v>.0000000000000000</v>
          </cell>
          <cell r="BG1239" t="str">
            <v>None</v>
          </cell>
          <cell r="BK1239" t="str">
            <v>2025-07-23 00:00:00</v>
          </cell>
          <cell r="BL1239" t="str">
            <v>Airport EG-1360</v>
          </cell>
          <cell r="BM1239" t="str">
            <v>No</v>
          </cell>
          <cell r="BN1239" t="str">
            <v>No</v>
          </cell>
          <cell r="BO1239" t="str">
            <v>CPay-000000007</v>
          </cell>
        </row>
        <row r="1240">
          <cell r="B1240" t="str">
            <v>391494</v>
          </cell>
          <cell r="C1240" t="str">
            <v>151.0000000000000000</v>
          </cell>
          <cell r="E1240" t="str">
            <v>Cust</v>
          </cell>
          <cell r="G1240" t="str">
            <v>No</v>
          </cell>
          <cell r="H1240" t="str">
            <v>1900-01-01 00:00:00</v>
          </cell>
          <cell r="K1240" t="str">
            <v>M-P</v>
          </cell>
          <cell r="L1240" t="str">
            <v>1824.000000</v>
          </cell>
          <cell r="AL1240" t="str">
            <v>391494</v>
          </cell>
          <cell r="BC1240" t="str">
            <v>Cust-PP</v>
          </cell>
          <cell r="BD1240" t="str">
            <v>2.0000000000000000</v>
          </cell>
          <cell r="BE1240" t="str">
            <v>.0000000000000000</v>
          </cell>
          <cell r="BF1240" t="str">
            <v>.0000000000000000</v>
          </cell>
          <cell r="BG1240" t="str">
            <v>None</v>
          </cell>
          <cell r="BK1240" t="str">
            <v>2025-07-27 00:00:00</v>
          </cell>
          <cell r="BL1240" t="str">
            <v>Airport EG-1370</v>
          </cell>
          <cell r="BM1240" t="str">
            <v>No</v>
          </cell>
          <cell r="BN1240" t="str">
            <v>No</v>
          </cell>
          <cell r="BO1240" t="str">
            <v>CPay-000000007</v>
          </cell>
        </row>
        <row r="1241">
          <cell r="B1241" t="str">
            <v>391517</v>
          </cell>
          <cell r="C1241" t="str">
            <v>152.0000000000000000</v>
          </cell>
          <cell r="E1241" t="str">
            <v>Cust</v>
          </cell>
          <cell r="G1241" t="str">
            <v>No</v>
          </cell>
          <cell r="H1241" t="str">
            <v>1900-01-01 00:00:00</v>
          </cell>
          <cell r="K1241" t="str">
            <v>M-P</v>
          </cell>
          <cell r="L1241" t="str">
            <v>364.800000</v>
          </cell>
          <cell r="AL1241" t="str">
            <v>391517</v>
          </cell>
          <cell r="BC1241" t="str">
            <v>Cust-PP</v>
          </cell>
          <cell r="BD1241" t="str">
            <v>2.0000000000000000</v>
          </cell>
          <cell r="BE1241" t="str">
            <v>.0000000000000000</v>
          </cell>
          <cell r="BF1241" t="str">
            <v>.0000000000000000</v>
          </cell>
          <cell r="BG1241" t="str">
            <v>None</v>
          </cell>
          <cell r="BK1241" t="str">
            <v>2025-07-27 00:00:00</v>
          </cell>
          <cell r="BL1241" t="str">
            <v>Airport EG-1373</v>
          </cell>
          <cell r="BM1241" t="str">
            <v>No</v>
          </cell>
          <cell r="BN1241" t="str">
            <v>No</v>
          </cell>
          <cell r="BO1241" t="str">
            <v>CPay-000000007</v>
          </cell>
        </row>
        <row r="1242">
          <cell r="B1242" t="str">
            <v>391659</v>
          </cell>
          <cell r="C1242" t="str">
            <v>153.0000000000000000</v>
          </cell>
          <cell r="E1242" t="str">
            <v>Cust</v>
          </cell>
          <cell r="G1242" t="str">
            <v>No</v>
          </cell>
          <cell r="H1242" t="str">
            <v>1900-01-01 00:00:00</v>
          </cell>
          <cell r="K1242" t="str">
            <v>M-P</v>
          </cell>
          <cell r="L1242" t="str">
            <v>364.800000</v>
          </cell>
          <cell r="AL1242" t="str">
            <v>391659</v>
          </cell>
          <cell r="BC1242" t="str">
            <v>Cust-PP</v>
          </cell>
          <cell r="BD1242" t="str">
            <v>2.0000000000000000</v>
          </cell>
          <cell r="BE1242" t="str">
            <v>.0000000000000000</v>
          </cell>
          <cell r="BF1242" t="str">
            <v>.0000000000000000</v>
          </cell>
          <cell r="BG1242" t="str">
            <v>None</v>
          </cell>
          <cell r="BK1242" t="str">
            <v>2025-07-27 00:00:00</v>
          </cell>
          <cell r="BL1242" t="str">
            <v>Airport EG-1369</v>
          </cell>
          <cell r="BM1242" t="str">
            <v>No</v>
          </cell>
          <cell r="BN1242" t="str">
            <v>No</v>
          </cell>
          <cell r="BO1242" t="str">
            <v>CPay-000000007</v>
          </cell>
        </row>
        <row r="1243">
          <cell r="B1243" t="str">
            <v>391820</v>
          </cell>
          <cell r="C1243" t="str">
            <v>154.0000000000000000</v>
          </cell>
          <cell r="E1243" t="str">
            <v>Cust</v>
          </cell>
          <cell r="G1243" t="str">
            <v>No</v>
          </cell>
          <cell r="H1243" t="str">
            <v>1900-01-01 00:00:00</v>
          </cell>
          <cell r="K1243" t="str">
            <v>M-P</v>
          </cell>
          <cell r="L1243" t="str">
            <v>1653.000000</v>
          </cell>
          <cell r="AL1243" t="str">
            <v>391820</v>
          </cell>
          <cell r="BC1243" t="str">
            <v>Cust-PP</v>
          </cell>
          <cell r="BD1243" t="str">
            <v>2.0000000000000000</v>
          </cell>
          <cell r="BE1243" t="str">
            <v>.0000000000000000</v>
          </cell>
          <cell r="BF1243" t="str">
            <v>.0000000000000000</v>
          </cell>
          <cell r="BG1243" t="str">
            <v>None</v>
          </cell>
          <cell r="BK1243" t="str">
            <v>2025-07-27 00:00:00</v>
          </cell>
          <cell r="BL1243" t="str">
            <v>Airport EG-1366</v>
          </cell>
          <cell r="BM1243" t="str">
            <v>No</v>
          </cell>
          <cell r="BN1243" t="str">
            <v>No</v>
          </cell>
          <cell r="BO1243" t="str">
            <v>CPay-000000007</v>
          </cell>
        </row>
        <row r="1244">
          <cell r="B1244" t="str">
            <v>392323</v>
          </cell>
          <cell r="C1244" t="str">
            <v>155.0000000000000000</v>
          </cell>
          <cell r="E1244" t="str">
            <v>Cust</v>
          </cell>
          <cell r="G1244" t="str">
            <v>No</v>
          </cell>
          <cell r="H1244" t="str">
            <v>1900-01-01 00:00:00</v>
          </cell>
          <cell r="K1244" t="str">
            <v>M-P</v>
          </cell>
          <cell r="L1244" t="str">
            <v>1653.000000</v>
          </cell>
          <cell r="AL1244" t="str">
            <v>392323</v>
          </cell>
          <cell r="BC1244" t="str">
            <v>Cust-PP</v>
          </cell>
          <cell r="BD1244" t="str">
            <v>2.0000000000000000</v>
          </cell>
          <cell r="BE1244" t="str">
            <v>.0000000000000000</v>
          </cell>
          <cell r="BF1244" t="str">
            <v>.0000000000000000</v>
          </cell>
          <cell r="BG1244" t="str">
            <v>None</v>
          </cell>
          <cell r="BK1244" t="str">
            <v>2025-07-27 00:00:00</v>
          </cell>
          <cell r="BL1244" t="str">
            <v>Airport EG-1364</v>
          </cell>
          <cell r="BM1244" t="str">
            <v>No</v>
          </cell>
          <cell r="BN1244" t="str">
            <v>No</v>
          </cell>
          <cell r="BO1244" t="str">
            <v>CPay-000000007</v>
          </cell>
        </row>
        <row r="1245">
          <cell r="B1245" t="str">
            <v>392529</v>
          </cell>
          <cell r="C1245" t="str">
            <v>156.0000000000000000</v>
          </cell>
          <cell r="E1245" t="str">
            <v>Cust</v>
          </cell>
          <cell r="G1245" t="str">
            <v>No</v>
          </cell>
          <cell r="H1245" t="str">
            <v>1900-01-01 00:00:00</v>
          </cell>
          <cell r="K1245" t="str">
            <v>M-P</v>
          </cell>
          <cell r="L1245" t="str">
            <v>364.800000</v>
          </cell>
          <cell r="AL1245" t="str">
            <v>392529</v>
          </cell>
          <cell r="BC1245" t="str">
            <v>Cust-PP</v>
          </cell>
          <cell r="BD1245" t="str">
            <v>2.0000000000000000</v>
          </cell>
          <cell r="BE1245" t="str">
            <v>.0000000000000000</v>
          </cell>
          <cell r="BF1245" t="str">
            <v>.0000000000000000</v>
          </cell>
          <cell r="BG1245" t="str">
            <v>None</v>
          </cell>
          <cell r="BK1245" t="str">
            <v>2025-07-27 00:00:00</v>
          </cell>
          <cell r="BL1245" t="str">
            <v>Airport EG-1371</v>
          </cell>
          <cell r="BM1245" t="str">
            <v>No</v>
          </cell>
          <cell r="BN1245" t="str">
            <v>No</v>
          </cell>
          <cell r="BO1245" t="str">
            <v>CPay-000000007</v>
          </cell>
        </row>
        <row r="1246">
          <cell r="B1246" t="str">
            <v>392953</v>
          </cell>
          <cell r="C1246" t="str">
            <v>157.0000000000000000</v>
          </cell>
          <cell r="E1246" t="str">
            <v>Cust</v>
          </cell>
          <cell r="G1246" t="str">
            <v>No</v>
          </cell>
          <cell r="H1246" t="str">
            <v>1900-01-01 00:00:00</v>
          </cell>
          <cell r="K1246" t="str">
            <v>M-P</v>
          </cell>
          <cell r="L1246" t="str">
            <v>199.500000</v>
          </cell>
          <cell r="AL1246" t="str">
            <v>392953</v>
          </cell>
          <cell r="BC1246" t="str">
            <v>Cust-PP</v>
          </cell>
          <cell r="BD1246" t="str">
            <v>2.0000000000000000</v>
          </cell>
          <cell r="BE1246" t="str">
            <v>.0000000000000000</v>
          </cell>
          <cell r="BF1246" t="str">
            <v>.0000000000000000</v>
          </cell>
          <cell r="BG1246" t="str">
            <v>None</v>
          </cell>
          <cell r="BK1246" t="str">
            <v>2025-07-27 00:00:00</v>
          </cell>
          <cell r="BL1246" t="str">
            <v>Airport EG-1365</v>
          </cell>
          <cell r="BM1246" t="str">
            <v>No</v>
          </cell>
          <cell r="BN1246" t="str">
            <v>No</v>
          </cell>
          <cell r="BO1246" t="str">
            <v>CPay-000000007</v>
          </cell>
        </row>
        <row r="1247">
          <cell r="B1247" t="str">
            <v>393193</v>
          </cell>
          <cell r="C1247" t="str">
            <v>158.0000000000000000</v>
          </cell>
          <cell r="E1247" t="str">
            <v>Cust</v>
          </cell>
          <cell r="G1247" t="str">
            <v>No</v>
          </cell>
          <cell r="H1247" t="str">
            <v>1900-01-01 00:00:00</v>
          </cell>
          <cell r="K1247" t="str">
            <v>M-P</v>
          </cell>
          <cell r="L1247" t="str">
            <v>199.500000</v>
          </cell>
          <cell r="AL1247" t="str">
            <v>393193</v>
          </cell>
          <cell r="BC1247" t="str">
            <v>Cust-PP</v>
          </cell>
          <cell r="BD1247" t="str">
            <v>2.0000000000000000</v>
          </cell>
          <cell r="BE1247" t="str">
            <v>.0000000000000000</v>
          </cell>
          <cell r="BF1247" t="str">
            <v>.0000000000000000</v>
          </cell>
          <cell r="BG1247" t="str">
            <v>None</v>
          </cell>
          <cell r="BK1247" t="str">
            <v>2025-07-27 00:00:00</v>
          </cell>
          <cell r="BL1247" t="str">
            <v>Airport EG-1367</v>
          </cell>
          <cell r="BM1247" t="str">
            <v>No</v>
          </cell>
          <cell r="BN1247" t="str">
            <v>No</v>
          </cell>
          <cell r="BO1247" t="str">
            <v>CPay-000000007</v>
          </cell>
        </row>
        <row r="1248">
          <cell r="B1248" t="str">
            <v>393493</v>
          </cell>
          <cell r="C1248" t="str">
            <v>159.0000000000000000</v>
          </cell>
          <cell r="E1248" t="str">
            <v>Cust</v>
          </cell>
          <cell r="G1248" t="str">
            <v>No</v>
          </cell>
          <cell r="H1248" t="str">
            <v>1900-01-01 00:00:00</v>
          </cell>
          <cell r="K1248" t="str">
            <v>M-P</v>
          </cell>
          <cell r="L1248" t="str">
            <v>2052.000000</v>
          </cell>
          <cell r="AL1248" t="str">
            <v>393493</v>
          </cell>
          <cell r="BC1248" t="str">
            <v>Cust-PP</v>
          </cell>
          <cell r="BD1248" t="str">
            <v>2.0000000000000000</v>
          </cell>
          <cell r="BE1248" t="str">
            <v>.0000000000000000</v>
          </cell>
          <cell r="BF1248" t="str">
            <v>.0000000000000000</v>
          </cell>
          <cell r="BG1248" t="str">
            <v>None</v>
          </cell>
          <cell r="BK1248" t="str">
            <v>2025-07-27 00:00:00</v>
          </cell>
          <cell r="BL1248" t="str">
            <v>Airport EG-1372</v>
          </cell>
          <cell r="BM1248" t="str">
            <v>No</v>
          </cell>
          <cell r="BN1248" t="str">
            <v>No</v>
          </cell>
          <cell r="BO1248" t="str">
            <v>CPay-000000007</v>
          </cell>
        </row>
        <row r="1249">
          <cell r="B1249" t="str">
            <v>393931</v>
          </cell>
          <cell r="C1249" t="str">
            <v>160.0000000000000000</v>
          </cell>
          <cell r="E1249" t="str">
            <v>Cust</v>
          </cell>
          <cell r="G1249" t="str">
            <v>No</v>
          </cell>
          <cell r="H1249" t="str">
            <v>1900-01-01 00:00:00</v>
          </cell>
          <cell r="K1249" t="str">
            <v>M-P</v>
          </cell>
          <cell r="L1249" t="str">
            <v>1653.000000</v>
          </cell>
          <cell r="AL1249" t="str">
            <v>393931</v>
          </cell>
          <cell r="BC1249" t="str">
            <v>Cust-PP</v>
          </cell>
          <cell r="BD1249" t="str">
            <v>2.0000000000000000</v>
          </cell>
          <cell r="BE1249" t="str">
            <v>.0000000000000000</v>
          </cell>
          <cell r="BF1249" t="str">
            <v>.0000000000000000</v>
          </cell>
          <cell r="BG1249" t="str">
            <v>None</v>
          </cell>
          <cell r="BK1249" t="str">
            <v>2025-07-27 00:00:00</v>
          </cell>
          <cell r="BL1249" t="str">
            <v>Airport EG-1368</v>
          </cell>
          <cell r="BM1249" t="str">
            <v>No</v>
          </cell>
          <cell r="BN1249" t="str">
            <v>No</v>
          </cell>
          <cell r="BO1249" t="str">
            <v>CPay-000000007</v>
          </cell>
        </row>
        <row r="1250">
          <cell r="B1250" t="str">
            <v>391154</v>
          </cell>
          <cell r="C1250" t="str">
            <v>161.0000000000000000</v>
          </cell>
          <cell r="E1250" t="str">
            <v>Cust</v>
          </cell>
          <cell r="G1250" t="str">
            <v>No</v>
          </cell>
          <cell r="H1250" t="str">
            <v>1900-01-01 00:00:00</v>
          </cell>
          <cell r="K1250" t="str">
            <v>M-P</v>
          </cell>
          <cell r="L1250" t="str">
            <v>1653.000000</v>
          </cell>
          <cell r="AL1250" t="str">
            <v>391154</v>
          </cell>
          <cell r="BC1250" t="str">
            <v>Cust-PP</v>
          </cell>
          <cell r="BD1250" t="str">
            <v>2.0000000000000000</v>
          </cell>
          <cell r="BE1250" t="str">
            <v>.0000000000000000</v>
          </cell>
          <cell r="BF1250" t="str">
            <v>.0000000000000000</v>
          </cell>
          <cell r="BG1250" t="str">
            <v>None</v>
          </cell>
          <cell r="BK1250" t="str">
            <v>2025-07-28 00:00:00</v>
          </cell>
          <cell r="BL1250" t="str">
            <v>Airport EG-1379</v>
          </cell>
          <cell r="BM1250" t="str">
            <v>No</v>
          </cell>
          <cell r="BN1250" t="str">
            <v>No</v>
          </cell>
          <cell r="BO1250" t="str">
            <v>CPay-000000007</v>
          </cell>
        </row>
        <row r="1251">
          <cell r="B1251" t="str">
            <v>391228</v>
          </cell>
          <cell r="C1251" t="str">
            <v>162.0000000000000000</v>
          </cell>
          <cell r="E1251" t="str">
            <v>Cust</v>
          </cell>
          <cell r="G1251" t="str">
            <v>No</v>
          </cell>
          <cell r="H1251" t="str">
            <v>1900-01-01 00:00:00</v>
          </cell>
          <cell r="K1251" t="str">
            <v>M-P</v>
          </cell>
          <cell r="L1251" t="str">
            <v>199.500000</v>
          </cell>
          <cell r="AL1251" t="str">
            <v>391228</v>
          </cell>
          <cell r="BC1251" t="str">
            <v>Cust-PP</v>
          </cell>
          <cell r="BD1251" t="str">
            <v>2.0000000000000000</v>
          </cell>
          <cell r="BE1251" t="str">
            <v>.0000000000000000</v>
          </cell>
          <cell r="BF1251" t="str">
            <v>.0000000000000000</v>
          </cell>
          <cell r="BG1251" t="str">
            <v>None</v>
          </cell>
          <cell r="BK1251" t="str">
            <v>2025-07-28 00:00:00</v>
          </cell>
          <cell r="BL1251" t="str">
            <v>Airport EG-1378</v>
          </cell>
          <cell r="BM1251" t="str">
            <v>No</v>
          </cell>
          <cell r="BN1251" t="str">
            <v>No</v>
          </cell>
          <cell r="BO1251" t="str">
            <v>CPay-000000007</v>
          </cell>
        </row>
        <row r="1252">
          <cell r="B1252" t="str">
            <v>391387</v>
          </cell>
          <cell r="C1252" t="str">
            <v>163.0000000000000000</v>
          </cell>
          <cell r="E1252" t="str">
            <v>Cust</v>
          </cell>
          <cell r="G1252" t="str">
            <v>No</v>
          </cell>
          <cell r="H1252" t="str">
            <v>1900-01-01 00:00:00</v>
          </cell>
          <cell r="K1252" t="str">
            <v>M-P</v>
          </cell>
          <cell r="L1252" t="str">
            <v>1254.000000</v>
          </cell>
          <cell r="AL1252" t="str">
            <v>391387</v>
          </cell>
          <cell r="BC1252" t="str">
            <v>Cust-PP</v>
          </cell>
          <cell r="BD1252" t="str">
            <v>2.0000000000000000</v>
          </cell>
          <cell r="BE1252" t="str">
            <v>.0000000000000000</v>
          </cell>
          <cell r="BF1252" t="str">
            <v>.0000000000000000</v>
          </cell>
          <cell r="BG1252" t="str">
            <v>None</v>
          </cell>
          <cell r="BK1252" t="str">
            <v>2025-07-28 00:00:00</v>
          </cell>
          <cell r="BL1252" t="str">
            <v>Airport EG-1382</v>
          </cell>
          <cell r="BM1252" t="str">
            <v>No</v>
          </cell>
          <cell r="BN1252" t="str">
            <v>No</v>
          </cell>
          <cell r="BO1252" t="str">
            <v>CPay-000000007</v>
          </cell>
        </row>
        <row r="1253">
          <cell r="B1253" t="str">
            <v>391454</v>
          </cell>
          <cell r="C1253" t="str">
            <v>164.0000000000000000</v>
          </cell>
          <cell r="E1253" t="str">
            <v>Cust</v>
          </cell>
          <cell r="G1253" t="str">
            <v>No</v>
          </cell>
          <cell r="H1253" t="str">
            <v>1900-01-01 00:00:00</v>
          </cell>
          <cell r="K1253" t="str">
            <v>M-P</v>
          </cell>
          <cell r="L1253" t="str">
            <v>364.800000</v>
          </cell>
          <cell r="AL1253" t="str">
            <v>391454</v>
          </cell>
          <cell r="BC1253" t="str">
            <v>Cust-PP</v>
          </cell>
          <cell r="BD1253" t="str">
            <v>2.0000000000000000</v>
          </cell>
          <cell r="BE1253" t="str">
            <v>.0000000000000000</v>
          </cell>
          <cell r="BF1253" t="str">
            <v>.0000000000000000</v>
          </cell>
          <cell r="BG1253" t="str">
            <v>None</v>
          </cell>
          <cell r="BK1253" t="str">
            <v>2025-07-28 00:00:00</v>
          </cell>
          <cell r="BL1253" t="str">
            <v>Airport EG-1375</v>
          </cell>
          <cell r="BM1253" t="str">
            <v>No</v>
          </cell>
          <cell r="BN1253" t="str">
            <v>No</v>
          </cell>
          <cell r="BO1253" t="str">
            <v>CPay-000000007</v>
          </cell>
        </row>
        <row r="1254">
          <cell r="B1254" t="str">
            <v>391765</v>
          </cell>
          <cell r="C1254" t="str">
            <v>165.0000000000000000</v>
          </cell>
          <cell r="E1254" t="str">
            <v>Cust</v>
          </cell>
          <cell r="G1254" t="str">
            <v>No</v>
          </cell>
          <cell r="H1254" t="str">
            <v>1900-01-01 00:00:00</v>
          </cell>
          <cell r="K1254" t="str">
            <v>M-P</v>
          </cell>
          <cell r="L1254" t="str">
            <v>199.500000</v>
          </cell>
          <cell r="AL1254" t="str">
            <v>391765</v>
          </cell>
          <cell r="BC1254" t="str">
            <v>Cust-PP</v>
          </cell>
          <cell r="BD1254" t="str">
            <v>2.0000000000000000</v>
          </cell>
          <cell r="BE1254" t="str">
            <v>.0000000000000000</v>
          </cell>
          <cell r="BF1254" t="str">
            <v>.0000000000000000</v>
          </cell>
          <cell r="BG1254" t="str">
            <v>None</v>
          </cell>
          <cell r="BK1254" t="str">
            <v>2025-07-28 00:00:00</v>
          </cell>
          <cell r="BL1254" t="str">
            <v>Airport EG-1380</v>
          </cell>
          <cell r="BM1254" t="str">
            <v>No</v>
          </cell>
          <cell r="BN1254" t="str">
            <v>No</v>
          </cell>
          <cell r="BO1254" t="str">
            <v>CPay-000000007</v>
          </cell>
        </row>
        <row r="1255">
          <cell r="B1255" t="str">
            <v>393338</v>
          </cell>
          <cell r="C1255" t="str">
            <v>166.0000000000000000</v>
          </cell>
          <cell r="E1255" t="str">
            <v>Cust</v>
          </cell>
          <cell r="G1255" t="str">
            <v>No</v>
          </cell>
          <cell r="H1255" t="str">
            <v>1900-01-01 00:00:00</v>
          </cell>
          <cell r="K1255" t="str">
            <v>M-P</v>
          </cell>
          <cell r="L1255" t="str">
            <v>1653.000000</v>
          </cell>
          <cell r="AL1255" t="str">
            <v>393338</v>
          </cell>
          <cell r="BC1255" t="str">
            <v>Cust-PP</v>
          </cell>
          <cell r="BD1255" t="str">
            <v>2.0000000000000000</v>
          </cell>
          <cell r="BE1255" t="str">
            <v>.0000000000000000</v>
          </cell>
          <cell r="BF1255" t="str">
            <v>.0000000000000000</v>
          </cell>
          <cell r="BG1255" t="str">
            <v>None</v>
          </cell>
          <cell r="BK1255" t="str">
            <v>2025-07-28 00:00:00</v>
          </cell>
          <cell r="BL1255" t="str">
            <v>Airport EG-1374</v>
          </cell>
          <cell r="BM1255" t="str">
            <v>No</v>
          </cell>
          <cell r="BN1255" t="str">
            <v>No</v>
          </cell>
          <cell r="BO1255" t="str">
            <v>CPay-000000007</v>
          </cell>
        </row>
        <row r="1256">
          <cell r="B1256" t="str">
            <v>393593</v>
          </cell>
          <cell r="C1256" t="str">
            <v>167.0000000000000000</v>
          </cell>
          <cell r="E1256" t="str">
            <v>Cust</v>
          </cell>
          <cell r="G1256" t="str">
            <v>No</v>
          </cell>
          <cell r="H1256" t="str">
            <v>1900-01-01 00:00:00</v>
          </cell>
          <cell r="K1256" t="str">
            <v>M-P</v>
          </cell>
          <cell r="L1256" t="str">
            <v>2052.000000</v>
          </cell>
          <cell r="AL1256" t="str">
            <v>393593</v>
          </cell>
          <cell r="BC1256" t="str">
            <v>Cust-PP</v>
          </cell>
          <cell r="BD1256" t="str">
            <v>2.0000000000000000</v>
          </cell>
          <cell r="BE1256" t="str">
            <v>.0000000000000000</v>
          </cell>
          <cell r="BF1256" t="str">
            <v>.0000000000000000</v>
          </cell>
          <cell r="BG1256" t="str">
            <v>None</v>
          </cell>
          <cell r="BK1256" t="str">
            <v>2025-07-28 00:00:00</v>
          </cell>
          <cell r="BL1256" t="str">
            <v>Airport EG-1377</v>
          </cell>
          <cell r="BM1256" t="str">
            <v>No</v>
          </cell>
          <cell r="BN1256" t="str">
            <v>No</v>
          </cell>
          <cell r="BO1256" t="str">
            <v>CPay-000000007</v>
          </cell>
        </row>
        <row r="1257">
          <cell r="B1257" t="str">
            <v>394132</v>
          </cell>
          <cell r="C1257" t="str">
            <v>168.0000000000000000</v>
          </cell>
          <cell r="E1257" t="str">
            <v>Cust</v>
          </cell>
          <cell r="G1257" t="str">
            <v>No</v>
          </cell>
          <cell r="H1257" t="str">
            <v>1900-01-01 00:00:00</v>
          </cell>
          <cell r="K1257" t="str">
            <v>M-P</v>
          </cell>
          <cell r="L1257" t="str">
            <v>1653.000000</v>
          </cell>
          <cell r="AL1257" t="str">
            <v>394132</v>
          </cell>
          <cell r="BC1257" t="str">
            <v>Cust-PP</v>
          </cell>
          <cell r="BD1257" t="str">
            <v>2.0000000000000000</v>
          </cell>
          <cell r="BE1257" t="str">
            <v>.0000000000000000</v>
          </cell>
          <cell r="BF1257" t="str">
            <v>.0000000000000000</v>
          </cell>
          <cell r="BG1257" t="str">
            <v>None</v>
          </cell>
          <cell r="BK1257" t="str">
            <v>2025-07-28 00:00:00</v>
          </cell>
          <cell r="BL1257" t="str">
            <v>Airport EG-1381</v>
          </cell>
          <cell r="BM1257" t="str">
            <v>No</v>
          </cell>
          <cell r="BN1257" t="str">
            <v>No</v>
          </cell>
          <cell r="BO1257" t="str">
            <v>CPay-000000007</v>
          </cell>
        </row>
        <row r="1258">
          <cell r="B1258" t="str">
            <v>390950</v>
          </cell>
          <cell r="C1258" t="str">
            <v>169.0000000000000000</v>
          </cell>
          <cell r="E1258" t="str">
            <v>Cust</v>
          </cell>
          <cell r="G1258" t="str">
            <v>No</v>
          </cell>
          <cell r="H1258" t="str">
            <v>1900-01-01 00:00:00</v>
          </cell>
          <cell r="K1258" t="str">
            <v>M-P</v>
          </cell>
          <cell r="L1258" t="str">
            <v>1653.000000</v>
          </cell>
          <cell r="AL1258" t="str">
            <v>390950</v>
          </cell>
          <cell r="BC1258" t="str">
            <v>Cust-PP</v>
          </cell>
          <cell r="BD1258" t="str">
            <v>2.0000000000000000</v>
          </cell>
          <cell r="BE1258" t="str">
            <v>.0000000000000000</v>
          </cell>
          <cell r="BF1258" t="str">
            <v>.0000000000000000</v>
          </cell>
          <cell r="BG1258" t="str">
            <v>None</v>
          </cell>
          <cell r="BK1258" t="str">
            <v>2025-07-29 00:00:00</v>
          </cell>
          <cell r="BL1258" t="str">
            <v>Airport EG-1385</v>
          </cell>
          <cell r="BM1258" t="str">
            <v>No</v>
          </cell>
          <cell r="BN1258" t="str">
            <v>No</v>
          </cell>
          <cell r="BO1258" t="str">
            <v>CPay-000000007</v>
          </cell>
        </row>
        <row r="1259">
          <cell r="B1259" t="str">
            <v>390978</v>
          </cell>
          <cell r="C1259" t="str">
            <v>170.0000000000000000</v>
          </cell>
          <cell r="E1259" t="str">
            <v>Cust</v>
          </cell>
          <cell r="G1259" t="str">
            <v>No</v>
          </cell>
          <cell r="H1259" t="str">
            <v>1900-01-01 00:00:00</v>
          </cell>
          <cell r="K1259" t="str">
            <v>M-P</v>
          </cell>
          <cell r="L1259" t="str">
            <v>1653.000000</v>
          </cell>
          <cell r="AL1259" t="str">
            <v>390978</v>
          </cell>
          <cell r="BC1259" t="str">
            <v>Cust-PP</v>
          </cell>
          <cell r="BD1259" t="str">
            <v>2.0000000000000000</v>
          </cell>
          <cell r="BE1259" t="str">
            <v>.0000000000000000</v>
          </cell>
          <cell r="BF1259" t="str">
            <v>.0000000000000000</v>
          </cell>
          <cell r="BG1259" t="str">
            <v>None</v>
          </cell>
          <cell r="BK1259" t="str">
            <v>2025-07-29 00:00:00</v>
          </cell>
          <cell r="BL1259" t="str">
            <v>Airport EG-1393</v>
          </cell>
          <cell r="BM1259" t="str">
            <v>No</v>
          </cell>
          <cell r="BN1259" t="str">
            <v>No</v>
          </cell>
          <cell r="BO1259" t="str">
            <v>CPay-000000007</v>
          </cell>
        </row>
        <row r="1260">
          <cell r="B1260" t="str">
            <v>390985</v>
          </cell>
          <cell r="C1260" t="str">
            <v>171.0000000000000000</v>
          </cell>
          <cell r="E1260" t="str">
            <v>Cust</v>
          </cell>
          <cell r="G1260" t="str">
            <v>No</v>
          </cell>
          <cell r="H1260" t="str">
            <v>1900-01-01 00:00:00</v>
          </cell>
          <cell r="K1260" t="str">
            <v>M-P</v>
          </cell>
          <cell r="L1260" t="str">
            <v>8217.800000</v>
          </cell>
          <cell r="AL1260" t="str">
            <v>390985</v>
          </cell>
          <cell r="BC1260" t="str">
            <v>Cust-PP</v>
          </cell>
          <cell r="BD1260" t="str">
            <v>2.0000000000000000</v>
          </cell>
          <cell r="BE1260" t="str">
            <v>.0000000000000000</v>
          </cell>
          <cell r="BF1260" t="str">
            <v>.0000000000000000</v>
          </cell>
          <cell r="BG1260" t="str">
            <v>None</v>
          </cell>
          <cell r="BK1260" t="str">
            <v>2025-07-29 00:00:00</v>
          </cell>
          <cell r="BL1260" t="str">
            <v>Airport EG-1384</v>
          </cell>
          <cell r="BM1260" t="str">
            <v>No</v>
          </cell>
          <cell r="BN1260" t="str">
            <v>No</v>
          </cell>
          <cell r="BO1260" t="str">
            <v>CPay-000000007</v>
          </cell>
        </row>
        <row r="1261">
          <cell r="B1261" t="str">
            <v>391549</v>
          </cell>
          <cell r="C1261" t="str">
            <v>172.0000000000000000</v>
          </cell>
          <cell r="E1261" t="str">
            <v>Cust</v>
          </cell>
          <cell r="G1261" t="str">
            <v>No</v>
          </cell>
          <cell r="H1261" t="str">
            <v>1900-01-01 00:00:00</v>
          </cell>
          <cell r="K1261" t="str">
            <v>M-P</v>
          </cell>
          <cell r="L1261" t="str">
            <v>2052.000000</v>
          </cell>
          <cell r="AL1261" t="str">
            <v>391549</v>
          </cell>
          <cell r="BC1261" t="str">
            <v>Cust-PP</v>
          </cell>
          <cell r="BD1261" t="str">
            <v>2.0000000000000000</v>
          </cell>
          <cell r="BE1261" t="str">
            <v>.0000000000000000</v>
          </cell>
          <cell r="BF1261" t="str">
            <v>.0000000000000000</v>
          </cell>
          <cell r="BG1261" t="str">
            <v>None</v>
          </cell>
          <cell r="BK1261" t="str">
            <v>2025-07-29 00:00:00</v>
          </cell>
          <cell r="BL1261" t="str">
            <v>Airport EG-1387</v>
          </cell>
          <cell r="BM1261" t="str">
            <v>No</v>
          </cell>
          <cell r="BN1261" t="str">
            <v>No</v>
          </cell>
          <cell r="BO1261" t="str">
            <v>CPay-000000007</v>
          </cell>
        </row>
        <row r="1262">
          <cell r="B1262" t="str">
            <v>391975</v>
          </cell>
          <cell r="C1262" t="str">
            <v>173.0000000000000000</v>
          </cell>
          <cell r="E1262" t="str">
            <v>Cust</v>
          </cell>
          <cell r="G1262" t="str">
            <v>No</v>
          </cell>
          <cell r="H1262" t="str">
            <v>1900-01-01 00:00:00</v>
          </cell>
          <cell r="K1262" t="str">
            <v>M-P</v>
          </cell>
          <cell r="L1262" t="str">
            <v>364.800000</v>
          </cell>
          <cell r="AL1262" t="str">
            <v>391975</v>
          </cell>
          <cell r="BC1262" t="str">
            <v>Cust-PP</v>
          </cell>
          <cell r="BD1262" t="str">
            <v>2.0000000000000000</v>
          </cell>
          <cell r="BE1262" t="str">
            <v>.0000000000000000</v>
          </cell>
          <cell r="BF1262" t="str">
            <v>.0000000000000000</v>
          </cell>
          <cell r="BG1262" t="str">
            <v>None</v>
          </cell>
          <cell r="BK1262" t="str">
            <v>2025-07-29 00:00:00</v>
          </cell>
          <cell r="BL1262" t="str">
            <v>Airport EG-1386</v>
          </cell>
          <cell r="BM1262" t="str">
            <v>No</v>
          </cell>
          <cell r="BN1262" t="str">
            <v>No</v>
          </cell>
          <cell r="BO1262" t="str">
            <v>CPay-000000007</v>
          </cell>
        </row>
        <row r="1263">
          <cell r="B1263" t="str">
            <v>392007</v>
          </cell>
          <cell r="C1263" t="str">
            <v>174.0000000000000000</v>
          </cell>
          <cell r="E1263" t="str">
            <v>Cust</v>
          </cell>
          <cell r="G1263" t="str">
            <v>No</v>
          </cell>
          <cell r="H1263" t="str">
            <v>1900-01-01 00:00:00</v>
          </cell>
          <cell r="K1263" t="str">
            <v>M-P</v>
          </cell>
          <cell r="L1263" t="str">
            <v>2052.000000</v>
          </cell>
          <cell r="AL1263" t="str">
            <v>392007</v>
          </cell>
          <cell r="BC1263" t="str">
            <v>Cust-PP</v>
          </cell>
          <cell r="BD1263" t="str">
            <v>2.0000000000000000</v>
          </cell>
          <cell r="BE1263" t="str">
            <v>.0000000000000000</v>
          </cell>
          <cell r="BF1263" t="str">
            <v>.0000000000000000</v>
          </cell>
          <cell r="BG1263" t="str">
            <v>None</v>
          </cell>
          <cell r="BK1263" t="str">
            <v>2025-07-29 00:00:00</v>
          </cell>
          <cell r="BL1263" t="str">
            <v>Airport EG-1391</v>
          </cell>
          <cell r="BM1263" t="str">
            <v>No</v>
          </cell>
          <cell r="BN1263" t="str">
            <v>No</v>
          </cell>
          <cell r="BO1263" t="str">
            <v>CPay-000000007</v>
          </cell>
        </row>
        <row r="1264">
          <cell r="B1264" t="str">
            <v>392111</v>
          </cell>
          <cell r="C1264" t="str">
            <v>175.0000000000000000</v>
          </cell>
          <cell r="E1264" t="str">
            <v>Cust</v>
          </cell>
          <cell r="G1264" t="str">
            <v>No</v>
          </cell>
          <cell r="H1264" t="str">
            <v>1900-01-01 00:00:00</v>
          </cell>
          <cell r="K1264" t="str">
            <v>M-P</v>
          </cell>
          <cell r="L1264" t="str">
            <v>364.800000</v>
          </cell>
          <cell r="AL1264" t="str">
            <v>392111</v>
          </cell>
          <cell r="BC1264" t="str">
            <v>Cust-PP</v>
          </cell>
          <cell r="BD1264" t="str">
            <v>2.0000000000000000</v>
          </cell>
          <cell r="BE1264" t="str">
            <v>.0000000000000000</v>
          </cell>
          <cell r="BF1264" t="str">
            <v>.0000000000000000</v>
          </cell>
          <cell r="BG1264" t="str">
            <v>None</v>
          </cell>
          <cell r="BK1264" t="str">
            <v>2025-07-29 00:00:00</v>
          </cell>
          <cell r="BL1264" t="str">
            <v>Airport EG-1388</v>
          </cell>
          <cell r="BM1264" t="str">
            <v>No</v>
          </cell>
          <cell r="BN1264" t="str">
            <v>No</v>
          </cell>
          <cell r="BO1264" t="str">
            <v>CPay-000000007</v>
          </cell>
        </row>
        <row r="1265">
          <cell r="B1265" t="str">
            <v>392175</v>
          </cell>
          <cell r="C1265" t="str">
            <v>176.0000000000000000</v>
          </cell>
          <cell r="E1265" t="str">
            <v>Cust</v>
          </cell>
          <cell r="G1265" t="str">
            <v>No</v>
          </cell>
          <cell r="H1265" t="str">
            <v>1900-01-01 00:00:00</v>
          </cell>
          <cell r="K1265" t="str">
            <v>M-P</v>
          </cell>
          <cell r="L1265" t="str">
            <v>2052.000000</v>
          </cell>
          <cell r="AL1265" t="str">
            <v>392175</v>
          </cell>
          <cell r="BC1265" t="str">
            <v>Cust-PP</v>
          </cell>
          <cell r="BD1265" t="str">
            <v>2.0000000000000000</v>
          </cell>
          <cell r="BE1265" t="str">
            <v>.0000000000000000</v>
          </cell>
          <cell r="BF1265" t="str">
            <v>.0000000000000000</v>
          </cell>
          <cell r="BG1265" t="str">
            <v>None</v>
          </cell>
          <cell r="BK1265" t="str">
            <v>2025-07-29 00:00:00</v>
          </cell>
          <cell r="BL1265" t="str">
            <v>Airport EG-1389</v>
          </cell>
          <cell r="BM1265" t="str">
            <v>No</v>
          </cell>
          <cell r="BN1265" t="str">
            <v>No</v>
          </cell>
          <cell r="BO1265" t="str">
            <v>CPay-000000007</v>
          </cell>
        </row>
        <row r="1266">
          <cell r="B1266" t="str">
            <v>392376</v>
          </cell>
          <cell r="C1266" t="str">
            <v>177.0000000000000000</v>
          </cell>
          <cell r="E1266" t="str">
            <v>Cust</v>
          </cell>
          <cell r="G1266" t="str">
            <v>No</v>
          </cell>
          <cell r="H1266" t="str">
            <v>1900-01-01 00:00:00</v>
          </cell>
          <cell r="K1266" t="str">
            <v>M-P</v>
          </cell>
          <cell r="L1266" t="str">
            <v>1938.000000</v>
          </cell>
          <cell r="AL1266" t="str">
            <v>392376</v>
          </cell>
          <cell r="BC1266" t="str">
            <v>Cust-PP</v>
          </cell>
          <cell r="BD1266" t="str">
            <v>2.0000000000000000</v>
          </cell>
          <cell r="BE1266" t="str">
            <v>.0000000000000000</v>
          </cell>
          <cell r="BF1266" t="str">
            <v>.0000000000000000</v>
          </cell>
          <cell r="BG1266" t="str">
            <v>None</v>
          </cell>
          <cell r="BK1266" t="str">
            <v>2025-07-29 00:00:00</v>
          </cell>
          <cell r="BL1266" t="str">
            <v>Airport EG-1394</v>
          </cell>
          <cell r="BM1266" t="str">
            <v>No</v>
          </cell>
          <cell r="BN1266" t="str">
            <v>No</v>
          </cell>
          <cell r="BO1266" t="str">
            <v>CPay-000000007</v>
          </cell>
        </row>
        <row r="1267">
          <cell r="B1267" t="str">
            <v>392566</v>
          </cell>
          <cell r="C1267" t="str">
            <v>178.0000000000000000</v>
          </cell>
          <cell r="E1267" t="str">
            <v>Cust</v>
          </cell>
          <cell r="G1267" t="str">
            <v>No</v>
          </cell>
          <cell r="H1267" t="str">
            <v>1900-01-01 00:00:00</v>
          </cell>
          <cell r="K1267" t="str">
            <v>M-P</v>
          </cell>
          <cell r="L1267" t="str">
            <v>1653.000000</v>
          </cell>
          <cell r="AL1267" t="str">
            <v>392566</v>
          </cell>
          <cell r="BC1267" t="str">
            <v>Cust-PP</v>
          </cell>
          <cell r="BD1267" t="str">
            <v>2.0000000000000000</v>
          </cell>
          <cell r="BE1267" t="str">
            <v>.0000000000000000</v>
          </cell>
          <cell r="BF1267" t="str">
            <v>.0000000000000000</v>
          </cell>
          <cell r="BG1267" t="str">
            <v>None</v>
          </cell>
          <cell r="BK1267" t="str">
            <v>2025-07-29 00:00:00</v>
          </cell>
          <cell r="BL1267" t="str">
            <v>Airport EG-1395</v>
          </cell>
          <cell r="BM1267" t="str">
            <v>No</v>
          </cell>
          <cell r="BN1267" t="str">
            <v>No</v>
          </cell>
          <cell r="BO1267" t="str">
            <v>CPay-000000007</v>
          </cell>
        </row>
        <row r="1268">
          <cell r="B1268" t="str">
            <v>392651</v>
          </cell>
          <cell r="C1268" t="str">
            <v>179.0000000000000000</v>
          </cell>
          <cell r="E1268" t="str">
            <v>Cust</v>
          </cell>
          <cell r="G1268" t="str">
            <v>No</v>
          </cell>
          <cell r="H1268" t="str">
            <v>1900-01-01 00:00:00</v>
          </cell>
          <cell r="K1268" t="str">
            <v>M-P</v>
          </cell>
          <cell r="L1268" t="str">
            <v>1474.130000</v>
          </cell>
          <cell r="AL1268" t="str">
            <v>392651</v>
          </cell>
          <cell r="BC1268" t="str">
            <v>Cust-PP</v>
          </cell>
          <cell r="BD1268" t="str">
            <v>2.0000000000000000</v>
          </cell>
          <cell r="BE1268" t="str">
            <v>.0000000000000000</v>
          </cell>
          <cell r="BF1268" t="str">
            <v>.0000000000000000</v>
          </cell>
          <cell r="BG1268" t="str">
            <v>None</v>
          </cell>
          <cell r="BK1268" t="str">
            <v>2025-07-29 00:00:00</v>
          </cell>
          <cell r="BL1268" t="str">
            <v>Airport EG-1392</v>
          </cell>
          <cell r="BM1268" t="str">
            <v>No</v>
          </cell>
          <cell r="BN1268" t="str">
            <v>No</v>
          </cell>
          <cell r="BO1268" t="str">
            <v>CPay-000000007</v>
          </cell>
        </row>
        <row r="1269">
          <cell r="B1269" t="str">
            <v>393286</v>
          </cell>
          <cell r="C1269" t="str">
            <v>180.0000000000000000</v>
          </cell>
          <cell r="E1269" t="str">
            <v>Cust</v>
          </cell>
          <cell r="G1269" t="str">
            <v>No</v>
          </cell>
          <cell r="H1269" t="str">
            <v>1900-01-01 00:00:00</v>
          </cell>
          <cell r="K1269" t="str">
            <v>M-P</v>
          </cell>
          <cell r="L1269" t="str">
            <v>1653.000000</v>
          </cell>
          <cell r="AL1269" t="str">
            <v>393286</v>
          </cell>
          <cell r="BC1269" t="str">
            <v>Cust-PP</v>
          </cell>
          <cell r="BD1269" t="str">
            <v>2.0000000000000000</v>
          </cell>
          <cell r="BE1269" t="str">
            <v>.0000000000000000</v>
          </cell>
          <cell r="BF1269" t="str">
            <v>.0000000000000000</v>
          </cell>
          <cell r="BG1269" t="str">
            <v>None</v>
          </cell>
          <cell r="BK1269" t="str">
            <v>2025-07-29 00:00:00</v>
          </cell>
          <cell r="BL1269" t="str">
            <v>Airport EG-1383</v>
          </cell>
          <cell r="BM1269" t="str">
            <v>No</v>
          </cell>
          <cell r="BN1269" t="str">
            <v>No</v>
          </cell>
          <cell r="BO1269" t="str">
            <v>CPay-000000007</v>
          </cell>
        </row>
        <row r="1270">
          <cell r="B1270" t="str">
            <v>393654</v>
          </cell>
          <cell r="C1270" t="str">
            <v>181.0000000000000000</v>
          </cell>
          <cell r="E1270" t="str">
            <v>Cust</v>
          </cell>
          <cell r="G1270" t="str">
            <v>No</v>
          </cell>
          <cell r="H1270" t="str">
            <v>1900-01-01 00:00:00</v>
          </cell>
          <cell r="K1270" t="str">
            <v>M-P</v>
          </cell>
          <cell r="L1270" t="str">
            <v>199.500000</v>
          </cell>
          <cell r="AL1270" t="str">
            <v>393654</v>
          </cell>
          <cell r="BC1270" t="str">
            <v>Cust-PP</v>
          </cell>
          <cell r="BD1270" t="str">
            <v>2.0000000000000000</v>
          </cell>
          <cell r="BE1270" t="str">
            <v>.0000000000000000</v>
          </cell>
          <cell r="BF1270" t="str">
            <v>.0000000000000000</v>
          </cell>
          <cell r="BG1270" t="str">
            <v>None</v>
          </cell>
          <cell r="BK1270" t="str">
            <v>2025-07-29 00:00:00</v>
          </cell>
          <cell r="BL1270" t="str">
            <v>Airport EG-1390</v>
          </cell>
          <cell r="BM1270" t="str">
            <v>No</v>
          </cell>
          <cell r="BN1270" t="str">
            <v>No</v>
          </cell>
          <cell r="BO1270" t="str">
            <v>CPay-000000007</v>
          </cell>
        </row>
        <row r="1271">
          <cell r="B1271" t="str">
            <v>394048</v>
          </cell>
          <cell r="C1271" t="str">
            <v>182.0000000000000000</v>
          </cell>
          <cell r="E1271" t="str">
            <v>Cust</v>
          </cell>
          <cell r="G1271" t="str">
            <v>No</v>
          </cell>
          <cell r="H1271" t="str">
            <v>1900-01-01 00:00:00</v>
          </cell>
          <cell r="K1271" t="str">
            <v>M-P</v>
          </cell>
          <cell r="L1271" t="str">
            <v>370.500000</v>
          </cell>
          <cell r="AL1271" t="str">
            <v>394048</v>
          </cell>
          <cell r="BC1271" t="str">
            <v>Cust-PP</v>
          </cell>
          <cell r="BD1271" t="str">
            <v>2.0000000000000000</v>
          </cell>
          <cell r="BE1271" t="str">
            <v>.0000000000000000</v>
          </cell>
          <cell r="BF1271" t="str">
            <v>.0000000000000000</v>
          </cell>
          <cell r="BG1271" t="str">
            <v>None</v>
          </cell>
          <cell r="BK1271" t="str">
            <v>2025-07-29 00:00:00</v>
          </cell>
          <cell r="BL1271" t="str">
            <v>Airport EG-1396</v>
          </cell>
          <cell r="BM1271" t="str">
            <v>No</v>
          </cell>
          <cell r="BN1271" t="str">
            <v>No</v>
          </cell>
          <cell r="BO1271" t="str">
            <v>CPay-000000007</v>
          </cell>
        </row>
        <row r="1272">
          <cell r="B1272" t="str">
            <v>391256</v>
          </cell>
          <cell r="C1272" t="str">
            <v>183.0000000000000000</v>
          </cell>
          <cell r="E1272" t="str">
            <v>Cust</v>
          </cell>
          <cell r="G1272" t="str">
            <v>No</v>
          </cell>
          <cell r="H1272" t="str">
            <v>1900-01-01 00:00:00</v>
          </cell>
          <cell r="K1272" t="str">
            <v>M-P</v>
          </cell>
          <cell r="L1272" t="str">
            <v>199.500000</v>
          </cell>
          <cell r="AL1272" t="str">
            <v>391256</v>
          </cell>
          <cell r="BC1272" t="str">
            <v>Cust-PP</v>
          </cell>
          <cell r="BD1272" t="str">
            <v>2.0000000000000000</v>
          </cell>
          <cell r="BE1272" t="str">
            <v>.0000000000000000</v>
          </cell>
          <cell r="BF1272" t="str">
            <v>.0000000000000000</v>
          </cell>
          <cell r="BG1272" t="str">
            <v>None</v>
          </cell>
          <cell r="BK1272" t="str">
            <v>2025-07-30 00:00:00</v>
          </cell>
          <cell r="BL1272" t="str">
            <v>Airport EG-1398</v>
          </cell>
          <cell r="BM1272" t="str">
            <v>No</v>
          </cell>
          <cell r="BN1272" t="str">
            <v>No</v>
          </cell>
          <cell r="BO1272" t="str">
            <v>CPay-000000007</v>
          </cell>
        </row>
        <row r="1273">
          <cell r="B1273" t="str">
            <v>393608</v>
          </cell>
          <cell r="C1273" t="str">
            <v>184.0000000000000000</v>
          </cell>
          <cell r="E1273" t="str">
            <v>Cust</v>
          </cell>
          <cell r="G1273" t="str">
            <v>No</v>
          </cell>
          <cell r="H1273" t="str">
            <v>1900-01-01 00:00:00</v>
          </cell>
          <cell r="K1273" t="str">
            <v>M-P</v>
          </cell>
          <cell r="L1273" t="str">
            <v>1653.000000</v>
          </cell>
          <cell r="AL1273" t="str">
            <v>393608</v>
          </cell>
          <cell r="BC1273" t="str">
            <v>Cust-PP</v>
          </cell>
          <cell r="BD1273" t="str">
            <v>2.0000000000000000</v>
          </cell>
          <cell r="BE1273" t="str">
            <v>.0000000000000000</v>
          </cell>
          <cell r="BF1273" t="str">
            <v>.0000000000000000</v>
          </cell>
          <cell r="BG1273" t="str">
            <v>None</v>
          </cell>
          <cell r="BK1273" t="str">
            <v>2025-07-30 00:00:00</v>
          </cell>
          <cell r="BL1273" t="str">
            <v>Airport EG-1397</v>
          </cell>
          <cell r="BM1273" t="str">
            <v>No</v>
          </cell>
          <cell r="BN1273" t="str">
            <v>No</v>
          </cell>
          <cell r="BO1273" t="str">
            <v>CPay-000000007</v>
          </cell>
        </row>
        <row r="1274">
          <cell r="B1274" t="str">
            <v>390839</v>
          </cell>
          <cell r="C1274" t="str">
            <v>185.0000000000000000</v>
          </cell>
          <cell r="E1274" t="str">
            <v>Cust</v>
          </cell>
          <cell r="G1274" t="str">
            <v>No</v>
          </cell>
          <cell r="H1274" t="str">
            <v>1900-01-01 00:00:00</v>
          </cell>
          <cell r="K1274" t="str">
            <v>M-P</v>
          </cell>
          <cell r="L1274" t="str">
            <v>1653.000000</v>
          </cell>
          <cell r="AL1274" t="str">
            <v>390839</v>
          </cell>
          <cell r="BC1274" t="str">
            <v>Cust-PP</v>
          </cell>
          <cell r="BD1274" t="str">
            <v>2.0000000000000000</v>
          </cell>
          <cell r="BE1274" t="str">
            <v>.0000000000000000</v>
          </cell>
          <cell r="BF1274" t="str">
            <v>.0000000000000000</v>
          </cell>
          <cell r="BG1274" t="str">
            <v>None</v>
          </cell>
          <cell r="BK1274" t="str">
            <v>2025-07-31 00:00:00</v>
          </cell>
          <cell r="BL1274" t="str">
            <v>Airport EG-1405</v>
          </cell>
          <cell r="BM1274" t="str">
            <v>No</v>
          </cell>
          <cell r="BN1274" t="str">
            <v>No</v>
          </cell>
          <cell r="BO1274" t="str">
            <v>CPay-000000007</v>
          </cell>
        </row>
        <row r="1275">
          <cell r="B1275" t="str">
            <v>390914</v>
          </cell>
          <cell r="C1275" t="str">
            <v>186.0000000000000000</v>
          </cell>
          <cell r="E1275" t="str">
            <v>Cust</v>
          </cell>
          <cell r="G1275" t="str">
            <v>No</v>
          </cell>
          <cell r="H1275" t="str">
            <v>1900-01-01 00:00:00</v>
          </cell>
          <cell r="K1275" t="str">
            <v>M-P</v>
          </cell>
          <cell r="L1275" t="str">
            <v>627.000000</v>
          </cell>
          <cell r="AL1275" t="str">
            <v>390914</v>
          </cell>
          <cell r="BC1275" t="str">
            <v>Cust-PP</v>
          </cell>
          <cell r="BD1275" t="str">
            <v>2.0000000000000000</v>
          </cell>
          <cell r="BE1275" t="str">
            <v>.0000000000000000</v>
          </cell>
          <cell r="BF1275" t="str">
            <v>.0000000000000000</v>
          </cell>
          <cell r="BG1275" t="str">
            <v>None</v>
          </cell>
          <cell r="BK1275" t="str">
            <v>2025-07-31 00:00:00</v>
          </cell>
          <cell r="BL1275" t="str">
            <v>Airport EG-1404</v>
          </cell>
          <cell r="BM1275" t="str">
            <v>No</v>
          </cell>
          <cell r="BN1275" t="str">
            <v>No</v>
          </cell>
          <cell r="BO1275" t="str">
            <v>CPay-000000007</v>
          </cell>
        </row>
        <row r="1276">
          <cell r="B1276" t="str">
            <v>390993</v>
          </cell>
          <cell r="C1276" t="str">
            <v>187.0000000000000000</v>
          </cell>
          <cell r="E1276" t="str">
            <v>Cust</v>
          </cell>
          <cell r="G1276" t="str">
            <v>No</v>
          </cell>
          <cell r="H1276" t="str">
            <v>1900-01-01 00:00:00</v>
          </cell>
          <cell r="K1276" t="str">
            <v>M-P</v>
          </cell>
          <cell r="L1276" t="str">
            <v>1653.000000</v>
          </cell>
          <cell r="AL1276" t="str">
            <v>390993</v>
          </cell>
          <cell r="BC1276" t="str">
            <v>Cust-PP</v>
          </cell>
          <cell r="BD1276" t="str">
            <v>2.0000000000000000</v>
          </cell>
          <cell r="BE1276" t="str">
            <v>.0000000000000000</v>
          </cell>
          <cell r="BF1276" t="str">
            <v>.0000000000000000</v>
          </cell>
          <cell r="BG1276" t="str">
            <v>None</v>
          </cell>
          <cell r="BK1276" t="str">
            <v>2025-07-31 00:00:00</v>
          </cell>
          <cell r="BL1276" t="str">
            <v>Airport EG-1401</v>
          </cell>
          <cell r="BM1276" t="str">
            <v>No</v>
          </cell>
          <cell r="BN1276" t="str">
            <v>No</v>
          </cell>
          <cell r="BO1276" t="str">
            <v>CPay-000000007</v>
          </cell>
        </row>
        <row r="1277">
          <cell r="B1277" t="str">
            <v>391852</v>
          </cell>
          <cell r="C1277" t="str">
            <v>188.0000000000000000</v>
          </cell>
          <cell r="E1277" t="str">
            <v>Cust</v>
          </cell>
          <cell r="G1277" t="str">
            <v>No</v>
          </cell>
          <cell r="H1277" t="str">
            <v>1900-01-01 00:00:00</v>
          </cell>
          <cell r="K1277" t="str">
            <v>M-P</v>
          </cell>
          <cell r="L1277" t="str">
            <v>487.920000</v>
          </cell>
          <cell r="AL1277" t="str">
            <v>391852</v>
          </cell>
          <cell r="BC1277" t="str">
            <v>Cust-PP</v>
          </cell>
          <cell r="BD1277" t="str">
            <v>2.0000000000000000</v>
          </cell>
          <cell r="BE1277" t="str">
            <v>.0000000000000000</v>
          </cell>
          <cell r="BF1277" t="str">
            <v>.0000000000000000</v>
          </cell>
          <cell r="BG1277" t="str">
            <v>None</v>
          </cell>
          <cell r="BK1277" t="str">
            <v>2025-07-31 00:00:00</v>
          </cell>
          <cell r="BL1277" t="str">
            <v>Airport EG-1406</v>
          </cell>
          <cell r="BM1277" t="str">
            <v>No</v>
          </cell>
          <cell r="BN1277" t="str">
            <v>No</v>
          </cell>
          <cell r="BO1277" t="str">
            <v>CPay-000000007</v>
          </cell>
        </row>
        <row r="1278">
          <cell r="B1278" t="str">
            <v>392105</v>
          </cell>
          <cell r="C1278" t="str">
            <v>189.0000000000000000</v>
          </cell>
          <cell r="E1278" t="str">
            <v>Cust</v>
          </cell>
          <cell r="G1278" t="str">
            <v>No</v>
          </cell>
          <cell r="H1278" t="str">
            <v>1900-01-01 00:00:00</v>
          </cell>
          <cell r="K1278" t="str">
            <v>M-P</v>
          </cell>
          <cell r="L1278" t="str">
            <v>1653.000000</v>
          </cell>
          <cell r="AL1278" t="str">
            <v>392105</v>
          </cell>
          <cell r="BC1278" t="str">
            <v>Cust-PP</v>
          </cell>
          <cell r="BD1278" t="str">
            <v>2.0000000000000000</v>
          </cell>
          <cell r="BE1278" t="str">
            <v>.0000000000000000</v>
          </cell>
          <cell r="BF1278" t="str">
            <v>.0000000000000000</v>
          </cell>
          <cell r="BG1278" t="str">
            <v>None</v>
          </cell>
          <cell r="BK1278" t="str">
            <v>2025-07-31 00:00:00</v>
          </cell>
          <cell r="BL1278" t="str">
            <v>Airport EG-1407</v>
          </cell>
          <cell r="BM1278" t="str">
            <v>No</v>
          </cell>
          <cell r="BN1278" t="str">
            <v>No</v>
          </cell>
          <cell r="BO1278" t="str">
            <v>CPay-000000007</v>
          </cell>
        </row>
        <row r="1279">
          <cell r="B1279" t="str">
            <v>392415</v>
          </cell>
          <cell r="C1279" t="str">
            <v>190.0000000000000000</v>
          </cell>
          <cell r="E1279" t="str">
            <v>Cust</v>
          </cell>
          <cell r="G1279" t="str">
            <v>No</v>
          </cell>
          <cell r="H1279" t="str">
            <v>1900-01-01 00:00:00</v>
          </cell>
          <cell r="K1279" t="str">
            <v>M-P</v>
          </cell>
          <cell r="L1279" t="str">
            <v>374.030000</v>
          </cell>
          <cell r="AL1279" t="str">
            <v>392415</v>
          </cell>
          <cell r="BC1279" t="str">
            <v>Cust-PP</v>
          </cell>
          <cell r="BD1279" t="str">
            <v>2.0000000000000000</v>
          </cell>
          <cell r="BE1279" t="str">
            <v>.0000000000000000</v>
          </cell>
          <cell r="BF1279" t="str">
            <v>.0000000000000000</v>
          </cell>
          <cell r="BG1279" t="str">
            <v>None</v>
          </cell>
          <cell r="BK1279" t="str">
            <v>2025-07-31 00:00:00</v>
          </cell>
          <cell r="BL1279" t="str">
            <v>Airport EG-1402</v>
          </cell>
          <cell r="BM1279" t="str">
            <v>No</v>
          </cell>
          <cell r="BN1279" t="str">
            <v>No</v>
          </cell>
          <cell r="BO1279" t="str">
            <v>CPay-000000007</v>
          </cell>
        </row>
        <row r="1280">
          <cell r="B1280" t="str">
            <v>393389</v>
          </cell>
          <cell r="C1280" t="str">
            <v>191.0000000000000000</v>
          </cell>
          <cell r="E1280" t="str">
            <v>Cust</v>
          </cell>
          <cell r="G1280" t="str">
            <v>No</v>
          </cell>
          <cell r="H1280" t="str">
            <v>1900-01-01 00:00:00</v>
          </cell>
          <cell r="K1280" t="str">
            <v>M-P</v>
          </cell>
          <cell r="L1280" t="str">
            <v>1653.000000</v>
          </cell>
          <cell r="AL1280" t="str">
            <v>393389</v>
          </cell>
          <cell r="BC1280" t="str">
            <v>Cust-PP</v>
          </cell>
          <cell r="BD1280" t="str">
            <v>2.0000000000000000</v>
          </cell>
          <cell r="BE1280" t="str">
            <v>.0000000000000000</v>
          </cell>
          <cell r="BF1280" t="str">
            <v>.0000000000000000</v>
          </cell>
          <cell r="BG1280" t="str">
            <v>None</v>
          </cell>
          <cell r="BK1280" t="str">
            <v>2025-07-31 00:00:00</v>
          </cell>
          <cell r="BL1280" t="str">
            <v>Airport EG-1403</v>
          </cell>
          <cell r="BM1280" t="str">
            <v>No</v>
          </cell>
          <cell r="BN1280" t="str">
            <v>No</v>
          </cell>
          <cell r="BO1280" t="str">
            <v>CPay-000000007</v>
          </cell>
        </row>
        <row r="1281">
          <cell r="B1281" t="str">
            <v>393570</v>
          </cell>
          <cell r="C1281" t="str">
            <v>192.0000000000000000</v>
          </cell>
          <cell r="E1281" t="str">
            <v>Cust</v>
          </cell>
          <cell r="G1281" t="str">
            <v>No</v>
          </cell>
          <cell r="H1281" t="str">
            <v>1900-01-01 00:00:00</v>
          </cell>
          <cell r="K1281" t="str">
            <v>M-P</v>
          </cell>
          <cell r="L1281" t="str">
            <v>456.000000</v>
          </cell>
          <cell r="AL1281" t="str">
            <v>393570</v>
          </cell>
          <cell r="BC1281" t="str">
            <v>Cust-PP</v>
          </cell>
          <cell r="BD1281" t="str">
            <v>2.0000000000000000</v>
          </cell>
          <cell r="BE1281" t="str">
            <v>.0000000000000000</v>
          </cell>
          <cell r="BF1281" t="str">
            <v>.0000000000000000</v>
          </cell>
          <cell r="BG1281" t="str">
            <v>None</v>
          </cell>
          <cell r="BK1281" t="str">
            <v>2025-07-31 00:00:00</v>
          </cell>
          <cell r="BL1281" t="str">
            <v>Airport EG-1408</v>
          </cell>
          <cell r="BM1281" t="str">
            <v>No</v>
          </cell>
          <cell r="BN1281" t="str">
            <v>No</v>
          </cell>
          <cell r="BO1281" t="str">
            <v>CPay-000000007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Y2492"/>
  <sheetViews>
    <sheetView tabSelected="1" topLeftCell="AO1" workbookViewId="0">
      <selection activeCell="A17" sqref="A17:XFD18"/>
    </sheetView>
  </sheetViews>
  <sheetFormatPr defaultRowHeight="15" x14ac:dyDescent="0.25"/>
  <cols>
    <col min="1" max="1" width="9.140625" customWidth="1"/>
    <col min="2" max="2" width="23.140625" customWidth="1"/>
    <col min="3" max="3" width="22.85546875" customWidth="1"/>
    <col min="4" max="4" width="14.42578125" customWidth="1"/>
    <col min="5" max="5" width="15.5703125" customWidth="1"/>
    <col min="6" max="6" width="17.140625" customWidth="1"/>
    <col min="7" max="7" width="11.28515625" customWidth="1"/>
    <col min="8" max="8" width="13.7109375" customWidth="1"/>
    <col min="9" max="9" width="101.42578125" customWidth="1"/>
    <col min="10" max="10" width="99.140625" customWidth="1"/>
    <col min="11" max="11" width="206.140625" customWidth="1"/>
    <col min="12" max="12" width="25" customWidth="1"/>
    <col min="13" max="13" width="14.140625" style="1" customWidth="1"/>
    <col min="14" max="14" width="15.28515625" customWidth="1"/>
    <col min="15" max="15" width="15.140625" customWidth="1"/>
    <col min="16" max="16" width="15" customWidth="1"/>
    <col min="17" max="17" width="20.28515625" customWidth="1"/>
    <col min="18" max="18" width="29" customWidth="1"/>
    <col min="19" max="19" width="38.7109375" customWidth="1"/>
    <col min="20" max="20" width="26.85546875" customWidth="1"/>
    <col min="21" max="21" width="11.42578125" customWidth="1"/>
    <col min="22" max="22" width="12.85546875" customWidth="1"/>
    <col min="23" max="23" width="15.7109375" customWidth="1"/>
    <col min="24" max="24" width="20.28515625" customWidth="1"/>
    <col min="25" max="25" width="19.42578125" customWidth="1"/>
    <col min="26" max="26" width="36" customWidth="1"/>
    <col min="27" max="27" width="33.140625" customWidth="1"/>
    <col min="28" max="28" width="28.5703125" customWidth="1"/>
    <col min="29" max="29" width="16" customWidth="1"/>
    <col min="30" max="30" width="10.7109375" customWidth="1"/>
    <col min="31" max="31" width="28.5703125" customWidth="1"/>
    <col min="32" max="32" width="17.5703125" customWidth="1"/>
    <col min="33" max="33" width="19.5703125" customWidth="1"/>
    <col min="34" max="34" width="14.7109375" customWidth="1"/>
    <col min="35" max="35" width="23" customWidth="1"/>
    <col min="36" max="36" width="19.42578125" customWidth="1"/>
    <col min="37" max="37" width="25.7109375" customWidth="1"/>
    <col min="38" max="38" width="18.28515625" customWidth="1"/>
    <col min="39" max="39" width="11.28515625" customWidth="1"/>
    <col min="40" max="40" width="9.85546875" customWidth="1"/>
    <col min="41" max="41" width="40.5703125" customWidth="1"/>
    <col min="42" max="42" width="29.7109375" customWidth="1"/>
    <col min="43" max="43" width="13.140625" customWidth="1"/>
    <col min="44" max="44" width="14.140625" customWidth="1"/>
    <col min="45" max="45" width="14.28515625" customWidth="1"/>
    <col min="46" max="46" width="15.85546875" customWidth="1"/>
    <col min="47" max="47" width="14" customWidth="1"/>
    <col min="48" max="48" width="9.140625" customWidth="1"/>
    <col min="49" max="49" width="14.7109375" customWidth="1"/>
    <col min="50" max="50" width="18.42578125" customWidth="1"/>
    <col min="51" max="51" width="12.28515625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hidden="1" x14ac:dyDescent="0.25">
      <c r="A2">
        <v>202086</v>
      </c>
      <c r="B2" t="s">
        <v>51</v>
      </c>
      <c r="C2" t="e">
        <f>VLOOKUP(A2,[1]Customer_payment_journal_line!$AL:$BO,30,0)</f>
        <v>#N/A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52</v>
      </c>
      <c r="M2">
        <v>2850</v>
      </c>
      <c r="N2">
        <v>0</v>
      </c>
      <c r="O2" t="s">
        <v>61</v>
      </c>
      <c r="P2">
        <v>100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62</v>
      </c>
      <c r="W2" t="s">
        <v>63</v>
      </c>
      <c r="Y2" t="s">
        <v>52</v>
      </c>
      <c r="AB2" t="s">
        <v>52</v>
      </c>
      <c r="AE2" t="s">
        <v>52</v>
      </c>
      <c r="AF2" t="s">
        <v>52</v>
      </c>
      <c r="AH2">
        <v>0</v>
      </c>
      <c r="AI2">
        <v>0</v>
      </c>
      <c r="AJ2" t="s">
        <v>52</v>
      </c>
      <c r="AK2">
        <v>0</v>
      </c>
      <c r="AL2" t="s">
        <v>52</v>
      </c>
      <c r="AM2" t="s">
        <v>52</v>
      </c>
      <c r="AN2">
        <v>0</v>
      </c>
      <c r="AO2">
        <v>0</v>
      </c>
      <c r="AP2" t="s">
        <v>52</v>
      </c>
      <c r="AQ2" t="s">
        <v>52</v>
      </c>
      <c r="AR2" t="s">
        <v>62</v>
      </c>
      <c r="AS2" t="s">
        <v>52</v>
      </c>
      <c r="AT2" t="s">
        <v>52</v>
      </c>
      <c r="AU2" t="s">
        <v>64</v>
      </c>
      <c r="AV2" t="s">
        <v>62</v>
      </c>
      <c r="AW2" t="s">
        <v>65</v>
      </c>
      <c r="AX2" t="s">
        <v>66</v>
      </c>
      <c r="AY2" t="s">
        <v>67</v>
      </c>
    </row>
    <row r="3" spans="1:51" hidden="1" x14ac:dyDescent="0.25">
      <c r="A3">
        <v>202086</v>
      </c>
      <c r="B3" t="s">
        <v>68</v>
      </c>
      <c r="C3" t="e">
        <f>VLOOKUP(A3,[1]Customer_payment_journal_line!$AL:$BO,30,0)</f>
        <v>#N/A</v>
      </c>
      <c r="D3" t="s">
        <v>53</v>
      </c>
      <c r="E3" t="s">
        <v>54</v>
      </c>
      <c r="F3" t="s">
        <v>55</v>
      </c>
      <c r="G3" t="s">
        <v>56</v>
      </c>
      <c r="H3" t="s">
        <v>69</v>
      </c>
      <c r="I3" t="s">
        <v>70</v>
      </c>
      <c r="J3" t="s">
        <v>59</v>
      </c>
      <c r="K3" t="s">
        <v>60</v>
      </c>
      <c r="L3" t="s">
        <v>52</v>
      </c>
      <c r="M3">
        <v>0</v>
      </c>
      <c r="N3">
        <v>2850</v>
      </c>
      <c r="O3" t="s">
        <v>61</v>
      </c>
      <c r="P3">
        <v>100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62</v>
      </c>
      <c r="W3" t="s">
        <v>52</v>
      </c>
      <c r="Y3" t="s">
        <v>71</v>
      </c>
      <c r="Z3" t="s">
        <v>62</v>
      </c>
      <c r="AB3" t="s">
        <v>72</v>
      </c>
      <c r="AE3" t="s">
        <v>73</v>
      </c>
      <c r="AF3" t="s">
        <v>52</v>
      </c>
      <c r="AH3">
        <v>0</v>
      </c>
      <c r="AI3">
        <v>0</v>
      </c>
      <c r="AJ3" t="s">
        <v>52</v>
      </c>
      <c r="AK3">
        <v>0</v>
      </c>
      <c r="AL3" t="s">
        <v>52</v>
      </c>
      <c r="AM3" t="s">
        <v>52</v>
      </c>
      <c r="AN3">
        <v>0</v>
      </c>
      <c r="AO3">
        <v>0</v>
      </c>
      <c r="AP3" t="s">
        <v>52</v>
      </c>
      <c r="AQ3" t="s">
        <v>52</v>
      </c>
      <c r="AR3" t="s">
        <v>62</v>
      </c>
      <c r="AS3" t="s">
        <v>52</v>
      </c>
      <c r="AT3" t="s">
        <v>74</v>
      </c>
      <c r="AU3" t="s">
        <v>64</v>
      </c>
      <c r="AV3" t="s">
        <v>62</v>
      </c>
      <c r="AW3" t="s">
        <v>65</v>
      </c>
      <c r="AX3" t="s">
        <v>66</v>
      </c>
      <c r="AY3" t="s">
        <v>67</v>
      </c>
    </row>
    <row r="4" spans="1:51" hidden="1" x14ac:dyDescent="0.25">
      <c r="A4">
        <v>202094</v>
      </c>
      <c r="B4" t="s">
        <v>75</v>
      </c>
      <c r="C4" t="e">
        <f>VLOOKUP(A4,[1]Customer_payment_journal_line!$AL:$BO,30,0)</f>
        <v>#N/A</v>
      </c>
      <c r="D4" t="s">
        <v>76</v>
      </c>
      <c r="E4" t="s">
        <v>77</v>
      </c>
      <c r="F4" t="s">
        <v>78</v>
      </c>
      <c r="G4" t="s">
        <v>79</v>
      </c>
      <c r="H4" t="s">
        <v>80</v>
      </c>
      <c r="I4" t="s">
        <v>81</v>
      </c>
      <c r="J4" t="s">
        <v>82</v>
      </c>
      <c r="K4" t="s">
        <v>83</v>
      </c>
      <c r="L4" t="s">
        <v>52</v>
      </c>
      <c r="M4">
        <v>5244</v>
      </c>
      <c r="N4">
        <v>0</v>
      </c>
      <c r="O4" t="s">
        <v>61</v>
      </c>
      <c r="P4">
        <v>100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62</v>
      </c>
      <c r="W4" t="s">
        <v>52</v>
      </c>
      <c r="Y4" t="s">
        <v>52</v>
      </c>
      <c r="AB4" t="s">
        <v>52</v>
      </c>
      <c r="AE4" t="s">
        <v>52</v>
      </c>
      <c r="AF4" t="s">
        <v>52</v>
      </c>
      <c r="AH4">
        <v>0</v>
      </c>
      <c r="AI4">
        <v>0</v>
      </c>
      <c r="AJ4" t="s">
        <v>52</v>
      </c>
      <c r="AK4">
        <v>0</v>
      </c>
      <c r="AL4" t="s">
        <v>52</v>
      </c>
      <c r="AM4" t="s">
        <v>52</v>
      </c>
      <c r="AN4">
        <v>0</v>
      </c>
      <c r="AO4">
        <v>0</v>
      </c>
      <c r="AP4" t="s">
        <v>52</v>
      </c>
      <c r="AQ4" t="s">
        <v>52</v>
      </c>
      <c r="AR4" t="s">
        <v>62</v>
      </c>
      <c r="AS4" t="s">
        <v>52</v>
      </c>
      <c r="AT4" t="s">
        <v>52</v>
      </c>
      <c r="AU4" t="s">
        <v>64</v>
      </c>
      <c r="AV4" t="s">
        <v>62</v>
      </c>
      <c r="AW4" t="s">
        <v>65</v>
      </c>
      <c r="AX4" t="s">
        <v>66</v>
      </c>
      <c r="AY4" t="s">
        <v>76</v>
      </c>
    </row>
    <row r="5" spans="1:51" hidden="1" x14ac:dyDescent="0.25">
      <c r="A5">
        <v>202094</v>
      </c>
      <c r="B5" t="s">
        <v>84</v>
      </c>
      <c r="C5" t="e">
        <f>VLOOKUP(A5,[1]Customer_payment_journal_line!$AL:$BO,30,0)</f>
        <v>#N/A</v>
      </c>
      <c r="D5" t="s">
        <v>76</v>
      </c>
      <c r="E5" t="s">
        <v>77</v>
      </c>
      <c r="F5" t="s">
        <v>78</v>
      </c>
      <c r="G5" t="s">
        <v>79</v>
      </c>
      <c r="H5" t="s">
        <v>69</v>
      </c>
      <c r="I5" t="s">
        <v>85</v>
      </c>
      <c r="J5" t="s">
        <v>82</v>
      </c>
      <c r="K5" t="s">
        <v>83</v>
      </c>
      <c r="L5" t="s">
        <v>52</v>
      </c>
      <c r="M5">
        <v>0</v>
      </c>
      <c r="N5">
        <v>855</v>
      </c>
      <c r="O5" t="s">
        <v>61</v>
      </c>
      <c r="P5">
        <v>100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62</v>
      </c>
      <c r="W5" t="s">
        <v>52</v>
      </c>
      <c r="Y5" t="s">
        <v>86</v>
      </c>
      <c r="Z5" t="s">
        <v>62</v>
      </c>
      <c r="AB5" t="s">
        <v>87</v>
      </c>
      <c r="AE5" t="s">
        <v>88</v>
      </c>
      <c r="AF5" t="s">
        <v>52</v>
      </c>
      <c r="AH5">
        <v>0</v>
      </c>
      <c r="AI5">
        <v>0</v>
      </c>
      <c r="AJ5" t="s">
        <v>52</v>
      </c>
      <c r="AK5">
        <v>0</v>
      </c>
      <c r="AL5" t="s">
        <v>52</v>
      </c>
      <c r="AM5" t="s">
        <v>52</v>
      </c>
      <c r="AN5">
        <v>0</v>
      </c>
      <c r="AO5">
        <v>0</v>
      </c>
      <c r="AP5" t="s">
        <v>52</v>
      </c>
      <c r="AQ5" t="s">
        <v>52</v>
      </c>
      <c r="AR5" t="s">
        <v>62</v>
      </c>
      <c r="AS5" t="s">
        <v>52</v>
      </c>
      <c r="AT5" t="s">
        <v>74</v>
      </c>
      <c r="AU5" t="s">
        <v>64</v>
      </c>
      <c r="AV5" t="s">
        <v>62</v>
      </c>
      <c r="AW5" t="s">
        <v>65</v>
      </c>
      <c r="AX5" t="s">
        <v>66</v>
      </c>
      <c r="AY5" t="s">
        <v>76</v>
      </c>
    </row>
    <row r="6" spans="1:51" hidden="1" x14ac:dyDescent="0.25">
      <c r="A6">
        <v>202094</v>
      </c>
      <c r="B6" t="s">
        <v>89</v>
      </c>
      <c r="C6" t="e">
        <f>VLOOKUP(A6,[1]Customer_payment_journal_line!$AL:$BO,30,0)</f>
        <v>#N/A</v>
      </c>
      <c r="D6" t="s">
        <v>76</v>
      </c>
      <c r="E6" t="s">
        <v>77</v>
      </c>
      <c r="F6" t="s">
        <v>78</v>
      </c>
      <c r="G6" t="s">
        <v>79</v>
      </c>
      <c r="H6" t="s">
        <v>69</v>
      </c>
      <c r="I6" t="s">
        <v>85</v>
      </c>
      <c r="J6" t="s">
        <v>82</v>
      </c>
      <c r="K6" t="s">
        <v>83</v>
      </c>
      <c r="L6" t="s">
        <v>52</v>
      </c>
      <c r="M6">
        <v>0</v>
      </c>
      <c r="N6">
        <v>4389</v>
      </c>
      <c r="O6" t="s">
        <v>61</v>
      </c>
      <c r="P6">
        <v>100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62</v>
      </c>
      <c r="W6" t="s">
        <v>52</v>
      </c>
      <c r="Y6" t="s">
        <v>86</v>
      </c>
      <c r="Z6" t="s">
        <v>62</v>
      </c>
      <c r="AB6" t="s">
        <v>90</v>
      </c>
      <c r="AE6" t="s">
        <v>91</v>
      </c>
      <c r="AF6" t="s">
        <v>52</v>
      </c>
      <c r="AH6">
        <v>0</v>
      </c>
      <c r="AI6">
        <v>0</v>
      </c>
      <c r="AJ6" t="s">
        <v>52</v>
      </c>
      <c r="AK6">
        <v>0</v>
      </c>
      <c r="AL6" t="s">
        <v>52</v>
      </c>
      <c r="AM6" t="s">
        <v>52</v>
      </c>
      <c r="AN6">
        <v>0</v>
      </c>
      <c r="AO6">
        <v>0</v>
      </c>
      <c r="AP6" t="s">
        <v>52</v>
      </c>
      <c r="AQ6" t="s">
        <v>52</v>
      </c>
      <c r="AR6" t="s">
        <v>62</v>
      </c>
      <c r="AS6" t="s">
        <v>52</v>
      </c>
      <c r="AT6" t="s">
        <v>74</v>
      </c>
      <c r="AU6" t="s">
        <v>64</v>
      </c>
      <c r="AV6" t="s">
        <v>62</v>
      </c>
      <c r="AW6" t="s">
        <v>65</v>
      </c>
      <c r="AX6" t="s">
        <v>66</v>
      </c>
      <c r="AY6" t="s">
        <v>76</v>
      </c>
    </row>
    <row r="7" spans="1:51" hidden="1" x14ac:dyDescent="0.25">
      <c r="A7">
        <v>202095</v>
      </c>
      <c r="B7" t="s">
        <v>92</v>
      </c>
      <c r="C7" t="str">
        <f>VLOOKUP(A7,[1]Customer_payment_journal_line!$AL:$BO,30,0)</f>
        <v>CPay-000000001</v>
      </c>
      <c r="D7" t="s">
        <v>53</v>
      </c>
      <c r="E7" t="s">
        <v>93</v>
      </c>
      <c r="F7" t="s">
        <v>94</v>
      </c>
      <c r="G7" t="s">
        <v>79</v>
      </c>
      <c r="H7" t="s">
        <v>57</v>
      </c>
      <c r="I7" t="s">
        <v>95</v>
      </c>
      <c r="J7" t="s">
        <v>96</v>
      </c>
      <c r="K7" t="s">
        <v>97</v>
      </c>
      <c r="L7">
        <f>VLOOKUP(A7,[1]Customer_payment_journal_line!$B:$L,11,0)</f>
        <v>1653</v>
      </c>
      <c r="M7" s="1">
        <v>1653</v>
      </c>
      <c r="N7" s="2">
        <f>L7-M7</f>
        <v>0</v>
      </c>
      <c r="O7" t="s">
        <v>61</v>
      </c>
      <c r="P7">
        <v>100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62</v>
      </c>
      <c r="W7" t="s">
        <v>63</v>
      </c>
      <c r="Y7" t="s">
        <v>52</v>
      </c>
      <c r="AB7" t="s">
        <v>52</v>
      </c>
      <c r="AE7" t="s">
        <v>52</v>
      </c>
      <c r="AF7" t="s">
        <v>52</v>
      </c>
      <c r="AH7">
        <v>0</v>
      </c>
      <c r="AI7">
        <v>0</v>
      </c>
      <c r="AJ7" t="s">
        <v>52</v>
      </c>
      <c r="AK7">
        <v>0</v>
      </c>
      <c r="AL7" t="s">
        <v>52</v>
      </c>
      <c r="AM7" t="s">
        <v>52</v>
      </c>
      <c r="AN7">
        <v>0</v>
      </c>
      <c r="AO7">
        <v>0</v>
      </c>
      <c r="AP7" t="s">
        <v>52</v>
      </c>
      <c r="AQ7" t="s">
        <v>52</v>
      </c>
      <c r="AR7" t="s">
        <v>62</v>
      </c>
      <c r="AS7" t="s">
        <v>52</v>
      </c>
      <c r="AT7" t="s">
        <v>52</v>
      </c>
      <c r="AU7" t="s">
        <v>64</v>
      </c>
      <c r="AV7" t="s">
        <v>62</v>
      </c>
      <c r="AW7" t="s">
        <v>65</v>
      </c>
      <c r="AX7" t="s">
        <v>66</v>
      </c>
      <c r="AY7" t="s">
        <v>67</v>
      </c>
    </row>
    <row r="8" spans="1:51" hidden="1" x14ac:dyDescent="0.25">
      <c r="A8">
        <v>202095</v>
      </c>
      <c r="B8" t="s">
        <v>98</v>
      </c>
      <c r="C8" t="str">
        <f>VLOOKUP(A8,[1]Customer_payment_journal_line!$AL:$BO,30,0)</f>
        <v>CPay-000000001</v>
      </c>
      <c r="D8" t="s">
        <v>53</v>
      </c>
      <c r="E8" t="s">
        <v>93</v>
      </c>
      <c r="F8" t="s">
        <v>94</v>
      </c>
      <c r="G8" t="s">
        <v>79</v>
      </c>
      <c r="H8" t="s">
        <v>69</v>
      </c>
      <c r="I8" t="s">
        <v>99</v>
      </c>
      <c r="J8" t="s">
        <v>96</v>
      </c>
      <c r="K8" t="s">
        <v>97</v>
      </c>
      <c r="L8">
        <f>VLOOKUP(A8,[1]Customer_payment_journal_line!$B:$L,11,0)</f>
        <v>1653</v>
      </c>
      <c r="M8" s="1">
        <v>0</v>
      </c>
      <c r="N8">
        <v>1653</v>
      </c>
      <c r="O8" t="s">
        <v>61</v>
      </c>
      <c r="P8">
        <v>100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62</v>
      </c>
      <c r="W8" t="s">
        <v>52</v>
      </c>
      <c r="Y8" t="s">
        <v>100</v>
      </c>
      <c r="Z8" t="s">
        <v>62</v>
      </c>
      <c r="AB8" t="s">
        <v>101</v>
      </c>
      <c r="AE8" t="s">
        <v>102</v>
      </c>
      <c r="AF8" t="s">
        <v>52</v>
      </c>
      <c r="AH8">
        <v>0</v>
      </c>
      <c r="AI8">
        <v>0</v>
      </c>
      <c r="AJ8" t="s">
        <v>52</v>
      </c>
      <c r="AK8">
        <v>0</v>
      </c>
      <c r="AL8" t="s">
        <v>52</v>
      </c>
      <c r="AM8" t="s">
        <v>52</v>
      </c>
      <c r="AN8">
        <v>0</v>
      </c>
      <c r="AO8">
        <v>0</v>
      </c>
      <c r="AP8" t="s">
        <v>52</v>
      </c>
      <c r="AQ8" t="s">
        <v>52</v>
      </c>
      <c r="AR8" t="s">
        <v>62</v>
      </c>
      <c r="AS8" t="s">
        <v>52</v>
      </c>
      <c r="AT8" t="s">
        <v>74</v>
      </c>
      <c r="AU8" t="s">
        <v>64</v>
      </c>
      <c r="AV8" t="s">
        <v>62</v>
      </c>
      <c r="AW8" t="s">
        <v>65</v>
      </c>
      <c r="AX8" t="s">
        <v>66</v>
      </c>
      <c r="AY8" t="s">
        <v>67</v>
      </c>
    </row>
    <row r="9" spans="1:51" hidden="1" x14ac:dyDescent="0.25">
      <c r="A9">
        <v>202096</v>
      </c>
      <c r="B9" t="s">
        <v>103</v>
      </c>
      <c r="C9" t="str">
        <f>VLOOKUP(A9,[1]Customer_payment_journal_line!$AL:$BO,30,0)</f>
        <v>CPay-000000002</v>
      </c>
      <c r="D9" t="s">
        <v>53</v>
      </c>
      <c r="E9" t="s">
        <v>104</v>
      </c>
      <c r="F9" t="s">
        <v>105</v>
      </c>
      <c r="G9" t="s">
        <v>79</v>
      </c>
      <c r="H9" t="s">
        <v>57</v>
      </c>
      <c r="I9" t="s">
        <v>95</v>
      </c>
      <c r="J9" t="s">
        <v>96</v>
      </c>
      <c r="K9" t="s">
        <v>97</v>
      </c>
      <c r="L9">
        <f>VLOOKUP(A9,[1]Customer_payment_journal_line!$B:$L,11,0)</f>
        <v>1229.1500000000001</v>
      </c>
      <c r="M9" s="1">
        <v>1229.1500000000001</v>
      </c>
      <c r="N9" s="2">
        <f>L9-M9</f>
        <v>0</v>
      </c>
      <c r="O9" t="s">
        <v>61</v>
      </c>
      <c r="P9">
        <v>100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62</v>
      </c>
      <c r="W9" t="s">
        <v>63</v>
      </c>
      <c r="Y9" t="s">
        <v>52</v>
      </c>
      <c r="AB9" t="s">
        <v>52</v>
      </c>
      <c r="AE9" t="s">
        <v>52</v>
      </c>
      <c r="AF9" t="s">
        <v>52</v>
      </c>
      <c r="AH9">
        <v>0</v>
      </c>
      <c r="AI9">
        <v>0</v>
      </c>
      <c r="AJ9" t="s">
        <v>52</v>
      </c>
      <c r="AK9">
        <v>0</v>
      </c>
      <c r="AL9" t="s">
        <v>52</v>
      </c>
      <c r="AM9" t="s">
        <v>52</v>
      </c>
      <c r="AN9">
        <v>0</v>
      </c>
      <c r="AO9">
        <v>0</v>
      </c>
      <c r="AP9" t="s">
        <v>52</v>
      </c>
      <c r="AQ9" t="s">
        <v>52</v>
      </c>
      <c r="AR9" t="s">
        <v>62</v>
      </c>
      <c r="AS9" t="s">
        <v>52</v>
      </c>
      <c r="AT9" t="s">
        <v>52</v>
      </c>
      <c r="AU9" t="s">
        <v>64</v>
      </c>
      <c r="AV9" t="s">
        <v>62</v>
      </c>
      <c r="AW9" t="s">
        <v>65</v>
      </c>
      <c r="AX9" t="s">
        <v>66</v>
      </c>
      <c r="AY9" t="s">
        <v>67</v>
      </c>
    </row>
    <row r="10" spans="1:51" hidden="1" x14ac:dyDescent="0.25">
      <c r="A10">
        <v>202096</v>
      </c>
      <c r="B10" t="s">
        <v>106</v>
      </c>
      <c r="C10" t="str">
        <f>VLOOKUP(A10,[1]Customer_payment_journal_line!$AL:$BO,30,0)</f>
        <v>CPay-000000002</v>
      </c>
      <c r="D10" t="s">
        <v>53</v>
      </c>
      <c r="E10" t="s">
        <v>104</v>
      </c>
      <c r="F10" t="s">
        <v>105</v>
      </c>
      <c r="G10" t="s">
        <v>79</v>
      </c>
      <c r="H10" t="s">
        <v>69</v>
      </c>
      <c r="I10" t="s">
        <v>99</v>
      </c>
      <c r="J10" t="s">
        <v>96</v>
      </c>
      <c r="K10" t="s">
        <v>97</v>
      </c>
      <c r="L10">
        <f>VLOOKUP(A10,[1]Customer_payment_journal_line!$B:$L,11,0)</f>
        <v>1229.1500000000001</v>
      </c>
      <c r="M10" s="1">
        <v>0</v>
      </c>
      <c r="N10">
        <v>1229.1500000000001</v>
      </c>
      <c r="O10" t="s">
        <v>61</v>
      </c>
      <c r="P10">
        <v>100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62</v>
      </c>
      <c r="W10" t="s">
        <v>52</v>
      </c>
      <c r="Y10" t="s">
        <v>100</v>
      </c>
      <c r="Z10" t="s">
        <v>62</v>
      </c>
      <c r="AB10" t="s">
        <v>107</v>
      </c>
      <c r="AE10" t="s">
        <v>108</v>
      </c>
      <c r="AF10" t="s">
        <v>52</v>
      </c>
      <c r="AH10">
        <v>0</v>
      </c>
      <c r="AI10">
        <v>0</v>
      </c>
      <c r="AJ10" t="s">
        <v>52</v>
      </c>
      <c r="AK10">
        <v>0</v>
      </c>
      <c r="AL10" t="s">
        <v>52</v>
      </c>
      <c r="AM10" t="s">
        <v>52</v>
      </c>
      <c r="AN10">
        <v>0</v>
      </c>
      <c r="AO10">
        <v>0</v>
      </c>
      <c r="AP10" t="s">
        <v>52</v>
      </c>
      <c r="AQ10" t="s">
        <v>52</v>
      </c>
      <c r="AR10" t="s">
        <v>62</v>
      </c>
      <c r="AS10" t="s">
        <v>52</v>
      </c>
      <c r="AT10" t="s">
        <v>74</v>
      </c>
      <c r="AU10" t="s">
        <v>64</v>
      </c>
      <c r="AV10" t="s">
        <v>62</v>
      </c>
      <c r="AW10" t="s">
        <v>65</v>
      </c>
      <c r="AX10" t="s">
        <v>66</v>
      </c>
      <c r="AY10" t="s">
        <v>67</v>
      </c>
    </row>
    <row r="11" spans="1:51" hidden="1" x14ac:dyDescent="0.25">
      <c r="A11">
        <v>202097</v>
      </c>
      <c r="B11" t="s">
        <v>109</v>
      </c>
      <c r="C11" t="str">
        <f>VLOOKUP(A11,[1]Customer_payment_journal_line!$AL:$BO,30,0)</f>
        <v>CPay-000000003</v>
      </c>
      <c r="D11" t="s">
        <v>53</v>
      </c>
      <c r="E11" t="s">
        <v>110</v>
      </c>
      <c r="F11" t="s">
        <v>111</v>
      </c>
      <c r="G11" t="s">
        <v>79</v>
      </c>
      <c r="H11" t="s">
        <v>57</v>
      </c>
      <c r="I11" t="s">
        <v>95</v>
      </c>
      <c r="J11" t="s">
        <v>96</v>
      </c>
      <c r="K11" t="s">
        <v>112</v>
      </c>
      <c r="L11">
        <f>VLOOKUP(A11,[1]Customer_payment_journal_line!$B:$L,11,0)</f>
        <v>1653</v>
      </c>
      <c r="M11" s="1">
        <v>1653</v>
      </c>
      <c r="N11" s="2">
        <f>L11-M11</f>
        <v>0</v>
      </c>
      <c r="O11" t="s">
        <v>61</v>
      </c>
      <c r="P11">
        <v>100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62</v>
      </c>
      <c r="W11" t="s">
        <v>63</v>
      </c>
      <c r="Y11" t="s">
        <v>52</v>
      </c>
      <c r="AB11" t="s">
        <v>52</v>
      </c>
      <c r="AE11" t="s">
        <v>52</v>
      </c>
      <c r="AF11" t="s">
        <v>52</v>
      </c>
      <c r="AH11">
        <v>0</v>
      </c>
      <c r="AI11">
        <v>0</v>
      </c>
      <c r="AJ11" t="s">
        <v>52</v>
      </c>
      <c r="AK11">
        <v>0</v>
      </c>
      <c r="AL11" t="s">
        <v>52</v>
      </c>
      <c r="AM11" t="s">
        <v>52</v>
      </c>
      <c r="AN11">
        <v>0</v>
      </c>
      <c r="AO11">
        <v>0</v>
      </c>
      <c r="AP11" t="s">
        <v>52</v>
      </c>
      <c r="AQ11" t="s">
        <v>52</v>
      </c>
      <c r="AR11" t="s">
        <v>62</v>
      </c>
      <c r="AS11" t="s">
        <v>52</v>
      </c>
      <c r="AT11" t="s">
        <v>52</v>
      </c>
      <c r="AU11" t="s">
        <v>64</v>
      </c>
      <c r="AV11" t="s">
        <v>62</v>
      </c>
      <c r="AW11" t="s">
        <v>65</v>
      </c>
      <c r="AX11" t="s">
        <v>66</v>
      </c>
      <c r="AY11" t="s">
        <v>67</v>
      </c>
    </row>
    <row r="12" spans="1:51" hidden="1" x14ac:dyDescent="0.25">
      <c r="A12">
        <v>202097</v>
      </c>
      <c r="B12" t="s">
        <v>113</v>
      </c>
      <c r="C12" t="str">
        <f>VLOOKUP(A12,[1]Customer_payment_journal_line!$AL:$BO,30,0)</f>
        <v>CPay-000000003</v>
      </c>
      <c r="D12" t="s">
        <v>53</v>
      </c>
      <c r="E12" t="s">
        <v>110</v>
      </c>
      <c r="F12" t="s">
        <v>111</v>
      </c>
      <c r="G12" t="s">
        <v>79</v>
      </c>
      <c r="H12" t="s">
        <v>69</v>
      </c>
      <c r="I12" t="s">
        <v>99</v>
      </c>
      <c r="J12" t="s">
        <v>96</v>
      </c>
      <c r="K12" t="s">
        <v>112</v>
      </c>
      <c r="L12">
        <f>VLOOKUP(A12,[1]Customer_payment_journal_line!$B:$L,11,0)</f>
        <v>1653</v>
      </c>
      <c r="M12" s="1">
        <v>0</v>
      </c>
      <c r="N12">
        <v>1653</v>
      </c>
      <c r="O12" t="s">
        <v>61</v>
      </c>
      <c r="P12">
        <v>100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62</v>
      </c>
      <c r="W12" t="s">
        <v>52</v>
      </c>
      <c r="Y12" t="s">
        <v>100</v>
      </c>
      <c r="Z12" t="s">
        <v>62</v>
      </c>
      <c r="AB12" t="s">
        <v>114</v>
      </c>
      <c r="AE12" t="s">
        <v>115</v>
      </c>
      <c r="AF12" t="s">
        <v>52</v>
      </c>
      <c r="AH12">
        <v>0</v>
      </c>
      <c r="AI12">
        <v>0</v>
      </c>
      <c r="AJ12" t="s">
        <v>52</v>
      </c>
      <c r="AK12">
        <v>0</v>
      </c>
      <c r="AL12" t="s">
        <v>52</v>
      </c>
      <c r="AM12" t="s">
        <v>52</v>
      </c>
      <c r="AN12">
        <v>0</v>
      </c>
      <c r="AO12">
        <v>0</v>
      </c>
      <c r="AP12" t="s">
        <v>52</v>
      </c>
      <c r="AQ12" t="s">
        <v>52</v>
      </c>
      <c r="AR12" t="s">
        <v>62</v>
      </c>
      <c r="AS12" t="s">
        <v>52</v>
      </c>
      <c r="AT12" t="s">
        <v>74</v>
      </c>
      <c r="AU12" t="s">
        <v>64</v>
      </c>
      <c r="AV12" t="s">
        <v>62</v>
      </c>
      <c r="AW12" t="s">
        <v>65</v>
      </c>
      <c r="AX12" t="s">
        <v>66</v>
      </c>
      <c r="AY12" t="s">
        <v>67</v>
      </c>
    </row>
    <row r="13" spans="1:51" hidden="1" x14ac:dyDescent="0.25">
      <c r="A13">
        <v>202098</v>
      </c>
      <c r="B13" t="s">
        <v>116</v>
      </c>
      <c r="C13" t="str">
        <f>VLOOKUP(A13,[1]Customer_payment_journal_line!$AL:$BO,30,0)</f>
        <v>CPay-000000004</v>
      </c>
      <c r="D13" t="s">
        <v>53</v>
      </c>
      <c r="E13" t="s">
        <v>117</v>
      </c>
      <c r="F13" t="s">
        <v>118</v>
      </c>
      <c r="G13" t="s">
        <v>79</v>
      </c>
      <c r="H13" t="s">
        <v>57</v>
      </c>
      <c r="I13" t="s">
        <v>95</v>
      </c>
      <c r="J13" t="s">
        <v>96</v>
      </c>
      <c r="K13" t="s">
        <v>112</v>
      </c>
      <c r="L13">
        <f>VLOOKUP(A13,[1]Customer_payment_journal_line!$B:$L,11,0)</f>
        <v>704.52</v>
      </c>
      <c r="M13" s="1">
        <v>704.52</v>
      </c>
      <c r="N13" s="2">
        <f>L13-M13</f>
        <v>0</v>
      </c>
      <c r="O13" t="s">
        <v>61</v>
      </c>
      <c r="P13">
        <v>100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62</v>
      </c>
      <c r="W13" t="s">
        <v>63</v>
      </c>
      <c r="Y13" t="s">
        <v>52</v>
      </c>
      <c r="AB13" t="s">
        <v>52</v>
      </c>
      <c r="AE13" t="s">
        <v>52</v>
      </c>
      <c r="AF13" t="s">
        <v>52</v>
      </c>
      <c r="AH13">
        <v>0</v>
      </c>
      <c r="AI13">
        <v>0</v>
      </c>
      <c r="AJ13" t="s">
        <v>52</v>
      </c>
      <c r="AK13">
        <v>0</v>
      </c>
      <c r="AL13" t="s">
        <v>52</v>
      </c>
      <c r="AM13" t="s">
        <v>52</v>
      </c>
      <c r="AN13">
        <v>0</v>
      </c>
      <c r="AO13">
        <v>0</v>
      </c>
      <c r="AP13" t="s">
        <v>52</v>
      </c>
      <c r="AQ13" t="s">
        <v>52</v>
      </c>
      <c r="AR13" t="s">
        <v>62</v>
      </c>
      <c r="AS13" t="s">
        <v>52</v>
      </c>
      <c r="AT13" t="s">
        <v>52</v>
      </c>
      <c r="AU13" t="s">
        <v>64</v>
      </c>
      <c r="AV13" t="s">
        <v>62</v>
      </c>
      <c r="AW13" t="s">
        <v>65</v>
      </c>
      <c r="AX13" t="s">
        <v>66</v>
      </c>
      <c r="AY13" t="s">
        <v>67</v>
      </c>
    </row>
    <row r="14" spans="1:51" hidden="1" x14ac:dyDescent="0.25">
      <c r="A14">
        <v>202098</v>
      </c>
      <c r="B14" t="s">
        <v>119</v>
      </c>
      <c r="C14" t="str">
        <f>VLOOKUP(A14,[1]Customer_payment_journal_line!$AL:$BO,30,0)</f>
        <v>CPay-000000004</v>
      </c>
      <c r="D14" t="s">
        <v>53</v>
      </c>
      <c r="E14" t="s">
        <v>117</v>
      </c>
      <c r="F14" t="s">
        <v>118</v>
      </c>
      <c r="G14" t="s">
        <v>79</v>
      </c>
      <c r="H14" t="s">
        <v>69</v>
      </c>
      <c r="I14" t="s">
        <v>99</v>
      </c>
      <c r="J14" t="s">
        <v>96</v>
      </c>
      <c r="K14" t="s">
        <v>112</v>
      </c>
      <c r="L14">
        <f>VLOOKUP(A14,[1]Customer_payment_journal_line!$B:$L,11,0)</f>
        <v>704.52</v>
      </c>
      <c r="M14" s="1">
        <v>0</v>
      </c>
      <c r="N14">
        <v>704.52</v>
      </c>
      <c r="O14" t="s">
        <v>61</v>
      </c>
      <c r="P14">
        <v>100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62</v>
      </c>
      <c r="W14" t="s">
        <v>52</v>
      </c>
      <c r="Y14" t="s">
        <v>100</v>
      </c>
      <c r="Z14" t="s">
        <v>62</v>
      </c>
      <c r="AB14" t="s">
        <v>120</v>
      </c>
      <c r="AE14" t="s">
        <v>121</v>
      </c>
      <c r="AF14" t="s">
        <v>52</v>
      </c>
      <c r="AH14">
        <v>0</v>
      </c>
      <c r="AI14">
        <v>0</v>
      </c>
      <c r="AJ14" t="s">
        <v>52</v>
      </c>
      <c r="AK14">
        <v>0</v>
      </c>
      <c r="AL14" t="s">
        <v>52</v>
      </c>
      <c r="AM14" t="s">
        <v>52</v>
      </c>
      <c r="AN14">
        <v>0</v>
      </c>
      <c r="AO14">
        <v>0</v>
      </c>
      <c r="AP14" t="s">
        <v>52</v>
      </c>
      <c r="AQ14" t="s">
        <v>52</v>
      </c>
      <c r="AR14" t="s">
        <v>62</v>
      </c>
      <c r="AS14" t="s">
        <v>52</v>
      </c>
      <c r="AT14" t="s">
        <v>74</v>
      </c>
      <c r="AU14" t="s">
        <v>64</v>
      </c>
      <c r="AV14" t="s">
        <v>62</v>
      </c>
      <c r="AW14" t="s">
        <v>65</v>
      </c>
      <c r="AX14" t="s">
        <v>66</v>
      </c>
      <c r="AY14" t="s">
        <v>67</v>
      </c>
    </row>
    <row r="15" spans="1:51" hidden="1" x14ac:dyDescent="0.25">
      <c r="A15">
        <v>202093</v>
      </c>
      <c r="B15" t="s">
        <v>122</v>
      </c>
      <c r="C15" t="e">
        <f>VLOOKUP(A15,[1]Customer_payment_journal_line!$AL:$BO,30,0)</f>
        <v>#N/A</v>
      </c>
      <c r="D15" t="s">
        <v>53</v>
      </c>
      <c r="E15" t="s">
        <v>123</v>
      </c>
      <c r="F15" t="s">
        <v>124</v>
      </c>
      <c r="G15" t="s">
        <v>79</v>
      </c>
      <c r="H15" t="s">
        <v>57</v>
      </c>
      <c r="I15" t="s">
        <v>125</v>
      </c>
      <c r="J15" t="s">
        <v>82</v>
      </c>
      <c r="K15" t="s">
        <v>83</v>
      </c>
      <c r="L15" t="s">
        <v>52</v>
      </c>
      <c r="M15">
        <v>100</v>
      </c>
      <c r="N15">
        <v>0</v>
      </c>
      <c r="O15" t="s">
        <v>126</v>
      </c>
      <c r="P15">
        <v>5285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62</v>
      </c>
      <c r="W15" t="s">
        <v>63</v>
      </c>
      <c r="Y15" t="s">
        <v>52</v>
      </c>
      <c r="AB15" t="s">
        <v>52</v>
      </c>
      <c r="AE15" t="s">
        <v>52</v>
      </c>
      <c r="AF15" t="s">
        <v>52</v>
      </c>
      <c r="AH15">
        <v>0</v>
      </c>
      <c r="AI15">
        <v>0</v>
      </c>
      <c r="AJ15" t="s">
        <v>52</v>
      </c>
      <c r="AK15">
        <v>0</v>
      </c>
      <c r="AL15" t="s">
        <v>52</v>
      </c>
      <c r="AM15" t="s">
        <v>52</v>
      </c>
      <c r="AN15">
        <v>0</v>
      </c>
      <c r="AO15">
        <v>0</v>
      </c>
      <c r="AP15" t="s">
        <v>52</v>
      </c>
      <c r="AQ15" t="s">
        <v>52</v>
      </c>
      <c r="AR15" t="s">
        <v>62</v>
      </c>
      <c r="AS15" t="s">
        <v>52</v>
      </c>
      <c r="AT15" t="s">
        <v>52</v>
      </c>
      <c r="AU15" t="s">
        <v>64</v>
      </c>
      <c r="AV15" t="s">
        <v>62</v>
      </c>
      <c r="AW15" t="s">
        <v>65</v>
      </c>
      <c r="AX15" t="s">
        <v>66</v>
      </c>
      <c r="AY15" t="s">
        <v>67</v>
      </c>
    </row>
    <row r="16" spans="1:51" hidden="1" x14ac:dyDescent="0.25">
      <c r="A16">
        <v>202093</v>
      </c>
      <c r="B16" t="s">
        <v>127</v>
      </c>
      <c r="C16" t="e">
        <f>VLOOKUP(A16,[1]Customer_payment_journal_line!$AL:$BO,30,0)</f>
        <v>#N/A</v>
      </c>
      <c r="D16" t="s">
        <v>53</v>
      </c>
      <c r="E16" t="s">
        <v>123</v>
      </c>
      <c r="F16" t="s">
        <v>124</v>
      </c>
      <c r="G16" t="s">
        <v>79</v>
      </c>
      <c r="H16" t="s">
        <v>69</v>
      </c>
      <c r="I16" t="s">
        <v>85</v>
      </c>
      <c r="J16" t="s">
        <v>82</v>
      </c>
      <c r="K16" t="s">
        <v>83</v>
      </c>
      <c r="L16" t="s">
        <v>52</v>
      </c>
      <c r="M16">
        <v>0</v>
      </c>
      <c r="N16">
        <v>100</v>
      </c>
      <c r="O16" t="s">
        <v>126</v>
      </c>
      <c r="P16">
        <v>5285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62</v>
      </c>
      <c r="W16" t="s">
        <v>52</v>
      </c>
      <c r="Y16" t="s">
        <v>86</v>
      </c>
      <c r="Z16" t="s">
        <v>62</v>
      </c>
      <c r="AB16" t="s">
        <v>128</v>
      </c>
      <c r="AE16" t="s">
        <v>129</v>
      </c>
      <c r="AF16" t="s">
        <v>52</v>
      </c>
      <c r="AH16">
        <v>0</v>
      </c>
      <c r="AI16">
        <v>0</v>
      </c>
      <c r="AJ16" t="s">
        <v>52</v>
      </c>
      <c r="AK16">
        <v>0</v>
      </c>
      <c r="AL16" t="s">
        <v>52</v>
      </c>
      <c r="AM16" t="s">
        <v>52</v>
      </c>
      <c r="AN16">
        <v>0</v>
      </c>
      <c r="AO16">
        <v>0</v>
      </c>
      <c r="AP16" t="s">
        <v>52</v>
      </c>
      <c r="AQ16" t="s">
        <v>52</v>
      </c>
      <c r="AR16" t="s">
        <v>62</v>
      </c>
      <c r="AS16" t="s">
        <v>52</v>
      </c>
      <c r="AT16" t="s">
        <v>74</v>
      </c>
      <c r="AU16" t="s">
        <v>64</v>
      </c>
      <c r="AV16" t="s">
        <v>62</v>
      </c>
      <c r="AW16" t="s">
        <v>65</v>
      </c>
      <c r="AX16" t="s">
        <v>66</v>
      </c>
      <c r="AY16" t="s">
        <v>67</v>
      </c>
    </row>
    <row r="17" spans="1:51" hidden="1" x14ac:dyDescent="0.25">
      <c r="A17">
        <v>202114</v>
      </c>
      <c r="B17" t="s">
        <v>130</v>
      </c>
      <c r="C17" t="e">
        <f>VLOOKUP(A17,[1]Customer_payment_journal_line!$AL:$BO,30,0)</f>
        <v>#N/A</v>
      </c>
      <c r="D17" t="s">
        <v>76</v>
      </c>
      <c r="E17" t="s">
        <v>131</v>
      </c>
      <c r="F17" t="s">
        <v>132</v>
      </c>
      <c r="G17" t="s">
        <v>133</v>
      </c>
      <c r="H17" t="s">
        <v>80</v>
      </c>
      <c r="I17" t="s">
        <v>81</v>
      </c>
      <c r="J17" t="s">
        <v>134</v>
      </c>
      <c r="K17" t="s">
        <v>135</v>
      </c>
      <c r="L17" t="s">
        <v>52</v>
      </c>
      <c r="M17">
        <v>2850</v>
      </c>
      <c r="N17">
        <v>0</v>
      </c>
      <c r="O17" t="s">
        <v>61</v>
      </c>
      <c r="P17">
        <v>100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62</v>
      </c>
      <c r="W17" t="s">
        <v>52</v>
      </c>
      <c r="Y17" t="s">
        <v>52</v>
      </c>
      <c r="AB17" t="s">
        <v>52</v>
      </c>
      <c r="AE17" t="s">
        <v>52</v>
      </c>
      <c r="AF17" t="s">
        <v>52</v>
      </c>
      <c r="AH17">
        <v>0</v>
      </c>
      <c r="AI17">
        <v>0</v>
      </c>
      <c r="AJ17" t="s">
        <v>52</v>
      </c>
      <c r="AK17">
        <v>0</v>
      </c>
      <c r="AL17" t="s">
        <v>52</v>
      </c>
      <c r="AM17" t="s">
        <v>52</v>
      </c>
      <c r="AN17">
        <v>0</v>
      </c>
      <c r="AO17">
        <v>0</v>
      </c>
      <c r="AP17" t="s">
        <v>52</v>
      </c>
      <c r="AQ17" t="s">
        <v>52</v>
      </c>
      <c r="AR17" t="s">
        <v>62</v>
      </c>
      <c r="AS17" t="s">
        <v>52</v>
      </c>
      <c r="AT17" t="s">
        <v>52</v>
      </c>
      <c r="AU17" t="s">
        <v>64</v>
      </c>
      <c r="AV17" t="s">
        <v>62</v>
      </c>
      <c r="AW17" t="s">
        <v>65</v>
      </c>
      <c r="AX17" t="s">
        <v>66</v>
      </c>
      <c r="AY17" t="s">
        <v>76</v>
      </c>
    </row>
    <row r="18" spans="1:51" hidden="1" x14ac:dyDescent="0.25">
      <c r="A18">
        <v>202114</v>
      </c>
      <c r="B18" t="s">
        <v>136</v>
      </c>
      <c r="C18" t="e">
        <f>VLOOKUP(A18,[1]Customer_payment_journal_line!$AL:$BO,30,0)</f>
        <v>#N/A</v>
      </c>
      <c r="D18" t="s">
        <v>76</v>
      </c>
      <c r="E18" t="s">
        <v>131</v>
      </c>
      <c r="F18" t="s">
        <v>132</v>
      </c>
      <c r="G18" t="s">
        <v>133</v>
      </c>
      <c r="H18" t="s">
        <v>69</v>
      </c>
      <c r="I18" t="s">
        <v>137</v>
      </c>
      <c r="J18" t="s">
        <v>134</v>
      </c>
      <c r="K18" t="s">
        <v>135</v>
      </c>
      <c r="L18" t="s">
        <v>52</v>
      </c>
      <c r="M18">
        <v>0</v>
      </c>
      <c r="N18">
        <v>2850</v>
      </c>
      <c r="O18" t="s">
        <v>61</v>
      </c>
      <c r="P18">
        <v>100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62</v>
      </c>
      <c r="W18" t="s">
        <v>52</v>
      </c>
      <c r="Y18" t="s">
        <v>138</v>
      </c>
      <c r="Z18" t="s">
        <v>62</v>
      </c>
      <c r="AB18" t="s">
        <v>139</v>
      </c>
      <c r="AE18" t="s">
        <v>140</v>
      </c>
      <c r="AF18" t="s">
        <v>52</v>
      </c>
      <c r="AH18">
        <v>0</v>
      </c>
      <c r="AI18">
        <v>0</v>
      </c>
      <c r="AJ18" t="s">
        <v>52</v>
      </c>
      <c r="AK18">
        <v>0</v>
      </c>
      <c r="AL18" t="s">
        <v>52</v>
      </c>
      <c r="AM18" t="s">
        <v>52</v>
      </c>
      <c r="AN18">
        <v>0</v>
      </c>
      <c r="AO18">
        <v>0</v>
      </c>
      <c r="AP18" t="s">
        <v>52</v>
      </c>
      <c r="AQ18" t="s">
        <v>52</v>
      </c>
      <c r="AR18" t="s">
        <v>62</v>
      </c>
      <c r="AS18" t="s">
        <v>52</v>
      </c>
      <c r="AT18" t="s">
        <v>74</v>
      </c>
      <c r="AU18" t="s">
        <v>64</v>
      </c>
      <c r="AV18" t="s">
        <v>62</v>
      </c>
      <c r="AW18" t="s">
        <v>65</v>
      </c>
      <c r="AX18" t="s">
        <v>66</v>
      </c>
      <c r="AY18" t="s">
        <v>76</v>
      </c>
    </row>
    <row r="19" spans="1:51" hidden="1" x14ac:dyDescent="0.25">
      <c r="A19">
        <v>202193</v>
      </c>
      <c r="B19" t="s">
        <v>141</v>
      </c>
      <c r="C19" t="str">
        <f>VLOOKUP(A19,[1]Customer_payment_journal_line!$AL:$BO,30,0)</f>
        <v>CPay-000000005</v>
      </c>
      <c r="D19" t="s">
        <v>53</v>
      </c>
      <c r="E19" t="s">
        <v>142</v>
      </c>
      <c r="F19" t="s">
        <v>143</v>
      </c>
      <c r="G19" t="s">
        <v>144</v>
      </c>
      <c r="H19" t="s">
        <v>57</v>
      </c>
      <c r="I19" t="s">
        <v>95</v>
      </c>
      <c r="J19" t="s">
        <v>145</v>
      </c>
      <c r="K19" t="s">
        <v>146</v>
      </c>
      <c r="L19">
        <f>VLOOKUP(A19,[1]Customer_payment_journal_line!$B:$L,11,0)</f>
        <v>2052</v>
      </c>
      <c r="M19" s="1">
        <v>2052</v>
      </c>
      <c r="N19" s="2">
        <f>L19-M19</f>
        <v>0</v>
      </c>
      <c r="O19" t="s">
        <v>61</v>
      </c>
      <c r="P19">
        <v>100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62</v>
      </c>
      <c r="W19" t="s">
        <v>63</v>
      </c>
      <c r="Y19" t="s">
        <v>52</v>
      </c>
      <c r="AB19" t="s">
        <v>52</v>
      </c>
      <c r="AE19" t="s">
        <v>52</v>
      </c>
      <c r="AF19" t="s">
        <v>52</v>
      </c>
      <c r="AH19">
        <v>0</v>
      </c>
      <c r="AI19">
        <v>0</v>
      </c>
      <c r="AJ19" t="s">
        <v>52</v>
      </c>
      <c r="AK19">
        <v>0</v>
      </c>
      <c r="AL19" t="s">
        <v>52</v>
      </c>
      <c r="AM19" t="s">
        <v>52</v>
      </c>
      <c r="AN19">
        <v>0</v>
      </c>
      <c r="AO19">
        <v>0</v>
      </c>
      <c r="AP19" t="s">
        <v>52</v>
      </c>
      <c r="AQ19" t="s">
        <v>52</v>
      </c>
      <c r="AR19" t="s">
        <v>62</v>
      </c>
      <c r="AS19" t="s">
        <v>52</v>
      </c>
      <c r="AT19" t="s">
        <v>52</v>
      </c>
      <c r="AU19" t="s">
        <v>64</v>
      </c>
      <c r="AV19" t="s">
        <v>62</v>
      </c>
      <c r="AW19" t="s">
        <v>65</v>
      </c>
      <c r="AX19" t="s">
        <v>66</v>
      </c>
      <c r="AY19" t="s">
        <v>67</v>
      </c>
    </row>
    <row r="20" spans="1:51" hidden="1" x14ac:dyDescent="0.25">
      <c r="A20">
        <v>202193</v>
      </c>
      <c r="B20" t="s">
        <v>147</v>
      </c>
      <c r="C20" t="str">
        <f>VLOOKUP(A20,[1]Customer_payment_journal_line!$AL:$BO,30,0)</f>
        <v>CPay-000000005</v>
      </c>
      <c r="D20" t="s">
        <v>53</v>
      </c>
      <c r="E20" t="s">
        <v>142</v>
      </c>
      <c r="F20" t="s">
        <v>143</v>
      </c>
      <c r="G20" t="s">
        <v>144</v>
      </c>
      <c r="H20" t="s">
        <v>69</v>
      </c>
      <c r="I20" t="s">
        <v>148</v>
      </c>
      <c r="J20" t="s">
        <v>145</v>
      </c>
      <c r="K20" t="s">
        <v>146</v>
      </c>
      <c r="L20">
        <f>VLOOKUP(A20,[1]Customer_payment_journal_line!$B:$L,11,0)</f>
        <v>2052</v>
      </c>
      <c r="M20" s="1">
        <v>0</v>
      </c>
      <c r="N20">
        <v>2052</v>
      </c>
      <c r="O20" t="s">
        <v>61</v>
      </c>
      <c r="P20">
        <v>100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62</v>
      </c>
      <c r="W20" t="s">
        <v>52</v>
      </c>
      <c r="Y20" t="s">
        <v>149</v>
      </c>
      <c r="Z20" t="s">
        <v>62</v>
      </c>
      <c r="AB20" t="s">
        <v>150</v>
      </c>
      <c r="AE20" t="s">
        <v>151</v>
      </c>
      <c r="AF20" t="s">
        <v>52</v>
      </c>
      <c r="AH20">
        <v>0</v>
      </c>
      <c r="AI20">
        <v>0</v>
      </c>
      <c r="AJ20" t="s">
        <v>52</v>
      </c>
      <c r="AK20">
        <v>0</v>
      </c>
      <c r="AL20" t="s">
        <v>52</v>
      </c>
      <c r="AM20" t="s">
        <v>52</v>
      </c>
      <c r="AN20">
        <v>0</v>
      </c>
      <c r="AO20">
        <v>0</v>
      </c>
      <c r="AP20" t="s">
        <v>52</v>
      </c>
      <c r="AQ20" t="s">
        <v>52</v>
      </c>
      <c r="AR20" t="s">
        <v>62</v>
      </c>
      <c r="AS20" t="s">
        <v>52</v>
      </c>
      <c r="AT20" t="s">
        <v>74</v>
      </c>
      <c r="AU20" t="s">
        <v>64</v>
      </c>
      <c r="AV20" t="s">
        <v>62</v>
      </c>
      <c r="AW20" t="s">
        <v>65</v>
      </c>
      <c r="AX20" t="s">
        <v>66</v>
      </c>
      <c r="AY20" t="s">
        <v>67</v>
      </c>
    </row>
    <row r="21" spans="1:51" hidden="1" x14ac:dyDescent="0.25">
      <c r="A21">
        <v>202194</v>
      </c>
      <c r="B21" t="s">
        <v>152</v>
      </c>
      <c r="C21" t="str">
        <f>VLOOKUP(A21,[1]Customer_payment_journal_line!$AL:$BO,30,0)</f>
        <v>CPay-000000006</v>
      </c>
      <c r="D21" t="s">
        <v>53</v>
      </c>
      <c r="E21" t="s">
        <v>153</v>
      </c>
      <c r="F21" t="s">
        <v>154</v>
      </c>
      <c r="G21" t="s">
        <v>144</v>
      </c>
      <c r="H21" t="s">
        <v>57</v>
      </c>
      <c r="I21" t="s">
        <v>95</v>
      </c>
      <c r="J21" t="s">
        <v>145</v>
      </c>
      <c r="K21" t="s">
        <v>146</v>
      </c>
      <c r="L21">
        <f>VLOOKUP(A21,[1]Customer_payment_journal_line!$B:$L,11,0)</f>
        <v>372.32</v>
      </c>
      <c r="M21" s="1">
        <v>372.32</v>
      </c>
      <c r="N21" s="2">
        <f>L21-M21</f>
        <v>0</v>
      </c>
      <c r="O21" t="s">
        <v>61</v>
      </c>
      <c r="P21">
        <v>100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62</v>
      </c>
      <c r="W21" t="s">
        <v>63</v>
      </c>
      <c r="Y21" t="s">
        <v>52</v>
      </c>
      <c r="AB21" t="s">
        <v>52</v>
      </c>
      <c r="AE21" t="s">
        <v>52</v>
      </c>
      <c r="AF21" t="s">
        <v>52</v>
      </c>
      <c r="AH21">
        <v>0</v>
      </c>
      <c r="AI21">
        <v>0</v>
      </c>
      <c r="AJ21" t="s">
        <v>52</v>
      </c>
      <c r="AK21">
        <v>0</v>
      </c>
      <c r="AL21" t="s">
        <v>52</v>
      </c>
      <c r="AM21" t="s">
        <v>52</v>
      </c>
      <c r="AN21">
        <v>0</v>
      </c>
      <c r="AO21">
        <v>0</v>
      </c>
      <c r="AP21" t="s">
        <v>52</v>
      </c>
      <c r="AQ21" t="s">
        <v>52</v>
      </c>
      <c r="AR21" t="s">
        <v>62</v>
      </c>
      <c r="AS21" t="s">
        <v>52</v>
      </c>
      <c r="AT21" t="s">
        <v>52</v>
      </c>
      <c r="AU21" t="s">
        <v>64</v>
      </c>
      <c r="AV21" t="s">
        <v>62</v>
      </c>
      <c r="AW21" t="s">
        <v>65</v>
      </c>
      <c r="AX21" t="s">
        <v>66</v>
      </c>
      <c r="AY21" t="s">
        <v>67</v>
      </c>
    </row>
    <row r="22" spans="1:51" hidden="1" x14ac:dyDescent="0.25">
      <c r="A22">
        <v>202194</v>
      </c>
      <c r="B22" t="s">
        <v>155</v>
      </c>
      <c r="C22" t="str">
        <f>VLOOKUP(A22,[1]Customer_payment_journal_line!$AL:$BO,30,0)</f>
        <v>CPay-000000006</v>
      </c>
      <c r="D22" t="s">
        <v>53</v>
      </c>
      <c r="E22" t="s">
        <v>153</v>
      </c>
      <c r="F22" t="s">
        <v>154</v>
      </c>
      <c r="G22" t="s">
        <v>144</v>
      </c>
      <c r="H22" t="s">
        <v>69</v>
      </c>
      <c r="I22" t="s">
        <v>148</v>
      </c>
      <c r="J22" t="s">
        <v>145</v>
      </c>
      <c r="K22" t="s">
        <v>146</v>
      </c>
      <c r="L22">
        <f>VLOOKUP(A22,[1]Customer_payment_journal_line!$B:$L,11,0)</f>
        <v>372.32</v>
      </c>
      <c r="M22" s="1">
        <v>0</v>
      </c>
      <c r="N22">
        <v>372.32</v>
      </c>
      <c r="O22" t="s">
        <v>61</v>
      </c>
      <c r="P22">
        <v>100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62</v>
      </c>
      <c r="W22" t="s">
        <v>52</v>
      </c>
      <c r="Y22" t="s">
        <v>149</v>
      </c>
      <c r="Z22" t="s">
        <v>62</v>
      </c>
      <c r="AB22" t="s">
        <v>156</v>
      </c>
      <c r="AE22" t="s">
        <v>157</v>
      </c>
      <c r="AF22" t="s">
        <v>52</v>
      </c>
      <c r="AH22">
        <v>0</v>
      </c>
      <c r="AI22">
        <v>0</v>
      </c>
      <c r="AJ22" t="s">
        <v>52</v>
      </c>
      <c r="AK22">
        <v>0</v>
      </c>
      <c r="AL22" t="s">
        <v>52</v>
      </c>
      <c r="AM22" t="s">
        <v>52</v>
      </c>
      <c r="AN22">
        <v>0</v>
      </c>
      <c r="AO22">
        <v>0</v>
      </c>
      <c r="AP22" t="s">
        <v>52</v>
      </c>
      <c r="AQ22" t="s">
        <v>52</v>
      </c>
      <c r="AR22" t="s">
        <v>62</v>
      </c>
      <c r="AS22" t="s">
        <v>52</v>
      </c>
      <c r="AT22" t="s">
        <v>74</v>
      </c>
      <c r="AU22" t="s">
        <v>64</v>
      </c>
      <c r="AV22" t="s">
        <v>62</v>
      </c>
      <c r="AW22" t="s">
        <v>65</v>
      </c>
      <c r="AX22" t="s">
        <v>66</v>
      </c>
      <c r="AY22" t="s">
        <v>67</v>
      </c>
    </row>
    <row r="23" spans="1:51" hidden="1" x14ac:dyDescent="0.25">
      <c r="A23">
        <v>202204</v>
      </c>
      <c r="B23" t="s">
        <v>158</v>
      </c>
      <c r="C23" t="e">
        <f>VLOOKUP(A23,[1]Customer_payment_journal_line!$AL:$BO,30,0)</f>
        <v>#N/A</v>
      </c>
      <c r="D23" t="s">
        <v>159</v>
      </c>
      <c r="E23" t="s">
        <v>160</v>
      </c>
      <c r="F23" t="s">
        <v>161</v>
      </c>
      <c r="G23" t="s">
        <v>144</v>
      </c>
      <c r="H23" t="s">
        <v>80</v>
      </c>
      <c r="I23" t="s">
        <v>162</v>
      </c>
      <c r="J23" t="s">
        <v>163</v>
      </c>
      <c r="K23" t="s">
        <v>164</v>
      </c>
      <c r="L23" t="s">
        <v>52</v>
      </c>
      <c r="M23">
        <v>2023.5</v>
      </c>
      <c r="N23">
        <v>0</v>
      </c>
      <c r="O23" t="s">
        <v>61</v>
      </c>
      <c r="P23">
        <v>100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62</v>
      </c>
      <c r="W23" t="s">
        <v>52</v>
      </c>
      <c r="Y23" t="s">
        <v>52</v>
      </c>
      <c r="AB23" t="s">
        <v>52</v>
      </c>
      <c r="AE23" t="s">
        <v>52</v>
      </c>
      <c r="AF23" t="s">
        <v>52</v>
      </c>
      <c r="AH23">
        <v>0</v>
      </c>
      <c r="AI23">
        <v>0</v>
      </c>
      <c r="AJ23" t="s">
        <v>52</v>
      </c>
      <c r="AK23">
        <v>0</v>
      </c>
      <c r="AL23" t="s">
        <v>52</v>
      </c>
      <c r="AM23" t="s">
        <v>52</v>
      </c>
      <c r="AN23">
        <v>0</v>
      </c>
      <c r="AO23">
        <v>0</v>
      </c>
      <c r="AP23" t="s">
        <v>52</v>
      </c>
      <c r="AQ23" t="s">
        <v>52</v>
      </c>
      <c r="AR23" t="s">
        <v>62</v>
      </c>
      <c r="AS23" t="s">
        <v>52</v>
      </c>
      <c r="AT23" t="s">
        <v>52</v>
      </c>
      <c r="AU23" t="s">
        <v>64</v>
      </c>
      <c r="AV23" t="s">
        <v>62</v>
      </c>
      <c r="AW23" t="s">
        <v>65</v>
      </c>
      <c r="AX23" t="s">
        <v>66</v>
      </c>
      <c r="AY23" t="s">
        <v>165</v>
      </c>
    </row>
    <row r="24" spans="1:51" hidden="1" x14ac:dyDescent="0.25">
      <c r="A24">
        <v>202204</v>
      </c>
      <c r="B24" t="s">
        <v>166</v>
      </c>
      <c r="C24" t="e">
        <f>VLOOKUP(A24,[1]Customer_payment_journal_line!$AL:$BO,30,0)</f>
        <v>#N/A</v>
      </c>
      <c r="D24" t="s">
        <v>159</v>
      </c>
      <c r="E24" t="s">
        <v>160</v>
      </c>
      <c r="F24" t="s">
        <v>161</v>
      </c>
      <c r="G24" t="s">
        <v>144</v>
      </c>
      <c r="H24" t="s">
        <v>69</v>
      </c>
      <c r="I24" t="s">
        <v>167</v>
      </c>
      <c r="J24" t="s">
        <v>163</v>
      </c>
      <c r="K24" t="s">
        <v>164</v>
      </c>
      <c r="L24" t="s">
        <v>52</v>
      </c>
      <c r="M24">
        <v>0</v>
      </c>
      <c r="N24">
        <v>370.5</v>
      </c>
      <c r="O24" t="s">
        <v>61</v>
      </c>
      <c r="P24">
        <v>100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62</v>
      </c>
      <c r="W24" t="s">
        <v>52</v>
      </c>
      <c r="Y24" t="s">
        <v>168</v>
      </c>
      <c r="Z24" t="s">
        <v>62</v>
      </c>
      <c r="AB24" t="s">
        <v>169</v>
      </c>
      <c r="AE24" t="s">
        <v>170</v>
      </c>
      <c r="AF24" t="s">
        <v>52</v>
      </c>
      <c r="AH24">
        <v>0</v>
      </c>
      <c r="AI24">
        <v>0</v>
      </c>
      <c r="AJ24" t="s">
        <v>52</v>
      </c>
      <c r="AK24">
        <v>0</v>
      </c>
      <c r="AL24" t="s">
        <v>52</v>
      </c>
      <c r="AM24" t="s">
        <v>52</v>
      </c>
      <c r="AN24">
        <v>0</v>
      </c>
      <c r="AO24">
        <v>0</v>
      </c>
      <c r="AP24" t="s">
        <v>52</v>
      </c>
      <c r="AQ24" t="s">
        <v>52</v>
      </c>
      <c r="AR24" t="s">
        <v>62</v>
      </c>
      <c r="AS24" t="s">
        <v>52</v>
      </c>
      <c r="AT24" t="s">
        <v>74</v>
      </c>
      <c r="AU24" t="s">
        <v>64</v>
      </c>
      <c r="AV24" t="s">
        <v>62</v>
      </c>
      <c r="AW24" t="s">
        <v>65</v>
      </c>
      <c r="AX24" t="s">
        <v>66</v>
      </c>
      <c r="AY24" t="s">
        <v>165</v>
      </c>
    </row>
    <row r="25" spans="1:51" hidden="1" x14ac:dyDescent="0.25">
      <c r="A25">
        <v>202204</v>
      </c>
      <c r="B25" t="s">
        <v>171</v>
      </c>
      <c r="C25" t="e">
        <f>VLOOKUP(A25,[1]Customer_payment_journal_line!$AL:$BO,30,0)</f>
        <v>#N/A</v>
      </c>
      <c r="D25" t="s">
        <v>159</v>
      </c>
      <c r="E25" t="s">
        <v>160</v>
      </c>
      <c r="F25" t="s">
        <v>161</v>
      </c>
      <c r="G25" t="s">
        <v>144</v>
      </c>
      <c r="H25" t="s">
        <v>69</v>
      </c>
      <c r="I25" t="s">
        <v>167</v>
      </c>
      <c r="J25" t="s">
        <v>163</v>
      </c>
      <c r="K25" t="s">
        <v>164</v>
      </c>
      <c r="L25" t="s">
        <v>52</v>
      </c>
      <c r="M25">
        <v>0</v>
      </c>
      <c r="N25">
        <v>1653</v>
      </c>
      <c r="O25" t="s">
        <v>61</v>
      </c>
      <c r="P25">
        <v>100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62</v>
      </c>
      <c r="W25" t="s">
        <v>52</v>
      </c>
      <c r="Y25" t="s">
        <v>168</v>
      </c>
      <c r="Z25" t="s">
        <v>62</v>
      </c>
      <c r="AB25" t="s">
        <v>172</v>
      </c>
      <c r="AE25" t="s">
        <v>173</v>
      </c>
      <c r="AF25" t="s">
        <v>52</v>
      </c>
      <c r="AH25">
        <v>0</v>
      </c>
      <c r="AI25">
        <v>0</v>
      </c>
      <c r="AJ25" t="s">
        <v>52</v>
      </c>
      <c r="AK25">
        <v>0</v>
      </c>
      <c r="AL25" t="s">
        <v>52</v>
      </c>
      <c r="AM25" t="s">
        <v>52</v>
      </c>
      <c r="AN25">
        <v>0</v>
      </c>
      <c r="AO25">
        <v>0</v>
      </c>
      <c r="AP25" t="s">
        <v>52</v>
      </c>
      <c r="AQ25" t="s">
        <v>52</v>
      </c>
      <c r="AR25" t="s">
        <v>62</v>
      </c>
      <c r="AS25" t="s">
        <v>52</v>
      </c>
      <c r="AT25" t="s">
        <v>74</v>
      </c>
      <c r="AU25" t="s">
        <v>64</v>
      </c>
      <c r="AV25" t="s">
        <v>62</v>
      </c>
      <c r="AW25" t="s">
        <v>65</v>
      </c>
      <c r="AX25" t="s">
        <v>66</v>
      </c>
      <c r="AY25" t="s">
        <v>165</v>
      </c>
    </row>
    <row r="26" spans="1:51" hidden="1" x14ac:dyDescent="0.25">
      <c r="A26">
        <v>202205</v>
      </c>
      <c r="B26" t="s">
        <v>174</v>
      </c>
      <c r="C26" t="e">
        <f>VLOOKUP(A26,[1]Customer_payment_journal_line!$AL:$BO,30,0)</f>
        <v>#N/A</v>
      </c>
      <c r="D26" t="s">
        <v>159</v>
      </c>
      <c r="E26" t="s">
        <v>175</v>
      </c>
      <c r="F26" t="s">
        <v>176</v>
      </c>
      <c r="G26" t="s">
        <v>144</v>
      </c>
      <c r="H26" t="s">
        <v>80</v>
      </c>
      <c r="I26" t="s">
        <v>177</v>
      </c>
      <c r="J26" t="s">
        <v>163</v>
      </c>
      <c r="K26" t="s">
        <v>164</v>
      </c>
      <c r="L26" t="s">
        <v>52</v>
      </c>
      <c r="M26">
        <v>2300</v>
      </c>
      <c r="N26">
        <v>0</v>
      </c>
      <c r="O26" t="s">
        <v>178</v>
      </c>
      <c r="P26">
        <v>5085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62</v>
      </c>
      <c r="W26" t="s">
        <v>52</v>
      </c>
      <c r="Y26" t="s">
        <v>52</v>
      </c>
      <c r="AB26" t="s">
        <v>52</v>
      </c>
      <c r="AE26" t="s">
        <v>52</v>
      </c>
      <c r="AF26" t="s">
        <v>52</v>
      </c>
      <c r="AH26">
        <v>0</v>
      </c>
      <c r="AI26">
        <v>0</v>
      </c>
      <c r="AJ26" t="s">
        <v>52</v>
      </c>
      <c r="AK26">
        <v>0</v>
      </c>
      <c r="AL26" t="s">
        <v>52</v>
      </c>
      <c r="AM26" t="s">
        <v>52</v>
      </c>
      <c r="AN26">
        <v>0</v>
      </c>
      <c r="AO26">
        <v>0</v>
      </c>
      <c r="AP26" t="s">
        <v>52</v>
      </c>
      <c r="AQ26" t="s">
        <v>52</v>
      </c>
      <c r="AR26" t="s">
        <v>62</v>
      </c>
      <c r="AS26" t="s">
        <v>52</v>
      </c>
      <c r="AT26" t="s">
        <v>52</v>
      </c>
      <c r="AU26" t="s">
        <v>64</v>
      </c>
      <c r="AV26" t="s">
        <v>62</v>
      </c>
      <c r="AW26" t="s">
        <v>65</v>
      </c>
      <c r="AX26" t="s">
        <v>66</v>
      </c>
      <c r="AY26" t="s">
        <v>165</v>
      </c>
    </row>
    <row r="27" spans="1:51" hidden="1" x14ac:dyDescent="0.25">
      <c r="A27">
        <v>202205</v>
      </c>
      <c r="B27" t="s">
        <v>179</v>
      </c>
      <c r="C27" t="e">
        <f>VLOOKUP(A27,[1]Customer_payment_journal_line!$AL:$BO,30,0)</f>
        <v>#N/A</v>
      </c>
      <c r="D27" t="s">
        <v>159</v>
      </c>
      <c r="E27" t="s">
        <v>175</v>
      </c>
      <c r="F27" t="s">
        <v>176</v>
      </c>
      <c r="G27" t="s">
        <v>144</v>
      </c>
      <c r="H27" t="s">
        <v>69</v>
      </c>
      <c r="I27" t="s">
        <v>167</v>
      </c>
      <c r="J27" t="s">
        <v>163</v>
      </c>
      <c r="K27" t="s">
        <v>164</v>
      </c>
      <c r="L27" t="s">
        <v>52</v>
      </c>
      <c r="M27">
        <v>0</v>
      </c>
      <c r="N27">
        <v>2300</v>
      </c>
      <c r="O27" t="s">
        <v>178</v>
      </c>
      <c r="P27">
        <v>5085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62</v>
      </c>
      <c r="W27" t="s">
        <v>52</v>
      </c>
      <c r="Y27" t="s">
        <v>168</v>
      </c>
      <c r="Z27" t="s">
        <v>62</v>
      </c>
      <c r="AB27" t="s">
        <v>180</v>
      </c>
      <c r="AE27" t="s">
        <v>181</v>
      </c>
      <c r="AF27" t="s">
        <v>52</v>
      </c>
      <c r="AH27">
        <v>0</v>
      </c>
      <c r="AI27">
        <v>0</v>
      </c>
      <c r="AJ27" t="s">
        <v>52</v>
      </c>
      <c r="AK27">
        <v>0</v>
      </c>
      <c r="AL27" t="s">
        <v>52</v>
      </c>
      <c r="AM27" t="s">
        <v>52</v>
      </c>
      <c r="AN27">
        <v>0</v>
      </c>
      <c r="AO27">
        <v>0</v>
      </c>
      <c r="AP27" t="s">
        <v>52</v>
      </c>
      <c r="AQ27" t="s">
        <v>52</v>
      </c>
      <c r="AR27" t="s">
        <v>62</v>
      </c>
      <c r="AS27" t="s">
        <v>52</v>
      </c>
      <c r="AT27" t="s">
        <v>74</v>
      </c>
      <c r="AU27" t="s">
        <v>64</v>
      </c>
      <c r="AV27" t="s">
        <v>62</v>
      </c>
      <c r="AW27" t="s">
        <v>65</v>
      </c>
      <c r="AX27" t="s">
        <v>66</v>
      </c>
      <c r="AY27" t="s">
        <v>165</v>
      </c>
    </row>
    <row r="28" spans="1:51" hidden="1" x14ac:dyDescent="0.25">
      <c r="A28">
        <v>202169</v>
      </c>
      <c r="B28" t="s">
        <v>182</v>
      </c>
      <c r="C28" t="e">
        <f>VLOOKUP(A28,[1]Customer_payment_journal_line!$AL:$BO,30,0)</f>
        <v>#N/A</v>
      </c>
      <c r="D28" t="s">
        <v>53</v>
      </c>
      <c r="E28" t="s">
        <v>183</v>
      </c>
      <c r="F28" t="s">
        <v>184</v>
      </c>
      <c r="G28" t="s">
        <v>144</v>
      </c>
      <c r="H28" t="s">
        <v>57</v>
      </c>
      <c r="I28" t="s">
        <v>58</v>
      </c>
      <c r="J28" t="s">
        <v>185</v>
      </c>
      <c r="K28" t="s">
        <v>186</v>
      </c>
      <c r="L28" t="s">
        <v>52</v>
      </c>
      <c r="M28">
        <v>3420</v>
      </c>
      <c r="N28">
        <v>0</v>
      </c>
      <c r="O28" t="s">
        <v>61</v>
      </c>
      <c r="P28">
        <v>100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62</v>
      </c>
      <c r="W28" t="s">
        <v>63</v>
      </c>
      <c r="Y28" t="s">
        <v>52</v>
      </c>
      <c r="AB28" t="s">
        <v>52</v>
      </c>
      <c r="AE28" t="s">
        <v>52</v>
      </c>
      <c r="AF28" t="s">
        <v>52</v>
      </c>
      <c r="AH28">
        <v>0</v>
      </c>
      <c r="AI28">
        <v>0</v>
      </c>
      <c r="AJ28" t="s">
        <v>52</v>
      </c>
      <c r="AK28">
        <v>0</v>
      </c>
      <c r="AL28" t="s">
        <v>52</v>
      </c>
      <c r="AM28" t="s">
        <v>52</v>
      </c>
      <c r="AN28">
        <v>0</v>
      </c>
      <c r="AO28">
        <v>0</v>
      </c>
      <c r="AP28" t="s">
        <v>52</v>
      </c>
      <c r="AQ28" t="s">
        <v>52</v>
      </c>
      <c r="AR28" t="s">
        <v>62</v>
      </c>
      <c r="AS28" t="s">
        <v>52</v>
      </c>
      <c r="AT28" t="s">
        <v>52</v>
      </c>
      <c r="AU28" t="s">
        <v>64</v>
      </c>
      <c r="AV28" t="s">
        <v>62</v>
      </c>
      <c r="AW28" t="s">
        <v>65</v>
      </c>
      <c r="AX28" t="s">
        <v>66</v>
      </c>
      <c r="AY28" t="s">
        <v>67</v>
      </c>
    </row>
    <row r="29" spans="1:51" hidden="1" x14ac:dyDescent="0.25">
      <c r="A29">
        <v>202169</v>
      </c>
      <c r="B29" t="s">
        <v>187</v>
      </c>
      <c r="C29" t="e">
        <f>VLOOKUP(A29,[1]Customer_payment_journal_line!$AL:$BO,30,0)</f>
        <v>#N/A</v>
      </c>
      <c r="D29" t="s">
        <v>53</v>
      </c>
      <c r="E29" t="s">
        <v>183</v>
      </c>
      <c r="F29" t="s">
        <v>184</v>
      </c>
      <c r="G29" t="s">
        <v>144</v>
      </c>
      <c r="H29" t="s">
        <v>69</v>
      </c>
      <c r="I29" t="s">
        <v>188</v>
      </c>
      <c r="J29" t="s">
        <v>185</v>
      </c>
      <c r="K29" t="s">
        <v>186</v>
      </c>
      <c r="L29" t="s">
        <v>52</v>
      </c>
      <c r="M29">
        <v>0</v>
      </c>
      <c r="N29">
        <v>3420</v>
      </c>
      <c r="O29" t="s">
        <v>61</v>
      </c>
      <c r="P29">
        <v>100</v>
      </c>
      <c r="Q29" t="s">
        <v>52</v>
      </c>
      <c r="R29" t="s">
        <v>52</v>
      </c>
      <c r="S29" t="s">
        <v>52</v>
      </c>
      <c r="T29" t="s">
        <v>52</v>
      </c>
      <c r="U29" t="s">
        <v>52</v>
      </c>
      <c r="V29" t="s">
        <v>62</v>
      </c>
      <c r="W29" t="s">
        <v>52</v>
      </c>
      <c r="Y29" t="s">
        <v>189</v>
      </c>
      <c r="Z29" t="s">
        <v>62</v>
      </c>
      <c r="AB29" t="s">
        <v>190</v>
      </c>
      <c r="AE29" t="s">
        <v>191</v>
      </c>
      <c r="AF29" t="s">
        <v>52</v>
      </c>
      <c r="AH29">
        <v>0</v>
      </c>
      <c r="AI29">
        <v>0</v>
      </c>
      <c r="AJ29" t="s">
        <v>52</v>
      </c>
      <c r="AK29">
        <v>0</v>
      </c>
      <c r="AL29" t="s">
        <v>52</v>
      </c>
      <c r="AM29" t="s">
        <v>52</v>
      </c>
      <c r="AN29">
        <v>0</v>
      </c>
      <c r="AO29">
        <v>0</v>
      </c>
      <c r="AP29" t="s">
        <v>52</v>
      </c>
      <c r="AQ29" t="s">
        <v>52</v>
      </c>
      <c r="AR29" t="s">
        <v>62</v>
      </c>
      <c r="AS29" t="s">
        <v>52</v>
      </c>
      <c r="AT29" t="s">
        <v>74</v>
      </c>
      <c r="AU29" t="s">
        <v>64</v>
      </c>
      <c r="AV29" t="s">
        <v>62</v>
      </c>
      <c r="AW29" t="s">
        <v>65</v>
      </c>
      <c r="AX29" t="s">
        <v>66</v>
      </c>
      <c r="AY29" t="s">
        <v>67</v>
      </c>
    </row>
    <row r="30" spans="1:51" hidden="1" x14ac:dyDescent="0.25">
      <c r="A30">
        <v>202170</v>
      </c>
      <c r="B30" t="s">
        <v>192</v>
      </c>
      <c r="C30" t="e">
        <f>VLOOKUP(A30,[1]Customer_payment_journal_line!$AL:$BO,30,0)</f>
        <v>#N/A</v>
      </c>
      <c r="D30" t="s">
        <v>53</v>
      </c>
      <c r="E30" t="s">
        <v>193</v>
      </c>
      <c r="F30" t="s">
        <v>194</v>
      </c>
      <c r="G30" t="s">
        <v>144</v>
      </c>
      <c r="H30" t="s">
        <v>57</v>
      </c>
      <c r="I30" t="s">
        <v>58</v>
      </c>
      <c r="J30" t="s">
        <v>185</v>
      </c>
      <c r="K30" t="s">
        <v>186</v>
      </c>
      <c r="L30" t="s">
        <v>52</v>
      </c>
      <c r="M30">
        <v>855</v>
      </c>
      <c r="N30">
        <v>0</v>
      </c>
      <c r="O30" t="s">
        <v>61</v>
      </c>
      <c r="P30">
        <v>100</v>
      </c>
      <c r="Q30" t="s">
        <v>52</v>
      </c>
      <c r="R30" t="s">
        <v>52</v>
      </c>
      <c r="S30" t="s">
        <v>52</v>
      </c>
      <c r="T30" t="s">
        <v>52</v>
      </c>
      <c r="U30" t="s">
        <v>52</v>
      </c>
      <c r="V30" t="s">
        <v>62</v>
      </c>
      <c r="W30" t="s">
        <v>63</v>
      </c>
      <c r="Y30" t="s">
        <v>52</v>
      </c>
      <c r="AB30" t="s">
        <v>52</v>
      </c>
      <c r="AE30" t="s">
        <v>52</v>
      </c>
      <c r="AF30" t="s">
        <v>52</v>
      </c>
      <c r="AH30">
        <v>0</v>
      </c>
      <c r="AI30">
        <v>0</v>
      </c>
      <c r="AJ30" t="s">
        <v>52</v>
      </c>
      <c r="AK30">
        <v>0</v>
      </c>
      <c r="AL30" t="s">
        <v>52</v>
      </c>
      <c r="AM30" t="s">
        <v>52</v>
      </c>
      <c r="AN30">
        <v>0</v>
      </c>
      <c r="AO30">
        <v>0</v>
      </c>
      <c r="AP30" t="s">
        <v>52</v>
      </c>
      <c r="AQ30" t="s">
        <v>52</v>
      </c>
      <c r="AR30" t="s">
        <v>62</v>
      </c>
      <c r="AS30" t="s">
        <v>52</v>
      </c>
      <c r="AT30" t="s">
        <v>52</v>
      </c>
      <c r="AU30" t="s">
        <v>64</v>
      </c>
      <c r="AV30" t="s">
        <v>62</v>
      </c>
      <c r="AW30" t="s">
        <v>65</v>
      </c>
      <c r="AX30" t="s">
        <v>66</v>
      </c>
      <c r="AY30" t="s">
        <v>67</v>
      </c>
    </row>
    <row r="31" spans="1:51" hidden="1" x14ac:dyDescent="0.25">
      <c r="A31">
        <v>202170</v>
      </c>
      <c r="B31" t="s">
        <v>195</v>
      </c>
      <c r="C31" t="e">
        <f>VLOOKUP(A31,[1]Customer_payment_journal_line!$AL:$BO,30,0)</f>
        <v>#N/A</v>
      </c>
      <c r="D31" t="s">
        <v>53</v>
      </c>
      <c r="E31" t="s">
        <v>193</v>
      </c>
      <c r="F31" t="s">
        <v>194</v>
      </c>
      <c r="G31" t="s">
        <v>144</v>
      </c>
      <c r="H31" t="s">
        <v>69</v>
      </c>
      <c r="I31" t="s">
        <v>188</v>
      </c>
      <c r="J31" t="s">
        <v>185</v>
      </c>
      <c r="K31" t="s">
        <v>186</v>
      </c>
      <c r="L31" t="s">
        <v>52</v>
      </c>
      <c r="M31">
        <v>0</v>
      </c>
      <c r="N31">
        <v>855</v>
      </c>
      <c r="O31" t="s">
        <v>61</v>
      </c>
      <c r="P31">
        <v>100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62</v>
      </c>
      <c r="W31" t="s">
        <v>52</v>
      </c>
      <c r="Y31" t="s">
        <v>189</v>
      </c>
      <c r="Z31" t="s">
        <v>62</v>
      </c>
      <c r="AB31" t="s">
        <v>196</v>
      </c>
      <c r="AE31" t="s">
        <v>197</v>
      </c>
      <c r="AF31" t="s">
        <v>52</v>
      </c>
      <c r="AH31">
        <v>0</v>
      </c>
      <c r="AI31">
        <v>0</v>
      </c>
      <c r="AJ31" t="s">
        <v>52</v>
      </c>
      <c r="AK31">
        <v>0</v>
      </c>
      <c r="AL31" t="s">
        <v>52</v>
      </c>
      <c r="AM31" t="s">
        <v>52</v>
      </c>
      <c r="AN31">
        <v>0</v>
      </c>
      <c r="AO31">
        <v>0</v>
      </c>
      <c r="AP31" t="s">
        <v>52</v>
      </c>
      <c r="AQ31" t="s">
        <v>52</v>
      </c>
      <c r="AR31" t="s">
        <v>62</v>
      </c>
      <c r="AS31" t="s">
        <v>52</v>
      </c>
      <c r="AT31" t="s">
        <v>74</v>
      </c>
      <c r="AU31" t="s">
        <v>64</v>
      </c>
      <c r="AV31" t="s">
        <v>62</v>
      </c>
      <c r="AW31" t="s">
        <v>65</v>
      </c>
      <c r="AX31" t="s">
        <v>66</v>
      </c>
      <c r="AY31" t="s">
        <v>67</v>
      </c>
    </row>
    <row r="32" spans="1:51" hidden="1" x14ac:dyDescent="0.25">
      <c r="A32">
        <v>317126</v>
      </c>
      <c r="B32" t="s">
        <v>198</v>
      </c>
      <c r="C32" t="e">
        <f>VLOOKUP(A32,[1]Customer_payment_journal_line!$AL:$BO,30,0)</f>
        <v>#N/A</v>
      </c>
      <c r="D32" t="s">
        <v>53</v>
      </c>
      <c r="E32" t="s">
        <v>199</v>
      </c>
      <c r="F32" t="s">
        <v>200</v>
      </c>
      <c r="G32" t="s">
        <v>144</v>
      </c>
      <c r="H32" t="s">
        <v>201</v>
      </c>
      <c r="I32" t="s">
        <v>58</v>
      </c>
      <c r="J32" t="s">
        <v>202</v>
      </c>
      <c r="K32" t="s">
        <v>203</v>
      </c>
      <c r="L32" t="s">
        <v>52</v>
      </c>
      <c r="M32">
        <v>570</v>
      </c>
      <c r="N32">
        <v>0</v>
      </c>
      <c r="O32" t="s">
        <v>61</v>
      </c>
      <c r="P32">
        <v>100</v>
      </c>
      <c r="Q32" t="s">
        <v>52</v>
      </c>
      <c r="R32" t="s">
        <v>52</v>
      </c>
      <c r="S32" t="s">
        <v>52</v>
      </c>
      <c r="T32" t="s">
        <v>52</v>
      </c>
      <c r="U32" t="s">
        <v>52</v>
      </c>
      <c r="V32" t="s">
        <v>62</v>
      </c>
      <c r="W32" t="s">
        <v>63</v>
      </c>
      <c r="Y32" t="s">
        <v>52</v>
      </c>
      <c r="AB32" t="s">
        <v>204</v>
      </c>
      <c r="AE32" t="s">
        <v>204</v>
      </c>
      <c r="AF32" t="s">
        <v>52</v>
      </c>
      <c r="AH32">
        <v>0</v>
      </c>
      <c r="AI32">
        <v>0</v>
      </c>
      <c r="AJ32" t="s">
        <v>52</v>
      </c>
      <c r="AK32">
        <v>0</v>
      </c>
      <c r="AL32" t="s">
        <v>52</v>
      </c>
      <c r="AM32" t="s">
        <v>52</v>
      </c>
      <c r="AN32">
        <v>0</v>
      </c>
      <c r="AO32">
        <v>0</v>
      </c>
      <c r="AP32" t="s">
        <v>52</v>
      </c>
      <c r="AQ32" t="s">
        <v>52</v>
      </c>
      <c r="AR32" t="s">
        <v>62</v>
      </c>
      <c r="AS32" t="s">
        <v>52</v>
      </c>
      <c r="AT32" t="s">
        <v>52</v>
      </c>
      <c r="AU32" t="s">
        <v>64</v>
      </c>
      <c r="AV32" t="s">
        <v>62</v>
      </c>
      <c r="AW32" t="s">
        <v>65</v>
      </c>
      <c r="AX32" t="s">
        <v>66</v>
      </c>
      <c r="AY32" t="s">
        <v>67</v>
      </c>
    </row>
    <row r="33" spans="1:51" hidden="1" x14ac:dyDescent="0.25">
      <c r="A33">
        <v>317126</v>
      </c>
      <c r="B33" t="s">
        <v>205</v>
      </c>
      <c r="C33" t="e">
        <f>VLOOKUP(A33,[1]Customer_payment_journal_line!$AL:$BO,30,0)</f>
        <v>#N/A</v>
      </c>
      <c r="D33" t="s">
        <v>53</v>
      </c>
      <c r="E33" t="s">
        <v>199</v>
      </c>
      <c r="F33" t="s">
        <v>200</v>
      </c>
      <c r="G33" t="s">
        <v>144</v>
      </c>
      <c r="H33" t="s">
        <v>69</v>
      </c>
      <c r="I33" t="s">
        <v>206</v>
      </c>
      <c r="J33" t="s">
        <v>207</v>
      </c>
      <c r="K33" t="s">
        <v>203</v>
      </c>
      <c r="L33" t="s">
        <v>52</v>
      </c>
      <c r="M33">
        <v>0</v>
      </c>
      <c r="N33">
        <v>10</v>
      </c>
      <c r="O33" t="s">
        <v>126</v>
      </c>
      <c r="P33">
        <v>5285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62</v>
      </c>
      <c r="W33" t="s">
        <v>52</v>
      </c>
      <c r="Y33" t="s">
        <v>208</v>
      </c>
      <c r="Z33" t="s">
        <v>62</v>
      </c>
      <c r="AB33" t="s">
        <v>204</v>
      </c>
      <c r="AE33" t="s">
        <v>204</v>
      </c>
      <c r="AF33" t="s">
        <v>52</v>
      </c>
      <c r="AH33">
        <v>0</v>
      </c>
      <c r="AI33">
        <v>0</v>
      </c>
      <c r="AJ33" t="s">
        <v>52</v>
      </c>
      <c r="AK33">
        <v>0</v>
      </c>
      <c r="AL33" t="s">
        <v>52</v>
      </c>
      <c r="AM33" t="s">
        <v>52</v>
      </c>
      <c r="AN33">
        <v>0</v>
      </c>
      <c r="AO33">
        <v>0</v>
      </c>
      <c r="AP33" t="s">
        <v>52</v>
      </c>
      <c r="AQ33" t="s">
        <v>52</v>
      </c>
      <c r="AR33" t="s">
        <v>62</v>
      </c>
      <c r="AS33" t="s">
        <v>52</v>
      </c>
      <c r="AT33" t="s">
        <v>74</v>
      </c>
      <c r="AU33" t="s">
        <v>64</v>
      </c>
      <c r="AV33" t="s">
        <v>62</v>
      </c>
      <c r="AW33" t="s">
        <v>65</v>
      </c>
      <c r="AX33" t="s">
        <v>66</v>
      </c>
      <c r="AY33" t="s">
        <v>67</v>
      </c>
    </row>
    <row r="34" spans="1:51" hidden="1" x14ac:dyDescent="0.25">
      <c r="A34">
        <v>317126</v>
      </c>
      <c r="B34" t="s">
        <v>209</v>
      </c>
      <c r="C34" t="e">
        <f>VLOOKUP(A34,[1]Customer_payment_journal_line!$AL:$BO,30,0)</f>
        <v>#N/A</v>
      </c>
      <c r="D34" t="s">
        <v>53</v>
      </c>
      <c r="E34" t="s">
        <v>199</v>
      </c>
      <c r="F34" t="s">
        <v>200</v>
      </c>
      <c r="G34" t="s">
        <v>144</v>
      </c>
      <c r="H34" t="s">
        <v>210</v>
      </c>
      <c r="I34" t="s">
        <v>211</v>
      </c>
      <c r="J34" t="s">
        <v>52</v>
      </c>
      <c r="K34" t="s">
        <v>203</v>
      </c>
      <c r="L34" t="s">
        <v>52</v>
      </c>
      <c r="M34">
        <v>0</v>
      </c>
      <c r="N34">
        <v>41.5</v>
      </c>
      <c r="O34" t="s">
        <v>61</v>
      </c>
      <c r="P34">
        <v>100</v>
      </c>
      <c r="Q34" t="s">
        <v>52</v>
      </c>
      <c r="R34" t="s">
        <v>52</v>
      </c>
      <c r="S34" t="s">
        <v>52</v>
      </c>
      <c r="T34" t="s">
        <v>52</v>
      </c>
      <c r="U34" t="s">
        <v>52</v>
      </c>
      <c r="V34" t="s">
        <v>62</v>
      </c>
      <c r="W34" t="s">
        <v>63</v>
      </c>
      <c r="Y34" t="s">
        <v>208</v>
      </c>
      <c r="AB34" t="s">
        <v>204</v>
      </c>
      <c r="AE34" t="s">
        <v>204</v>
      </c>
      <c r="AF34" t="s">
        <v>52</v>
      </c>
      <c r="AH34">
        <v>0</v>
      </c>
      <c r="AI34">
        <v>0</v>
      </c>
      <c r="AJ34" t="s">
        <v>52</v>
      </c>
      <c r="AK34">
        <v>0</v>
      </c>
      <c r="AL34" t="s">
        <v>52</v>
      </c>
      <c r="AM34" t="s">
        <v>52</v>
      </c>
      <c r="AN34">
        <v>0</v>
      </c>
      <c r="AO34">
        <v>0</v>
      </c>
      <c r="AP34" t="s">
        <v>52</v>
      </c>
      <c r="AQ34" t="s">
        <v>52</v>
      </c>
      <c r="AR34" t="s">
        <v>62</v>
      </c>
      <c r="AS34" t="s">
        <v>52</v>
      </c>
      <c r="AT34" t="s">
        <v>52</v>
      </c>
      <c r="AU34" t="s">
        <v>64</v>
      </c>
      <c r="AV34" t="s">
        <v>62</v>
      </c>
      <c r="AW34" t="s">
        <v>65</v>
      </c>
      <c r="AX34" t="s">
        <v>66</v>
      </c>
      <c r="AY34" t="s">
        <v>67</v>
      </c>
    </row>
    <row r="35" spans="1:51" hidden="1" x14ac:dyDescent="0.25">
      <c r="A35">
        <v>202190</v>
      </c>
      <c r="B35" t="s">
        <v>212</v>
      </c>
      <c r="C35" t="e">
        <f>VLOOKUP(A35,[1]Customer_payment_journal_line!$AL:$BO,30,0)</f>
        <v>#N/A</v>
      </c>
      <c r="D35" t="s">
        <v>53</v>
      </c>
      <c r="E35" t="s">
        <v>213</v>
      </c>
      <c r="F35" t="s">
        <v>214</v>
      </c>
      <c r="G35" t="s">
        <v>144</v>
      </c>
      <c r="H35" t="s">
        <v>57</v>
      </c>
      <c r="I35" t="s">
        <v>58</v>
      </c>
      <c r="J35" t="s">
        <v>215</v>
      </c>
      <c r="K35" t="s">
        <v>203</v>
      </c>
      <c r="L35" t="s">
        <v>52</v>
      </c>
      <c r="M35">
        <v>2052</v>
      </c>
      <c r="N35">
        <v>0</v>
      </c>
      <c r="O35" t="s">
        <v>61</v>
      </c>
      <c r="P35">
        <v>100</v>
      </c>
      <c r="Q35" t="s">
        <v>52</v>
      </c>
      <c r="R35" t="s">
        <v>52</v>
      </c>
      <c r="S35" t="s">
        <v>52</v>
      </c>
      <c r="T35" t="s">
        <v>52</v>
      </c>
      <c r="U35" t="s">
        <v>52</v>
      </c>
      <c r="V35" t="s">
        <v>62</v>
      </c>
      <c r="W35" t="s">
        <v>63</v>
      </c>
      <c r="Y35" t="s">
        <v>52</v>
      </c>
      <c r="AB35" t="s">
        <v>52</v>
      </c>
      <c r="AE35" t="s">
        <v>52</v>
      </c>
      <c r="AF35" t="s">
        <v>52</v>
      </c>
      <c r="AH35">
        <v>0</v>
      </c>
      <c r="AI35">
        <v>0</v>
      </c>
      <c r="AJ35" t="s">
        <v>52</v>
      </c>
      <c r="AK35">
        <v>0</v>
      </c>
      <c r="AL35" t="s">
        <v>52</v>
      </c>
      <c r="AM35" t="s">
        <v>52</v>
      </c>
      <c r="AN35">
        <v>0</v>
      </c>
      <c r="AO35">
        <v>0</v>
      </c>
      <c r="AP35" t="s">
        <v>52</v>
      </c>
      <c r="AQ35" t="s">
        <v>52</v>
      </c>
      <c r="AR35" t="s">
        <v>62</v>
      </c>
      <c r="AS35" t="s">
        <v>52</v>
      </c>
      <c r="AT35" t="s">
        <v>52</v>
      </c>
      <c r="AU35" t="s">
        <v>64</v>
      </c>
      <c r="AV35" t="s">
        <v>62</v>
      </c>
      <c r="AW35" t="s">
        <v>65</v>
      </c>
      <c r="AX35" t="s">
        <v>66</v>
      </c>
      <c r="AY35" t="s">
        <v>67</v>
      </c>
    </row>
    <row r="36" spans="1:51" hidden="1" x14ac:dyDescent="0.25">
      <c r="A36">
        <v>202190</v>
      </c>
      <c r="B36" t="s">
        <v>216</v>
      </c>
      <c r="C36" t="e">
        <f>VLOOKUP(A36,[1]Customer_payment_journal_line!$AL:$BO,30,0)</f>
        <v>#N/A</v>
      </c>
      <c r="D36" t="s">
        <v>53</v>
      </c>
      <c r="E36" t="s">
        <v>213</v>
      </c>
      <c r="F36" t="s">
        <v>214</v>
      </c>
      <c r="G36" t="s">
        <v>144</v>
      </c>
      <c r="H36" t="s">
        <v>69</v>
      </c>
      <c r="I36" t="s">
        <v>206</v>
      </c>
      <c r="J36" t="s">
        <v>215</v>
      </c>
      <c r="K36" t="s">
        <v>203</v>
      </c>
      <c r="L36" t="s">
        <v>52</v>
      </c>
      <c r="M36">
        <v>0</v>
      </c>
      <c r="N36">
        <v>2052</v>
      </c>
      <c r="O36" t="s">
        <v>61</v>
      </c>
      <c r="P36">
        <v>100</v>
      </c>
      <c r="Q36" t="s">
        <v>52</v>
      </c>
      <c r="R36" t="s">
        <v>52</v>
      </c>
      <c r="S36" t="s">
        <v>52</v>
      </c>
      <c r="T36" t="s">
        <v>52</v>
      </c>
      <c r="U36" t="s">
        <v>52</v>
      </c>
      <c r="V36" t="s">
        <v>62</v>
      </c>
      <c r="W36" t="s">
        <v>52</v>
      </c>
      <c r="Y36" t="s">
        <v>208</v>
      </c>
      <c r="Z36" t="s">
        <v>62</v>
      </c>
      <c r="AB36" t="s">
        <v>217</v>
      </c>
      <c r="AE36" t="s">
        <v>218</v>
      </c>
      <c r="AF36" t="s">
        <v>52</v>
      </c>
      <c r="AH36">
        <v>0</v>
      </c>
      <c r="AI36">
        <v>0</v>
      </c>
      <c r="AJ36" t="s">
        <v>52</v>
      </c>
      <c r="AK36">
        <v>0</v>
      </c>
      <c r="AL36" t="s">
        <v>52</v>
      </c>
      <c r="AM36" t="s">
        <v>52</v>
      </c>
      <c r="AN36">
        <v>0</v>
      </c>
      <c r="AO36">
        <v>0</v>
      </c>
      <c r="AP36" t="s">
        <v>52</v>
      </c>
      <c r="AQ36" t="s">
        <v>52</v>
      </c>
      <c r="AR36" t="s">
        <v>62</v>
      </c>
      <c r="AS36" t="s">
        <v>52</v>
      </c>
      <c r="AT36" t="s">
        <v>74</v>
      </c>
      <c r="AU36" t="s">
        <v>64</v>
      </c>
      <c r="AV36" t="s">
        <v>62</v>
      </c>
      <c r="AW36" t="s">
        <v>65</v>
      </c>
      <c r="AX36" t="s">
        <v>66</v>
      </c>
      <c r="AY36" t="s">
        <v>67</v>
      </c>
    </row>
    <row r="37" spans="1:51" hidden="1" x14ac:dyDescent="0.25">
      <c r="A37">
        <v>202191</v>
      </c>
      <c r="B37" t="s">
        <v>219</v>
      </c>
      <c r="C37" t="e">
        <f>VLOOKUP(A37,[1]Customer_payment_journal_line!$AL:$BO,30,0)</f>
        <v>#N/A</v>
      </c>
      <c r="D37" t="s">
        <v>53</v>
      </c>
      <c r="E37" t="s">
        <v>220</v>
      </c>
      <c r="F37" t="s">
        <v>221</v>
      </c>
      <c r="G37" t="s">
        <v>144</v>
      </c>
      <c r="H37" t="s">
        <v>57</v>
      </c>
      <c r="I37" t="s">
        <v>58</v>
      </c>
      <c r="J37" t="s">
        <v>215</v>
      </c>
      <c r="K37" t="s">
        <v>203</v>
      </c>
      <c r="L37" t="s">
        <v>52</v>
      </c>
      <c r="M37">
        <v>855</v>
      </c>
      <c r="N37">
        <v>0</v>
      </c>
      <c r="O37" t="s">
        <v>61</v>
      </c>
      <c r="P37">
        <v>100</v>
      </c>
      <c r="Q37" t="s">
        <v>52</v>
      </c>
      <c r="R37" t="s">
        <v>52</v>
      </c>
      <c r="S37" t="s">
        <v>52</v>
      </c>
      <c r="T37" t="s">
        <v>52</v>
      </c>
      <c r="U37" t="s">
        <v>52</v>
      </c>
      <c r="V37" t="s">
        <v>62</v>
      </c>
      <c r="W37" t="s">
        <v>63</v>
      </c>
      <c r="Y37" t="s">
        <v>52</v>
      </c>
      <c r="AB37" t="s">
        <v>52</v>
      </c>
      <c r="AE37" t="s">
        <v>52</v>
      </c>
      <c r="AF37" t="s">
        <v>52</v>
      </c>
      <c r="AH37">
        <v>0</v>
      </c>
      <c r="AI37">
        <v>0</v>
      </c>
      <c r="AJ37" t="s">
        <v>52</v>
      </c>
      <c r="AK37">
        <v>0</v>
      </c>
      <c r="AL37" t="s">
        <v>52</v>
      </c>
      <c r="AM37" t="s">
        <v>52</v>
      </c>
      <c r="AN37">
        <v>0</v>
      </c>
      <c r="AO37">
        <v>0</v>
      </c>
      <c r="AP37" t="s">
        <v>52</v>
      </c>
      <c r="AQ37" t="s">
        <v>52</v>
      </c>
      <c r="AR37" t="s">
        <v>62</v>
      </c>
      <c r="AS37" t="s">
        <v>52</v>
      </c>
      <c r="AT37" t="s">
        <v>52</v>
      </c>
      <c r="AU37" t="s">
        <v>64</v>
      </c>
      <c r="AV37" t="s">
        <v>62</v>
      </c>
      <c r="AW37" t="s">
        <v>65</v>
      </c>
      <c r="AX37" t="s">
        <v>66</v>
      </c>
      <c r="AY37" t="s">
        <v>67</v>
      </c>
    </row>
    <row r="38" spans="1:51" hidden="1" x14ac:dyDescent="0.25">
      <c r="A38">
        <v>202191</v>
      </c>
      <c r="B38" t="s">
        <v>222</v>
      </c>
      <c r="C38" t="e">
        <f>VLOOKUP(A38,[1]Customer_payment_journal_line!$AL:$BO,30,0)</f>
        <v>#N/A</v>
      </c>
      <c r="D38" t="s">
        <v>53</v>
      </c>
      <c r="E38" t="s">
        <v>220</v>
      </c>
      <c r="F38" t="s">
        <v>221</v>
      </c>
      <c r="G38" t="s">
        <v>144</v>
      </c>
      <c r="H38" t="s">
        <v>69</v>
      </c>
      <c r="I38" t="s">
        <v>206</v>
      </c>
      <c r="J38" t="s">
        <v>215</v>
      </c>
      <c r="K38" t="s">
        <v>203</v>
      </c>
      <c r="L38" t="s">
        <v>52</v>
      </c>
      <c r="M38">
        <v>0</v>
      </c>
      <c r="N38">
        <v>855</v>
      </c>
      <c r="O38" t="s">
        <v>61</v>
      </c>
      <c r="P38">
        <v>100</v>
      </c>
      <c r="Q38" t="s">
        <v>52</v>
      </c>
      <c r="R38" t="s">
        <v>52</v>
      </c>
      <c r="S38" t="s">
        <v>52</v>
      </c>
      <c r="T38" t="s">
        <v>52</v>
      </c>
      <c r="U38" t="s">
        <v>52</v>
      </c>
      <c r="V38" t="s">
        <v>62</v>
      </c>
      <c r="W38" t="s">
        <v>52</v>
      </c>
      <c r="Y38" t="s">
        <v>208</v>
      </c>
      <c r="Z38" t="s">
        <v>62</v>
      </c>
      <c r="AB38" t="s">
        <v>223</v>
      </c>
      <c r="AE38" t="s">
        <v>224</v>
      </c>
      <c r="AF38" t="s">
        <v>52</v>
      </c>
      <c r="AH38">
        <v>0</v>
      </c>
      <c r="AI38">
        <v>0</v>
      </c>
      <c r="AJ38" t="s">
        <v>52</v>
      </c>
      <c r="AK38">
        <v>0</v>
      </c>
      <c r="AL38" t="s">
        <v>52</v>
      </c>
      <c r="AM38" t="s">
        <v>52</v>
      </c>
      <c r="AN38">
        <v>0</v>
      </c>
      <c r="AO38">
        <v>0</v>
      </c>
      <c r="AP38" t="s">
        <v>52</v>
      </c>
      <c r="AQ38" t="s">
        <v>52</v>
      </c>
      <c r="AR38" t="s">
        <v>62</v>
      </c>
      <c r="AS38" t="s">
        <v>52</v>
      </c>
      <c r="AT38" t="s">
        <v>74</v>
      </c>
      <c r="AU38" t="s">
        <v>64</v>
      </c>
      <c r="AV38" t="s">
        <v>62</v>
      </c>
      <c r="AW38" t="s">
        <v>65</v>
      </c>
      <c r="AX38" t="s">
        <v>66</v>
      </c>
      <c r="AY38" t="s">
        <v>67</v>
      </c>
    </row>
    <row r="39" spans="1:51" hidden="1" x14ac:dyDescent="0.25">
      <c r="A39">
        <v>202192</v>
      </c>
      <c r="B39" t="s">
        <v>225</v>
      </c>
      <c r="C39" t="e">
        <f>VLOOKUP(A39,[1]Customer_payment_journal_line!$AL:$BO,30,0)</f>
        <v>#N/A</v>
      </c>
      <c r="D39" t="s">
        <v>53</v>
      </c>
      <c r="E39" t="s">
        <v>226</v>
      </c>
      <c r="F39" t="s">
        <v>227</v>
      </c>
      <c r="G39" t="s">
        <v>144</v>
      </c>
      <c r="H39" t="s">
        <v>57</v>
      </c>
      <c r="I39" t="s">
        <v>58</v>
      </c>
      <c r="J39" t="s">
        <v>228</v>
      </c>
      <c r="K39" t="s">
        <v>229</v>
      </c>
      <c r="L39" t="s">
        <v>52</v>
      </c>
      <c r="M39">
        <v>2850</v>
      </c>
      <c r="N39">
        <v>0</v>
      </c>
      <c r="O39" t="s">
        <v>61</v>
      </c>
      <c r="P39">
        <v>100</v>
      </c>
      <c r="Q39" t="s">
        <v>52</v>
      </c>
      <c r="R39" t="s">
        <v>52</v>
      </c>
      <c r="S39" t="s">
        <v>52</v>
      </c>
      <c r="T39" t="s">
        <v>52</v>
      </c>
      <c r="U39" t="s">
        <v>52</v>
      </c>
      <c r="V39" t="s">
        <v>62</v>
      </c>
      <c r="W39" t="s">
        <v>63</v>
      </c>
      <c r="Y39" t="s">
        <v>52</v>
      </c>
      <c r="AB39" t="s">
        <v>52</v>
      </c>
      <c r="AE39" t="s">
        <v>52</v>
      </c>
      <c r="AF39" t="s">
        <v>52</v>
      </c>
      <c r="AH39">
        <v>0</v>
      </c>
      <c r="AI39">
        <v>0</v>
      </c>
      <c r="AJ39" t="s">
        <v>52</v>
      </c>
      <c r="AK39">
        <v>0</v>
      </c>
      <c r="AL39" t="s">
        <v>52</v>
      </c>
      <c r="AM39" t="s">
        <v>52</v>
      </c>
      <c r="AN39">
        <v>0</v>
      </c>
      <c r="AO39">
        <v>0</v>
      </c>
      <c r="AP39" t="s">
        <v>52</v>
      </c>
      <c r="AQ39" t="s">
        <v>52</v>
      </c>
      <c r="AR39" t="s">
        <v>62</v>
      </c>
      <c r="AS39" t="s">
        <v>52</v>
      </c>
      <c r="AT39" t="s">
        <v>52</v>
      </c>
      <c r="AU39" t="s">
        <v>64</v>
      </c>
      <c r="AV39" t="s">
        <v>62</v>
      </c>
      <c r="AW39" t="s">
        <v>65</v>
      </c>
      <c r="AX39" t="s">
        <v>66</v>
      </c>
      <c r="AY39" t="s">
        <v>67</v>
      </c>
    </row>
    <row r="40" spans="1:51" hidden="1" x14ac:dyDescent="0.25">
      <c r="A40">
        <v>202192</v>
      </c>
      <c r="B40" t="s">
        <v>230</v>
      </c>
      <c r="C40" t="e">
        <f>VLOOKUP(A40,[1]Customer_payment_journal_line!$AL:$BO,30,0)</f>
        <v>#N/A</v>
      </c>
      <c r="D40" t="s">
        <v>53</v>
      </c>
      <c r="E40" t="s">
        <v>226</v>
      </c>
      <c r="F40" t="s">
        <v>227</v>
      </c>
      <c r="G40" t="s">
        <v>144</v>
      </c>
      <c r="H40" t="s">
        <v>69</v>
      </c>
      <c r="I40" t="s">
        <v>231</v>
      </c>
      <c r="J40" t="s">
        <v>228</v>
      </c>
      <c r="K40" t="s">
        <v>229</v>
      </c>
      <c r="L40" t="s">
        <v>52</v>
      </c>
      <c r="M40">
        <v>0</v>
      </c>
      <c r="N40">
        <v>2850</v>
      </c>
      <c r="O40" t="s">
        <v>61</v>
      </c>
      <c r="P40">
        <v>100</v>
      </c>
      <c r="Q40" t="s">
        <v>52</v>
      </c>
      <c r="R40" t="s">
        <v>52</v>
      </c>
      <c r="S40" t="s">
        <v>52</v>
      </c>
      <c r="T40" t="s">
        <v>52</v>
      </c>
      <c r="U40" t="s">
        <v>52</v>
      </c>
      <c r="V40" t="s">
        <v>62</v>
      </c>
      <c r="W40" t="s">
        <v>52</v>
      </c>
      <c r="Y40" t="s">
        <v>232</v>
      </c>
      <c r="Z40" t="s">
        <v>62</v>
      </c>
      <c r="AB40" t="s">
        <v>233</v>
      </c>
      <c r="AE40" t="s">
        <v>234</v>
      </c>
      <c r="AF40" t="s">
        <v>52</v>
      </c>
      <c r="AH40">
        <v>0</v>
      </c>
      <c r="AI40">
        <v>0</v>
      </c>
      <c r="AJ40" t="s">
        <v>52</v>
      </c>
      <c r="AK40">
        <v>0</v>
      </c>
      <c r="AL40" t="s">
        <v>52</v>
      </c>
      <c r="AM40" t="s">
        <v>52</v>
      </c>
      <c r="AN40">
        <v>0</v>
      </c>
      <c r="AO40">
        <v>0</v>
      </c>
      <c r="AP40" t="s">
        <v>52</v>
      </c>
      <c r="AQ40" t="s">
        <v>52</v>
      </c>
      <c r="AR40" t="s">
        <v>62</v>
      </c>
      <c r="AS40" t="s">
        <v>52</v>
      </c>
      <c r="AT40" t="s">
        <v>74</v>
      </c>
      <c r="AU40" t="s">
        <v>64</v>
      </c>
      <c r="AV40" t="s">
        <v>62</v>
      </c>
      <c r="AW40" t="s">
        <v>65</v>
      </c>
      <c r="AX40" t="s">
        <v>66</v>
      </c>
      <c r="AY40" t="s">
        <v>67</v>
      </c>
    </row>
    <row r="41" spans="1:51" hidden="1" x14ac:dyDescent="0.25">
      <c r="A41">
        <v>202208</v>
      </c>
      <c r="B41" t="s">
        <v>235</v>
      </c>
      <c r="C41" t="str">
        <f>VLOOKUP(A41,[1]Customer_payment_journal_line!$AL:$BO,30,0)</f>
        <v>CPay-000000007</v>
      </c>
      <c r="D41" t="s">
        <v>53</v>
      </c>
      <c r="E41" t="s">
        <v>236</v>
      </c>
      <c r="F41" t="s">
        <v>237</v>
      </c>
      <c r="G41" t="s">
        <v>238</v>
      </c>
      <c r="H41" t="s">
        <v>57</v>
      </c>
      <c r="I41" t="s">
        <v>95</v>
      </c>
      <c r="J41" t="s">
        <v>239</v>
      </c>
      <c r="K41" t="s">
        <v>240</v>
      </c>
      <c r="L41">
        <f>VLOOKUP(A41,[1]Customer_payment_journal_line!$B:$L,11,0)</f>
        <v>2052</v>
      </c>
      <c r="M41" s="1">
        <v>2052</v>
      </c>
      <c r="N41" s="2">
        <f>L41-M41</f>
        <v>0</v>
      </c>
      <c r="O41" t="s">
        <v>61</v>
      </c>
      <c r="P41">
        <v>100</v>
      </c>
      <c r="Q41" t="s">
        <v>52</v>
      </c>
      <c r="R41" t="s">
        <v>52</v>
      </c>
      <c r="S41" t="s">
        <v>52</v>
      </c>
      <c r="T41" t="s">
        <v>52</v>
      </c>
      <c r="U41" t="s">
        <v>52</v>
      </c>
      <c r="V41" t="s">
        <v>62</v>
      </c>
      <c r="W41" t="s">
        <v>63</v>
      </c>
      <c r="Y41" t="s">
        <v>52</v>
      </c>
      <c r="AB41" t="s">
        <v>52</v>
      </c>
      <c r="AE41" t="s">
        <v>52</v>
      </c>
      <c r="AF41" t="s">
        <v>52</v>
      </c>
      <c r="AH41">
        <v>0</v>
      </c>
      <c r="AI41">
        <v>0</v>
      </c>
      <c r="AJ41" t="s">
        <v>52</v>
      </c>
      <c r="AK41">
        <v>0</v>
      </c>
      <c r="AL41" t="s">
        <v>52</v>
      </c>
      <c r="AM41" t="s">
        <v>52</v>
      </c>
      <c r="AN41">
        <v>0</v>
      </c>
      <c r="AO41">
        <v>0</v>
      </c>
      <c r="AP41" t="s">
        <v>52</v>
      </c>
      <c r="AQ41" t="s">
        <v>52</v>
      </c>
      <c r="AR41" t="s">
        <v>62</v>
      </c>
      <c r="AS41" t="s">
        <v>52</v>
      </c>
      <c r="AT41" t="s">
        <v>52</v>
      </c>
      <c r="AU41" t="s">
        <v>64</v>
      </c>
      <c r="AV41" t="s">
        <v>62</v>
      </c>
      <c r="AW41" t="s">
        <v>65</v>
      </c>
      <c r="AX41" t="s">
        <v>66</v>
      </c>
      <c r="AY41" t="s">
        <v>67</v>
      </c>
    </row>
    <row r="42" spans="1:51" hidden="1" x14ac:dyDescent="0.25">
      <c r="A42">
        <v>202208</v>
      </c>
      <c r="B42" t="s">
        <v>241</v>
      </c>
      <c r="C42" t="str">
        <f>VLOOKUP(A42,[1]Customer_payment_journal_line!$AL:$BO,30,0)</f>
        <v>CPay-000000007</v>
      </c>
      <c r="D42" t="s">
        <v>53</v>
      </c>
      <c r="E42" t="s">
        <v>236</v>
      </c>
      <c r="F42" t="s">
        <v>237</v>
      </c>
      <c r="G42" t="s">
        <v>238</v>
      </c>
      <c r="H42" t="s">
        <v>69</v>
      </c>
      <c r="I42" t="s">
        <v>242</v>
      </c>
      <c r="J42" t="s">
        <v>239</v>
      </c>
      <c r="K42" t="s">
        <v>240</v>
      </c>
      <c r="L42">
        <f>VLOOKUP(A42,[1]Customer_payment_journal_line!$B:$L,11,0)</f>
        <v>2052</v>
      </c>
      <c r="M42" s="1">
        <v>0</v>
      </c>
      <c r="N42">
        <v>2052</v>
      </c>
      <c r="O42" t="s">
        <v>61</v>
      </c>
      <c r="P42">
        <v>100</v>
      </c>
      <c r="Q42" t="s">
        <v>52</v>
      </c>
      <c r="R42" t="s">
        <v>52</v>
      </c>
      <c r="S42" t="s">
        <v>52</v>
      </c>
      <c r="T42" t="s">
        <v>52</v>
      </c>
      <c r="U42" t="s">
        <v>52</v>
      </c>
      <c r="V42" t="s">
        <v>62</v>
      </c>
      <c r="W42" t="s">
        <v>52</v>
      </c>
      <c r="Y42" t="s">
        <v>243</v>
      </c>
      <c r="Z42" t="s">
        <v>62</v>
      </c>
      <c r="AB42" t="s">
        <v>244</v>
      </c>
      <c r="AE42" t="s">
        <v>245</v>
      </c>
      <c r="AF42" t="s">
        <v>52</v>
      </c>
      <c r="AH42">
        <v>0</v>
      </c>
      <c r="AI42">
        <v>0</v>
      </c>
      <c r="AJ42" t="s">
        <v>52</v>
      </c>
      <c r="AK42">
        <v>0</v>
      </c>
      <c r="AL42" t="s">
        <v>52</v>
      </c>
      <c r="AM42" t="s">
        <v>52</v>
      </c>
      <c r="AN42">
        <v>0</v>
      </c>
      <c r="AO42">
        <v>0</v>
      </c>
      <c r="AP42" t="s">
        <v>52</v>
      </c>
      <c r="AQ42" t="s">
        <v>52</v>
      </c>
      <c r="AR42" t="s">
        <v>62</v>
      </c>
      <c r="AS42" t="s">
        <v>52</v>
      </c>
      <c r="AT42" t="s">
        <v>74</v>
      </c>
      <c r="AU42" t="s">
        <v>64</v>
      </c>
      <c r="AV42" t="s">
        <v>62</v>
      </c>
      <c r="AW42" t="s">
        <v>65</v>
      </c>
      <c r="AX42" t="s">
        <v>66</v>
      </c>
      <c r="AY42" t="s">
        <v>67</v>
      </c>
    </row>
    <row r="43" spans="1:51" hidden="1" x14ac:dyDescent="0.25">
      <c r="A43">
        <v>202209</v>
      </c>
      <c r="B43" t="s">
        <v>246</v>
      </c>
      <c r="C43" t="str">
        <f>VLOOKUP(A43,[1]Customer_payment_journal_line!$AL:$BO,30,0)</f>
        <v>CPay-000000008</v>
      </c>
      <c r="D43" t="s">
        <v>53</v>
      </c>
      <c r="E43" t="s">
        <v>247</v>
      </c>
      <c r="F43" t="s">
        <v>248</v>
      </c>
      <c r="G43" t="s">
        <v>238</v>
      </c>
      <c r="H43" t="s">
        <v>57</v>
      </c>
      <c r="I43" t="s">
        <v>95</v>
      </c>
      <c r="J43" t="s">
        <v>239</v>
      </c>
      <c r="K43" t="s">
        <v>240</v>
      </c>
      <c r="L43">
        <f>VLOOKUP(A43,[1]Customer_payment_journal_line!$B:$L,11,0)</f>
        <v>262.2</v>
      </c>
      <c r="M43" s="1">
        <v>262.2</v>
      </c>
      <c r="N43" s="2">
        <f>L43-M43</f>
        <v>0</v>
      </c>
      <c r="O43" t="s">
        <v>61</v>
      </c>
      <c r="P43">
        <v>100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62</v>
      </c>
      <c r="W43" t="s">
        <v>63</v>
      </c>
      <c r="Y43" t="s">
        <v>52</v>
      </c>
      <c r="AB43" t="s">
        <v>52</v>
      </c>
      <c r="AE43" t="s">
        <v>52</v>
      </c>
      <c r="AF43" t="s">
        <v>52</v>
      </c>
      <c r="AH43">
        <v>0</v>
      </c>
      <c r="AI43">
        <v>0</v>
      </c>
      <c r="AJ43" t="s">
        <v>52</v>
      </c>
      <c r="AK43">
        <v>0</v>
      </c>
      <c r="AL43" t="s">
        <v>52</v>
      </c>
      <c r="AM43" t="s">
        <v>52</v>
      </c>
      <c r="AN43">
        <v>0</v>
      </c>
      <c r="AO43">
        <v>0</v>
      </c>
      <c r="AP43" t="s">
        <v>52</v>
      </c>
      <c r="AQ43" t="s">
        <v>52</v>
      </c>
      <c r="AR43" t="s">
        <v>62</v>
      </c>
      <c r="AS43" t="s">
        <v>52</v>
      </c>
      <c r="AT43" t="s">
        <v>52</v>
      </c>
      <c r="AU43" t="s">
        <v>64</v>
      </c>
      <c r="AV43" t="s">
        <v>62</v>
      </c>
      <c r="AW43" t="s">
        <v>65</v>
      </c>
      <c r="AX43" t="s">
        <v>66</v>
      </c>
      <c r="AY43" t="s">
        <v>67</v>
      </c>
    </row>
    <row r="44" spans="1:51" hidden="1" x14ac:dyDescent="0.25">
      <c r="A44">
        <v>202209</v>
      </c>
      <c r="B44" t="s">
        <v>249</v>
      </c>
      <c r="C44" t="str">
        <f>VLOOKUP(A44,[1]Customer_payment_journal_line!$AL:$BO,30,0)</f>
        <v>CPay-000000008</v>
      </c>
      <c r="D44" t="s">
        <v>53</v>
      </c>
      <c r="E44" t="s">
        <v>247</v>
      </c>
      <c r="F44" t="s">
        <v>248</v>
      </c>
      <c r="G44" t="s">
        <v>238</v>
      </c>
      <c r="H44" t="s">
        <v>69</v>
      </c>
      <c r="I44" t="s">
        <v>242</v>
      </c>
      <c r="J44" t="s">
        <v>239</v>
      </c>
      <c r="K44" t="s">
        <v>240</v>
      </c>
      <c r="L44">
        <f>VLOOKUP(A44,[1]Customer_payment_journal_line!$B:$L,11,0)</f>
        <v>262.2</v>
      </c>
      <c r="M44" s="1">
        <v>0</v>
      </c>
      <c r="N44">
        <v>262.2</v>
      </c>
      <c r="O44" t="s">
        <v>61</v>
      </c>
      <c r="P44">
        <v>100</v>
      </c>
      <c r="Q44" t="s">
        <v>52</v>
      </c>
      <c r="R44" t="s">
        <v>52</v>
      </c>
      <c r="S44" t="s">
        <v>52</v>
      </c>
      <c r="T44" t="s">
        <v>52</v>
      </c>
      <c r="U44" t="s">
        <v>52</v>
      </c>
      <c r="V44" t="s">
        <v>62</v>
      </c>
      <c r="W44" t="s">
        <v>52</v>
      </c>
      <c r="Y44" t="s">
        <v>243</v>
      </c>
      <c r="Z44" t="s">
        <v>62</v>
      </c>
      <c r="AB44" t="s">
        <v>250</v>
      </c>
      <c r="AE44" t="s">
        <v>251</v>
      </c>
      <c r="AF44" t="s">
        <v>52</v>
      </c>
      <c r="AH44">
        <v>0</v>
      </c>
      <c r="AI44">
        <v>0</v>
      </c>
      <c r="AJ44" t="s">
        <v>52</v>
      </c>
      <c r="AK44">
        <v>0</v>
      </c>
      <c r="AL44" t="s">
        <v>52</v>
      </c>
      <c r="AM44" t="s">
        <v>52</v>
      </c>
      <c r="AN44">
        <v>0</v>
      </c>
      <c r="AO44">
        <v>0</v>
      </c>
      <c r="AP44" t="s">
        <v>52</v>
      </c>
      <c r="AQ44" t="s">
        <v>52</v>
      </c>
      <c r="AR44" t="s">
        <v>62</v>
      </c>
      <c r="AS44" t="s">
        <v>52</v>
      </c>
      <c r="AT44" t="s">
        <v>74</v>
      </c>
      <c r="AU44" t="s">
        <v>64</v>
      </c>
      <c r="AV44" t="s">
        <v>62</v>
      </c>
      <c r="AW44" t="s">
        <v>65</v>
      </c>
      <c r="AX44" t="s">
        <v>66</v>
      </c>
      <c r="AY44" t="s">
        <v>67</v>
      </c>
    </row>
    <row r="45" spans="1:51" hidden="1" x14ac:dyDescent="0.25">
      <c r="A45">
        <v>202252</v>
      </c>
      <c r="B45" t="s">
        <v>252</v>
      </c>
      <c r="C45" t="str">
        <f>VLOOKUP(A45,[1]Customer_payment_journal_line!$AL:$BO,30,0)</f>
        <v>CPay-000000009</v>
      </c>
      <c r="D45" t="s">
        <v>53</v>
      </c>
      <c r="E45" t="s">
        <v>253</v>
      </c>
      <c r="F45" t="s">
        <v>254</v>
      </c>
      <c r="G45" t="s">
        <v>238</v>
      </c>
      <c r="H45" t="s">
        <v>57</v>
      </c>
      <c r="I45" t="s">
        <v>95</v>
      </c>
      <c r="J45" t="s">
        <v>255</v>
      </c>
      <c r="K45" t="s">
        <v>256</v>
      </c>
      <c r="L45">
        <f>VLOOKUP(A45,[1]Customer_payment_journal_line!$B:$L,11,0)</f>
        <v>1653</v>
      </c>
      <c r="M45" s="1">
        <v>1653</v>
      </c>
      <c r="N45" s="2">
        <f>L45-M45</f>
        <v>0</v>
      </c>
      <c r="O45" t="s">
        <v>61</v>
      </c>
      <c r="P45">
        <v>100</v>
      </c>
      <c r="Q45" t="s">
        <v>52</v>
      </c>
      <c r="R45" t="s">
        <v>52</v>
      </c>
      <c r="S45" t="s">
        <v>52</v>
      </c>
      <c r="T45" t="s">
        <v>52</v>
      </c>
      <c r="U45" t="s">
        <v>52</v>
      </c>
      <c r="V45" t="s">
        <v>62</v>
      </c>
      <c r="W45" t="s">
        <v>63</v>
      </c>
      <c r="Y45" t="s">
        <v>52</v>
      </c>
      <c r="AB45" t="s">
        <v>52</v>
      </c>
      <c r="AE45" t="s">
        <v>52</v>
      </c>
      <c r="AF45" t="s">
        <v>52</v>
      </c>
      <c r="AH45">
        <v>0</v>
      </c>
      <c r="AI45">
        <v>0</v>
      </c>
      <c r="AJ45" t="s">
        <v>52</v>
      </c>
      <c r="AK45">
        <v>0</v>
      </c>
      <c r="AL45" t="s">
        <v>52</v>
      </c>
      <c r="AM45" t="s">
        <v>52</v>
      </c>
      <c r="AN45">
        <v>0</v>
      </c>
      <c r="AO45">
        <v>0</v>
      </c>
      <c r="AP45" t="s">
        <v>52</v>
      </c>
      <c r="AQ45" t="s">
        <v>52</v>
      </c>
      <c r="AR45" t="s">
        <v>62</v>
      </c>
      <c r="AS45" t="s">
        <v>52</v>
      </c>
      <c r="AT45" t="s">
        <v>52</v>
      </c>
      <c r="AU45" t="s">
        <v>64</v>
      </c>
      <c r="AV45" t="s">
        <v>62</v>
      </c>
      <c r="AW45" t="s">
        <v>65</v>
      </c>
      <c r="AX45" t="s">
        <v>66</v>
      </c>
      <c r="AY45" t="s">
        <v>67</v>
      </c>
    </row>
    <row r="46" spans="1:51" hidden="1" x14ac:dyDescent="0.25">
      <c r="A46">
        <v>202252</v>
      </c>
      <c r="B46" t="s">
        <v>257</v>
      </c>
      <c r="C46" t="str">
        <f>VLOOKUP(A46,[1]Customer_payment_journal_line!$AL:$BO,30,0)</f>
        <v>CPay-000000009</v>
      </c>
      <c r="D46" t="s">
        <v>53</v>
      </c>
      <c r="E46" t="s">
        <v>253</v>
      </c>
      <c r="F46" t="s">
        <v>254</v>
      </c>
      <c r="G46" t="s">
        <v>238</v>
      </c>
      <c r="H46" t="s">
        <v>69</v>
      </c>
      <c r="I46" t="s">
        <v>99</v>
      </c>
      <c r="J46" t="s">
        <v>255</v>
      </c>
      <c r="K46" t="s">
        <v>256</v>
      </c>
      <c r="L46">
        <f>VLOOKUP(A46,[1]Customer_payment_journal_line!$B:$L,11,0)</f>
        <v>1653</v>
      </c>
      <c r="M46" s="1">
        <v>0</v>
      </c>
      <c r="N46">
        <v>1653</v>
      </c>
      <c r="O46" t="s">
        <v>61</v>
      </c>
      <c r="P46">
        <v>100</v>
      </c>
      <c r="Q46" t="s">
        <v>52</v>
      </c>
      <c r="R46" t="s">
        <v>52</v>
      </c>
      <c r="S46" t="s">
        <v>52</v>
      </c>
      <c r="T46" t="s">
        <v>52</v>
      </c>
      <c r="U46" t="s">
        <v>52</v>
      </c>
      <c r="V46" t="s">
        <v>62</v>
      </c>
      <c r="W46" t="s">
        <v>52</v>
      </c>
      <c r="Y46" t="s">
        <v>100</v>
      </c>
      <c r="Z46" t="s">
        <v>62</v>
      </c>
      <c r="AB46" t="s">
        <v>258</v>
      </c>
      <c r="AE46" t="s">
        <v>259</v>
      </c>
      <c r="AF46" t="s">
        <v>52</v>
      </c>
      <c r="AH46">
        <v>0</v>
      </c>
      <c r="AI46">
        <v>0</v>
      </c>
      <c r="AJ46" t="s">
        <v>52</v>
      </c>
      <c r="AK46">
        <v>0</v>
      </c>
      <c r="AL46" t="s">
        <v>52</v>
      </c>
      <c r="AM46" t="s">
        <v>52</v>
      </c>
      <c r="AN46">
        <v>0</v>
      </c>
      <c r="AO46">
        <v>0</v>
      </c>
      <c r="AP46" t="s">
        <v>52</v>
      </c>
      <c r="AQ46" t="s">
        <v>52</v>
      </c>
      <c r="AR46" t="s">
        <v>62</v>
      </c>
      <c r="AS46" t="s">
        <v>52</v>
      </c>
      <c r="AT46" t="s">
        <v>74</v>
      </c>
      <c r="AU46" t="s">
        <v>64</v>
      </c>
      <c r="AV46" t="s">
        <v>62</v>
      </c>
      <c r="AW46" t="s">
        <v>65</v>
      </c>
      <c r="AX46" t="s">
        <v>66</v>
      </c>
      <c r="AY46" t="s">
        <v>67</v>
      </c>
    </row>
    <row r="47" spans="1:51" hidden="1" x14ac:dyDescent="0.25">
      <c r="A47">
        <v>202253</v>
      </c>
      <c r="B47" t="s">
        <v>260</v>
      </c>
      <c r="C47" t="str">
        <f>VLOOKUP(A47,[1]Customer_payment_journal_line!$AL:$BO,30,0)</f>
        <v>CPay-000000010</v>
      </c>
      <c r="D47" t="s">
        <v>53</v>
      </c>
      <c r="E47" t="s">
        <v>261</v>
      </c>
      <c r="F47" t="s">
        <v>262</v>
      </c>
      <c r="G47" t="s">
        <v>238</v>
      </c>
      <c r="H47" t="s">
        <v>57</v>
      </c>
      <c r="I47" t="s">
        <v>95</v>
      </c>
      <c r="J47" t="s">
        <v>255</v>
      </c>
      <c r="K47" t="s">
        <v>256</v>
      </c>
      <c r="L47">
        <f>VLOOKUP(A47,[1]Customer_payment_journal_line!$B:$L,11,0)</f>
        <v>714.78</v>
      </c>
      <c r="M47" s="1">
        <v>714.78</v>
      </c>
      <c r="N47" s="2">
        <f>L47-M47</f>
        <v>0</v>
      </c>
      <c r="O47" t="s">
        <v>61</v>
      </c>
      <c r="P47">
        <v>100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62</v>
      </c>
      <c r="W47" t="s">
        <v>63</v>
      </c>
      <c r="Y47" t="s">
        <v>52</v>
      </c>
      <c r="AB47" t="s">
        <v>52</v>
      </c>
      <c r="AE47" t="s">
        <v>52</v>
      </c>
      <c r="AF47" t="s">
        <v>52</v>
      </c>
      <c r="AH47">
        <v>0</v>
      </c>
      <c r="AI47">
        <v>0</v>
      </c>
      <c r="AJ47" t="s">
        <v>52</v>
      </c>
      <c r="AK47">
        <v>0</v>
      </c>
      <c r="AL47" t="s">
        <v>52</v>
      </c>
      <c r="AM47" t="s">
        <v>52</v>
      </c>
      <c r="AN47">
        <v>0</v>
      </c>
      <c r="AO47">
        <v>0</v>
      </c>
      <c r="AP47" t="s">
        <v>52</v>
      </c>
      <c r="AQ47" t="s">
        <v>52</v>
      </c>
      <c r="AR47" t="s">
        <v>62</v>
      </c>
      <c r="AS47" t="s">
        <v>52</v>
      </c>
      <c r="AT47" t="s">
        <v>52</v>
      </c>
      <c r="AU47" t="s">
        <v>64</v>
      </c>
      <c r="AV47" t="s">
        <v>62</v>
      </c>
      <c r="AW47" t="s">
        <v>65</v>
      </c>
      <c r="AX47" t="s">
        <v>66</v>
      </c>
      <c r="AY47" t="s">
        <v>67</v>
      </c>
    </row>
    <row r="48" spans="1:51" hidden="1" x14ac:dyDescent="0.25">
      <c r="A48">
        <v>202253</v>
      </c>
      <c r="B48" t="s">
        <v>263</v>
      </c>
      <c r="C48" t="str">
        <f>VLOOKUP(A48,[1]Customer_payment_journal_line!$AL:$BO,30,0)</f>
        <v>CPay-000000010</v>
      </c>
      <c r="D48" t="s">
        <v>53</v>
      </c>
      <c r="E48" t="s">
        <v>261</v>
      </c>
      <c r="F48" t="s">
        <v>262</v>
      </c>
      <c r="G48" t="s">
        <v>238</v>
      </c>
      <c r="H48" t="s">
        <v>69</v>
      </c>
      <c r="I48" t="s">
        <v>99</v>
      </c>
      <c r="J48" t="s">
        <v>255</v>
      </c>
      <c r="K48" t="s">
        <v>256</v>
      </c>
      <c r="L48">
        <f>VLOOKUP(A48,[1]Customer_payment_journal_line!$B:$L,11,0)</f>
        <v>714.78</v>
      </c>
      <c r="M48" s="1">
        <v>0</v>
      </c>
      <c r="N48">
        <v>714.78</v>
      </c>
      <c r="O48" t="s">
        <v>61</v>
      </c>
      <c r="P48">
        <v>100</v>
      </c>
      <c r="Q48" t="s">
        <v>52</v>
      </c>
      <c r="R48" t="s">
        <v>52</v>
      </c>
      <c r="S48" t="s">
        <v>52</v>
      </c>
      <c r="T48" t="s">
        <v>52</v>
      </c>
      <c r="U48" t="s">
        <v>52</v>
      </c>
      <c r="V48" t="s">
        <v>62</v>
      </c>
      <c r="W48" t="s">
        <v>52</v>
      </c>
      <c r="Y48" t="s">
        <v>100</v>
      </c>
      <c r="Z48" t="s">
        <v>62</v>
      </c>
      <c r="AB48" t="s">
        <v>264</v>
      </c>
      <c r="AE48" t="s">
        <v>265</v>
      </c>
      <c r="AF48" t="s">
        <v>52</v>
      </c>
      <c r="AH48">
        <v>0</v>
      </c>
      <c r="AI48">
        <v>0</v>
      </c>
      <c r="AJ48" t="s">
        <v>52</v>
      </c>
      <c r="AK48">
        <v>0</v>
      </c>
      <c r="AL48" t="s">
        <v>52</v>
      </c>
      <c r="AM48" t="s">
        <v>52</v>
      </c>
      <c r="AN48">
        <v>0</v>
      </c>
      <c r="AO48">
        <v>0</v>
      </c>
      <c r="AP48" t="s">
        <v>52</v>
      </c>
      <c r="AQ48" t="s">
        <v>52</v>
      </c>
      <c r="AR48" t="s">
        <v>62</v>
      </c>
      <c r="AS48" t="s">
        <v>52</v>
      </c>
      <c r="AT48" t="s">
        <v>74</v>
      </c>
      <c r="AU48" t="s">
        <v>64</v>
      </c>
      <c r="AV48" t="s">
        <v>62</v>
      </c>
      <c r="AW48" t="s">
        <v>65</v>
      </c>
      <c r="AX48" t="s">
        <v>66</v>
      </c>
      <c r="AY48" t="s">
        <v>67</v>
      </c>
    </row>
    <row r="49" spans="1:51" hidden="1" x14ac:dyDescent="0.25">
      <c r="A49">
        <v>202283</v>
      </c>
      <c r="B49" t="s">
        <v>266</v>
      </c>
      <c r="C49" t="e">
        <f>VLOOKUP(A49,[1]Customer_payment_journal_line!$AL:$BO,30,0)</f>
        <v>#N/A</v>
      </c>
      <c r="D49" t="s">
        <v>159</v>
      </c>
      <c r="E49" t="s">
        <v>267</v>
      </c>
      <c r="F49" t="s">
        <v>268</v>
      </c>
      <c r="G49" t="s">
        <v>238</v>
      </c>
      <c r="H49" t="s">
        <v>80</v>
      </c>
      <c r="I49" t="s">
        <v>269</v>
      </c>
      <c r="J49" t="s">
        <v>270</v>
      </c>
      <c r="K49" t="s">
        <v>271</v>
      </c>
      <c r="L49" t="s">
        <v>52</v>
      </c>
      <c r="M49">
        <v>300</v>
      </c>
      <c r="N49">
        <v>0</v>
      </c>
      <c r="O49" t="s">
        <v>178</v>
      </c>
      <c r="P49">
        <v>5085</v>
      </c>
      <c r="Q49" t="s">
        <v>52</v>
      </c>
      <c r="R49" t="s">
        <v>52</v>
      </c>
      <c r="S49" t="s">
        <v>52</v>
      </c>
      <c r="T49" t="s">
        <v>52</v>
      </c>
      <c r="U49" t="s">
        <v>52</v>
      </c>
      <c r="V49" t="s">
        <v>62</v>
      </c>
      <c r="W49" t="s">
        <v>52</v>
      </c>
      <c r="Y49" t="s">
        <v>52</v>
      </c>
      <c r="AB49" t="s">
        <v>52</v>
      </c>
      <c r="AE49" t="s">
        <v>52</v>
      </c>
      <c r="AF49" t="s">
        <v>52</v>
      </c>
      <c r="AH49">
        <v>0</v>
      </c>
      <c r="AI49">
        <v>0</v>
      </c>
      <c r="AJ49" t="s">
        <v>52</v>
      </c>
      <c r="AK49">
        <v>0</v>
      </c>
      <c r="AL49" t="s">
        <v>52</v>
      </c>
      <c r="AM49" t="s">
        <v>52</v>
      </c>
      <c r="AN49">
        <v>0</v>
      </c>
      <c r="AO49">
        <v>0</v>
      </c>
      <c r="AP49" t="s">
        <v>52</v>
      </c>
      <c r="AQ49" t="s">
        <v>52</v>
      </c>
      <c r="AR49" t="s">
        <v>62</v>
      </c>
      <c r="AS49" t="s">
        <v>52</v>
      </c>
      <c r="AT49" t="s">
        <v>52</v>
      </c>
      <c r="AU49" t="s">
        <v>64</v>
      </c>
      <c r="AV49" t="s">
        <v>62</v>
      </c>
      <c r="AW49" t="s">
        <v>65</v>
      </c>
      <c r="AX49" t="s">
        <v>66</v>
      </c>
      <c r="AY49" t="s">
        <v>165</v>
      </c>
    </row>
    <row r="50" spans="1:51" hidden="1" x14ac:dyDescent="0.25">
      <c r="A50">
        <v>202283</v>
      </c>
      <c r="B50" t="s">
        <v>272</v>
      </c>
      <c r="C50" t="e">
        <f>VLOOKUP(A50,[1]Customer_payment_journal_line!$AL:$BO,30,0)</f>
        <v>#N/A</v>
      </c>
      <c r="D50" t="s">
        <v>159</v>
      </c>
      <c r="E50" t="s">
        <v>267</v>
      </c>
      <c r="F50" t="s">
        <v>268</v>
      </c>
      <c r="G50" t="s">
        <v>238</v>
      </c>
      <c r="H50" t="s">
        <v>69</v>
      </c>
      <c r="I50" t="s">
        <v>273</v>
      </c>
      <c r="J50" t="s">
        <v>270</v>
      </c>
      <c r="K50" t="s">
        <v>271</v>
      </c>
      <c r="L50" t="s">
        <v>52</v>
      </c>
      <c r="M50">
        <v>0</v>
      </c>
      <c r="N50">
        <v>300</v>
      </c>
      <c r="O50" t="s">
        <v>178</v>
      </c>
      <c r="P50">
        <v>5085</v>
      </c>
      <c r="Q50" t="s">
        <v>52</v>
      </c>
      <c r="R50" t="s">
        <v>52</v>
      </c>
      <c r="S50" t="s">
        <v>52</v>
      </c>
      <c r="T50" t="s">
        <v>52</v>
      </c>
      <c r="U50" t="s">
        <v>52</v>
      </c>
      <c r="V50" t="s">
        <v>62</v>
      </c>
      <c r="W50" t="s">
        <v>52</v>
      </c>
      <c r="Y50" t="s">
        <v>274</v>
      </c>
      <c r="Z50" t="s">
        <v>62</v>
      </c>
      <c r="AB50" t="s">
        <v>275</v>
      </c>
      <c r="AE50" t="s">
        <v>276</v>
      </c>
      <c r="AF50" t="s">
        <v>52</v>
      </c>
      <c r="AH50">
        <v>0</v>
      </c>
      <c r="AI50">
        <v>0</v>
      </c>
      <c r="AJ50" t="s">
        <v>52</v>
      </c>
      <c r="AK50">
        <v>0</v>
      </c>
      <c r="AL50" t="s">
        <v>52</v>
      </c>
      <c r="AM50" t="s">
        <v>52</v>
      </c>
      <c r="AN50">
        <v>0</v>
      </c>
      <c r="AO50">
        <v>0</v>
      </c>
      <c r="AP50" t="s">
        <v>52</v>
      </c>
      <c r="AQ50" t="s">
        <v>52</v>
      </c>
      <c r="AR50" t="s">
        <v>62</v>
      </c>
      <c r="AS50" t="s">
        <v>52</v>
      </c>
      <c r="AT50" t="s">
        <v>74</v>
      </c>
      <c r="AU50" t="s">
        <v>64</v>
      </c>
      <c r="AV50" t="s">
        <v>62</v>
      </c>
      <c r="AW50" t="s">
        <v>65</v>
      </c>
      <c r="AX50" t="s">
        <v>66</v>
      </c>
      <c r="AY50" t="s">
        <v>165</v>
      </c>
    </row>
    <row r="51" spans="1:51" hidden="1" x14ac:dyDescent="0.25">
      <c r="A51">
        <v>401970</v>
      </c>
      <c r="B51" t="s">
        <v>277</v>
      </c>
      <c r="C51" t="e">
        <f>VLOOKUP(A51,[1]Customer_payment_journal_line!$AL:$BO,30,0)</f>
        <v>#N/A</v>
      </c>
      <c r="D51" t="s">
        <v>76</v>
      </c>
      <c r="E51" t="s">
        <v>278</v>
      </c>
      <c r="F51" t="s">
        <v>279</v>
      </c>
      <c r="G51" t="s">
        <v>238</v>
      </c>
      <c r="H51" t="s">
        <v>80</v>
      </c>
      <c r="I51" t="s">
        <v>81</v>
      </c>
      <c r="J51" t="s">
        <v>280</v>
      </c>
      <c r="K51" t="s">
        <v>281</v>
      </c>
      <c r="L51" t="s">
        <v>52</v>
      </c>
      <c r="M51">
        <v>855</v>
      </c>
      <c r="N51">
        <v>0</v>
      </c>
      <c r="O51" t="s">
        <v>61</v>
      </c>
      <c r="P51">
        <v>100</v>
      </c>
      <c r="Q51" t="s">
        <v>52</v>
      </c>
      <c r="R51" t="s">
        <v>52</v>
      </c>
      <c r="S51" t="s">
        <v>52</v>
      </c>
      <c r="T51" t="s">
        <v>52</v>
      </c>
      <c r="U51" t="s">
        <v>52</v>
      </c>
      <c r="V51" t="s">
        <v>62</v>
      </c>
      <c r="W51" t="s">
        <v>52</v>
      </c>
      <c r="Y51" t="s">
        <v>52</v>
      </c>
      <c r="AB51" t="s">
        <v>52</v>
      </c>
      <c r="AE51" t="s">
        <v>52</v>
      </c>
      <c r="AF51" t="s">
        <v>52</v>
      </c>
      <c r="AH51">
        <v>0</v>
      </c>
      <c r="AI51">
        <v>0</v>
      </c>
      <c r="AJ51" t="s">
        <v>52</v>
      </c>
      <c r="AK51">
        <v>0</v>
      </c>
      <c r="AL51" t="s">
        <v>52</v>
      </c>
      <c r="AM51" t="s">
        <v>52</v>
      </c>
      <c r="AN51">
        <v>0</v>
      </c>
      <c r="AO51">
        <v>0</v>
      </c>
      <c r="AP51" t="s">
        <v>52</v>
      </c>
      <c r="AQ51" t="s">
        <v>52</v>
      </c>
      <c r="AR51" t="s">
        <v>62</v>
      </c>
      <c r="AS51" t="s">
        <v>52</v>
      </c>
      <c r="AT51" t="s">
        <v>52</v>
      </c>
      <c r="AU51" t="s">
        <v>64</v>
      </c>
      <c r="AV51" t="s">
        <v>62</v>
      </c>
      <c r="AW51" t="s">
        <v>65</v>
      </c>
      <c r="AX51" t="s">
        <v>66</v>
      </c>
      <c r="AY51" t="s">
        <v>76</v>
      </c>
    </row>
    <row r="52" spans="1:51" hidden="1" x14ac:dyDescent="0.25">
      <c r="A52">
        <v>401970</v>
      </c>
      <c r="B52" t="s">
        <v>282</v>
      </c>
      <c r="C52" t="e">
        <f>VLOOKUP(A52,[1]Customer_payment_journal_line!$AL:$BO,30,0)</f>
        <v>#N/A</v>
      </c>
      <c r="D52" t="s">
        <v>76</v>
      </c>
      <c r="E52" t="s">
        <v>278</v>
      </c>
      <c r="F52" t="s">
        <v>279</v>
      </c>
      <c r="G52" t="s">
        <v>238</v>
      </c>
      <c r="H52" t="s">
        <v>69</v>
      </c>
      <c r="I52" t="s">
        <v>283</v>
      </c>
      <c r="J52" t="s">
        <v>280</v>
      </c>
      <c r="K52" t="s">
        <v>281</v>
      </c>
      <c r="L52" t="s">
        <v>52</v>
      </c>
      <c r="M52">
        <v>0</v>
      </c>
      <c r="N52">
        <v>855</v>
      </c>
      <c r="O52" t="s">
        <v>61</v>
      </c>
      <c r="P52">
        <v>100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62</v>
      </c>
      <c r="W52" t="s">
        <v>52</v>
      </c>
      <c r="Y52" t="s">
        <v>284</v>
      </c>
      <c r="Z52" t="s">
        <v>62</v>
      </c>
      <c r="AB52" t="s">
        <v>285</v>
      </c>
      <c r="AE52" t="s">
        <v>286</v>
      </c>
      <c r="AF52" t="s">
        <v>52</v>
      </c>
      <c r="AH52">
        <v>0</v>
      </c>
      <c r="AI52">
        <v>0</v>
      </c>
      <c r="AJ52" t="s">
        <v>52</v>
      </c>
      <c r="AK52">
        <v>0</v>
      </c>
      <c r="AL52" t="s">
        <v>52</v>
      </c>
      <c r="AM52" t="s">
        <v>52</v>
      </c>
      <c r="AN52">
        <v>0</v>
      </c>
      <c r="AO52">
        <v>0</v>
      </c>
      <c r="AP52" t="s">
        <v>52</v>
      </c>
      <c r="AQ52" t="s">
        <v>52</v>
      </c>
      <c r="AR52" t="s">
        <v>62</v>
      </c>
      <c r="AS52" t="s">
        <v>52</v>
      </c>
      <c r="AT52" t="s">
        <v>74</v>
      </c>
      <c r="AU52" t="s">
        <v>64</v>
      </c>
      <c r="AV52" t="s">
        <v>62</v>
      </c>
      <c r="AW52" t="s">
        <v>65</v>
      </c>
      <c r="AX52" t="s">
        <v>66</v>
      </c>
      <c r="AY52" t="s">
        <v>76</v>
      </c>
    </row>
    <row r="53" spans="1:51" hidden="1" x14ac:dyDescent="0.25">
      <c r="A53">
        <v>403310</v>
      </c>
      <c r="B53" t="s">
        <v>287</v>
      </c>
      <c r="C53" t="e">
        <f>VLOOKUP(A53,[1]Customer_payment_journal_line!$AL:$BO,30,0)</f>
        <v>#N/A</v>
      </c>
      <c r="D53" t="s">
        <v>76</v>
      </c>
      <c r="E53" t="s">
        <v>288</v>
      </c>
      <c r="F53" t="s">
        <v>289</v>
      </c>
      <c r="G53" t="s">
        <v>238</v>
      </c>
      <c r="H53" t="s">
        <v>80</v>
      </c>
      <c r="I53" t="s">
        <v>81</v>
      </c>
      <c r="J53" t="s">
        <v>280</v>
      </c>
      <c r="K53" t="s">
        <v>281</v>
      </c>
      <c r="L53" t="s">
        <v>52</v>
      </c>
      <c r="M53">
        <v>3192</v>
      </c>
      <c r="N53">
        <v>0</v>
      </c>
      <c r="O53" t="s">
        <v>61</v>
      </c>
      <c r="P53">
        <v>100</v>
      </c>
      <c r="Q53" t="s">
        <v>52</v>
      </c>
      <c r="R53" t="s">
        <v>52</v>
      </c>
      <c r="S53" t="s">
        <v>52</v>
      </c>
      <c r="T53" t="s">
        <v>52</v>
      </c>
      <c r="U53" t="s">
        <v>52</v>
      </c>
      <c r="V53" t="s">
        <v>62</v>
      </c>
      <c r="W53" t="s">
        <v>52</v>
      </c>
      <c r="Y53" t="s">
        <v>52</v>
      </c>
      <c r="AB53" t="s">
        <v>52</v>
      </c>
      <c r="AE53" t="s">
        <v>52</v>
      </c>
      <c r="AF53" t="s">
        <v>52</v>
      </c>
      <c r="AH53">
        <v>0</v>
      </c>
      <c r="AI53">
        <v>0</v>
      </c>
      <c r="AJ53" t="s">
        <v>52</v>
      </c>
      <c r="AK53">
        <v>0</v>
      </c>
      <c r="AL53" t="s">
        <v>52</v>
      </c>
      <c r="AM53" t="s">
        <v>52</v>
      </c>
      <c r="AN53">
        <v>0</v>
      </c>
      <c r="AO53">
        <v>0</v>
      </c>
      <c r="AP53" t="s">
        <v>52</v>
      </c>
      <c r="AQ53" t="s">
        <v>52</v>
      </c>
      <c r="AR53" t="s">
        <v>62</v>
      </c>
      <c r="AS53" t="s">
        <v>52</v>
      </c>
      <c r="AT53" t="s">
        <v>52</v>
      </c>
      <c r="AU53" t="s">
        <v>64</v>
      </c>
      <c r="AV53" t="s">
        <v>62</v>
      </c>
      <c r="AW53" t="s">
        <v>65</v>
      </c>
      <c r="AX53" t="s">
        <v>66</v>
      </c>
      <c r="AY53" t="s">
        <v>76</v>
      </c>
    </row>
    <row r="54" spans="1:51" hidden="1" x14ac:dyDescent="0.25">
      <c r="A54">
        <v>403310</v>
      </c>
      <c r="B54" t="s">
        <v>290</v>
      </c>
      <c r="C54" t="e">
        <f>VLOOKUP(A54,[1]Customer_payment_journal_line!$AL:$BO,30,0)</f>
        <v>#N/A</v>
      </c>
      <c r="D54" t="s">
        <v>76</v>
      </c>
      <c r="E54" t="s">
        <v>288</v>
      </c>
      <c r="F54" t="s">
        <v>289</v>
      </c>
      <c r="G54" t="s">
        <v>238</v>
      </c>
      <c r="H54" t="s">
        <v>69</v>
      </c>
      <c r="I54" t="s">
        <v>283</v>
      </c>
      <c r="J54" t="s">
        <v>280</v>
      </c>
      <c r="K54" t="s">
        <v>281</v>
      </c>
      <c r="L54" t="s">
        <v>52</v>
      </c>
      <c r="M54">
        <v>0</v>
      </c>
      <c r="N54">
        <v>3192</v>
      </c>
      <c r="O54" t="s">
        <v>61</v>
      </c>
      <c r="P54">
        <v>100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62</v>
      </c>
      <c r="W54" t="s">
        <v>52</v>
      </c>
      <c r="Y54" t="s">
        <v>284</v>
      </c>
      <c r="Z54" t="s">
        <v>62</v>
      </c>
      <c r="AB54" t="s">
        <v>291</v>
      </c>
      <c r="AE54" t="s">
        <v>292</v>
      </c>
      <c r="AF54" t="s">
        <v>52</v>
      </c>
      <c r="AH54">
        <v>0</v>
      </c>
      <c r="AI54">
        <v>0</v>
      </c>
      <c r="AJ54" t="s">
        <v>52</v>
      </c>
      <c r="AK54">
        <v>0</v>
      </c>
      <c r="AL54" t="s">
        <v>52</v>
      </c>
      <c r="AM54" t="s">
        <v>52</v>
      </c>
      <c r="AN54">
        <v>0</v>
      </c>
      <c r="AO54">
        <v>0</v>
      </c>
      <c r="AP54" t="s">
        <v>52</v>
      </c>
      <c r="AQ54" t="s">
        <v>52</v>
      </c>
      <c r="AR54" t="s">
        <v>62</v>
      </c>
      <c r="AS54" t="s">
        <v>52</v>
      </c>
      <c r="AT54" t="s">
        <v>74</v>
      </c>
      <c r="AU54" t="s">
        <v>64</v>
      </c>
      <c r="AV54" t="s">
        <v>62</v>
      </c>
      <c r="AW54" t="s">
        <v>65</v>
      </c>
      <c r="AX54" t="s">
        <v>66</v>
      </c>
      <c r="AY54" t="s">
        <v>76</v>
      </c>
    </row>
    <row r="55" spans="1:51" hidden="1" x14ac:dyDescent="0.25">
      <c r="A55">
        <v>405944</v>
      </c>
      <c r="B55" t="s">
        <v>293</v>
      </c>
      <c r="C55" t="e">
        <f>VLOOKUP(A55,[1]Customer_payment_journal_line!$AL:$BO,30,0)</f>
        <v>#N/A</v>
      </c>
      <c r="D55" t="s">
        <v>53</v>
      </c>
      <c r="E55" t="s">
        <v>294</v>
      </c>
      <c r="F55" t="s">
        <v>295</v>
      </c>
      <c r="G55" t="s">
        <v>238</v>
      </c>
      <c r="H55" t="s">
        <v>57</v>
      </c>
      <c r="I55" t="s">
        <v>58</v>
      </c>
      <c r="J55" t="s">
        <v>185</v>
      </c>
      <c r="K55" t="s">
        <v>296</v>
      </c>
      <c r="L55" t="s">
        <v>52</v>
      </c>
      <c r="M55">
        <v>2280</v>
      </c>
      <c r="N55">
        <v>0</v>
      </c>
      <c r="O55" t="s">
        <v>61</v>
      </c>
      <c r="P55">
        <v>100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62</v>
      </c>
      <c r="W55" t="s">
        <v>63</v>
      </c>
      <c r="Y55" t="s">
        <v>52</v>
      </c>
      <c r="AB55" t="s">
        <v>52</v>
      </c>
      <c r="AE55" t="s">
        <v>52</v>
      </c>
      <c r="AF55" t="s">
        <v>52</v>
      </c>
      <c r="AH55">
        <v>0</v>
      </c>
      <c r="AI55">
        <v>0</v>
      </c>
      <c r="AJ55" t="s">
        <v>52</v>
      </c>
      <c r="AK55">
        <v>0</v>
      </c>
      <c r="AL55" t="s">
        <v>52</v>
      </c>
      <c r="AM55" t="s">
        <v>52</v>
      </c>
      <c r="AN55">
        <v>0</v>
      </c>
      <c r="AO55">
        <v>0</v>
      </c>
      <c r="AP55" t="s">
        <v>52</v>
      </c>
      <c r="AQ55" t="s">
        <v>52</v>
      </c>
      <c r="AR55" t="s">
        <v>62</v>
      </c>
      <c r="AS55" t="s">
        <v>52</v>
      </c>
      <c r="AT55" t="s">
        <v>52</v>
      </c>
      <c r="AU55" t="s">
        <v>64</v>
      </c>
      <c r="AV55" t="s">
        <v>62</v>
      </c>
      <c r="AW55" t="s">
        <v>65</v>
      </c>
      <c r="AX55" t="s">
        <v>66</v>
      </c>
      <c r="AY55" t="s">
        <v>67</v>
      </c>
    </row>
    <row r="56" spans="1:51" hidden="1" x14ac:dyDescent="0.25">
      <c r="A56">
        <v>405944</v>
      </c>
      <c r="B56" t="s">
        <v>297</v>
      </c>
      <c r="C56" t="e">
        <f>VLOOKUP(A56,[1]Customer_payment_journal_line!$AL:$BO,30,0)</f>
        <v>#N/A</v>
      </c>
      <c r="D56" t="s">
        <v>53</v>
      </c>
      <c r="E56" t="s">
        <v>294</v>
      </c>
      <c r="F56" t="s">
        <v>295</v>
      </c>
      <c r="G56" t="s">
        <v>238</v>
      </c>
      <c r="H56" t="s">
        <v>69</v>
      </c>
      <c r="I56" t="s">
        <v>188</v>
      </c>
      <c r="J56" t="s">
        <v>185</v>
      </c>
      <c r="K56" t="s">
        <v>296</v>
      </c>
      <c r="L56" t="s">
        <v>52</v>
      </c>
      <c r="M56">
        <v>0</v>
      </c>
      <c r="N56">
        <v>2280</v>
      </c>
      <c r="O56" t="s">
        <v>61</v>
      </c>
      <c r="P56">
        <v>100</v>
      </c>
      <c r="Q56" t="s">
        <v>52</v>
      </c>
      <c r="R56" t="s">
        <v>52</v>
      </c>
      <c r="S56" t="s">
        <v>52</v>
      </c>
      <c r="T56" t="s">
        <v>52</v>
      </c>
      <c r="U56" t="s">
        <v>52</v>
      </c>
      <c r="V56" t="s">
        <v>62</v>
      </c>
      <c r="W56" t="s">
        <v>52</v>
      </c>
      <c r="Y56" t="s">
        <v>189</v>
      </c>
      <c r="Z56" t="s">
        <v>62</v>
      </c>
      <c r="AB56" t="s">
        <v>298</v>
      </c>
      <c r="AE56" t="s">
        <v>299</v>
      </c>
      <c r="AF56" t="s">
        <v>52</v>
      </c>
      <c r="AH56">
        <v>0</v>
      </c>
      <c r="AI56">
        <v>0</v>
      </c>
      <c r="AJ56" t="s">
        <v>52</v>
      </c>
      <c r="AK56">
        <v>0</v>
      </c>
      <c r="AL56" t="s">
        <v>52</v>
      </c>
      <c r="AM56" t="s">
        <v>52</v>
      </c>
      <c r="AN56">
        <v>0</v>
      </c>
      <c r="AO56">
        <v>0</v>
      </c>
      <c r="AP56" t="s">
        <v>52</v>
      </c>
      <c r="AQ56" t="s">
        <v>52</v>
      </c>
      <c r="AR56" t="s">
        <v>62</v>
      </c>
      <c r="AS56" t="s">
        <v>52</v>
      </c>
      <c r="AT56" t="s">
        <v>74</v>
      </c>
      <c r="AU56" t="s">
        <v>64</v>
      </c>
      <c r="AV56" t="s">
        <v>62</v>
      </c>
      <c r="AW56" t="s">
        <v>65</v>
      </c>
      <c r="AX56" t="s">
        <v>66</v>
      </c>
      <c r="AY56" t="s">
        <v>67</v>
      </c>
    </row>
    <row r="57" spans="1:51" hidden="1" x14ac:dyDescent="0.25">
      <c r="A57">
        <v>405945</v>
      </c>
      <c r="B57" t="s">
        <v>300</v>
      </c>
      <c r="C57" t="e">
        <f>VLOOKUP(A57,[1]Customer_payment_journal_line!$AL:$BO,30,0)</f>
        <v>#N/A</v>
      </c>
      <c r="D57" t="s">
        <v>53</v>
      </c>
      <c r="E57" t="s">
        <v>301</v>
      </c>
      <c r="F57" t="s">
        <v>302</v>
      </c>
      <c r="G57" t="s">
        <v>238</v>
      </c>
      <c r="H57" t="s">
        <v>57</v>
      </c>
      <c r="I57" t="s">
        <v>58</v>
      </c>
      <c r="J57" t="s">
        <v>185</v>
      </c>
      <c r="K57" t="s">
        <v>296</v>
      </c>
      <c r="L57" t="s">
        <v>52</v>
      </c>
      <c r="M57">
        <v>855</v>
      </c>
      <c r="N57">
        <v>0</v>
      </c>
      <c r="O57" t="s">
        <v>61</v>
      </c>
      <c r="P57">
        <v>100</v>
      </c>
      <c r="Q57" t="s">
        <v>52</v>
      </c>
      <c r="R57" t="s">
        <v>52</v>
      </c>
      <c r="S57" t="s">
        <v>52</v>
      </c>
      <c r="T57" t="s">
        <v>52</v>
      </c>
      <c r="U57" t="s">
        <v>52</v>
      </c>
      <c r="V57" t="s">
        <v>62</v>
      </c>
      <c r="W57" t="s">
        <v>63</v>
      </c>
      <c r="Y57" t="s">
        <v>52</v>
      </c>
      <c r="AB57" t="s">
        <v>52</v>
      </c>
      <c r="AE57" t="s">
        <v>52</v>
      </c>
      <c r="AF57" t="s">
        <v>52</v>
      </c>
      <c r="AH57">
        <v>0</v>
      </c>
      <c r="AI57">
        <v>0</v>
      </c>
      <c r="AJ57" t="s">
        <v>52</v>
      </c>
      <c r="AK57">
        <v>0</v>
      </c>
      <c r="AL57" t="s">
        <v>52</v>
      </c>
      <c r="AM57" t="s">
        <v>52</v>
      </c>
      <c r="AN57">
        <v>0</v>
      </c>
      <c r="AO57">
        <v>0</v>
      </c>
      <c r="AP57" t="s">
        <v>52</v>
      </c>
      <c r="AQ57" t="s">
        <v>52</v>
      </c>
      <c r="AR57" t="s">
        <v>62</v>
      </c>
      <c r="AS57" t="s">
        <v>52</v>
      </c>
      <c r="AT57" t="s">
        <v>52</v>
      </c>
      <c r="AU57" t="s">
        <v>64</v>
      </c>
      <c r="AV57" t="s">
        <v>62</v>
      </c>
      <c r="AW57" t="s">
        <v>65</v>
      </c>
      <c r="AX57" t="s">
        <v>66</v>
      </c>
      <c r="AY57" t="s">
        <v>67</v>
      </c>
    </row>
    <row r="58" spans="1:51" hidden="1" x14ac:dyDescent="0.25">
      <c r="A58">
        <v>405945</v>
      </c>
      <c r="B58" t="s">
        <v>303</v>
      </c>
      <c r="C58" t="e">
        <f>VLOOKUP(A58,[1]Customer_payment_journal_line!$AL:$BO,30,0)</f>
        <v>#N/A</v>
      </c>
      <c r="D58" t="s">
        <v>53</v>
      </c>
      <c r="E58" t="s">
        <v>301</v>
      </c>
      <c r="F58" t="s">
        <v>302</v>
      </c>
      <c r="G58" t="s">
        <v>238</v>
      </c>
      <c r="H58" t="s">
        <v>69</v>
      </c>
      <c r="I58" t="s">
        <v>188</v>
      </c>
      <c r="J58" t="s">
        <v>185</v>
      </c>
      <c r="K58" t="s">
        <v>296</v>
      </c>
      <c r="L58" t="s">
        <v>52</v>
      </c>
      <c r="M58">
        <v>0</v>
      </c>
      <c r="N58">
        <v>855</v>
      </c>
      <c r="O58" t="s">
        <v>61</v>
      </c>
      <c r="P58">
        <v>100</v>
      </c>
      <c r="Q58" t="s">
        <v>52</v>
      </c>
      <c r="R58" t="s">
        <v>52</v>
      </c>
      <c r="S58" t="s">
        <v>52</v>
      </c>
      <c r="T58" t="s">
        <v>52</v>
      </c>
      <c r="U58" t="s">
        <v>52</v>
      </c>
      <c r="V58" t="s">
        <v>62</v>
      </c>
      <c r="W58" t="s">
        <v>52</v>
      </c>
      <c r="Y58" t="s">
        <v>189</v>
      </c>
      <c r="Z58" t="s">
        <v>62</v>
      </c>
      <c r="AB58" t="s">
        <v>304</v>
      </c>
      <c r="AE58" t="s">
        <v>305</v>
      </c>
      <c r="AF58" t="s">
        <v>52</v>
      </c>
      <c r="AH58">
        <v>0</v>
      </c>
      <c r="AI58">
        <v>0</v>
      </c>
      <c r="AJ58" t="s">
        <v>52</v>
      </c>
      <c r="AK58">
        <v>0</v>
      </c>
      <c r="AL58" t="s">
        <v>52</v>
      </c>
      <c r="AM58" t="s">
        <v>52</v>
      </c>
      <c r="AN58">
        <v>0</v>
      </c>
      <c r="AO58">
        <v>0</v>
      </c>
      <c r="AP58" t="s">
        <v>52</v>
      </c>
      <c r="AQ58" t="s">
        <v>52</v>
      </c>
      <c r="AR58" t="s">
        <v>62</v>
      </c>
      <c r="AS58" t="s">
        <v>52</v>
      </c>
      <c r="AT58" t="s">
        <v>74</v>
      </c>
      <c r="AU58" t="s">
        <v>64</v>
      </c>
      <c r="AV58" t="s">
        <v>62</v>
      </c>
      <c r="AW58" t="s">
        <v>65</v>
      </c>
      <c r="AX58" t="s">
        <v>66</v>
      </c>
      <c r="AY58" t="s">
        <v>67</v>
      </c>
    </row>
    <row r="59" spans="1:51" hidden="1" x14ac:dyDescent="0.25">
      <c r="A59">
        <v>202210</v>
      </c>
      <c r="B59" t="s">
        <v>306</v>
      </c>
      <c r="C59" t="e">
        <f>VLOOKUP(A59,[1]Customer_payment_journal_line!$AL:$BO,30,0)</f>
        <v>#N/A</v>
      </c>
      <c r="D59" t="s">
        <v>53</v>
      </c>
      <c r="E59" t="s">
        <v>307</v>
      </c>
      <c r="F59" t="s">
        <v>308</v>
      </c>
      <c r="G59" t="s">
        <v>238</v>
      </c>
      <c r="H59" t="s">
        <v>57</v>
      </c>
      <c r="I59" t="s">
        <v>58</v>
      </c>
      <c r="J59" t="s">
        <v>309</v>
      </c>
      <c r="K59" t="s">
        <v>310</v>
      </c>
      <c r="L59" t="s">
        <v>52</v>
      </c>
      <c r="M59">
        <v>2850</v>
      </c>
      <c r="N59">
        <v>0</v>
      </c>
      <c r="O59" t="s">
        <v>61</v>
      </c>
      <c r="P59">
        <v>100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62</v>
      </c>
      <c r="W59" t="s">
        <v>63</v>
      </c>
      <c r="Y59" t="s">
        <v>52</v>
      </c>
      <c r="AB59" t="s">
        <v>52</v>
      </c>
      <c r="AE59" t="s">
        <v>52</v>
      </c>
      <c r="AF59" t="s">
        <v>52</v>
      </c>
      <c r="AH59">
        <v>0</v>
      </c>
      <c r="AI59">
        <v>0</v>
      </c>
      <c r="AJ59" t="s">
        <v>52</v>
      </c>
      <c r="AK59">
        <v>0</v>
      </c>
      <c r="AL59" t="s">
        <v>52</v>
      </c>
      <c r="AM59" t="s">
        <v>52</v>
      </c>
      <c r="AN59">
        <v>0</v>
      </c>
      <c r="AO59">
        <v>0</v>
      </c>
      <c r="AP59" t="s">
        <v>52</v>
      </c>
      <c r="AQ59" t="s">
        <v>52</v>
      </c>
      <c r="AR59" t="s">
        <v>62</v>
      </c>
      <c r="AS59" t="s">
        <v>52</v>
      </c>
      <c r="AT59" t="s">
        <v>52</v>
      </c>
      <c r="AU59" t="s">
        <v>64</v>
      </c>
      <c r="AV59" t="s">
        <v>62</v>
      </c>
      <c r="AW59" t="s">
        <v>65</v>
      </c>
      <c r="AX59" t="s">
        <v>66</v>
      </c>
      <c r="AY59" t="s">
        <v>67</v>
      </c>
    </row>
    <row r="60" spans="1:51" hidden="1" x14ac:dyDescent="0.25">
      <c r="A60">
        <v>202210</v>
      </c>
      <c r="B60" t="s">
        <v>311</v>
      </c>
      <c r="C60" t="e">
        <f>VLOOKUP(A60,[1]Customer_payment_journal_line!$AL:$BO,30,0)</f>
        <v>#N/A</v>
      </c>
      <c r="D60" t="s">
        <v>53</v>
      </c>
      <c r="E60" t="s">
        <v>307</v>
      </c>
      <c r="F60" t="s">
        <v>308</v>
      </c>
      <c r="G60" t="s">
        <v>238</v>
      </c>
      <c r="H60" t="s">
        <v>69</v>
      </c>
      <c r="I60" t="s">
        <v>312</v>
      </c>
      <c r="J60" t="s">
        <v>309</v>
      </c>
      <c r="K60" t="s">
        <v>310</v>
      </c>
      <c r="L60" t="s">
        <v>52</v>
      </c>
      <c r="M60">
        <v>0</v>
      </c>
      <c r="N60">
        <v>2850</v>
      </c>
      <c r="O60" t="s">
        <v>61</v>
      </c>
      <c r="P60">
        <v>100</v>
      </c>
      <c r="Q60" t="s">
        <v>52</v>
      </c>
      <c r="R60" t="s">
        <v>52</v>
      </c>
      <c r="S60" t="s">
        <v>52</v>
      </c>
      <c r="T60" t="s">
        <v>52</v>
      </c>
      <c r="U60" t="s">
        <v>52</v>
      </c>
      <c r="V60" t="s">
        <v>62</v>
      </c>
      <c r="W60" t="s">
        <v>52</v>
      </c>
      <c r="Y60" t="s">
        <v>313</v>
      </c>
      <c r="Z60" t="s">
        <v>62</v>
      </c>
      <c r="AB60" t="s">
        <v>314</v>
      </c>
      <c r="AE60" t="s">
        <v>315</v>
      </c>
      <c r="AF60" t="s">
        <v>52</v>
      </c>
      <c r="AH60">
        <v>0</v>
      </c>
      <c r="AI60">
        <v>0</v>
      </c>
      <c r="AJ60" t="s">
        <v>52</v>
      </c>
      <c r="AK60">
        <v>0</v>
      </c>
      <c r="AL60" t="s">
        <v>52</v>
      </c>
      <c r="AM60" t="s">
        <v>52</v>
      </c>
      <c r="AN60">
        <v>0</v>
      </c>
      <c r="AO60">
        <v>0</v>
      </c>
      <c r="AP60" t="s">
        <v>52</v>
      </c>
      <c r="AQ60" t="s">
        <v>52</v>
      </c>
      <c r="AR60" t="s">
        <v>62</v>
      </c>
      <c r="AS60" t="s">
        <v>52</v>
      </c>
      <c r="AT60" t="s">
        <v>74</v>
      </c>
      <c r="AU60" t="s">
        <v>64</v>
      </c>
      <c r="AV60" t="s">
        <v>62</v>
      </c>
      <c r="AW60" t="s">
        <v>65</v>
      </c>
      <c r="AX60" t="s">
        <v>66</v>
      </c>
      <c r="AY60" t="s">
        <v>67</v>
      </c>
    </row>
    <row r="61" spans="1:51" hidden="1" x14ac:dyDescent="0.25">
      <c r="A61">
        <v>202211</v>
      </c>
      <c r="B61" t="s">
        <v>316</v>
      </c>
      <c r="C61" t="e">
        <f>VLOOKUP(A61,[1]Customer_payment_journal_line!$AL:$BO,30,0)</f>
        <v>#N/A</v>
      </c>
      <c r="D61" t="s">
        <v>53</v>
      </c>
      <c r="E61" t="s">
        <v>317</v>
      </c>
      <c r="F61" t="s">
        <v>318</v>
      </c>
      <c r="G61" t="s">
        <v>238</v>
      </c>
      <c r="H61" t="s">
        <v>57</v>
      </c>
      <c r="I61" t="s">
        <v>319</v>
      </c>
      <c r="J61" t="s">
        <v>320</v>
      </c>
      <c r="K61" t="s">
        <v>321</v>
      </c>
      <c r="L61" t="s">
        <v>52</v>
      </c>
      <c r="M61">
        <v>5677.2</v>
      </c>
      <c r="N61">
        <v>0</v>
      </c>
      <c r="O61" t="s">
        <v>61</v>
      </c>
      <c r="P61">
        <v>100</v>
      </c>
      <c r="Q61" t="s">
        <v>52</v>
      </c>
      <c r="R61" t="s">
        <v>52</v>
      </c>
      <c r="S61" t="s">
        <v>52</v>
      </c>
      <c r="T61" t="s">
        <v>52</v>
      </c>
      <c r="U61" t="s">
        <v>52</v>
      </c>
      <c r="V61" t="s">
        <v>62</v>
      </c>
      <c r="W61" t="s">
        <v>63</v>
      </c>
      <c r="Y61" t="s">
        <v>52</v>
      </c>
      <c r="AB61" t="s">
        <v>52</v>
      </c>
      <c r="AE61" t="s">
        <v>52</v>
      </c>
      <c r="AF61" t="s">
        <v>52</v>
      </c>
      <c r="AH61">
        <v>0</v>
      </c>
      <c r="AI61">
        <v>0</v>
      </c>
      <c r="AJ61" t="s">
        <v>52</v>
      </c>
      <c r="AK61">
        <v>0</v>
      </c>
      <c r="AL61" t="s">
        <v>52</v>
      </c>
      <c r="AM61" t="s">
        <v>52</v>
      </c>
      <c r="AN61">
        <v>0</v>
      </c>
      <c r="AO61">
        <v>0</v>
      </c>
      <c r="AP61" t="s">
        <v>52</v>
      </c>
      <c r="AQ61" t="s">
        <v>52</v>
      </c>
      <c r="AR61" t="s">
        <v>62</v>
      </c>
      <c r="AS61" t="s">
        <v>52</v>
      </c>
      <c r="AT61" t="s">
        <v>52</v>
      </c>
      <c r="AU61" t="s">
        <v>64</v>
      </c>
      <c r="AV61" t="s">
        <v>62</v>
      </c>
      <c r="AW61" t="s">
        <v>65</v>
      </c>
      <c r="AX61" t="s">
        <v>66</v>
      </c>
      <c r="AY61" t="s">
        <v>67</v>
      </c>
    </row>
    <row r="62" spans="1:51" hidden="1" x14ac:dyDescent="0.25">
      <c r="A62">
        <v>202211</v>
      </c>
      <c r="B62" t="s">
        <v>322</v>
      </c>
      <c r="C62" t="e">
        <f>VLOOKUP(A62,[1]Customer_payment_journal_line!$AL:$BO,30,0)</f>
        <v>#N/A</v>
      </c>
      <c r="D62" t="s">
        <v>53</v>
      </c>
      <c r="E62" t="s">
        <v>317</v>
      </c>
      <c r="F62" t="s">
        <v>318</v>
      </c>
      <c r="G62" t="s">
        <v>238</v>
      </c>
      <c r="H62" t="s">
        <v>69</v>
      </c>
      <c r="I62" t="s">
        <v>323</v>
      </c>
      <c r="J62" t="s">
        <v>320</v>
      </c>
      <c r="K62" t="s">
        <v>321</v>
      </c>
      <c r="L62" t="s">
        <v>52</v>
      </c>
      <c r="M62">
        <v>0</v>
      </c>
      <c r="N62">
        <v>5677.2</v>
      </c>
      <c r="O62" t="s">
        <v>61</v>
      </c>
      <c r="P62">
        <v>100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62</v>
      </c>
      <c r="W62" t="s">
        <v>52</v>
      </c>
      <c r="Y62" t="s">
        <v>324</v>
      </c>
      <c r="Z62" t="s">
        <v>62</v>
      </c>
      <c r="AB62" t="s">
        <v>325</v>
      </c>
      <c r="AE62" t="s">
        <v>326</v>
      </c>
      <c r="AF62" t="s">
        <v>52</v>
      </c>
      <c r="AH62">
        <v>0</v>
      </c>
      <c r="AI62">
        <v>0</v>
      </c>
      <c r="AJ62" t="s">
        <v>52</v>
      </c>
      <c r="AK62">
        <v>0</v>
      </c>
      <c r="AL62" t="s">
        <v>52</v>
      </c>
      <c r="AM62" t="s">
        <v>52</v>
      </c>
      <c r="AN62">
        <v>0</v>
      </c>
      <c r="AO62">
        <v>0</v>
      </c>
      <c r="AP62" t="s">
        <v>52</v>
      </c>
      <c r="AQ62" t="s">
        <v>52</v>
      </c>
      <c r="AR62" t="s">
        <v>62</v>
      </c>
      <c r="AS62" t="s">
        <v>52</v>
      </c>
      <c r="AT62" t="s">
        <v>74</v>
      </c>
      <c r="AU62" t="s">
        <v>64</v>
      </c>
      <c r="AV62" t="s">
        <v>62</v>
      </c>
      <c r="AW62" t="s">
        <v>65</v>
      </c>
      <c r="AX62" t="s">
        <v>66</v>
      </c>
      <c r="AY62" t="s">
        <v>67</v>
      </c>
    </row>
    <row r="63" spans="1:51" hidden="1" x14ac:dyDescent="0.25">
      <c r="A63">
        <v>202212</v>
      </c>
      <c r="B63" t="s">
        <v>327</v>
      </c>
      <c r="C63" t="e">
        <f>VLOOKUP(A63,[1]Customer_payment_journal_line!$AL:$BO,30,0)</f>
        <v>#N/A</v>
      </c>
      <c r="D63" t="s">
        <v>53</v>
      </c>
      <c r="E63" t="s">
        <v>328</v>
      </c>
      <c r="F63" t="s">
        <v>329</v>
      </c>
      <c r="G63" t="s">
        <v>238</v>
      </c>
      <c r="H63" t="s">
        <v>57</v>
      </c>
      <c r="I63" t="s">
        <v>319</v>
      </c>
      <c r="J63" t="s">
        <v>320</v>
      </c>
      <c r="K63" t="s">
        <v>321</v>
      </c>
      <c r="L63" t="s">
        <v>52</v>
      </c>
      <c r="M63">
        <v>855</v>
      </c>
      <c r="N63">
        <v>0</v>
      </c>
      <c r="O63" t="s">
        <v>61</v>
      </c>
      <c r="P63">
        <v>100</v>
      </c>
      <c r="Q63" t="s">
        <v>52</v>
      </c>
      <c r="R63" t="s">
        <v>52</v>
      </c>
      <c r="S63" t="s">
        <v>52</v>
      </c>
      <c r="T63" t="s">
        <v>52</v>
      </c>
      <c r="U63" t="s">
        <v>52</v>
      </c>
      <c r="V63" t="s">
        <v>62</v>
      </c>
      <c r="W63" t="s">
        <v>63</v>
      </c>
      <c r="Y63" t="s">
        <v>52</v>
      </c>
      <c r="AB63" t="s">
        <v>52</v>
      </c>
      <c r="AE63" t="s">
        <v>52</v>
      </c>
      <c r="AF63" t="s">
        <v>52</v>
      </c>
      <c r="AH63">
        <v>0</v>
      </c>
      <c r="AI63">
        <v>0</v>
      </c>
      <c r="AJ63" t="s">
        <v>52</v>
      </c>
      <c r="AK63">
        <v>0</v>
      </c>
      <c r="AL63" t="s">
        <v>52</v>
      </c>
      <c r="AM63" t="s">
        <v>52</v>
      </c>
      <c r="AN63">
        <v>0</v>
      </c>
      <c r="AO63">
        <v>0</v>
      </c>
      <c r="AP63" t="s">
        <v>52</v>
      </c>
      <c r="AQ63" t="s">
        <v>52</v>
      </c>
      <c r="AR63" t="s">
        <v>62</v>
      </c>
      <c r="AS63" t="s">
        <v>52</v>
      </c>
      <c r="AT63" t="s">
        <v>52</v>
      </c>
      <c r="AU63" t="s">
        <v>64</v>
      </c>
      <c r="AV63" t="s">
        <v>62</v>
      </c>
      <c r="AW63" t="s">
        <v>65</v>
      </c>
      <c r="AX63" t="s">
        <v>66</v>
      </c>
      <c r="AY63" t="s">
        <v>67</v>
      </c>
    </row>
    <row r="64" spans="1:51" hidden="1" x14ac:dyDescent="0.25">
      <c r="A64">
        <v>202212</v>
      </c>
      <c r="B64" t="s">
        <v>330</v>
      </c>
      <c r="C64" t="e">
        <f>VLOOKUP(A64,[1]Customer_payment_journal_line!$AL:$BO,30,0)</f>
        <v>#N/A</v>
      </c>
      <c r="D64" t="s">
        <v>53</v>
      </c>
      <c r="E64" t="s">
        <v>328</v>
      </c>
      <c r="F64" t="s">
        <v>329</v>
      </c>
      <c r="G64" t="s">
        <v>238</v>
      </c>
      <c r="H64" t="s">
        <v>69</v>
      </c>
      <c r="I64" t="s">
        <v>323</v>
      </c>
      <c r="J64" t="s">
        <v>320</v>
      </c>
      <c r="K64" t="s">
        <v>321</v>
      </c>
      <c r="L64" t="s">
        <v>52</v>
      </c>
      <c r="M64">
        <v>0</v>
      </c>
      <c r="N64">
        <v>855</v>
      </c>
      <c r="O64" t="s">
        <v>61</v>
      </c>
      <c r="P64">
        <v>100</v>
      </c>
      <c r="Q64" t="s">
        <v>52</v>
      </c>
      <c r="R64" t="s">
        <v>52</v>
      </c>
      <c r="S64" t="s">
        <v>52</v>
      </c>
      <c r="T64" t="s">
        <v>52</v>
      </c>
      <c r="U64" t="s">
        <v>52</v>
      </c>
      <c r="V64" t="s">
        <v>62</v>
      </c>
      <c r="W64" t="s">
        <v>52</v>
      </c>
      <c r="Y64" t="s">
        <v>324</v>
      </c>
      <c r="Z64" t="s">
        <v>62</v>
      </c>
      <c r="AB64" t="s">
        <v>331</v>
      </c>
      <c r="AE64" t="s">
        <v>332</v>
      </c>
      <c r="AF64" t="s">
        <v>52</v>
      </c>
      <c r="AH64">
        <v>0</v>
      </c>
      <c r="AI64">
        <v>0</v>
      </c>
      <c r="AJ64" t="s">
        <v>52</v>
      </c>
      <c r="AK64">
        <v>0</v>
      </c>
      <c r="AL64" t="s">
        <v>52</v>
      </c>
      <c r="AM64" t="s">
        <v>52</v>
      </c>
      <c r="AN64">
        <v>0</v>
      </c>
      <c r="AO64">
        <v>0</v>
      </c>
      <c r="AP64" t="s">
        <v>52</v>
      </c>
      <c r="AQ64" t="s">
        <v>52</v>
      </c>
      <c r="AR64" t="s">
        <v>62</v>
      </c>
      <c r="AS64" t="s">
        <v>52</v>
      </c>
      <c r="AT64" t="s">
        <v>74</v>
      </c>
      <c r="AU64" t="s">
        <v>64</v>
      </c>
      <c r="AV64" t="s">
        <v>62</v>
      </c>
      <c r="AW64" t="s">
        <v>65</v>
      </c>
      <c r="AX64" t="s">
        <v>66</v>
      </c>
      <c r="AY64" t="s">
        <v>67</v>
      </c>
    </row>
    <row r="65" spans="1:51" hidden="1" x14ac:dyDescent="0.25">
      <c r="A65">
        <v>403887</v>
      </c>
      <c r="B65" t="s">
        <v>333</v>
      </c>
      <c r="C65" t="e">
        <f>VLOOKUP(A65,[1]Customer_payment_journal_line!$AL:$BO,30,0)</f>
        <v>#N/A</v>
      </c>
      <c r="D65" t="s">
        <v>53</v>
      </c>
      <c r="E65" t="s">
        <v>334</v>
      </c>
      <c r="F65" t="s">
        <v>335</v>
      </c>
      <c r="G65" t="s">
        <v>238</v>
      </c>
      <c r="H65" t="s">
        <v>57</v>
      </c>
      <c r="I65" t="s">
        <v>58</v>
      </c>
      <c r="J65" t="s">
        <v>336</v>
      </c>
      <c r="K65" t="s">
        <v>337</v>
      </c>
      <c r="L65" t="s">
        <v>52</v>
      </c>
      <c r="M65">
        <v>513</v>
      </c>
      <c r="N65">
        <v>0</v>
      </c>
      <c r="O65" t="s">
        <v>61</v>
      </c>
      <c r="P65">
        <v>100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62</v>
      </c>
      <c r="W65" t="s">
        <v>63</v>
      </c>
      <c r="Y65" t="s">
        <v>52</v>
      </c>
      <c r="AB65" t="s">
        <v>52</v>
      </c>
      <c r="AE65" t="s">
        <v>52</v>
      </c>
      <c r="AF65" t="s">
        <v>52</v>
      </c>
      <c r="AH65">
        <v>0</v>
      </c>
      <c r="AI65">
        <v>0</v>
      </c>
      <c r="AJ65" t="s">
        <v>52</v>
      </c>
      <c r="AK65">
        <v>0</v>
      </c>
      <c r="AL65" t="s">
        <v>52</v>
      </c>
      <c r="AM65" t="s">
        <v>52</v>
      </c>
      <c r="AN65">
        <v>0</v>
      </c>
      <c r="AO65">
        <v>0</v>
      </c>
      <c r="AP65" t="s">
        <v>52</v>
      </c>
      <c r="AQ65" t="s">
        <v>52</v>
      </c>
      <c r="AR65" t="s">
        <v>62</v>
      </c>
      <c r="AS65" t="s">
        <v>52</v>
      </c>
      <c r="AT65" t="s">
        <v>52</v>
      </c>
      <c r="AU65" t="s">
        <v>64</v>
      </c>
      <c r="AV65" t="s">
        <v>62</v>
      </c>
      <c r="AW65" t="s">
        <v>65</v>
      </c>
      <c r="AX65" t="s">
        <v>66</v>
      </c>
      <c r="AY65" t="s">
        <v>67</v>
      </c>
    </row>
    <row r="66" spans="1:51" hidden="1" x14ac:dyDescent="0.25">
      <c r="A66">
        <v>403887</v>
      </c>
      <c r="B66" t="s">
        <v>338</v>
      </c>
      <c r="C66" t="e">
        <f>VLOOKUP(A66,[1]Customer_payment_journal_line!$AL:$BO,30,0)</f>
        <v>#N/A</v>
      </c>
      <c r="D66" t="s">
        <v>53</v>
      </c>
      <c r="E66" t="s">
        <v>334</v>
      </c>
      <c r="F66" t="s">
        <v>335</v>
      </c>
      <c r="G66" t="s">
        <v>238</v>
      </c>
      <c r="H66" t="s">
        <v>69</v>
      </c>
      <c r="I66" t="s">
        <v>339</v>
      </c>
      <c r="J66" t="s">
        <v>336</v>
      </c>
      <c r="K66" t="s">
        <v>337</v>
      </c>
      <c r="L66" t="s">
        <v>52</v>
      </c>
      <c r="M66">
        <v>0</v>
      </c>
      <c r="N66">
        <v>513</v>
      </c>
      <c r="O66" t="s">
        <v>61</v>
      </c>
      <c r="P66">
        <v>100</v>
      </c>
      <c r="Q66" t="s">
        <v>52</v>
      </c>
      <c r="R66" t="s">
        <v>52</v>
      </c>
      <c r="S66" t="s">
        <v>52</v>
      </c>
      <c r="T66" t="s">
        <v>52</v>
      </c>
      <c r="U66" t="s">
        <v>52</v>
      </c>
      <c r="V66" t="s">
        <v>62</v>
      </c>
      <c r="W66" t="s">
        <v>52</v>
      </c>
      <c r="Y66" t="s">
        <v>340</v>
      </c>
      <c r="Z66" t="s">
        <v>62</v>
      </c>
      <c r="AB66" t="s">
        <v>341</v>
      </c>
      <c r="AE66" t="s">
        <v>342</v>
      </c>
      <c r="AF66" t="s">
        <v>52</v>
      </c>
      <c r="AH66">
        <v>0</v>
      </c>
      <c r="AI66">
        <v>0</v>
      </c>
      <c r="AJ66" t="s">
        <v>52</v>
      </c>
      <c r="AK66">
        <v>0</v>
      </c>
      <c r="AL66" t="s">
        <v>52</v>
      </c>
      <c r="AM66" t="s">
        <v>52</v>
      </c>
      <c r="AN66">
        <v>0</v>
      </c>
      <c r="AO66">
        <v>0</v>
      </c>
      <c r="AP66" t="s">
        <v>52</v>
      </c>
      <c r="AQ66" t="s">
        <v>52</v>
      </c>
      <c r="AR66" t="s">
        <v>62</v>
      </c>
      <c r="AS66" t="s">
        <v>52</v>
      </c>
      <c r="AT66" t="s">
        <v>74</v>
      </c>
      <c r="AU66" t="s">
        <v>64</v>
      </c>
      <c r="AV66" t="s">
        <v>62</v>
      </c>
      <c r="AW66" t="s">
        <v>65</v>
      </c>
      <c r="AX66" t="s">
        <v>66</v>
      </c>
      <c r="AY66" t="s">
        <v>67</v>
      </c>
    </row>
    <row r="67" spans="1:51" hidden="1" x14ac:dyDescent="0.25">
      <c r="A67">
        <v>402121</v>
      </c>
      <c r="B67" t="s">
        <v>343</v>
      </c>
      <c r="C67" t="e">
        <f>VLOOKUP(A67,[1]Customer_payment_journal_line!$AL:$BO,30,0)</f>
        <v>#N/A</v>
      </c>
      <c r="D67" t="s">
        <v>53</v>
      </c>
      <c r="E67" t="s">
        <v>344</v>
      </c>
      <c r="F67" t="s">
        <v>345</v>
      </c>
      <c r="G67" t="s">
        <v>238</v>
      </c>
      <c r="H67" t="s">
        <v>57</v>
      </c>
      <c r="I67" t="s">
        <v>58</v>
      </c>
      <c r="J67" t="s">
        <v>336</v>
      </c>
      <c r="K67" t="s">
        <v>337</v>
      </c>
      <c r="L67" t="s">
        <v>52</v>
      </c>
      <c r="M67">
        <v>855</v>
      </c>
      <c r="N67">
        <v>0</v>
      </c>
      <c r="O67" t="s">
        <v>61</v>
      </c>
      <c r="P67">
        <v>100</v>
      </c>
      <c r="Q67" t="s">
        <v>52</v>
      </c>
      <c r="R67" t="s">
        <v>52</v>
      </c>
      <c r="S67" t="s">
        <v>52</v>
      </c>
      <c r="T67" t="s">
        <v>52</v>
      </c>
      <c r="U67" t="s">
        <v>52</v>
      </c>
      <c r="V67" t="s">
        <v>62</v>
      </c>
      <c r="W67" t="s">
        <v>63</v>
      </c>
      <c r="Y67" t="s">
        <v>52</v>
      </c>
      <c r="AB67" t="s">
        <v>52</v>
      </c>
      <c r="AE67" t="s">
        <v>52</v>
      </c>
      <c r="AF67" t="s">
        <v>52</v>
      </c>
      <c r="AH67">
        <v>0</v>
      </c>
      <c r="AI67">
        <v>0</v>
      </c>
      <c r="AJ67" t="s">
        <v>52</v>
      </c>
      <c r="AK67">
        <v>0</v>
      </c>
      <c r="AL67" t="s">
        <v>52</v>
      </c>
      <c r="AM67" t="s">
        <v>52</v>
      </c>
      <c r="AN67">
        <v>0</v>
      </c>
      <c r="AO67">
        <v>0</v>
      </c>
      <c r="AP67" t="s">
        <v>52</v>
      </c>
      <c r="AQ67" t="s">
        <v>52</v>
      </c>
      <c r="AR67" t="s">
        <v>62</v>
      </c>
      <c r="AS67" t="s">
        <v>52</v>
      </c>
      <c r="AT67" t="s">
        <v>52</v>
      </c>
      <c r="AU67" t="s">
        <v>64</v>
      </c>
      <c r="AV67" t="s">
        <v>62</v>
      </c>
      <c r="AW67" t="s">
        <v>65</v>
      </c>
      <c r="AX67" t="s">
        <v>66</v>
      </c>
      <c r="AY67" t="s">
        <v>67</v>
      </c>
    </row>
    <row r="68" spans="1:51" hidden="1" x14ac:dyDescent="0.25">
      <c r="A68">
        <v>402121</v>
      </c>
      <c r="B68" t="s">
        <v>346</v>
      </c>
      <c r="C68" t="e">
        <f>VLOOKUP(A68,[1]Customer_payment_journal_line!$AL:$BO,30,0)</f>
        <v>#N/A</v>
      </c>
      <c r="D68" t="s">
        <v>53</v>
      </c>
      <c r="E68" t="s">
        <v>344</v>
      </c>
      <c r="F68" t="s">
        <v>345</v>
      </c>
      <c r="G68" t="s">
        <v>238</v>
      </c>
      <c r="H68" t="s">
        <v>69</v>
      </c>
      <c r="I68" t="s">
        <v>339</v>
      </c>
      <c r="J68" t="s">
        <v>336</v>
      </c>
      <c r="K68" t="s">
        <v>337</v>
      </c>
      <c r="L68" t="s">
        <v>52</v>
      </c>
      <c r="M68">
        <v>0</v>
      </c>
      <c r="N68">
        <v>855</v>
      </c>
      <c r="O68" t="s">
        <v>61</v>
      </c>
      <c r="P68">
        <v>100</v>
      </c>
      <c r="Q68" t="s">
        <v>52</v>
      </c>
      <c r="R68" t="s">
        <v>52</v>
      </c>
      <c r="S68" t="s">
        <v>52</v>
      </c>
      <c r="T68" t="s">
        <v>52</v>
      </c>
      <c r="U68" t="s">
        <v>52</v>
      </c>
      <c r="V68" t="s">
        <v>62</v>
      </c>
      <c r="W68" t="s">
        <v>52</v>
      </c>
      <c r="Y68" t="s">
        <v>340</v>
      </c>
      <c r="Z68" t="s">
        <v>62</v>
      </c>
      <c r="AB68" t="s">
        <v>347</v>
      </c>
      <c r="AE68" t="s">
        <v>348</v>
      </c>
      <c r="AF68" t="s">
        <v>52</v>
      </c>
      <c r="AH68">
        <v>0</v>
      </c>
      <c r="AI68">
        <v>0</v>
      </c>
      <c r="AJ68" t="s">
        <v>52</v>
      </c>
      <c r="AK68">
        <v>0</v>
      </c>
      <c r="AL68" t="s">
        <v>52</v>
      </c>
      <c r="AM68" t="s">
        <v>52</v>
      </c>
      <c r="AN68">
        <v>0</v>
      </c>
      <c r="AO68">
        <v>0</v>
      </c>
      <c r="AP68" t="s">
        <v>52</v>
      </c>
      <c r="AQ68" t="s">
        <v>52</v>
      </c>
      <c r="AR68" t="s">
        <v>62</v>
      </c>
      <c r="AS68" t="s">
        <v>52</v>
      </c>
      <c r="AT68" t="s">
        <v>74</v>
      </c>
      <c r="AU68" t="s">
        <v>64</v>
      </c>
      <c r="AV68" t="s">
        <v>62</v>
      </c>
      <c r="AW68" t="s">
        <v>65</v>
      </c>
      <c r="AX68" t="s">
        <v>66</v>
      </c>
      <c r="AY68" t="s">
        <v>67</v>
      </c>
    </row>
    <row r="69" spans="1:51" hidden="1" x14ac:dyDescent="0.25">
      <c r="A69">
        <v>202215</v>
      </c>
      <c r="B69" t="s">
        <v>349</v>
      </c>
      <c r="C69" t="e">
        <f>VLOOKUP(A69,[1]Customer_payment_journal_line!$AL:$BO,30,0)</f>
        <v>#N/A</v>
      </c>
      <c r="D69" t="s">
        <v>53</v>
      </c>
      <c r="E69" t="s">
        <v>350</v>
      </c>
      <c r="F69" t="s">
        <v>351</v>
      </c>
      <c r="G69" t="s">
        <v>238</v>
      </c>
      <c r="H69" t="s">
        <v>57</v>
      </c>
      <c r="I69" t="s">
        <v>319</v>
      </c>
      <c r="J69" t="s">
        <v>352</v>
      </c>
      <c r="K69" t="s">
        <v>353</v>
      </c>
      <c r="L69" t="s">
        <v>52</v>
      </c>
      <c r="M69">
        <v>570</v>
      </c>
      <c r="N69">
        <v>0</v>
      </c>
      <c r="O69" t="s">
        <v>61</v>
      </c>
      <c r="P69">
        <v>100</v>
      </c>
      <c r="Q69" t="s">
        <v>52</v>
      </c>
      <c r="R69" t="s">
        <v>52</v>
      </c>
      <c r="S69" t="s">
        <v>52</v>
      </c>
      <c r="T69" t="s">
        <v>52</v>
      </c>
      <c r="U69" t="s">
        <v>52</v>
      </c>
      <c r="V69" t="s">
        <v>62</v>
      </c>
      <c r="W69" t="s">
        <v>63</v>
      </c>
      <c r="Y69" t="s">
        <v>52</v>
      </c>
      <c r="AB69" t="s">
        <v>52</v>
      </c>
      <c r="AE69" t="s">
        <v>52</v>
      </c>
      <c r="AF69" t="s">
        <v>52</v>
      </c>
      <c r="AH69">
        <v>0</v>
      </c>
      <c r="AI69">
        <v>0</v>
      </c>
      <c r="AJ69" t="s">
        <v>52</v>
      </c>
      <c r="AK69">
        <v>0</v>
      </c>
      <c r="AL69" t="s">
        <v>52</v>
      </c>
      <c r="AM69" t="s">
        <v>52</v>
      </c>
      <c r="AN69">
        <v>0</v>
      </c>
      <c r="AO69">
        <v>0</v>
      </c>
      <c r="AP69" t="s">
        <v>52</v>
      </c>
      <c r="AQ69" t="s">
        <v>52</v>
      </c>
      <c r="AR69" t="s">
        <v>62</v>
      </c>
      <c r="AS69" t="s">
        <v>52</v>
      </c>
      <c r="AT69" t="s">
        <v>52</v>
      </c>
      <c r="AU69" t="s">
        <v>64</v>
      </c>
      <c r="AV69" t="s">
        <v>62</v>
      </c>
      <c r="AW69" t="s">
        <v>65</v>
      </c>
      <c r="AX69" t="s">
        <v>66</v>
      </c>
      <c r="AY69" t="s">
        <v>67</v>
      </c>
    </row>
    <row r="70" spans="1:51" hidden="1" x14ac:dyDescent="0.25">
      <c r="A70">
        <v>202215</v>
      </c>
      <c r="B70" t="s">
        <v>354</v>
      </c>
      <c r="C70" t="e">
        <f>VLOOKUP(A70,[1]Customer_payment_journal_line!$AL:$BO,30,0)</f>
        <v>#N/A</v>
      </c>
      <c r="D70" t="s">
        <v>53</v>
      </c>
      <c r="E70" t="s">
        <v>350</v>
      </c>
      <c r="F70" t="s">
        <v>351</v>
      </c>
      <c r="G70" t="s">
        <v>238</v>
      </c>
      <c r="H70" t="s">
        <v>69</v>
      </c>
      <c r="I70" t="s">
        <v>355</v>
      </c>
      <c r="J70" t="s">
        <v>352</v>
      </c>
      <c r="K70" t="s">
        <v>353</v>
      </c>
      <c r="L70" t="s">
        <v>52</v>
      </c>
      <c r="M70">
        <v>0</v>
      </c>
      <c r="N70">
        <v>570</v>
      </c>
      <c r="O70" t="s">
        <v>61</v>
      </c>
      <c r="P70">
        <v>100</v>
      </c>
      <c r="Q70" t="s">
        <v>52</v>
      </c>
      <c r="R70" t="s">
        <v>52</v>
      </c>
      <c r="S70" t="s">
        <v>52</v>
      </c>
      <c r="T70" t="s">
        <v>52</v>
      </c>
      <c r="U70" t="s">
        <v>52</v>
      </c>
      <c r="V70" t="s">
        <v>62</v>
      </c>
      <c r="W70" t="s">
        <v>52</v>
      </c>
      <c r="Y70" t="s">
        <v>356</v>
      </c>
      <c r="Z70" t="s">
        <v>62</v>
      </c>
      <c r="AB70" t="s">
        <v>357</v>
      </c>
      <c r="AE70" t="s">
        <v>358</v>
      </c>
      <c r="AF70" t="s">
        <v>52</v>
      </c>
      <c r="AH70">
        <v>0</v>
      </c>
      <c r="AI70">
        <v>0</v>
      </c>
      <c r="AJ70" t="s">
        <v>52</v>
      </c>
      <c r="AK70">
        <v>0</v>
      </c>
      <c r="AL70" t="s">
        <v>52</v>
      </c>
      <c r="AM70" t="s">
        <v>52</v>
      </c>
      <c r="AN70">
        <v>0</v>
      </c>
      <c r="AO70">
        <v>0</v>
      </c>
      <c r="AP70" t="s">
        <v>52</v>
      </c>
      <c r="AQ70" t="s">
        <v>52</v>
      </c>
      <c r="AR70" t="s">
        <v>62</v>
      </c>
      <c r="AS70" t="s">
        <v>52</v>
      </c>
      <c r="AT70" t="s">
        <v>74</v>
      </c>
      <c r="AU70" t="s">
        <v>64</v>
      </c>
      <c r="AV70" t="s">
        <v>62</v>
      </c>
      <c r="AW70" t="s">
        <v>65</v>
      </c>
      <c r="AX70" t="s">
        <v>66</v>
      </c>
      <c r="AY70" t="s">
        <v>67</v>
      </c>
    </row>
    <row r="71" spans="1:51" hidden="1" x14ac:dyDescent="0.25">
      <c r="A71">
        <v>202216</v>
      </c>
      <c r="B71" t="s">
        <v>359</v>
      </c>
      <c r="C71" t="e">
        <f>VLOOKUP(A71,[1]Customer_payment_journal_line!$AL:$BO,30,0)</f>
        <v>#N/A</v>
      </c>
      <c r="D71" t="s">
        <v>53</v>
      </c>
      <c r="E71" t="s">
        <v>360</v>
      </c>
      <c r="F71" t="s">
        <v>361</v>
      </c>
      <c r="G71" t="s">
        <v>238</v>
      </c>
      <c r="H71" t="s">
        <v>57</v>
      </c>
      <c r="I71" t="s">
        <v>319</v>
      </c>
      <c r="J71" t="s">
        <v>352</v>
      </c>
      <c r="K71" t="s">
        <v>362</v>
      </c>
      <c r="L71" t="s">
        <v>52</v>
      </c>
      <c r="M71">
        <v>570</v>
      </c>
      <c r="N71">
        <v>0</v>
      </c>
      <c r="O71" t="s">
        <v>61</v>
      </c>
      <c r="P71">
        <v>100</v>
      </c>
      <c r="Q71" t="s">
        <v>52</v>
      </c>
      <c r="R71" t="s">
        <v>52</v>
      </c>
      <c r="S71" t="s">
        <v>52</v>
      </c>
      <c r="T71" t="s">
        <v>52</v>
      </c>
      <c r="U71" t="s">
        <v>52</v>
      </c>
      <c r="V71" t="s">
        <v>62</v>
      </c>
      <c r="W71" t="s">
        <v>63</v>
      </c>
      <c r="Y71" t="s">
        <v>52</v>
      </c>
      <c r="AB71" t="s">
        <v>52</v>
      </c>
      <c r="AE71" t="s">
        <v>52</v>
      </c>
      <c r="AF71" t="s">
        <v>52</v>
      </c>
      <c r="AH71">
        <v>0</v>
      </c>
      <c r="AI71">
        <v>0</v>
      </c>
      <c r="AJ71" t="s">
        <v>52</v>
      </c>
      <c r="AK71">
        <v>0</v>
      </c>
      <c r="AL71" t="s">
        <v>52</v>
      </c>
      <c r="AM71" t="s">
        <v>52</v>
      </c>
      <c r="AN71">
        <v>0</v>
      </c>
      <c r="AO71">
        <v>0</v>
      </c>
      <c r="AP71" t="s">
        <v>52</v>
      </c>
      <c r="AQ71" t="s">
        <v>52</v>
      </c>
      <c r="AR71" t="s">
        <v>62</v>
      </c>
      <c r="AS71" t="s">
        <v>52</v>
      </c>
      <c r="AT71" t="s">
        <v>52</v>
      </c>
      <c r="AU71" t="s">
        <v>64</v>
      </c>
      <c r="AV71" t="s">
        <v>62</v>
      </c>
      <c r="AW71" t="s">
        <v>65</v>
      </c>
      <c r="AX71" t="s">
        <v>66</v>
      </c>
      <c r="AY71" t="s">
        <v>67</v>
      </c>
    </row>
    <row r="72" spans="1:51" hidden="1" x14ac:dyDescent="0.25">
      <c r="A72">
        <v>202216</v>
      </c>
      <c r="B72" t="s">
        <v>363</v>
      </c>
      <c r="C72" t="e">
        <f>VLOOKUP(A72,[1]Customer_payment_journal_line!$AL:$BO,30,0)</f>
        <v>#N/A</v>
      </c>
      <c r="D72" t="s">
        <v>53</v>
      </c>
      <c r="E72" t="s">
        <v>360</v>
      </c>
      <c r="F72" t="s">
        <v>361</v>
      </c>
      <c r="G72" t="s">
        <v>238</v>
      </c>
      <c r="H72" t="s">
        <v>69</v>
      </c>
      <c r="I72" t="s">
        <v>355</v>
      </c>
      <c r="J72" t="s">
        <v>352</v>
      </c>
      <c r="K72" t="s">
        <v>362</v>
      </c>
      <c r="L72" t="s">
        <v>52</v>
      </c>
      <c r="M72">
        <v>0</v>
      </c>
      <c r="N72">
        <v>570</v>
      </c>
      <c r="O72" t="s">
        <v>61</v>
      </c>
      <c r="P72">
        <v>100</v>
      </c>
      <c r="Q72" t="s">
        <v>52</v>
      </c>
      <c r="R72" t="s">
        <v>52</v>
      </c>
      <c r="S72" t="s">
        <v>52</v>
      </c>
      <c r="T72" t="s">
        <v>52</v>
      </c>
      <c r="U72" t="s">
        <v>52</v>
      </c>
      <c r="V72" t="s">
        <v>62</v>
      </c>
      <c r="W72" t="s">
        <v>52</v>
      </c>
      <c r="Y72" t="s">
        <v>356</v>
      </c>
      <c r="Z72" t="s">
        <v>62</v>
      </c>
      <c r="AB72" t="s">
        <v>364</v>
      </c>
      <c r="AE72" t="s">
        <v>365</v>
      </c>
      <c r="AF72" t="s">
        <v>52</v>
      </c>
      <c r="AH72">
        <v>0</v>
      </c>
      <c r="AI72">
        <v>0</v>
      </c>
      <c r="AJ72" t="s">
        <v>52</v>
      </c>
      <c r="AK72">
        <v>0</v>
      </c>
      <c r="AL72" t="s">
        <v>52</v>
      </c>
      <c r="AM72" t="s">
        <v>52</v>
      </c>
      <c r="AN72">
        <v>0</v>
      </c>
      <c r="AO72">
        <v>0</v>
      </c>
      <c r="AP72" t="s">
        <v>52</v>
      </c>
      <c r="AQ72" t="s">
        <v>52</v>
      </c>
      <c r="AR72" t="s">
        <v>62</v>
      </c>
      <c r="AS72" t="s">
        <v>52</v>
      </c>
      <c r="AT72" t="s">
        <v>74</v>
      </c>
      <c r="AU72" t="s">
        <v>64</v>
      </c>
      <c r="AV72" t="s">
        <v>62</v>
      </c>
      <c r="AW72" t="s">
        <v>65</v>
      </c>
      <c r="AX72" t="s">
        <v>66</v>
      </c>
      <c r="AY72" t="s">
        <v>67</v>
      </c>
    </row>
    <row r="73" spans="1:51" hidden="1" x14ac:dyDescent="0.25">
      <c r="A73">
        <v>202217</v>
      </c>
      <c r="B73" t="s">
        <v>366</v>
      </c>
      <c r="C73" t="e">
        <f>VLOOKUP(A73,[1]Customer_payment_journal_line!$AL:$BO,30,0)</f>
        <v>#N/A</v>
      </c>
      <c r="D73" t="s">
        <v>53</v>
      </c>
      <c r="E73" t="s">
        <v>367</v>
      </c>
      <c r="F73" t="s">
        <v>368</v>
      </c>
      <c r="G73" t="s">
        <v>238</v>
      </c>
      <c r="H73" t="s">
        <v>57</v>
      </c>
      <c r="I73" t="s">
        <v>319</v>
      </c>
      <c r="J73" t="s">
        <v>352</v>
      </c>
      <c r="K73" t="s">
        <v>369</v>
      </c>
      <c r="L73" t="s">
        <v>52</v>
      </c>
      <c r="M73">
        <v>570</v>
      </c>
      <c r="N73">
        <v>0</v>
      </c>
      <c r="O73" t="s">
        <v>61</v>
      </c>
      <c r="P73">
        <v>100</v>
      </c>
      <c r="Q73" t="s">
        <v>52</v>
      </c>
      <c r="R73" t="s">
        <v>52</v>
      </c>
      <c r="S73" t="s">
        <v>52</v>
      </c>
      <c r="T73" t="s">
        <v>52</v>
      </c>
      <c r="U73" t="s">
        <v>52</v>
      </c>
      <c r="V73" t="s">
        <v>62</v>
      </c>
      <c r="W73" t="s">
        <v>63</v>
      </c>
      <c r="Y73" t="s">
        <v>52</v>
      </c>
      <c r="AB73" t="s">
        <v>52</v>
      </c>
      <c r="AE73" t="s">
        <v>52</v>
      </c>
      <c r="AF73" t="s">
        <v>52</v>
      </c>
      <c r="AH73">
        <v>0</v>
      </c>
      <c r="AI73">
        <v>0</v>
      </c>
      <c r="AJ73" t="s">
        <v>52</v>
      </c>
      <c r="AK73">
        <v>0</v>
      </c>
      <c r="AL73" t="s">
        <v>52</v>
      </c>
      <c r="AM73" t="s">
        <v>52</v>
      </c>
      <c r="AN73">
        <v>0</v>
      </c>
      <c r="AO73">
        <v>0</v>
      </c>
      <c r="AP73" t="s">
        <v>52</v>
      </c>
      <c r="AQ73" t="s">
        <v>52</v>
      </c>
      <c r="AR73" t="s">
        <v>62</v>
      </c>
      <c r="AS73" t="s">
        <v>52</v>
      </c>
      <c r="AT73" t="s">
        <v>52</v>
      </c>
      <c r="AU73" t="s">
        <v>64</v>
      </c>
      <c r="AV73" t="s">
        <v>62</v>
      </c>
      <c r="AW73" t="s">
        <v>65</v>
      </c>
      <c r="AX73" t="s">
        <v>66</v>
      </c>
      <c r="AY73" t="s">
        <v>67</v>
      </c>
    </row>
    <row r="74" spans="1:51" hidden="1" x14ac:dyDescent="0.25">
      <c r="A74">
        <v>202217</v>
      </c>
      <c r="B74" t="s">
        <v>370</v>
      </c>
      <c r="C74" t="e">
        <f>VLOOKUP(A74,[1]Customer_payment_journal_line!$AL:$BO,30,0)</f>
        <v>#N/A</v>
      </c>
      <c r="D74" t="s">
        <v>53</v>
      </c>
      <c r="E74" t="s">
        <v>367</v>
      </c>
      <c r="F74" t="s">
        <v>368</v>
      </c>
      <c r="G74" t="s">
        <v>238</v>
      </c>
      <c r="H74" t="s">
        <v>69</v>
      </c>
      <c r="I74" t="s">
        <v>355</v>
      </c>
      <c r="J74" t="s">
        <v>352</v>
      </c>
      <c r="K74" t="s">
        <v>369</v>
      </c>
      <c r="L74" t="s">
        <v>52</v>
      </c>
      <c r="M74">
        <v>0</v>
      </c>
      <c r="N74">
        <v>570</v>
      </c>
      <c r="O74" t="s">
        <v>61</v>
      </c>
      <c r="P74">
        <v>100</v>
      </c>
      <c r="Q74" t="s">
        <v>52</v>
      </c>
      <c r="R74" t="s">
        <v>52</v>
      </c>
      <c r="S74" t="s">
        <v>52</v>
      </c>
      <c r="T74" t="s">
        <v>52</v>
      </c>
      <c r="U74" t="s">
        <v>52</v>
      </c>
      <c r="V74" t="s">
        <v>62</v>
      </c>
      <c r="W74" t="s">
        <v>52</v>
      </c>
      <c r="Y74" t="s">
        <v>356</v>
      </c>
      <c r="Z74" t="s">
        <v>62</v>
      </c>
      <c r="AB74" t="s">
        <v>371</v>
      </c>
      <c r="AE74" t="s">
        <v>372</v>
      </c>
      <c r="AF74" t="s">
        <v>52</v>
      </c>
      <c r="AH74">
        <v>0</v>
      </c>
      <c r="AI74">
        <v>0</v>
      </c>
      <c r="AJ74" t="s">
        <v>52</v>
      </c>
      <c r="AK74">
        <v>0</v>
      </c>
      <c r="AL74" t="s">
        <v>52</v>
      </c>
      <c r="AM74" t="s">
        <v>52</v>
      </c>
      <c r="AN74">
        <v>0</v>
      </c>
      <c r="AO74">
        <v>0</v>
      </c>
      <c r="AP74" t="s">
        <v>52</v>
      </c>
      <c r="AQ74" t="s">
        <v>52</v>
      </c>
      <c r="AR74" t="s">
        <v>62</v>
      </c>
      <c r="AS74" t="s">
        <v>52</v>
      </c>
      <c r="AT74" t="s">
        <v>74</v>
      </c>
      <c r="AU74" t="s">
        <v>64</v>
      </c>
      <c r="AV74" t="s">
        <v>62</v>
      </c>
      <c r="AW74" t="s">
        <v>65</v>
      </c>
      <c r="AX74" t="s">
        <v>66</v>
      </c>
      <c r="AY74" t="s">
        <v>67</v>
      </c>
    </row>
    <row r="75" spans="1:51" hidden="1" x14ac:dyDescent="0.25">
      <c r="A75">
        <v>405946</v>
      </c>
      <c r="B75" t="s">
        <v>373</v>
      </c>
      <c r="C75" t="e">
        <f>VLOOKUP(A75,[1]Customer_payment_journal_line!$AL:$BO,30,0)</f>
        <v>#N/A</v>
      </c>
      <c r="D75" t="s">
        <v>53</v>
      </c>
      <c r="E75" t="s">
        <v>374</v>
      </c>
      <c r="F75" t="s">
        <v>375</v>
      </c>
      <c r="G75" t="s">
        <v>238</v>
      </c>
      <c r="H75" t="s">
        <v>57</v>
      </c>
      <c r="I75" t="s">
        <v>58</v>
      </c>
      <c r="J75" t="s">
        <v>376</v>
      </c>
      <c r="K75" t="s">
        <v>377</v>
      </c>
      <c r="L75" t="s">
        <v>52</v>
      </c>
      <c r="M75">
        <v>1083</v>
      </c>
      <c r="N75">
        <v>0</v>
      </c>
      <c r="O75" t="s">
        <v>61</v>
      </c>
      <c r="P75">
        <v>100</v>
      </c>
      <c r="Q75" t="s">
        <v>52</v>
      </c>
      <c r="R75" t="s">
        <v>52</v>
      </c>
      <c r="S75" t="s">
        <v>52</v>
      </c>
      <c r="T75" t="s">
        <v>52</v>
      </c>
      <c r="U75" t="s">
        <v>52</v>
      </c>
      <c r="V75" t="s">
        <v>62</v>
      </c>
      <c r="W75" t="s">
        <v>63</v>
      </c>
      <c r="Y75" t="s">
        <v>52</v>
      </c>
      <c r="AB75" t="s">
        <v>52</v>
      </c>
      <c r="AE75" t="s">
        <v>52</v>
      </c>
      <c r="AF75" t="s">
        <v>52</v>
      </c>
      <c r="AH75">
        <v>0</v>
      </c>
      <c r="AI75">
        <v>0</v>
      </c>
      <c r="AJ75" t="s">
        <v>52</v>
      </c>
      <c r="AK75">
        <v>0</v>
      </c>
      <c r="AL75" t="s">
        <v>52</v>
      </c>
      <c r="AM75" t="s">
        <v>52</v>
      </c>
      <c r="AN75">
        <v>0</v>
      </c>
      <c r="AO75">
        <v>0</v>
      </c>
      <c r="AP75" t="s">
        <v>52</v>
      </c>
      <c r="AQ75" t="s">
        <v>52</v>
      </c>
      <c r="AR75" t="s">
        <v>62</v>
      </c>
      <c r="AS75" t="s">
        <v>52</v>
      </c>
      <c r="AT75" t="s">
        <v>52</v>
      </c>
      <c r="AU75" t="s">
        <v>64</v>
      </c>
      <c r="AV75" t="s">
        <v>62</v>
      </c>
      <c r="AW75" t="s">
        <v>65</v>
      </c>
      <c r="AX75" t="s">
        <v>66</v>
      </c>
      <c r="AY75" t="s">
        <v>67</v>
      </c>
    </row>
    <row r="76" spans="1:51" hidden="1" x14ac:dyDescent="0.25">
      <c r="A76">
        <v>405946</v>
      </c>
      <c r="B76" t="s">
        <v>378</v>
      </c>
      <c r="C76" t="e">
        <f>VLOOKUP(A76,[1]Customer_payment_journal_line!$AL:$BO,30,0)</f>
        <v>#N/A</v>
      </c>
      <c r="D76" t="s">
        <v>53</v>
      </c>
      <c r="E76" t="s">
        <v>374</v>
      </c>
      <c r="F76" t="s">
        <v>375</v>
      </c>
      <c r="G76" t="s">
        <v>238</v>
      </c>
      <c r="H76" t="s">
        <v>69</v>
      </c>
      <c r="I76" t="s">
        <v>379</v>
      </c>
      <c r="J76" t="s">
        <v>376</v>
      </c>
      <c r="K76" t="s">
        <v>377</v>
      </c>
      <c r="L76" t="s">
        <v>52</v>
      </c>
      <c r="M76">
        <v>0</v>
      </c>
      <c r="N76">
        <v>1083</v>
      </c>
      <c r="O76" t="s">
        <v>61</v>
      </c>
      <c r="P76">
        <v>100</v>
      </c>
      <c r="Q76" t="s">
        <v>52</v>
      </c>
      <c r="R76" t="s">
        <v>52</v>
      </c>
      <c r="S76" t="s">
        <v>52</v>
      </c>
      <c r="T76" t="s">
        <v>52</v>
      </c>
      <c r="U76" t="s">
        <v>52</v>
      </c>
      <c r="V76" t="s">
        <v>62</v>
      </c>
      <c r="W76" t="s">
        <v>52</v>
      </c>
      <c r="Y76" t="s">
        <v>380</v>
      </c>
      <c r="Z76" t="s">
        <v>62</v>
      </c>
      <c r="AB76" t="s">
        <v>381</v>
      </c>
      <c r="AE76" t="s">
        <v>382</v>
      </c>
      <c r="AF76" t="s">
        <v>52</v>
      </c>
      <c r="AH76">
        <v>0</v>
      </c>
      <c r="AI76">
        <v>0</v>
      </c>
      <c r="AJ76" t="s">
        <v>52</v>
      </c>
      <c r="AK76">
        <v>0</v>
      </c>
      <c r="AL76" t="s">
        <v>52</v>
      </c>
      <c r="AM76" t="s">
        <v>52</v>
      </c>
      <c r="AN76">
        <v>0</v>
      </c>
      <c r="AO76">
        <v>0</v>
      </c>
      <c r="AP76" t="s">
        <v>52</v>
      </c>
      <c r="AQ76" t="s">
        <v>52</v>
      </c>
      <c r="AR76" t="s">
        <v>62</v>
      </c>
      <c r="AS76" t="s">
        <v>52</v>
      </c>
      <c r="AT76" t="s">
        <v>74</v>
      </c>
      <c r="AU76" t="s">
        <v>64</v>
      </c>
      <c r="AV76" t="s">
        <v>62</v>
      </c>
      <c r="AW76" t="s">
        <v>65</v>
      </c>
      <c r="AX76" t="s">
        <v>66</v>
      </c>
      <c r="AY76" t="s">
        <v>67</v>
      </c>
    </row>
    <row r="77" spans="1:51" hidden="1" x14ac:dyDescent="0.25">
      <c r="A77">
        <v>405947</v>
      </c>
      <c r="B77" t="s">
        <v>383</v>
      </c>
      <c r="C77" t="e">
        <f>VLOOKUP(A77,[1]Customer_payment_journal_line!$AL:$BO,30,0)</f>
        <v>#N/A</v>
      </c>
      <c r="D77" t="s">
        <v>53</v>
      </c>
      <c r="E77" t="s">
        <v>384</v>
      </c>
      <c r="F77" t="s">
        <v>385</v>
      </c>
      <c r="G77" t="s">
        <v>238</v>
      </c>
      <c r="H77" t="s">
        <v>57</v>
      </c>
      <c r="I77" t="s">
        <v>58</v>
      </c>
      <c r="J77" t="s">
        <v>376</v>
      </c>
      <c r="K77" t="s">
        <v>377</v>
      </c>
      <c r="L77" t="s">
        <v>52</v>
      </c>
      <c r="M77">
        <v>855</v>
      </c>
      <c r="N77">
        <v>0</v>
      </c>
      <c r="O77" t="s">
        <v>61</v>
      </c>
      <c r="P77">
        <v>100</v>
      </c>
      <c r="Q77" t="s">
        <v>52</v>
      </c>
      <c r="R77" t="s">
        <v>52</v>
      </c>
      <c r="S77" t="s">
        <v>52</v>
      </c>
      <c r="T77" t="s">
        <v>52</v>
      </c>
      <c r="U77" t="s">
        <v>52</v>
      </c>
      <c r="V77" t="s">
        <v>62</v>
      </c>
      <c r="W77" t="s">
        <v>63</v>
      </c>
      <c r="Y77" t="s">
        <v>52</v>
      </c>
      <c r="AB77" t="s">
        <v>52</v>
      </c>
      <c r="AE77" t="s">
        <v>52</v>
      </c>
      <c r="AF77" t="s">
        <v>52</v>
      </c>
      <c r="AH77">
        <v>0</v>
      </c>
      <c r="AI77">
        <v>0</v>
      </c>
      <c r="AJ77" t="s">
        <v>52</v>
      </c>
      <c r="AK77">
        <v>0</v>
      </c>
      <c r="AL77" t="s">
        <v>52</v>
      </c>
      <c r="AM77" t="s">
        <v>52</v>
      </c>
      <c r="AN77">
        <v>0</v>
      </c>
      <c r="AO77">
        <v>0</v>
      </c>
      <c r="AP77" t="s">
        <v>52</v>
      </c>
      <c r="AQ77" t="s">
        <v>52</v>
      </c>
      <c r="AR77" t="s">
        <v>62</v>
      </c>
      <c r="AS77" t="s">
        <v>52</v>
      </c>
      <c r="AT77" t="s">
        <v>52</v>
      </c>
      <c r="AU77" t="s">
        <v>64</v>
      </c>
      <c r="AV77" t="s">
        <v>62</v>
      </c>
      <c r="AW77" t="s">
        <v>65</v>
      </c>
      <c r="AX77" t="s">
        <v>66</v>
      </c>
      <c r="AY77" t="s">
        <v>67</v>
      </c>
    </row>
    <row r="78" spans="1:51" hidden="1" x14ac:dyDescent="0.25">
      <c r="A78">
        <v>405947</v>
      </c>
      <c r="B78" t="s">
        <v>386</v>
      </c>
      <c r="C78" t="e">
        <f>VLOOKUP(A78,[1]Customer_payment_journal_line!$AL:$BO,30,0)</f>
        <v>#N/A</v>
      </c>
      <c r="D78" t="s">
        <v>53</v>
      </c>
      <c r="E78" t="s">
        <v>384</v>
      </c>
      <c r="F78" t="s">
        <v>385</v>
      </c>
      <c r="G78" t="s">
        <v>238</v>
      </c>
      <c r="H78" t="s">
        <v>69</v>
      </c>
      <c r="I78" t="s">
        <v>379</v>
      </c>
      <c r="J78" t="s">
        <v>376</v>
      </c>
      <c r="K78" t="s">
        <v>377</v>
      </c>
      <c r="L78" t="s">
        <v>52</v>
      </c>
      <c r="M78">
        <v>0</v>
      </c>
      <c r="N78">
        <v>855</v>
      </c>
      <c r="O78" t="s">
        <v>61</v>
      </c>
      <c r="P78">
        <v>100</v>
      </c>
      <c r="Q78" t="s">
        <v>52</v>
      </c>
      <c r="R78" t="s">
        <v>52</v>
      </c>
      <c r="S78" t="s">
        <v>52</v>
      </c>
      <c r="T78" t="s">
        <v>52</v>
      </c>
      <c r="U78" t="s">
        <v>52</v>
      </c>
      <c r="V78" t="s">
        <v>62</v>
      </c>
      <c r="W78" t="s">
        <v>52</v>
      </c>
      <c r="Y78" t="s">
        <v>380</v>
      </c>
      <c r="Z78" t="s">
        <v>62</v>
      </c>
      <c r="AB78" t="s">
        <v>387</v>
      </c>
      <c r="AE78" t="s">
        <v>388</v>
      </c>
      <c r="AF78" t="s">
        <v>52</v>
      </c>
      <c r="AH78">
        <v>0</v>
      </c>
      <c r="AI78">
        <v>0</v>
      </c>
      <c r="AJ78" t="s">
        <v>52</v>
      </c>
      <c r="AK78">
        <v>0</v>
      </c>
      <c r="AL78" t="s">
        <v>52</v>
      </c>
      <c r="AM78" t="s">
        <v>52</v>
      </c>
      <c r="AN78">
        <v>0</v>
      </c>
      <c r="AO78">
        <v>0</v>
      </c>
      <c r="AP78" t="s">
        <v>52</v>
      </c>
      <c r="AQ78" t="s">
        <v>52</v>
      </c>
      <c r="AR78" t="s">
        <v>62</v>
      </c>
      <c r="AS78" t="s">
        <v>52</v>
      </c>
      <c r="AT78" t="s">
        <v>74</v>
      </c>
      <c r="AU78" t="s">
        <v>64</v>
      </c>
      <c r="AV78" t="s">
        <v>62</v>
      </c>
      <c r="AW78" t="s">
        <v>65</v>
      </c>
      <c r="AX78" t="s">
        <v>66</v>
      </c>
      <c r="AY78" t="s">
        <v>67</v>
      </c>
    </row>
    <row r="79" spans="1:51" hidden="1" x14ac:dyDescent="0.25">
      <c r="A79">
        <v>202220</v>
      </c>
      <c r="B79" t="s">
        <v>389</v>
      </c>
      <c r="C79" t="e">
        <f>VLOOKUP(A79,[1]Customer_payment_journal_line!$AL:$BO,30,0)</f>
        <v>#N/A</v>
      </c>
      <c r="D79" t="s">
        <v>53</v>
      </c>
      <c r="E79" t="s">
        <v>390</v>
      </c>
      <c r="F79" t="s">
        <v>391</v>
      </c>
      <c r="G79" t="s">
        <v>238</v>
      </c>
      <c r="H79" t="s">
        <v>57</v>
      </c>
      <c r="I79" t="s">
        <v>319</v>
      </c>
      <c r="J79" t="s">
        <v>392</v>
      </c>
      <c r="K79" t="s">
        <v>393</v>
      </c>
      <c r="L79" t="s">
        <v>52</v>
      </c>
      <c r="M79">
        <v>1778.4</v>
      </c>
      <c r="N79">
        <v>0</v>
      </c>
      <c r="O79" t="s">
        <v>61</v>
      </c>
      <c r="P79">
        <v>100</v>
      </c>
      <c r="Q79" t="s">
        <v>52</v>
      </c>
      <c r="R79" t="s">
        <v>52</v>
      </c>
      <c r="S79" t="s">
        <v>52</v>
      </c>
      <c r="T79" t="s">
        <v>52</v>
      </c>
      <c r="U79" t="s">
        <v>52</v>
      </c>
      <c r="V79" t="s">
        <v>62</v>
      </c>
      <c r="W79" t="s">
        <v>63</v>
      </c>
      <c r="Y79" t="s">
        <v>52</v>
      </c>
      <c r="AB79" t="s">
        <v>52</v>
      </c>
      <c r="AE79" t="s">
        <v>52</v>
      </c>
      <c r="AF79" t="s">
        <v>52</v>
      </c>
      <c r="AH79">
        <v>0</v>
      </c>
      <c r="AI79">
        <v>0</v>
      </c>
      <c r="AJ79" t="s">
        <v>52</v>
      </c>
      <c r="AK79">
        <v>0</v>
      </c>
      <c r="AL79" t="s">
        <v>52</v>
      </c>
      <c r="AM79" t="s">
        <v>52</v>
      </c>
      <c r="AN79">
        <v>0</v>
      </c>
      <c r="AO79">
        <v>0</v>
      </c>
      <c r="AP79" t="s">
        <v>52</v>
      </c>
      <c r="AQ79" t="s">
        <v>52</v>
      </c>
      <c r="AR79" t="s">
        <v>62</v>
      </c>
      <c r="AS79" t="s">
        <v>52</v>
      </c>
      <c r="AT79" t="s">
        <v>52</v>
      </c>
      <c r="AU79" t="s">
        <v>64</v>
      </c>
      <c r="AV79" t="s">
        <v>62</v>
      </c>
      <c r="AW79" t="s">
        <v>65</v>
      </c>
      <c r="AX79" t="s">
        <v>66</v>
      </c>
      <c r="AY79" t="s">
        <v>67</v>
      </c>
    </row>
    <row r="80" spans="1:51" hidden="1" x14ac:dyDescent="0.25">
      <c r="A80">
        <v>202220</v>
      </c>
      <c r="B80" t="s">
        <v>394</v>
      </c>
      <c r="C80" t="e">
        <f>VLOOKUP(A80,[1]Customer_payment_journal_line!$AL:$BO,30,0)</f>
        <v>#N/A</v>
      </c>
      <c r="D80" t="s">
        <v>53</v>
      </c>
      <c r="E80" t="s">
        <v>390</v>
      </c>
      <c r="F80" t="s">
        <v>391</v>
      </c>
      <c r="G80" t="s">
        <v>238</v>
      </c>
      <c r="H80" t="s">
        <v>69</v>
      </c>
      <c r="I80" t="s">
        <v>395</v>
      </c>
      <c r="J80" t="s">
        <v>392</v>
      </c>
      <c r="K80" t="s">
        <v>393</v>
      </c>
      <c r="L80" t="s">
        <v>52</v>
      </c>
      <c r="M80">
        <v>0</v>
      </c>
      <c r="N80">
        <v>1778.4</v>
      </c>
      <c r="O80" t="s">
        <v>61</v>
      </c>
      <c r="P80">
        <v>100</v>
      </c>
      <c r="Q80" t="s">
        <v>52</v>
      </c>
      <c r="R80" t="s">
        <v>52</v>
      </c>
      <c r="S80" t="s">
        <v>52</v>
      </c>
      <c r="T80" t="s">
        <v>52</v>
      </c>
      <c r="U80" t="s">
        <v>52</v>
      </c>
      <c r="V80" t="s">
        <v>62</v>
      </c>
      <c r="W80" t="s">
        <v>52</v>
      </c>
      <c r="Y80" t="s">
        <v>396</v>
      </c>
      <c r="Z80" t="s">
        <v>62</v>
      </c>
      <c r="AB80" t="s">
        <v>397</v>
      </c>
      <c r="AE80" t="s">
        <v>398</v>
      </c>
      <c r="AF80" t="s">
        <v>52</v>
      </c>
      <c r="AH80">
        <v>0</v>
      </c>
      <c r="AI80">
        <v>0</v>
      </c>
      <c r="AJ80" t="s">
        <v>52</v>
      </c>
      <c r="AK80">
        <v>0</v>
      </c>
      <c r="AL80" t="s">
        <v>52</v>
      </c>
      <c r="AM80" t="s">
        <v>52</v>
      </c>
      <c r="AN80">
        <v>0</v>
      </c>
      <c r="AO80">
        <v>0</v>
      </c>
      <c r="AP80" t="s">
        <v>52</v>
      </c>
      <c r="AQ80" t="s">
        <v>52</v>
      </c>
      <c r="AR80" t="s">
        <v>62</v>
      </c>
      <c r="AS80" t="s">
        <v>52</v>
      </c>
      <c r="AT80" t="s">
        <v>74</v>
      </c>
      <c r="AU80" t="s">
        <v>64</v>
      </c>
      <c r="AV80" t="s">
        <v>62</v>
      </c>
      <c r="AW80" t="s">
        <v>65</v>
      </c>
      <c r="AX80" t="s">
        <v>66</v>
      </c>
      <c r="AY80" t="s">
        <v>67</v>
      </c>
    </row>
    <row r="81" spans="1:51" hidden="1" x14ac:dyDescent="0.25">
      <c r="A81">
        <v>202221</v>
      </c>
      <c r="B81" t="s">
        <v>399</v>
      </c>
      <c r="C81" t="e">
        <f>VLOOKUP(A81,[1]Customer_payment_journal_line!$AL:$BO,30,0)</f>
        <v>#N/A</v>
      </c>
      <c r="D81" t="s">
        <v>53</v>
      </c>
      <c r="E81" t="s">
        <v>400</v>
      </c>
      <c r="F81" t="s">
        <v>401</v>
      </c>
      <c r="G81" t="s">
        <v>238</v>
      </c>
      <c r="H81" t="s">
        <v>57</v>
      </c>
      <c r="I81" t="s">
        <v>319</v>
      </c>
      <c r="J81" t="s">
        <v>392</v>
      </c>
      <c r="K81" t="s">
        <v>393</v>
      </c>
      <c r="L81" t="s">
        <v>52</v>
      </c>
      <c r="M81">
        <v>855</v>
      </c>
      <c r="N81">
        <v>0</v>
      </c>
      <c r="O81" t="s">
        <v>61</v>
      </c>
      <c r="P81">
        <v>100</v>
      </c>
      <c r="Q81" t="s">
        <v>52</v>
      </c>
      <c r="R81" t="s">
        <v>52</v>
      </c>
      <c r="S81" t="s">
        <v>52</v>
      </c>
      <c r="T81" t="s">
        <v>52</v>
      </c>
      <c r="U81" t="s">
        <v>52</v>
      </c>
      <c r="V81" t="s">
        <v>62</v>
      </c>
      <c r="W81" t="s">
        <v>63</v>
      </c>
      <c r="Y81" t="s">
        <v>52</v>
      </c>
      <c r="AB81" t="s">
        <v>52</v>
      </c>
      <c r="AE81" t="s">
        <v>52</v>
      </c>
      <c r="AF81" t="s">
        <v>52</v>
      </c>
      <c r="AH81">
        <v>0</v>
      </c>
      <c r="AI81">
        <v>0</v>
      </c>
      <c r="AJ81" t="s">
        <v>52</v>
      </c>
      <c r="AK81">
        <v>0</v>
      </c>
      <c r="AL81" t="s">
        <v>52</v>
      </c>
      <c r="AM81" t="s">
        <v>52</v>
      </c>
      <c r="AN81">
        <v>0</v>
      </c>
      <c r="AO81">
        <v>0</v>
      </c>
      <c r="AP81" t="s">
        <v>52</v>
      </c>
      <c r="AQ81" t="s">
        <v>52</v>
      </c>
      <c r="AR81" t="s">
        <v>62</v>
      </c>
      <c r="AS81" t="s">
        <v>52</v>
      </c>
      <c r="AT81" t="s">
        <v>52</v>
      </c>
      <c r="AU81" t="s">
        <v>64</v>
      </c>
      <c r="AV81" t="s">
        <v>62</v>
      </c>
      <c r="AW81" t="s">
        <v>65</v>
      </c>
      <c r="AX81" t="s">
        <v>66</v>
      </c>
      <c r="AY81" t="s">
        <v>67</v>
      </c>
    </row>
    <row r="82" spans="1:51" hidden="1" x14ac:dyDescent="0.25">
      <c r="A82">
        <v>202221</v>
      </c>
      <c r="B82" t="s">
        <v>402</v>
      </c>
      <c r="C82" t="e">
        <f>VLOOKUP(A82,[1]Customer_payment_journal_line!$AL:$BO,30,0)</f>
        <v>#N/A</v>
      </c>
      <c r="D82" t="s">
        <v>53</v>
      </c>
      <c r="E82" t="s">
        <v>400</v>
      </c>
      <c r="F82" t="s">
        <v>401</v>
      </c>
      <c r="G82" t="s">
        <v>238</v>
      </c>
      <c r="H82" t="s">
        <v>69</v>
      </c>
      <c r="I82" t="s">
        <v>395</v>
      </c>
      <c r="J82" t="s">
        <v>392</v>
      </c>
      <c r="K82" t="s">
        <v>393</v>
      </c>
      <c r="L82" t="s">
        <v>52</v>
      </c>
      <c r="M82">
        <v>0</v>
      </c>
      <c r="N82">
        <v>855</v>
      </c>
      <c r="O82" t="s">
        <v>61</v>
      </c>
      <c r="P82">
        <v>100</v>
      </c>
      <c r="Q82" t="s">
        <v>52</v>
      </c>
      <c r="R82" t="s">
        <v>52</v>
      </c>
      <c r="S82" t="s">
        <v>52</v>
      </c>
      <c r="T82" t="s">
        <v>52</v>
      </c>
      <c r="U82" t="s">
        <v>52</v>
      </c>
      <c r="V82" t="s">
        <v>62</v>
      </c>
      <c r="W82" t="s">
        <v>52</v>
      </c>
      <c r="Y82" t="s">
        <v>396</v>
      </c>
      <c r="Z82" t="s">
        <v>62</v>
      </c>
      <c r="AB82" t="s">
        <v>403</v>
      </c>
      <c r="AE82" t="s">
        <v>404</v>
      </c>
      <c r="AF82" t="s">
        <v>52</v>
      </c>
      <c r="AH82">
        <v>0</v>
      </c>
      <c r="AI82">
        <v>0</v>
      </c>
      <c r="AJ82" t="s">
        <v>52</v>
      </c>
      <c r="AK82">
        <v>0</v>
      </c>
      <c r="AL82" t="s">
        <v>52</v>
      </c>
      <c r="AM82" t="s">
        <v>52</v>
      </c>
      <c r="AN82">
        <v>0</v>
      </c>
      <c r="AO82">
        <v>0</v>
      </c>
      <c r="AP82" t="s">
        <v>52</v>
      </c>
      <c r="AQ82" t="s">
        <v>52</v>
      </c>
      <c r="AR82" t="s">
        <v>62</v>
      </c>
      <c r="AS82" t="s">
        <v>52</v>
      </c>
      <c r="AT82" t="s">
        <v>74</v>
      </c>
      <c r="AU82" t="s">
        <v>64</v>
      </c>
      <c r="AV82" t="s">
        <v>62</v>
      </c>
      <c r="AW82" t="s">
        <v>65</v>
      </c>
      <c r="AX82" t="s">
        <v>66</v>
      </c>
      <c r="AY82" t="s">
        <v>67</v>
      </c>
    </row>
    <row r="83" spans="1:51" hidden="1" x14ac:dyDescent="0.25">
      <c r="A83">
        <v>202222</v>
      </c>
      <c r="B83" t="s">
        <v>405</v>
      </c>
      <c r="C83" t="e">
        <f>VLOOKUP(A83,[1]Customer_payment_journal_line!$AL:$BO,30,0)</f>
        <v>#N/A</v>
      </c>
      <c r="D83" t="s">
        <v>53</v>
      </c>
      <c r="E83" t="s">
        <v>406</v>
      </c>
      <c r="F83" t="s">
        <v>407</v>
      </c>
      <c r="G83" t="s">
        <v>238</v>
      </c>
      <c r="H83" t="s">
        <v>57</v>
      </c>
      <c r="I83" t="s">
        <v>319</v>
      </c>
      <c r="J83" t="s">
        <v>392</v>
      </c>
      <c r="K83" t="s">
        <v>408</v>
      </c>
      <c r="L83" t="s">
        <v>52</v>
      </c>
      <c r="M83">
        <v>1778.4</v>
      </c>
      <c r="N83">
        <v>0</v>
      </c>
      <c r="O83" t="s">
        <v>61</v>
      </c>
      <c r="P83">
        <v>100</v>
      </c>
      <c r="Q83" t="s">
        <v>52</v>
      </c>
      <c r="R83" t="s">
        <v>52</v>
      </c>
      <c r="S83" t="s">
        <v>52</v>
      </c>
      <c r="T83" t="s">
        <v>52</v>
      </c>
      <c r="U83" t="s">
        <v>52</v>
      </c>
      <c r="V83" t="s">
        <v>62</v>
      </c>
      <c r="W83" t="s">
        <v>63</v>
      </c>
      <c r="Y83" t="s">
        <v>52</v>
      </c>
      <c r="AB83" t="s">
        <v>52</v>
      </c>
      <c r="AE83" t="s">
        <v>52</v>
      </c>
      <c r="AF83" t="s">
        <v>52</v>
      </c>
      <c r="AH83">
        <v>0</v>
      </c>
      <c r="AI83">
        <v>0</v>
      </c>
      <c r="AJ83" t="s">
        <v>52</v>
      </c>
      <c r="AK83">
        <v>0</v>
      </c>
      <c r="AL83" t="s">
        <v>52</v>
      </c>
      <c r="AM83" t="s">
        <v>52</v>
      </c>
      <c r="AN83">
        <v>0</v>
      </c>
      <c r="AO83">
        <v>0</v>
      </c>
      <c r="AP83" t="s">
        <v>52</v>
      </c>
      <c r="AQ83" t="s">
        <v>52</v>
      </c>
      <c r="AR83" t="s">
        <v>62</v>
      </c>
      <c r="AS83" t="s">
        <v>52</v>
      </c>
      <c r="AT83" t="s">
        <v>52</v>
      </c>
      <c r="AU83" t="s">
        <v>64</v>
      </c>
      <c r="AV83" t="s">
        <v>62</v>
      </c>
      <c r="AW83" t="s">
        <v>65</v>
      </c>
      <c r="AX83" t="s">
        <v>66</v>
      </c>
      <c r="AY83" t="s">
        <v>67</v>
      </c>
    </row>
    <row r="84" spans="1:51" hidden="1" x14ac:dyDescent="0.25">
      <c r="A84">
        <v>202222</v>
      </c>
      <c r="B84" t="s">
        <v>409</v>
      </c>
      <c r="C84" t="e">
        <f>VLOOKUP(A84,[1]Customer_payment_journal_line!$AL:$BO,30,0)</f>
        <v>#N/A</v>
      </c>
      <c r="D84" t="s">
        <v>53</v>
      </c>
      <c r="E84" t="s">
        <v>406</v>
      </c>
      <c r="F84" t="s">
        <v>407</v>
      </c>
      <c r="G84" t="s">
        <v>238</v>
      </c>
      <c r="H84" t="s">
        <v>69</v>
      </c>
      <c r="I84" t="s">
        <v>395</v>
      </c>
      <c r="J84" t="s">
        <v>392</v>
      </c>
      <c r="K84" t="s">
        <v>408</v>
      </c>
      <c r="L84" t="s">
        <v>52</v>
      </c>
      <c r="M84">
        <v>0</v>
      </c>
      <c r="N84">
        <v>1778.4</v>
      </c>
      <c r="O84" t="s">
        <v>61</v>
      </c>
      <c r="P84">
        <v>100</v>
      </c>
      <c r="Q84" t="s">
        <v>52</v>
      </c>
      <c r="R84" t="s">
        <v>52</v>
      </c>
      <c r="S84" t="s">
        <v>52</v>
      </c>
      <c r="T84" t="s">
        <v>52</v>
      </c>
      <c r="U84" t="s">
        <v>52</v>
      </c>
      <c r="V84" t="s">
        <v>62</v>
      </c>
      <c r="W84" t="s">
        <v>52</v>
      </c>
      <c r="Y84" t="s">
        <v>396</v>
      </c>
      <c r="Z84" t="s">
        <v>62</v>
      </c>
      <c r="AB84" t="s">
        <v>410</v>
      </c>
      <c r="AE84" t="s">
        <v>411</v>
      </c>
      <c r="AF84" t="s">
        <v>52</v>
      </c>
      <c r="AH84">
        <v>0</v>
      </c>
      <c r="AI84">
        <v>0</v>
      </c>
      <c r="AJ84" t="s">
        <v>52</v>
      </c>
      <c r="AK84">
        <v>0</v>
      </c>
      <c r="AL84" t="s">
        <v>52</v>
      </c>
      <c r="AM84" t="s">
        <v>52</v>
      </c>
      <c r="AN84">
        <v>0</v>
      </c>
      <c r="AO84">
        <v>0</v>
      </c>
      <c r="AP84" t="s">
        <v>52</v>
      </c>
      <c r="AQ84" t="s">
        <v>52</v>
      </c>
      <c r="AR84" t="s">
        <v>62</v>
      </c>
      <c r="AS84" t="s">
        <v>52</v>
      </c>
      <c r="AT84" t="s">
        <v>74</v>
      </c>
      <c r="AU84" t="s">
        <v>64</v>
      </c>
      <c r="AV84" t="s">
        <v>62</v>
      </c>
      <c r="AW84" t="s">
        <v>65</v>
      </c>
      <c r="AX84" t="s">
        <v>66</v>
      </c>
      <c r="AY84" t="s">
        <v>67</v>
      </c>
    </row>
    <row r="85" spans="1:51" hidden="1" x14ac:dyDescent="0.25">
      <c r="A85">
        <v>202223</v>
      </c>
      <c r="B85" t="s">
        <v>412</v>
      </c>
      <c r="C85" t="e">
        <f>VLOOKUP(A85,[1]Customer_payment_journal_line!$AL:$BO,30,0)</f>
        <v>#N/A</v>
      </c>
      <c r="D85" t="s">
        <v>53</v>
      </c>
      <c r="E85" t="s">
        <v>413</v>
      </c>
      <c r="F85" t="s">
        <v>414</v>
      </c>
      <c r="G85" t="s">
        <v>238</v>
      </c>
      <c r="H85" t="s">
        <v>57</v>
      </c>
      <c r="I85" t="s">
        <v>319</v>
      </c>
      <c r="J85" t="s">
        <v>392</v>
      </c>
      <c r="K85" t="s">
        <v>408</v>
      </c>
      <c r="L85" t="s">
        <v>52</v>
      </c>
      <c r="M85">
        <v>855</v>
      </c>
      <c r="N85">
        <v>0</v>
      </c>
      <c r="O85" t="s">
        <v>61</v>
      </c>
      <c r="P85">
        <v>100</v>
      </c>
      <c r="Q85" t="s">
        <v>52</v>
      </c>
      <c r="R85" t="s">
        <v>52</v>
      </c>
      <c r="S85" t="s">
        <v>52</v>
      </c>
      <c r="T85" t="s">
        <v>52</v>
      </c>
      <c r="U85" t="s">
        <v>52</v>
      </c>
      <c r="V85" t="s">
        <v>62</v>
      </c>
      <c r="W85" t="s">
        <v>63</v>
      </c>
      <c r="Y85" t="s">
        <v>52</v>
      </c>
      <c r="AB85" t="s">
        <v>52</v>
      </c>
      <c r="AE85" t="s">
        <v>52</v>
      </c>
      <c r="AF85" t="s">
        <v>52</v>
      </c>
      <c r="AH85">
        <v>0</v>
      </c>
      <c r="AI85">
        <v>0</v>
      </c>
      <c r="AJ85" t="s">
        <v>52</v>
      </c>
      <c r="AK85">
        <v>0</v>
      </c>
      <c r="AL85" t="s">
        <v>52</v>
      </c>
      <c r="AM85" t="s">
        <v>52</v>
      </c>
      <c r="AN85">
        <v>0</v>
      </c>
      <c r="AO85">
        <v>0</v>
      </c>
      <c r="AP85" t="s">
        <v>52</v>
      </c>
      <c r="AQ85" t="s">
        <v>52</v>
      </c>
      <c r="AR85" t="s">
        <v>62</v>
      </c>
      <c r="AS85" t="s">
        <v>52</v>
      </c>
      <c r="AT85" t="s">
        <v>52</v>
      </c>
      <c r="AU85" t="s">
        <v>64</v>
      </c>
      <c r="AV85" t="s">
        <v>62</v>
      </c>
      <c r="AW85" t="s">
        <v>65</v>
      </c>
      <c r="AX85" t="s">
        <v>66</v>
      </c>
      <c r="AY85" t="s">
        <v>67</v>
      </c>
    </row>
    <row r="86" spans="1:51" hidden="1" x14ac:dyDescent="0.25">
      <c r="A86">
        <v>202223</v>
      </c>
      <c r="B86" t="s">
        <v>415</v>
      </c>
      <c r="C86" t="e">
        <f>VLOOKUP(A86,[1]Customer_payment_journal_line!$AL:$BO,30,0)</f>
        <v>#N/A</v>
      </c>
      <c r="D86" t="s">
        <v>53</v>
      </c>
      <c r="E86" t="s">
        <v>413</v>
      </c>
      <c r="F86" t="s">
        <v>414</v>
      </c>
      <c r="G86" t="s">
        <v>238</v>
      </c>
      <c r="H86" t="s">
        <v>69</v>
      </c>
      <c r="I86" t="s">
        <v>395</v>
      </c>
      <c r="J86" t="s">
        <v>392</v>
      </c>
      <c r="K86" t="s">
        <v>408</v>
      </c>
      <c r="L86" t="s">
        <v>52</v>
      </c>
      <c r="M86">
        <v>0</v>
      </c>
      <c r="N86">
        <v>855</v>
      </c>
      <c r="O86" t="s">
        <v>61</v>
      </c>
      <c r="P86">
        <v>100</v>
      </c>
      <c r="Q86" t="s">
        <v>52</v>
      </c>
      <c r="R86" t="s">
        <v>52</v>
      </c>
      <c r="S86" t="s">
        <v>52</v>
      </c>
      <c r="T86" t="s">
        <v>52</v>
      </c>
      <c r="U86" t="s">
        <v>52</v>
      </c>
      <c r="V86" t="s">
        <v>62</v>
      </c>
      <c r="W86" t="s">
        <v>52</v>
      </c>
      <c r="Y86" t="s">
        <v>396</v>
      </c>
      <c r="Z86" t="s">
        <v>62</v>
      </c>
      <c r="AB86" t="s">
        <v>416</v>
      </c>
      <c r="AE86" t="s">
        <v>417</v>
      </c>
      <c r="AF86" t="s">
        <v>52</v>
      </c>
      <c r="AH86">
        <v>0</v>
      </c>
      <c r="AI86">
        <v>0</v>
      </c>
      <c r="AJ86" t="s">
        <v>52</v>
      </c>
      <c r="AK86">
        <v>0</v>
      </c>
      <c r="AL86" t="s">
        <v>52</v>
      </c>
      <c r="AM86" t="s">
        <v>52</v>
      </c>
      <c r="AN86">
        <v>0</v>
      </c>
      <c r="AO86">
        <v>0</v>
      </c>
      <c r="AP86" t="s">
        <v>52</v>
      </c>
      <c r="AQ86" t="s">
        <v>52</v>
      </c>
      <c r="AR86" t="s">
        <v>62</v>
      </c>
      <c r="AS86" t="s">
        <v>52</v>
      </c>
      <c r="AT86" t="s">
        <v>74</v>
      </c>
      <c r="AU86" t="s">
        <v>64</v>
      </c>
      <c r="AV86" t="s">
        <v>62</v>
      </c>
      <c r="AW86" t="s">
        <v>65</v>
      </c>
      <c r="AX86" t="s">
        <v>66</v>
      </c>
      <c r="AY86" t="s">
        <v>67</v>
      </c>
    </row>
    <row r="87" spans="1:51" hidden="1" x14ac:dyDescent="0.25">
      <c r="A87">
        <v>202224</v>
      </c>
      <c r="B87" t="s">
        <v>418</v>
      </c>
      <c r="C87" t="e">
        <f>VLOOKUP(A87,[1]Customer_payment_journal_line!$AL:$BO,30,0)</f>
        <v>#N/A</v>
      </c>
      <c r="D87" t="s">
        <v>53</v>
      </c>
      <c r="E87" t="s">
        <v>419</v>
      </c>
      <c r="F87" t="s">
        <v>420</v>
      </c>
      <c r="G87" t="s">
        <v>238</v>
      </c>
      <c r="H87" t="s">
        <v>57</v>
      </c>
      <c r="I87" t="s">
        <v>319</v>
      </c>
      <c r="J87" t="s">
        <v>392</v>
      </c>
      <c r="K87" t="s">
        <v>421</v>
      </c>
      <c r="L87" t="s">
        <v>52</v>
      </c>
      <c r="M87">
        <v>1778.4</v>
      </c>
      <c r="N87">
        <v>0</v>
      </c>
      <c r="O87" t="s">
        <v>61</v>
      </c>
      <c r="P87">
        <v>100</v>
      </c>
      <c r="Q87" t="s">
        <v>52</v>
      </c>
      <c r="R87" t="s">
        <v>52</v>
      </c>
      <c r="S87" t="s">
        <v>52</v>
      </c>
      <c r="T87" t="s">
        <v>52</v>
      </c>
      <c r="U87" t="s">
        <v>52</v>
      </c>
      <c r="V87" t="s">
        <v>62</v>
      </c>
      <c r="W87" t="s">
        <v>63</v>
      </c>
      <c r="Y87" t="s">
        <v>52</v>
      </c>
      <c r="AB87" t="s">
        <v>52</v>
      </c>
      <c r="AE87" t="s">
        <v>52</v>
      </c>
      <c r="AF87" t="s">
        <v>52</v>
      </c>
      <c r="AH87">
        <v>0</v>
      </c>
      <c r="AI87">
        <v>0</v>
      </c>
      <c r="AJ87" t="s">
        <v>52</v>
      </c>
      <c r="AK87">
        <v>0</v>
      </c>
      <c r="AL87" t="s">
        <v>52</v>
      </c>
      <c r="AM87" t="s">
        <v>52</v>
      </c>
      <c r="AN87">
        <v>0</v>
      </c>
      <c r="AO87">
        <v>0</v>
      </c>
      <c r="AP87" t="s">
        <v>52</v>
      </c>
      <c r="AQ87" t="s">
        <v>52</v>
      </c>
      <c r="AR87" t="s">
        <v>62</v>
      </c>
      <c r="AS87" t="s">
        <v>52</v>
      </c>
      <c r="AT87" t="s">
        <v>52</v>
      </c>
      <c r="AU87" t="s">
        <v>64</v>
      </c>
      <c r="AV87" t="s">
        <v>62</v>
      </c>
      <c r="AW87" t="s">
        <v>65</v>
      </c>
      <c r="AX87" t="s">
        <v>66</v>
      </c>
      <c r="AY87" t="s">
        <v>67</v>
      </c>
    </row>
    <row r="88" spans="1:51" hidden="1" x14ac:dyDescent="0.25">
      <c r="A88">
        <v>202224</v>
      </c>
      <c r="B88" t="s">
        <v>422</v>
      </c>
      <c r="C88" t="e">
        <f>VLOOKUP(A88,[1]Customer_payment_journal_line!$AL:$BO,30,0)</f>
        <v>#N/A</v>
      </c>
      <c r="D88" t="s">
        <v>53</v>
      </c>
      <c r="E88" t="s">
        <v>419</v>
      </c>
      <c r="F88" t="s">
        <v>420</v>
      </c>
      <c r="G88" t="s">
        <v>238</v>
      </c>
      <c r="H88" t="s">
        <v>69</v>
      </c>
      <c r="I88" t="s">
        <v>395</v>
      </c>
      <c r="J88" t="s">
        <v>392</v>
      </c>
      <c r="K88" t="s">
        <v>421</v>
      </c>
      <c r="L88" t="s">
        <v>52</v>
      </c>
      <c r="M88">
        <v>0</v>
      </c>
      <c r="N88">
        <v>1778.4</v>
      </c>
      <c r="O88" t="s">
        <v>61</v>
      </c>
      <c r="P88">
        <v>100</v>
      </c>
      <c r="Q88" t="s">
        <v>52</v>
      </c>
      <c r="R88" t="s">
        <v>52</v>
      </c>
      <c r="S88" t="s">
        <v>52</v>
      </c>
      <c r="T88" t="s">
        <v>52</v>
      </c>
      <c r="U88" t="s">
        <v>52</v>
      </c>
      <c r="V88" t="s">
        <v>62</v>
      </c>
      <c r="W88" t="s">
        <v>52</v>
      </c>
      <c r="Y88" t="s">
        <v>396</v>
      </c>
      <c r="Z88" t="s">
        <v>62</v>
      </c>
      <c r="AB88" t="s">
        <v>423</v>
      </c>
      <c r="AE88" t="s">
        <v>424</v>
      </c>
      <c r="AF88" t="s">
        <v>52</v>
      </c>
      <c r="AH88">
        <v>0</v>
      </c>
      <c r="AI88">
        <v>0</v>
      </c>
      <c r="AJ88" t="s">
        <v>52</v>
      </c>
      <c r="AK88">
        <v>0</v>
      </c>
      <c r="AL88" t="s">
        <v>52</v>
      </c>
      <c r="AM88" t="s">
        <v>52</v>
      </c>
      <c r="AN88">
        <v>0</v>
      </c>
      <c r="AO88">
        <v>0</v>
      </c>
      <c r="AP88" t="s">
        <v>52</v>
      </c>
      <c r="AQ88" t="s">
        <v>52</v>
      </c>
      <c r="AR88" t="s">
        <v>62</v>
      </c>
      <c r="AS88" t="s">
        <v>52</v>
      </c>
      <c r="AT88" t="s">
        <v>74</v>
      </c>
      <c r="AU88" t="s">
        <v>64</v>
      </c>
      <c r="AV88" t="s">
        <v>62</v>
      </c>
      <c r="AW88" t="s">
        <v>65</v>
      </c>
      <c r="AX88" t="s">
        <v>66</v>
      </c>
      <c r="AY88" t="s">
        <v>67</v>
      </c>
    </row>
    <row r="89" spans="1:51" hidden="1" x14ac:dyDescent="0.25">
      <c r="A89">
        <v>202225</v>
      </c>
      <c r="B89" t="s">
        <v>425</v>
      </c>
      <c r="C89" t="e">
        <f>VLOOKUP(A89,[1]Customer_payment_journal_line!$AL:$BO,30,0)</f>
        <v>#N/A</v>
      </c>
      <c r="D89" t="s">
        <v>53</v>
      </c>
      <c r="E89" t="s">
        <v>426</v>
      </c>
      <c r="F89" t="s">
        <v>427</v>
      </c>
      <c r="G89" t="s">
        <v>238</v>
      </c>
      <c r="H89" t="s">
        <v>57</v>
      </c>
      <c r="I89" t="s">
        <v>58</v>
      </c>
      <c r="J89" t="s">
        <v>428</v>
      </c>
      <c r="K89" t="s">
        <v>429</v>
      </c>
      <c r="L89" t="s">
        <v>52</v>
      </c>
      <c r="M89">
        <v>1140</v>
      </c>
      <c r="N89">
        <v>0</v>
      </c>
      <c r="O89" t="s">
        <v>61</v>
      </c>
      <c r="P89">
        <v>100</v>
      </c>
      <c r="Q89" t="s">
        <v>52</v>
      </c>
      <c r="R89" t="s">
        <v>52</v>
      </c>
      <c r="S89" t="s">
        <v>52</v>
      </c>
      <c r="T89" t="s">
        <v>52</v>
      </c>
      <c r="U89" t="s">
        <v>52</v>
      </c>
      <c r="V89" t="s">
        <v>62</v>
      </c>
      <c r="W89" t="s">
        <v>63</v>
      </c>
      <c r="Y89" t="s">
        <v>52</v>
      </c>
      <c r="AB89" t="s">
        <v>52</v>
      </c>
      <c r="AE89" t="s">
        <v>52</v>
      </c>
      <c r="AF89" t="s">
        <v>52</v>
      </c>
      <c r="AH89">
        <v>0</v>
      </c>
      <c r="AI89">
        <v>0</v>
      </c>
      <c r="AJ89" t="s">
        <v>52</v>
      </c>
      <c r="AK89">
        <v>0</v>
      </c>
      <c r="AL89" t="s">
        <v>52</v>
      </c>
      <c r="AM89" t="s">
        <v>52</v>
      </c>
      <c r="AN89">
        <v>0</v>
      </c>
      <c r="AO89">
        <v>0</v>
      </c>
      <c r="AP89" t="s">
        <v>52</v>
      </c>
      <c r="AQ89" t="s">
        <v>52</v>
      </c>
      <c r="AR89" t="s">
        <v>62</v>
      </c>
      <c r="AS89" t="s">
        <v>52</v>
      </c>
      <c r="AT89" t="s">
        <v>52</v>
      </c>
      <c r="AU89" t="s">
        <v>64</v>
      </c>
      <c r="AV89" t="s">
        <v>62</v>
      </c>
      <c r="AW89" t="s">
        <v>65</v>
      </c>
      <c r="AX89" t="s">
        <v>66</v>
      </c>
      <c r="AY89" t="s">
        <v>67</v>
      </c>
    </row>
    <row r="90" spans="1:51" hidden="1" x14ac:dyDescent="0.25">
      <c r="A90">
        <v>202225</v>
      </c>
      <c r="B90" t="s">
        <v>430</v>
      </c>
      <c r="C90" t="e">
        <f>VLOOKUP(A90,[1]Customer_payment_journal_line!$AL:$BO,30,0)</f>
        <v>#N/A</v>
      </c>
      <c r="D90" t="s">
        <v>53</v>
      </c>
      <c r="E90" t="s">
        <v>426</v>
      </c>
      <c r="F90" t="s">
        <v>427</v>
      </c>
      <c r="G90" t="s">
        <v>238</v>
      </c>
      <c r="H90" t="s">
        <v>69</v>
      </c>
      <c r="I90" t="s">
        <v>431</v>
      </c>
      <c r="J90" t="s">
        <v>428</v>
      </c>
      <c r="K90" t="s">
        <v>429</v>
      </c>
      <c r="L90" t="s">
        <v>52</v>
      </c>
      <c r="M90">
        <v>0</v>
      </c>
      <c r="N90">
        <v>1140</v>
      </c>
      <c r="O90" t="s">
        <v>61</v>
      </c>
      <c r="P90">
        <v>100</v>
      </c>
      <c r="Q90" t="s">
        <v>52</v>
      </c>
      <c r="R90" t="s">
        <v>52</v>
      </c>
      <c r="S90" t="s">
        <v>52</v>
      </c>
      <c r="T90" t="s">
        <v>52</v>
      </c>
      <c r="U90" t="s">
        <v>52</v>
      </c>
      <c r="V90" t="s">
        <v>62</v>
      </c>
      <c r="W90" t="s">
        <v>52</v>
      </c>
      <c r="Y90" t="s">
        <v>432</v>
      </c>
      <c r="Z90" t="s">
        <v>62</v>
      </c>
      <c r="AB90" t="s">
        <v>433</v>
      </c>
      <c r="AE90" t="s">
        <v>434</v>
      </c>
      <c r="AF90" t="s">
        <v>52</v>
      </c>
      <c r="AH90">
        <v>0</v>
      </c>
      <c r="AI90">
        <v>0</v>
      </c>
      <c r="AJ90" t="s">
        <v>52</v>
      </c>
      <c r="AK90">
        <v>0</v>
      </c>
      <c r="AL90" t="s">
        <v>52</v>
      </c>
      <c r="AM90" t="s">
        <v>52</v>
      </c>
      <c r="AN90">
        <v>0</v>
      </c>
      <c r="AO90">
        <v>0</v>
      </c>
      <c r="AP90" t="s">
        <v>52</v>
      </c>
      <c r="AQ90" t="s">
        <v>52</v>
      </c>
      <c r="AR90" t="s">
        <v>62</v>
      </c>
      <c r="AS90" t="s">
        <v>52</v>
      </c>
      <c r="AT90" t="s">
        <v>74</v>
      </c>
      <c r="AU90" t="s">
        <v>64</v>
      </c>
      <c r="AV90" t="s">
        <v>62</v>
      </c>
      <c r="AW90" t="s">
        <v>65</v>
      </c>
      <c r="AX90" t="s">
        <v>66</v>
      </c>
      <c r="AY90" t="s">
        <v>67</v>
      </c>
    </row>
    <row r="91" spans="1:51" hidden="1" x14ac:dyDescent="0.25">
      <c r="A91">
        <v>202226</v>
      </c>
      <c r="B91" t="s">
        <v>435</v>
      </c>
      <c r="C91" t="e">
        <f>VLOOKUP(A91,[1]Customer_payment_journal_line!$AL:$BO,30,0)</f>
        <v>#N/A</v>
      </c>
      <c r="D91" t="s">
        <v>53</v>
      </c>
      <c r="E91" t="s">
        <v>436</v>
      </c>
      <c r="F91" t="s">
        <v>437</v>
      </c>
      <c r="G91" t="s">
        <v>238</v>
      </c>
      <c r="H91" t="s">
        <v>57</v>
      </c>
      <c r="I91" t="s">
        <v>319</v>
      </c>
      <c r="J91" t="s">
        <v>392</v>
      </c>
      <c r="K91" t="s">
        <v>421</v>
      </c>
      <c r="L91" t="s">
        <v>52</v>
      </c>
      <c r="M91">
        <v>855</v>
      </c>
      <c r="N91">
        <v>0</v>
      </c>
      <c r="O91" t="s">
        <v>61</v>
      </c>
      <c r="P91">
        <v>100</v>
      </c>
      <c r="Q91" t="s">
        <v>52</v>
      </c>
      <c r="R91" t="s">
        <v>52</v>
      </c>
      <c r="S91" t="s">
        <v>52</v>
      </c>
      <c r="T91" t="s">
        <v>52</v>
      </c>
      <c r="U91" t="s">
        <v>52</v>
      </c>
      <c r="V91" t="s">
        <v>62</v>
      </c>
      <c r="W91" t="s">
        <v>63</v>
      </c>
      <c r="Y91" t="s">
        <v>52</v>
      </c>
      <c r="AB91" t="s">
        <v>52</v>
      </c>
      <c r="AE91" t="s">
        <v>52</v>
      </c>
      <c r="AF91" t="s">
        <v>52</v>
      </c>
      <c r="AH91">
        <v>0</v>
      </c>
      <c r="AI91">
        <v>0</v>
      </c>
      <c r="AJ91" t="s">
        <v>52</v>
      </c>
      <c r="AK91">
        <v>0</v>
      </c>
      <c r="AL91" t="s">
        <v>52</v>
      </c>
      <c r="AM91" t="s">
        <v>52</v>
      </c>
      <c r="AN91">
        <v>0</v>
      </c>
      <c r="AO91">
        <v>0</v>
      </c>
      <c r="AP91" t="s">
        <v>52</v>
      </c>
      <c r="AQ91" t="s">
        <v>52</v>
      </c>
      <c r="AR91" t="s">
        <v>62</v>
      </c>
      <c r="AS91" t="s">
        <v>52</v>
      </c>
      <c r="AT91" t="s">
        <v>52</v>
      </c>
      <c r="AU91" t="s">
        <v>64</v>
      </c>
      <c r="AV91" t="s">
        <v>62</v>
      </c>
      <c r="AW91" t="s">
        <v>65</v>
      </c>
      <c r="AX91" t="s">
        <v>66</v>
      </c>
      <c r="AY91" t="s">
        <v>67</v>
      </c>
    </row>
    <row r="92" spans="1:51" hidden="1" x14ac:dyDescent="0.25">
      <c r="A92">
        <v>202226</v>
      </c>
      <c r="B92" t="s">
        <v>438</v>
      </c>
      <c r="C92" t="e">
        <f>VLOOKUP(A92,[1]Customer_payment_journal_line!$AL:$BO,30,0)</f>
        <v>#N/A</v>
      </c>
      <c r="D92" t="s">
        <v>53</v>
      </c>
      <c r="E92" t="s">
        <v>436</v>
      </c>
      <c r="F92" t="s">
        <v>437</v>
      </c>
      <c r="G92" t="s">
        <v>238</v>
      </c>
      <c r="H92" t="s">
        <v>69</v>
      </c>
      <c r="I92" t="s">
        <v>395</v>
      </c>
      <c r="J92" t="s">
        <v>392</v>
      </c>
      <c r="K92" t="s">
        <v>421</v>
      </c>
      <c r="L92" t="s">
        <v>52</v>
      </c>
      <c r="M92">
        <v>0</v>
      </c>
      <c r="N92">
        <v>855</v>
      </c>
      <c r="O92" t="s">
        <v>61</v>
      </c>
      <c r="P92">
        <v>100</v>
      </c>
      <c r="Q92" t="s">
        <v>52</v>
      </c>
      <c r="R92" t="s">
        <v>52</v>
      </c>
      <c r="S92" t="s">
        <v>52</v>
      </c>
      <c r="T92" t="s">
        <v>52</v>
      </c>
      <c r="U92" t="s">
        <v>52</v>
      </c>
      <c r="V92" t="s">
        <v>62</v>
      </c>
      <c r="W92" t="s">
        <v>52</v>
      </c>
      <c r="Y92" t="s">
        <v>396</v>
      </c>
      <c r="Z92" t="s">
        <v>62</v>
      </c>
      <c r="AB92" t="s">
        <v>439</v>
      </c>
      <c r="AE92" t="s">
        <v>440</v>
      </c>
      <c r="AF92" t="s">
        <v>52</v>
      </c>
      <c r="AH92">
        <v>0</v>
      </c>
      <c r="AI92">
        <v>0</v>
      </c>
      <c r="AJ92" t="s">
        <v>52</v>
      </c>
      <c r="AK92">
        <v>0</v>
      </c>
      <c r="AL92" t="s">
        <v>52</v>
      </c>
      <c r="AM92" t="s">
        <v>52</v>
      </c>
      <c r="AN92">
        <v>0</v>
      </c>
      <c r="AO92">
        <v>0</v>
      </c>
      <c r="AP92" t="s">
        <v>52</v>
      </c>
      <c r="AQ92" t="s">
        <v>52</v>
      </c>
      <c r="AR92" t="s">
        <v>62</v>
      </c>
      <c r="AS92" t="s">
        <v>52</v>
      </c>
      <c r="AT92" t="s">
        <v>74</v>
      </c>
      <c r="AU92" t="s">
        <v>64</v>
      </c>
      <c r="AV92" t="s">
        <v>62</v>
      </c>
      <c r="AW92" t="s">
        <v>65</v>
      </c>
      <c r="AX92" t="s">
        <v>66</v>
      </c>
      <c r="AY92" t="s">
        <v>67</v>
      </c>
    </row>
    <row r="93" spans="1:51" hidden="1" x14ac:dyDescent="0.25">
      <c r="A93">
        <v>202227</v>
      </c>
      <c r="B93" t="s">
        <v>441</v>
      </c>
      <c r="C93" t="e">
        <f>VLOOKUP(A93,[1]Customer_payment_journal_line!$AL:$BO,30,0)</f>
        <v>#N/A</v>
      </c>
      <c r="D93" t="s">
        <v>53</v>
      </c>
      <c r="E93" t="s">
        <v>442</v>
      </c>
      <c r="F93" t="s">
        <v>443</v>
      </c>
      <c r="G93" t="s">
        <v>238</v>
      </c>
      <c r="H93" t="s">
        <v>57</v>
      </c>
      <c r="I93" t="s">
        <v>58</v>
      </c>
      <c r="J93" t="s">
        <v>428</v>
      </c>
      <c r="K93" t="s">
        <v>429</v>
      </c>
      <c r="L93" t="s">
        <v>52</v>
      </c>
      <c r="M93">
        <v>855</v>
      </c>
      <c r="N93">
        <v>0</v>
      </c>
      <c r="O93" t="s">
        <v>61</v>
      </c>
      <c r="P93">
        <v>100</v>
      </c>
      <c r="Q93" t="s">
        <v>52</v>
      </c>
      <c r="R93" t="s">
        <v>52</v>
      </c>
      <c r="S93" t="s">
        <v>52</v>
      </c>
      <c r="T93" t="s">
        <v>52</v>
      </c>
      <c r="U93" t="s">
        <v>52</v>
      </c>
      <c r="V93" t="s">
        <v>62</v>
      </c>
      <c r="W93" t="s">
        <v>63</v>
      </c>
      <c r="Y93" t="s">
        <v>52</v>
      </c>
      <c r="AB93" t="s">
        <v>52</v>
      </c>
      <c r="AE93" t="s">
        <v>52</v>
      </c>
      <c r="AF93" t="s">
        <v>52</v>
      </c>
      <c r="AH93">
        <v>0</v>
      </c>
      <c r="AI93">
        <v>0</v>
      </c>
      <c r="AJ93" t="s">
        <v>52</v>
      </c>
      <c r="AK93">
        <v>0</v>
      </c>
      <c r="AL93" t="s">
        <v>52</v>
      </c>
      <c r="AM93" t="s">
        <v>52</v>
      </c>
      <c r="AN93">
        <v>0</v>
      </c>
      <c r="AO93">
        <v>0</v>
      </c>
      <c r="AP93" t="s">
        <v>52</v>
      </c>
      <c r="AQ93" t="s">
        <v>52</v>
      </c>
      <c r="AR93" t="s">
        <v>62</v>
      </c>
      <c r="AS93" t="s">
        <v>52</v>
      </c>
      <c r="AT93" t="s">
        <v>52</v>
      </c>
      <c r="AU93" t="s">
        <v>64</v>
      </c>
      <c r="AV93" t="s">
        <v>62</v>
      </c>
      <c r="AW93" t="s">
        <v>65</v>
      </c>
      <c r="AX93" t="s">
        <v>66</v>
      </c>
      <c r="AY93" t="s">
        <v>67</v>
      </c>
    </row>
    <row r="94" spans="1:51" hidden="1" x14ac:dyDescent="0.25">
      <c r="A94">
        <v>202227</v>
      </c>
      <c r="B94" t="s">
        <v>444</v>
      </c>
      <c r="C94" t="e">
        <f>VLOOKUP(A94,[1]Customer_payment_journal_line!$AL:$BO,30,0)</f>
        <v>#N/A</v>
      </c>
      <c r="D94" t="s">
        <v>53</v>
      </c>
      <c r="E94" t="s">
        <v>442</v>
      </c>
      <c r="F94" t="s">
        <v>443</v>
      </c>
      <c r="G94" t="s">
        <v>238</v>
      </c>
      <c r="H94" t="s">
        <v>69</v>
      </c>
      <c r="I94" t="s">
        <v>431</v>
      </c>
      <c r="J94" t="s">
        <v>428</v>
      </c>
      <c r="K94" t="s">
        <v>429</v>
      </c>
      <c r="L94" t="s">
        <v>52</v>
      </c>
      <c r="M94">
        <v>0</v>
      </c>
      <c r="N94">
        <v>855</v>
      </c>
      <c r="O94" t="s">
        <v>61</v>
      </c>
      <c r="P94">
        <v>100</v>
      </c>
      <c r="Q94" t="s">
        <v>52</v>
      </c>
      <c r="R94" t="s">
        <v>52</v>
      </c>
      <c r="S94" t="s">
        <v>52</v>
      </c>
      <c r="T94" t="s">
        <v>52</v>
      </c>
      <c r="U94" t="s">
        <v>52</v>
      </c>
      <c r="V94" t="s">
        <v>62</v>
      </c>
      <c r="W94" t="s">
        <v>52</v>
      </c>
      <c r="Y94" t="s">
        <v>432</v>
      </c>
      <c r="Z94" t="s">
        <v>62</v>
      </c>
      <c r="AB94" t="s">
        <v>445</v>
      </c>
      <c r="AE94" t="s">
        <v>446</v>
      </c>
      <c r="AF94" t="s">
        <v>52</v>
      </c>
      <c r="AH94">
        <v>0</v>
      </c>
      <c r="AI94">
        <v>0</v>
      </c>
      <c r="AJ94" t="s">
        <v>52</v>
      </c>
      <c r="AK94">
        <v>0</v>
      </c>
      <c r="AL94" t="s">
        <v>52</v>
      </c>
      <c r="AM94" t="s">
        <v>52</v>
      </c>
      <c r="AN94">
        <v>0</v>
      </c>
      <c r="AO94">
        <v>0</v>
      </c>
      <c r="AP94" t="s">
        <v>52</v>
      </c>
      <c r="AQ94" t="s">
        <v>52</v>
      </c>
      <c r="AR94" t="s">
        <v>62</v>
      </c>
      <c r="AS94" t="s">
        <v>52</v>
      </c>
      <c r="AT94" t="s">
        <v>74</v>
      </c>
      <c r="AU94" t="s">
        <v>64</v>
      </c>
      <c r="AV94" t="s">
        <v>62</v>
      </c>
      <c r="AW94" t="s">
        <v>65</v>
      </c>
      <c r="AX94" t="s">
        <v>66</v>
      </c>
      <c r="AY94" t="s">
        <v>67</v>
      </c>
    </row>
    <row r="95" spans="1:51" hidden="1" x14ac:dyDescent="0.25">
      <c r="A95">
        <v>202228</v>
      </c>
      <c r="B95" t="s">
        <v>447</v>
      </c>
      <c r="C95" t="e">
        <f>VLOOKUP(A95,[1]Customer_payment_journal_line!$AL:$BO,30,0)</f>
        <v>#N/A</v>
      </c>
      <c r="D95" t="s">
        <v>53</v>
      </c>
      <c r="E95" t="s">
        <v>448</v>
      </c>
      <c r="F95" t="s">
        <v>449</v>
      </c>
      <c r="G95" t="s">
        <v>238</v>
      </c>
      <c r="H95" t="s">
        <v>57</v>
      </c>
      <c r="I95" t="s">
        <v>319</v>
      </c>
      <c r="J95" t="s">
        <v>450</v>
      </c>
      <c r="K95" t="s">
        <v>451</v>
      </c>
      <c r="L95" t="s">
        <v>52</v>
      </c>
      <c r="M95">
        <v>1778.4</v>
      </c>
      <c r="N95">
        <v>0</v>
      </c>
      <c r="O95" t="s">
        <v>61</v>
      </c>
      <c r="P95">
        <v>100</v>
      </c>
      <c r="Q95" t="s">
        <v>52</v>
      </c>
      <c r="R95" t="s">
        <v>52</v>
      </c>
      <c r="S95" t="s">
        <v>52</v>
      </c>
      <c r="T95" t="s">
        <v>52</v>
      </c>
      <c r="U95" t="s">
        <v>52</v>
      </c>
      <c r="V95" t="s">
        <v>62</v>
      </c>
      <c r="W95" t="s">
        <v>63</v>
      </c>
      <c r="Y95" t="s">
        <v>52</v>
      </c>
      <c r="AB95" t="s">
        <v>52</v>
      </c>
      <c r="AE95" t="s">
        <v>52</v>
      </c>
      <c r="AF95" t="s">
        <v>52</v>
      </c>
      <c r="AH95">
        <v>0</v>
      </c>
      <c r="AI95">
        <v>0</v>
      </c>
      <c r="AJ95" t="s">
        <v>52</v>
      </c>
      <c r="AK95">
        <v>0</v>
      </c>
      <c r="AL95" t="s">
        <v>52</v>
      </c>
      <c r="AM95" t="s">
        <v>52</v>
      </c>
      <c r="AN95">
        <v>0</v>
      </c>
      <c r="AO95">
        <v>0</v>
      </c>
      <c r="AP95" t="s">
        <v>52</v>
      </c>
      <c r="AQ95" t="s">
        <v>52</v>
      </c>
      <c r="AR95" t="s">
        <v>62</v>
      </c>
      <c r="AS95" t="s">
        <v>52</v>
      </c>
      <c r="AT95" t="s">
        <v>52</v>
      </c>
      <c r="AU95" t="s">
        <v>64</v>
      </c>
      <c r="AV95" t="s">
        <v>62</v>
      </c>
      <c r="AW95" t="s">
        <v>65</v>
      </c>
      <c r="AX95" t="s">
        <v>66</v>
      </c>
      <c r="AY95" t="s">
        <v>67</v>
      </c>
    </row>
    <row r="96" spans="1:51" hidden="1" x14ac:dyDescent="0.25">
      <c r="A96">
        <v>202228</v>
      </c>
      <c r="B96" t="s">
        <v>452</v>
      </c>
      <c r="C96" t="e">
        <f>VLOOKUP(A96,[1]Customer_payment_journal_line!$AL:$BO,30,0)</f>
        <v>#N/A</v>
      </c>
      <c r="D96" t="s">
        <v>53</v>
      </c>
      <c r="E96" t="s">
        <v>448</v>
      </c>
      <c r="F96" t="s">
        <v>449</v>
      </c>
      <c r="G96" t="s">
        <v>238</v>
      </c>
      <c r="H96" t="s">
        <v>69</v>
      </c>
      <c r="I96" t="s">
        <v>453</v>
      </c>
      <c r="J96" t="s">
        <v>450</v>
      </c>
      <c r="K96" t="s">
        <v>451</v>
      </c>
      <c r="L96" t="s">
        <v>52</v>
      </c>
      <c r="M96">
        <v>0</v>
      </c>
      <c r="N96">
        <v>1778.4</v>
      </c>
      <c r="O96" t="s">
        <v>61</v>
      </c>
      <c r="P96">
        <v>100</v>
      </c>
      <c r="Q96" t="s">
        <v>52</v>
      </c>
      <c r="R96" t="s">
        <v>52</v>
      </c>
      <c r="S96" t="s">
        <v>52</v>
      </c>
      <c r="T96" t="s">
        <v>52</v>
      </c>
      <c r="U96" t="s">
        <v>52</v>
      </c>
      <c r="V96" t="s">
        <v>62</v>
      </c>
      <c r="W96" t="s">
        <v>52</v>
      </c>
      <c r="Y96" t="s">
        <v>454</v>
      </c>
      <c r="Z96" t="s">
        <v>62</v>
      </c>
      <c r="AB96" t="s">
        <v>455</v>
      </c>
      <c r="AE96" t="s">
        <v>456</v>
      </c>
      <c r="AF96" t="s">
        <v>52</v>
      </c>
      <c r="AH96">
        <v>0</v>
      </c>
      <c r="AI96">
        <v>0</v>
      </c>
      <c r="AJ96" t="s">
        <v>52</v>
      </c>
      <c r="AK96">
        <v>0</v>
      </c>
      <c r="AL96" t="s">
        <v>52</v>
      </c>
      <c r="AM96" t="s">
        <v>52</v>
      </c>
      <c r="AN96">
        <v>0</v>
      </c>
      <c r="AO96">
        <v>0</v>
      </c>
      <c r="AP96" t="s">
        <v>52</v>
      </c>
      <c r="AQ96" t="s">
        <v>52</v>
      </c>
      <c r="AR96" t="s">
        <v>62</v>
      </c>
      <c r="AS96" t="s">
        <v>52</v>
      </c>
      <c r="AT96" t="s">
        <v>74</v>
      </c>
      <c r="AU96" t="s">
        <v>64</v>
      </c>
      <c r="AV96" t="s">
        <v>62</v>
      </c>
      <c r="AW96" t="s">
        <v>65</v>
      </c>
      <c r="AX96" t="s">
        <v>66</v>
      </c>
      <c r="AY96" t="s">
        <v>67</v>
      </c>
    </row>
    <row r="97" spans="1:51" hidden="1" x14ac:dyDescent="0.25">
      <c r="A97">
        <v>202229</v>
      </c>
      <c r="B97" t="s">
        <v>457</v>
      </c>
      <c r="C97" t="e">
        <f>VLOOKUP(A97,[1]Customer_payment_journal_line!$AL:$BO,30,0)</f>
        <v>#N/A</v>
      </c>
      <c r="D97" t="s">
        <v>53</v>
      </c>
      <c r="E97" t="s">
        <v>458</v>
      </c>
      <c r="F97" t="s">
        <v>459</v>
      </c>
      <c r="G97" t="s">
        <v>238</v>
      </c>
      <c r="H97" t="s">
        <v>57</v>
      </c>
      <c r="I97" t="s">
        <v>319</v>
      </c>
      <c r="J97" t="s">
        <v>450</v>
      </c>
      <c r="K97" t="s">
        <v>451</v>
      </c>
      <c r="L97" t="s">
        <v>52</v>
      </c>
      <c r="M97">
        <v>855</v>
      </c>
      <c r="N97">
        <v>0</v>
      </c>
      <c r="O97" t="s">
        <v>61</v>
      </c>
      <c r="P97">
        <v>100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62</v>
      </c>
      <c r="W97" t="s">
        <v>63</v>
      </c>
      <c r="Y97" t="s">
        <v>52</v>
      </c>
      <c r="AB97" t="s">
        <v>52</v>
      </c>
      <c r="AE97" t="s">
        <v>52</v>
      </c>
      <c r="AF97" t="s">
        <v>52</v>
      </c>
      <c r="AH97">
        <v>0</v>
      </c>
      <c r="AI97">
        <v>0</v>
      </c>
      <c r="AJ97" t="s">
        <v>52</v>
      </c>
      <c r="AK97">
        <v>0</v>
      </c>
      <c r="AL97" t="s">
        <v>52</v>
      </c>
      <c r="AM97" t="s">
        <v>52</v>
      </c>
      <c r="AN97">
        <v>0</v>
      </c>
      <c r="AO97">
        <v>0</v>
      </c>
      <c r="AP97" t="s">
        <v>52</v>
      </c>
      <c r="AQ97" t="s">
        <v>52</v>
      </c>
      <c r="AR97" t="s">
        <v>62</v>
      </c>
      <c r="AS97" t="s">
        <v>52</v>
      </c>
      <c r="AT97" t="s">
        <v>52</v>
      </c>
      <c r="AU97" t="s">
        <v>64</v>
      </c>
      <c r="AV97" t="s">
        <v>62</v>
      </c>
      <c r="AW97" t="s">
        <v>65</v>
      </c>
      <c r="AX97" t="s">
        <v>66</v>
      </c>
      <c r="AY97" t="s">
        <v>67</v>
      </c>
    </row>
    <row r="98" spans="1:51" hidden="1" x14ac:dyDescent="0.25">
      <c r="A98">
        <v>202229</v>
      </c>
      <c r="B98" t="s">
        <v>460</v>
      </c>
      <c r="C98" t="e">
        <f>VLOOKUP(A98,[1]Customer_payment_journal_line!$AL:$BO,30,0)</f>
        <v>#N/A</v>
      </c>
      <c r="D98" t="s">
        <v>53</v>
      </c>
      <c r="E98" t="s">
        <v>458</v>
      </c>
      <c r="F98" t="s">
        <v>459</v>
      </c>
      <c r="G98" t="s">
        <v>238</v>
      </c>
      <c r="H98" t="s">
        <v>69</v>
      </c>
      <c r="I98" t="s">
        <v>453</v>
      </c>
      <c r="J98" t="s">
        <v>450</v>
      </c>
      <c r="K98" t="s">
        <v>451</v>
      </c>
      <c r="L98" t="s">
        <v>52</v>
      </c>
      <c r="M98">
        <v>0</v>
      </c>
      <c r="N98">
        <v>855</v>
      </c>
      <c r="O98" t="s">
        <v>61</v>
      </c>
      <c r="P98">
        <v>100</v>
      </c>
      <c r="Q98" t="s">
        <v>52</v>
      </c>
      <c r="R98" t="s">
        <v>52</v>
      </c>
      <c r="S98" t="s">
        <v>52</v>
      </c>
      <c r="T98" t="s">
        <v>52</v>
      </c>
      <c r="U98" t="s">
        <v>52</v>
      </c>
      <c r="V98" t="s">
        <v>62</v>
      </c>
      <c r="W98" t="s">
        <v>52</v>
      </c>
      <c r="Y98" t="s">
        <v>454</v>
      </c>
      <c r="Z98" t="s">
        <v>62</v>
      </c>
      <c r="AB98" t="s">
        <v>461</v>
      </c>
      <c r="AE98" t="s">
        <v>462</v>
      </c>
      <c r="AF98" t="s">
        <v>52</v>
      </c>
      <c r="AH98">
        <v>0</v>
      </c>
      <c r="AI98">
        <v>0</v>
      </c>
      <c r="AJ98" t="s">
        <v>52</v>
      </c>
      <c r="AK98">
        <v>0</v>
      </c>
      <c r="AL98" t="s">
        <v>52</v>
      </c>
      <c r="AM98" t="s">
        <v>52</v>
      </c>
      <c r="AN98">
        <v>0</v>
      </c>
      <c r="AO98">
        <v>0</v>
      </c>
      <c r="AP98" t="s">
        <v>52</v>
      </c>
      <c r="AQ98" t="s">
        <v>52</v>
      </c>
      <c r="AR98" t="s">
        <v>62</v>
      </c>
      <c r="AS98" t="s">
        <v>52</v>
      </c>
      <c r="AT98" t="s">
        <v>74</v>
      </c>
      <c r="AU98" t="s">
        <v>64</v>
      </c>
      <c r="AV98" t="s">
        <v>62</v>
      </c>
      <c r="AW98" t="s">
        <v>65</v>
      </c>
      <c r="AX98" t="s">
        <v>66</v>
      </c>
      <c r="AY98" t="s">
        <v>67</v>
      </c>
    </row>
    <row r="99" spans="1:51" hidden="1" x14ac:dyDescent="0.25">
      <c r="A99">
        <v>202230</v>
      </c>
      <c r="B99" t="s">
        <v>463</v>
      </c>
      <c r="C99" t="e">
        <f>VLOOKUP(A99,[1]Customer_payment_journal_line!$AL:$BO,30,0)</f>
        <v>#N/A</v>
      </c>
      <c r="D99" t="s">
        <v>53</v>
      </c>
      <c r="E99" t="s">
        <v>464</v>
      </c>
      <c r="F99" t="s">
        <v>465</v>
      </c>
      <c r="G99" t="s">
        <v>238</v>
      </c>
      <c r="H99" t="s">
        <v>57</v>
      </c>
      <c r="I99" t="s">
        <v>319</v>
      </c>
      <c r="J99" t="s">
        <v>450</v>
      </c>
      <c r="K99" t="s">
        <v>466</v>
      </c>
      <c r="L99" t="s">
        <v>52</v>
      </c>
      <c r="M99">
        <v>1778.4</v>
      </c>
      <c r="N99">
        <v>0</v>
      </c>
      <c r="O99" t="s">
        <v>61</v>
      </c>
      <c r="P99">
        <v>100</v>
      </c>
      <c r="Q99" t="s">
        <v>52</v>
      </c>
      <c r="R99" t="s">
        <v>52</v>
      </c>
      <c r="S99" t="s">
        <v>52</v>
      </c>
      <c r="T99" t="s">
        <v>52</v>
      </c>
      <c r="U99" t="s">
        <v>52</v>
      </c>
      <c r="V99" t="s">
        <v>62</v>
      </c>
      <c r="W99" t="s">
        <v>63</v>
      </c>
      <c r="Y99" t="s">
        <v>52</v>
      </c>
      <c r="AB99" t="s">
        <v>52</v>
      </c>
      <c r="AE99" t="s">
        <v>52</v>
      </c>
      <c r="AF99" t="s">
        <v>52</v>
      </c>
      <c r="AH99">
        <v>0</v>
      </c>
      <c r="AI99">
        <v>0</v>
      </c>
      <c r="AJ99" t="s">
        <v>52</v>
      </c>
      <c r="AK99">
        <v>0</v>
      </c>
      <c r="AL99" t="s">
        <v>52</v>
      </c>
      <c r="AM99" t="s">
        <v>52</v>
      </c>
      <c r="AN99">
        <v>0</v>
      </c>
      <c r="AO99">
        <v>0</v>
      </c>
      <c r="AP99" t="s">
        <v>52</v>
      </c>
      <c r="AQ99" t="s">
        <v>52</v>
      </c>
      <c r="AR99" t="s">
        <v>62</v>
      </c>
      <c r="AS99" t="s">
        <v>52</v>
      </c>
      <c r="AT99" t="s">
        <v>52</v>
      </c>
      <c r="AU99" t="s">
        <v>64</v>
      </c>
      <c r="AV99" t="s">
        <v>62</v>
      </c>
      <c r="AW99" t="s">
        <v>65</v>
      </c>
      <c r="AX99" t="s">
        <v>66</v>
      </c>
      <c r="AY99" t="s">
        <v>67</v>
      </c>
    </row>
    <row r="100" spans="1:51" hidden="1" x14ac:dyDescent="0.25">
      <c r="A100">
        <v>202230</v>
      </c>
      <c r="B100" t="s">
        <v>467</v>
      </c>
      <c r="C100" t="e">
        <f>VLOOKUP(A100,[1]Customer_payment_journal_line!$AL:$BO,30,0)</f>
        <v>#N/A</v>
      </c>
      <c r="D100" t="s">
        <v>53</v>
      </c>
      <c r="E100" t="s">
        <v>464</v>
      </c>
      <c r="F100" t="s">
        <v>465</v>
      </c>
      <c r="G100" t="s">
        <v>238</v>
      </c>
      <c r="H100" t="s">
        <v>69</v>
      </c>
      <c r="I100" t="s">
        <v>453</v>
      </c>
      <c r="J100" t="s">
        <v>450</v>
      </c>
      <c r="K100" t="s">
        <v>466</v>
      </c>
      <c r="L100" t="s">
        <v>52</v>
      </c>
      <c r="M100">
        <v>0</v>
      </c>
      <c r="N100">
        <v>1778.4</v>
      </c>
      <c r="O100" t="s">
        <v>61</v>
      </c>
      <c r="P100">
        <v>100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62</v>
      </c>
      <c r="W100" t="s">
        <v>52</v>
      </c>
      <c r="Y100" t="s">
        <v>454</v>
      </c>
      <c r="Z100" t="s">
        <v>62</v>
      </c>
      <c r="AB100" t="s">
        <v>468</v>
      </c>
      <c r="AE100" t="s">
        <v>469</v>
      </c>
      <c r="AF100" t="s">
        <v>52</v>
      </c>
      <c r="AH100">
        <v>0</v>
      </c>
      <c r="AI100">
        <v>0</v>
      </c>
      <c r="AJ100" t="s">
        <v>52</v>
      </c>
      <c r="AK100">
        <v>0</v>
      </c>
      <c r="AL100" t="s">
        <v>52</v>
      </c>
      <c r="AM100" t="s">
        <v>52</v>
      </c>
      <c r="AN100">
        <v>0</v>
      </c>
      <c r="AO100">
        <v>0</v>
      </c>
      <c r="AP100" t="s">
        <v>52</v>
      </c>
      <c r="AQ100" t="s">
        <v>52</v>
      </c>
      <c r="AR100" t="s">
        <v>62</v>
      </c>
      <c r="AS100" t="s">
        <v>52</v>
      </c>
      <c r="AT100" t="s">
        <v>74</v>
      </c>
      <c r="AU100" t="s">
        <v>64</v>
      </c>
      <c r="AV100" t="s">
        <v>62</v>
      </c>
      <c r="AW100" t="s">
        <v>65</v>
      </c>
      <c r="AX100" t="s">
        <v>66</v>
      </c>
      <c r="AY100" t="s">
        <v>67</v>
      </c>
    </row>
    <row r="101" spans="1:51" hidden="1" x14ac:dyDescent="0.25">
      <c r="A101">
        <v>202231</v>
      </c>
      <c r="B101" t="s">
        <v>470</v>
      </c>
      <c r="C101" t="e">
        <f>VLOOKUP(A101,[1]Customer_payment_journal_line!$AL:$BO,30,0)</f>
        <v>#N/A</v>
      </c>
      <c r="D101" t="s">
        <v>53</v>
      </c>
      <c r="E101" t="s">
        <v>471</v>
      </c>
      <c r="F101" t="s">
        <v>472</v>
      </c>
      <c r="G101" t="s">
        <v>238</v>
      </c>
      <c r="H101" t="s">
        <v>57</v>
      </c>
      <c r="I101" t="s">
        <v>319</v>
      </c>
      <c r="J101" t="s">
        <v>450</v>
      </c>
      <c r="K101" t="s">
        <v>466</v>
      </c>
      <c r="L101" t="s">
        <v>52</v>
      </c>
      <c r="M101">
        <v>855</v>
      </c>
      <c r="N101">
        <v>0</v>
      </c>
      <c r="O101" t="s">
        <v>61</v>
      </c>
      <c r="P101">
        <v>100</v>
      </c>
      <c r="Q101" t="s">
        <v>52</v>
      </c>
      <c r="R101" t="s">
        <v>52</v>
      </c>
      <c r="S101" t="s">
        <v>52</v>
      </c>
      <c r="T101" t="s">
        <v>52</v>
      </c>
      <c r="U101" t="s">
        <v>52</v>
      </c>
      <c r="V101" t="s">
        <v>62</v>
      </c>
      <c r="W101" t="s">
        <v>63</v>
      </c>
      <c r="Y101" t="s">
        <v>52</v>
      </c>
      <c r="AB101" t="s">
        <v>52</v>
      </c>
      <c r="AE101" t="s">
        <v>52</v>
      </c>
      <c r="AF101" t="s">
        <v>52</v>
      </c>
      <c r="AH101">
        <v>0</v>
      </c>
      <c r="AI101">
        <v>0</v>
      </c>
      <c r="AJ101" t="s">
        <v>52</v>
      </c>
      <c r="AK101">
        <v>0</v>
      </c>
      <c r="AL101" t="s">
        <v>52</v>
      </c>
      <c r="AM101" t="s">
        <v>52</v>
      </c>
      <c r="AN101">
        <v>0</v>
      </c>
      <c r="AO101">
        <v>0</v>
      </c>
      <c r="AP101" t="s">
        <v>52</v>
      </c>
      <c r="AQ101" t="s">
        <v>52</v>
      </c>
      <c r="AR101" t="s">
        <v>62</v>
      </c>
      <c r="AS101" t="s">
        <v>52</v>
      </c>
      <c r="AT101" t="s">
        <v>52</v>
      </c>
      <c r="AU101" t="s">
        <v>64</v>
      </c>
      <c r="AV101" t="s">
        <v>62</v>
      </c>
      <c r="AW101" t="s">
        <v>65</v>
      </c>
      <c r="AX101" t="s">
        <v>66</v>
      </c>
      <c r="AY101" t="s">
        <v>67</v>
      </c>
    </row>
    <row r="102" spans="1:51" hidden="1" x14ac:dyDescent="0.25">
      <c r="A102">
        <v>202231</v>
      </c>
      <c r="B102" t="s">
        <v>473</v>
      </c>
      <c r="C102" t="e">
        <f>VLOOKUP(A102,[1]Customer_payment_journal_line!$AL:$BO,30,0)</f>
        <v>#N/A</v>
      </c>
      <c r="D102" t="s">
        <v>53</v>
      </c>
      <c r="E102" t="s">
        <v>471</v>
      </c>
      <c r="F102" t="s">
        <v>472</v>
      </c>
      <c r="G102" t="s">
        <v>238</v>
      </c>
      <c r="H102" t="s">
        <v>69</v>
      </c>
      <c r="I102" t="s">
        <v>453</v>
      </c>
      <c r="J102" t="s">
        <v>450</v>
      </c>
      <c r="K102" t="s">
        <v>466</v>
      </c>
      <c r="L102" t="s">
        <v>52</v>
      </c>
      <c r="M102">
        <v>0</v>
      </c>
      <c r="N102">
        <v>855</v>
      </c>
      <c r="O102" t="s">
        <v>61</v>
      </c>
      <c r="P102">
        <v>100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62</v>
      </c>
      <c r="W102" t="s">
        <v>52</v>
      </c>
      <c r="Y102" t="s">
        <v>454</v>
      </c>
      <c r="Z102" t="s">
        <v>62</v>
      </c>
      <c r="AB102" t="s">
        <v>474</v>
      </c>
      <c r="AE102" t="s">
        <v>475</v>
      </c>
      <c r="AF102" t="s">
        <v>52</v>
      </c>
      <c r="AH102">
        <v>0</v>
      </c>
      <c r="AI102">
        <v>0</v>
      </c>
      <c r="AJ102" t="s">
        <v>52</v>
      </c>
      <c r="AK102">
        <v>0</v>
      </c>
      <c r="AL102" t="s">
        <v>52</v>
      </c>
      <c r="AM102" t="s">
        <v>52</v>
      </c>
      <c r="AN102">
        <v>0</v>
      </c>
      <c r="AO102">
        <v>0</v>
      </c>
      <c r="AP102" t="s">
        <v>52</v>
      </c>
      <c r="AQ102" t="s">
        <v>52</v>
      </c>
      <c r="AR102" t="s">
        <v>62</v>
      </c>
      <c r="AS102" t="s">
        <v>52</v>
      </c>
      <c r="AT102" t="s">
        <v>74</v>
      </c>
      <c r="AU102" t="s">
        <v>64</v>
      </c>
      <c r="AV102" t="s">
        <v>62</v>
      </c>
      <c r="AW102" t="s">
        <v>65</v>
      </c>
      <c r="AX102" t="s">
        <v>66</v>
      </c>
      <c r="AY102" t="s">
        <v>67</v>
      </c>
    </row>
    <row r="103" spans="1:51" hidden="1" x14ac:dyDescent="0.25">
      <c r="A103">
        <v>202232</v>
      </c>
      <c r="B103" t="s">
        <v>476</v>
      </c>
      <c r="C103" t="e">
        <f>VLOOKUP(A103,[1]Customer_payment_journal_line!$AL:$BO,30,0)</f>
        <v>#N/A</v>
      </c>
      <c r="D103" t="s">
        <v>53</v>
      </c>
      <c r="E103" t="s">
        <v>477</v>
      </c>
      <c r="F103" t="s">
        <v>478</v>
      </c>
      <c r="G103" t="s">
        <v>238</v>
      </c>
      <c r="H103" t="s">
        <v>57</v>
      </c>
      <c r="I103" t="s">
        <v>319</v>
      </c>
      <c r="J103" t="s">
        <v>450</v>
      </c>
      <c r="K103" t="s">
        <v>479</v>
      </c>
      <c r="L103" t="s">
        <v>52</v>
      </c>
      <c r="M103">
        <v>6327</v>
      </c>
      <c r="N103">
        <v>0</v>
      </c>
      <c r="O103" t="s">
        <v>61</v>
      </c>
      <c r="P103">
        <v>100</v>
      </c>
      <c r="Q103" t="s">
        <v>52</v>
      </c>
      <c r="R103" t="s">
        <v>52</v>
      </c>
      <c r="S103" t="s">
        <v>52</v>
      </c>
      <c r="T103" t="s">
        <v>52</v>
      </c>
      <c r="U103" t="s">
        <v>52</v>
      </c>
      <c r="V103" t="s">
        <v>62</v>
      </c>
      <c r="W103" t="s">
        <v>63</v>
      </c>
      <c r="Y103" t="s">
        <v>52</v>
      </c>
      <c r="AB103" t="s">
        <v>52</v>
      </c>
      <c r="AE103" t="s">
        <v>52</v>
      </c>
      <c r="AF103" t="s">
        <v>52</v>
      </c>
      <c r="AH103">
        <v>0</v>
      </c>
      <c r="AI103">
        <v>0</v>
      </c>
      <c r="AJ103" t="s">
        <v>52</v>
      </c>
      <c r="AK103">
        <v>0</v>
      </c>
      <c r="AL103" t="s">
        <v>52</v>
      </c>
      <c r="AM103" t="s">
        <v>52</v>
      </c>
      <c r="AN103">
        <v>0</v>
      </c>
      <c r="AO103">
        <v>0</v>
      </c>
      <c r="AP103" t="s">
        <v>52</v>
      </c>
      <c r="AQ103" t="s">
        <v>52</v>
      </c>
      <c r="AR103" t="s">
        <v>62</v>
      </c>
      <c r="AS103" t="s">
        <v>52</v>
      </c>
      <c r="AT103" t="s">
        <v>52</v>
      </c>
      <c r="AU103" t="s">
        <v>64</v>
      </c>
      <c r="AV103" t="s">
        <v>62</v>
      </c>
      <c r="AW103" t="s">
        <v>65</v>
      </c>
      <c r="AX103" t="s">
        <v>66</v>
      </c>
      <c r="AY103" t="s">
        <v>67</v>
      </c>
    </row>
    <row r="104" spans="1:51" hidden="1" x14ac:dyDescent="0.25">
      <c r="A104">
        <v>202232</v>
      </c>
      <c r="B104" t="s">
        <v>480</v>
      </c>
      <c r="C104" t="e">
        <f>VLOOKUP(A104,[1]Customer_payment_journal_line!$AL:$BO,30,0)</f>
        <v>#N/A</v>
      </c>
      <c r="D104" t="s">
        <v>53</v>
      </c>
      <c r="E104" t="s">
        <v>477</v>
      </c>
      <c r="F104" t="s">
        <v>478</v>
      </c>
      <c r="G104" t="s">
        <v>238</v>
      </c>
      <c r="H104" t="s">
        <v>69</v>
      </c>
      <c r="I104" t="s">
        <v>453</v>
      </c>
      <c r="J104" t="s">
        <v>450</v>
      </c>
      <c r="K104" t="s">
        <v>479</v>
      </c>
      <c r="L104" t="s">
        <v>52</v>
      </c>
      <c r="M104">
        <v>0</v>
      </c>
      <c r="N104">
        <v>6327</v>
      </c>
      <c r="O104" t="s">
        <v>61</v>
      </c>
      <c r="P104">
        <v>100</v>
      </c>
      <c r="Q104" t="s">
        <v>52</v>
      </c>
      <c r="R104" t="s">
        <v>52</v>
      </c>
      <c r="S104" t="s">
        <v>52</v>
      </c>
      <c r="T104" t="s">
        <v>52</v>
      </c>
      <c r="U104" t="s">
        <v>52</v>
      </c>
      <c r="V104" t="s">
        <v>62</v>
      </c>
      <c r="W104" t="s">
        <v>52</v>
      </c>
      <c r="Y104" t="s">
        <v>454</v>
      </c>
      <c r="Z104" t="s">
        <v>62</v>
      </c>
      <c r="AB104" t="s">
        <v>481</v>
      </c>
      <c r="AE104" t="s">
        <v>482</v>
      </c>
      <c r="AF104" t="s">
        <v>52</v>
      </c>
      <c r="AH104">
        <v>0</v>
      </c>
      <c r="AI104">
        <v>0</v>
      </c>
      <c r="AJ104" t="s">
        <v>52</v>
      </c>
      <c r="AK104">
        <v>0</v>
      </c>
      <c r="AL104" t="s">
        <v>52</v>
      </c>
      <c r="AM104" t="s">
        <v>52</v>
      </c>
      <c r="AN104">
        <v>0</v>
      </c>
      <c r="AO104">
        <v>0</v>
      </c>
      <c r="AP104" t="s">
        <v>52</v>
      </c>
      <c r="AQ104" t="s">
        <v>52</v>
      </c>
      <c r="AR104" t="s">
        <v>62</v>
      </c>
      <c r="AS104" t="s">
        <v>52</v>
      </c>
      <c r="AT104" t="s">
        <v>74</v>
      </c>
      <c r="AU104" t="s">
        <v>64</v>
      </c>
      <c r="AV104" t="s">
        <v>62</v>
      </c>
      <c r="AW104" t="s">
        <v>65</v>
      </c>
      <c r="AX104" t="s">
        <v>66</v>
      </c>
      <c r="AY104" t="s">
        <v>67</v>
      </c>
    </row>
    <row r="105" spans="1:51" hidden="1" x14ac:dyDescent="0.25">
      <c r="A105">
        <v>202233</v>
      </c>
      <c r="B105" t="s">
        <v>483</v>
      </c>
      <c r="C105" t="e">
        <f>VLOOKUP(A105,[1]Customer_payment_journal_line!$AL:$BO,30,0)</f>
        <v>#N/A</v>
      </c>
      <c r="D105" t="s">
        <v>53</v>
      </c>
      <c r="E105" t="s">
        <v>484</v>
      </c>
      <c r="F105" t="s">
        <v>485</v>
      </c>
      <c r="G105" t="s">
        <v>238</v>
      </c>
      <c r="H105" t="s">
        <v>57</v>
      </c>
      <c r="I105" t="s">
        <v>319</v>
      </c>
      <c r="J105" t="s">
        <v>450</v>
      </c>
      <c r="K105" t="s">
        <v>479</v>
      </c>
      <c r="L105" t="s">
        <v>52</v>
      </c>
      <c r="M105">
        <v>855</v>
      </c>
      <c r="N105">
        <v>0</v>
      </c>
      <c r="O105" t="s">
        <v>61</v>
      </c>
      <c r="P105">
        <v>100</v>
      </c>
      <c r="Q105" t="s">
        <v>52</v>
      </c>
      <c r="R105" t="s">
        <v>52</v>
      </c>
      <c r="S105" t="s">
        <v>52</v>
      </c>
      <c r="T105" t="s">
        <v>52</v>
      </c>
      <c r="U105" t="s">
        <v>52</v>
      </c>
      <c r="V105" t="s">
        <v>62</v>
      </c>
      <c r="W105" t="s">
        <v>63</v>
      </c>
      <c r="Y105" t="s">
        <v>52</v>
      </c>
      <c r="AB105" t="s">
        <v>52</v>
      </c>
      <c r="AE105" t="s">
        <v>52</v>
      </c>
      <c r="AF105" t="s">
        <v>52</v>
      </c>
      <c r="AH105">
        <v>0</v>
      </c>
      <c r="AI105">
        <v>0</v>
      </c>
      <c r="AJ105" t="s">
        <v>52</v>
      </c>
      <c r="AK105">
        <v>0</v>
      </c>
      <c r="AL105" t="s">
        <v>52</v>
      </c>
      <c r="AM105" t="s">
        <v>52</v>
      </c>
      <c r="AN105">
        <v>0</v>
      </c>
      <c r="AO105">
        <v>0</v>
      </c>
      <c r="AP105" t="s">
        <v>52</v>
      </c>
      <c r="AQ105" t="s">
        <v>52</v>
      </c>
      <c r="AR105" t="s">
        <v>62</v>
      </c>
      <c r="AS105" t="s">
        <v>52</v>
      </c>
      <c r="AT105" t="s">
        <v>52</v>
      </c>
      <c r="AU105" t="s">
        <v>64</v>
      </c>
      <c r="AV105" t="s">
        <v>62</v>
      </c>
      <c r="AW105" t="s">
        <v>65</v>
      </c>
      <c r="AX105" t="s">
        <v>66</v>
      </c>
      <c r="AY105" t="s">
        <v>67</v>
      </c>
    </row>
    <row r="106" spans="1:51" hidden="1" x14ac:dyDescent="0.25">
      <c r="A106">
        <v>202233</v>
      </c>
      <c r="B106" t="s">
        <v>486</v>
      </c>
      <c r="C106" t="e">
        <f>VLOOKUP(A106,[1]Customer_payment_journal_line!$AL:$BO,30,0)</f>
        <v>#N/A</v>
      </c>
      <c r="D106" t="s">
        <v>53</v>
      </c>
      <c r="E106" t="s">
        <v>484</v>
      </c>
      <c r="F106" t="s">
        <v>485</v>
      </c>
      <c r="G106" t="s">
        <v>238</v>
      </c>
      <c r="H106" t="s">
        <v>69</v>
      </c>
      <c r="I106" t="s">
        <v>453</v>
      </c>
      <c r="J106" t="s">
        <v>450</v>
      </c>
      <c r="K106" t="s">
        <v>479</v>
      </c>
      <c r="L106" t="s">
        <v>52</v>
      </c>
      <c r="M106">
        <v>0</v>
      </c>
      <c r="N106">
        <v>855</v>
      </c>
      <c r="O106" t="s">
        <v>61</v>
      </c>
      <c r="P106">
        <v>100</v>
      </c>
      <c r="Q106" t="s">
        <v>52</v>
      </c>
      <c r="R106" t="s">
        <v>52</v>
      </c>
      <c r="S106" t="s">
        <v>52</v>
      </c>
      <c r="T106" t="s">
        <v>52</v>
      </c>
      <c r="U106" t="s">
        <v>52</v>
      </c>
      <c r="V106" t="s">
        <v>62</v>
      </c>
      <c r="W106" t="s">
        <v>52</v>
      </c>
      <c r="Y106" t="s">
        <v>454</v>
      </c>
      <c r="Z106" t="s">
        <v>62</v>
      </c>
      <c r="AB106" t="s">
        <v>487</v>
      </c>
      <c r="AE106" t="s">
        <v>488</v>
      </c>
      <c r="AF106" t="s">
        <v>52</v>
      </c>
      <c r="AH106">
        <v>0</v>
      </c>
      <c r="AI106">
        <v>0</v>
      </c>
      <c r="AJ106" t="s">
        <v>52</v>
      </c>
      <c r="AK106">
        <v>0</v>
      </c>
      <c r="AL106" t="s">
        <v>52</v>
      </c>
      <c r="AM106" t="s">
        <v>52</v>
      </c>
      <c r="AN106">
        <v>0</v>
      </c>
      <c r="AO106">
        <v>0</v>
      </c>
      <c r="AP106" t="s">
        <v>52</v>
      </c>
      <c r="AQ106" t="s">
        <v>52</v>
      </c>
      <c r="AR106" t="s">
        <v>62</v>
      </c>
      <c r="AS106" t="s">
        <v>52</v>
      </c>
      <c r="AT106" t="s">
        <v>74</v>
      </c>
      <c r="AU106" t="s">
        <v>64</v>
      </c>
      <c r="AV106" t="s">
        <v>62</v>
      </c>
      <c r="AW106" t="s">
        <v>65</v>
      </c>
      <c r="AX106" t="s">
        <v>66</v>
      </c>
      <c r="AY106" t="s">
        <v>67</v>
      </c>
    </row>
    <row r="107" spans="1:51" hidden="1" x14ac:dyDescent="0.25">
      <c r="A107">
        <v>317127</v>
      </c>
      <c r="B107" t="s">
        <v>489</v>
      </c>
      <c r="C107" t="e">
        <f>VLOOKUP(A107,[1]Customer_payment_journal_line!$AL:$BO,30,0)</f>
        <v>#N/A</v>
      </c>
      <c r="D107" t="s">
        <v>76</v>
      </c>
      <c r="E107" t="s">
        <v>490</v>
      </c>
      <c r="F107" t="s">
        <v>491</v>
      </c>
      <c r="G107" t="s">
        <v>238</v>
      </c>
      <c r="H107" t="s">
        <v>80</v>
      </c>
      <c r="I107" t="s">
        <v>81</v>
      </c>
      <c r="J107" t="s">
        <v>202</v>
      </c>
      <c r="K107" t="s">
        <v>281</v>
      </c>
      <c r="L107" t="s">
        <v>52</v>
      </c>
      <c r="M107">
        <v>1995</v>
      </c>
      <c r="N107">
        <v>0</v>
      </c>
      <c r="O107" t="s">
        <v>61</v>
      </c>
      <c r="P107">
        <v>100</v>
      </c>
      <c r="Q107" t="s">
        <v>52</v>
      </c>
      <c r="R107" t="s">
        <v>52</v>
      </c>
      <c r="S107" t="s">
        <v>52</v>
      </c>
      <c r="T107" t="s">
        <v>52</v>
      </c>
      <c r="U107" t="s">
        <v>52</v>
      </c>
      <c r="V107" t="s">
        <v>62</v>
      </c>
      <c r="W107" t="s">
        <v>52</v>
      </c>
      <c r="Y107" t="s">
        <v>52</v>
      </c>
      <c r="AB107" t="s">
        <v>492</v>
      </c>
      <c r="AE107" t="s">
        <v>492</v>
      </c>
      <c r="AF107" t="s">
        <v>52</v>
      </c>
      <c r="AH107">
        <v>0</v>
      </c>
      <c r="AI107">
        <v>0</v>
      </c>
      <c r="AJ107" t="s">
        <v>52</v>
      </c>
      <c r="AK107">
        <v>0</v>
      </c>
      <c r="AL107" t="s">
        <v>52</v>
      </c>
      <c r="AM107" t="s">
        <v>52</v>
      </c>
      <c r="AN107">
        <v>0</v>
      </c>
      <c r="AO107">
        <v>0</v>
      </c>
      <c r="AP107" t="s">
        <v>52</v>
      </c>
      <c r="AQ107" t="s">
        <v>52</v>
      </c>
      <c r="AR107" t="s">
        <v>62</v>
      </c>
      <c r="AS107" t="s">
        <v>52</v>
      </c>
      <c r="AT107" t="s">
        <v>52</v>
      </c>
      <c r="AU107" t="s">
        <v>64</v>
      </c>
      <c r="AV107" t="s">
        <v>62</v>
      </c>
      <c r="AW107" t="s">
        <v>65</v>
      </c>
      <c r="AX107" t="s">
        <v>66</v>
      </c>
      <c r="AY107" t="s">
        <v>76</v>
      </c>
    </row>
    <row r="108" spans="1:51" hidden="1" x14ac:dyDescent="0.25">
      <c r="A108">
        <v>317127</v>
      </c>
      <c r="B108" t="s">
        <v>493</v>
      </c>
      <c r="C108" t="e">
        <f>VLOOKUP(A108,[1]Customer_payment_journal_line!$AL:$BO,30,0)</f>
        <v>#N/A</v>
      </c>
      <c r="D108" t="s">
        <v>76</v>
      </c>
      <c r="E108" t="s">
        <v>490</v>
      </c>
      <c r="F108" t="s">
        <v>491</v>
      </c>
      <c r="G108" t="s">
        <v>238</v>
      </c>
      <c r="H108" t="s">
        <v>69</v>
      </c>
      <c r="I108" t="s">
        <v>283</v>
      </c>
      <c r="J108" t="s">
        <v>494</v>
      </c>
      <c r="K108" t="s">
        <v>281</v>
      </c>
      <c r="L108" t="s">
        <v>52</v>
      </c>
      <c r="M108">
        <v>0</v>
      </c>
      <c r="N108">
        <v>35</v>
      </c>
      <c r="O108" t="s">
        <v>126</v>
      </c>
      <c r="P108">
        <v>5285</v>
      </c>
      <c r="Q108" t="s">
        <v>52</v>
      </c>
      <c r="R108" t="s">
        <v>52</v>
      </c>
      <c r="S108" t="s">
        <v>52</v>
      </c>
      <c r="T108" t="s">
        <v>52</v>
      </c>
      <c r="U108" t="s">
        <v>52</v>
      </c>
      <c r="V108" t="s">
        <v>62</v>
      </c>
      <c r="W108" t="s">
        <v>52</v>
      </c>
      <c r="Y108" t="s">
        <v>284</v>
      </c>
      <c r="Z108" t="s">
        <v>62</v>
      </c>
      <c r="AB108" t="s">
        <v>492</v>
      </c>
      <c r="AE108" t="s">
        <v>492</v>
      </c>
      <c r="AF108" t="s">
        <v>52</v>
      </c>
      <c r="AH108">
        <v>0</v>
      </c>
      <c r="AI108">
        <v>0</v>
      </c>
      <c r="AJ108" t="s">
        <v>52</v>
      </c>
      <c r="AK108">
        <v>0</v>
      </c>
      <c r="AL108" t="s">
        <v>52</v>
      </c>
      <c r="AM108" t="s">
        <v>52</v>
      </c>
      <c r="AN108">
        <v>0</v>
      </c>
      <c r="AO108">
        <v>0</v>
      </c>
      <c r="AP108" t="s">
        <v>52</v>
      </c>
      <c r="AQ108" t="s">
        <v>52</v>
      </c>
      <c r="AR108" t="s">
        <v>62</v>
      </c>
      <c r="AS108" t="s">
        <v>52</v>
      </c>
      <c r="AT108" t="s">
        <v>74</v>
      </c>
      <c r="AU108" t="s">
        <v>64</v>
      </c>
      <c r="AV108" t="s">
        <v>62</v>
      </c>
      <c r="AW108" t="s">
        <v>65</v>
      </c>
      <c r="AX108" t="s">
        <v>66</v>
      </c>
      <c r="AY108" t="s">
        <v>76</v>
      </c>
    </row>
    <row r="109" spans="1:51" hidden="1" x14ac:dyDescent="0.25">
      <c r="A109">
        <v>317127</v>
      </c>
      <c r="B109" t="s">
        <v>495</v>
      </c>
      <c r="C109" t="e">
        <f>VLOOKUP(A109,[1]Customer_payment_journal_line!$AL:$BO,30,0)</f>
        <v>#N/A</v>
      </c>
      <c r="D109" t="s">
        <v>76</v>
      </c>
      <c r="E109" t="s">
        <v>490</v>
      </c>
      <c r="F109" t="s">
        <v>491</v>
      </c>
      <c r="G109" t="s">
        <v>238</v>
      </c>
      <c r="H109" t="s">
        <v>210</v>
      </c>
      <c r="I109" t="s">
        <v>496</v>
      </c>
      <c r="J109" t="s">
        <v>52</v>
      </c>
      <c r="K109" t="s">
        <v>281</v>
      </c>
      <c r="L109" t="s">
        <v>52</v>
      </c>
      <c r="M109">
        <v>0</v>
      </c>
      <c r="N109">
        <v>145.25</v>
      </c>
      <c r="O109" t="s">
        <v>61</v>
      </c>
      <c r="P109">
        <v>100</v>
      </c>
      <c r="Q109" t="s">
        <v>52</v>
      </c>
      <c r="R109" t="s">
        <v>52</v>
      </c>
      <c r="S109" t="s">
        <v>52</v>
      </c>
      <c r="T109" t="s">
        <v>52</v>
      </c>
      <c r="U109" t="s">
        <v>52</v>
      </c>
      <c r="V109" t="s">
        <v>62</v>
      </c>
      <c r="W109" t="s">
        <v>63</v>
      </c>
      <c r="Y109" t="s">
        <v>284</v>
      </c>
      <c r="AB109" t="s">
        <v>492</v>
      </c>
      <c r="AE109" t="s">
        <v>492</v>
      </c>
      <c r="AF109" t="s">
        <v>52</v>
      </c>
      <c r="AH109">
        <v>0</v>
      </c>
      <c r="AI109">
        <v>0</v>
      </c>
      <c r="AJ109" t="s">
        <v>52</v>
      </c>
      <c r="AK109">
        <v>0</v>
      </c>
      <c r="AL109" t="s">
        <v>52</v>
      </c>
      <c r="AM109" t="s">
        <v>52</v>
      </c>
      <c r="AN109">
        <v>0</v>
      </c>
      <c r="AO109">
        <v>0</v>
      </c>
      <c r="AP109" t="s">
        <v>52</v>
      </c>
      <c r="AQ109" t="s">
        <v>52</v>
      </c>
      <c r="AR109" t="s">
        <v>62</v>
      </c>
      <c r="AS109" t="s">
        <v>52</v>
      </c>
      <c r="AT109" t="s">
        <v>52</v>
      </c>
      <c r="AU109" t="s">
        <v>64</v>
      </c>
      <c r="AV109" t="s">
        <v>62</v>
      </c>
      <c r="AW109" t="s">
        <v>65</v>
      </c>
      <c r="AX109" t="s">
        <v>66</v>
      </c>
      <c r="AY109" t="s">
        <v>76</v>
      </c>
    </row>
    <row r="110" spans="1:51" hidden="1" x14ac:dyDescent="0.25">
      <c r="A110">
        <v>202243</v>
      </c>
      <c r="B110" t="s">
        <v>497</v>
      </c>
      <c r="C110" t="e">
        <f>VLOOKUP(A110,[1]Customer_payment_journal_line!$AL:$BO,30,0)</f>
        <v>#N/A</v>
      </c>
      <c r="D110" t="s">
        <v>53</v>
      </c>
      <c r="E110" t="s">
        <v>498</v>
      </c>
      <c r="F110" t="s">
        <v>499</v>
      </c>
      <c r="G110" t="s">
        <v>238</v>
      </c>
      <c r="H110" t="s">
        <v>57</v>
      </c>
      <c r="I110" t="s">
        <v>58</v>
      </c>
      <c r="J110" t="s">
        <v>500</v>
      </c>
      <c r="K110" t="s">
        <v>501</v>
      </c>
      <c r="L110" t="s">
        <v>52</v>
      </c>
      <c r="M110">
        <v>2052</v>
      </c>
      <c r="N110">
        <v>0</v>
      </c>
      <c r="O110" t="s">
        <v>61</v>
      </c>
      <c r="P110">
        <v>100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62</v>
      </c>
      <c r="W110" t="s">
        <v>63</v>
      </c>
      <c r="Y110" t="s">
        <v>52</v>
      </c>
      <c r="AB110" t="s">
        <v>52</v>
      </c>
      <c r="AE110" t="s">
        <v>52</v>
      </c>
      <c r="AF110" t="s">
        <v>52</v>
      </c>
      <c r="AH110">
        <v>0</v>
      </c>
      <c r="AI110">
        <v>0</v>
      </c>
      <c r="AJ110" t="s">
        <v>52</v>
      </c>
      <c r="AK110">
        <v>0</v>
      </c>
      <c r="AL110" t="s">
        <v>52</v>
      </c>
      <c r="AM110" t="s">
        <v>52</v>
      </c>
      <c r="AN110">
        <v>0</v>
      </c>
      <c r="AO110">
        <v>0</v>
      </c>
      <c r="AP110" t="s">
        <v>52</v>
      </c>
      <c r="AQ110" t="s">
        <v>52</v>
      </c>
      <c r="AR110" t="s">
        <v>62</v>
      </c>
      <c r="AS110" t="s">
        <v>52</v>
      </c>
      <c r="AT110" t="s">
        <v>52</v>
      </c>
      <c r="AU110" t="s">
        <v>64</v>
      </c>
      <c r="AV110" t="s">
        <v>62</v>
      </c>
      <c r="AW110" t="s">
        <v>65</v>
      </c>
      <c r="AX110" t="s">
        <v>66</v>
      </c>
      <c r="AY110" t="s">
        <v>67</v>
      </c>
    </row>
    <row r="111" spans="1:51" hidden="1" x14ac:dyDescent="0.25">
      <c r="A111">
        <v>202243</v>
      </c>
      <c r="B111" t="s">
        <v>502</v>
      </c>
      <c r="C111" t="e">
        <f>VLOOKUP(A111,[1]Customer_payment_journal_line!$AL:$BO,30,0)</f>
        <v>#N/A</v>
      </c>
      <c r="D111" t="s">
        <v>53</v>
      </c>
      <c r="E111" t="s">
        <v>498</v>
      </c>
      <c r="F111" t="s">
        <v>499</v>
      </c>
      <c r="G111" t="s">
        <v>238</v>
      </c>
      <c r="H111" t="s">
        <v>69</v>
      </c>
      <c r="I111" t="s">
        <v>503</v>
      </c>
      <c r="J111" t="s">
        <v>500</v>
      </c>
      <c r="K111" t="s">
        <v>501</v>
      </c>
      <c r="L111" t="s">
        <v>52</v>
      </c>
      <c r="M111">
        <v>0</v>
      </c>
      <c r="N111">
        <v>2052</v>
      </c>
      <c r="O111" t="s">
        <v>61</v>
      </c>
      <c r="P111">
        <v>100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62</v>
      </c>
      <c r="W111" t="s">
        <v>52</v>
      </c>
      <c r="Y111" t="s">
        <v>504</v>
      </c>
      <c r="Z111" t="s">
        <v>62</v>
      </c>
      <c r="AB111" t="s">
        <v>505</v>
      </c>
      <c r="AE111" t="s">
        <v>506</v>
      </c>
      <c r="AF111" t="s">
        <v>52</v>
      </c>
      <c r="AH111">
        <v>0</v>
      </c>
      <c r="AI111">
        <v>0</v>
      </c>
      <c r="AJ111" t="s">
        <v>52</v>
      </c>
      <c r="AK111">
        <v>0</v>
      </c>
      <c r="AL111" t="s">
        <v>52</v>
      </c>
      <c r="AM111" t="s">
        <v>52</v>
      </c>
      <c r="AN111">
        <v>0</v>
      </c>
      <c r="AO111">
        <v>0</v>
      </c>
      <c r="AP111" t="s">
        <v>52</v>
      </c>
      <c r="AQ111" t="s">
        <v>52</v>
      </c>
      <c r="AR111" t="s">
        <v>62</v>
      </c>
      <c r="AS111" t="s">
        <v>52</v>
      </c>
      <c r="AT111" t="s">
        <v>74</v>
      </c>
      <c r="AU111" t="s">
        <v>64</v>
      </c>
      <c r="AV111" t="s">
        <v>62</v>
      </c>
      <c r="AW111" t="s">
        <v>65</v>
      </c>
      <c r="AX111" t="s">
        <v>66</v>
      </c>
      <c r="AY111" t="s">
        <v>67</v>
      </c>
    </row>
    <row r="112" spans="1:51" hidden="1" x14ac:dyDescent="0.25">
      <c r="A112">
        <v>202244</v>
      </c>
      <c r="B112" t="s">
        <v>507</v>
      </c>
      <c r="C112" t="e">
        <f>VLOOKUP(A112,[1]Customer_payment_journal_line!$AL:$BO,30,0)</f>
        <v>#N/A</v>
      </c>
      <c r="D112" t="s">
        <v>53</v>
      </c>
      <c r="E112" t="s">
        <v>508</v>
      </c>
      <c r="F112" t="s">
        <v>509</v>
      </c>
      <c r="G112" t="s">
        <v>238</v>
      </c>
      <c r="H112" t="s">
        <v>57</v>
      </c>
      <c r="I112" t="s">
        <v>58</v>
      </c>
      <c r="J112" t="s">
        <v>500</v>
      </c>
      <c r="K112" t="s">
        <v>501</v>
      </c>
      <c r="L112" t="s">
        <v>52</v>
      </c>
      <c r="M112">
        <v>855</v>
      </c>
      <c r="N112">
        <v>0</v>
      </c>
      <c r="O112" t="s">
        <v>61</v>
      </c>
      <c r="P112">
        <v>100</v>
      </c>
      <c r="Q112" t="s">
        <v>52</v>
      </c>
      <c r="R112" t="s">
        <v>52</v>
      </c>
      <c r="S112" t="s">
        <v>52</v>
      </c>
      <c r="T112" t="s">
        <v>52</v>
      </c>
      <c r="U112" t="s">
        <v>52</v>
      </c>
      <c r="V112" t="s">
        <v>62</v>
      </c>
      <c r="W112" t="s">
        <v>63</v>
      </c>
      <c r="Y112" t="s">
        <v>52</v>
      </c>
      <c r="AB112" t="s">
        <v>52</v>
      </c>
      <c r="AE112" t="s">
        <v>52</v>
      </c>
      <c r="AF112" t="s">
        <v>52</v>
      </c>
      <c r="AH112">
        <v>0</v>
      </c>
      <c r="AI112">
        <v>0</v>
      </c>
      <c r="AJ112" t="s">
        <v>52</v>
      </c>
      <c r="AK112">
        <v>0</v>
      </c>
      <c r="AL112" t="s">
        <v>52</v>
      </c>
      <c r="AM112" t="s">
        <v>52</v>
      </c>
      <c r="AN112">
        <v>0</v>
      </c>
      <c r="AO112">
        <v>0</v>
      </c>
      <c r="AP112" t="s">
        <v>52</v>
      </c>
      <c r="AQ112" t="s">
        <v>52</v>
      </c>
      <c r="AR112" t="s">
        <v>62</v>
      </c>
      <c r="AS112" t="s">
        <v>52</v>
      </c>
      <c r="AT112" t="s">
        <v>52</v>
      </c>
      <c r="AU112" t="s">
        <v>64</v>
      </c>
      <c r="AV112" t="s">
        <v>62</v>
      </c>
      <c r="AW112" t="s">
        <v>65</v>
      </c>
      <c r="AX112" t="s">
        <v>66</v>
      </c>
      <c r="AY112" t="s">
        <v>67</v>
      </c>
    </row>
    <row r="113" spans="1:51" hidden="1" x14ac:dyDescent="0.25">
      <c r="A113">
        <v>202244</v>
      </c>
      <c r="B113" t="s">
        <v>510</v>
      </c>
      <c r="C113" t="e">
        <f>VLOOKUP(A113,[1]Customer_payment_journal_line!$AL:$BO,30,0)</f>
        <v>#N/A</v>
      </c>
      <c r="D113" t="s">
        <v>53</v>
      </c>
      <c r="E113" t="s">
        <v>508</v>
      </c>
      <c r="F113" t="s">
        <v>509</v>
      </c>
      <c r="G113" t="s">
        <v>238</v>
      </c>
      <c r="H113" t="s">
        <v>69</v>
      </c>
      <c r="I113" t="s">
        <v>503</v>
      </c>
      <c r="J113" t="s">
        <v>500</v>
      </c>
      <c r="K113" t="s">
        <v>501</v>
      </c>
      <c r="L113" t="s">
        <v>52</v>
      </c>
      <c r="M113">
        <v>0</v>
      </c>
      <c r="N113">
        <v>855</v>
      </c>
      <c r="O113" t="s">
        <v>61</v>
      </c>
      <c r="P113">
        <v>100</v>
      </c>
      <c r="Q113" t="s">
        <v>52</v>
      </c>
      <c r="R113" t="s">
        <v>52</v>
      </c>
      <c r="S113" t="s">
        <v>52</v>
      </c>
      <c r="T113" t="s">
        <v>52</v>
      </c>
      <c r="U113" t="s">
        <v>52</v>
      </c>
      <c r="V113" t="s">
        <v>62</v>
      </c>
      <c r="W113" t="s">
        <v>52</v>
      </c>
      <c r="Y113" t="s">
        <v>504</v>
      </c>
      <c r="Z113" t="s">
        <v>62</v>
      </c>
      <c r="AB113" t="s">
        <v>511</v>
      </c>
      <c r="AE113" t="s">
        <v>512</v>
      </c>
      <c r="AF113" t="s">
        <v>52</v>
      </c>
      <c r="AH113">
        <v>0</v>
      </c>
      <c r="AI113">
        <v>0</v>
      </c>
      <c r="AJ113" t="s">
        <v>52</v>
      </c>
      <c r="AK113">
        <v>0</v>
      </c>
      <c r="AL113" t="s">
        <v>52</v>
      </c>
      <c r="AM113" t="s">
        <v>52</v>
      </c>
      <c r="AN113">
        <v>0</v>
      </c>
      <c r="AO113">
        <v>0</v>
      </c>
      <c r="AP113" t="s">
        <v>52</v>
      </c>
      <c r="AQ113" t="s">
        <v>52</v>
      </c>
      <c r="AR113" t="s">
        <v>62</v>
      </c>
      <c r="AS113" t="s">
        <v>52</v>
      </c>
      <c r="AT113" t="s">
        <v>74</v>
      </c>
      <c r="AU113" t="s">
        <v>64</v>
      </c>
      <c r="AV113" t="s">
        <v>62</v>
      </c>
      <c r="AW113" t="s">
        <v>65</v>
      </c>
      <c r="AX113" t="s">
        <v>66</v>
      </c>
      <c r="AY113" t="s">
        <v>67</v>
      </c>
    </row>
    <row r="114" spans="1:51" hidden="1" x14ac:dyDescent="0.25">
      <c r="A114">
        <v>317128</v>
      </c>
      <c r="B114" t="s">
        <v>513</v>
      </c>
      <c r="C114" t="e">
        <f>VLOOKUP(A114,[1]Customer_payment_journal_line!$AL:$BO,30,0)</f>
        <v>#N/A</v>
      </c>
      <c r="D114" t="s">
        <v>53</v>
      </c>
      <c r="E114" t="s">
        <v>514</v>
      </c>
      <c r="F114" t="s">
        <v>515</v>
      </c>
      <c r="G114" t="s">
        <v>238</v>
      </c>
      <c r="H114" t="s">
        <v>201</v>
      </c>
      <c r="I114" t="s">
        <v>516</v>
      </c>
      <c r="J114" t="s">
        <v>202</v>
      </c>
      <c r="K114" t="s">
        <v>501</v>
      </c>
      <c r="L114" t="s">
        <v>52</v>
      </c>
      <c r="M114">
        <v>150</v>
      </c>
      <c r="N114">
        <v>0</v>
      </c>
      <c r="O114" t="s">
        <v>178</v>
      </c>
      <c r="P114">
        <v>5085</v>
      </c>
      <c r="Q114" t="s">
        <v>52</v>
      </c>
      <c r="R114" t="s">
        <v>52</v>
      </c>
      <c r="S114" t="s">
        <v>52</v>
      </c>
      <c r="T114" t="s">
        <v>52</v>
      </c>
      <c r="U114" t="s">
        <v>52</v>
      </c>
      <c r="V114" t="s">
        <v>62</v>
      </c>
      <c r="W114" t="s">
        <v>63</v>
      </c>
      <c r="Y114" t="s">
        <v>52</v>
      </c>
      <c r="AB114" t="s">
        <v>517</v>
      </c>
      <c r="AE114" t="s">
        <v>517</v>
      </c>
      <c r="AF114" t="s">
        <v>52</v>
      </c>
      <c r="AH114">
        <v>0</v>
      </c>
      <c r="AI114">
        <v>0</v>
      </c>
      <c r="AJ114" t="s">
        <v>52</v>
      </c>
      <c r="AK114">
        <v>0</v>
      </c>
      <c r="AL114" t="s">
        <v>52</v>
      </c>
      <c r="AM114" t="s">
        <v>52</v>
      </c>
      <c r="AN114">
        <v>0</v>
      </c>
      <c r="AO114">
        <v>0</v>
      </c>
      <c r="AP114" t="s">
        <v>52</v>
      </c>
      <c r="AQ114" t="s">
        <v>52</v>
      </c>
      <c r="AR114" t="s">
        <v>62</v>
      </c>
      <c r="AS114" t="s">
        <v>52</v>
      </c>
      <c r="AT114" t="s">
        <v>52</v>
      </c>
      <c r="AU114" t="s">
        <v>64</v>
      </c>
      <c r="AV114" t="s">
        <v>62</v>
      </c>
      <c r="AW114" t="s">
        <v>65</v>
      </c>
      <c r="AX114" t="s">
        <v>66</v>
      </c>
      <c r="AY114" t="s">
        <v>67</v>
      </c>
    </row>
    <row r="115" spans="1:51" hidden="1" x14ac:dyDescent="0.25">
      <c r="A115">
        <v>317128</v>
      </c>
      <c r="B115" t="s">
        <v>518</v>
      </c>
      <c r="C115" t="e">
        <f>VLOOKUP(A115,[1]Customer_payment_journal_line!$AL:$BO,30,0)</f>
        <v>#N/A</v>
      </c>
      <c r="D115" t="s">
        <v>53</v>
      </c>
      <c r="E115" t="s">
        <v>514</v>
      </c>
      <c r="F115" t="s">
        <v>515</v>
      </c>
      <c r="G115" t="s">
        <v>238</v>
      </c>
      <c r="H115" t="s">
        <v>201</v>
      </c>
      <c r="I115" t="s">
        <v>58</v>
      </c>
      <c r="J115" t="s">
        <v>202</v>
      </c>
      <c r="K115" t="s">
        <v>501</v>
      </c>
      <c r="L115" t="s">
        <v>52</v>
      </c>
      <c r="M115">
        <v>4770</v>
      </c>
      <c r="N115">
        <v>0</v>
      </c>
      <c r="O115" t="s">
        <v>61</v>
      </c>
      <c r="P115">
        <v>100</v>
      </c>
      <c r="Q115" t="s">
        <v>52</v>
      </c>
      <c r="R115" t="s">
        <v>52</v>
      </c>
      <c r="S115" t="s">
        <v>52</v>
      </c>
      <c r="T115" t="s">
        <v>52</v>
      </c>
      <c r="U115" t="s">
        <v>52</v>
      </c>
      <c r="V115" t="s">
        <v>62</v>
      </c>
      <c r="W115" t="s">
        <v>63</v>
      </c>
      <c r="Y115" t="s">
        <v>52</v>
      </c>
      <c r="AB115" t="s">
        <v>517</v>
      </c>
      <c r="AE115" t="s">
        <v>517</v>
      </c>
      <c r="AF115" t="s">
        <v>52</v>
      </c>
      <c r="AH115">
        <v>0</v>
      </c>
      <c r="AI115">
        <v>0</v>
      </c>
      <c r="AJ115" t="s">
        <v>52</v>
      </c>
      <c r="AK115">
        <v>0</v>
      </c>
      <c r="AL115" t="s">
        <v>52</v>
      </c>
      <c r="AM115" t="s">
        <v>52</v>
      </c>
      <c r="AN115">
        <v>0</v>
      </c>
      <c r="AO115">
        <v>0</v>
      </c>
      <c r="AP115" t="s">
        <v>52</v>
      </c>
      <c r="AQ115" t="s">
        <v>52</v>
      </c>
      <c r="AR115" t="s">
        <v>62</v>
      </c>
      <c r="AS115" t="s">
        <v>52</v>
      </c>
      <c r="AT115" t="s">
        <v>52</v>
      </c>
      <c r="AU115" t="s">
        <v>64</v>
      </c>
      <c r="AV115" t="s">
        <v>62</v>
      </c>
      <c r="AW115" t="s">
        <v>65</v>
      </c>
      <c r="AX115" t="s">
        <v>66</v>
      </c>
      <c r="AY115" t="s">
        <v>67</v>
      </c>
    </row>
    <row r="116" spans="1:51" hidden="1" x14ac:dyDescent="0.25">
      <c r="A116">
        <v>317128</v>
      </c>
      <c r="B116" t="s">
        <v>519</v>
      </c>
      <c r="C116" t="e">
        <f>VLOOKUP(A116,[1]Customer_payment_journal_line!$AL:$BO,30,0)</f>
        <v>#N/A</v>
      </c>
      <c r="D116" t="s">
        <v>53</v>
      </c>
      <c r="E116" t="s">
        <v>514</v>
      </c>
      <c r="F116" t="s">
        <v>515</v>
      </c>
      <c r="G116" t="s">
        <v>238</v>
      </c>
      <c r="H116" t="s">
        <v>69</v>
      </c>
      <c r="I116" t="s">
        <v>503</v>
      </c>
      <c r="J116" t="s">
        <v>520</v>
      </c>
      <c r="K116" t="s">
        <v>501</v>
      </c>
      <c r="L116" t="s">
        <v>52</v>
      </c>
      <c r="M116">
        <v>0</v>
      </c>
      <c r="N116">
        <v>240</v>
      </c>
      <c r="O116" t="s">
        <v>178</v>
      </c>
      <c r="P116">
        <v>5085</v>
      </c>
      <c r="Q116" t="s">
        <v>52</v>
      </c>
      <c r="R116" t="s">
        <v>52</v>
      </c>
      <c r="S116" t="s">
        <v>52</v>
      </c>
      <c r="T116" t="s">
        <v>52</v>
      </c>
      <c r="U116" t="s">
        <v>52</v>
      </c>
      <c r="V116" t="s">
        <v>62</v>
      </c>
      <c r="W116" t="s">
        <v>52</v>
      </c>
      <c r="Y116" t="s">
        <v>504</v>
      </c>
      <c r="Z116" t="s">
        <v>62</v>
      </c>
      <c r="AB116" t="s">
        <v>517</v>
      </c>
      <c r="AE116" t="s">
        <v>517</v>
      </c>
      <c r="AF116" t="s">
        <v>52</v>
      </c>
      <c r="AH116">
        <v>0</v>
      </c>
      <c r="AI116">
        <v>0</v>
      </c>
      <c r="AJ116" t="s">
        <v>52</v>
      </c>
      <c r="AK116">
        <v>0</v>
      </c>
      <c r="AL116" t="s">
        <v>52</v>
      </c>
      <c r="AM116" t="s">
        <v>52</v>
      </c>
      <c r="AN116">
        <v>0</v>
      </c>
      <c r="AO116">
        <v>0</v>
      </c>
      <c r="AP116" t="s">
        <v>52</v>
      </c>
      <c r="AQ116" t="s">
        <v>52</v>
      </c>
      <c r="AR116" t="s">
        <v>62</v>
      </c>
      <c r="AS116" t="s">
        <v>52</v>
      </c>
      <c r="AT116" t="s">
        <v>74</v>
      </c>
      <c r="AU116" t="s">
        <v>64</v>
      </c>
      <c r="AV116" t="s">
        <v>62</v>
      </c>
      <c r="AW116" t="s">
        <v>65</v>
      </c>
      <c r="AX116" t="s">
        <v>66</v>
      </c>
      <c r="AY116" t="s">
        <v>67</v>
      </c>
    </row>
    <row r="117" spans="1:51" hidden="1" x14ac:dyDescent="0.25">
      <c r="A117">
        <v>317128</v>
      </c>
      <c r="B117" t="s">
        <v>521</v>
      </c>
      <c r="C117" t="e">
        <f>VLOOKUP(A117,[1]Customer_payment_journal_line!$AL:$BO,30,0)</f>
        <v>#N/A</v>
      </c>
      <c r="D117" t="s">
        <v>53</v>
      </c>
      <c r="E117" t="s">
        <v>514</v>
      </c>
      <c r="F117" t="s">
        <v>515</v>
      </c>
      <c r="G117" t="s">
        <v>238</v>
      </c>
      <c r="H117" t="s">
        <v>210</v>
      </c>
      <c r="I117" t="s">
        <v>522</v>
      </c>
      <c r="J117" t="s">
        <v>52</v>
      </c>
      <c r="K117" t="s">
        <v>501</v>
      </c>
      <c r="L117" t="s">
        <v>52</v>
      </c>
      <c r="M117">
        <v>0</v>
      </c>
      <c r="N117">
        <v>193.5</v>
      </c>
      <c r="O117" t="s">
        <v>61</v>
      </c>
      <c r="P117">
        <v>100</v>
      </c>
      <c r="Q117" t="s">
        <v>52</v>
      </c>
      <c r="R117" t="s">
        <v>52</v>
      </c>
      <c r="S117" t="s">
        <v>52</v>
      </c>
      <c r="T117" t="s">
        <v>52</v>
      </c>
      <c r="U117" t="s">
        <v>52</v>
      </c>
      <c r="V117" t="s">
        <v>62</v>
      </c>
      <c r="W117" t="s">
        <v>63</v>
      </c>
      <c r="Y117" t="s">
        <v>504</v>
      </c>
      <c r="AB117" t="s">
        <v>517</v>
      </c>
      <c r="AE117" t="s">
        <v>517</v>
      </c>
      <c r="AF117" t="s">
        <v>52</v>
      </c>
      <c r="AH117">
        <v>0</v>
      </c>
      <c r="AI117">
        <v>0</v>
      </c>
      <c r="AJ117" t="s">
        <v>52</v>
      </c>
      <c r="AK117">
        <v>0</v>
      </c>
      <c r="AL117" t="s">
        <v>52</v>
      </c>
      <c r="AM117" t="s">
        <v>52</v>
      </c>
      <c r="AN117">
        <v>0</v>
      </c>
      <c r="AO117">
        <v>0</v>
      </c>
      <c r="AP117" t="s">
        <v>52</v>
      </c>
      <c r="AQ117" t="s">
        <v>52</v>
      </c>
      <c r="AR117" t="s">
        <v>62</v>
      </c>
      <c r="AS117" t="s">
        <v>52</v>
      </c>
      <c r="AT117" t="s">
        <v>52</v>
      </c>
      <c r="AU117" t="s">
        <v>64</v>
      </c>
      <c r="AV117" t="s">
        <v>62</v>
      </c>
      <c r="AW117" t="s">
        <v>65</v>
      </c>
      <c r="AX117" t="s">
        <v>66</v>
      </c>
      <c r="AY117" t="s">
        <v>67</v>
      </c>
    </row>
    <row r="118" spans="1:51" hidden="1" x14ac:dyDescent="0.25">
      <c r="A118">
        <v>202247</v>
      </c>
      <c r="B118" t="s">
        <v>523</v>
      </c>
      <c r="C118" t="e">
        <f>VLOOKUP(A118,[1]Customer_payment_journal_line!$AL:$BO,30,0)</f>
        <v>#N/A</v>
      </c>
      <c r="D118" t="s">
        <v>53</v>
      </c>
      <c r="E118" t="s">
        <v>524</v>
      </c>
      <c r="F118" t="s">
        <v>525</v>
      </c>
      <c r="G118" t="s">
        <v>238</v>
      </c>
      <c r="H118" t="s">
        <v>57</v>
      </c>
      <c r="I118" t="s">
        <v>58</v>
      </c>
      <c r="J118" t="s">
        <v>526</v>
      </c>
      <c r="K118" t="s">
        <v>527</v>
      </c>
      <c r="L118" t="s">
        <v>52</v>
      </c>
      <c r="M118">
        <v>5928</v>
      </c>
      <c r="N118">
        <v>0</v>
      </c>
      <c r="O118" t="s">
        <v>61</v>
      </c>
      <c r="P118">
        <v>100</v>
      </c>
      <c r="Q118" t="s">
        <v>52</v>
      </c>
      <c r="R118" t="s">
        <v>52</v>
      </c>
      <c r="S118" t="s">
        <v>52</v>
      </c>
      <c r="T118" t="s">
        <v>52</v>
      </c>
      <c r="U118" t="s">
        <v>52</v>
      </c>
      <c r="V118" t="s">
        <v>62</v>
      </c>
      <c r="W118" t="s">
        <v>63</v>
      </c>
      <c r="Y118" t="s">
        <v>52</v>
      </c>
      <c r="AB118" t="s">
        <v>52</v>
      </c>
      <c r="AE118" t="s">
        <v>52</v>
      </c>
      <c r="AF118" t="s">
        <v>52</v>
      </c>
      <c r="AH118">
        <v>0</v>
      </c>
      <c r="AI118">
        <v>0</v>
      </c>
      <c r="AJ118" t="s">
        <v>52</v>
      </c>
      <c r="AK118">
        <v>0</v>
      </c>
      <c r="AL118" t="s">
        <v>52</v>
      </c>
      <c r="AM118" t="s">
        <v>52</v>
      </c>
      <c r="AN118">
        <v>0</v>
      </c>
      <c r="AO118">
        <v>0</v>
      </c>
      <c r="AP118" t="s">
        <v>52</v>
      </c>
      <c r="AQ118" t="s">
        <v>52</v>
      </c>
      <c r="AR118" t="s">
        <v>62</v>
      </c>
      <c r="AS118" t="s">
        <v>52</v>
      </c>
      <c r="AT118" t="s">
        <v>52</v>
      </c>
      <c r="AU118" t="s">
        <v>64</v>
      </c>
      <c r="AV118" t="s">
        <v>62</v>
      </c>
      <c r="AW118" t="s">
        <v>65</v>
      </c>
      <c r="AX118" t="s">
        <v>66</v>
      </c>
      <c r="AY118" t="s">
        <v>67</v>
      </c>
    </row>
    <row r="119" spans="1:51" hidden="1" x14ac:dyDescent="0.25">
      <c r="A119">
        <v>202247</v>
      </c>
      <c r="B119" t="s">
        <v>528</v>
      </c>
      <c r="C119" t="e">
        <f>VLOOKUP(A119,[1]Customer_payment_journal_line!$AL:$BO,30,0)</f>
        <v>#N/A</v>
      </c>
      <c r="D119" t="s">
        <v>53</v>
      </c>
      <c r="E119" t="s">
        <v>524</v>
      </c>
      <c r="F119" t="s">
        <v>525</v>
      </c>
      <c r="G119" t="s">
        <v>238</v>
      </c>
      <c r="H119" t="s">
        <v>69</v>
      </c>
      <c r="I119" t="s">
        <v>529</v>
      </c>
      <c r="J119" t="s">
        <v>526</v>
      </c>
      <c r="K119" t="s">
        <v>527</v>
      </c>
      <c r="L119" t="s">
        <v>52</v>
      </c>
      <c r="M119">
        <v>0</v>
      </c>
      <c r="N119">
        <v>5928</v>
      </c>
      <c r="O119" t="s">
        <v>61</v>
      </c>
      <c r="P119">
        <v>100</v>
      </c>
      <c r="Q119" t="s">
        <v>52</v>
      </c>
      <c r="R119" t="s">
        <v>52</v>
      </c>
      <c r="S119" t="s">
        <v>52</v>
      </c>
      <c r="T119" t="s">
        <v>52</v>
      </c>
      <c r="U119" t="s">
        <v>52</v>
      </c>
      <c r="V119" t="s">
        <v>62</v>
      </c>
      <c r="W119" t="s">
        <v>52</v>
      </c>
      <c r="Y119" t="s">
        <v>530</v>
      </c>
      <c r="Z119" t="s">
        <v>62</v>
      </c>
      <c r="AB119" t="s">
        <v>531</v>
      </c>
      <c r="AE119" t="s">
        <v>532</v>
      </c>
      <c r="AF119" t="s">
        <v>52</v>
      </c>
      <c r="AH119">
        <v>0</v>
      </c>
      <c r="AI119">
        <v>0</v>
      </c>
      <c r="AJ119" t="s">
        <v>52</v>
      </c>
      <c r="AK119">
        <v>0</v>
      </c>
      <c r="AL119" t="s">
        <v>52</v>
      </c>
      <c r="AM119" t="s">
        <v>52</v>
      </c>
      <c r="AN119">
        <v>0</v>
      </c>
      <c r="AO119">
        <v>0</v>
      </c>
      <c r="AP119" t="s">
        <v>52</v>
      </c>
      <c r="AQ119" t="s">
        <v>52</v>
      </c>
      <c r="AR119" t="s">
        <v>62</v>
      </c>
      <c r="AS119" t="s">
        <v>52</v>
      </c>
      <c r="AT119" t="s">
        <v>74</v>
      </c>
      <c r="AU119" t="s">
        <v>64</v>
      </c>
      <c r="AV119" t="s">
        <v>62</v>
      </c>
      <c r="AW119" t="s">
        <v>65</v>
      </c>
      <c r="AX119" t="s">
        <v>66</v>
      </c>
      <c r="AY119" t="s">
        <v>67</v>
      </c>
    </row>
    <row r="120" spans="1:51" hidden="1" x14ac:dyDescent="0.25">
      <c r="A120">
        <v>202248</v>
      </c>
      <c r="B120" t="s">
        <v>533</v>
      </c>
      <c r="C120" t="e">
        <f>VLOOKUP(A120,[1]Customer_payment_journal_line!$AL:$BO,30,0)</f>
        <v>#N/A</v>
      </c>
      <c r="D120" t="s">
        <v>53</v>
      </c>
      <c r="E120" t="s">
        <v>534</v>
      </c>
      <c r="F120" t="s">
        <v>535</v>
      </c>
      <c r="G120" t="s">
        <v>238</v>
      </c>
      <c r="H120" t="s">
        <v>57</v>
      </c>
      <c r="I120" t="s">
        <v>58</v>
      </c>
      <c r="J120" t="s">
        <v>526</v>
      </c>
      <c r="K120" t="s">
        <v>527</v>
      </c>
      <c r="L120" t="s">
        <v>52</v>
      </c>
      <c r="M120">
        <v>855</v>
      </c>
      <c r="N120">
        <v>0</v>
      </c>
      <c r="O120" t="s">
        <v>61</v>
      </c>
      <c r="P120">
        <v>100</v>
      </c>
      <c r="Q120" t="s">
        <v>52</v>
      </c>
      <c r="R120" t="s">
        <v>52</v>
      </c>
      <c r="S120" t="s">
        <v>52</v>
      </c>
      <c r="T120" t="s">
        <v>52</v>
      </c>
      <c r="U120" t="s">
        <v>52</v>
      </c>
      <c r="V120" t="s">
        <v>62</v>
      </c>
      <c r="W120" t="s">
        <v>63</v>
      </c>
      <c r="Y120" t="s">
        <v>52</v>
      </c>
      <c r="AB120" t="s">
        <v>52</v>
      </c>
      <c r="AE120" t="s">
        <v>52</v>
      </c>
      <c r="AF120" t="s">
        <v>52</v>
      </c>
      <c r="AH120">
        <v>0</v>
      </c>
      <c r="AI120">
        <v>0</v>
      </c>
      <c r="AJ120" t="s">
        <v>52</v>
      </c>
      <c r="AK120">
        <v>0</v>
      </c>
      <c r="AL120" t="s">
        <v>52</v>
      </c>
      <c r="AM120" t="s">
        <v>52</v>
      </c>
      <c r="AN120">
        <v>0</v>
      </c>
      <c r="AO120">
        <v>0</v>
      </c>
      <c r="AP120" t="s">
        <v>52</v>
      </c>
      <c r="AQ120" t="s">
        <v>52</v>
      </c>
      <c r="AR120" t="s">
        <v>62</v>
      </c>
      <c r="AS120" t="s">
        <v>52</v>
      </c>
      <c r="AT120" t="s">
        <v>52</v>
      </c>
      <c r="AU120" t="s">
        <v>64</v>
      </c>
      <c r="AV120" t="s">
        <v>62</v>
      </c>
      <c r="AW120" t="s">
        <v>65</v>
      </c>
      <c r="AX120" t="s">
        <v>66</v>
      </c>
      <c r="AY120" t="s">
        <v>67</v>
      </c>
    </row>
    <row r="121" spans="1:51" hidden="1" x14ac:dyDescent="0.25">
      <c r="A121">
        <v>202248</v>
      </c>
      <c r="B121" t="s">
        <v>536</v>
      </c>
      <c r="C121" t="e">
        <f>VLOOKUP(A121,[1]Customer_payment_journal_line!$AL:$BO,30,0)</f>
        <v>#N/A</v>
      </c>
      <c r="D121" t="s">
        <v>53</v>
      </c>
      <c r="E121" t="s">
        <v>534</v>
      </c>
      <c r="F121" t="s">
        <v>535</v>
      </c>
      <c r="G121" t="s">
        <v>238</v>
      </c>
      <c r="H121" t="s">
        <v>69</v>
      </c>
      <c r="I121" t="s">
        <v>529</v>
      </c>
      <c r="J121" t="s">
        <v>526</v>
      </c>
      <c r="K121" t="s">
        <v>527</v>
      </c>
      <c r="L121" t="s">
        <v>52</v>
      </c>
      <c r="M121">
        <v>0</v>
      </c>
      <c r="N121">
        <v>855</v>
      </c>
      <c r="O121" t="s">
        <v>61</v>
      </c>
      <c r="P121">
        <v>100</v>
      </c>
      <c r="Q121" t="s">
        <v>52</v>
      </c>
      <c r="R121" t="s">
        <v>52</v>
      </c>
      <c r="S121" t="s">
        <v>52</v>
      </c>
      <c r="T121" t="s">
        <v>52</v>
      </c>
      <c r="U121" t="s">
        <v>52</v>
      </c>
      <c r="V121" t="s">
        <v>62</v>
      </c>
      <c r="W121" t="s">
        <v>52</v>
      </c>
      <c r="Y121" t="s">
        <v>530</v>
      </c>
      <c r="Z121" t="s">
        <v>62</v>
      </c>
      <c r="AB121" t="s">
        <v>537</v>
      </c>
      <c r="AE121" t="s">
        <v>538</v>
      </c>
      <c r="AF121" t="s">
        <v>52</v>
      </c>
      <c r="AH121">
        <v>0</v>
      </c>
      <c r="AI121">
        <v>0</v>
      </c>
      <c r="AJ121" t="s">
        <v>52</v>
      </c>
      <c r="AK121">
        <v>0</v>
      </c>
      <c r="AL121" t="s">
        <v>52</v>
      </c>
      <c r="AM121" t="s">
        <v>52</v>
      </c>
      <c r="AN121">
        <v>0</v>
      </c>
      <c r="AO121">
        <v>0</v>
      </c>
      <c r="AP121" t="s">
        <v>52</v>
      </c>
      <c r="AQ121" t="s">
        <v>52</v>
      </c>
      <c r="AR121" t="s">
        <v>62</v>
      </c>
      <c r="AS121" t="s">
        <v>52</v>
      </c>
      <c r="AT121" t="s">
        <v>74</v>
      </c>
      <c r="AU121" t="s">
        <v>64</v>
      </c>
      <c r="AV121" t="s">
        <v>62</v>
      </c>
      <c r="AW121" t="s">
        <v>65</v>
      </c>
      <c r="AX121" t="s">
        <v>66</v>
      </c>
      <c r="AY121" t="s">
        <v>67</v>
      </c>
    </row>
    <row r="122" spans="1:51" hidden="1" x14ac:dyDescent="0.25">
      <c r="A122">
        <v>202249</v>
      </c>
      <c r="B122" t="s">
        <v>539</v>
      </c>
      <c r="C122" t="e">
        <f>VLOOKUP(A122,[1]Customer_payment_journal_line!$AL:$BO,30,0)</f>
        <v>#N/A</v>
      </c>
      <c r="D122" t="s">
        <v>53</v>
      </c>
      <c r="E122" t="s">
        <v>540</v>
      </c>
      <c r="F122" t="s">
        <v>541</v>
      </c>
      <c r="G122" t="s">
        <v>238</v>
      </c>
      <c r="H122" t="s">
        <v>57</v>
      </c>
      <c r="I122" t="s">
        <v>58</v>
      </c>
      <c r="J122" t="s">
        <v>542</v>
      </c>
      <c r="K122" t="s">
        <v>543</v>
      </c>
      <c r="L122" t="s">
        <v>52</v>
      </c>
      <c r="M122">
        <v>2850</v>
      </c>
      <c r="N122">
        <v>0</v>
      </c>
      <c r="O122" t="s">
        <v>61</v>
      </c>
      <c r="P122">
        <v>100</v>
      </c>
      <c r="Q122" t="s">
        <v>52</v>
      </c>
      <c r="R122" t="s">
        <v>52</v>
      </c>
      <c r="S122" t="s">
        <v>52</v>
      </c>
      <c r="T122" t="s">
        <v>52</v>
      </c>
      <c r="U122" t="s">
        <v>52</v>
      </c>
      <c r="V122" t="s">
        <v>62</v>
      </c>
      <c r="W122" t="s">
        <v>63</v>
      </c>
      <c r="Y122" t="s">
        <v>52</v>
      </c>
      <c r="AB122" t="s">
        <v>52</v>
      </c>
      <c r="AE122" t="s">
        <v>52</v>
      </c>
      <c r="AF122" t="s">
        <v>52</v>
      </c>
      <c r="AH122">
        <v>0</v>
      </c>
      <c r="AI122">
        <v>0</v>
      </c>
      <c r="AJ122" t="s">
        <v>52</v>
      </c>
      <c r="AK122">
        <v>0</v>
      </c>
      <c r="AL122" t="s">
        <v>52</v>
      </c>
      <c r="AM122" t="s">
        <v>52</v>
      </c>
      <c r="AN122">
        <v>0</v>
      </c>
      <c r="AO122">
        <v>0</v>
      </c>
      <c r="AP122" t="s">
        <v>52</v>
      </c>
      <c r="AQ122" t="s">
        <v>52</v>
      </c>
      <c r="AR122" t="s">
        <v>62</v>
      </c>
      <c r="AS122" t="s">
        <v>52</v>
      </c>
      <c r="AT122" t="s">
        <v>52</v>
      </c>
      <c r="AU122" t="s">
        <v>64</v>
      </c>
      <c r="AV122" t="s">
        <v>62</v>
      </c>
      <c r="AW122" t="s">
        <v>65</v>
      </c>
      <c r="AX122" t="s">
        <v>66</v>
      </c>
      <c r="AY122" t="s">
        <v>67</v>
      </c>
    </row>
    <row r="123" spans="1:51" hidden="1" x14ac:dyDescent="0.25">
      <c r="A123">
        <v>202249</v>
      </c>
      <c r="B123" t="s">
        <v>544</v>
      </c>
      <c r="C123" t="e">
        <f>VLOOKUP(A123,[1]Customer_payment_journal_line!$AL:$BO,30,0)</f>
        <v>#N/A</v>
      </c>
      <c r="D123" t="s">
        <v>53</v>
      </c>
      <c r="E123" t="s">
        <v>540</v>
      </c>
      <c r="F123" t="s">
        <v>541</v>
      </c>
      <c r="G123" t="s">
        <v>238</v>
      </c>
      <c r="H123" t="s">
        <v>69</v>
      </c>
      <c r="I123" t="s">
        <v>545</v>
      </c>
      <c r="J123" t="s">
        <v>542</v>
      </c>
      <c r="K123" t="s">
        <v>543</v>
      </c>
      <c r="L123" t="s">
        <v>52</v>
      </c>
      <c r="M123">
        <v>0</v>
      </c>
      <c r="N123">
        <v>2850</v>
      </c>
      <c r="O123" t="s">
        <v>61</v>
      </c>
      <c r="P123">
        <v>100</v>
      </c>
      <c r="Q123" t="s">
        <v>52</v>
      </c>
      <c r="R123" t="s">
        <v>52</v>
      </c>
      <c r="S123" t="s">
        <v>52</v>
      </c>
      <c r="T123" t="s">
        <v>52</v>
      </c>
      <c r="U123" t="s">
        <v>52</v>
      </c>
      <c r="V123" t="s">
        <v>62</v>
      </c>
      <c r="W123" t="s">
        <v>52</v>
      </c>
      <c r="Y123" t="s">
        <v>546</v>
      </c>
      <c r="Z123" t="s">
        <v>62</v>
      </c>
      <c r="AB123" t="s">
        <v>547</v>
      </c>
      <c r="AE123" t="s">
        <v>548</v>
      </c>
      <c r="AF123" t="s">
        <v>52</v>
      </c>
      <c r="AH123">
        <v>0</v>
      </c>
      <c r="AI123">
        <v>0</v>
      </c>
      <c r="AJ123" t="s">
        <v>52</v>
      </c>
      <c r="AK123">
        <v>0</v>
      </c>
      <c r="AL123" t="s">
        <v>52</v>
      </c>
      <c r="AM123" t="s">
        <v>52</v>
      </c>
      <c r="AN123">
        <v>0</v>
      </c>
      <c r="AO123">
        <v>0</v>
      </c>
      <c r="AP123" t="s">
        <v>52</v>
      </c>
      <c r="AQ123" t="s">
        <v>52</v>
      </c>
      <c r="AR123" t="s">
        <v>62</v>
      </c>
      <c r="AS123" t="s">
        <v>52</v>
      </c>
      <c r="AT123" t="s">
        <v>74</v>
      </c>
      <c r="AU123" t="s">
        <v>64</v>
      </c>
      <c r="AV123" t="s">
        <v>62</v>
      </c>
      <c r="AW123" t="s">
        <v>65</v>
      </c>
      <c r="AX123" t="s">
        <v>66</v>
      </c>
      <c r="AY123" t="s">
        <v>67</v>
      </c>
    </row>
    <row r="124" spans="1:51" hidden="1" x14ac:dyDescent="0.25">
      <c r="A124">
        <v>202250</v>
      </c>
      <c r="B124" t="s">
        <v>549</v>
      </c>
      <c r="C124" t="e">
        <f>VLOOKUP(A124,[1]Customer_payment_journal_line!$AL:$BO,30,0)</f>
        <v>#N/A</v>
      </c>
      <c r="D124" t="s">
        <v>53</v>
      </c>
      <c r="E124" t="s">
        <v>550</v>
      </c>
      <c r="F124" t="s">
        <v>551</v>
      </c>
      <c r="G124" t="s">
        <v>238</v>
      </c>
      <c r="H124" t="s">
        <v>57</v>
      </c>
      <c r="I124" t="s">
        <v>58</v>
      </c>
      <c r="J124" t="s">
        <v>542</v>
      </c>
      <c r="K124" t="s">
        <v>543</v>
      </c>
      <c r="L124" t="s">
        <v>52</v>
      </c>
      <c r="M124">
        <v>855</v>
      </c>
      <c r="N124">
        <v>0</v>
      </c>
      <c r="O124" t="s">
        <v>61</v>
      </c>
      <c r="P124">
        <v>100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62</v>
      </c>
      <c r="W124" t="s">
        <v>63</v>
      </c>
      <c r="Y124" t="s">
        <v>52</v>
      </c>
      <c r="AB124" t="s">
        <v>52</v>
      </c>
      <c r="AE124" t="s">
        <v>52</v>
      </c>
      <c r="AF124" t="s">
        <v>52</v>
      </c>
      <c r="AH124">
        <v>0</v>
      </c>
      <c r="AI124">
        <v>0</v>
      </c>
      <c r="AJ124" t="s">
        <v>52</v>
      </c>
      <c r="AK124">
        <v>0</v>
      </c>
      <c r="AL124" t="s">
        <v>52</v>
      </c>
      <c r="AM124" t="s">
        <v>52</v>
      </c>
      <c r="AN124">
        <v>0</v>
      </c>
      <c r="AO124">
        <v>0</v>
      </c>
      <c r="AP124" t="s">
        <v>52</v>
      </c>
      <c r="AQ124" t="s">
        <v>52</v>
      </c>
      <c r="AR124" t="s">
        <v>62</v>
      </c>
      <c r="AS124" t="s">
        <v>52</v>
      </c>
      <c r="AT124" t="s">
        <v>52</v>
      </c>
      <c r="AU124" t="s">
        <v>64</v>
      </c>
      <c r="AV124" t="s">
        <v>62</v>
      </c>
      <c r="AW124" t="s">
        <v>65</v>
      </c>
      <c r="AX124" t="s">
        <v>66</v>
      </c>
      <c r="AY124" t="s">
        <v>67</v>
      </c>
    </row>
    <row r="125" spans="1:51" hidden="1" x14ac:dyDescent="0.25">
      <c r="A125">
        <v>202250</v>
      </c>
      <c r="B125" t="s">
        <v>552</v>
      </c>
      <c r="C125" t="e">
        <f>VLOOKUP(A125,[1]Customer_payment_journal_line!$AL:$BO,30,0)</f>
        <v>#N/A</v>
      </c>
      <c r="D125" t="s">
        <v>53</v>
      </c>
      <c r="E125" t="s">
        <v>550</v>
      </c>
      <c r="F125" t="s">
        <v>551</v>
      </c>
      <c r="G125" t="s">
        <v>238</v>
      </c>
      <c r="H125" t="s">
        <v>69</v>
      </c>
      <c r="I125" t="s">
        <v>545</v>
      </c>
      <c r="J125" t="s">
        <v>542</v>
      </c>
      <c r="K125" t="s">
        <v>543</v>
      </c>
      <c r="L125" t="s">
        <v>52</v>
      </c>
      <c r="M125">
        <v>0</v>
      </c>
      <c r="N125">
        <v>855</v>
      </c>
      <c r="O125" t="s">
        <v>61</v>
      </c>
      <c r="P125">
        <v>100</v>
      </c>
      <c r="Q125" t="s">
        <v>52</v>
      </c>
      <c r="R125" t="s">
        <v>52</v>
      </c>
      <c r="S125" t="s">
        <v>52</v>
      </c>
      <c r="T125" t="s">
        <v>52</v>
      </c>
      <c r="U125" t="s">
        <v>52</v>
      </c>
      <c r="V125" t="s">
        <v>62</v>
      </c>
      <c r="W125" t="s">
        <v>52</v>
      </c>
      <c r="Y125" t="s">
        <v>546</v>
      </c>
      <c r="Z125" t="s">
        <v>62</v>
      </c>
      <c r="AB125" t="s">
        <v>553</v>
      </c>
      <c r="AE125" t="s">
        <v>554</v>
      </c>
      <c r="AF125" t="s">
        <v>52</v>
      </c>
      <c r="AH125">
        <v>0</v>
      </c>
      <c r="AI125">
        <v>0</v>
      </c>
      <c r="AJ125" t="s">
        <v>52</v>
      </c>
      <c r="AK125">
        <v>0</v>
      </c>
      <c r="AL125" t="s">
        <v>52</v>
      </c>
      <c r="AM125" t="s">
        <v>52</v>
      </c>
      <c r="AN125">
        <v>0</v>
      </c>
      <c r="AO125">
        <v>0</v>
      </c>
      <c r="AP125" t="s">
        <v>52</v>
      </c>
      <c r="AQ125" t="s">
        <v>52</v>
      </c>
      <c r="AR125" t="s">
        <v>62</v>
      </c>
      <c r="AS125" t="s">
        <v>52</v>
      </c>
      <c r="AT125" t="s">
        <v>74</v>
      </c>
      <c r="AU125" t="s">
        <v>64</v>
      </c>
      <c r="AV125" t="s">
        <v>62</v>
      </c>
      <c r="AW125" t="s">
        <v>65</v>
      </c>
      <c r="AX125" t="s">
        <v>66</v>
      </c>
      <c r="AY125" t="s">
        <v>67</v>
      </c>
    </row>
    <row r="126" spans="1:51" hidden="1" x14ac:dyDescent="0.25">
      <c r="A126">
        <v>202251</v>
      </c>
      <c r="B126" t="s">
        <v>555</v>
      </c>
      <c r="C126" t="e">
        <f>VLOOKUP(A126,[1]Customer_payment_journal_line!$AL:$BO,30,0)</f>
        <v>#N/A</v>
      </c>
      <c r="D126" t="s">
        <v>53</v>
      </c>
      <c r="E126" t="s">
        <v>556</v>
      </c>
      <c r="F126" t="s">
        <v>557</v>
      </c>
      <c r="G126" t="s">
        <v>238</v>
      </c>
      <c r="H126" t="s">
        <v>57</v>
      </c>
      <c r="I126" t="s">
        <v>125</v>
      </c>
      <c r="J126" t="s">
        <v>542</v>
      </c>
      <c r="K126" t="s">
        <v>543</v>
      </c>
      <c r="L126" t="s">
        <v>52</v>
      </c>
      <c r="M126">
        <v>50</v>
      </c>
      <c r="N126">
        <v>0</v>
      </c>
      <c r="O126" t="s">
        <v>126</v>
      </c>
      <c r="P126">
        <v>5285</v>
      </c>
      <c r="Q126" t="s">
        <v>52</v>
      </c>
      <c r="R126" t="s">
        <v>52</v>
      </c>
      <c r="S126" t="s">
        <v>52</v>
      </c>
      <c r="T126" t="s">
        <v>52</v>
      </c>
      <c r="U126" t="s">
        <v>52</v>
      </c>
      <c r="V126" t="s">
        <v>62</v>
      </c>
      <c r="W126" t="s">
        <v>63</v>
      </c>
      <c r="Y126" t="s">
        <v>52</v>
      </c>
      <c r="AB126" t="s">
        <v>52</v>
      </c>
      <c r="AE126" t="s">
        <v>52</v>
      </c>
      <c r="AF126" t="s">
        <v>52</v>
      </c>
      <c r="AH126">
        <v>0</v>
      </c>
      <c r="AI126">
        <v>0</v>
      </c>
      <c r="AJ126" t="s">
        <v>52</v>
      </c>
      <c r="AK126">
        <v>0</v>
      </c>
      <c r="AL126" t="s">
        <v>52</v>
      </c>
      <c r="AM126" t="s">
        <v>52</v>
      </c>
      <c r="AN126">
        <v>0</v>
      </c>
      <c r="AO126">
        <v>0</v>
      </c>
      <c r="AP126" t="s">
        <v>52</v>
      </c>
      <c r="AQ126" t="s">
        <v>52</v>
      </c>
      <c r="AR126" t="s">
        <v>62</v>
      </c>
      <c r="AS126" t="s">
        <v>52</v>
      </c>
      <c r="AT126" t="s">
        <v>52</v>
      </c>
      <c r="AU126" t="s">
        <v>64</v>
      </c>
      <c r="AV126" t="s">
        <v>62</v>
      </c>
      <c r="AW126" t="s">
        <v>65</v>
      </c>
      <c r="AX126" t="s">
        <v>66</v>
      </c>
      <c r="AY126" t="s">
        <v>67</v>
      </c>
    </row>
    <row r="127" spans="1:51" hidden="1" x14ac:dyDescent="0.25">
      <c r="A127">
        <v>202251</v>
      </c>
      <c r="B127" t="s">
        <v>558</v>
      </c>
      <c r="C127" t="e">
        <f>VLOOKUP(A127,[1]Customer_payment_journal_line!$AL:$BO,30,0)</f>
        <v>#N/A</v>
      </c>
      <c r="D127" t="s">
        <v>53</v>
      </c>
      <c r="E127" t="s">
        <v>556</v>
      </c>
      <c r="F127" t="s">
        <v>557</v>
      </c>
      <c r="G127" t="s">
        <v>238</v>
      </c>
      <c r="H127" t="s">
        <v>69</v>
      </c>
      <c r="I127" t="s">
        <v>545</v>
      </c>
      <c r="J127" t="s">
        <v>542</v>
      </c>
      <c r="K127" t="s">
        <v>543</v>
      </c>
      <c r="L127" t="s">
        <v>52</v>
      </c>
      <c r="M127">
        <v>0</v>
      </c>
      <c r="N127">
        <v>50</v>
      </c>
      <c r="O127" t="s">
        <v>126</v>
      </c>
      <c r="P127">
        <v>5285</v>
      </c>
      <c r="Q127" t="s">
        <v>52</v>
      </c>
      <c r="R127" t="s">
        <v>52</v>
      </c>
      <c r="S127" t="s">
        <v>52</v>
      </c>
      <c r="T127" t="s">
        <v>52</v>
      </c>
      <c r="U127" t="s">
        <v>52</v>
      </c>
      <c r="V127" t="s">
        <v>62</v>
      </c>
      <c r="W127" t="s">
        <v>52</v>
      </c>
      <c r="Y127" t="s">
        <v>546</v>
      </c>
      <c r="Z127" t="s">
        <v>62</v>
      </c>
      <c r="AB127" t="s">
        <v>559</v>
      </c>
      <c r="AE127" t="s">
        <v>560</v>
      </c>
      <c r="AF127" t="s">
        <v>52</v>
      </c>
      <c r="AH127">
        <v>0</v>
      </c>
      <c r="AI127">
        <v>0</v>
      </c>
      <c r="AJ127" t="s">
        <v>52</v>
      </c>
      <c r="AK127">
        <v>0</v>
      </c>
      <c r="AL127" t="s">
        <v>52</v>
      </c>
      <c r="AM127" t="s">
        <v>52</v>
      </c>
      <c r="AN127">
        <v>0</v>
      </c>
      <c r="AO127">
        <v>0</v>
      </c>
      <c r="AP127" t="s">
        <v>52</v>
      </c>
      <c r="AQ127" t="s">
        <v>52</v>
      </c>
      <c r="AR127" t="s">
        <v>62</v>
      </c>
      <c r="AS127" t="s">
        <v>52</v>
      </c>
      <c r="AT127" t="s">
        <v>74</v>
      </c>
      <c r="AU127" t="s">
        <v>64</v>
      </c>
      <c r="AV127" t="s">
        <v>62</v>
      </c>
      <c r="AW127" t="s">
        <v>65</v>
      </c>
      <c r="AX127" t="s">
        <v>66</v>
      </c>
      <c r="AY127" t="s">
        <v>67</v>
      </c>
    </row>
    <row r="128" spans="1:51" hidden="1" x14ac:dyDescent="0.25">
      <c r="A128">
        <v>202258</v>
      </c>
      <c r="B128" t="s">
        <v>561</v>
      </c>
      <c r="C128" t="e">
        <f>VLOOKUP(A128,[1]Customer_payment_journal_line!$AL:$BO,30,0)</f>
        <v>#N/A</v>
      </c>
      <c r="D128" t="s">
        <v>53</v>
      </c>
      <c r="E128" t="s">
        <v>562</v>
      </c>
      <c r="F128" t="s">
        <v>563</v>
      </c>
      <c r="G128" t="s">
        <v>238</v>
      </c>
      <c r="H128" t="s">
        <v>57</v>
      </c>
      <c r="I128" t="s">
        <v>58</v>
      </c>
      <c r="J128" t="s">
        <v>564</v>
      </c>
      <c r="K128" t="s">
        <v>565</v>
      </c>
      <c r="L128" t="s">
        <v>52</v>
      </c>
      <c r="M128">
        <v>2700</v>
      </c>
      <c r="N128">
        <v>0</v>
      </c>
      <c r="O128" t="s">
        <v>61</v>
      </c>
      <c r="P128">
        <v>100</v>
      </c>
      <c r="Q128" t="s">
        <v>52</v>
      </c>
      <c r="R128" t="s">
        <v>52</v>
      </c>
      <c r="S128" t="s">
        <v>52</v>
      </c>
      <c r="T128" t="s">
        <v>52</v>
      </c>
      <c r="U128" t="s">
        <v>52</v>
      </c>
      <c r="V128" t="s">
        <v>62</v>
      </c>
      <c r="W128" t="s">
        <v>63</v>
      </c>
      <c r="Y128" t="s">
        <v>52</v>
      </c>
      <c r="AB128" t="s">
        <v>52</v>
      </c>
      <c r="AE128" t="s">
        <v>52</v>
      </c>
      <c r="AF128" t="s">
        <v>52</v>
      </c>
      <c r="AH128">
        <v>0</v>
      </c>
      <c r="AI128">
        <v>0</v>
      </c>
      <c r="AJ128" t="s">
        <v>52</v>
      </c>
      <c r="AK128">
        <v>0</v>
      </c>
      <c r="AL128" t="s">
        <v>52</v>
      </c>
      <c r="AM128" t="s">
        <v>52</v>
      </c>
      <c r="AN128">
        <v>0</v>
      </c>
      <c r="AO128">
        <v>0</v>
      </c>
      <c r="AP128" t="s">
        <v>52</v>
      </c>
      <c r="AQ128" t="s">
        <v>52</v>
      </c>
      <c r="AR128" t="s">
        <v>62</v>
      </c>
      <c r="AS128" t="s">
        <v>52</v>
      </c>
      <c r="AT128" t="s">
        <v>52</v>
      </c>
      <c r="AU128" t="s">
        <v>64</v>
      </c>
      <c r="AV128" t="s">
        <v>62</v>
      </c>
      <c r="AW128" t="s">
        <v>65</v>
      </c>
      <c r="AX128" t="s">
        <v>66</v>
      </c>
      <c r="AY128" t="s">
        <v>67</v>
      </c>
    </row>
    <row r="129" spans="1:51" hidden="1" x14ac:dyDescent="0.25">
      <c r="A129">
        <v>202258</v>
      </c>
      <c r="B129" t="s">
        <v>566</v>
      </c>
      <c r="C129" t="e">
        <f>VLOOKUP(A129,[1]Customer_payment_journal_line!$AL:$BO,30,0)</f>
        <v>#N/A</v>
      </c>
      <c r="D129" t="s">
        <v>53</v>
      </c>
      <c r="E129" t="s">
        <v>562</v>
      </c>
      <c r="F129" t="s">
        <v>563</v>
      </c>
      <c r="G129" t="s">
        <v>238</v>
      </c>
      <c r="H129" t="s">
        <v>69</v>
      </c>
      <c r="I129" t="s">
        <v>567</v>
      </c>
      <c r="J129" t="s">
        <v>564</v>
      </c>
      <c r="K129" t="s">
        <v>565</v>
      </c>
      <c r="L129" t="s">
        <v>52</v>
      </c>
      <c r="M129">
        <v>0</v>
      </c>
      <c r="N129">
        <v>2700</v>
      </c>
      <c r="O129" t="s">
        <v>61</v>
      </c>
      <c r="P129">
        <v>100</v>
      </c>
      <c r="Q129" t="s">
        <v>52</v>
      </c>
      <c r="R129" t="s">
        <v>52</v>
      </c>
      <c r="S129" t="s">
        <v>52</v>
      </c>
      <c r="T129" t="s">
        <v>52</v>
      </c>
      <c r="U129" t="s">
        <v>52</v>
      </c>
      <c r="V129" t="s">
        <v>62</v>
      </c>
      <c r="W129" t="s">
        <v>52</v>
      </c>
      <c r="Y129" t="s">
        <v>568</v>
      </c>
      <c r="Z129" t="s">
        <v>62</v>
      </c>
      <c r="AB129" t="s">
        <v>569</v>
      </c>
      <c r="AE129" t="s">
        <v>570</v>
      </c>
      <c r="AF129" t="s">
        <v>52</v>
      </c>
      <c r="AH129">
        <v>0</v>
      </c>
      <c r="AI129">
        <v>0</v>
      </c>
      <c r="AJ129" t="s">
        <v>52</v>
      </c>
      <c r="AK129">
        <v>0</v>
      </c>
      <c r="AL129" t="s">
        <v>52</v>
      </c>
      <c r="AM129" t="s">
        <v>52</v>
      </c>
      <c r="AN129">
        <v>0</v>
      </c>
      <c r="AO129">
        <v>0</v>
      </c>
      <c r="AP129" t="s">
        <v>52</v>
      </c>
      <c r="AQ129" t="s">
        <v>52</v>
      </c>
      <c r="AR129" t="s">
        <v>62</v>
      </c>
      <c r="AS129" t="s">
        <v>52</v>
      </c>
      <c r="AT129" t="s">
        <v>74</v>
      </c>
      <c r="AU129" t="s">
        <v>64</v>
      </c>
      <c r="AV129" t="s">
        <v>62</v>
      </c>
      <c r="AW129" t="s">
        <v>65</v>
      </c>
      <c r="AX129" t="s">
        <v>66</v>
      </c>
      <c r="AY129" t="s">
        <v>67</v>
      </c>
    </row>
    <row r="130" spans="1:51" hidden="1" x14ac:dyDescent="0.25">
      <c r="A130">
        <v>202259</v>
      </c>
      <c r="B130" t="s">
        <v>571</v>
      </c>
      <c r="C130" t="e">
        <f>VLOOKUP(A130,[1]Customer_payment_journal_line!$AL:$BO,30,0)</f>
        <v>#N/A</v>
      </c>
      <c r="D130" t="s">
        <v>53</v>
      </c>
      <c r="E130" t="s">
        <v>572</v>
      </c>
      <c r="F130" t="s">
        <v>573</v>
      </c>
      <c r="G130" t="s">
        <v>238</v>
      </c>
      <c r="H130" t="s">
        <v>57</v>
      </c>
      <c r="I130" t="s">
        <v>58</v>
      </c>
      <c r="J130" t="s">
        <v>564</v>
      </c>
      <c r="K130" t="s">
        <v>565</v>
      </c>
      <c r="L130" t="s">
        <v>52</v>
      </c>
      <c r="M130">
        <v>855</v>
      </c>
      <c r="N130">
        <v>0</v>
      </c>
      <c r="O130" t="s">
        <v>61</v>
      </c>
      <c r="P130">
        <v>100</v>
      </c>
      <c r="Q130" t="s">
        <v>52</v>
      </c>
      <c r="R130" t="s">
        <v>52</v>
      </c>
      <c r="S130" t="s">
        <v>52</v>
      </c>
      <c r="T130" t="s">
        <v>52</v>
      </c>
      <c r="U130" t="s">
        <v>52</v>
      </c>
      <c r="V130" t="s">
        <v>62</v>
      </c>
      <c r="W130" t="s">
        <v>63</v>
      </c>
      <c r="Y130" t="s">
        <v>52</v>
      </c>
      <c r="AB130" t="s">
        <v>52</v>
      </c>
      <c r="AE130" t="s">
        <v>52</v>
      </c>
      <c r="AF130" t="s">
        <v>52</v>
      </c>
      <c r="AH130">
        <v>0</v>
      </c>
      <c r="AI130">
        <v>0</v>
      </c>
      <c r="AJ130" t="s">
        <v>52</v>
      </c>
      <c r="AK130">
        <v>0</v>
      </c>
      <c r="AL130" t="s">
        <v>52</v>
      </c>
      <c r="AM130" t="s">
        <v>52</v>
      </c>
      <c r="AN130">
        <v>0</v>
      </c>
      <c r="AO130">
        <v>0</v>
      </c>
      <c r="AP130" t="s">
        <v>52</v>
      </c>
      <c r="AQ130" t="s">
        <v>52</v>
      </c>
      <c r="AR130" t="s">
        <v>62</v>
      </c>
      <c r="AS130" t="s">
        <v>52</v>
      </c>
      <c r="AT130" t="s">
        <v>52</v>
      </c>
      <c r="AU130" t="s">
        <v>64</v>
      </c>
      <c r="AV130" t="s">
        <v>62</v>
      </c>
      <c r="AW130" t="s">
        <v>65</v>
      </c>
      <c r="AX130" t="s">
        <v>66</v>
      </c>
      <c r="AY130" t="s">
        <v>67</v>
      </c>
    </row>
    <row r="131" spans="1:51" hidden="1" x14ac:dyDescent="0.25">
      <c r="A131">
        <v>202259</v>
      </c>
      <c r="B131" t="s">
        <v>574</v>
      </c>
      <c r="C131" t="e">
        <f>VLOOKUP(A131,[1]Customer_payment_journal_line!$AL:$BO,30,0)</f>
        <v>#N/A</v>
      </c>
      <c r="D131" t="s">
        <v>53</v>
      </c>
      <c r="E131" t="s">
        <v>572</v>
      </c>
      <c r="F131" t="s">
        <v>573</v>
      </c>
      <c r="G131" t="s">
        <v>238</v>
      </c>
      <c r="H131" t="s">
        <v>69</v>
      </c>
      <c r="I131" t="s">
        <v>567</v>
      </c>
      <c r="J131" t="s">
        <v>564</v>
      </c>
      <c r="K131" t="s">
        <v>565</v>
      </c>
      <c r="L131" t="s">
        <v>52</v>
      </c>
      <c r="M131">
        <v>0</v>
      </c>
      <c r="N131">
        <v>855</v>
      </c>
      <c r="O131" t="s">
        <v>61</v>
      </c>
      <c r="P131">
        <v>100</v>
      </c>
      <c r="Q131" t="s">
        <v>52</v>
      </c>
      <c r="R131" t="s">
        <v>52</v>
      </c>
      <c r="S131" t="s">
        <v>52</v>
      </c>
      <c r="T131" t="s">
        <v>52</v>
      </c>
      <c r="U131" t="s">
        <v>52</v>
      </c>
      <c r="V131" t="s">
        <v>62</v>
      </c>
      <c r="W131" t="s">
        <v>52</v>
      </c>
      <c r="Y131" t="s">
        <v>568</v>
      </c>
      <c r="Z131" t="s">
        <v>62</v>
      </c>
      <c r="AB131" t="s">
        <v>575</v>
      </c>
      <c r="AE131" t="s">
        <v>576</v>
      </c>
      <c r="AF131" t="s">
        <v>52</v>
      </c>
      <c r="AH131">
        <v>0</v>
      </c>
      <c r="AI131">
        <v>0</v>
      </c>
      <c r="AJ131" t="s">
        <v>52</v>
      </c>
      <c r="AK131">
        <v>0</v>
      </c>
      <c r="AL131" t="s">
        <v>52</v>
      </c>
      <c r="AM131" t="s">
        <v>52</v>
      </c>
      <c r="AN131">
        <v>0</v>
      </c>
      <c r="AO131">
        <v>0</v>
      </c>
      <c r="AP131" t="s">
        <v>52</v>
      </c>
      <c r="AQ131" t="s">
        <v>52</v>
      </c>
      <c r="AR131" t="s">
        <v>62</v>
      </c>
      <c r="AS131" t="s">
        <v>52</v>
      </c>
      <c r="AT131" t="s">
        <v>74</v>
      </c>
      <c r="AU131" t="s">
        <v>64</v>
      </c>
      <c r="AV131" t="s">
        <v>62</v>
      </c>
      <c r="AW131" t="s">
        <v>65</v>
      </c>
      <c r="AX131" t="s">
        <v>66</v>
      </c>
      <c r="AY131" t="s">
        <v>67</v>
      </c>
    </row>
    <row r="132" spans="1:51" hidden="1" x14ac:dyDescent="0.25">
      <c r="A132">
        <v>202260</v>
      </c>
      <c r="B132" t="s">
        <v>577</v>
      </c>
      <c r="C132" t="e">
        <f>VLOOKUP(A132,[1]Customer_payment_journal_line!$AL:$BO,30,0)</f>
        <v>#N/A</v>
      </c>
      <c r="D132" t="s">
        <v>53</v>
      </c>
      <c r="E132" t="s">
        <v>578</v>
      </c>
      <c r="F132" t="s">
        <v>579</v>
      </c>
      <c r="G132" t="s">
        <v>238</v>
      </c>
      <c r="H132" t="s">
        <v>57</v>
      </c>
      <c r="I132" t="s">
        <v>319</v>
      </c>
      <c r="J132" t="s">
        <v>270</v>
      </c>
      <c r="K132" t="s">
        <v>271</v>
      </c>
      <c r="L132" t="s">
        <v>52</v>
      </c>
      <c r="M132">
        <v>855</v>
      </c>
      <c r="N132">
        <v>0</v>
      </c>
      <c r="O132" t="s">
        <v>61</v>
      </c>
      <c r="P132">
        <v>100</v>
      </c>
      <c r="Q132" t="s">
        <v>52</v>
      </c>
      <c r="R132" t="s">
        <v>52</v>
      </c>
      <c r="S132" t="s">
        <v>52</v>
      </c>
      <c r="T132" t="s">
        <v>52</v>
      </c>
      <c r="U132" t="s">
        <v>52</v>
      </c>
      <c r="V132" t="s">
        <v>62</v>
      </c>
      <c r="W132" t="s">
        <v>63</v>
      </c>
      <c r="Y132" t="s">
        <v>52</v>
      </c>
      <c r="AB132" t="s">
        <v>52</v>
      </c>
      <c r="AE132" t="s">
        <v>52</v>
      </c>
      <c r="AF132" t="s">
        <v>52</v>
      </c>
      <c r="AH132">
        <v>0</v>
      </c>
      <c r="AI132">
        <v>0</v>
      </c>
      <c r="AJ132" t="s">
        <v>52</v>
      </c>
      <c r="AK132">
        <v>0</v>
      </c>
      <c r="AL132" t="s">
        <v>52</v>
      </c>
      <c r="AM132" t="s">
        <v>52</v>
      </c>
      <c r="AN132">
        <v>0</v>
      </c>
      <c r="AO132">
        <v>0</v>
      </c>
      <c r="AP132" t="s">
        <v>52</v>
      </c>
      <c r="AQ132" t="s">
        <v>52</v>
      </c>
      <c r="AR132" t="s">
        <v>62</v>
      </c>
      <c r="AS132" t="s">
        <v>52</v>
      </c>
      <c r="AT132" t="s">
        <v>52</v>
      </c>
      <c r="AU132" t="s">
        <v>64</v>
      </c>
      <c r="AV132" t="s">
        <v>62</v>
      </c>
      <c r="AW132" t="s">
        <v>65</v>
      </c>
      <c r="AX132" t="s">
        <v>66</v>
      </c>
      <c r="AY132" t="s">
        <v>67</v>
      </c>
    </row>
    <row r="133" spans="1:51" hidden="1" x14ac:dyDescent="0.25">
      <c r="A133">
        <v>202260</v>
      </c>
      <c r="B133" t="s">
        <v>580</v>
      </c>
      <c r="C133" t="e">
        <f>VLOOKUP(A133,[1]Customer_payment_journal_line!$AL:$BO,30,0)</f>
        <v>#N/A</v>
      </c>
      <c r="D133" t="s">
        <v>53</v>
      </c>
      <c r="E133" t="s">
        <v>578</v>
      </c>
      <c r="F133" t="s">
        <v>579</v>
      </c>
      <c r="G133" t="s">
        <v>238</v>
      </c>
      <c r="H133" t="s">
        <v>69</v>
      </c>
      <c r="I133" t="s">
        <v>273</v>
      </c>
      <c r="J133" t="s">
        <v>270</v>
      </c>
      <c r="K133" t="s">
        <v>271</v>
      </c>
      <c r="L133" t="s">
        <v>52</v>
      </c>
      <c r="M133">
        <v>0</v>
      </c>
      <c r="N133">
        <v>855</v>
      </c>
      <c r="O133" t="s">
        <v>61</v>
      </c>
      <c r="P133">
        <v>100</v>
      </c>
      <c r="Q133" t="s">
        <v>52</v>
      </c>
      <c r="R133" t="s">
        <v>52</v>
      </c>
      <c r="S133" t="s">
        <v>52</v>
      </c>
      <c r="T133" t="s">
        <v>52</v>
      </c>
      <c r="U133" t="s">
        <v>52</v>
      </c>
      <c r="V133" t="s">
        <v>62</v>
      </c>
      <c r="W133" t="s">
        <v>52</v>
      </c>
      <c r="Y133" t="s">
        <v>274</v>
      </c>
      <c r="Z133" t="s">
        <v>62</v>
      </c>
      <c r="AB133" t="s">
        <v>581</v>
      </c>
      <c r="AE133" t="s">
        <v>582</v>
      </c>
      <c r="AF133" t="s">
        <v>52</v>
      </c>
      <c r="AH133">
        <v>0</v>
      </c>
      <c r="AI133">
        <v>0</v>
      </c>
      <c r="AJ133" t="s">
        <v>52</v>
      </c>
      <c r="AK133">
        <v>0</v>
      </c>
      <c r="AL133" t="s">
        <v>52</v>
      </c>
      <c r="AM133" t="s">
        <v>52</v>
      </c>
      <c r="AN133">
        <v>0</v>
      </c>
      <c r="AO133">
        <v>0</v>
      </c>
      <c r="AP133" t="s">
        <v>52</v>
      </c>
      <c r="AQ133" t="s">
        <v>52</v>
      </c>
      <c r="AR133" t="s">
        <v>62</v>
      </c>
      <c r="AS133" t="s">
        <v>52</v>
      </c>
      <c r="AT133" t="s">
        <v>74</v>
      </c>
      <c r="AU133" t="s">
        <v>64</v>
      </c>
      <c r="AV133" t="s">
        <v>62</v>
      </c>
      <c r="AW133" t="s">
        <v>65</v>
      </c>
      <c r="AX133" t="s">
        <v>66</v>
      </c>
      <c r="AY133" t="s">
        <v>67</v>
      </c>
    </row>
    <row r="134" spans="1:51" hidden="1" x14ac:dyDescent="0.25">
      <c r="A134">
        <v>202261</v>
      </c>
      <c r="B134" t="s">
        <v>583</v>
      </c>
      <c r="C134" t="e">
        <f>VLOOKUP(A134,[1]Customer_payment_journal_line!$AL:$BO,30,0)</f>
        <v>#N/A</v>
      </c>
      <c r="D134" t="s">
        <v>53</v>
      </c>
      <c r="E134" t="s">
        <v>584</v>
      </c>
      <c r="F134" t="s">
        <v>585</v>
      </c>
      <c r="G134" t="s">
        <v>238</v>
      </c>
      <c r="H134" t="s">
        <v>57</v>
      </c>
      <c r="I134" t="s">
        <v>319</v>
      </c>
      <c r="J134" t="s">
        <v>270</v>
      </c>
      <c r="K134" t="s">
        <v>271</v>
      </c>
      <c r="L134" t="s">
        <v>52</v>
      </c>
      <c r="M134">
        <v>3705</v>
      </c>
      <c r="N134">
        <v>0</v>
      </c>
      <c r="O134" t="s">
        <v>61</v>
      </c>
      <c r="P134">
        <v>100</v>
      </c>
      <c r="Q134" t="s">
        <v>52</v>
      </c>
      <c r="R134" t="s">
        <v>52</v>
      </c>
      <c r="S134" t="s">
        <v>52</v>
      </c>
      <c r="T134" t="s">
        <v>52</v>
      </c>
      <c r="U134" t="s">
        <v>52</v>
      </c>
      <c r="V134" t="s">
        <v>62</v>
      </c>
      <c r="W134" t="s">
        <v>63</v>
      </c>
      <c r="Y134" t="s">
        <v>52</v>
      </c>
      <c r="AB134" t="s">
        <v>52</v>
      </c>
      <c r="AE134" t="s">
        <v>52</v>
      </c>
      <c r="AF134" t="s">
        <v>52</v>
      </c>
      <c r="AH134">
        <v>0</v>
      </c>
      <c r="AI134">
        <v>0</v>
      </c>
      <c r="AJ134" t="s">
        <v>52</v>
      </c>
      <c r="AK134">
        <v>0</v>
      </c>
      <c r="AL134" t="s">
        <v>52</v>
      </c>
      <c r="AM134" t="s">
        <v>52</v>
      </c>
      <c r="AN134">
        <v>0</v>
      </c>
      <c r="AO134">
        <v>0</v>
      </c>
      <c r="AP134" t="s">
        <v>52</v>
      </c>
      <c r="AQ134" t="s">
        <v>52</v>
      </c>
      <c r="AR134" t="s">
        <v>62</v>
      </c>
      <c r="AS134" t="s">
        <v>52</v>
      </c>
      <c r="AT134" t="s">
        <v>52</v>
      </c>
      <c r="AU134" t="s">
        <v>64</v>
      </c>
      <c r="AV134" t="s">
        <v>62</v>
      </c>
      <c r="AW134" t="s">
        <v>65</v>
      </c>
      <c r="AX134" t="s">
        <v>66</v>
      </c>
      <c r="AY134" t="s">
        <v>67</v>
      </c>
    </row>
    <row r="135" spans="1:51" hidden="1" x14ac:dyDescent="0.25">
      <c r="A135">
        <v>202261</v>
      </c>
      <c r="B135" t="s">
        <v>586</v>
      </c>
      <c r="C135" t="e">
        <f>VLOOKUP(A135,[1]Customer_payment_journal_line!$AL:$BO,30,0)</f>
        <v>#N/A</v>
      </c>
      <c r="D135" t="s">
        <v>53</v>
      </c>
      <c r="E135" t="s">
        <v>584</v>
      </c>
      <c r="F135" t="s">
        <v>585</v>
      </c>
      <c r="G135" t="s">
        <v>238</v>
      </c>
      <c r="H135" t="s">
        <v>69</v>
      </c>
      <c r="I135" t="s">
        <v>273</v>
      </c>
      <c r="J135" t="s">
        <v>270</v>
      </c>
      <c r="K135" t="s">
        <v>271</v>
      </c>
      <c r="L135" t="s">
        <v>52</v>
      </c>
      <c r="M135">
        <v>0</v>
      </c>
      <c r="N135">
        <v>3705</v>
      </c>
      <c r="O135" t="s">
        <v>61</v>
      </c>
      <c r="P135">
        <v>100</v>
      </c>
      <c r="Q135" t="s">
        <v>52</v>
      </c>
      <c r="R135" t="s">
        <v>52</v>
      </c>
      <c r="S135" t="s">
        <v>52</v>
      </c>
      <c r="T135" t="s">
        <v>52</v>
      </c>
      <c r="U135" t="s">
        <v>52</v>
      </c>
      <c r="V135" t="s">
        <v>62</v>
      </c>
      <c r="W135" t="s">
        <v>52</v>
      </c>
      <c r="Y135" t="s">
        <v>274</v>
      </c>
      <c r="Z135" t="s">
        <v>62</v>
      </c>
      <c r="AB135" t="s">
        <v>587</v>
      </c>
      <c r="AE135" t="s">
        <v>588</v>
      </c>
      <c r="AF135" t="s">
        <v>52</v>
      </c>
      <c r="AH135">
        <v>0</v>
      </c>
      <c r="AI135">
        <v>0</v>
      </c>
      <c r="AJ135" t="s">
        <v>52</v>
      </c>
      <c r="AK135">
        <v>0</v>
      </c>
      <c r="AL135" t="s">
        <v>52</v>
      </c>
      <c r="AM135" t="s">
        <v>52</v>
      </c>
      <c r="AN135">
        <v>0</v>
      </c>
      <c r="AO135">
        <v>0</v>
      </c>
      <c r="AP135" t="s">
        <v>52</v>
      </c>
      <c r="AQ135" t="s">
        <v>52</v>
      </c>
      <c r="AR135" t="s">
        <v>62</v>
      </c>
      <c r="AS135" t="s">
        <v>52</v>
      </c>
      <c r="AT135" t="s">
        <v>74</v>
      </c>
      <c r="AU135" t="s">
        <v>64</v>
      </c>
      <c r="AV135" t="s">
        <v>62</v>
      </c>
      <c r="AW135" t="s">
        <v>65</v>
      </c>
      <c r="AX135" t="s">
        <v>66</v>
      </c>
      <c r="AY135" t="s">
        <v>67</v>
      </c>
    </row>
    <row r="136" spans="1:51" hidden="1" x14ac:dyDescent="0.25">
      <c r="A136">
        <v>317129</v>
      </c>
      <c r="B136" t="s">
        <v>589</v>
      </c>
      <c r="C136" t="e">
        <f>VLOOKUP(A136,[1]Customer_payment_journal_line!$AL:$BO,30,0)</f>
        <v>#N/A</v>
      </c>
      <c r="D136" t="s">
        <v>53</v>
      </c>
      <c r="E136" t="s">
        <v>590</v>
      </c>
      <c r="F136" t="s">
        <v>591</v>
      </c>
      <c r="G136" t="s">
        <v>238</v>
      </c>
      <c r="H136" t="s">
        <v>201</v>
      </c>
      <c r="I136" t="s">
        <v>58</v>
      </c>
      <c r="J136" t="s">
        <v>202</v>
      </c>
      <c r="K136" t="s">
        <v>592</v>
      </c>
      <c r="L136" t="s">
        <v>52</v>
      </c>
      <c r="M136">
        <v>285</v>
      </c>
      <c r="N136">
        <v>0</v>
      </c>
      <c r="O136" t="s">
        <v>61</v>
      </c>
      <c r="P136">
        <v>100</v>
      </c>
      <c r="Q136" t="s">
        <v>52</v>
      </c>
      <c r="R136" t="s">
        <v>52</v>
      </c>
      <c r="S136" t="s">
        <v>52</v>
      </c>
      <c r="T136" t="s">
        <v>52</v>
      </c>
      <c r="U136" t="s">
        <v>52</v>
      </c>
      <c r="V136" t="s">
        <v>62</v>
      </c>
      <c r="W136" t="s">
        <v>63</v>
      </c>
      <c r="Y136" t="s">
        <v>52</v>
      </c>
      <c r="AB136" t="s">
        <v>593</v>
      </c>
      <c r="AE136" t="s">
        <v>593</v>
      </c>
      <c r="AF136" t="s">
        <v>52</v>
      </c>
      <c r="AH136">
        <v>0</v>
      </c>
      <c r="AI136">
        <v>0</v>
      </c>
      <c r="AJ136" t="s">
        <v>52</v>
      </c>
      <c r="AK136">
        <v>0</v>
      </c>
      <c r="AL136" t="s">
        <v>52</v>
      </c>
      <c r="AM136" t="s">
        <v>52</v>
      </c>
      <c r="AN136">
        <v>0</v>
      </c>
      <c r="AO136">
        <v>0</v>
      </c>
      <c r="AP136" t="s">
        <v>52</v>
      </c>
      <c r="AQ136" t="s">
        <v>52</v>
      </c>
      <c r="AR136" t="s">
        <v>62</v>
      </c>
      <c r="AS136" t="s">
        <v>52</v>
      </c>
      <c r="AT136" t="s">
        <v>52</v>
      </c>
      <c r="AU136" t="s">
        <v>64</v>
      </c>
      <c r="AV136" t="s">
        <v>62</v>
      </c>
      <c r="AW136" t="s">
        <v>65</v>
      </c>
      <c r="AX136" t="s">
        <v>66</v>
      </c>
      <c r="AY136" t="s">
        <v>67</v>
      </c>
    </row>
    <row r="137" spans="1:51" hidden="1" x14ac:dyDescent="0.25">
      <c r="A137">
        <v>317129</v>
      </c>
      <c r="B137" t="s">
        <v>594</v>
      </c>
      <c r="C137" t="e">
        <f>VLOOKUP(A137,[1]Customer_payment_journal_line!$AL:$BO,30,0)</f>
        <v>#N/A</v>
      </c>
      <c r="D137" t="s">
        <v>53</v>
      </c>
      <c r="E137" t="s">
        <v>590</v>
      </c>
      <c r="F137" t="s">
        <v>591</v>
      </c>
      <c r="G137" t="s">
        <v>238</v>
      </c>
      <c r="H137" t="s">
        <v>69</v>
      </c>
      <c r="I137" t="s">
        <v>595</v>
      </c>
      <c r="J137" t="s">
        <v>596</v>
      </c>
      <c r="K137" t="s">
        <v>592</v>
      </c>
      <c r="L137" t="s">
        <v>52</v>
      </c>
      <c r="M137">
        <v>0</v>
      </c>
      <c r="N137">
        <v>5</v>
      </c>
      <c r="O137" t="s">
        <v>126</v>
      </c>
      <c r="P137">
        <v>5285</v>
      </c>
      <c r="Q137" t="s">
        <v>52</v>
      </c>
      <c r="R137" t="s">
        <v>52</v>
      </c>
      <c r="S137" t="s">
        <v>52</v>
      </c>
      <c r="T137" t="s">
        <v>52</v>
      </c>
      <c r="U137" t="s">
        <v>52</v>
      </c>
      <c r="V137" t="s">
        <v>62</v>
      </c>
      <c r="W137" t="s">
        <v>52</v>
      </c>
      <c r="Y137" t="s">
        <v>597</v>
      </c>
      <c r="Z137" t="s">
        <v>62</v>
      </c>
      <c r="AB137" t="s">
        <v>593</v>
      </c>
      <c r="AE137" t="s">
        <v>593</v>
      </c>
      <c r="AF137" t="s">
        <v>52</v>
      </c>
      <c r="AH137">
        <v>0</v>
      </c>
      <c r="AI137">
        <v>0</v>
      </c>
      <c r="AJ137" t="s">
        <v>52</v>
      </c>
      <c r="AK137">
        <v>0</v>
      </c>
      <c r="AL137" t="s">
        <v>52</v>
      </c>
      <c r="AM137" t="s">
        <v>52</v>
      </c>
      <c r="AN137">
        <v>0</v>
      </c>
      <c r="AO137">
        <v>0</v>
      </c>
      <c r="AP137" t="s">
        <v>52</v>
      </c>
      <c r="AQ137" t="s">
        <v>52</v>
      </c>
      <c r="AR137" t="s">
        <v>62</v>
      </c>
      <c r="AS137" t="s">
        <v>52</v>
      </c>
      <c r="AT137" t="s">
        <v>74</v>
      </c>
      <c r="AU137" t="s">
        <v>64</v>
      </c>
      <c r="AV137" t="s">
        <v>62</v>
      </c>
      <c r="AW137" t="s">
        <v>65</v>
      </c>
      <c r="AX137" t="s">
        <v>66</v>
      </c>
      <c r="AY137" t="s">
        <v>67</v>
      </c>
    </row>
    <row r="138" spans="1:51" hidden="1" x14ac:dyDescent="0.25">
      <c r="A138">
        <v>317129</v>
      </c>
      <c r="B138" t="s">
        <v>598</v>
      </c>
      <c r="C138" t="e">
        <f>VLOOKUP(A138,[1]Customer_payment_journal_line!$AL:$BO,30,0)</f>
        <v>#N/A</v>
      </c>
      <c r="D138" t="s">
        <v>53</v>
      </c>
      <c r="E138" t="s">
        <v>590</v>
      </c>
      <c r="F138" t="s">
        <v>591</v>
      </c>
      <c r="G138" t="s">
        <v>238</v>
      </c>
      <c r="H138" t="s">
        <v>210</v>
      </c>
      <c r="I138" t="s">
        <v>599</v>
      </c>
      <c r="J138" t="s">
        <v>52</v>
      </c>
      <c r="K138" t="s">
        <v>592</v>
      </c>
      <c r="L138" t="s">
        <v>52</v>
      </c>
      <c r="M138">
        <v>0</v>
      </c>
      <c r="N138">
        <v>20.75</v>
      </c>
      <c r="O138" t="s">
        <v>61</v>
      </c>
      <c r="P138">
        <v>100</v>
      </c>
      <c r="Q138" t="s">
        <v>52</v>
      </c>
      <c r="R138" t="s">
        <v>52</v>
      </c>
      <c r="S138" t="s">
        <v>52</v>
      </c>
      <c r="T138" t="s">
        <v>52</v>
      </c>
      <c r="U138" t="s">
        <v>52</v>
      </c>
      <c r="V138" t="s">
        <v>62</v>
      </c>
      <c r="W138" t="s">
        <v>63</v>
      </c>
      <c r="Y138" t="s">
        <v>597</v>
      </c>
      <c r="AB138" t="s">
        <v>593</v>
      </c>
      <c r="AE138" t="s">
        <v>593</v>
      </c>
      <c r="AF138" t="s">
        <v>52</v>
      </c>
      <c r="AH138">
        <v>0</v>
      </c>
      <c r="AI138">
        <v>0</v>
      </c>
      <c r="AJ138" t="s">
        <v>52</v>
      </c>
      <c r="AK138">
        <v>0</v>
      </c>
      <c r="AL138" t="s">
        <v>52</v>
      </c>
      <c r="AM138" t="s">
        <v>52</v>
      </c>
      <c r="AN138">
        <v>0</v>
      </c>
      <c r="AO138">
        <v>0</v>
      </c>
      <c r="AP138" t="s">
        <v>52</v>
      </c>
      <c r="AQ138" t="s">
        <v>52</v>
      </c>
      <c r="AR138" t="s">
        <v>62</v>
      </c>
      <c r="AS138" t="s">
        <v>52</v>
      </c>
      <c r="AT138" t="s">
        <v>52</v>
      </c>
      <c r="AU138" t="s">
        <v>64</v>
      </c>
      <c r="AV138" t="s">
        <v>62</v>
      </c>
      <c r="AW138" t="s">
        <v>65</v>
      </c>
      <c r="AX138" t="s">
        <v>66</v>
      </c>
      <c r="AY138" t="s">
        <v>67</v>
      </c>
    </row>
    <row r="139" spans="1:51" hidden="1" x14ac:dyDescent="0.25">
      <c r="A139">
        <v>202270</v>
      </c>
      <c r="B139" t="s">
        <v>600</v>
      </c>
      <c r="C139" t="e">
        <f>VLOOKUP(A139,[1]Customer_payment_journal_line!$AL:$BO,30,0)</f>
        <v>#N/A</v>
      </c>
      <c r="D139" t="s">
        <v>53</v>
      </c>
      <c r="E139" t="s">
        <v>601</v>
      </c>
      <c r="F139" t="s">
        <v>602</v>
      </c>
      <c r="G139" t="s">
        <v>238</v>
      </c>
      <c r="H139" t="s">
        <v>57</v>
      </c>
      <c r="I139" t="s">
        <v>58</v>
      </c>
      <c r="J139" t="s">
        <v>603</v>
      </c>
      <c r="K139" t="s">
        <v>592</v>
      </c>
      <c r="L139" t="s">
        <v>52</v>
      </c>
      <c r="M139">
        <v>855</v>
      </c>
      <c r="N139">
        <v>0</v>
      </c>
      <c r="O139" t="s">
        <v>61</v>
      </c>
      <c r="P139">
        <v>100</v>
      </c>
      <c r="Q139" t="s">
        <v>52</v>
      </c>
      <c r="R139" t="s">
        <v>52</v>
      </c>
      <c r="S139" t="s">
        <v>52</v>
      </c>
      <c r="T139" t="s">
        <v>52</v>
      </c>
      <c r="U139" t="s">
        <v>52</v>
      </c>
      <c r="V139" t="s">
        <v>62</v>
      </c>
      <c r="W139" t="s">
        <v>63</v>
      </c>
      <c r="Y139" t="s">
        <v>52</v>
      </c>
      <c r="AB139" t="s">
        <v>52</v>
      </c>
      <c r="AE139" t="s">
        <v>52</v>
      </c>
      <c r="AF139" t="s">
        <v>52</v>
      </c>
      <c r="AH139">
        <v>0</v>
      </c>
      <c r="AI139">
        <v>0</v>
      </c>
      <c r="AJ139" t="s">
        <v>52</v>
      </c>
      <c r="AK139">
        <v>0</v>
      </c>
      <c r="AL139" t="s">
        <v>52</v>
      </c>
      <c r="AM139" t="s">
        <v>52</v>
      </c>
      <c r="AN139">
        <v>0</v>
      </c>
      <c r="AO139">
        <v>0</v>
      </c>
      <c r="AP139" t="s">
        <v>52</v>
      </c>
      <c r="AQ139" t="s">
        <v>52</v>
      </c>
      <c r="AR139" t="s">
        <v>62</v>
      </c>
      <c r="AS139" t="s">
        <v>52</v>
      </c>
      <c r="AT139" t="s">
        <v>52</v>
      </c>
      <c r="AU139" t="s">
        <v>64</v>
      </c>
      <c r="AV139" t="s">
        <v>62</v>
      </c>
      <c r="AW139" t="s">
        <v>65</v>
      </c>
      <c r="AX139" t="s">
        <v>66</v>
      </c>
      <c r="AY139" t="s">
        <v>67</v>
      </c>
    </row>
    <row r="140" spans="1:51" hidden="1" x14ac:dyDescent="0.25">
      <c r="A140">
        <v>202270</v>
      </c>
      <c r="B140" t="s">
        <v>604</v>
      </c>
      <c r="C140" t="e">
        <f>VLOOKUP(A140,[1]Customer_payment_journal_line!$AL:$BO,30,0)</f>
        <v>#N/A</v>
      </c>
      <c r="D140" t="s">
        <v>53</v>
      </c>
      <c r="E140" t="s">
        <v>601</v>
      </c>
      <c r="F140" t="s">
        <v>602</v>
      </c>
      <c r="G140" t="s">
        <v>238</v>
      </c>
      <c r="H140" t="s">
        <v>69</v>
      </c>
      <c r="I140" t="s">
        <v>595</v>
      </c>
      <c r="J140" t="s">
        <v>603</v>
      </c>
      <c r="K140" t="s">
        <v>592</v>
      </c>
      <c r="L140" t="s">
        <v>52</v>
      </c>
      <c r="M140">
        <v>0</v>
      </c>
      <c r="N140">
        <v>855</v>
      </c>
      <c r="O140" t="s">
        <v>61</v>
      </c>
      <c r="P140">
        <v>100</v>
      </c>
      <c r="Q140" t="s">
        <v>52</v>
      </c>
      <c r="R140" t="s">
        <v>52</v>
      </c>
      <c r="S140" t="s">
        <v>52</v>
      </c>
      <c r="T140" t="s">
        <v>52</v>
      </c>
      <c r="U140" t="s">
        <v>52</v>
      </c>
      <c r="V140" t="s">
        <v>62</v>
      </c>
      <c r="W140" t="s">
        <v>52</v>
      </c>
      <c r="Y140" t="s">
        <v>597</v>
      </c>
      <c r="Z140" t="s">
        <v>62</v>
      </c>
      <c r="AB140" t="s">
        <v>605</v>
      </c>
      <c r="AE140" t="s">
        <v>606</v>
      </c>
      <c r="AF140" t="s">
        <v>52</v>
      </c>
      <c r="AH140">
        <v>0</v>
      </c>
      <c r="AI140">
        <v>0</v>
      </c>
      <c r="AJ140" t="s">
        <v>52</v>
      </c>
      <c r="AK140">
        <v>0</v>
      </c>
      <c r="AL140" t="s">
        <v>52</v>
      </c>
      <c r="AM140" t="s">
        <v>52</v>
      </c>
      <c r="AN140">
        <v>0</v>
      </c>
      <c r="AO140">
        <v>0</v>
      </c>
      <c r="AP140" t="s">
        <v>52</v>
      </c>
      <c r="AQ140" t="s">
        <v>52</v>
      </c>
      <c r="AR140" t="s">
        <v>62</v>
      </c>
      <c r="AS140" t="s">
        <v>52</v>
      </c>
      <c r="AT140" t="s">
        <v>74</v>
      </c>
      <c r="AU140" t="s">
        <v>64</v>
      </c>
      <c r="AV140" t="s">
        <v>62</v>
      </c>
      <c r="AW140" t="s">
        <v>65</v>
      </c>
      <c r="AX140" t="s">
        <v>66</v>
      </c>
      <c r="AY140" t="s">
        <v>67</v>
      </c>
    </row>
    <row r="141" spans="1:51" hidden="1" x14ac:dyDescent="0.25">
      <c r="A141">
        <v>202271</v>
      </c>
      <c r="B141" t="s">
        <v>607</v>
      </c>
      <c r="C141" t="e">
        <f>VLOOKUP(A141,[1]Customer_payment_journal_line!$AL:$BO,30,0)</f>
        <v>#N/A</v>
      </c>
      <c r="D141" t="s">
        <v>53</v>
      </c>
      <c r="E141" t="s">
        <v>608</v>
      </c>
      <c r="F141" t="s">
        <v>609</v>
      </c>
      <c r="G141" t="s">
        <v>238</v>
      </c>
      <c r="H141" t="s">
        <v>57</v>
      </c>
      <c r="I141" t="s">
        <v>58</v>
      </c>
      <c r="J141" t="s">
        <v>603</v>
      </c>
      <c r="K141" t="s">
        <v>592</v>
      </c>
      <c r="L141" t="s">
        <v>52</v>
      </c>
      <c r="M141">
        <v>1000</v>
      </c>
      <c r="N141">
        <v>0</v>
      </c>
      <c r="O141" t="s">
        <v>61</v>
      </c>
      <c r="P141">
        <v>100</v>
      </c>
      <c r="Q141" t="s">
        <v>52</v>
      </c>
      <c r="R141" t="s">
        <v>52</v>
      </c>
      <c r="S141" t="s">
        <v>52</v>
      </c>
      <c r="T141" t="s">
        <v>52</v>
      </c>
      <c r="U141" t="s">
        <v>52</v>
      </c>
      <c r="V141" t="s">
        <v>62</v>
      </c>
      <c r="W141" t="s">
        <v>63</v>
      </c>
      <c r="Y141" t="s">
        <v>52</v>
      </c>
      <c r="AB141" t="s">
        <v>52</v>
      </c>
      <c r="AE141" t="s">
        <v>52</v>
      </c>
      <c r="AF141" t="s">
        <v>52</v>
      </c>
      <c r="AH141">
        <v>0</v>
      </c>
      <c r="AI141">
        <v>0</v>
      </c>
      <c r="AJ141" t="s">
        <v>52</v>
      </c>
      <c r="AK141">
        <v>0</v>
      </c>
      <c r="AL141" t="s">
        <v>52</v>
      </c>
      <c r="AM141" t="s">
        <v>52</v>
      </c>
      <c r="AN141">
        <v>0</v>
      </c>
      <c r="AO141">
        <v>0</v>
      </c>
      <c r="AP141" t="s">
        <v>52</v>
      </c>
      <c r="AQ141" t="s">
        <v>52</v>
      </c>
      <c r="AR141" t="s">
        <v>62</v>
      </c>
      <c r="AS141" t="s">
        <v>52</v>
      </c>
      <c r="AT141" t="s">
        <v>52</v>
      </c>
      <c r="AU141" t="s">
        <v>64</v>
      </c>
      <c r="AV141" t="s">
        <v>62</v>
      </c>
      <c r="AW141" t="s">
        <v>65</v>
      </c>
      <c r="AX141" t="s">
        <v>66</v>
      </c>
      <c r="AY141" t="s">
        <v>67</v>
      </c>
    </row>
    <row r="142" spans="1:51" hidden="1" x14ac:dyDescent="0.25">
      <c r="A142">
        <v>202271</v>
      </c>
      <c r="B142" t="s">
        <v>610</v>
      </c>
      <c r="C142" t="e">
        <f>VLOOKUP(A142,[1]Customer_payment_journal_line!$AL:$BO,30,0)</f>
        <v>#N/A</v>
      </c>
      <c r="D142" t="s">
        <v>53</v>
      </c>
      <c r="E142" t="s">
        <v>608</v>
      </c>
      <c r="F142" t="s">
        <v>609</v>
      </c>
      <c r="G142" t="s">
        <v>238</v>
      </c>
      <c r="H142" t="s">
        <v>69</v>
      </c>
      <c r="I142" t="s">
        <v>595</v>
      </c>
      <c r="J142" t="s">
        <v>603</v>
      </c>
      <c r="K142" t="s">
        <v>592</v>
      </c>
      <c r="L142" t="s">
        <v>52</v>
      </c>
      <c r="M142">
        <v>0</v>
      </c>
      <c r="N142">
        <v>1000</v>
      </c>
      <c r="O142" t="s">
        <v>61</v>
      </c>
      <c r="P142">
        <v>100</v>
      </c>
      <c r="Q142" t="s">
        <v>52</v>
      </c>
      <c r="R142" t="s">
        <v>52</v>
      </c>
      <c r="S142" t="s">
        <v>52</v>
      </c>
      <c r="T142" t="s">
        <v>52</v>
      </c>
      <c r="U142" t="s">
        <v>52</v>
      </c>
      <c r="V142" t="s">
        <v>62</v>
      </c>
      <c r="W142" t="s">
        <v>52</v>
      </c>
      <c r="Y142" t="s">
        <v>597</v>
      </c>
      <c r="Z142" t="s">
        <v>62</v>
      </c>
      <c r="AB142" t="s">
        <v>611</v>
      </c>
      <c r="AE142" t="s">
        <v>612</v>
      </c>
      <c r="AF142" t="s">
        <v>52</v>
      </c>
      <c r="AH142">
        <v>0</v>
      </c>
      <c r="AI142">
        <v>0</v>
      </c>
      <c r="AJ142" t="s">
        <v>52</v>
      </c>
      <c r="AK142">
        <v>0</v>
      </c>
      <c r="AL142" t="s">
        <v>52</v>
      </c>
      <c r="AM142" t="s">
        <v>52</v>
      </c>
      <c r="AN142">
        <v>0</v>
      </c>
      <c r="AO142">
        <v>0</v>
      </c>
      <c r="AP142" t="s">
        <v>52</v>
      </c>
      <c r="AQ142" t="s">
        <v>52</v>
      </c>
      <c r="AR142" t="s">
        <v>62</v>
      </c>
      <c r="AS142" t="s">
        <v>52</v>
      </c>
      <c r="AT142" t="s">
        <v>74</v>
      </c>
      <c r="AU142" t="s">
        <v>64</v>
      </c>
      <c r="AV142" t="s">
        <v>62</v>
      </c>
      <c r="AW142" t="s">
        <v>65</v>
      </c>
      <c r="AX142" t="s">
        <v>66</v>
      </c>
      <c r="AY142" t="s">
        <v>67</v>
      </c>
    </row>
    <row r="143" spans="1:51" hidden="1" x14ac:dyDescent="0.25">
      <c r="A143">
        <v>202273</v>
      </c>
      <c r="B143" t="s">
        <v>613</v>
      </c>
      <c r="C143" t="e">
        <f>VLOOKUP(A143,[1]Customer_payment_journal_line!$AL:$BO,30,0)</f>
        <v>#N/A</v>
      </c>
      <c r="D143" t="s">
        <v>53</v>
      </c>
      <c r="E143" t="s">
        <v>614</v>
      </c>
      <c r="F143" t="s">
        <v>615</v>
      </c>
      <c r="G143" t="s">
        <v>238</v>
      </c>
      <c r="H143" t="s">
        <v>57</v>
      </c>
      <c r="I143" t="s">
        <v>58</v>
      </c>
      <c r="J143" t="s">
        <v>616</v>
      </c>
      <c r="K143" t="s">
        <v>617</v>
      </c>
      <c r="L143" t="s">
        <v>52</v>
      </c>
      <c r="M143">
        <v>570</v>
      </c>
      <c r="N143">
        <v>0</v>
      </c>
      <c r="O143" t="s">
        <v>61</v>
      </c>
      <c r="P143">
        <v>100</v>
      </c>
      <c r="Q143" t="s">
        <v>52</v>
      </c>
      <c r="R143" t="s">
        <v>52</v>
      </c>
      <c r="S143" t="s">
        <v>52</v>
      </c>
      <c r="T143" t="s">
        <v>52</v>
      </c>
      <c r="U143" t="s">
        <v>52</v>
      </c>
      <c r="V143" t="s">
        <v>62</v>
      </c>
      <c r="W143" t="s">
        <v>63</v>
      </c>
      <c r="Y143" t="s">
        <v>52</v>
      </c>
      <c r="AB143" t="s">
        <v>52</v>
      </c>
      <c r="AE143" t="s">
        <v>52</v>
      </c>
      <c r="AF143" t="s">
        <v>52</v>
      </c>
      <c r="AH143">
        <v>0</v>
      </c>
      <c r="AI143">
        <v>0</v>
      </c>
      <c r="AJ143" t="s">
        <v>52</v>
      </c>
      <c r="AK143">
        <v>0</v>
      </c>
      <c r="AL143" t="s">
        <v>52</v>
      </c>
      <c r="AM143" t="s">
        <v>52</v>
      </c>
      <c r="AN143">
        <v>0</v>
      </c>
      <c r="AO143">
        <v>0</v>
      </c>
      <c r="AP143" t="s">
        <v>52</v>
      </c>
      <c r="AQ143" t="s">
        <v>52</v>
      </c>
      <c r="AR143" t="s">
        <v>62</v>
      </c>
      <c r="AS143" t="s">
        <v>52</v>
      </c>
      <c r="AT143" t="s">
        <v>52</v>
      </c>
      <c r="AU143" t="s">
        <v>64</v>
      </c>
      <c r="AV143" t="s">
        <v>62</v>
      </c>
      <c r="AW143" t="s">
        <v>65</v>
      </c>
      <c r="AX143" t="s">
        <v>66</v>
      </c>
      <c r="AY143" t="s">
        <v>67</v>
      </c>
    </row>
    <row r="144" spans="1:51" hidden="1" x14ac:dyDescent="0.25">
      <c r="A144">
        <v>202273</v>
      </c>
      <c r="B144" t="s">
        <v>618</v>
      </c>
      <c r="C144" t="e">
        <f>VLOOKUP(A144,[1]Customer_payment_journal_line!$AL:$BO,30,0)</f>
        <v>#N/A</v>
      </c>
      <c r="D144" t="s">
        <v>53</v>
      </c>
      <c r="E144" t="s">
        <v>614</v>
      </c>
      <c r="F144" t="s">
        <v>615</v>
      </c>
      <c r="G144" t="s">
        <v>238</v>
      </c>
      <c r="H144" t="s">
        <v>69</v>
      </c>
      <c r="I144" t="s">
        <v>355</v>
      </c>
      <c r="J144" t="s">
        <v>616</v>
      </c>
      <c r="K144" t="s">
        <v>617</v>
      </c>
      <c r="L144" t="s">
        <v>52</v>
      </c>
      <c r="M144">
        <v>0</v>
      </c>
      <c r="N144">
        <v>570</v>
      </c>
      <c r="O144" t="s">
        <v>61</v>
      </c>
      <c r="P144">
        <v>100</v>
      </c>
      <c r="Q144" t="s">
        <v>52</v>
      </c>
      <c r="R144" t="s">
        <v>52</v>
      </c>
      <c r="S144" t="s">
        <v>52</v>
      </c>
      <c r="T144" t="s">
        <v>52</v>
      </c>
      <c r="U144" t="s">
        <v>52</v>
      </c>
      <c r="V144" t="s">
        <v>62</v>
      </c>
      <c r="W144" t="s">
        <v>52</v>
      </c>
      <c r="Y144" t="s">
        <v>356</v>
      </c>
      <c r="Z144" t="s">
        <v>62</v>
      </c>
      <c r="AB144" t="s">
        <v>619</v>
      </c>
      <c r="AE144" t="s">
        <v>620</v>
      </c>
      <c r="AF144" t="s">
        <v>52</v>
      </c>
      <c r="AH144">
        <v>0</v>
      </c>
      <c r="AI144">
        <v>0</v>
      </c>
      <c r="AJ144" t="s">
        <v>52</v>
      </c>
      <c r="AK144">
        <v>0</v>
      </c>
      <c r="AL144" t="s">
        <v>52</v>
      </c>
      <c r="AM144" t="s">
        <v>52</v>
      </c>
      <c r="AN144">
        <v>0</v>
      </c>
      <c r="AO144">
        <v>0</v>
      </c>
      <c r="AP144" t="s">
        <v>52</v>
      </c>
      <c r="AQ144" t="s">
        <v>52</v>
      </c>
      <c r="AR144" t="s">
        <v>62</v>
      </c>
      <c r="AS144" t="s">
        <v>52</v>
      </c>
      <c r="AT144" t="s">
        <v>74</v>
      </c>
      <c r="AU144" t="s">
        <v>64</v>
      </c>
      <c r="AV144" t="s">
        <v>62</v>
      </c>
      <c r="AW144" t="s">
        <v>65</v>
      </c>
      <c r="AX144" t="s">
        <v>66</v>
      </c>
      <c r="AY144" t="s">
        <v>67</v>
      </c>
    </row>
    <row r="145" spans="1:51" hidden="1" x14ac:dyDescent="0.25">
      <c r="A145">
        <v>405948</v>
      </c>
      <c r="B145" t="s">
        <v>621</v>
      </c>
      <c r="C145" t="e">
        <f>VLOOKUP(A145,[1]Customer_payment_journal_line!$AL:$BO,30,0)</f>
        <v>#N/A</v>
      </c>
      <c r="D145" t="s">
        <v>53</v>
      </c>
      <c r="E145" t="s">
        <v>622</v>
      </c>
      <c r="F145" t="s">
        <v>623</v>
      </c>
      <c r="G145" t="s">
        <v>238</v>
      </c>
      <c r="H145" t="s">
        <v>57</v>
      </c>
      <c r="I145" t="s">
        <v>58</v>
      </c>
      <c r="J145" t="s">
        <v>616</v>
      </c>
      <c r="K145" t="s">
        <v>624</v>
      </c>
      <c r="L145" t="s">
        <v>52</v>
      </c>
      <c r="M145">
        <v>570</v>
      </c>
      <c r="N145">
        <v>0</v>
      </c>
      <c r="O145" t="s">
        <v>61</v>
      </c>
      <c r="P145">
        <v>100</v>
      </c>
      <c r="Q145" t="s">
        <v>52</v>
      </c>
      <c r="R145" t="s">
        <v>52</v>
      </c>
      <c r="S145" t="s">
        <v>52</v>
      </c>
      <c r="T145" t="s">
        <v>52</v>
      </c>
      <c r="U145" t="s">
        <v>52</v>
      </c>
      <c r="V145" t="s">
        <v>62</v>
      </c>
      <c r="W145" t="s">
        <v>63</v>
      </c>
      <c r="Y145" t="s">
        <v>52</v>
      </c>
      <c r="AB145" t="s">
        <v>52</v>
      </c>
      <c r="AE145" t="s">
        <v>52</v>
      </c>
      <c r="AF145" t="s">
        <v>52</v>
      </c>
      <c r="AH145">
        <v>0</v>
      </c>
      <c r="AI145">
        <v>0</v>
      </c>
      <c r="AJ145" t="s">
        <v>52</v>
      </c>
      <c r="AK145">
        <v>0</v>
      </c>
      <c r="AL145" t="s">
        <v>52</v>
      </c>
      <c r="AM145" t="s">
        <v>52</v>
      </c>
      <c r="AN145">
        <v>0</v>
      </c>
      <c r="AO145">
        <v>0</v>
      </c>
      <c r="AP145" t="s">
        <v>52</v>
      </c>
      <c r="AQ145" t="s">
        <v>52</v>
      </c>
      <c r="AR145" t="s">
        <v>62</v>
      </c>
      <c r="AS145" t="s">
        <v>52</v>
      </c>
      <c r="AT145" t="s">
        <v>52</v>
      </c>
      <c r="AU145" t="s">
        <v>64</v>
      </c>
      <c r="AV145" t="s">
        <v>62</v>
      </c>
      <c r="AW145" t="s">
        <v>65</v>
      </c>
      <c r="AX145" t="s">
        <v>66</v>
      </c>
      <c r="AY145" t="s">
        <v>67</v>
      </c>
    </row>
    <row r="146" spans="1:51" hidden="1" x14ac:dyDescent="0.25">
      <c r="A146">
        <v>405948</v>
      </c>
      <c r="B146" t="s">
        <v>625</v>
      </c>
      <c r="C146" t="e">
        <f>VLOOKUP(A146,[1]Customer_payment_journal_line!$AL:$BO,30,0)</f>
        <v>#N/A</v>
      </c>
      <c r="D146" t="s">
        <v>53</v>
      </c>
      <c r="E146" t="s">
        <v>622</v>
      </c>
      <c r="F146" t="s">
        <v>623</v>
      </c>
      <c r="G146" t="s">
        <v>238</v>
      </c>
      <c r="H146" t="s">
        <v>69</v>
      </c>
      <c r="I146" t="s">
        <v>355</v>
      </c>
      <c r="J146" t="s">
        <v>616</v>
      </c>
      <c r="K146" t="s">
        <v>624</v>
      </c>
      <c r="L146" t="s">
        <v>52</v>
      </c>
      <c r="M146">
        <v>0</v>
      </c>
      <c r="N146">
        <v>570</v>
      </c>
      <c r="O146" t="s">
        <v>61</v>
      </c>
      <c r="P146">
        <v>100</v>
      </c>
      <c r="Q146" t="s">
        <v>52</v>
      </c>
      <c r="R146" t="s">
        <v>52</v>
      </c>
      <c r="S146" t="s">
        <v>52</v>
      </c>
      <c r="T146" t="s">
        <v>52</v>
      </c>
      <c r="U146" t="s">
        <v>52</v>
      </c>
      <c r="V146" t="s">
        <v>62</v>
      </c>
      <c r="W146" t="s">
        <v>52</v>
      </c>
      <c r="Y146" t="s">
        <v>356</v>
      </c>
      <c r="Z146" t="s">
        <v>62</v>
      </c>
      <c r="AB146" t="s">
        <v>626</v>
      </c>
      <c r="AE146" t="s">
        <v>627</v>
      </c>
      <c r="AF146" t="s">
        <v>52</v>
      </c>
      <c r="AH146">
        <v>0</v>
      </c>
      <c r="AI146">
        <v>0</v>
      </c>
      <c r="AJ146" t="s">
        <v>52</v>
      </c>
      <c r="AK146">
        <v>0</v>
      </c>
      <c r="AL146" t="s">
        <v>52</v>
      </c>
      <c r="AM146" t="s">
        <v>52</v>
      </c>
      <c r="AN146">
        <v>0</v>
      </c>
      <c r="AO146">
        <v>0</v>
      </c>
      <c r="AP146" t="s">
        <v>52</v>
      </c>
      <c r="AQ146" t="s">
        <v>52</v>
      </c>
      <c r="AR146" t="s">
        <v>62</v>
      </c>
      <c r="AS146" t="s">
        <v>52</v>
      </c>
      <c r="AT146" t="s">
        <v>74</v>
      </c>
      <c r="AU146" t="s">
        <v>64</v>
      </c>
      <c r="AV146" t="s">
        <v>62</v>
      </c>
      <c r="AW146" t="s">
        <v>65</v>
      </c>
      <c r="AX146" t="s">
        <v>66</v>
      </c>
      <c r="AY146" t="s">
        <v>67</v>
      </c>
    </row>
    <row r="147" spans="1:51" hidden="1" x14ac:dyDescent="0.25">
      <c r="A147">
        <v>202306</v>
      </c>
      <c r="B147" t="s">
        <v>628</v>
      </c>
      <c r="C147" t="e">
        <f>VLOOKUP(A147,[1]Customer_payment_journal_line!$AL:$BO,30,0)</f>
        <v>#N/A</v>
      </c>
      <c r="D147" t="s">
        <v>159</v>
      </c>
      <c r="E147" t="s">
        <v>629</v>
      </c>
      <c r="F147" t="s">
        <v>630</v>
      </c>
      <c r="G147" t="s">
        <v>631</v>
      </c>
      <c r="H147" t="s">
        <v>80</v>
      </c>
      <c r="I147" t="s">
        <v>632</v>
      </c>
      <c r="J147" t="s">
        <v>633</v>
      </c>
      <c r="K147" t="s">
        <v>634</v>
      </c>
      <c r="L147" t="s">
        <v>52</v>
      </c>
      <c r="M147">
        <v>4275</v>
      </c>
      <c r="N147">
        <v>0</v>
      </c>
      <c r="O147" t="s">
        <v>61</v>
      </c>
      <c r="P147">
        <v>100</v>
      </c>
      <c r="Q147" t="s">
        <v>52</v>
      </c>
      <c r="R147" t="s">
        <v>52</v>
      </c>
      <c r="S147" t="s">
        <v>52</v>
      </c>
      <c r="T147" t="s">
        <v>52</v>
      </c>
      <c r="U147" t="s">
        <v>52</v>
      </c>
      <c r="V147" t="s">
        <v>62</v>
      </c>
      <c r="W147" t="s">
        <v>52</v>
      </c>
      <c r="Y147" t="s">
        <v>52</v>
      </c>
      <c r="AB147" t="s">
        <v>52</v>
      </c>
      <c r="AE147" t="s">
        <v>52</v>
      </c>
      <c r="AF147" t="s">
        <v>52</v>
      </c>
      <c r="AH147">
        <v>0</v>
      </c>
      <c r="AI147">
        <v>0</v>
      </c>
      <c r="AJ147" t="s">
        <v>52</v>
      </c>
      <c r="AK147">
        <v>0</v>
      </c>
      <c r="AL147" t="s">
        <v>52</v>
      </c>
      <c r="AM147" t="s">
        <v>52</v>
      </c>
      <c r="AN147">
        <v>0</v>
      </c>
      <c r="AO147">
        <v>0</v>
      </c>
      <c r="AP147" t="s">
        <v>52</v>
      </c>
      <c r="AQ147" t="s">
        <v>52</v>
      </c>
      <c r="AR147" t="s">
        <v>62</v>
      </c>
      <c r="AS147" t="s">
        <v>52</v>
      </c>
      <c r="AT147" t="s">
        <v>52</v>
      </c>
      <c r="AU147" t="s">
        <v>64</v>
      </c>
      <c r="AV147" t="s">
        <v>62</v>
      </c>
      <c r="AW147" t="s">
        <v>65</v>
      </c>
      <c r="AX147" t="s">
        <v>66</v>
      </c>
      <c r="AY147" t="s">
        <v>165</v>
      </c>
    </row>
    <row r="148" spans="1:51" hidden="1" x14ac:dyDescent="0.25">
      <c r="A148">
        <v>202306</v>
      </c>
      <c r="B148" t="s">
        <v>635</v>
      </c>
      <c r="C148" t="e">
        <f>VLOOKUP(A148,[1]Customer_payment_journal_line!$AL:$BO,30,0)</f>
        <v>#N/A</v>
      </c>
      <c r="D148" t="s">
        <v>159</v>
      </c>
      <c r="E148" t="s">
        <v>629</v>
      </c>
      <c r="F148" t="s">
        <v>630</v>
      </c>
      <c r="G148" t="s">
        <v>631</v>
      </c>
      <c r="H148" t="s">
        <v>69</v>
      </c>
      <c r="I148" t="s">
        <v>636</v>
      </c>
      <c r="J148" t="s">
        <v>633</v>
      </c>
      <c r="K148" t="s">
        <v>634</v>
      </c>
      <c r="L148" t="s">
        <v>52</v>
      </c>
      <c r="M148">
        <v>0</v>
      </c>
      <c r="N148">
        <v>855</v>
      </c>
      <c r="O148" t="s">
        <v>61</v>
      </c>
      <c r="P148">
        <v>100</v>
      </c>
      <c r="Q148" t="s">
        <v>52</v>
      </c>
      <c r="R148" t="s">
        <v>52</v>
      </c>
      <c r="S148" t="s">
        <v>52</v>
      </c>
      <c r="T148" t="s">
        <v>52</v>
      </c>
      <c r="U148" t="s">
        <v>52</v>
      </c>
      <c r="V148" t="s">
        <v>62</v>
      </c>
      <c r="W148" t="s">
        <v>52</v>
      </c>
      <c r="Y148" t="s">
        <v>637</v>
      </c>
      <c r="Z148" t="s">
        <v>62</v>
      </c>
      <c r="AB148" t="s">
        <v>638</v>
      </c>
      <c r="AE148" t="s">
        <v>639</v>
      </c>
      <c r="AF148" t="s">
        <v>52</v>
      </c>
      <c r="AH148">
        <v>0</v>
      </c>
      <c r="AI148">
        <v>0</v>
      </c>
      <c r="AJ148" t="s">
        <v>52</v>
      </c>
      <c r="AK148">
        <v>0</v>
      </c>
      <c r="AL148" t="s">
        <v>52</v>
      </c>
      <c r="AM148" t="s">
        <v>52</v>
      </c>
      <c r="AN148">
        <v>0</v>
      </c>
      <c r="AO148">
        <v>0</v>
      </c>
      <c r="AP148" t="s">
        <v>52</v>
      </c>
      <c r="AQ148" t="s">
        <v>52</v>
      </c>
      <c r="AR148" t="s">
        <v>62</v>
      </c>
      <c r="AS148" t="s">
        <v>52</v>
      </c>
      <c r="AT148" t="s">
        <v>74</v>
      </c>
      <c r="AU148" t="s">
        <v>64</v>
      </c>
      <c r="AV148" t="s">
        <v>62</v>
      </c>
      <c r="AW148" t="s">
        <v>65</v>
      </c>
      <c r="AX148" t="s">
        <v>66</v>
      </c>
      <c r="AY148" t="s">
        <v>165</v>
      </c>
    </row>
    <row r="149" spans="1:51" hidden="1" x14ac:dyDescent="0.25">
      <c r="A149">
        <v>202306</v>
      </c>
      <c r="B149" t="s">
        <v>640</v>
      </c>
      <c r="C149" t="e">
        <f>VLOOKUP(A149,[1]Customer_payment_journal_line!$AL:$BO,30,0)</f>
        <v>#N/A</v>
      </c>
      <c r="D149" t="s">
        <v>159</v>
      </c>
      <c r="E149" t="s">
        <v>629</v>
      </c>
      <c r="F149" t="s">
        <v>630</v>
      </c>
      <c r="G149" t="s">
        <v>631</v>
      </c>
      <c r="H149" t="s">
        <v>69</v>
      </c>
      <c r="I149" t="s">
        <v>636</v>
      </c>
      <c r="J149" t="s">
        <v>633</v>
      </c>
      <c r="K149" t="s">
        <v>634</v>
      </c>
      <c r="L149" t="s">
        <v>52</v>
      </c>
      <c r="M149">
        <v>0</v>
      </c>
      <c r="N149">
        <v>3420</v>
      </c>
      <c r="O149" t="s">
        <v>61</v>
      </c>
      <c r="P149">
        <v>100</v>
      </c>
      <c r="Q149" t="s">
        <v>52</v>
      </c>
      <c r="R149" t="s">
        <v>52</v>
      </c>
      <c r="S149" t="s">
        <v>52</v>
      </c>
      <c r="T149" t="s">
        <v>52</v>
      </c>
      <c r="U149" t="s">
        <v>52</v>
      </c>
      <c r="V149" t="s">
        <v>62</v>
      </c>
      <c r="W149" t="s">
        <v>52</v>
      </c>
      <c r="Y149" t="s">
        <v>637</v>
      </c>
      <c r="Z149" t="s">
        <v>62</v>
      </c>
      <c r="AB149" t="s">
        <v>641</v>
      </c>
      <c r="AE149" t="s">
        <v>642</v>
      </c>
      <c r="AF149" t="s">
        <v>52</v>
      </c>
      <c r="AH149">
        <v>0</v>
      </c>
      <c r="AI149">
        <v>0</v>
      </c>
      <c r="AJ149" t="s">
        <v>52</v>
      </c>
      <c r="AK149">
        <v>0</v>
      </c>
      <c r="AL149" t="s">
        <v>52</v>
      </c>
      <c r="AM149" t="s">
        <v>52</v>
      </c>
      <c r="AN149">
        <v>0</v>
      </c>
      <c r="AO149">
        <v>0</v>
      </c>
      <c r="AP149" t="s">
        <v>52</v>
      </c>
      <c r="AQ149" t="s">
        <v>52</v>
      </c>
      <c r="AR149" t="s">
        <v>62</v>
      </c>
      <c r="AS149" t="s">
        <v>52</v>
      </c>
      <c r="AT149" t="s">
        <v>74</v>
      </c>
      <c r="AU149" t="s">
        <v>64</v>
      </c>
      <c r="AV149" t="s">
        <v>62</v>
      </c>
      <c r="AW149" t="s">
        <v>65</v>
      </c>
      <c r="AX149" t="s">
        <v>66</v>
      </c>
      <c r="AY149" t="s">
        <v>165</v>
      </c>
    </row>
    <row r="150" spans="1:51" hidden="1" x14ac:dyDescent="0.25">
      <c r="A150">
        <v>202310</v>
      </c>
      <c r="B150" t="s">
        <v>643</v>
      </c>
      <c r="C150" t="e">
        <f>VLOOKUP(A150,[1]Customer_payment_journal_line!$AL:$BO,30,0)</f>
        <v>#N/A</v>
      </c>
      <c r="D150" t="s">
        <v>644</v>
      </c>
      <c r="E150" t="s">
        <v>645</v>
      </c>
      <c r="F150" t="s">
        <v>646</v>
      </c>
      <c r="G150" t="s">
        <v>631</v>
      </c>
      <c r="H150" t="s">
        <v>69</v>
      </c>
      <c r="I150" t="s">
        <v>647</v>
      </c>
      <c r="J150" t="s">
        <v>648</v>
      </c>
      <c r="K150" t="s">
        <v>649</v>
      </c>
      <c r="L150" t="s">
        <v>52</v>
      </c>
      <c r="M150">
        <v>0</v>
      </c>
      <c r="N150">
        <v>2280</v>
      </c>
      <c r="O150" t="s">
        <v>61</v>
      </c>
      <c r="P150">
        <v>100</v>
      </c>
      <c r="Q150" t="s">
        <v>52</v>
      </c>
      <c r="R150" t="s">
        <v>52</v>
      </c>
      <c r="S150" t="s">
        <v>52</v>
      </c>
      <c r="T150" t="s">
        <v>52</v>
      </c>
      <c r="U150" t="s">
        <v>52</v>
      </c>
      <c r="V150" t="s">
        <v>62</v>
      </c>
      <c r="W150" t="s">
        <v>52</v>
      </c>
      <c r="Y150" t="s">
        <v>650</v>
      </c>
      <c r="Z150" t="s">
        <v>62</v>
      </c>
      <c r="AB150" t="s">
        <v>651</v>
      </c>
      <c r="AE150" t="s">
        <v>652</v>
      </c>
      <c r="AF150" t="s">
        <v>162</v>
      </c>
      <c r="AG150" t="s">
        <v>653</v>
      </c>
      <c r="AH150">
        <v>0</v>
      </c>
      <c r="AI150">
        <v>0</v>
      </c>
      <c r="AJ150" t="s">
        <v>52</v>
      </c>
      <c r="AK150">
        <v>0</v>
      </c>
      <c r="AL150" t="s">
        <v>52</v>
      </c>
      <c r="AM150" t="s">
        <v>52</v>
      </c>
      <c r="AN150">
        <v>0</v>
      </c>
      <c r="AO150">
        <v>0</v>
      </c>
      <c r="AP150" t="s">
        <v>52</v>
      </c>
      <c r="AQ150" t="s">
        <v>52</v>
      </c>
      <c r="AR150" t="s">
        <v>62</v>
      </c>
      <c r="AS150" t="s">
        <v>52</v>
      </c>
      <c r="AT150" t="s">
        <v>74</v>
      </c>
      <c r="AU150" t="s">
        <v>64</v>
      </c>
      <c r="AV150" t="s">
        <v>62</v>
      </c>
      <c r="AW150" t="s">
        <v>65</v>
      </c>
      <c r="AX150" t="s">
        <v>66</v>
      </c>
      <c r="AY150" t="s">
        <v>654</v>
      </c>
    </row>
    <row r="151" spans="1:51" hidden="1" x14ac:dyDescent="0.25">
      <c r="A151">
        <v>202310</v>
      </c>
      <c r="B151" t="s">
        <v>655</v>
      </c>
      <c r="C151" t="e">
        <f>VLOOKUP(A151,[1]Customer_payment_journal_line!$AL:$BO,30,0)</f>
        <v>#N/A</v>
      </c>
      <c r="D151" t="s">
        <v>644</v>
      </c>
      <c r="E151" t="s">
        <v>645</v>
      </c>
      <c r="F151" t="s">
        <v>646</v>
      </c>
      <c r="G151" t="s">
        <v>631</v>
      </c>
      <c r="H151" t="s">
        <v>69</v>
      </c>
      <c r="I151" t="s">
        <v>647</v>
      </c>
      <c r="J151" t="s">
        <v>648</v>
      </c>
      <c r="K151" t="s">
        <v>649</v>
      </c>
      <c r="L151" t="s">
        <v>52</v>
      </c>
      <c r="M151">
        <v>0</v>
      </c>
      <c r="N151">
        <v>2280</v>
      </c>
      <c r="O151" t="s">
        <v>61</v>
      </c>
      <c r="P151">
        <v>100</v>
      </c>
      <c r="Q151" t="s">
        <v>52</v>
      </c>
      <c r="R151" t="s">
        <v>52</v>
      </c>
      <c r="S151" t="s">
        <v>52</v>
      </c>
      <c r="T151" t="s">
        <v>52</v>
      </c>
      <c r="U151" t="s">
        <v>52</v>
      </c>
      <c r="V151" t="s">
        <v>62</v>
      </c>
      <c r="W151" t="s">
        <v>52</v>
      </c>
      <c r="Y151" t="s">
        <v>650</v>
      </c>
      <c r="Z151" t="s">
        <v>62</v>
      </c>
      <c r="AB151" t="s">
        <v>656</v>
      </c>
      <c r="AE151" t="s">
        <v>657</v>
      </c>
      <c r="AF151" t="s">
        <v>162</v>
      </c>
      <c r="AG151" t="s">
        <v>653</v>
      </c>
      <c r="AH151">
        <v>0</v>
      </c>
      <c r="AI151">
        <v>0</v>
      </c>
      <c r="AJ151" t="s">
        <v>52</v>
      </c>
      <c r="AK151">
        <v>0</v>
      </c>
      <c r="AL151" t="s">
        <v>52</v>
      </c>
      <c r="AM151" t="s">
        <v>52</v>
      </c>
      <c r="AN151">
        <v>0</v>
      </c>
      <c r="AO151">
        <v>0</v>
      </c>
      <c r="AP151" t="s">
        <v>52</v>
      </c>
      <c r="AQ151" t="s">
        <v>52</v>
      </c>
      <c r="AR151" t="s">
        <v>62</v>
      </c>
      <c r="AS151" t="s">
        <v>52</v>
      </c>
      <c r="AT151" t="s">
        <v>74</v>
      </c>
      <c r="AU151" t="s">
        <v>64</v>
      </c>
      <c r="AV151" t="s">
        <v>62</v>
      </c>
      <c r="AW151" t="s">
        <v>65</v>
      </c>
      <c r="AX151" t="s">
        <v>66</v>
      </c>
      <c r="AY151" t="s">
        <v>654</v>
      </c>
    </row>
    <row r="152" spans="1:51" hidden="1" x14ac:dyDescent="0.25">
      <c r="A152">
        <v>202310</v>
      </c>
      <c r="B152" t="s">
        <v>658</v>
      </c>
      <c r="C152" t="e">
        <f>VLOOKUP(A152,[1]Customer_payment_journal_line!$AL:$BO,30,0)</f>
        <v>#N/A</v>
      </c>
      <c r="D152" t="s">
        <v>644</v>
      </c>
      <c r="E152" t="s">
        <v>645</v>
      </c>
      <c r="F152" t="s">
        <v>646</v>
      </c>
      <c r="G152" t="s">
        <v>631</v>
      </c>
      <c r="H152" t="s">
        <v>210</v>
      </c>
      <c r="I152" t="s">
        <v>659</v>
      </c>
      <c r="K152" t="s">
        <v>649</v>
      </c>
      <c r="L152" t="s">
        <v>52</v>
      </c>
      <c r="M152">
        <v>6840</v>
      </c>
      <c r="N152">
        <v>0</v>
      </c>
      <c r="O152" t="s">
        <v>61</v>
      </c>
      <c r="P152">
        <v>100</v>
      </c>
      <c r="Q152" t="s">
        <v>52</v>
      </c>
      <c r="R152" t="s">
        <v>52</v>
      </c>
      <c r="S152" t="s">
        <v>52</v>
      </c>
      <c r="T152" t="s">
        <v>52</v>
      </c>
      <c r="U152" t="s">
        <v>52</v>
      </c>
      <c r="V152" t="s">
        <v>62</v>
      </c>
      <c r="W152" t="s">
        <v>63</v>
      </c>
      <c r="Y152" t="s">
        <v>52</v>
      </c>
      <c r="AB152" t="s">
        <v>660</v>
      </c>
      <c r="AE152" t="s">
        <v>661</v>
      </c>
      <c r="AF152" t="s">
        <v>162</v>
      </c>
      <c r="AG152" t="s">
        <v>653</v>
      </c>
      <c r="AH152">
        <v>0</v>
      </c>
      <c r="AI152">
        <v>0</v>
      </c>
      <c r="AJ152" t="s">
        <v>52</v>
      </c>
      <c r="AK152">
        <v>0</v>
      </c>
      <c r="AL152" t="s">
        <v>52</v>
      </c>
      <c r="AM152" t="s">
        <v>52</v>
      </c>
      <c r="AN152">
        <v>0</v>
      </c>
      <c r="AO152">
        <v>0</v>
      </c>
      <c r="AP152" t="s">
        <v>52</v>
      </c>
      <c r="AQ152" t="s">
        <v>52</v>
      </c>
      <c r="AR152" t="s">
        <v>62</v>
      </c>
      <c r="AS152" t="s">
        <v>52</v>
      </c>
      <c r="AT152" t="s">
        <v>52</v>
      </c>
      <c r="AU152" t="s">
        <v>64</v>
      </c>
      <c r="AV152" t="s">
        <v>62</v>
      </c>
      <c r="AW152" t="s">
        <v>65</v>
      </c>
      <c r="AX152" t="s">
        <v>66</v>
      </c>
      <c r="AY152" t="s">
        <v>654</v>
      </c>
    </row>
    <row r="153" spans="1:51" hidden="1" x14ac:dyDescent="0.25">
      <c r="A153">
        <v>202310</v>
      </c>
      <c r="B153" t="s">
        <v>662</v>
      </c>
      <c r="C153" t="e">
        <f>VLOOKUP(A153,[1]Customer_payment_journal_line!$AL:$BO,30,0)</f>
        <v>#N/A</v>
      </c>
      <c r="D153" t="s">
        <v>644</v>
      </c>
      <c r="E153" t="s">
        <v>645</v>
      </c>
      <c r="F153" t="s">
        <v>646</v>
      </c>
      <c r="G153" t="s">
        <v>631</v>
      </c>
      <c r="H153" t="s">
        <v>69</v>
      </c>
      <c r="I153" t="s">
        <v>647</v>
      </c>
      <c r="J153" t="s">
        <v>648</v>
      </c>
      <c r="K153" t="s">
        <v>649</v>
      </c>
      <c r="L153" t="s">
        <v>52</v>
      </c>
      <c r="M153">
        <v>0</v>
      </c>
      <c r="N153">
        <v>2280</v>
      </c>
      <c r="O153" t="s">
        <v>61</v>
      </c>
      <c r="P153">
        <v>100</v>
      </c>
      <c r="Q153" t="s">
        <v>52</v>
      </c>
      <c r="R153" t="s">
        <v>52</v>
      </c>
      <c r="S153" t="s">
        <v>52</v>
      </c>
      <c r="T153" t="s">
        <v>52</v>
      </c>
      <c r="U153" t="s">
        <v>52</v>
      </c>
      <c r="V153" t="s">
        <v>62</v>
      </c>
      <c r="W153" t="s">
        <v>52</v>
      </c>
      <c r="Y153" t="s">
        <v>650</v>
      </c>
      <c r="Z153" t="s">
        <v>62</v>
      </c>
      <c r="AB153" t="s">
        <v>660</v>
      </c>
      <c r="AE153" t="s">
        <v>661</v>
      </c>
      <c r="AF153" t="s">
        <v>162</v>
      </c>
      <c r="AG153" t="s">
        <v>653</v>
      </c>
      <c r="AH153">
        <v>0</v>
      </c>
      <c r="AI153">
        <v>0</v>
      </c>
      <c r="AJ153" t="s">
        <v>52</v>
      </c>
      <c r="AK153">
        <v>0</v>
      </c>
      <c r="AL153" t="s">
        <v>52</v>
      </c>
      <c r="AM153" t="s">
        <v>52</v>
      </c>
      <c r="AN153">
        <v>0</v>
      </c>
      <c r="AO153">
        <v>0</v>
      </c>
      <c r="AP153" t="s">
        <v>52</v>
      </c>
      <c r="AQ153" t="s">
        <v>52</v>
      </c>
      <c r="AR153" t="s">
        <v>62</v>
      </c>
      <c r="AS153" t="s">
        <v>52</v>
      </c>
      <c r="AT153" t="s">
        <v>74</v>
      </c>
      <c r="AU153" t="s">
        <v>64</v>
      </c>
      <c r="AV153" t="s">
        <v>62</v>
      </c>
      <c r="AW153" t="s">
        <v>65</v>
      </c>
      <c r="AX153" t="s">
        <v>66</v>
      </c>
      <c r="AY153" t="s">
        <v>654</v>
      </c>
    </row>
    <row r="154" spans="1:51" hidden="1" x14ac:dyDescent="0.25">
      <c r="A154">
        <v>202311</v>
      </c>
      <c r="B154" t="s">
        <v>663</v>
      </c>
      <c r="C154" t="str">
        <f>VLOOKUP(A154,[1]Customer_payment_journal_line!$AL:$BO,30,0)</f>
        <v>CPay-000000011</v>
      </c>
      <c r="D154" t="s">
        <v>53</v>
      </c>
      <c r="E154" t="s">
        <v>664</v>
      </c>
      <c r="F154" t="s">
        <v>665</v>
      </c>
      <c r="G154" t="s">
        <v>631</v>
      </c>
      <c r="H154" t="s">
        <v>57</v>
      </c>
      <c r="I154" t="s">
        <v>95</v>
      </c>
      <c r="J154" t="s">
        <v>666</v>
      </c>
      <c r="K154" t="s">
        <v>667</v>
      </c>
      <c r="L154">
        <f>VLOOKUP(A154,[1]Customer_payment_journal_line!$B:$L,11,0)</f>
        <v>1653</v>
      </c>
      <c r="M154" s="1">
        <v>1653</v>
      </c>
      <c r="N154" s="2">
        <f>L154-M154</f>
        <v>0</v>
      </c>
      <c r="O154" t="s">
        <v>61</v>
      </c>
      <c r="P154">
        <v>100</v>
      </c>
      <c r="Q154" t="s">
        <v>52</v>
      </c>
      <c r="R154" t="s">
        <v>52</v>
      </c>
      <c r="S154" t="s">
        <v>52</v>
      </c>
      <c r="T154" t="s">
        <v>52</v>
      </c>
      <c r="U154" t="s">
        <v>52</v>
      </c>
      <c r="V154" t="s">
        <v>62</v>
      </c>
      <c r="W154" t="s">
        <v>63</v>
      </c>
      <c r="Y154" t="s">
        <v>52</v>
      </c>
      <c r="AB154" t="s">
        <v>52</v>
      </c>
      <c r="AE154" t="s">
        <v>52</v>
      </c>
      <c r="AF154" t="s">
        <v>52</v>
      </c>
      <c r="AH154">
        <v>0</v>
      </c>
      <c r="AI154">
        <v>0</v>
      </c>
      <c r="AJ154" t="s">
        <v>52</v>
      </c>
      <c r="AK154">
        <v>0</v>
      </c>
      <c r="AL154" t="s">
        <v>52</v>
      </c>
      <c r="AM154" t="s">
        <v>52</v>
      </c>
      <c r="AN154">
        <v>0</v>
      </c>
      <c r="AO154">
        <v>0</v>
      </c>
      <c r="AP154" t="s">
        <v>52</v>
      </c>
      <c r="AQ154" t="s">
        <v>52</v>
      </c>
      <c r="AR154" t="s">
        <v>62</v>
      </c>
      <c r="AS154" t="s">
        <v>52</v>
      </c>
      <c r="AT154" t="s">
        <v>52</v>
      </c>
      <c r="AU154" t="s">
        <v>64</v>
      </c>
      <c r="AV154" t="s">
        <v>62</v>
      </c>
      <c r="AW154" t="s">
        <v>65</v>
      </c>
      <c r="AX154" t="s">
        <v>66</v>
      </c>
      <c r="AY154" t="s">
        <v>67</v>
      </c>
    </row>
    <row r="155" spans="1:51" hidden="1" x14ac:dyDescent="0.25">
      <c r="A155">
        <v>202311</v>
      </c>
      <c r="B155" t="s">
        <v>668</v>
      </c>
      <c r="C155" t="str">
        <f>VLOOKUP(A155,[1]Customer_payment_journal_line!$AL:$BO,30,0)</f>
        <v>CPay-000000011</v>
      </c>
      <c r="D155" t="s">
        <v>53</v>
      </c>
      <c r="E155" t="s">
        <v>664</v>
      </c>
      <c r="F155" t="s">
        <v>665</v>
      </c>
      <c r="G155" t="s">
        <v>631</v>
      </c>
      <c r="H155" t="s">
        <v>69</v>
      </c>
      <c r="I155" t="s">
        <v>669</v>
      </c>
      <c r="J155" t="s">
        <v>666</v>
      </c>
      <c r="K155" t="s">
        <v>667</v>
      </c>
      <c r="L155">
        <f>VLOOKUP(A155,[1]Customer_payment_journal_line!$B:$L,11,0)</f>
        <v>1653</v>
      </c>
      <c r="M155" s="1">
        <v>0</v>
      </c>
      <c r="N155">
        <v>1653</v>
      </c>
      <c r="O155" t="s">
        <v>61</v>
      </c>
      <c r="P155">
        <v>100</v>
      </c>
      <c r="Q155" t="s">
        <v>52</v>
      </c>
      <c r="R155" t="s">
        <v>52</v>
      </c>
      <c r="S155" t="s">
        <v>52</v>
      </c>
      <c r="T155" t="s">
        <v>52</v>
      </c>
      <c r="U155" t="s">
        <v>52</v>
      </c>
      <c r="V155" t="s">
        <v>62</v>
      </c>
      <c r="W155" t="s">
        <v>52</v>
      </c>
      <c r="Y155" t="s">
        <v>670</v>
      </c>
      <c r="Z155" t="s">
        <v>62</v>
      </c>
      <c r="AB155" t="s">
        <v>671</v>
      </c>
      <c r="AE155" t="s">
        <v>672</v>
      </c>
      <c r="AF155" t="s">
        <v>52</v>
      </c>
      <c r="AH155">
        <v>0</v>
      </c>
      <c r="AI155">
        <v>0</v>
      </c>
      <c r="AJ155" t="s">
        <v>52</v>
      </c>
      <c r="AK155">
        <v>0</v>
      </c>
      <c r="AL155" t="s">
        <v>52</v>
      </c>
      <c r="AM155" t="s">
        <v>52</v>
      </c>
      <c r="AN155">
        <v>0</v>
      </c>
      <c r="AO155">
        <v>0</v>
      </c>
      <c r="AP155" t="s">
        <v>52</v>
      </c>
      <c r="AQ155" t="s">
        <v>52</v>
      </c>
      <c r="AR155" t="s">
        <v>62</v>
      </c>
      <c r="AS155" t="s">
        <v>52</v>
      </c>
      <c r="AT155" t="s">
        <v>74</v>
      </c>
      <c r="AU155" t="s">
        <v>64</v>
      </c>
      <c r="AV155" t="s">
        <v>62</v>
      </c>
      <c r="AW155" t="s">
        <v>65</v>
      </c>
      <c r="AX155" t="s">
        <v>66</v>
      </c>
      <c r="AY155" t="s">
        <v>67</v>
      </c>
    </row>
    <row r="156" spans="1:51" hidden="1" x14ac:dyDescent="0.25">
      <c r="A156">
        <v>202312</v>
      </c>
      <c r="B156" t="s">
        <v>673</v>
      </c>
      <c r="C156" t="str">
        <f>VLOOKUP(A156,[1]Customer_payment_journal_line!$AL:$BO,30,0)</f>
        <v>CPay-000000012</v>
      </c>
      <c r="D156" t="s">
        <v>53</v>
      </c>
      <c r="E156" t="s">
        <v>674</v>
      </c>
      <c r="F156" t="s">
        <v>675</v>
      </c>
      <c r="G156" t="s">
        <v>631</v>
      </c>
      <c r="H156" t="s">
        <v>57</v>
      </c>
      <c r="I156" t="s">
        <v>95</v>
      </c>
      <c r="J156" t="s">
        <v>666</v>
      </c>
      <c r="K156" t="s">
        <v>667</v>
      </c>
      <c r="L156">
        <f>VLOOKUP(A156,[1]Customer_payment_journal_line!$B:$L,11,0)</f>
        <v>3109.46</v>
      </c>
      <c r="M156" s="1">
        <v>3109.46</v>
      </c>
      <c r="N156" s="2">
        <f>L156-M156</f>
        <v>0</v>
      </c>
      <c r="O156" t="s">
        <v>61</v>
      </c>
      <c r="P156">
        <v>100</v>
      </c>
      <c r="Q156" t="s">
        <v>52</v>
      </c>
      <c r="R156" t="s">
        <v>52</v>
      </c>
      <c r="S156" t="s">
        <v>52</v>
      </c>
      <c r="T156" t="s">
        <v>52</v>
      </c>
      <c r="U156" t="s">
        <v>52</v>
      </c>
      <c r="V156" t="s">
        <v>62</v>
      </c>
      <c r="W156" t="s">
        <v>63</v>
      </c>
      <c r="Y156" t="s">
        <v>52</v>
      </c>
      <c r="AB156" t="s">
        <v>52</v>
      </c>
      <c r="AE156" t="s">
        <v>52</v>
      </c>
      <c r="AF156" t="s">
        <v>52</v>
      </c>
      <c r="AH156">
        <v>0</v>
      </c>
      <c r="AI156">
        <v>0</v>
      </c>
      <c r="AJ156" t="s">
        <v>52</v>
      </c>
      <c r="AK156">
        <v>0</v>
      </c>
      <c r="AL156" t="s">
        <v>52</v>
      </c>
      <c r="AM156" t="s">
        <v>52</v>
      </c>
      <c r="AN156">
        <v>0</v>
      </c>
      <c r="AO156">
        <v>0</v>
      </c>
      <c r="AP156" t="s">
        <v>52</v>
      </c>
      <c r="AQ156" t="s">
        <v>52</v>
      </c>
      <c r="AR156" t="s">
        <v>62</v>
      </c>
      <c r="AS156" t="s">
        <v>52</v>
      </c>
      <c r="AT156" t="s">
        <v>52</v>
      </c>
      <c r="AU156" t="s">
        <v>64</v>
      </c>
      <c r="AV156" t="s">
        <v>62</v>
      </c>
      <c r="AW156" t="s">
        <v>65</v>
      </c>
      <c r="AX156" t="s">
        <v>66</v>
      </c>
      <c r="AY156" t="s">
        <v>67</v>
      </c>
    </row>
    <row r="157" spans="1:51" hidden="1" x14ac:dyDescent="0.25">
      <c r="A157">
        <v>202312</v>
      </c>
      <c r="B157" t="s">
        <v>676</v>
      </c>
      <c r="C157" t="str">
        <f>VLOOKUP(A157,[1]Customer_payment_journal_line!$AL:$BO,30,0)</f>
        <v>CPay-000000012</v>
      </c>
      <c r="D157" t="s">
        <v>53</v>
      </c>
      <c r="E157" t="s">
        <v>674</v>
      </c>
      <c r="F157" t="s">
        <v>675</v>
      </c>
      <c r="G157" t="s">
        <v>631</v>
      </c>
      <c r="H157" t="s">
        <v>69</v>
      </c>
      <c r="I157" t="s">
        <v>669</v>
      </c>
      <c r="J157" t="s">
        <v>666</v>
      </c>
      <c r="K157" t="s">
        <v>667</v>
      </c>
      <c r="L157">
        <f>VLOOKUP(A157,[1]Customer_payment_journal_line!$B:$L,11,0)</f>
        <v>3109.46</v>
      </c>
      <c r="M157" s="1">
        <v>0</v>
      </c>
      <c r="N157">
        <v>3109.46</v>
      </c>
      <c r="O157" t="s">
        <v>61</v>
      </c>
      <c r="P157">
        <v>100</v>
      </c>
      <c r="Q157" t="s">
        <v>52</v>
      </c>
      <c r="R157" t="s">
        <v>52</v>
      </c>
      <c r="S157" t="s">
        <v>52</v>
      </c>
      <c r="T157" t="s">
        <v>52</v>
      </c>
      <c r="U157" t="s">
        <v>52</v>
      </c>
      <c r="V157" t="s">
        <v>62</v>
      </c>
      <c r="W157" t="s">
        <v>52</v>
      </c>
      <c r="Y157" t="s">
        <v>670</v>
      </c>
      <c r="Z157" t="s">
        <v>62</v>
      </c>
      <c r="AB157" t="s">
        <v>677</v>
      </c>
      <c r="AE157" t="s">
        <v>678</v>
      </c>
      <c r="AF157" t="s">
        <v>52</v>
      </c>
      <c r="AH157">
        <v>0</v>
      </c>
      <c r="AI157">
        <v>0</v>
      </c>
      <c r="AJ157" t="s">
        <v>52</v>
      </c>
      <c r="AK157">
        <v>0</v>
      </c>
      <c r="AL157" t="s">
        <v>52</v>
      </c>
      <c r="AM157" t="s">
        <v>52</v>
      </c>
      <c r="AN157">
        <v>0</v>
      </c>
      <c r="AO157">
        <v>0</v>
      </c>
      <c r="AP157" t="s">
        <v>52</v>
      </c>
      <c r="AQ157" t="s">
        <v>52</v>
      </c>
      <c r="AR157" t="s">
        <v>62</v>
      </c>
      <c r="AS157" t="s">
        <v>52</v>
      </c>
      <c r="AT157" t="s">
        <v>74</v>
      </c>
      <c r="AU157" t="s">
        <v>64</v>
      </c>
      <c r="AV157" t="s">
        <v>62</v>
      </c>
      <c r="AW157" t="s">
        <v>65</v>
      </c>
      <c r="AX157" t="s">
        <v>66</v>
      </c>
      <c r="AY157" t="s">
        <v>67</v>
      </c>
    </row>
    <row r="158" spans="1:51" hidden="1" x14ac:dyDescent="0.25">
      <c r="A158">
        <v>202314</v>
      </c>
      <c r="B158" t="s">
        <v>679</v>
      </c>
      <c r="C158" t="str">
        <f>VLOOKUP(A158,[1]Customer_payment_journal_line!$AL:$BO,30,0)</f>
        <v>CPay-000000013</v>
      </c>
      <c r="D158" t="s">
        <v>53</v>
      </c>
      <c r="E158" t="s">
        <v>680</v>
      </c>
      <c r="F158" t="s">
        <v>681</v>
      </c>
      <c r="G158" t="s">
        <v>631</v>
      </c>
      <c r="H158" t="s">
        <v>57</v>
      </c>
      <c r="I158" t="s">
        <v>95</v>
      </c>
      <c r="J158" t="s">
        <v>682</v>
      </c>
      <c r="K158" t="s">
        <v>683</v>
      </c>
      <c r="L158">
        <f>VLOOKUP(A158,[1]Customer_payment_journal_line!$B:$L,11,0)</f>
        <v>1653</v>
      </c>
      <c r="M158" s="1">
        <v>1653</v>
      </c>
      <c r="N158" s="2">
        <f>L158-M158</f>
        <v>0</v>
      </c>
      <c r="O158" t="s">
        <v>61</v>
      </c>
      <c r="P158">
        <v>100</v>
      </c>
      <c r="Q158" t="s">
        <v>52</v>
      </c>
      <c r="R158" t="s">
        <v>52</v>
      </c>
      <c r="S158" t="s">
        <v>52</v>
      </c>
      <c r="T158" t="s">
        <v>52</v>
      </c>
      <c r="U158" t="s">
        <v>52</v>
      </c>
      <c r="V158" t="s">
        <v>62</v>
      </c>
      <c r="W158" t="s">
        <v>63</v>
      </c>
      <c r="Y158" t="s">
        <v>52</v>
      </c>
      <c r="AB158" t="s">
        <v>52</v>
      </c>
      <c r="AE158" t="s">
        <v>52</v>
      </c>
      <c r="AF158" t="s">
        <v>52</v>
      </c>
      <c r="AH158">
        <v>0</v>
      </c>
      <c r="AI158">
        <v>0</v>
      </c>
      <c r="AJ158" t="s">
        <v>52</v>
      </c>
      <c r="AK158">
        <v>0</v>
      </c>
      <c r="AL158" t="s">
        <v>52</v>
      </c>
      <c r="AM158" t="s">
        <v>52</v>
      </c>
      <c r="AN158">
        <v>0</v>
      </c>
      <c r="AO158">
        <v>0</v>
      </c>
      <c r="AP158" t="s">
        <v>52</v>
      </c>
      <c r="AQ158" t="s">
        <v>52</v>
      </c>
      <c r="AR158" t="s">
        <v>62</v>
      </c>
      <c r="AS158" t="s">
        <v>52</v>
      </c>
      <c r="AT158" t="s">
        <v>52</v>
      </c>
      <c r="AU158" t="s">
        <v>64</v>
      </c>
      <c r="AV158" t="s">
        <v>62</v>
      </c>
      <c r="AW158" t="s">
        <v>65</v>
      </c>
      <c r="AX158" t="s">
        <v>66</v>
      </c>
      <c r="AY158" t="s">
        <v>67</v>
      </c>
    </row>
    <row r="159" spans="1:51" hidden="1" x14ac:dyDescent="0.25">
      <c r="A159">
        <v>202314</v>
      </c>
      <c r="B159" t="s">
        <v>684</v>
      </c>
      <c r="C159" t="str">
        <f>VLOOKUP(A159,[1]Customer_payment_journal_line!$AL:$BO,30,0)</f>
        <v>CPay-000000013</v>
      </c>
      <c r="D159" t="s">
        <v>53</v>
      </c>
      <c r="E159" t="s">
        <v>680</v>
      </c>
      <c r="F159" t="s">
        <v>681</v>
      </c>
      <c r="G159" t="s">
        <v>631</v>
      </c>
      <c r="H159" t="s">
        <v>69</v>
      </c>
      <c r="I159" t="s">
        <v>685</v>
      </c>
      <c r="J159" t="s">
        <v>682</v>
      </c>
      <c r="K159" t="s">
        <v>683</v>
      </c>
      <c r="L159">
        <f>VLOOKUP(A159,[1]Customer_payment_journal_line!$B:$L,11,0)</f>
        <v>1653</v>
      </c>
      <c r="M159" s="1">
        <v>0</v>
      </c>
      <c r="N159">
        <v>1653</v>
      </c>
      <c r="O159" t="s">
        <v>61</v>
      </c>
      <c r="P159">
        <v>100</v>
      </c>
      <c r="Q159" t="s">
        <v>52</v>
      </c>
      <c r="R159" t="s">
        <v>52</v>
      </c>
      <c r="S159" t="s">
        <v>52</v>
      </c>
      <c r="T159" t="s">
        <v>52</v>
      </c>
      <c r="U159" t="s">
        <v>52</v>
      </c>
      <c r="V159" t="s">
        <v>62</v>
      </c>
      <c r="W159" t="s">
        <v>52</v>
      </c>
      <c r="Y159" t="s">
        <v>686</v>
      </c>
      <c r="Z159" t="s">
        <v>62</v>
      </c>
      <c r="AB159" t="s">
        <v>687</v>
      </c>
      <c r="AE159" t="s">
        <v>688</v>
      </c>
      <c r="AF159" t="s">
        <v>52</v>
      </c>
      <c r="AH159">
        <v>0</v>
      </c>
      <c r="AI159">
        <v>0</v>
      </c>
      <c r="AJ159" t="s">
        <v>52</v>
      </c>
      <c r="AK159">
        <v>0</v>
      </c>
      <c r="AL159" t="s">
        <v>52</v>
      </c>
      <c r="AM159" t="s">
        <v>52</v>
      </c>
      <c r="AN159">
        <v>0</v>
      </c>
      <c r="AO159">
        <v>0</v>
      </c>
      <c r="AP159" t="s">
        <v>52</v>
      </c>
      <c r="AQ159" t="s">
        <v>52</v>
      </c>
      <c r="AR159" t="s">
        <v>62</v>
      </c>
      <c r="AS159" t="s">
        <v>52</v>
      </c>
      <c r="AT159" t="s">
        <v>74</v>
      </c>
      <c r="AU159" t="s">
        <v>64</v>
      </c>
      <c r="AV159" t="s">
        <v>62</v>
      </c>
      <c r="AW159" t="s">
        <v>65</v>
      </c>
      <c r="AX159" t="s">
        <v>66</v>
      </c>
      <c r="AY159" t="s">
        <v>67</v>
      </c>
    </row>
    <row r="160" spans="1:51" hidden="1" x14ac:dyDescent="0.25">
      <c r="A160">
        <v>202315</v>
      </c>
      <c r="B160" t="s">
        <v>689</v>
      </c>
      <c r="C160" t="str">
        <f>VLOOKUP(A160,[1]Customer_payment_journal_line!$AL:$BO,30,0)</f>
        <v>CPay-000000014</v>
      </c>
      <c r="D160" t="s">
        <v>53</v>
      </c>
      <c r="E160" t="s">
        <v>690</v>
      </c>
      <c r="F160" t="s">
        <v>691</v>
      </c>
      <c r="G160" t="s">
        <v>631</v>
      </c>
      <c r="H160" t="s">
        <v>57</v>
      </c>
      <c r="I160" t="s">
        <v>95</v>
      </c>
      <c r="J160" t="s">
        <v>682</v>
      </c>
      <c r="K160" t="s">
        <v>683</v>
      </c>
      <c r="L160">
        <f>VLOOKUP(A160,[1]Customer_payment_journal_line!$B:$L,11,0)</f>
        <v>798</v>
      </c>
      <c r="M160" s="1">
        <v>798</v>
      </c>
      <c r="N160" s="2">
        <f>L160-M160</f>
        <v>0</v>
      </c>
      <c r="O160" t="s">
        <v>61</v>
      </c>
      <c r="P160">
        <v>100</v>
      </c>
      <c r="Q160" t="s">
        <v>52</v>
      </c>
      <c r="R160" t="s">
        <v>52</v>
      </c>
      <c r="S160" t="s">
        <v>52</v>
      </c>
      <c r="T160" t="s">
        <v>52</v>
      </c>
      <c r="U160" t="s">
        <v>52</v>
      </c>
      <c r="V160" t="s">
        <v>62</v>
      </c>
      <c r="W160" t="s">
        <v>63</v>
      </c>
      <c r="Y160" t="s">
        <v>52</v>
      </c>
      <c r="AB160" t="s">
        <v>52</v>
      </c>
      <c r="AE160" t="s">
        <v>52</v>
      </c>
      <c r="AF160" t="s">
        <v>52</v>
      </c>
      <c r="AH160">
        <v>0</v>
      </c>
      <c r="AI160">
        <v>0</v>
      </c>
      <c r="AJ160" t="s">
        <v>52</v>
      </c>
      <c r="AK160">
        <v>0</v>
      </c>
      <c r="AL160" t="s">
        <v>52</v>
      </c>
      <c r="AM160" t="s">
        <v>52</v>
      </c>
      <c r="AN160">
        <v>0</v>
      </c>
      <c r="AO160">
        <v>0</v>
      </c>
      <c r="AP160" t="s">
        <v>52</v>
      </c>
      <c r="AQ160" t="s">
        <v>52</v>
      </c>
      <c r="AR160" t="s">
        <v>62</v>
      </c>
      <c r="AS160" t="s">
        <v>52</v>
      </c>
      <c r="AT160" t="s">
        <v>52</v>
      </c>
      <c r="AU160" t="s">
        <v>64</v>
      </c>
      <c r="AV160" t="s">
        <v>62</v>
      </c>
      <c r="AW160" t="s">
        <v>65</v>
      </c>
      <c r="AX160" t="s">
        <v>66</v>
      </c>
      <c r="AY160" t="s">
        <v>67</v>
      </c>
    </row>
    <row r="161" spans="1:51" hidden="1" x14ac:dyDescent="0.25">
      <c r="A161">
        <v>202315</v>
      </c>
      <c r="B161" t="s">
        <v>692</v>
      </c>
      <c r="C161" t="str">
        <f>VLOOKUP(A161,[1]Customer_payment_journal_line!$AL:$BO,30,0)</f>
        <v>CPay-000000014</v>
      </c>
      <c r="D161" t="s">
        <v>53</v>
      </c>
      <c r="E161" t="s">
        <v>690</v>
      </c>
      <c r="F161" t="s">
        <v>691</v>
      </c>
      <c r="G161" t="s">
        <v>631</v>
      </c>
      <c r="H161" t="s">
        <v>69</v>
      </c>
      <c r="I161" t="s">
        <v>685</v>
      </c>
      <c r="J161" t="s">
        <v>682</v>
      </c>
      <c r="K161" t="s">
        <v>683</v>
      </c>
      <c r="L161">
        <f>VLOOKUP(A161,[1]Customer_payment_journal_line!$B:$L,11,0)</f>
        <v>798</v>
      </c>
      <c r="M161" s="1">
        <v>0</v>
      </c>
      <c r="N161">
        <v>798</v>
      </c>
      <c r="O161" t="s">
        <v>61</v>
      </c>
      <c r="P161">
        <v>100</v>
      </c>
      <c r="Q161" t="s">
        <v>52</v>
      </c>
      <c r="R161" t="s">
        <v>52</v>
      </c>
      <c r="S161" t="s">
        <v>52</v>
      </c>
      <c r="T161" t="s">
        <v>52</v>
      </c>
      <c r="U161" t="s">
        <v>52</v>
      </c>
      <c r="V161" t="s">
        <v>62</v>
      </c>
      <c r="W161" t="s">
        <v>52</v>
      </c>
      <c r="Y161" t="s">
        <v>686</v>
      </c>
      <c r="Z161" t="s">
        <v>62</v>
      </c>
      <c r="AB161" t="s">
        <v>693</v>
      </c>
      <c r="AE161" t="s">
        <v>694</v>
      </c>
      <c r="AF161" t="s">
        <v>52</v>
      </c>
      <c r="AH161">
        <v>0</v>
      </c>
      <c r="AI161">
        <v>0</v>
      </c>
      <c r="AJ161" t="s">
        <v>52</v>
      </c>
      <c r="AK161">
        <v>0</v>
      </c>
      <c r="AL161" t="s">
        <v>52</v>
      </c>
      <c r="AM161" t="s">
        <v>52</v>
      </c>
      <c r="AN161">
        <v>0</v>
      </c>
      <c r="AO161">
        <v>0</v>
      </c>
      <c r="AP161" t="s">
        <v>52</v>
      </c>
      <c r="AQ161" t="s">
        <v>52</v>
      </c>
      <c r="AR161" t="s">
        <v>62</v>
      </c>
      <c r="AS161" t="s">
        <v>52</v>
      </c>
      <c r="AT161" t="s">
        <v>74</v>
      </c>
      <c r="AU161" t="s">
        <v>64</v>
      </c>
      <c r="AV161" t="s">
        <v>62</v>
      </c>
      <c r="AW161" t="s">
        <v>65</v>
      </c>
      <c r="AX161" t="s">
        <v>66</v>
      </c>
      <c r="AY161" t="s">
        <v>67</v>
      </c>
    </row>
    <row r="162" spans="1:51" hidden="1" x14ac:dyDescent="0.25">
      <c r="A162">
        <v>202353</v>
      </c>
      <c r="B162" t="s">
        <v>695</v>
      </c>
      <c r="C162" t="e">
        <f>VLOOKUP(A162,[1]Customer_payment_journal_line!$AL:$BO,30,0)</f>
        <v>#N/A</v>
      </c>
      <c r="D162" t="s">
        <v>53</v>
      </c>
      <c r="E162" t="s">
        <v>696</v>
      </c>
      <c r="F162" t="s">
        <v>697</v>
      </c>
      <c r="G162" t="s">
        <v>631</v>
      </c>
      <c r="H162" t="s">
        <v>201</v>
      </c>
      <c r="I162" t="s">
        <v>698</v>
      </c>
      <c r="J162" t="s">
        <v>699</v>
      </c>
      <c r="K162" t="s">
        <v>700</v>
      </c>
      <c r="L162" t="s">
        <v>52</v>
      </c>
      <c r="M162">
        <v>15.22</v>
      </c>
      <c r="N162">
        <v>0</v>
      </c>
      <c r="O162" t="s">
        <v>178</v>
      </c>
      <c r="P162">
        <v>5085</v>
      </c>
      <c r="Q162" t="s">
        <v>52</v>
      </c>
      <c r="R162" t="s">
        <v>52</v>
      </c>
      <c r="S162" t="s">
        <v>52</v>
      </c>
      <c r="T162" t="s">
        <v>52</v>
      </c>
      <c r="U162" t="s">
        <v>52</v>
      </c>
      <c r="V162" t="s">
        <v>62</v>
      </c>
      <c r="W162" t="s">
        <v>63</v>
      </c>
      <c r="Y162" t="s">
        <v>52</v>
      </c>
      <c r="AB162" t="s">
        <v>701</v>
      </c>
      <c r="AC162" t="s">
        <v>631</v>
      </c>
      <c r="AD162" t="s">
        <v>631</v>
      </c>
      <c r="AF162" t="s">
        <v>52</v>
      </c>
      <c r="AH162">
        <v>0</v>
      </c>
      <c r="AI162">
        <v>0</v>
      </c>
      <c r="AJ162" t="s">
        <v>52</v>
      </c>
      <c r="AK162">
        <v>0</v>
      </c>
      <c r="AL162" t="s">
        <v>52</v>
      </c>
      <c r="AM162" t="s">
        <v>52</v>
      </c>
      <c r="AN162">
        <v>0</v>
      </c>
      <c r="AO162">
        <v>0</v>
      </c>
      <c r="AP162" t="s">
        <v>52</v>
      </c>
      <c r="AQ162" t="s">
        <v>52</v>
      </c>
      <c r="AR162" t="s">
        <v>62</v>
      </c>
      <c r="AS162" t="s">
        <v>52</v>
      </c>
      <c r="AT162" t="s">
        <v>52</v>
      </c>
      <c r="AU162" t="s">
        <v>64</v>
      </c>
      <c r="AV162" t="s">
        <v>62</v>
      </c>
      <c r="AW162" t="s">
        <v>65</v>
      </c>
      <c r="AX162" t="s">
        <v>702</v>
      </c>
      <c r="AY162" t="s">
        <v>67</v>
      </c>
    </row>
    <row r="163" spans="1:51" hidden="1" x14ac:dyDescent="0.25">
      <c r="A163">
        <v>202353</v>
      </c>
      <c r="B163" t="s">
        <v>703</v>
      </c>
      <c r="C163" t="e">
        <f>VLOOKUP(A163,[1]Customer_payment_journal_line!$AL:$BO,30,0)</f>
        <v>#N/A</v>
      </c>
      <c r="D163" t="s">
        <v>53</v>
      </c>
      <c r="E163" t="s">
        <v>696</v>
      </c>
      <c r="F163" t="s">
        <v>697</v>
      </c>
      <c r="G163" t="s">
        <v>631</v>
      </c>
      <c r="H163" t="s">
        <v>704</v>
      </c>
      <c r="I163" t="s">
        <v>705</v>
      </c>
      <c r="J163" t="s">
        <v>706</v>
      </c>
      <c r="K163" t="s">
        <v>700</v>
      </c>
      <c r="L163" t="s">
        <v>707</v>
      </c>
      <c r="M163">
        <v>429.78</v>
      </c>
      <c r="N163">
        <v>0</v>
      </c>
      <c r="O163" t="s">
        <v>178</v>
      </c>
      <c r="P163">
        <v>5085</v>
      </c>
      <c r="Q163" t="s">
        <v>52</v>
      </c>
      <c r="R163" t="s">
        <v>52</v>
      </c>
      <c r="S163" t="s">
        <v>52</v>
      </c>
      <c r="T163" t="s">
        <v>52</v>
      </c>
      <c r="U163" t="s">
        <v>52</v>
      </c>
      <c r="V163" t="s">
        <v>62</v>
      </c>
      <c r="W163" t="s">
        <v>52</v>
      </c>
      <c r="Y163" t="s">
        <v>708</v>
      </c>
      <c r="Z163" t="s">
        <v>62</v>
      </c>
      <c r="AB163" t="s">
        <v>701</v>
      </c>
      <c r="AC163" t="s">
        <v>631</v>
      </c>
      <c r="AD163" t="s">
        <v>631</v>
      </c>
      <c r="AE163" t="s">
        <v>709</v>
      </c>
      <c r="AF163" t="s">
        <v>52</v>
      </c>
      <c r="AH163">
        <v>0</v>
      </c>
      <c r="AI163">
        <v>0</v>
      </c>
      <c r="AJ163" t="s">
        <v>52</v>
      </c>
      <c r="AK163">
        <v>0</v>
      </c>
      <c r="AL163" t="s">
        <v>52</v>
      </c>
      <c r="AM163" t="s">
        <v>52</v>
      </c>
      <c r="AN163">
        <v>0</v>
      </c>
      <c r="AO163">
        <v>0</v>
      </c>
      <c r="AP163" t="s">
        <v>52</v>
      </c>
      <c r="AQ163" t="s">
        <v>52</v>
      </c>
      <c r="AR163" t="s">
        <v>62</v>
      </c>
      <c r="AS163" t="s">
        <v>52</v>
      </c>
      <c r="AT163" t="s">
        <v>710</v>
      </c>
      <c r="AU163" t="s">
        <v>64</v>
      </c>
      <c r="AV163" t="s">
        <v>62</v>
      </c>
      <c r="AW163" t="s">
        <v>65</v>
      </c>
      <c r="AX163" t="s">
        <v>702</v>
      </c>
      <c r="AY163" t="s">
        <v>67</v>
      </c>
    </row>
    <row r="164" spans="1:51" hidden="1" x14ac:dyDescent="0.25">
      <c r="A164">
        <v>202353</v>
      </c>
      <c r="B164" t="s">
        <v>711</v>
      </c>
      <c r="C164" t="e">
        <f>VLOOKUP(A164,[1]Customer_payment_journal_line!$AL:$BO,30,0)</f>
        <v>#N/A</v>
      </c>
      <c r="D164" t="s">
        <v>53</v>
      </c>
      <c r="E164" t="s">
        <v>696</v>
      </c>
      <c r="F164" t="s">
        <v>697</v>
      </c>
      <c r="G164" t="s">
        <v>631</v>
      </c>
      <c r="H164" t="s">
        <v>704</v>
      </c>
      <c r="I164" t="s">
        <v>712</v>
      </c>
      <c r="J164" t="s">
        <v>699</v>
      </c>
      <c r="K164" t="s">
        <v>700</v>
      </c>
      <c r="L164" t="s">
        <v>707</v>
      </c>
      <c r="M164">
        <v>0</v>
      </c>
      <c r="N164">
        <v>445</v>
      </c>
      <c r="O164" t="s">
        <v>178</v>
      </c>
      <c r="P164">
        <v>5085</v>
      </c>
      <c r="Q164" t="s">
        <v>52</v>
      </c>
      <c r="R164" t="s">
        <v>52</v>
      </c>
      <c r="S164" t="s">
        <v>52</v>
      </c>
      <c r="T164" t="s">
        <v>52</v>
      </c>
      <c r="U164" t="s">
        <v>52</v>
      </c>
      <c r="V164" t="s">
        <v>62</v>
      </c>
      <c r="W164" t="s">
        <v>52</v>
      </c>
      <c r="Y164" t="s">
        <v>708</v>
      </c>
      <c r="Z164" t="s">
        <v>62</v>
      </c>
      <c r="AB164" t="s">
        <v>701</v>
      </c>
      <c r="AC164" t="s">
        <v>631</v>
      </c>
      <c r="AD164" t="s">
        <v>631</v>
      </c>
      <c r="AE164" t="s">
        <v>709</v>
      </c>
      <c r="AF164" t="s">
        <v>52</v>
      </c>
      <c r="AH164">
        <v>0</v>
      </c>
      <c r="AI164">
        <v>0</v>
      </c>
      <c r="AJ164" t="s">
        <v>52</v>
      </c>
      <c r="AK164">
        <v>0</v>
      </c>
      <c r="AL164" t="s">
        <v>52</v>
      </c>
      <c r="AM164" t="s">
        <v>52</v>
      </c>
      <c r="AN164">
        <v>0</v>
      </c>
      <c r="AO164">
        <v>0</v>
      </c>
      <c r="AP164" t="s">
        <v>52</v>
      </c>
      <c r="AQ164" t="s">
        <v>52</v>
      </c>
      <c r="AR164" t="s">
        <v>62</v>
      </c>
      <c r="AS164" t="s">
        <v>52</v>
      </c>
      <c r="AT164" t="s">
        <v>710</v>
      </c>
      <c r="AU164" t="s">
        <v>64</v>
      </c>
      <c r="AV164" t="s">
        <v>62</v>
      </c>
      <c r="AW164" t="s">
        <v>65</v>
      </c>
      <c r="AX164" t="s">
        <v>702</v>
      </c>
      <c r="AY164" t="s">
        <v>67</v>
      </c>
    </row>
    <row r="165" spans="1:51" hidden="1" x14ac:dyDescent="0.25">
      <c r="A165">
        <v>202369</v>
      </c>
      <c r="B165" t="s">
        <v>713</v>
      </c>
      <c r="C165" t="str">
        <f>VLOOKUP(A165,[1]Customer_payment_journal_line!$AL:$BO,30,0)</f>
        <v>CPay-000000015</v>
      </c>
      <c r="D165" t="s">
        <v>53</v>
      </c>
      <c r="E165" t="s">
        <v>714</v>
      </c>
      <c r="F165" t="s">
        <v>715</v>
      </c>
      <c r="G165" t="s">
        <v>631</v>
      </c>
      <c r="H165" t="s">
        <v>57</v>
      </c>
      <c r="I165" t="s">
        <v>95</v>
      </c>
      <c r="J165" t="s">
        <v>716</v>
      </c>
      <c r="K165" t="s">
        <v>717</v>
      </c>
      <c r="L165">
        <f>VLOOKUP(A165,[1]Customer_payment_journal_line!$B:$L,11,0)</f>
        <v>1653</v>
      </c>
      <c r="M165" s="1">
        <v>1653</v>
      </c>
      <c r="N165" s="2">
        <f>L165-M165</f>
        <v>0</v>
      </c>
      <c r="O165" t="s">
        <v>61</v>
      </c>
      <c r="P165">
        <v>100</v>
      </c>
      <c r="Q165" t="s">
        <v>52</v>
      </c>
      <c r="R165" t="s">
        <v>52</v>
      </c>
      <c r="S165" t="s">
        <v>52</v>
      </c>
      <c r="T165" t="s">
        <v>52</v>
      </c>
      <c r="U165" t="s">
        <v>52</v>
      </c>
      <c r="V165" t="s">
        <v>62</v>
      </c>
      <c r="W165" t="s">
        <v>63</v>
      </c>
      <c r="Y165" t="s">
        <v>52</v>
      </c>
      <c r="AB165" t="s">
        <v>52</v>
      </c>
      <c r="AE165" t="s">
        <v>52</v>
      </c>
      <c r="AF165" t="s">
        <v>52</v>
      </c>
      <c r="AH165">
        <v>0</v>
      </c>
      <c r="AI165">
        <v>0</v>
      </c>
      <c r="AJ165" t="s">
        <v>52</v>
      </c>
      <c r="AK165">
        <v>0</v>
      </c>
      <c r="AL165" t="s">
        <v>52</v>
      </c>
      <c r="AM165" t="s">
        <v>52</v>
      </c>
      <c r="AN165">
        <v>0</v>
      </c>
      <c r="AO165">
        <v>0</v>
      </c>
      <c r="AP165" t="s">
        <v>52</v>
      </c>
      <c r="AQ165" t="s">
        <v>52</v>
      </c>
      <c r="AR165" t="s">
        <v>62</v>
      </c>
      <c r="AS165" t="s">
        <v>52</v>
      </c>
      <c r="AT165" t="s">
        <v>52</v>
      </c>
      <c r="AU165" t="s">
        <v>64</v>
      </c>
      <c r="AV165" t="s">
        <v>62</v>
      </c>
      <c r="AW165" t="s">
        <v>65</v>
      </c>
      <c r="AX165" t="s">
        <v>66</v>
      </c>
      <c r="AY165" t="s">
        <v>67</v>
      </c>
    </row>
    <row r="166" spans="1:51" hidden="1" x14ac:dyDescent="0.25">
      <c r="A166">
        <v>202369</v>
      </c>
      <c r="B166" t="s">
        <v>718</v>
      </c>
      <c r="C166" t="str">
        <f>VLOOKUP(A166,[1]Customer_payment_journal_line!$AL:$BO,30,0)</f>
        <v>CPay-000000015</v>
      </c>
      <c r="D166" t="s">
        <v>53</v>
      </c>
      <c r="E166" t="s">
        <v>714</v>
      </c>
      <c r="F166" t="s">
        <v>715</v>
      </c>
      <c r="G166" t="s">
        <v>631</v>
      </c>
      <c r="H166" t="s">
        <v>69</v>
      </c>
      <c r="I166" t="s">
        <v>719</v>
      </c>
      <c r="J166" t="s">
        <v>716</v>
      </c>
      <c r="K166" t="s">
        <v>717</v>
      </c>
      <c r="L166">
        <f>VLOOKUP(A166,[1]Customer_payment_journal_line!$B:$L,11,0)</f>
        <v>1653</v>
      </c>
      <c r="M166" s="1">
        <v>0</v>
      </c>
      <c r="N166">
        <v>1653</v>
      </c>
      <c r="O166" t="s">
        <v>61</v>
      </c>
      <c r="P166">
        <v>100</v>
      </c>
      <c r="Q166" t="s">
        <v>52</v>
      </c>
      <c r="R166" t="s">
        <v>52</v>
      </c>
      <c r="S166" t="s">
        <v>52</v>
      </c>
      <c r="T166" t="s">
        <v>52</v>
      </c>
      <c r="U166" t="s">
        <v>52</v>
      </c>
      <c r="V166" t="s">
        <v>62</v>
      </c>
      <c r="W166" t="s">
        <v>52</v>
      </c>
      <c r="Y166" t="s">
        <v>720</v>
      </c>
      <c r="Z166" t="s">
        <v>62</v>
      </c>
      <c r="AB166" t="s">
        <v>721</v>
      </c>
      <c r="AE166" t="s">
        <v>722</v>
      </c>
      <c r="AF166" t="s">
        <v>52</v>
      </c>
      <c r="AH166">
        <v>0</v>
      </c>
      <c r="AI166">
        <v>0</v>
      </c>
      <c r="AJ166" t="s">
        <v>52</v>
      </c>
      <c r="AK166">
        <v>0</v>
      </c>
      <c r="AL166" t="s">
        <v>52</v>
      </c>
      <c r="AM166" t="s">
        <v>52</v>
      </c>
      <c r="AN166">
        <v>0</v>
      </c>
      <c r="AO166">
        <v>0</v>
      </c>
      <c r="AP166" t="s">
        <v>52</v>
      </c>
      <c r="AQ166" t="s">
        <v>52</v>
      </c>
      <c r="AR166" t="s">
        <v>62</v>
      </c>
      <c r="AS166" t="s">
        <v>52</v>
      </c>
      <c r="AT166" t="s">
        <v>74</v>
      </c>
      <c r="AU166" t="s">
        <v>64</v>
      </c>
      <c r="AV166" t="s">
        <v>62</v>
      </c>
      <c r="AW166" t="s">
        <v>65</v>
      </c>
      <c r="AX166" t="s">
        <v>66</v>
      </c>
      <c r="AY166" t="s">
        <v>67</v>
      </c>
    </row>
    <row r="167" spans="1:51" hidden="1" x14ac:dyDescent="0.25">
      <c r="A167">
        <v>202370</v>
      </c>
      <c r="B167" t="s">
        <v>723</v>
      </c>
      <c r="C167" t="str">
        <f>VLOOKUP(A167,[1]Customer_payment_journal_line!$AL:$BO,30,0)</f>
        <v>CPay-000000016</v>
      </c>
      <c r="D167" t="s">
        <v>53</v>
      </c>
      <c r="E167" t="s">
        <v>724</v>
      </c>
      <c r="F167" t="s">
        <v>725</v>
      </c>
      <c r="G167" t="s">
        <v>631</v>
      </c>
      <c r="H167" t="s">
        <v>57</v>
      </c>
      <c r="I167" t="s">
        <v>95</v>
      </c>
      <c r="J167" t="s">
        <v>726</v>
      </c>
      <c r="K167" t="s">
        <v>727</v>
      </c>
      <c r="L167">
        <f>VLOOKUP(A167,[1]Customer_payment_journal_line!$B:$L,11,0)</f>
        <v>1333.12</v>
      </c>
      <c r="M167" s="1">
        <v>1333.12</v>
      </c>
      <c r="N167" s="2">
        <f>L167-M167</f>
        <v>0</v>
      </c>
      <c r="O167" t="s">
        <v>61</v>
      </c>
      <c r="P167">
        <v>100</v>
      </c>
      <c r="Q167" t="s">
        <v>52</v>
      </c>
      <c r="R167" t="s">
        <v>52</v>
      </c>
      <c r="S167" t="s">
        <v>52</v>
      </c>
      <c r="T167" t="s">
        <v>52</v>
      </c>
      <c r="U167" t="s">
        <v>52</v>
      </c>
      <c r="V167" t="s">
        <v>62</v>
      </c>
      <c r="W167" t="s">
        <v>63</v>
      </c>
      <c r="Y167" t="s">
        <v>52</v>
      </c>
      <c r="AB167" t="s">
        <v>52</v>
      </c>
      <c r="AE167" t="s">
        <v>52</v>
      </c>
      <c r="AF167" t="s">
        <v>52</v>
      </c>
      <c r="AH167">
        <v>0</v>
      </c>
      <c r="AI167">
        <v>0</v>
      </c>
      <c r="AJ167" t="s">
        <v>52</v>
      </c>
      <c r="AK167">
        <v>0</v>
      </c>
      <c r="AL167" t="s">
        <v>52</v>
      </c>
      <c r="AM167" t="s">
        <v>52</v>
      </c>
      <c r="AN167">
        <v>0</v>
      </c>
      <c r="AO167">
        <v>0</v>
      </c>
      <c r="AP167" t="s">
        <v>52</v>
      </c>
      <c r="AQ167" t="s">
        <v>52</v>
      </c>
      <c r="AR167" t="s">
        <v>62</v>
      </c>
      <c r="AS167" t="s">
        <v>52</v>
      </c>
      <c r="AT167" t="s">
        <v>52</v>
      </c>
      <c r="AU167" t="s">
        <v>64</v>
      </c>
      <c r="AV167" t="s">
        <v>62</v>
      </c>
      <c r="AW167" t="s">
        <v>65</v>
      </c>
      <c r="AX167" t="s">
        <v>66</v>
      </c>
      <c r="AY167" t="s">
        <v>67</v>
      </c>
    </row>
    <row r="168" spans="1:51" hidden="1" x14ac:dyDescent="0.25">
      <c r="A168">
        <v>202370</v>
      </c>
      <c r="B168" t="s">
        <v>728</v>
      </c>
      <c r="C168" t="str">
        <f>VLOOKUP(A168,[1]Customer_payment_journal_line!$AL:$BO,30,0)</f>
        <v>CPay-000000016</v>
      </c>
      <c r="D168" t="s">
        <v>53</v>
      </c>
      <c r="E168" t="s">
        <v>724</v>
      </c>
      <c r="F168" t="s">
        <v>725</v>
      </c>
      <c r="G168" t="s">
        <v>631</v>
      </c>
      <c r="H168" t="s">
        <v>69</v>
      </c>
      <c r="I168" t="s">
        <v>719</v>
      </c>
      <c r="J168" t="s">
        <v>726</v>
      </c>
      <c r="K168" t="s">
        <v>727</v>
      </c>
      <c r="L168">
        <f>VLOOKUP(A168,[1]Customer_payment_journal_line!$B:$L,11,0)</f>
        <v>1333.12</v>
      </c>
      <c r="M168" s="1">
        <v>0</v>
      </c>
      <c r="N168">
        <v>1333.12</v>
      </c>
      <c r="O168" t="s">
        <v>61</v>
      </c>
      <c r="P168">
        <v>100</v>
      </c>
      <c r="Q168" t="s">
        <v>52</v>
      </c>
      <c r="R168" t="s">
        <v>52</v>
      </c>
      <c r="S168" t="s">
        <v>52</v>
      </c>
      <c r="T168" t="s">
        <v>52</v>
      </c>
      <c r="U168" t="s">
        <v>52</v>
      </c>
      <c r="V168" t="s">
        <v>62</v>
      </c>
      <c r="W168" t="s">
        <v>52</v>
      </c>
      <c r="Y168" t="s">
        <v>720</v>
      </c>
      <c r="Z168" t="s">
        <v>62</v>
      </c>
      <c r="AB168" t="s">
        <v>729</v>
      </c>
      <c r="AE168" t="s">
        <v>730</v>
      </c>
      <c r="AF168" t="s">
        <v>52</v>
      </c>
      <c r="AH168">
        <v>0</v>
      </c>
      <c r="AI168">
        <v>0</v>
      </c>
      <c r="AJ168" t="s">
        <v>52</v>
      </c>
      <c r="AK168">
        <v>0</v>
      </c>
      <c r="AL168" t="s">
        <v>52</v>
      </c>
      <c r="AM168" t="s">
        <v>52</v>
      </c>
      <c r="AN168">
        <v>0</v>
      </c>
      <c r="AO168">
        <v>0</v>
      </c>
      <c r="AP168" t="s">
        <v>52</v>
      </c>
      <c r="AQ168" t="s">
        <v>52</v>
      </c>
      <c r="AR168" t="s">
        <v>62</v>
      </c>
      <c r="AS168" t="s">
        <v>52</v>
      </c>
      <c r="AT168" t="s">
        <v>74</v>
      </c>
      <c r="AU168" t="s">
        <v>64</v>
      </c>
      <c r="AV168" t="s">
        <v>62</v>
      </c>
      <c r="AW168" t="s">
        <v>65</v>
      </c>
      <c r="AX168" t="s">
        <v>66</v>
      </c>
      <c r="AY168" t="s">
        <v>67</v>
      </c>
    </row>
    <row r="169" spans="1:51" hidden="1" x14ac:dyDescent="0.25">
      <c r="A169">
        <v>202371</v>
      </c>
      <c r="B169" t="s">
        <v>731</v>
      </c>
      <c r="C169" t="str">
        <f>VLOOKUP(A169,[1]Customer_payment_journal_line!$AL:$BO,30,0)</f>
        <v>CPay-000000017</v>
      </c>
      <c r="D169" t="s">
        <v>53</v>
      </c>
      <c r="E169" t="s">
        <v>732</v>
      </c>
      <c r="F169" t="s">
        <v>733</v>
      </c>
      <c r="G169" t="s">
        <v>631</v>
      </c>
      <c r="H169" t="s">
        <v>57</v>
      </c>
      <c r="I169" t="s">
        <v>95</v>
      </c>
      <c r="J169" t="s">
        <v>734</v>
      </c>
      <c r="K169" t="s">
        <v>735</v>
      </c>
      <c r="L169">
        <f>VLOOKUP(A169,[1]Customer_payment_journal_line!$B:$L,11,0)</f>
        <v>432.63</v>
      </c>
      <c r="M169" s="1">
        <v>432.63</v>
      </c>
      <c r="N169" s="2">
        <f>L169-M169</f>
        <v>0</v>
      </c>
      <c r="O169" t="s">
        <v>61</v>
      </c>
      <c r="P169">
        <v>100</v>
      </c>
      <c r="Q169" t="s">
        <v>52</v>
      </c>
      <c r="R169" t="s">
        <v>52</v>
      </c>
      <c r="S169" t="s">
        <v>52</v>
      </c>
      <c r="T169" t="s">
        <v>52</v>
      </c>
      <c r="U169" t="s">
        <v>52</v>
      </c>
      <c r="V169" t="s">
        <v>62</v>
      </c>
      <c r="W169" t="s">
        <v>63</v>
      </c>
      <c r="Y169" t="s">
        <v>52</v>
      </c>
      <c r="AB169" t="s">
        <v>52</v>
      </c>
      <c r="AE169" t="s">
        <v>52</v>
      </c>
      <c r="AF169" t="s">
        <v>52</v>
      </c>
      <c r="AH169">
        <v>0</v>
      </c>
      <c r="AI169">
        <v>0</v>
      </c>
      <c r="AJ169" t="s">
        <v>52</v>
      </c>
      <c r="AK169">
        <v>0</v>
      </c>
      <c r="AL169" t="s">
        <v>52</v>
      </c>
      <c r="AM169" t="s">
        <v>52</v>
      </c>
      <c r="AN169">
        <v>0</v>
      </c>
      <c r="AO169">
        <v>0</v>
      </c>
      <c r="AP169" t="s">
        <v>52</v>
      </c>
      <c r="AQ169" t="s">
        <v>52</v>
      </c>
      <c r="AR169" t="s">
        <v>62</v>
      </c>
      <c r="AS169" t="s">
        <v>52</v>
      </c>
      <c r="AT169" t="s">
        <v>52</v>
      </c>
      <c r="AU169" t="s">
        <v>64</v>
      </c>
      <c r="AV169" t="s">
        <v>62</v>
      </c>
      <c r="AW169" t="s">
        <v>65</v>
      </c>
      <c r="AX169" t="s">
        <v>66</v>
      </c>
      <c r="AY169" t="s">
        <v>67</v>
      </c>
    </row>
    <row r="170" spans="1:51" hidden="1" x14ac:dyDescent="0.25">
      <c r="A170">
        <v>202371</v>
      </c>
      <c r="B170" t="s">
        <v>736</v>
      </c>
      <c r="C170" t="str">
        <f>VLOOKUP(A170,[1]Customer_payment_journal_line!$AL:$BO,30,0)</f>
        <v>CPay-000000017</v>
      </c>
      <c r="D170" t="s">
        <v>53</v>
      </c>
      <c r="E170" t="s">
        <v>732</v>
      </c>
      <c r="F170" t="s">
        <v>733</v>
      </c>
      <c r="G170" t="s">
        <v>631</v>
      </c>
      <c r="H170" t="s">
        <v>69</v>
      </c>
      <c r="I170" t="s">
        <v>737</v>
      </c>
      <c r="J170" t="s">
        <v>734</v>
      </c>
      <c r="K170" t="s">
        <v>735</v>
      </c>
      <c r="L170">
        <f>VLOOKUP(A170,[1]Customer_payment_journal_line!$B:$L,11,0)</f>
        <v>432.63</v>
      </c>
      <c r="M170" s="1">
        <v>0</v>
      </c>
      <c r="N170">
        <v>432.63</v>
      </c>
      <c r="O170" t="s">
        <v>61</v>
      </c>
      <c r="P170">
        <v>100</v>
      </c>
      <c r="Q170" t="s">
        <v>52</v>
      </c>
      <c r="R170" t="s">
        <v>52</v>
      </c>
      <c r="S170" t="s">
        <v>52</v>
      </c>
      <c r="T170" t="s">
        <v>52</v>
      </c>
      <c r="U170" t="s">
        <v>52</v>
      </c>
      <c r="V170" t="s">
        <v>62</v>
      </c>
      <c r="W170" t="s">
        <v>52</v>
      </c>
      <c r="Y170" t="s">
        <v>738</v>
      </c>
      <c r="Z170" t="s">
        <v>62</v>
      </c>
      <c r="AB170" t="s">
        <v>739</v>
      </c>
      <c r="AE170" t="s">
        <v>740</v>
      </c>
      <c r="AF170" t="s">
        <v>52</v>
      </c>
      <c r="AH170">
        <v>0</v>
      </c>
      <c r="AI170">
        <v>0</v>
      </c>
      <c r="AJ170" t="s">
        <v>52</v>
      </c>
      <c r="AK170">
        <v>0</v>
      </c>
      <c r="AL170" t="s">
        <v>52</v>
      </c>
      <c r="AM170" t="s">
        <v>52</v>
      </c>
      <c r="AN170">
        <v>0</v>
      </c>
      <c r="AO170">
        <v>0</v>
      </c>
      <c r="AP170" t="s">
        <v>52</v>
      </c>
      <c r="AQ170" t="s">
        <v>52</v>
      </c>
      <c r="AR170" t="s">
        <v>62</v>
      </c>
      <c r="AS170" t="s">
        <v>52</v>
      </c>
      <c r="AT170" t="s">
        <v>74</v>
      </c>
      <c r="AU170" t="s">
        <v>64</v>
      </c>
      <c r="AV170" t="s">
        <v>62</v>
      </c>
      <c r="AW170" t="s">
        <v>65</v>
      </c>
      <c r="AX170" t="s">
        <v>66</v>
      </c>
      <c r="AY170" t="s">
        <v>67</v>
      </c>
    </row>
    <row r="171" spans="1:51" hidden="1" x14ac:dyDescent="0.25">
      <c r="A171">
        <v>202372</v>
      </c>
      <c r="B171" t="s">
        <v>741</v>
      </c>
      <c r="C171" t="str">
        <f>VLOOKUP(A171,[1]Customer_payment_journal_line!$AL:$BO,30,0)</f>
        <v>CPay-000000018</v>
      </c>
      <c r="D171" t="s">
        <v>53</v>
      </c>
      <c r="E171" t="s">
        <v>742</v>
      </c>
      <c r="F171" t="s">
        <v>743</v>
      </c>
      <c r="G171" t="s">
        <v>631</v>
      </c>
      <c r="H171" t="s">
        <v>57</v>
      </c>
      <c r="I171" t="s">
        <v>95</v>
      </c>
      <c r="J171" t="s">
        <v>734</v>
      </c>
      <c r="K171" t="s">
        <v>735</v>
      </c>
      <c r="L171">
        <f>VLOOKUP(A171,[1]Customer_payment_journal_line!$B:$L,11,0)</f>
        <v>1653</v>
      </c>
      <c r="M171" s="1">
        <v>1653</v>
      </c>
      <c r="N171" s="2">
        <f>L171-M171</f>
        <v>0</v>
      </c>
      <c r="O171" t="s">
        <v>61</v>
      </c>
      <c r="P171">
        <v>100</v>
      </c>
      <c r="Q171" t="s">
        <v>52</v>
      </c>
      <c r="R171" t="s">
        <v>52</v>
      </c>
      <c r="S171" t="s">
        <v>52</v>
      </c>
      <c r="T171" t="s">
        <v>52</v>
      </c>
      <c r="U171" t="s">
        <v>52</v>
      </c>
      <c r="V171" t="s">
        <v>62</v>
      </c>
      <c r="W171" t="s">
        <v>63</v>
      </c>
      <c r="Y171" t="s">
        <v>52</v>
      </c>
      <c r="AB171" t="s">
        <v>52</v>
      </c>
      <c r="AE171" t="s">
        <v>52</v>
      </c>
      <c r="AF171" t="s">
        <v>52</v>
      </c>
      <c r="AH171">
        <v>0</v>
      </c>
      <c r="AI171">
        <v>0</v>
      </c>
      <c r="AJ171" t="s">
        <v>52</v>
      </c>
      <c r="AK171">
        <v>0</v>
      </c>
      <c r="AL171" t="s">
        <v>52</v>
      </c>
      <c r="AM171" t="s">
        <v>52</v>
      </c>
      <c r="AN171">
        <v>0</v>
      </c>
      <c r="AO171">
        <v>0</v>
      </c>
      <c r="AP171" t="s">
        <v>52</v>
      </c>
      <c r="AQ171" t="s">
        <v>52</v>
      </c>
      <c r="AR171" t="s">
        <v>62</v>
      </c>
      <c r="AS171" t="s">
        <v>52</v>
      </c>
      <c r="AT171" t="s">
        <v>52</v>
      </c>
      <c r="AU171" t="s">
        <v>64</v>
      </c>
      <c r="AV171" t="s">
        <v>62</v>
      </c>
      <c r="AW171" t="s">
        <v>65</v>
      </c>
      <c r="AX171" t="s">
        <v>66</v>
      </c>
      <c r="AY171" t="s">
        <v>67</v>
      </c>
    </row>
    <row r="172" spans="1:51" hidden="1" x14ac:dyDescent="0.25">
      <c r="A172">
        <v>202372</v>
      </c>
      <c r="B172" t="s">
        <v>744</v>
      </c>
      <c r="C172" t="str">
        <f>VLOOKUP(A172,[1]Customer_payment_journal_line!$AL:$BO,30,0)</f>
        <v>CPay-000000018</v>
      </c>
      <c r="D172" t="s">
        <v>53</v>
      </c>
      <c r="E172" t="s">
        <v>742</v>
      </c>
      <c r="F172" t="s">
        <v>743</v>
      </c>
      <c r="G172" t="s">
        <v>631</v>
      </c>
      <c r="H172" t="s">
        <v>69</v>
      </c>
      <c r="I172" t="s">
        <v>737</v>
      </c>
      <c r="J172" t="s">
        <v>734</v>
      </c>
      <c r="K172" t="s">
        <v>735</v>
      </c>
      <c r="L172">
        <f>VLOOKUP(A172,[1]Customer_payment_journal_line!$B:$L,11,0)</f>
        <v>1653</v>
      </c>
      <c r="M172" s="1">
        <v>0</v>
      </c>
      <c r="N172">
        <v>1653</v>
      </c>
      <c r="O172" t="s">
        <v>61</v>
      </c>
      <c r="P172">
        <v>100</v>
      </c>
      <c r="Q172" t="s">
        <v>52</v>
      </c>
      <c r="R172" t="s">
        <v>52</v>
      </c>
      <c r="S172" t="s">
        <v>52</v>
      </c>
      <c r="T172" t="s">
        <v>52</v>
      </c>
      <c r="U172" t="s">
        <v>52</v>
      </c>
      <c r="V172" t="s">
        <v>62</v>
      </c>
      <c r="W172" t="s">
        <v>52</v>
      </c>
      <c r="Y172" t="s">
        <v>738</v>
      </c>
      <c r="Z172" t="s">
        <v>62</v>
      </c>
      <c r="AB172" t="s">
        <v>745</v>
      </c>
      <c r="AE172" t="s">
        <v>746</v>
      </c>
      <c r="AF172" t="s">
        <v>52</v>
      </c>
      <c r="AH172">
        <v>0</v>
      </c>
      <c r="AI172">
        <v>0</v>
      </c>
      <c r="AJ172" t="s">
        <v>52</v>
      </c>
      <c r="AK172">
        <v>0</v>
      </c>
      <c r="AL172" t="s">
        <v>52</v>
      </c>
      <c r="AM172" t="s">
        <v>52</v>
      </c>
      <c r="AN172">
        <v>0</v>
      </c>
      <c r="AO172">
        <v>0</v>
      </c>
      <c r="AP172" t="s">
        <v>52</v>
      </c>
      <c r="AQ172" t="s">
        <v>52</v>
      </c>
      <c r="AR172" t="s">
        <v>62</v>
      </c>
      <c r="AS172" t="s">
        <v>52</v>
      </c>
      <c r="AT172" t="s">
        <v>74</v>
      </c>
      <c r="AU172" t="s">
        <v>64</v>
      </c>
      <c r="AV172" t="s">
        <v>62</v>
      </c>
      <c r="AW172" t="s">
        <v>65</v>
      </c>
      <c r="AX172" t="s">
        <v>66</v>
      </c>
      <c r="AY172" t="s">
        <v>67</v>
      </c>
    </row>
    <row r="173" spans="1:51" hidden="1" x14ac:dyDescent="0.25">
      <c r="A173">
        <v>387615</v>
      </c>
      <c r="B173" t="s">
        <v>747</v>
      </c>
      <c r="C173" t="e">
        <f>VLOOKUP(A173,[1]Customer_payment_journal_line!$AL:$BO,30,0)</f>
        <v>#N/A</v>
      </c>
      <c r="D173" t="s">
        <v>53</v>
      </c>
      <c r="E173" t="s">
        <v>748</v>
      </c>
      <c r="F173" t="s">
        <v>749</v>
      </c>
      <c r="G173" t="s">
        <v>631</v>
      </c>
      <c r="H173" t="s">
        <v>210</v>
      </c>
      <c r="I173" t="s">
        <v>750</v>
      </c>
      <c r="J173" t="s">
        <v>52</v>
      </c>
      <c r="K173" t="s">
        <v>751</v>
      </c>
      <c r="L173" t="s">
        <v>52</v>
      </c>
      <c r="M173">
        <v>0.48</v>
      </c>
      <c r="N173">
        <v>0</v>
      </c>
      <c r="O173" t="s">
        <v>178</v>
      </c>
      <c r="P173">
        <v>5085</v>
      </c>
      <c r="Q173" t="s">
        <v>52</v>
      </c>
      <c r="R173" t="s">
        <v>52</v>
      </c>
      <c r="S173" t="s">
        <v>52</v>
      </c>
      <c r="T173" t="s">
        <v>52</v>
      </c>
      <c r="U173" t="s">
        <v>52</v>
      </c>
      <c r="V173" t="s">
        <v>62</v>
      </c>
      <c r="W173" t="s">
        <v>63</v>
      </c>
      <c r="AF173" t="s">
        <v>52</v>
      </c>
      <c r="AH173">
        <v>0</v>
      </c>
      <c r="AI173">
        <v>0</v>
      </c>
      <c r="AJ173" t="s">
        <v>52</v>
      </c>
      <c r="AK173">
        <v>0</v>
      </c>
      <c r="AL173" t="s">
        <v>52</v>
      </c>
      <c r="AM173" t="s">
        <v>52</v>
      </c>
      <c r="AN173">
        <v>0</v>
      </c>
      <c r="AO173">
        <v>0</v>
      </c>
      <c r="AP173" t="s">
        <v>52</v>
      </c>
      <c r="AQ173" t="s">
        <v>52</v>
      </c>
      <c r="AR173" t="s">
        <v>62</v>
      </c>
      <c r="AS173" t="s">
        <v>52</v>
      </c>
      <c r="AT173" t="s">
        <v>52</v>
      </c>
      <c r="AU173" t="s">
        <v>64</v>
      </c>
      <c r="AV173" t="s">
        <v>62</v>
      </c>
      <c r="AW173" t="s">
        <v>65</v>
      </c>
      <c r="AX173" t="s">
        <v>752</v>
      </c>
      <c r="AY173" t="s">
        <v>67</v>
      </c>
    </row>
    <row r="174" spans="1:51" hidden="1" x14ac:dyDescent="0.25">
      <c r="A174">
        <v>387615</v>
      </c>
      <c r="B174" t="s">
        <v>753</v>
      </c>
      <c r="C174" t="e">
        <f>VLOOKUP(A174,[1]Customer_payment_journal_line!$AL:$BO,30,0)</f>
        <v>#N/A</v>
      </c>
      <c r="D174" t="s">
        <v>53</v>
      </c>
      <c r="E174" t="s">
        <v>748</v>
      </c>
      <c r="F174" t="s">
        <v>749</v>
      </c>
      <c r="G174" t="s">
        <v>631</v>
      </c>
      <c r="H174" t="s">
        <v>57</v>
      </c>
      <c r="I174" t="s">
        <v>698</v>
      </c>
      <c r="J174" t="s">
        <v>754</v>
      </c>
      <c r="K174" t="s">
        <v>751</v>
      </c>
      <c r="L174" t="s">
        <v>52</v>
      </c>
      <c r="M174">
        <v>0</v>
      </c>
      <c r="N174">
        <v>0.48</v>
      </c>
      <c r="O174" t="s">
        <v>178</v>
      </c>
      <c r="P174">
        <v>5085</v>
      </c>
      <c r="Q174" t="s">
        <v>52</v>
      </c>
      <c r="R174" t="s">
        <v>52</v>
      </c>
      <c r="S174" t="s">
        <v>52</v>
      </c>
      <c r="T174" t="s">
        <v>52</v>
      </c>
      <c r="U174" t="s">
        <v>52</v>
      </c>
      <c r="V174" t="s">
        <v>62</v>
      </c>
      <c r="W174" t="s">
        <v>63</v>
      </c>
      <c r="Y174" t="s">
        <v>52</v>
      </c>
      <c r="AF174" t="s">
        <v>52</v>
      </c>
      <c r="AH174">
        <v>0</v>
      </c>
      <c r="AI174">
        <v>0</v>
      </c>
      <c r="AJ174" t="s">
        <v>52</v>
      </c>
      <c r="AK174">
        <v>0</v>
      </c>
      <c r="AL174" t="s">
        <v>52</v>
      </c>
      <c r="AM174" t="s">
        <v>52</v>
      </c>
      <c r="AN174">
        <v>0</v>
      </c>
      <c r="AO174">
        <v>0</v>
      </c>
      <c r="AP174" t="s">
        <v>52</v>
      </c>
      <c r="AQ174" t="s">
        <v>52</v>
      </c>
      <c r="AR174" t="s">
        <v>62</v>
      </c>
      <c r="AS174" t="s">
        <v>52</v>
      </c>
      <c r="AT174" t="s">
        <v>52</v>
      </c>
      <c r="AU174" t="s">
        <v>64</v>
      </c>
      <c r="AV174" t="s">
        <v>62</v>
      </c>
      <c r="AW174" t="s">
        <v>65</v>
      </c>
      <c r="AX174" t="s">
        <v>752</v>
      </c>
      <c r="AY174" t="s">
        <v>67</v>
      </c>
    </row>
    <row r="175" spans="1:51" hidden="1" x14ac:dyDescent="0.25">
      <c r="A175">
        <v>387814</v>
      </c>
      <c r="B175" t="s">
        <v>755</v>
      </c>
      <c r="C175" t="e">
        <f>VLOOKUP(A175,[1]Customer_payment_journal_line!$AL:$BO,30,0)</f>
        <v>#N/A</v>
      </c>
      <c r="D175" t="s">
        <v>53</v>
      </c>
      <c r="E175" t="s">
        <v>756</v>
      </c>
      <c r="F175" t="s">
        <v>757</v>
      </c>
      <c r="G175" t="s">
        <v>631</v>
      </c>
      <c r="H175" t="s">
        <v>210</v>
      </c>
      <c r="I175" t="s">
        <v>750</v>
      </c>
      <c r="J175" t="s">
        <v>52</v>
      </c>
      <c r="K175" t="s">
        <v>751</v>
      </c>
      <c r="L175" t="s">
        <v>52</v>
      </c>
      <c r="M175">
        <v>0.48</v>
      </c>
      <c r="N175">
        <v>0</v>
      </c>
      <c r="O175" t="s">
        <v>178</v>
      </c>
      <c r="P175">
        <v>5085</v>
      </c>
      <c r="Q175" t="s">
        <v>52</v>
      </c>
      <c r="R175" t="s">
        <v>52</v>
      </c>
      <c r="S175" t="s">
        <v>52</v>
      </c>
      <c r="T175" t="s">
        <v>52</v>
      </c>
      <c r="U175" t="s">
        <v>52</v>
      </c>
      <c r="V175" t="s">
        <v>62</v>
      </c>
      <c r="W175" t="s">
        <v>63</v>
      </c>
      <c r="AF175" t="s">
        <v>52</v>
      </c>
      <c r="AH175">
        <v>0</v>
      </c>
      <c r="AI175">
        <v>0</v>
      </c>
      <c r="AJ175" t="s">
        <v>52</v>
      </c>
      <c r="AK175">
        <v>0</v>
      </c>
      <c r="AL175" t="s">
        <v>52</v>
      </c>
      <c r="AM175" t="s">
        <v>52</v>
      </c>
      <c r="AN175">
        <v>0</v>
      </c>
      <c r="AO175">
        <v>0</v>
      </c>
      <c r="AP175" t="s">
        <v>52</v>
      </c>
      <c r="AQ175" t="s">
        <v>52</v>
      </c>
      <c r="AR175" t="s">
        <v>62</v>
      </c>
      <c r="AS175" t="s">
        <v>52</v>
      </c>
      <c r="AT175" t="s">
        <v>52</v>
      </c>
      <c r="AU175" t="s">
        <v>64</v>
      </c>
      <c r="AV175" t="s">
        <v>62</v>
      </c>
      <c r="AW175" t="s">
        <v>65</v>
      </c>
      <c r="AX175" t="s">
        <v>752</v>
      </c>
      <c r="AY175" t="s">
        <v>67</v>
      </c>
    </row>
    <row r="176" spans="1:51" hidden="1" x14ac:dyDescent="0.25">
      <c r="A176">
        <v>387814</v>
      </c>
      <c r="B176" t="s">
        <v>758</v>
      </c>
      <c r="C176" t="e">
        <f>VLOOKUP(A176,[1]Customer_payment_journal_line!$AL:$BO,30,0)</f>
        <v>#N/A</v>
      </c>
      <c r="D176" t="s">
        <v>53</v>
      </c>
      <c r="E176" t="s">
        <v>756</v>
      </c>
      <c r="F176" t="s">
        <v>757</v>
      </c>
      <c r="G176" t="s">
        <v>631</v>
      </c>
      <c r="H176" t="s">
        <v>57</v>
      </c>
      <c r="I176" t="s">
        <v>698</v>
      </c>
      <c r="J176" t="s">
        <v>754</v>
      </c>
      <c r="K176" t="s">
        <v>751</v>
      </c>
      <c r="L176" t="s">
        <v>52</v>
      </c>
      <c r="M176">
        <v>0</v>
      </c>
      <c r="N176">
        <v>0.48</v>
      </c>
      <c r="O176" t="s">
        <v>178</v>
      </c>
      <c r="P176">
        <v>5085</v>
      </c>
      <c r="Q176" t="s">
        <v>52</v>
      </c>
      <c r="R176" t="s">
        <v>52</v>
      </c>
      <c r="S176" t="s">
        <v>52</v>
      </c>
      <c r="T176" t="s">
        <v>52</v>
      </c>
      <c r="U176" t="s">
        <v>52</v>
      </c>
      <c r="V176" t="s">
        <v>62</v>
      </c>
      <c r="W176" t="s">
        <v>63</v>
      </c>
      <c r="Y176" t="s">
        <v>52</v>
      </c>
      <c r="AF176" t="s">
        <v>52</v>
      </c>
      <c r="AH176">
        <v>0</v>
      </c>
      <c r="AI176">
        <v>0</v>
      </c>
      <c r="AJ176" t="s">
        <v>52</v>
      </c>
      <c r="AK176">
        <v>0</v>
      </c>
      <c r="AL176" t="s">
        <v>52</v>
      </c>
      <c r="AM176" t="s">
        <v>52</v>
      </c>
      <c r="AN176">
        <v>0</v>
      </c>
      <c r="AO176">
        <v>0</v>
      </c>
      <c r="AP176" t="s">
        <v>52</v>
      </c>
      <c r="AQ176" t="s">
        <v>52</v>
      </c>
      <c r="AR176" t="s">
        <v>62</v>
      </c>
      <c r="AS176" t="s">
        <v>52</v>
      </c>
      <c r="AT176" t="s">
        <v>52</v>
      </c>
      <c r="AU176" t="s">
        <v>64</v>
      </c>
      <c r="AV176" t="s">
        <v>62</v>
      </c>
      <c r="AW176" t="s">
        <v>65</v>
      </c>
      <c r="AX176" t="s">
        <v>752</v>
      </c>
      <c r="AY176" t="s">
        <v>67</v>
      </c>
    </row>
    <row r="177" spans="1:51" hidden="1" x14ac:dyDescent="0.25">
      <c r="A177">
        <v>405949</v>
      </c>
      <c r="B177" t="s">
        <v>759</v>
      </c>
      <c r="C177" t="e">
        <f>VLOOKUP(A177,[1]Customer_payment_journal_line!$AL:$BO,30,0)</f>
        <v>#N/A</v>
      </c>
      <c r="D177" t="s">
        <v>644</v>
      </c>
      <c r="E177" t="s">
        <v>760</v>
      </c>
      <c r="F177" t="s">
        <v>761</v>
      </c>
      <c r="G177" t="s">
        <v>631</v>
      </c>
      <c r="H177" t="s">
        <v>210</v>
      </c>
      <c r="I177" t="s">
        <v>762</v>
      </c>
      <c r="K177" t="s">
        <v>763</v>
      </c>
      <c r="L177" t="s">
        <v>52</v>
      </c>
      <c r="M177">
        <v>2000</v>
      </c>
      <c r="N177">
        <v>0</v>
      </c>
      <c r="O177" t="s">
        <v>126</v>
      </c>
      <c r="P177">
        <v>5285</v>
      </c>
      <c r="Q177" t="s">
        <v>52</v>
      </c>
      <c r="R177" t="s">
        <v>52</v>
      </c>
      <c r="S177" t="s">
        <v>52</v>
      </c>
      <c r="T177" t="s">
        <v>52</v>
      </c>
      <c r="U177" t="s">
        <v>52</v>
      </c>
      <c r="V177" t="s">
        <v>62</v>
      </c>
      <c r="W177" t="s">
        <v>63</v>
      </c>
      <c r="Y177" t="s">
        <v>52</v>
      </c>
      <c r="AB177" t="s">
        <v>764</v>
      </c>
      <c r="AE177" t="s">
        <v>765</v>
      </c>
      <c r="AF177" t="s">
        <v>766</v>
      </c>
      <c r="AG177" t="s">
        <v>767</v>
      </c>
      <c r="AH177">
        <v>0</v>
      </c>
      <c r="AI177">
        <v>0</v>
      </c>
      <c r="AJ177" t="s">
        <v>52</v>
      </c>
      <c r="AK177">
        <v>0</v>
      </c>
      <c r="AL177" t="s">
        <v>52</v>
      </c>
      <c r="AM177" t="s">
        <v>52</v>
      </c>
      <c r="AN177">
        <v>0</v>
      </c>
      <c r="AO177">
        <v>0</v>
      </c>
      <c r="AP177" t="s">
        <v>52</v>
      </c>
      <c r="AQ177" t="s">
        <v>52</v>
      </c>
      <c r="AR177" t="s">
        <v>62</v>
      </c>
      <c r="AS177" t="s">
        <v>52</v>
      </c>
      <c r="AT177" t="s">
        <v>52</v>
      </c>
      <c r="AU177" t="s">
        <v>64</v>
      </c>
      <c r="AV177" t="s">
        <v>62</v>
      </c>
      <c r="AW177" t="s">
        <v>65</v>
      </c>
      <c r="AX177" t="s">
        <v>66</v>
      </c>
      <c r="AY177" t="s">
        <v>654</v>
      </c>
    </row>
    <row r="178" spans="1:51" hidden="1" x14ac:dyDescent="0.25">
      <c r="A178">
        <v>405949</v>
      </c>
      <c r="B178" t="s">
        <v>768</v>
      </c>
      <c r="C178" t="e">
        <f>VLOOKUP(A178,[1]Customer_payment_journal_line!$AL:$BO,30,0)</f>
        <v>#N/A</v>
      </c>
      <c r="D178" t="s">
        <v>644</v>
      </c>
      <c r="E178" t="s">
        <v>760</v>
      </c>
      <c r="F178" t="s">
        <v>761</v>
      </c>
      <c r="G178" t="s">
        <v>631</v>
      </c>
      <c r="H178" t="s">
        <v>69</v>
      </c>
      <c r="I178" t="s">
        <v>769</v>
      </c>
      <c r="J178" t="s">
        <v>770</v>
      </c>
      <c r="K178" t="s">
        <v>763</v>
      </c>
      <c r="L178" t="s">
        <v>52</v>
      </c>
      <c r="M178">
        <v>0</v>
      </c>
      <c r="N178">
        <v>2000</v>
      </c>
      <c r="O178" t="s">
        <v>126</v>
      </c>
      <c r="P178">
        <v>5285</v>
      </c>
      <c r="Q178" t="s">
        <v>52</v>
      </c>
      <c r="R178" t="s">
        <v>52</v>
      </c>
      <c r="S178" t="s">
        <v>52</v>
      </c>
      <c r="T178" t="s">
        <v>52</v>
      </c>
      <c r="U178" t="s">
        <v>52</v>
      </c>
      <c r="V178" t="s">
        <v>62</v>
      </c>
      <c r="W178" t="s">
        <v>52</v>
      </c>
      <c r="Y178" t="s">
        <v>771</v>
      </c>
      <c r="Z178" t="s">
        <v>62</v>
      </c>
      <c r="AB178" t="s">
        <v>764</v>
      </c>
      <c r="AE178" t="s">
        <v>765</v>
      </c>
      <c r="AF178" t="s">
        <v>766</v>
      </c>
      <c r="AG178" t="s">
        <v>767</v>
      </c>
      <c r="AH178">
        <v>0</v>
      </c>
      <c r="AI178">
        <v>0</v>
      </c>
      <c r="AJ178" t="s">
        <v>52</v>
      </c>
      <c r="AK178">
        <v>0</v>
      </c>
      <c r="AL178" t="s">
        <v>52</v>
      </c>
      <c r="AM178" t="s">
        <v>52</v>
      </c>
      <c r="AN178">
        <v>0</v>
      </c>
      <c r="AO178">
        <v>0</v>
      </c>
      <c r="AP178" t="s">
        <v>52</v>
      </c>
      <c r="AQ178" t="s">
        <v>52</v>
      </c>
      <c r="AR178" t="s">
        <v>62</v>
      </c>
      <c r="AS178" t="s">
        <v>52</v>
      </c>
      <c r="AT178" t="s">
        <v>74</v>
      </c>
      <c r="AU178" t="s">
        <v>64</v>
      </c>
      <c r="AV178" t="s">
        <v>62</v>
      </c>
      <c r="AW178" t="s">
        <v>65</v>
      </c>
      <c r="AX178" t="s">
        <v>66</v>
      </c>
      <c r="AY178" t="s">
        <v>654</v>
      </c>
    </row>
    <row r="179" spans="1:51" hidden="1" x14ac:dyDescent="0.25">
      <c r="A179">
        <v>405950</v>
      </c>
      <c r="B179" t="s">
        <v>772</v>
      </c>
      <c r="C179" t="e">
        <f>VLOOKUP(A179,[1]Customer_payment_journal_line!$AL:$BO,30,0)</f>
        <v>#N/A</v>
      </c>
      <c r="D179" t="s">
        <v>644</v>
      </c>
      <c r="E179" t="s">
        <v>773</v>
      </c>
      <c r="F179" t="s">
        <v>774</v>
      </c>
      <c r="G179" t="s">
        <v>631</v>
      </c>
      <c r="H179" t="s">
        <v>210</v>
      </c>
      <c r="I179" t="s">
        <v>775</v>
      </c>
      <c r="K179" t="s">
        <v>763</v>
      </c>
      <c r="L179" t="s">
        <v>52</v>
      </c>
      <c r="M179">
        <v>27816</v>
      </c>
      <c r="N179">
        <v>0</v>
      </c>
      <c r="O179" t="s">
        <v>61</v>
      </c>
      <c r="P179">
        <v>100</v>
      </c>
      <c r="Q179" t="s">
        <v>52</v>
      </c>
      <c r="R179" t="s">
        <v>52</v>
      </c>
      <c r="S179" t="s">
        <v>52</v>
      </c>
      <c r="T179" t="s">
        <v>52</v>
      </c>
      <c r="U179" t="s">
        <v>52</v>
      </c>
      <c r="V179" t="s">
        <v>62</v>
      </c>
      <c r="W179" t="s">
        <v>63</v>
      </c>
      <c r="Y179" t="s">
        <v>52</v>
      </c>
      <c r="AB179" t="s">
        <v>776</v>
      </c>
      <c r="AE179" t="s">
        <v>777</v>
      </c>
      <c r="AF179" t="s">
        <v>632</v>
      </c>
      <c r="AG179" t="s">
        <v>778</v>
      </c>
      <c r="AH179">
        <v>0</v>
      </c>
      <c r="AI179">
        <v>0</v>
      </c>
      <c r="AJ179" t="s">
        <v>52</v>
      </c>
      <c r="AK179">
        <v>0</v>
      </c>
      <c r="AL179" t="s">
        <v>52</v>
      </c>
      <c r="AM179" t="s">
        <v>52</v>
      </c>
      <c r="AN179">
        <v>0</v>
      </c>
      <c r="AO179">
        <v>0</v>
      </c>
      <c r="AP179" t="s">
        <v>52</v>
      </c>
      <c r="AQ179" t="s">
        <v>52</v>
      </c>
      <c r="AR179" t="s">
        <v>62</v>
      </c>
      <c r="AS179" t="s">
        <v>52</v>
      </c>
      <c r="AT179" t="s">
        <v>52</v>
      </c>
      <c r="AU179" t="s">
        <v>64</v>
      </c>
      <c r="AV179" t="s">
        <v>62</v>
      </c>
      <c r="AW179" t="s">
        <v>65</v>
      </c>
      <c r="AX179" t="s">
        <v>66</v>
      </c>
      <c r="AY179" t="s">
        <v>654</v>
      </c>
    </row>
    <row r="180" spans="1:51" hidden="1" x14ac:dyDescent="0.25">
      <c r="A180">
        <v>405950</v>
      </c>
      <c r="B180" t="s">
        <v>779</v>
      </c>
      <c r="C180" t="e">
        <f>VLOOKUP(A180,[1]Customer_payment_journal_line!$AL:$BO,30,0)</f>
        <v>#N/A</v>
      </c>
      <c r="D180" t="s">
        <v>644</v>
      </c>
      <c r="E180" t="s">
        <v>773</v>
      </c>
      <c r="F180" t="s">
        <v>774</v>
      </c>
      <c r="G180" t="s">
        <v>631</v>
      </c>
      <c r="H180" t="s">
        <v>69</v>
      </c>
      <c r="I180" t="s">
        <v>769</v>
      </c>
      <c r="J180" t="s">
        <v>770</v>
      </c>
      <c r="K180" t="s">
        <v>763</v>
      </c>
      <c r="L180" t="s">
        <v>52</v>
      </c>
      <c r="M180">
        <v>0</v>
      </c>
      <c r="N180">
        <v>27816</v>
      </c>
      <c r="O180" t="s">
        <v>61</v>
      </c>
      <c r="P180">
        <v>100</v>
      </c>
      <c r="Q180" t="s">
        <v>52</v>
      </c>
      <c r="R180" t="s">
        <v>52</v>
      </c>
      <c r="S180" t="s">
        <v>52</v>
      </c>
      <c r="T180" t="s">
        <v>52</v>
      </c>
      <c r="U180" t="s">
        <v>52</v>
      </c>
      <c r="V180" t="s">
        <v>62</v>
      </c>
      <c r="W180" t="s">
        <v>52</v>
      </c>
      <c r="Y180" t="s">
        <v>771</v>
      </c>
      <c r="Z180" t="s">
        <v>62</v>
      </c>
      <c r="AB180" t="s">
        <v>776</v>
      </c>
      <c r="AE180" t="s">
        <v>777</v>
      </c>
      <c r="AF180" t="s">
        <v>632</v>
      </c>
      <c r="AG180" t="s">
        <v>778</v>
      </c>
      <c r="AH180">
        <v>0</v>
      </c>
      <c r="AI180">
        <v>0</v>
      </c>
      <c r="AJ180" t="s">
        <v>52</v>
      </c>
      <c r="AK180">
        <v>0</v>
      </c>
      <c r="AL180" t="s">
        <v>52</v>
      </c>
      <c r="AM180" t="s">
        <v>52</v>
      </c>
      <c r="AN180">
        <v>0</v>
      </c>
      <c r="AO180">
        <v>0</v>
      </c>
      <c r="AP180" t="s">
        <v>52</v>
      </c>
      <c r="AQ180" t="s">
        <v>52</v>
      </c>
      <c r="AR180" t="s">
        <v>62</v>
      </c>
      <c r="AS180" t="s">
        <v>52</v>
      </c>
      <c r="AT180" t="s">
        <v>74</v>
      </c>
      <c r="AU180" t="s">
        <v>64</v>
      </c>
      <c r="AV180" t="s">
        <v>62</v>
      </c>
      <c r="AW180" t="s">
        <v>65</v>
      </c>
      <c r="AX180" t="s">
        <v>66</v>
      </c>
      <c r="AY180" t="s">
        <v>654</v>
      </c>
    </row>
    <row r="181" spans="1:51" hidden="1" x14ac:dyDescent="0.25">
      <c r="A181">
        <v>405952</v>
      </c>
      <c r="B181" t="s">
        <v>780</v>
      </c>
      <c r="C181" t="e">
        <f>VLOOKUP(A181,[1]Customer_payment_journal_line!$AL:$BO,30,0)</f>
        <v>#N/A</v>
      </c>
      <c r="D181" t="s">
        <v>644</v>
      </c>
      <c r="E181" t="s">
        <v>781</v>
      </c>
      <c r="F181" t="s">
        <v>782</v>
      </c>
      <c r="G181" t="s">
        <v>631</v>
      </c>
      <c r="H181" t="s">
        <v>69</v>
      </c>
      <c r="I181" t="s">
        <v>769</v>
      </c>
      <c r="J181" t="s">
        <v>770</v>
      </c>
      <c r="K181" t="s">
        <v>783</v>
      </c>
      <c r="L181" t="s">
        <v>52</v>
      </c>
      <c r="M181">
        <v>0</v>
      </c>
      <c r="N181">
        <v>855</v>
      </c>
      <c r="O181" t="s">
        <v>61</v>
      </c>
      <c r="P181">
        <v>100</v>
      </c>
      <c r="Q181" t="s">
        <v>52</v>
      </c>
      <c r="R181" t="s">
        <v>52</v>
      </c>
      <c r="S181" t="s">
        <v>52</v>
      </c>
      <c r="T181" t="s">
        <v>52</v>
      </c>
      <c r="U181" t="s">
        <v>52</v>
      </c>
      <c r="V181" t="s">
        <v>62</v>
      </c>
      <c r="W181" t="s">
        <v>52</v>
      </c>
      <c r="Y181" t="s">
        <v>771</v>
      </c>
      <c r="Z181" t="s">
        <v>62</v>
      </c>
      <c r="AB181" t="s">
        <v>784</v>
      </c>
      <c r="AE181" t="s">
        <v>785</v>
      </c>
      <c r="AF181" t="s">
        <v>632</v>
      </c>
      <c r="AG181" t="s">
        <v>786</v>
      </c>
      <c r="AH181">
        <v>0</v>
      </c>
      <c r="AI181">
        <v>0</v>
      </c>
      <c r="AJ181" t="s">
        <v>52</v>
      </c>
      <c r="AK181">
        <v>0</v>
      </c>
      <c r="AL181" t="s">
        <v>52</v>
      </c>
      <c r="AM181" t="s">
        <v>52</v>
      </c>
      <c r="AN181">
        <v>0</v>
      </c>
      <c r="AO181">
        <v>0</v>
      </c>
      <c r="AP181" t="s">
        <v>52</v>
      </c>
      <c r="AQ181" t="s">
        <v>52</v>
      </c>
      <c r="AR181" t="s">
        <v>62</v>
      </c>
      <c r="AS181" t="s">
        <v>52</v>
      </c>
      <c r="AT181" t="s">
        <v>74</v>
      </c>
      <c r="AU181" t="s">
        <v>64</v>
      </c>
      <c r="AV181" t="s">
        <v>62</v>
      </c>
      <c r="AW181" t="s">
        <v>65</v>
      </c>
      <c r="AX181" t="s">
        <v>66</v>
      </c>
      <c r="AY181" t="s">
        <v>654</v>
      </c>
    </row>
    <row r="182" spans="1:51" hidden="1" x14ac:dyDescent="0.25">
      <c r="A182">
        <v>405952</v>
      </c>
      <c r="B182" t="s">
        <v>787</v>
      </c>
      <c r="C182" t="e">
        <f>VLOOKUP(A182,[1]Customer_payment_journal_line!$AL:$BO,30,0)</f>
        <v>#N/A</v>
      </c>
      <c r="D182" t="s">
        <v>644</v>
      </c>
      <c r="E182" t="s">
        <v>781</v>
      </c>
      <c r="F182" t="s">
        <v>782</v>
      </c>
      <c r="G182" t="s">
        <v>631</v>
      </c>
      <c r="H182" t="s">
        <v>210</v>
      </c>
      <c r="I182" t="s">
        <v>775</v>
      </c>
      <c r="K182" t="s">
        <v>783</v>
      </c>
      <c r="L182" t="s">
        <v>52</v>
      </c>
      <c r="M182">
        <v>3135</v>
      </c>
      <c r="N182">
        <v>0</v>
      </c>
      <c r="O182" t="s">
        <v>61</v>
      </c>
      <c r="P182">
        <v>100</v>
      </c>
      <c r="Q182" t="s">
        <v>52</v>
      </c>
      <c r="R182" t="s">
        <v>52</v>
      </c>
      <c r="S182" t="s">
        <v>52</v>
      </c>
      <c r="T182" t="s">
        <v>52</v>
      </c>
      <c r="U182" t="s">
        <v>52</v>
      </c>
      <c r="V182" t="s">
        <v>62</v>
      </c>
      <c r="W182" t="s">
        <v>63</v>
      </c>
      <c r="Y182" t="s">
        <v>52</v>
      </c>
      <c r="AB182" t="s">
        <v>788</v>
      </c>
      <c r="AE182" t="s">
        <v>789</v>
      </c>
      <c r="AF182" t="s">
        <v>632</v>
      </c>
      <c r="AG182" t="s">
        <v>786</v>
      </c>
      <c r="AH182">
        <v>0</v>
      </c>
      <c r="AI182">
        <v>0</v>
      </c>
      <c r="AJ182" t="s">
        <v>52</v>
      </c>
      <c r="AK182">
        <v>0</v>
      </c>
      <c r="AL182" t="s">
        <v>52</v>
      </c>
      <c r="AM182" t="s">
        <v>52</v>
      </c>
      <c r="AN182">
        <v>0</v>
      </c>
      <c r="AO182">
        <v>0</v>
      </c>
      <c r="AP182" t="s">
        <v>52</v>
      </c>
      <c r="AQ182" t="s">
        <v>52</v>
      </c>
      <c r="AR182" t="s">
        <v>62</v>
      </c>
      <c r="AS182" t="s">
        <v>52</v>
      </c>
      <c r="AT182" t="s">
        <v>52</v>
      </c>
      <c r="AU182" t="s">
        <v>64</v>
      </c>
      <c r="AV182" t="s">
        <v>62</v>
      </c>
      <c r="AW182" t="s">
        <v>65</v>
      </c>
      <c r="AX182" t="s">
        <v>66</v>
      </c>
      <c r="AY182" t="s">
        <v>654</v>
      </c>
    </row>
    <row r="183" spans="1:51" hidden="1" x14ac:dyDescent="0.25">
      <c r="A183">
        <v>405952</v>
      </c>
      <c r="B183" t="s">
        <v>790</v>
      </c>
      <c r="C183" t="e">
        <f>VLOOKUP(A183,[1]Customer_payment_journal_line!$AL:$BO,30,0)</f>
        <v>#N/A</v>
      </c>
      <c r="D183" t="s">
        <v>644</v>
      </c>
      <c r="E183" t="s">
        <v>781</v>
      </c>
      <c r="F183" t="s">
        <v>782</v>
      </c>
      <c r="G183" t="s">
        <v>631</v>
      </c>
      <c r="H183" t="s">
        <v>69</v>
      </c>
      <c r="I183" t="s">
        <v>769</v>
      </c>
      <c r="J183" t="s">
        <v>770</v>
      </c>
      <c r="K183" t="s">
        <v>783</v>
      </c>
      <c r="L183" t="s">
        <v>52</v>
      </c>
      <c r="M183">
        <v>0</v>
      </c>
      <c r="N183">
        <v>2280</v>
      </c>
      <c r="O183" t="s">
        <v>61</v>
      </c>
      <c r="P183">
        <v>100</v>
      </c>
      <c r="Q183" t="s">
        <v>52</v>
      </c>
      <c r="R183" t="s">
        <v>52</v>
      </c>
      <c r="S183" t="s">
        <v>52</v>
      </c>
      <c r="T183" t="s">
        <v>52</v>
      </c>
      <c r="U183" t="s">
        <v>52</v>
      </c>
      <c r="V183" t="s">
        <v>62</v>
      </c>
      <c r="W183" t="s">
        <v>52</v>
      </c>
      <c r="Y183" t="s">
        <v>771</v>
      </c>
      <c r="Z183" t="s">
        <v>62</v>
      </c>
      <c r="AB183" t="s">
        <v>788</v>
      </c>
      <c r="AE183" t="s">
        <v>789</v>
      </c>
      <c r="AF183" t="s">
        <v>632</v>
      </c>
      <c r="AG183" t="s">
        <v>786</v>
      </c>
      <c r="AH183">
        <v>0</v>
      </c>
      <c r="AI183">
        <v>0</v>
      </c>
      <c r="AJ183" t="s">
        <v>52</v>
      </c>
      <c r="AK183">
        <v>0</v>
      </c>
      <c r="AL183" t="s">
        <v>52</v>
      </c>
      <c r="AM183" t="s">
        <v>52</v>
      </c>
      <c r="AN183">
        <v>0</v>
      </c>
      <c r="AO183">
        <v>0</v>
      </c>
      <c r="AP183" t="s">
        <v>52</v>
      </c>
      <c r="AQ183" t="s">
        <v>52</v>
      </c>
      <c r="AR183" t="s">
        <v>62</v>
      </c>
      <c r="AS183" t="s">
        <v>52</v>
      </c>
      <c r="AT183" t="s">
        <v>74</v>
      </c>
      <c r="AU183" t="s">
        <v>64</v>
      </c>
      <c r="AV183" t="s">
        <v>62</v>
      </c>
      <c r="AW183" t="s">
        <v>65</v>
      </c>
      <c r="AX183" t="s">
        <v>66</v>
      </c>
      <c r="AY183" t="s">
        <v>654</v>
      </c>
    </row>
    <row r="184" spans="1:51" hidden="1" x14ac:dyDescent="0.25">
      <c r="A184">
        <v>202296</v>
      </c>
      <c r="B184" t="s">
        <v>791</v>
      </c>
      <c r="C184" t="e">
        <f>VLOOKUP(A184,[1]Customer_payment_journal_line!$AL:$BO,30,0)</f>
        <v>#N/A</v>
      </c>
      <c r="D184" t="s">
        <v>53</v>
      </c>
      <c r="E184" t="s">
        <v>792</v>
      </c>
      <c r="F184" t="s">
        <v>793</v>
      </c>
      <c r="G184" t="s">
        <v>631</v>
      </c>
      <c r="H184" t="s">
        <v>57</v>
      </c>
      <c r="I184" t="s">
        <v>319</v>
      </c>
      <c r="J184" t="s">
        <v>794</v>
      </c>
      <c r="K184" t="s">
        <v>795</v>
      </c>
      <c r="L184" t="s">
        <v>52</v>
      </c>
      <c r="M184">
        <v>13605.9</v>
      </c>
      <c r="N184">
        <v>0</v>
      </c>
      <c r="O184" t="s">
        <v>61</v>
      </c>
      <c r="P184">
        <v>100</v>
      </c>
      <c r="Q184" t="s">
        <v>52</v>
      </c>
      <c r="R184" t="s">
        <v>52</v>
      </c>
      <c r="S184" t="s">
        <v>52</v>
      </c>
      <c r="T184" t="s">
        <v>52</v>
      </c>
      <c r="U184" t="s">
        <v>52</v>
      </c>
      <c r="V184" t="s">
        <v>62</v>
      </c>
      <c r="W184" t="s">
        <v>63</v>
      </c>
      <c r="Y184" t="s">
        <v>52</v>
      </c>
      <c r="AB184" t="s">
        <v>52</v>
      </c>
      <c r="AE184" t="s">
        <v>52</v>
      </c>
      <c r="AF184" t="s">
        <v>52</v>
      </c>
      <c r="AH184">
        <v>0</v>
      </c>
      <c r="AI184">
        <v>0</v>
      </c>
      <c r="AJ184" t="s">
        <v>52</v>
      </c>
      <c r="AK184">
        <v>0</v>
      </c>
      <c r="AL184" t="s">
        <v>52</v>
      </c>
      <c r="AM184" t="s">
        <v>52</v>
      </c>
      <c r="AN184">
        <v>0</v>
      </c>
      <c r="AO184">
        <v>0</v>
      </c>
      <c r="AP184" t="s">
        <v>52</v>
      </c>
      <c r="AQ184" t="s">
        <v>52</v>
      </c>
      <c r="AR184" t="s">
        <v>62</v>
      </c>
      <c r="AS184" t="s">
        <v>52</v>
      </c>
      <c r="AT184" t="s">
        <v>52</v>
      </c>
      <c r="AU184" t="s">
        <v>64</v>
      </c>
      <c r="AV184" t="s">
        <v>62</v>
      </c>
      <c r="AW184" t="s">
        <v>65</v>
      </c>
      <c r="AX184" t="s">
        <v>66</v>
      </c>
      <c r="AY184" t="s">
        <v>67</v>
      </c>
    </row>
    <row r="185" spans="1:51" hidden="1" x14ac:dyDescent="0.25">
      <c r="A185">
        <v>202296</v>
      </c>
      <c r="B185" t="s">
        <v>796</v>
      </c>
      <c r="C185" t="e">
        <f>VLOOKUP(A185,[1]Customer_payment_journal_line!$AL:$BO,30,0)</f>
        <v>#N/A</v>
      </c>
      <c r="D185" t="s">
        <v>53</v>
      </c>
      <c r="E185" t="s">
        <v>792</v>
      </c>
      <c r="F185" t="s">
        <v>793</v>
      </c>
      <c r="G185" t="s">
        <v>631</v>
      </c>
      <c r="H185" t="s">
        <v>69</v>
      </c>
      <c r="I185" t="s">
        <v>797</v>
      </c>
      <c r="J185" t="s">
        <v>794</v>
      </c>
      <c r="K185" t="s">
        <v>795</v>
      </c>
      <c r="L185" t="s">
        <v>52</v>
      </c>
      <c r="M185">
        <v>0</v>
      </c>
      <c r="N185">
        <v>13605.9</v>
      </c>
      <c r="O185" t="s">
        <v>61</v>
      </c>
      <c r="P185">
        <v>100</v>
      </c>
      <c r="Q185" t="s">
        <v>52</v>
      </c>
      <c r="R185" t="s">
        <v>52</v>
      </c>
      <c r="S185" t="s">
        <v>52</v>
      </c>
      <c r="T185" t="s">
        <v>52</v>
      </c>
      <c r="U185" t="s">
        <v>52</v>
      </c>
      <c r="V185" t="s">
        <v>62</v>
      </c>
      <c r="W185" t="s">
        <v>52</v>
      </c>
      <c r="Y185" t="s">
        <v>798</v>
      </c>
      <c r="Z185" t="s">
        <v>62</v>
      </c>
      <c r="AB185" t="s">
        <v>799</v>
      </c>
      <c r="AE185" t="s">
        <v>800</v>
      </c>
      <c r="AF185" t="s">
        <v>52</v>
      </c>
      <c r="AH185">
        <v>0</v>
      </c>
      <c r="AI185">
        <v>0</v>
      </c>
      <c r="AJ185" t="s">
        <v>52</v>
      </c>
      <c r="AK185">
        <v>0</v>
      </c>
      <c r="AL185" t="s">
        <v>52</v>
      </c>
      <c r="AM185" t="s">
        <v>52</v>
      </c>
      <c r="AN185">
        <v>0</v>
      </c>
      <c r="AO185">
        <v>0</v>
      </c>
      <c r="AP185" t="s">
        <v>52</v>
      </c>
      <c r="AQ185" t="s">
        <v>52</v>
      </c>
      <c r="AR185" t="s">
        <v>62</v>
      </c>
      <c r="AS185" t="s">
        <v>52</v>
      </c>
      <c r="AT185" t="s">
        <v>74</v>
      </c>
      <c r="AU185" t="s">
        <v>64</v>
      </c>
      <c r="AV185" t="s">
        <v>62</v>
      </c>
      <c r="AW185" t="s">
        <v>65</v>
      </c>
      <c r="AX185" t="s">
        <v>66</v>
      </c>
      <c r="AY185" t="s">
        <v>67</v>
      </c>
    </row>
    <row r="186" spans="1:51" hidden="1" x14ac:dyDescent="0.25">
      <c r="A186">
        <v>202297</v>
      </c>
      <c r="B186" t="s">
        <v>801</v>
      </c>
      <c r="C186" t="e">
        <f>VLOOKUP(A186,[1]Customer_payment_journal_line!$AL:$BO,30,0)</f>
        <v>#N/A</v>
      </c>
      <c r="D186" t="s">
        <v>53</v>
      </c>
      <c r="E186" t="s">
        <v>802</v>
      </c>
      <c r="F186" t="s">
        <v>803</v>
      </c>
      <c r="G186" t="s">
        <v>631</v>
      </c>
      <c r="H186" t="s">
        <v>57</v>
      </c>
      <c r="I186" t="s">
        <v>319</v>
      </c>
      <c r="J186" t="s">
        <v>794</v>
      </c>
      <c r="K186" t="s">
        <v>795</v>
      </c>
      <c r="L186" t="s">
        <v>52</v>
      </c>
      <c r="M186">
        <v>855</v>
      </c>
      <c r="N186">
        <v>0</v>
      </c>
      <c r="O186" t="s">
        <v>61</v>
      </c>
      <c r="P186">
        <v>100</v>
      </c>
      <c r="Q186" t="s">
        <v>52</v>
      </c>
      <c r="R186" t="s">
        <v>52</v>
      </c>
      <c r="S186" t="s">
        <v>52</v>
      </c>
      <c r="T186" t="s">
        <v>52</v>
      </c>
      <c r="U186" t="s">
        <v>52</v>
      </c>
      <c r="V186" t="s">
        <v>62</v>
      </c>
      <c r="W186" t="s">
        <v>63</v>
      </c>
      <c r="Y186" t="s">
        <v>52</v>
      </c>
      <c r="AB186" t="s">
        <v>52</v>
      </c>
      <c r="AE186" t="s">
        <v>52</v>
      </c>
      <c r="AF186" t="s">
        <v>52</v>
      </c>
      <c r="AH186">
        <v>0</v>
      </c>
      <c r="AI186">
        <v>0</v>
      </c>
      <c r="AJ186" t="s">
        <v>52</v>
      </c>
      <c r="AK186">
        <v>0</v>
      </c>
      <c r="AL186" t="s">
        <v>52</v>
      </c>
      <c r="AM186" t="s">
        <v>52</v>
      </c>
      <c r="AN186">
        <v>0</v>
      </c>
      <c r="AO186">
        <v>0</v>
      </c>
      <c r="AP186" t="s">
        <v>52</v>
      </c>
      <c r="AQ186" t="s">
        <v>52</v>
      </c>
      <c r="AR186" t="s">
        <v>62</v>
      </c>
      <c r="AS186" t="s">
        <v>52</v>
      </c>
      <c r="AT186" t="s">
        <v>52</v>
      </c>
      <c r="AU186" t="s">
        <v>64</v>
      </c>
      <c r="AV186" t="s">
        <v>62</v>
      </c>
      <c r="AW186" t="s">
        <v>65</v>
      </c>
      <c r="AX186" t="s">
        <v>66</v>
      </c>
      <c r="AY186" t="s">
        <v>67</v>
      </c>
    </row>
    <row r="187" spans="1:51" hidden="1" x14ac:dyDescent="0.25">
      <c r="A187">
        <v>202297</v>
      </c>
      <c r="B187" t="s">
        <v>804</v>
      </c>
      <c r="C187" t="e">
        <f>VLOOKUP(A187,[1]Customer_payment_journal_line!$AL:$BO,30,0)</f>
        <v>#N/A</v>
      </c>
      <c r="D187" t="s">
        <v>53</v>
      </c>
      <c r="E187" t="s">
        <v>802</v>
      </c>
      <c r="F187" t="s">
        <v>803</v>
      </c>
      <c r="G187" t="s">
        <v>631</v>
      </c>
      <c r="H187" t="s">
        <v>69</v>
      </c>
      <c r="I187" t="s">
        <v>797</v>
      </c>
      <c r="J187" t="s">
        <v>794</v>
      </c>
      <c r="K187" t="s">
        <v>795</v>
      </c>
      <c r="L187" t="s">
        <v>52</v>
      </c>
      <c r="M187">
        <v>0</v>
      </c>
      <c r="N187">
        <v>855</v>
      </c>
      <c r="O187" t="s">
        <v>61</v>
      </c>
      <c r="P187">
        <v>100</v>
      </c>
      <c r="Q187" t="s">
        <v>52</v>
      </c>
      <c r="R187" t="s">
        <v>52</v>
      </c>
      <c r="S187" t="s">
        <v>52</v>
      </c>
      <c r="T187" t="s">
        <v>52</v>
      </c>
      <c r="U187" t="s">
        <v>52</v>
      </c>
      <c r="V187" t="s">
        <v>62</v>
      </c>
      <c r="W187" t="s">
        <v>52</v>
      </c>
      <c r="Y187" t="s">
        <v>798</v>
      </c>
      <c r="Z187" t="s">
        <v>62</v>
      </c>
      <c r="AB187" t="s">
        <v>805</v>
      </c>
      <c r="AE187" t="s">
        <v>806</v>
      </c>
      <c r="AF187" t="s">
        <v>52</v>
      </c>
      <c r="AH187">
        <v>0</v>
      </c>
      <c r="AI187">
        <v>0</v>
      </c>
      <c r="AJ187" t="s">
        <v>52</v>
      </c>
      <c r="AK187">
        <v>0</v>
      </c>
      <c r="AL187" t="s">
        <v>52</v>
      </c>
      <c r="AM187" t="s">
        <v>52</v>
      </c>
      <c r="AN187">
        <v>0</v>
      </c>
      <c r="AO187">
        <v>0</v>
      </c>
      <c r="AP187" t="s">
        <v>52</v>
      </c>
      <c r="AQ187" t="s">
        <v>52</v>
      </c>
      <c r="AR187" t="s">
        <v>62</v>
      </c>
      <c r="AS187" t="s">
        <v>52</v>
      </c>
      <c r="AT187" t="s">
        <v>74</v>
      </c>
      <c r="AU187" t="s">
        <v>64</v>
      </c>
      <c r="AV187" t="s">
        <v>62</v>
      </c>
      <c r="AW187" t="s">
        <v>65</v>
      </c>
      <c r="AX187" t="s">
        <v>66</v>
      </c>
      <c r="AY187" t="s">
        <v>67</v>
      </c>
    </row>
    <row r="188" spans="1:51" hidden="1" x14ac:dyDescent="0.25">
      <c r="A188">
        <v>202298</v>
      </c>
      <c r="B188" t="s">
        <v>807</v>
      </c>
      <c r="C188" t="e">
        <f>VLOOKUP(A188,[1]Customer_payment_journal_line!$AL:$BO,30,0)</f>
        <v>#N/A</v>
      </c>
      <c r="D188" t="s">
        <v>53</v>
      </c>
      <c r="E188" t="s">
        <v>808</v>
      </c>
      <c r="F188" t="s">
        <v>809</v>
      </c>
      <c r="G188" t="s">
        <v>631</v>
      </c>
      <c r="H188" t="s">
        <v>57</v>
      </c>
      <c r="I188" t="s">
        <v>698</v>
      </c>
      <c r="J188" t="s">
        <v>794</v>
      </c>
      <c r="K188" t="s">
        <v>795</v>
      </c>
      <c r="L188" t="s">
        <v>52</v>
      </c>
      <c r="M188">
        <v>203.52</v>
      </c>
      <c r="N188">
        <v>0</v>
      </c>
      <c r="O188" t="s">
        <v>178</v>
      </c>
      <c r="P188">
        <v>5085</v>
      </c>
      <c r="Q188" t="s">
        <v>52</v>
      </c>
      <c r="R188" t="s">
        <v>52</v>
      </c>
      <c r="S188" t="s">
        <v>52</v>
      </c>
      <c r="T188" t="s">
        <v>52</v>
      </c>
      <c r="U188" t="s">
        <v>52</v>
      </c>
      <c r="V188" t="s">
        <v>62</v>
      </c>
      <c r="W188" t="s">
        <v>63</v>
      </c>
      <c r="Y188" t="s">
        <v>52</v>
      </c>
      <c r="AB188" t="s">
        <v>52</v>
      </c>
      <c r="AE188" t="s">
        <v>52</v>
      </c>
      <c r="AF188" t="s">
        <v>52</v>
      </c>
      <c r="AH188">
        <v>0</v>
      </c>
      <c r="AI188">
        <v>0</v>
      </c>
      <c r="AJ188" t="s">
        <v>52</v>
      </c>
      <c r="AK188">
        <v>0</v>
      </c>
      <c r="AL188" t="s">
        <v>52</v>
      </c>
      <c r="AM188" t="s">
        <v>52</v>
      </c>
      <c r="AN188">
        <v>0</v>
      </c>
      <c r="AO188">
        <v>0</v>
      </c>
      <c r="AP188" t="s">
        <v>52</v>
      </c>
      <c r="AQ188" t="s">
        <v>52</v>
      </c>
      <c r="AR188" t="s">
        <v>62</v>
      </c>
      <c r="AS188" t="s">
        <v>52</v>
      </c>
      <c r="AT188" t="s">
        <v>52</v>
      </c>
      <c r="AU188" t="s">
        <v>64</v>
      </c>
      <c r="AV188" t="s">
        <v>62</v>
      </c>
      <c r="AW188" t="s">
        <v>65</v>
      </c>
      <c r="AX188" t="s">
        <v>66</v>
      </c>
      <c r="AY188" t="s">
        <v>67</v>
      </c>
    </row>
    <row r="189" spans="1:51" hidden="1" x14ac:dyDescent="0.25">
      <c r="A189">
        <v>202298</v>
      </c>
      <c r="B189" t="s">
        <v>810</v>
      </c>
      <c r="C189" t="e">
        <f>VLOOKUP(A189,[1]Customer_payment_journal_line!$AL:$BO,30,0)</f>
        <v>#N/A</v>
      </c>
      <c r="D189" t="s">
        <v>53</v>
      </c>
      <c r="E189" t="s">
        <v>808</v>
      </c>
      <c r="F189" t="s">
        <v>809</v>
      </c>
      <c r="G189" t="s">
        <v>631</v>
      </c>
      <c r="H189" t="s">
        <v>69</v>
      </c>
      <c r="I189" t="s">
        <v>797</v>
      </c>
      <c r="J189" t="s">
        <v>794</v>
      </c>
      <c r="K189" t="s">
        <v>795</v>
      </c>
      <c r="L189" t="s">
        <v>52</v>
      </c>
      <c r="M189">
        <v>0</v>
      </c>
      <c r="N189">
        <v>203.52</v>
      </c>
      <c r="O189" t="s">
        <v>178</v>
      </c>
      <c r="P189">
        <v>5085</v>
      </c>
      <c r="Q189" t="s">
        <v>52</v>
      </c>
      <c r="R189" t="s">
        <v>52</v>
      </c>
      <c r="S189" t="s">
        <v>52</v>
      </c>
      <c r="T189" t="s">
        <v>52</v>
      </c>
      <c r="U189" t="s">
        <v>52</v>
      </c>
      <c r="V189" t="s">
        <v>62</v>
      </c>
      <c r="W189" t="s">
        <v>52</v>
      </c>
      <c r="Y189" t="s">
        <v>798</v>
      </c>
      <c r="Z189" t="s">
        <v>62</v>
      </c>
      <c r="AB189" t="s">
        <v>811</v>
      </c>
      <c r="AE189" t="s">
        <v>812</v>
      </c>
      <c r="AF189" t="s">
        <v>52</v>
      </c>
      <c r="AH189">
        <v>0</v>
      </c>
      <c r="AI189">
        <v>0</v>
      </c>
      <c r="AJ189" t="s">
        <v>52</v>
      </c>
      <c r="AK189">
        <v>0</v>
      </c>
      <c r="AL189" t="s">
        <v>52</v>
      </c>
      <c r="AM189" t="s">
        <v>52</v>
      </c>
      <c r="AN189">
        <v>0</v>
      </c>
      <c r="AO189">
        <v>0</v>
      </c>
      <c r="AP189" t="s">
        <v>52</v>
      </c>
      <c r="AQ189" t="s">
        <v>52</v>
      </c>
      <c r="AR189" t="s">
        <v>62</v>
      </c>
      <c r="AS189" t="s">
        <v>52</v>
      </c>
      <c r="AT189" t="s">
        <v>74</v>
      </c>
      <c r="AU189" t="s">
        <v>64</v>
      </c>
      <c r="AV189" t="s">
        <v>62</v>
      </c>
      <c r="AW189" t="s">
        <v>65</v>
      </c>
      <c r="AX189" t="s">
        <v>66</v>
      </c>
      <c r="AY189" t="s">
        <v>67</v>
      </c>
    </row>
    <row r="190" spans="1:51" hidden="1" x14ac:dyDescent="0.25">
      <c r="A190">
        <v>317130</v>
      </c>
      <c r="B190" t="s">
        <v>813</v>
      </c>
      <c r="C190" t="e">
        <f>VLOOKUP(A190,[1]Customer_payment_journal_line!$AL:$BO,30,0)</f>
        <v>#N/A</v>
      </c>
      <c r="D190" t="s">
        <v>159</v>
      </c>
      <c r="E190" t="s">
        <v>814</v>
      </c>
      <c r="F190" t="s">
        <v>815</v>
      </c>
      <c r="G190" t="s">
        <v>631</v>
      </c>
      <c r="H190" t="s">
        <v>80</v>
      </c>
      <c r="I190" t="s">
        <v>816</v>
      </c>
      <c r="J190" t="s">
        <v>202</v>
      </c>
      <c r="K190" t="s">
        <v>634</v>
      </c>
      <c r="L190" t="s">
        <v>52</v>
      </c>
      <c r="M190">
        <v>265</v>
      </c>
      <c r="N190">
        <v>0</v>
      </c>
      <c r="O190" t="s">
        <v>178</v>
      </c>
      <c r="P190">
        <v>5085</v>
      </c>
      <c r="Q190" t="s">
        <v>52</v>
      </c>
      <c r="R190" t="s">
        <v>52</v>
      </c>
      <c r="S190" t="s">
        <v>52</v>
      </c>
      <c r="T190" t="s">
        <v>52</v>
      </c>
      <c r="U190" t="s">
        <v>52</v>
      </c>
      <c r="V190" t="s">
        <v>62</v>
      </c>
      <c r="W190" t="s">
        <v>52</v>
      </c>
      <c r="Y190" t="s">
        <v>52</v>
      </c>
      <c r="AB190" t="s">
        <v>817</v>
      </c>
      <c r="AE190" t="s">
        <v>817</v>
      </c>
      <c r="AF190" t="s">
        <v>52</v>
      </c>
      <c r="AH190">
        <v>0</v>
      </c>
      <c r="AI190">
        <v>0</v>
      </c>
      <c r="AJ190" t="s">
        <v>52</v>
      </c>
      <c r="AK190">
        <v>0</v>
      </c>
      <c r="AL190" t="s">
        <v>52</v>
      </c>
      <c r="AM190" t="s">
        <v>52</v>
      </c>
      <c r="AN190">
        <v>0</v>
      </c>
      <c r="AO190">
        <v>0</v>
      </c>
      <c r="AP190" t="s">
        <v>52</v>
      </c>
      <c r="AQ190" t="s">
        <v>52</v>
      </c>
      <c r="AR190" t="s">
        <v>62</v>
      </c>
      <c r="AS190" t="s">
        <v>52</v>
      </c>
      <c r="AT190" t="s">
        <v>52</v>
      </c>
      <c r="AU190" t="s">
        <v>64</v>
      </c>
      <c r="AV190" t="s">
        <v>62</v>
      </c>
      <c r="AW190" t="s">
        <v>65</v>
      </c>
      <c r="AX190" t="s">
        <v>66</v>
      </c>
      <c r="AY190" t="s">
        <v>165</v>
      </c>
    </row>
    <row r="191" spans="1:51" hidden="1" x14ac:dyDescent="0.25">
      <c r="A191">
        <v>317130</v>
      </c>
      <c r="B191" t="s">
        <v>818</v>
      </c>
      <c r="C191" t="e">
        <f>VLOOKUP(A191,[1]Customer_payment_journal_line!$AL:$BO,30,0)</f>
        <v>#N/A</v>
      </c>
      <c r="D191" t="s">
        <v>159</v>
      </c>
      <c r="E191" t="s">
        <v>814</v>
      </c>
      <c r="F191" t="s">
        <v>815</v>
      </c>
      <c r="G191" t="s">
        <v>631</v>
      </c>
      <c r="H191" t="s">
        <v>69</v>
      </c>
      <c r="I191" t="s">
        <v>636</v>
      </c>
      <c r="J191" t="s">
        <v>819</v>
      </c>
      <c r="K191" t="s">
        <v>634</v>
      </c>
      <c r="L191" t="s">
        <v>52</v>
      </c>
      <c r="M191">
        <v>0</v>
      </c>
      <c r="N191">
        <v>250</v>
      </c>
      <c r="O191" t="s">
        <v>126</v>
      </c>
      <c r="P191">
        <v>5285</v>
      </c>
      <c r="Q191" t="s">
        <v>52</v>
      </c>
      <c r="R191" t="s">
        <v>52</v>
      </c>
      <c r="S191" t="s">
        <v>52</v>
      </c>
      <c r="T191" t="s">
        <v>52</v>
      </c>
      <c r="U191" t="s">
        <v>52</v>
      </c>
      <c r="V191" t="s">
        <v>62</v>
      </c>
      <c r="W191" t="s">
        <v>52</v>
      </c>
      <c r="Y191" t="s">
        <v>637</v>
      </c>
      <c r="Z191" t="s">
        <v>62</v>
      </c>
      <c r="AB191" t="s">
        <v>817</v>
      </c>
      <c r="AE191" t="s">
        <v>817</v>
      </c>
      <c r="AF191" t="s">
        <v>52</v>
      </c>
      <c r="AH191">
        <v>0</v>
      </c>
      <c r="AI191">
        <v>0</v>
      </c>
      <c r="AJ191" t="s">
        <v>52</v>
      </c>
      <c r="AK191">
        <v>0</v>
      </c>
      <c r="AL191" t="s">
        <v>52</v>
      </c>
      <c r="AM191" t="s">
        <v>52</v>
      </c>
      <c r="AN191">
        <v>0</v>
      </c>
      <c r="AO191">
        <v>0</v>
      </c>
      <c r="AP191" t="s">
        <v>52</v>
      </c>
      <c r="AQ191" t="s">
        <v>52</v>
      </c>
      <c r="AR191" t="s">
        <v>62</v>
      </c>
      <c r="AS191" t="s">
        <v>52</v>
      </c>
      <c r="AT191" t="s">
        <v>74</v>
      </c>
      <c r="AU191" t="s">
        <v>64</v>
      </c>
      <c r="AV191" t="s">
        <v>62</v>
      </c>
      <c r="AW191" t="s">
        <v>65</v>
      </c>
      <c r="AX191" t="s">
        <v>66</v>
      </c>
      <c r="AY191" t="s">
        <v>165</v>
      </c>
    </row>
    <row r="192" spans="1:51" hidden="1" x14ac:dyDescent="0.25">
      <c r="A192">
        <v>317130</v>
      </c>
      <c r="B192" t="s">
        <v>820</v>
      </c>
      <c r="C192" t="e">
        <f>VLOOKUP(A192,[1]Customer_payment_journal_line!$AL:$BO,30,0)</f>
        <v>#N/A</v>
      </c>
      <c r="D192" t="s">
        <v>159</v>
      </c>
      <c r="E192" t="s">
        <v>814</v>
      </c>
      <c r="F192" t="s">
        <v>815</v>
      </c>
      <c r="G192" t="s">
        <v>631</v>
      </c>
      <c r="H192" t="s">
        <v>210</v>
      </c>
      <c r="I192" t="s">
        <v>821</v>
      </c>
      <c r="J192" t="s">
        <v>52</v>
      </c>
      <c r="K192" t="s">
        <v>634</v>
      </c>
      <c r="L192" t="s">
        <v>52</v>
      </c>
      <c r="M192">
        <v>0</v>
      </c>
      <c r="N192">
        <v>262.75</v>
      </c>
      <c r="O192" t="s">
        <v>61</v>
      </c>
      <c r="P192">
        <v>100</v>
      </c>
      <c r="Q192" t="s">
        <v>52</v>
      </c>
      <c r="R192" t="s">
        <v>52</v>
      </c>
      <c r="S192" t="s">
        <v>52</v>
      </c>
      <c r="T192" t="s">
        <v>52</v>
      </c>
      <c r="U192" t="s">
        <v>52</v>
      </c>
      <c r="V192" t="s">
        <v>62</v>
      </c>
      <c r="W192" t="s">
        <v>63</v>
      </c>
      <c r="Y192" t="s">
        <v>637</v>
      </c>
      <c r="AB192" t="s">
        <v>817</v>
      </c>
      <c r="AE192" t="s">
        <v>817</v>
      </c>
      <c r="AF192" t="s">
        <v>52</v>
      </c>
      <c r="AH192">
        <v>0</v>
      </c>
      <c r="AI192">
        <v>0</v>
      </c>
      <c r="AJ192" t="s">
        <v>52</v>
      </c>
      <c r="AK192">
        <v>0</v>
      </c>
      <c r="AL192" t="s">
        <v>52</v>
      </c>
      <c r="AM192" t="s">
        <v>52</v>
      </c>
      <c r="AN192">
        <v>0</v>
      </c>
      <c r="AO192">
        <v>0</v>
      </c>
      <c r="AP192" t="s">
        <v>52</v>
      </c>
      <c r="AQ192" t="s">
        <v>52</v>
      </c>
      <c r="AR192" t="s">
        <v>62</v>
      </c>
      <c r="AS192" t="s">
        <v>52</v>
      </c>
      <c r="AT192" t="s">
        <v>52</v>
      </c>
      <c r="AU192" t="s">
        <v>64</v>
      </c>
      <c r="AV192" t="s">
        <v>62</v>
      </c>
      <c r="AW192" t="s">
        <v>65</v>
      </c>
      <c r="AX192" t="s">
        <v>66</v>
      </c>
      <c r="AY192" t="s">
        <v>165</v>
      </c>
    </row>
    <row r="193" spans="1:51" hidden="1" x14ac:dyDescent="0.25">
      <c r="A193">
        <v>202328</v>
      </c>
      <c r="B193" t="s">
        <v>822</v>
      </c>
      <c r="C193" t="e">
        <f>VLOOKUP(A193,[1]Customer_payment_journal_line!$AL:$BO,30,0)</f>
        <v>#N/A</v>
      </c>
      <c r="D193" t="s">
        <v>53</v>
      </c>
      <c r="E193" t="s">
        <v>823</v>
      </c>
      <c r="F193" t="s">
        <v>824</v>
      </c>
      <c r="G193" t="s">
        <v>631</v>
      </c>
      <c r="H193" t="s">
        <v>57</v>
      </c>
      <c r="I193" t="s">
        <v>319</v>
      </c>
      <c r="J193" t="s">
        <v>825</v>
      </c>
      <c r="K193" t="s">
        <v>826</v>
      </c>
      <c r="L193" t="s">
        <v>52</v>
      </c>
      <c r="M193">
        <v>8151</v>
      </c>
      <c r="N193">
        <v>0</v>
      </c>
      <c r="O193" t="s">
        <v>61</v>
      </c>
      <c r="P193">
        <v>100</v>
      </c>
      <c r="Q193" t="s">
        <v>52</v>
      </c>
      <c r="R193" t="s">
        <v>52</v>
      </c>
      <c r="S193" t="s">
        <v>52</v>
      </c>
      <c r="T193" t="s">
        <v>52</v>
      </c>
      <c r="U193" t="s">
        <v>52</v>
      </c>
      <c r="V193" t="s">
        <v>62</v>
      </c>
      <c r="W193" t="s">
        <v>63</v>
      </c>
      <c r="Y193" t="s">
        <v>52</v>
      </c>
      <c r="AB193" t="s">
        <v>52</v>
      </c>
      <c r="AE193" t="s">
        <v>52</v>
      </c>
      <c r="AF193" t="s">
        <v>52</v>
      </c>
      <c r="AH193">
        <v>0</v>
      </c>
      <c r="AI193">
        <v>0</v>
      </c>
      <c r="AJ193" t="s">
        <v>52</v>
      </c>
      <c r="AK193">
        <v>0</v>
      </c>
      <c r="AL193" t="s">
        <v>52</v>
      </c>
      <c r="AM193" t="s">
        <v>52</v>
      </c>
      <c r="AN193">
        <v>0</v>
      </c>
      <c r="AO193">
        <v>0</v>
      </c>
      <c r="AP193" t="s">
        <v>52</v>
      </c>
      <c r="AQ193" t="s">
        <v>52</v>
      </c>
      <c r="AR193" t="s">
        <v>62</v>
      </c>
      <c r="AS193" t="s">
        <v>52</v>
      </c>
      <c r="AT193" t="s">
        <v>52</v>
      </c>
      <c r="AU193" t="s">
        <v>64</v>
      </c>
      <c r="AV193" t="s">
        <v>62</v>
      </c>
      <c r="AW193" t="s">
        <v>65</v>
      </c>
      <c r="AX193" t="s">
        <v>66</v>
      </c>
      <c r="AY193" t="s">
        <v>67</v>
      </c>
    </row>
    <row r="194" spans="1:51" hidden="1" x14ac:dyDescent="0.25">
      <c r="A194">
        <v>202328</v>
      </c>
      <c r="B194" t="s">
        <v>827</v>
      </c>
      <c r="C194" t="e">
        <f>VLOOKUP(A194,[1]Customer_payment_journal_line!$AL:$BO,30,0)</f>
        <v>#N/A</v>
      </c>
      <c r="D194" t="s">
        <v>53</v>
      </c>
      <c r="E194" t="s">
        <v>823</v>
      </c>
      <c r="F194" t="s">
        <v>824</v>
      </c>
      <c r="G194" t="s">
        <v>631</v>
      </c>
      <c r="H194" t="s">
        <v>69</v>
      </c>
      <c r="I194" t="s">
        <v>737</v>
      </c>
      <c r="J194" t="s">
        <v>825</v>
      </c>
      <c r="K194" t="s">
        <v>826</v>
      </c>
      <c r="L194" t="s">
        <v>52</v>
      </c>
      <c r="M194">
        <v>0</v>
      </c>
      <c r="N194">
        <v>8151</v>
      </c>
      <c r="O194" t="s">
        <v>61</v>
      </c>
      <c r="P194">
        <v>100</v>
      </c>
      <c r="Q194" t="s">
        <v>52</v>
      </c>
      <c r="R194" t="s">
        <v>52</v>
      </c>
      <c r="S194" t="s">
        <v>52</v>
      </c>
      <c r="T194" t="s">
        <v>52</v>
      </c>
      <c r="U194" t="s">
        <v>52</v>
      </c>
      <c r="V194" t="s">
        <v>62</v>
      </c>
      <c r="W194" t="s">
        <v>52</v>
      </c>
      <c r="Y194" t="s">
        <v>738</v>
      </c>
      <c r="Z194" t="s">
        <v>62</v>
      </c>
      <c r="AB194" t="s">
        <v>828</v>
      </c>
      <c r="AE194" t="s">
        <v>829</v>
      </c>
      <c r="AF194" t="s">
        <v>52</v>
      </c>
      <c r="AH194">
        <v>0</v>
      </c>
      <c r="AI194">
        <v>0</v>
      </c>
      <c r="AJ194" t="s">
        <v>52</v>
      </c>
      <c r="AK194">
        <v>0</v>
      </c>
      <c r="AL194" t="s">
        <v>52</v>
      </c>
      <c r="AM194" t="s">
        <v>52</v>
      </c>
      <c r="AN194">
        <v>0</v>
      </c>
      <c r="AO194">
        <v>0</v>
      </c>
      <c r="AP194" t="s">
        <v>52</v>
      </c>
      <c r="AQ194" t="s">
        <v>52</v>
      </c>
      <c r="AR194" t="s">
        <v>62</v>
      </c>
      <c r="AS194" t="s">
        <v>52</v>
      </c>
      <c r="AT194" t="s">
        <v>74</v>
      </c>
      <c r="AU194" t="s">
        <v>64</v>
      </c>
      <c r="AV194" t="s">
        <v>62</v>
      </c>
      <c r="AW194" t="s">
        <v>65</v>
      </c>
      <c r="AX194" t="s">
        <v>66</v>
      </c>
      <c r="AY194" t="s">
        <v>67</v>
      </c>
    </row>
    <row r="195" spans="1:51" hidden="1" x14ac:dyDescent="0.25">
      <c r="A195">
        <v>202329</v>
      </c>
      <c r="B195" t="s">
        <v>830</v>
      </c>
      <c r="C195" t="e">
        <f>VLOOKUP(A195,[1]Customer_payment_journal_line!$AL:$BO,30,0)</f>
        <v>#N/A</v>
      </c>
      <c r="D195" t="s">
        <v>53</v>
      </c>
      <c r="E195" t="s">
        <v>831</v>
      </c>
      <c r="F195" t="s">
        <v>832</v>
      </c>
      <c r="G195" t="s">
        <v>631</v>
      </c>
      <c r="H195" t="s">
        <v>57</v>
      </c>
      <c r="I195" t="s">
        <v>319</v>
      </c>
      <c r="J195" t="s">
        <v>825</v>
      </c>
      <c r="K195" t="s">
        <v>826</v>
      </c>
      <c r="L195" t="s">
        <v>52</v>
      </c>
      <c r="M195">
        <v>855</v>
      </c>
      <c r="N195">
        <v>0</v>
      </c>
      <c r="O195" t="s">
        <v>61</v>
      </c>
      <c r="P195">
        <v>100</v>
      </c>
      <c r="Q195" t="s">
        <v>52</v>
      </c>
      <c r="R195" t="s">
        <v>52</v>
      </c>
      <c r="S195" t="s">
        <v>52</v>
      </c>
      <c r="T195" t="s">
        <v>52</v>
      </c>
      <c r="U195" t="s">
        <v>52</v>
      </c>
      <c r="V195" t="s">
        <v>62</v>
      </c>
      <c r="W195" t="s">
        <v>63</v>
      </c>
      <c r="Y195" t="s">
        <v>52</v>
      </c>
      <c r="AB195" t="s">
        <v>52</v>
      </c>
      <c r="AE195" t="s">
        <v>52</v>
      </c>
      <c r="AF195" t="s">
        <v>52</v>
      </c>
      <c r="AH195">
        <v>0</v>
      </c>
      <c r="AI195">
        <v>0</v>
      </c>
      <c r="AJ195" t="s">
        <v>52</v>
      </c>
      <c r="AK195">
        <v>0</v>
      </c>
      <c r="AL195" t="s">
        <v>52</v>
      </c>
      <c r="AM195" t="s">
        <v>52</v>
      </c>
      <c r="AN195">
        <v>0</v>
      </c>
      <c r="AO195">
        <v>0</v>
      </c>
      <c r="AP195" t="s">
        <v>52</v>
      </c>
      <c r="AQ195" t="s">
        <v>52</v>
      </c>
      <c r="AR195" t="s">
        <v>62</v>
      </c>
      <c r="AS195" t="s">
        <v>52</v>
      </c>
      <c r="AT195" t="s">
        <v>52</v>
      </c>
      <c r="AU195" t="s">
        <v>64</v>
      </c>
      <c r="AV195" t="s">
        <v>62</v>
      </c>
      <c r="AW195" t="s">
        <v>65</v>
      </c>
      <c r="AX195" t="s">
        <v>66</v>
      </c>
      <c r="AY195" t="s">
        <v>67</v>
      </c>
    </row>
    <row r="196" spans="1:51" hidden="1" x14ac:dyDescent="0.25">
      <c r="A196">
        <v>202329</v>
      </c>
      <c r="B196" t="s">
        <v>833</v>
      </c>
      <c r="C196" t="e">
        <f>VLOOKUP(A196,[1]Customer_payment_journal_line!$AL:$BO,30,0)</f>
        <v>#N/A</v>
      </c>
      <c r="D196" t="s">
        <v>53</v>
      </c>
      <c r="E196" t="s">
        <v>831</v>
      </c>
      <c r="F196" t="s">
        <v>832</v>
      </c>
      <c r="G196" t="s">
        <v>631</v>
      </c>
      <c r="H196" t="s">
        <v>69</v>
      </c>
      <c r="I196" t="s">
        <v>737</v>
      </c>
      <c r="J196" t="s">
        <v>825</v>
      </c>
      <c r="K196" t="s">
        <v>826</v>
      </c>
      <c r="L196" t="s">
        <v>52</v>
      </c>
      <c r="M196">
        <v>0</v>
      </c>
      <c r="N196">
        <v>855</v>
      </c>
      <c r="O196" t="s">
        <v>61</v>
      </c>
      <c r="P196">
        <v>100</v>
      </c>
      <c r="Q196" t="s">
        <v>52</v>
      </c>
      <c r="R196" t="s">
        <v>52</v>
      </c>
      <c r="S196" t="s">
        <v>52</v>
      </c>
      <c r="T196" t="s">
        <v>52</v>
      </c>
      <c r="U196" t="s">
        <v>52</v>
      </c>
      <c r="V196" t="s">
        <v>62</v>
      </c>
      <c r="W196" t="s">
        <v>52</v>
      </c>
      <c r="Y196" t="s">
        <v>738</v>
      </c>
      <c r="Z196" t="s">
        <v>62</v>
      </c>
      <c r="AB196" t="s">
        <v>834</v>
      </c>
      <c r="AE196" t="s">
        <v>835</v>
      </c>
      <c r="AF196" t="s">
        <v>52</v>
      </c>
      <c r="AH196">
        <v>0</v>
      </c>
      <c r="AI196">
        <v>0</v>
      </c>
      <c r="AJ196" t="s">
        <v>52</v>
      </c>
      <c r="AK196">
        <v>0</v>
      </c>
      <c r="AL196" t="s">
        <v>52</v>
      </c>
      <c r="AM196" t="s">
        <v>52</v>
      </c>
      <c r="AN196">
        <v>0</v>
      </c>
      <c r="AO196">
        <v>0</v>
      </c>
      <c r="AP196" t="s">
        <v>52</v>
      </c>
      <c r="AQ196" t="s">
        <v>52</v>
      </c>
      <c r="AR196" t="s">
        <v>62</v>
      </c>
      <c r="AS196" t="s">
        <v>52</v>
      </c>
      <c r="AT196" t="s">
        <v>74</v>
      </c>
      <c r="AU196" t="s">
        <v>64</v>
      </c>
      <c r="AV196" t="s">
        <v>62</v>
      </c>
      <c r="AW196" t="s">
        <v>65</v>
      </c>
      <c r="AX196" t="s">
        <v>66</v>
      </c>
      <c r="AY196" t="s">
        <v>67</v>
      </c>
    </row>
    <row r="197" spans="1:51" hidden="1" x14ac:dyDescent="0.25">
      <c r="A197">
        <v>317131</v>
      </c>
      <c r="B197" t="s">
        <v>836</v>
      </c>
      <c r="C197" t="e">
        <f>VLOOKUP(A197,[1]Customer_payment_journal_line!$AL:$BO,30,0)</f>
        <v>#N/A</v>
      </c>
      <c r="D197" t="s">
        <v>53</v>
      </c>
      <c r="E197" t="s">
        <v>837</v>
      </c>
      <c r="F197" t="s">
        <v>838</v>
      </c>
      <c r="G197" t="s">
        <v>631</v>
      </c>
      <c r="H197" t="s">
        <v>201</v>
      </c>
      <c r="I197" t="s">
        <v>516</v>
      </c>
      <c r="J197" t="s">
        <v>202</v>
      </c>
      <c r="K197" t="s">
        <v>839</v>
      </c>
      <c r="L197" t="s">
        <v>52</v>
      </c>
      <c r="M197">
        <v>318</v>
      </c>
      <c r="N197">
        <v>0</v>
      </c>
      <c r="O197" t="s">
        <v>178</v>
      </c>
      <c r="P197">
        <v>5085</v>
      </c>
      <c r="Q197" t="s">
        <v>52</v>
      </c>
      <c r="R197" t="s">
        <v>52</v>
      </c>
      <c r="S197" t="s">
        <v>52</v>
      </c>
      <c r="T197" t="s">
        <v>52</v>
      </c>
      <c r="U197" t="s">
        <v>52</v>
      </c>
      <c r="V197" t="s">
        <v>62</v>
      </c>
      <c r="W197" t="s">
        <v>63</v>
      </c>
      <c r="Y197" t="s">
        <v>52</v>
      </c>
      <c r="AB197" t="s">
        <v>840</v>
      </c>
      <c r="AE197" t="s">
        <v>840</v>
      </c>
      <c r="AF197" t="s">
        <v>52</v>
      </c>
      <c r="AH197">
        <v>0</v>
      </c>
      <c r="AI197">
        <v>0</v>
      </c>
      <c r="AJ197" t="s">
        <v>52</v>
      </c>
      <c r="AK197">
        <v>0</v>
      </c>
      <c r="AL197" t="s">
        <v>52</v>
      </c>
      <c r="AM197" t="s">
        <v>52</v>
      </c>
      <c r="AN197">
        <v>0</v>
      </c>
      <c r="AO197">
        <v>0</v>
      </c>
      <c r="AP197" t="s">
        <v>52</v>
      </c>
      <c r="AQ197" t="s">
        <v>52</v>
      </c>
      <c r="AR197" t="s">
        <v>62</v>
      </c>
      <c r="AS197" t="s">
        <v>52</v>
      </c>
      <c r="AT197" t="s">
        <v>52</v>
      </c>
      <c r="AU197" t="s">
        <v>64</v>
      </c>
      <c r="AV197" t="s">
        <v>62</v>
      </c>
      <c r="AW197" t="s">
        <v>65</v>
      </c>
      <c r="AX197" t="s">
        <v>66</v>
      </c>
      <c r="AY197" t="s">
        <v>67</v>
      </c>
    </row>
    <row r="198" spans="1:51" hidden="1" x14ac:dyDescent="0.25">
      <c r="A198">
        <v>317131</v>
      </c>
      <c r="B198" t="s">
        <v>841</v>
      </c>
      <c r="C198" t="e">
        <f>VLOOKUP(A198,[1]Customer_payment_journal_line!$AL:$BO,30,0)</f>
        <v>#N/A</v>
      </c>
      <c r="D198" t="s">
        <v>53</v>
      </c>
      <c r="E198" t="s">
        <v>837</v>
      </c>
      <c r="F198" t="s">
        <v>838</v>
      </c>
      <c r="G198" t="s">
        <v>631</v>
      </c>
      <c r="H198" t="s">
        <v>69</v>
      </c>
      <c r="I198" t="s">
        <v>842</v>
      </c>
      <c r="J198" t="s">
        <v>843</v>
      </c>
      <c r="K198" t="s">
        <v>839</v>
      </c>
      <c r="L198" t="s">
        <v>52</v>
      </c>
      <c r="M198">
        <v>0</v>
      </c>
      <c r="N198">
        <v>300</v>
      </c>
      <c r="O198" t="s">
        <v>126</v>
      </c>
      <c r="P198">
        <v>5285</v>
      </c>
      <c r="Q198" t="s">
        <v>52</v>
      </c>
      <c r="R198" t="s">
        <v>52</v>
      </c>
      <c r="S198" t="s">
        <v>52</v>
      </c>
      <c r="T198" t="s">
        <v>52</v>
      </c>
      <c r="U198" t="s">
        <v>52</v>
      </c>
      <c r="V198" t="s">
        <v>62</v>
      </c>
      <c r="W198" t="s">
        <v>52</v>
      </c>
      <c r="Y198" t="s">
        <v>844</v>
      </c>
      <c r="Z198" t="s">
        <v>62</v>
      </c>
      <c r="AB198" t="s">
        <v>840</v>
      </c>
      <c r="AE198" t="s">
        <v>840</v>
      </c>
      <c r="AF198" t="s">
        <v>52</v>
      </c>
      <c r="AH198">
        <v>0</v>
      </c>
      <c r="AI198">
        <v>0</v>
      </c>
      <c r="AJ198" t="s">
        <v>52</v>
      </c>
      <c r="AK198">
        <v>0</v>
      </c>
      <c r="AL198" t="s">
        <v>52</v>
      </c>
      <c r="AM198" t="s">
        <v>52</v>
      </c>
      <c r="AN198">
        <v>0</v>
      </c>
      <c r="AO198">
        <v>0</v>
      </c>
      <c r="AP198" t="s">
        <v>52</v>
      </c>
      <c r="AQ198" t="s">
        <v>52</v>
      </c>
      <c r="AR198" t="s">
        <v>62</v>
      </c>
      <c r="AS198" t="s">
        <v>52</v>
      </c>
      <c r="AT198" t="s">
        <v>74</v>
      </c>
      <c r="AU198" t="s">
        <v>64</v>
      </c>
      <c r="AV198" t="s">
        <v>62</v>
      </c>
      <c r="AW198" t="s">
        <v>65</v>
      </c>
      <c r="AX198" t="s">
        <v>66</v>
      </c>
      <c r="AY198" t="s">
        <v>67</v>
      </c>
    </row>
    <row r="199" spans="1:51" hidden="1" x14ac:dyDescent="0.25">
      <c r="A199">
        <v>317131</v>
      </c>
      <c r="B199" t="s">
        <v>845</v>
      </c>
      <c r="C199" t="e">
        <f>VLOOKUP(A199,[1]Customer_payment_journal_line!$AL:$BO,30,0)</f>
        <v>#N/A</v>
      </c>
      <c r="D199" t="s">
        <v>53</v>
      </c>
      <c r="E199" t="s">
        <v>837</v>
      </c>
      <c r="F199" t="s">
        <v>838</v>
      </c>
      <c r="G199" t="s">
        <v>631</v>
      </c>
      <c r="H199" t="s">
        <v>210</v>
      </c>
      <c r="I199" t="s">
        <v>846</v>
      </c>
      <c r="J199" t="s">
        <v>52</v>
      </c>
      <c r="K199" t="s">
        <v>839</v>
      </c>
      <c r="L199" t="s">
        <v>52</v>
      </c>
      <c r="M199">
        <v>0</v>
      </c>
      <c r="N199">
        <v>315.3</v>
      </c>
      <c r="O199" t="s">
        <v>61</v>
      </c>
      <c r="P199">
        <v>100</v>
      </c>
      <c r="Q199" t="s">
        <v>52</v>
      </c>
      <c r="R199" t="s">
        <v>52</v>
      </c>
      <c r="S199" t="s">
        <v>52</v>
      </c>
      <c r="T199" t="s">
        <v>52</v>
      </c>
      <c r="U199" t="s">
        <v>52</v>
      </c>
      <c r="V199" t="s">
        <v>62</v>
      </c>
      <c r="W199" t="s">
        <v>63</v>
      </c>
      <c r="Y199" t="s">
        <v>844</v>
      </c>
      <c r="AB199" t="s">
        <v>840</v>
      </c>
      <c r="AE199" t="s">
        <v>840</v>
      </c>
      <c r="AF199" t="s">
        <v>52</v>
      </c>
      <c r="AH199">
        <v>0</v>
      </c>
      <c r="AI199">
        <v>0</v>
      </c>
      <c r="AJ199" t="s">
        <v>52</v>
      </c>
      <c r="AK199">
        <v>0</v>
      </c>
      <c r="AL199" t="s">
        <v>52</v>
      </c>
      <c r="AM199" t="s">
        <v>52</v>
      </c>
      <c r="AN199">
        <v>0</v>
      </c>
      <c r="AO199">
        <v>0</v>
      </c>
      <c r="AP199" t="s">
        <v>52</v>
      </c>
      <c r="AQ199" t="s">
        <v>52</v>
      </c>
      <c r="AR199" t="s">
        <v>62</v>
      </c>
      <c r="AS199" t="s">
        <v>52</v>
      </c>
      <c r="AT199" t="s">
        <v>52</v>
      </c>
      <c r="AU199" t="s">
        <v>64</v>
      </c>
      <c r="AV199" t="s">
        <v>62</v>
      </c>
      <c r="AW199" t="s">
        <v>65</v>
      </c>
      <c r="AX199" t="s">
        <v>66</v>
      </c>
      <c r="AY199" t="s">
        <v>67</v>
      </c>
    </row>
    <row r="200" spans="1:51" hidden="1" x14ac:dyDescent="0.25">
      <c r="A200">
        <v>202342</v>
      </c>
      <c r="B200" t="s">
        <v>847</v>
      </c>
      <c r="C200" t="e">
        <f>VLOOKUP(A200,[1]Customer_payment_journal_line!$AL:$BO,30,0)</f>
        <v>#N/A</v>
      </c>
      <c r="D200" t="s">
        <v>53</v>
      </c>
      <c r="E200" t="s">
        <v>848</v>
      </c>
      <c r="F200" t="s">
        <v>849</v>
      </c>
      <c r="G200" t="s">
        <v>631</v>
      </c>
      <c r="H200" t="s">
        <v>57</v>
      </c>
      <c r="I200" t="s">
        <v>58</v>
      </c>
      <c r="J200" t="s">
        <v>850</v>
      </c>
      <c r="K200" t="s">
        <v>839</v>
      </c>
      <c r="L200" t="s">
        <v>52</v>
      </c>
      <c r="M200">
        <v>855</v>
      </c>
      <c r="N200">
        <v>0</v>
      </c>
      <c r="O200" t="s">
        <v>61</v>
      </c>
      <c r="P200">
        <v>100</v>
      </c>
      <c r="Q200" t="s">
        <v>52</v>
      </c>
      <c r="R200" t="s">
        <v>52</v>
      </c>
      <c r="S200" t="s">
        <v>52</v>
      </c>
      <c r="T200" t="s">
        <v>52</v>
      </c>
      <c r="U200" t="s">
        <v>52</v>
      </c>
      <c r="V200" t="s">
        <v>62</v>
      </c>
      <c r="W200" t="s">
        <v>63</v>
      </c>
      <c r="Y200" t="s">
        <v>52</v>
      </c>
      <c r="AB200" t="s">
        <v>52</v>
      </c>
      <c r="AE200" t="s">
        <v>52</v>
      </c>
      <c r="AF200" t="s">
        <v>52</v>
      </c>
      <c r="AH200">
        <v>0</v>
      </c>
      <c r="AI200">
        <v>0</v>
      </c>
      <c r="AJ200" t="s">
        <v>52</v>
      </c>
      <c r="AK200">
        <v>0</v>
      </c>
      <c r="AL200" t="s">
        <v>52</v>
      </c>
      <c r="AM200" t="s">
        <v>52</v>
      </c>
      <c r="AN200">
        <v>0</v>
      </c>
      <c r="AO200">
        <v>0</v>
      </c>
      <c r="AP200" t="s">
        <v>52</v>
      </c>
      <c r="AQ200" t="s">
        <v>52</v>
      </c>
      <c r="AR200" t="s">
        <v>62</v>
      </c>
      <c r="AS200" t="s">
        <v>52</v>
      </c>
      <c r="AT200" t="s">
        <v>52</v>
      </c>
      <c r="AU200" t="s">
        <v>64</v>
      </c>
      <c r="AV200" t="s">
        <v>62</v>
      </c>
      <c r="AW200" t="s">
        <v>65</v>
      </c>
      <c r="AX200" t="s">
        <v>66</v>
      </c>
      <c r="AY200" t="s">
        <v>67</v>
      </c>
    </row>
    <row r="201" spans="1:51" hidden="1" x14ac:dyDescent="0.25">
      <c r="A201">
        <v>202342</v>
      </c>
      <c r="B201" t="s">
        <v>851</v>
      </c>
      <c r="C201" t="e">
        <f>VLOOKUP(A201,[1]Customer_payment_journal_line!$AL:$BO,30,0)</f>
        <v>#N/A</v>
      </c>
      <c r="D201" t="s">
        <v>53</v>
      </c>
      <c r="E201" t="s">
        <v>848</v>
      </c>
      <c r="F201" t="s">
        <v>849</v>
      </c>
      <c r="G201" t="s">
        <v>631</v>
      </c>
      <c r="H201" t="s">
        <v>69</v>
      </c>
      <c r="I201" t="s">
        <v>842</v>
      </c>
      <c r="J201" t="s">
        <v>850</v>
      </c>
      <c r="K201" t="s">
        <v>839</v>
      </c>
      <c r="L201" t="s">
        <v>52</v>
      </c>
      <c r="M201">
        <v>0</v>
      </c>
      <c r="N201">
        <v>855</v>
      </c>
      <c r="O201" t="s">
        <v>61</v>
      </c>
      <c r="P201">
        <v>100</v>
      </c>
      <c r="Q201" t="s">
        <v>52</v>
      </c>
      <c r="R201" t="s">
        <v>52</v>
      </c>
      <c r="S201" t="s">
        <v>52</v>
      </c>
      <c r="T201" t="s">
        <v>52</v>
      </c>
      <c r="U201" t="s">
        <v>52</v>
      </c>
      <c r="V201" t="s">
        <v>62</v>
      </c>
      <c r="W201" t="s">
        <v>52</v>
      </c>
      <c r="Y201" t="s">
        <v>844</v>
      </c>
      <c r="Z201" t="s">
        <v>62</v>
      </c>
      <c r="AB201" t="s">
        <v>852</v>
      </c>
      <c r="AE201" t="s">
        <v>853</v>
      </c>
      <c r="AF201" t="s">
        <v>52</v>
      </c>
      <c r="AH201">
        <v>0</v>
      </c>
      <c r="AI201">
        <v>0</v>
      </c>
      <c r="AJ201" t="s">
        <v>52</v>
      </c>
      <c r="AK201">
        <v>0</v>
      </c>
      <c r="AL201" t="s">
        <v>52</v>
      </c>
      <c r="AM201" t="s">
        <v>52</v>
      </c>
      <c r="AN201">
        <v>0</v>
      </c>
      <c r="AO201">
        <v>0</v>
      </c>
      <c r="AP201" t="s">
        <v>52</v>
      </c>
      <c r="AQ201" t="s">
        <v>52</v>
      </c>
      <c r="AR201" t="s">
        <v>62</v>
      </c>
      <c r="AS201" t="s">
        <v>52</v>
      </c>
      <c r="AT201" t="s">
        <v>74</v>
      </c>
      <c r="AU201" t="s">
        <v>64</v>
      </c>
      <c r="AV201" t="s">
        <v>62</v>
      </c>
      <c r="AW201" t="s">
        <v>65</v>
      </c>
      <c r="AX201" t="s">
        <v>66</v>
      </c>
      <c r="AY201" t="s">
        <v>67</v>
      </c>
    </row>
    <row r="202" spans="1:51" hidden="1" x14ac:dyDescent="0.25">
      <c r="A202">
        <v>202343</v>
      </c>
      <c r="B202" t="s">
        <v>854</v>
      </c>
      <c r="C202" t="e">
        <f>VLOOKUP(A202,[1]Customer_payment_journal_line!$AL:$BO,30,0)</f>
        <v>#N/A</v>
      </c>
      <c r="D202" t="s">
        <v>53</v>
      </c>
      <c r="E202" t="s">
        <v>855</v>
      </c>
      <c r="F202" t="s">
        <v>856</v>
      </c>
      <c r="G202" t="s">
        <v>631</v>
      </c>
      <c r="H202" t="s">
        <v>57</v>
      </c>
      <c r="I202" t="s">
        <v>58</v>
      </c>
      <c r="J202" t="s">
        <v>850</v>
      </c>
      <c r="K202" t="s">
        <v>839</v>
      </c>
      <c r="L202" t="s">
        <v>52</v>
      </c>
      <c r="M202">
        <v>3000</v>
      </c>
      <c r="N202">
        <v>0</v>
      </c>
      <c r="O202" t="s">
        <v>61</v>
      </c>
      <c r="P202">
        <v>100</v>
      </c>
      <c r="Q202" t="s">
        <v>52</v>
      </c>
      <c r="R202" t="s">
        <v>52</v>
      </c>
      <c r="S202" t="s">
        <v>52</v>
      </c>
      <c r="T202" t="s">
        <v>52</v>
      </c>
      <c r="U202" t="s">
        <v>52</v>
      </c>
      <c r="V202" t="s">
        <v>62</v>
      </c>
      <c r="W202" t="s">
        <v>63</v>
      </c>
      <c r="Y202" t="s">
        <v>52</v>
      </c>
      <c r="AB202" t="s">
        <v>52</v>
      </c>
      <c r="AE202" t="s">
        <v>52</v>
      </c>
      <c r="AF202" t="s">
        <v>52</v>
      </c>
      <c r="AH202">
        <v>0</v>
      </c>
      <c r="AI202">
        <v>0</v>
      </c>
      <c r="AJ202" t="s">
        <v>52</v>
      </c>
      <c r="AK202">
        <v>0</v>
      </c>
      <c r="AL202" t="s">
        <v>52</v>
      </c>
      <c r="AM202" t="s">
        <v>52</v>
      </c>
      <c r="AN202">
        <v>0</v>
      </c>
      <c r="AO202">
        <v>0</v>
      </c>
      <c r="AP202" t="s">
        <v>52</v>
      </c>
      <c r="AQ202" t="s">
        <v>52</v>
      </c>
      <c r="AR202" t="s">
        <v>62</v>
      </c>
      <c r="AS202" t="s">
        <v>52</v>
      </c>
      <c r="AT202" t="s">
        <v>52</v>
      </c>
      <c r="AU202" t="s">
        <v>64</v>
      </c>
      <c r="AV202" t="s">
        <v>62</v>
      </c>
      <c r="AW202" t="s">
        <v>65</v>
      </c>
      <c r="AX202" t="s">
        <v>66</v>
      </c>
      <c r="AY202" t="s">
        <v>67</v>
      </c>
    </row>
    <row r="203" spans="1:51" hidden="1" x14ac:dyDescent="0.25">
      <c r="A203">
        <v>202343</v>
      </c>
      <c r="B203" t="s">
        <v>857</v>
      </c>
      <c r="C203" t="e">
        <f>VLOOKUP(A203,[1]Customer_payment_journal_line!$AL:$BO,30,0)</f>
        <v>#N/A</v>
      </c>
      <c r="D203" t="s">
        <v>53</v>
      </c>
      <c r="E203" t="s">
        <v>855</v>
      </c>
      <c r="F203" t="s">
        <v>856</v>
      </c>
      <c r="G203" t="s">
        <v>631</v>
      </c>
      <c r="H203" t="s">
        <v>69</v>
      </c>
      <c r="I203" t="s">
        <v>842</v>
      </c>
      <c r="J203" t="s">
        <v>850</v>
      </c>
      <c r="K203" t="s">
        <v>839</v>
      </c>
      <c r="L203" t="s">
        <v>52</v>
      </c>
      <c r="M203">
        <v>0</v>
      </c>
      <c r="N203">
        <v>3000</v>
      </c>
      <c r="O203" t="s">
        <v>61</v>
      </c>
      <c r="P203">
        <v>100</v>
      </c>
      <c r="Q203" t="s">
        <v>52</v>
      </c>
      <c r="R203" t="s">
        <v>52</v>
      </c>
      <c r="S203" t="s">
        <v>52</v>
      </c>
      <c r="T203" t="s">
        <v>52</v>
      </c>
      <c r="U203" t="s">
        <v>52</v>
      </c>
      <c r="V203" t="s">
        <v>62</v>
      </c>
      <c r="W203" t="s">
        <v>52</v>
      </c>
      <c r="Y203" t="s">
        <v>844</v>
      </c>
      <c r="Z203" t="s">
        <v>62</v>
      </c>
      <c r="AB203" t="s">
        <v>858</v>
      </c>
      <c r="AE203" t="s">
        <v>859</v>
      </c>
      <c r="AF203" t="s">
        <v>52</v>
      </c>
      <c r="AH203">
        <v>0</v>
      </c>
      <c r="AI203">
        <v>0</v>
      </c>
      <c r="AJ203" t="s">
        <v>52</v>
      </c>
      <c r="AK203">
        <v>0</v>
      </c>
      <c r="AL203" t="s">
        <v>52</v>
      </c>
      <c r="AM203" t="s">
        <v>52</v>
      </c>
      <c r="AN203">
        <v>0</v>
      </c>
      <c r="AO203">
        <v>0</v>
      </c>
      <c r="AP203" t="s">
        <v>52</v>
      </c>
      <c r="AQ203" t="s">
        <v>52</v>
      </c>
      <c r="AR203" t="s">
        <v>62</v>
      </c>
      <c r="AS203" t="s">
        <v>52</v>
      </c>
      <c r="AT203" t="s">
        <v>74</v>
      </c>
      <c r="AU203" t="s">
        <v>64</v>
      </c>
      <c r="AV203" t="s">
        <v>62</v>
      </c>
      <c r="AW203" t="s">
        <v>65</v>
      </c>
      <c r="AX203" t="s">
        <v>66</v>
      </c>
      <c r="AY203" t="s">
        <v>67</v>
      </c>
    </row>
    <row r="204" spans="1:51" hidden="1" x14ac:dyDescent="0.25">
      <c r="A204">
        <v>202344</v>
      </c>
      <c r="B204" t="s">
        <v>860</v>
      </c>
      <c r="C204" t="e">
        <f>VLOOKUP(A204,[1]Customer_payment_journal_line!$AL:$BO,30,0)</f>
        <v>#N/A</v>
      </c>
      <c r="D204" t="s">
        <v>53</v>
      </c>
      <c r="E204" t="s">
        <v>861</v>
      </c>
      <c r="F204" t="s">
        <v>862</v>
      </c>
      <c r="G204" t="s">
        <v>631</v>
      </c>
      <c r="H204" t="s">
        <v>57</v>
      </c>
      <c r="I204" t="s">
        <v>319</v>
      </c>
      <c r="J204" t="s">
        <v>863</v>
      </c>
      <c r="K204" t="s">
        <v>864</v>
      </c>
      <c r="L204" t="s">
        <v>52</v>
      </c>
      <c r="M204">
        <v>1778.4</v>
      </c>
      <c r="N204">
        <v>0</v>
      </c>
      <c r="O204" t="s">
        <v>61</v>
      </c>
      <c r="P204">
        <v>100</v>
      </c>
      <c r="Q204" t="s">
        <v>52</v>
      </c>
      <c r="R204" t="s">
        <v>52</v>
      </c>
      <c r="S204" t="s">
        <v>52</v>
      </c>
      <c r="T204" t="s">
        <v>52</v>
      </c>
      <c r="U204" t="s">
        <v>52</v>
      </c>
      <c r="V204" t="s">
        <v>62</v>
      </c>
      <c r="W204" t="s">
        <v>63</v>
      </c>
      <c r="Y204" t="s">
        <v>52</v>
      </c>
      <c r="AB204" t="s">
        <v>52</v>
      </c>
      <c r="AE204" t="s">
        <v>52</v>
      </c>
      <c r="AF204" t="s">
        <v>52</v>
      </c>
      <c r="AH204">
        <v>0</v>
      </c>
      <c r="AI204">
        <v>0</v>
      </c>
      <c r="AJ204" t="s">
        <v>52</v>
      </c>
      <c r="AK204">
        <v>0</v>
      </c>
      <c r="AL204" t="s">
        <v>52</v>
      </c>
      <c r="AM204" t="s">
        <v>52</v>
      </c>
      <c r="AN204">
        <v>0</v>
      </c>
      <c r="AO204">
        <v>0</v>
      </c>
      <c r="AP204" t="s">
        <v>52</v>
      </c>
      <c r="AQ204" t="s">
        <v>52</v>
      </c>
      <c r="AR204" t="s">
        <v>62</v>
      </c>
      <c r="AS204" t="s">
        <v>52</v>
      </c>
      <c r="AT204" t="s">
        <v>52</v>
      </c>
      <c r="AU204" t="s">
        <v>64</v>
      </c>
      <c r="AV204" t="s">
        <v>62</v>
      </c>
      <c r="AW204" t="s">
        <v>65</v>
      </c>
      <c r="AX204" t="s">
        <v>66</v>
      </c>
      <c r="AY204" t="s">
        <v>67</v>
      </c>
    </row>
    <row r="205" spans="1:51" hidden="1" x14ac:dyDescent="0.25">
      <c r="A205">
        <v>202344</v>
      </c>
      <c r="B205" t="s">
        <v>865</v>
      </c>
      <c r="C205" t="e">
        <f>VLOOKUP(A205,[1]Customer_payment_journal_line!$AL:$BO,30,0)</f>
        <v>#N/A</v>
      </c>
      <c r="D205" t="s">
        <v>53</v>
      </c>
      <c r="E205" t="s">
        <v>861</v>
      </c>
      <c r="F205" t="s">
        <v>862</v>
      </c>
      <c r="G205" t="s">
        <v>631</v>
      </c>
      <c r="H205" t="s">
        <v>69</v>
      </c>
      <c r="I205" t="s">
        <v>866</v>
      </c>
      <c r="J205" t="s">
        <v>863</v>
      </c>
      <c r="K205" t="s">
        <v>864</v>
      </c>
      <c r="L205" t="s">
        <v>52</v>
      </c>
      <c r="M205">
        <v>0</v>
      </c>
      <c r="N205">
        <v>1778.4</v>
      </c>
      <c r="O205" t="s">
        <v>61</v>
      </c>
      <c r="P205">
        <v>100</v>
      </c>
      <c r="Q205" t="s">
        <v>52</v>
      </c>
      <c r="R205" t="s">
        <v>52</v>
      </c>
      <c r="S205" t="s">
        <v>52</v>
      </c>
      <c r="T205" t="s">
        <v>52</v>
      </c>
      <c r="U205" t="s">
        <v>52</v>
      </c>
      <c r="V205" t="s">
        <v>62</v>
      </c>
      <c r="W205" t="s">
        <v>52</v>
      </c>
      <c r="Y205" t="s">
        <v>867</v>
      </c>
      <c r="Z205" t="s">
        <v>62</v>
      </c>
      <c r="AB205" t="s">
        <v>868</v>
      </c>
      <c r="AE205" t="s">
        <v>869</v>
      </c>
      <c r="AF205" t="s">
        <v>52</v>
      </c>
      <c r="AH205">
        <v>0</v>
      </c>
      <c r="AI205">
        <v>0</v>
      </c>
      <c r="AJ205" t="s">
        <v>52</v>
      </c>
      <c r="AK205">
        <v>0</v>
      </c>
      <c r="AL205" t="s">
        <v>52</v>
      </c>
      <c r="AM205" t="s">
        <v>52</v>
      </c>
      <c r="AN205">
        <v>0</v>
      </c>
      <c r="AO205">
        <v>0</v>
      </c>
      <c r="AP205" t="s">
        <v>52</v>
      </c>
      <c r="AQ205" t="s">
        <v>52</v>
      </c>
      <c r="AR205" t="s">
        <v>62</v>
      </c>
      <c r="AS205" t="s">
        <v>52</v>
      </c>
      <c r="AT205" t="s">
        <v>74</v>
      </c>
      <c r="AU205" t="s">
        <v>64</v>
      </c>
      <c r="AV205" t="s">
        <v>62</v>
      </c>
      <c r="AW205" t="s">
        <v>65</v>
      </c>
      <c r="AX205" t="s">
        <v>66</v>
      </c>
      <c r="AY205" t="s">
        <v>67</v>
      </c>
    </row>
    <row r="206" spans="1:51" hidden="1" x14ac:dyDescent="0.25">
      <c r="A206">
        <v>202345</v>
      </c>
      <c r="B206" t="s">
        <v>870</v>
      </c>
      <c r="C206" t="e">
        <f>VLOOKUP(A206,[1]Customer_payment_journal_line!$AL:$BO,30,0)</f>
        <v>#N/A</v>
      </c>
      <c r="D206" t="s">
        <v>53</v>
      </c>
      <c r="E206" t="s">
        <v>871</v>
      </c>
      <c r="F206" t="s">
        <v>872</v>
      </c>
      <c r="G206" t="s">
        <v>631</v>
      </c>
      <c r="H206" t="s">
        <v>57</v>
      </c>
      <c r="I206" t="s">
        <v>319</v>
      </c>
      <c r="J206" t="s">
        <v>863</v>
      </c>
      <c r="K206" t="s">
        <v>864</v>
      </c>
      <c r="L206" t="s">
        <v>52</v>
      </c>
      <c r="M206">
        <v>855</v>
      </c>
      <c r="N206">
        <v>0</v>
      </c>
      <c r="O206" t="s">
        <v>61</v>
      </c>
      <c r="P206">
        <v>100</v>
      </c>
      <c r="Q206" t="s">
        <v>52</v>
      </c>
      <c r="R206" t="s">
        <v>52</v>
      </c>
      <c r="S206" t="s">
        <v>52</v>
      </c>
      <c r="T206" t="s">
        <v>52</v>
      </c>
      <c r="U206" t="s">
        <v>52</v>
      </c>
      <c r="V206" t="s">
        <v>62</v>
      </c>
      <c r="W206" t="s">
        <v>63</v>
      </c>
      <c r="Y206" t="s">
        <v>52</v>
      </c>
      <c r="AB206" t="s">
        <v>52</v>
      </c>
      <c r="AE206" t="s">
        <v>52</v>
      </c>
      <c r="AF206" t="s">
        <v>52</v>
      </c>
      <c r="AH206">
        <v>0</v>
      </c>
      <c r="AI206">
        <v>0</v>
      </c>
      <c r="AJ206" t="s">
        <v>52</v>
      </c>
      <c r="AK206">
        <v>0</v>
      </c>
      <c r="AL206" t="s">
        <v>52</v>
      </c>
      <c r="AM206" t="s">
        <v>52</v>
      </c>
      <c r="AN206">
        <v>0</v>
      </c>
      <c r="AO206">
        <v>0</v>
      </c>
      <c r="AP206" t="s">
        <v>52</v>
      </c>
      <c r="AQ206" t="s">
        <v>52</v>
      </c>
      <c r="AR206" t="s">
        <v>62</v>
      </c>
      <c r="AS206" t="s">
        <v>52</v>
      </c>
      <c r="AT206" t="s">
        <v>52</v>
      </c>
      <c r="AU206" t="s">
        <v>64</v>
      </c>
      <c r="AV206" t="s">
        <v>62</v>
      </c>
      <c r="AW206" t="s">
        <v>65</v>
      </c>
      <c r="AX206" t="s">
        <v>66</v>
      </c>
      <c r="AY206" t="s">
        <v>67</v>
      </c>
    </row>
    <row r="207" spans="1:51" hidden="1" x14ac:dyDescent="0.25">
      <c r="A207">
        <v>202345</v>
      </c>
      <c r="B207" t="s">
        <v>873</v>
      </c>
      <c r="C207" t="e">
        <f>VLOOKUP(A207,[1]Customer_payment_journal_line!$AL:$BO,30,0)</f>
        <v>#N/A</v>
      </c>
      <c r="D207" t="s">
        <v>53</v>
      </c>
      <c r="E207" t="s">
        <v>871</v>
      </c>
      <c r="F207" t="s">
        <v>872</v>
      </c>
      <c r="G207" t="s">
        <v>631</v>
      </c>
      <c r="H207" t="s">
        <v>69</v>
      </c>
      <c r="I207" t="s">
        <v>866</v>
      </c>
      <c r="J207" t="s">
        <v>863</v>
      </c>
      <c r="K207" t="s">
        <v>864</v>
      </c>
      <c r="L207" t="s">
        <v>52</v>
      </c>
      <c r="M207">
        <v>0</v>
      </c>
      <c r="N207">
        <v>855</v>
      </c>
      <c r="O207" t="s">
        <v>61</v>
      </c>
      <c r="P207">
        <v>100</v>
      </c>
      <c r="Q207" t="s">
        <v>52</v>
      </c>
      <c r="R207" t="s">
        <v>52</v>
      </c>
      <c r="S207" t="s">
        <v>52</v>
      </c>
      <c r="T207" t="s">
        <v>52</v>
      </c>
      <c r="U207" t="s">
        <v>52</v>
      </c>
      <c r="V207" t="s">
        <v>62</v>
      </c>
      <c r="W207" t="s">
        <v>52</v>
      </c>
      <c r="Y207" t="s">
        <v>867</v>
      </c>
      <c r="Z207" t="s">
        <v>62</v>
      </c>
      <c r="AB207" t="s">
        <v>874</v>
      </c>
      <c r="AE207" t="s">
        <v>875</v>
      </c>
      <c r="AF207" t="s">
        <v>52</v>
      </c>
      <c r="AH207">
        <v>0</v>
      </c>
      <c r="AI207">
        <v>0</v>
      </c>
      <c r="AJ207" t="s">
        <v>52</v>
      </c>
      <c r="AK207">
        <v>0</v>
      </c>
      <c r="AL207" t="s">
        <v>52</v>
      </c>
      <c r="AM207" t="s">
        <v>52</v>
      </c>
      <c r="AN207">
        <v>0</v>
      </c>
      <c r="AO207">
        <v>0</v>
      </c>
      <c r="AP207" t="s">
        <v>52</v>
      </c>
      <c r="AQ207" t="s">
        <v>52</v>
      </c>
      <c r="AR207" t="s">
        <v>62</v>
      </c>
      <c r="AS207" t="s">
        <v>52</v>
      </c>
      <c r="AT207" t="s">
        <v>74</v>
      </c>
      <c r="AU207" t="s">
        <v>64</v>
      </c>
      <c r="AV207" t="s">
        <v>62</v>
      </c>
      <c r="AW207" t="s">
        <v>65</v>
      </c>
      <c r="AX207" t="s">
        <v>66</v>
      </c>
      <c r="AY207" t="s">
        <v>67</v>
      </c>
    </row>
    <row r="208" spans="1:51" hidden="1" x14ac:dyDescent="0.25">
      <c r="A208">
        <v>202346</v>
      </c>
      <c r="B208" t="s">
        <v>876</v>
      </c>
      <c r="C208" t="e">
        <f>VLOOKUP(A208,[1]Customer_payment_journal_line!$AL:$BO,30,0)</f>
        <v>#N/A</v>
      </c>
      <c r="D208" t="s">
        <v>53</v>
      </c>
      <c r="E208" t="s">
        <v>877</v>
      </c>
      <c r="F208" t="s">
        <v>878</v>
      </c>
      <c r="G208" t="s">
        <v>631</v>
      </c>
      <c r="H208" t="s">
        <v>57</v>
      </c>
      <c r="I208" t="s">
        <v>319</v>
      </c>
      <c r="J208" t="s">
        <v>879</v>
      </c>
      <c r="K208" t="s">
        <v>880</v>
      </c>
      <c r="L208" t="s">
        <v>52</v>
      </c>
      <c r="M208">
        <v>2428.1999999999998</v>
      </c>
      <c r="N208">
        <v>0</v>
      </c>
      <c r="O208" t="s">
        <v>61</v>
      </c>
      <c r="P208">
        <v>100</v>
      </c>
      <c r="Q208" t="s">
        <v>52</v>
      </c>
      <c r="R208" t="s">
        <v>52</v>
      </c>
      <c r="S208" t="s">
        <v>52</v>
      </c>
      <c r="T208" t="s">
        <v>52</v>
      </c>
      <c r="U208" t="s">
        <v>52</v>
      </c>
      <c r="V208" t="s">
        <v>62</v>
      </c>
      <c r="W208" t="s">
        <v>63</v>
      </c>
      <c r="Y208" t="s">
        <v>52</v>
      </c>
      <c r="AB208" t="s">
        <v>52</v>
      </c>
      <c r="AE208" t="s">
        <v>52</v>
      </c>
      <c r="AF208" t="s">
        <v>52</v>
      </c>
      <c r="AH208">
        <v>0</v>
      </c>
      <c r="AI208">
        <v>0</v>
      </c>
      <c r="AJ208" t="s">
        <v>52</v>
      </c>
      <c r="AK208">
        <v>0</v>
      </c>
      <c r="AL208" t="s">
        <v>52</v>
      </c>
      <c r="AM208" t="s">
        <v>52</v>
      </c>
      <c r="AN208">
        <v>0</v>
      </c>
      <c r="AO208">
        <v>0</v>
      </c>
      <c r="AP208" t="s">
        <v>52</v>
      </c>
      <c r="AQ208" t="s">
        <v>52</v>
      </c>
      <c r="AR208" t="s">
        <v>62</v>
      </c>
      <c r="AS208" t="s">
        <v>52</v>
      </c>
      <c r="AT208" t="s">
        <v>52</v>
      </c>
      <c r="AU208" t="s">
        <v>64</v>
      </c>
      <c r="AV208" t="s">
        <v>62</v>
      </c>
      <c r="AW208" t="s">
        <v>65</v>
      </c>
      <c r="AX208" t="s">
        <v>66</v>
      </c>
      <c r="AY208" t="s">
        <v>67</v>
      </c>
    </row>
    <row r="209" spans="1:51" hidden="1" x14ac:dyDescent="0.25">
      <c r="A209">
        <v>202346</v>
      </c>
      <c r="B209" t="s">
        <v>881</v>
      </c>
      <c r="C209" t="e">
        <f>VLOOKUP(A209,[1]Customer_payment_journal_line!$AL:$BO,30,0)</f>
        <v>#N/A</v>
      </c>
      <c r="D209" t="s">
        <v>53</v>
      </c>
      <c r="E209" t="s">
        <v>877</v>
      </c>
      <c r="F209" t="s">
        <v>878</v>
      </c>
      <c r="G209" t="s">
        <v>631</v>
      </c>
      <c r="H209" t="s">
        <v>69</v>
      </c>
      <c r="I209" t="s">
        <v>882</v>
      </c>
      <c r="J209" t="s">
        <v>879</v>
      </c>
      <c r="K209" t="s">
        <v>880</v>
      </c>
      <c r="L209" t="s">
        <v>52</v>
      </c>
      <c r="M209">
        <v>0</v>
      </c>
      <c r="N209">
        <v>2428.1999999999998</v>
      </c>
      <c r="O209" t="s">
        <v>61</v>
      </c>
      <c r="P209">
        <v>100</v>
      </c>
      <c r="Q209" t="s">
        <v>52</v>
      </c>
      <c r="R209" t="s">
        <v>52</v>
      </c>
      <c r="S209" t="s">
        <v>52</v>
      </c>
      <c r="T209" t="s">
        <v>52</v>
      </c>
      <c r="U209" t="s">
        <v>52</v>
      </c>
      <c r="V209" t="s">
        <v>62</v>
      </c>
      <c r="W209" t="s">
        <v>52</v>
      </c>
      <c r="Y209" t="s">
        <v>883</v>
      </c>
      <c r="Z209" t="s">
        <v>62</v>
      </c>
      <c r="AB209" t="s">
        <v>884</v>
      </c>
      <c r="AE209" t="s">
        <v>885</v>
      </c>
      <c r="AF209" t="s">
        <v>52</v>
      </c>
      <c r="AH209">
        <v>0</v>
      </c>
      <c r="AI209">
        <v>0</v>
      </c>
      <c r="AJ209" t="s">
        <v>52</v>
      </c>
      <c r="AK209">
        <v>0</v>
      </c>
      <c r="AL209" t="s">
        <v>52</v>
      </c>
      <c r="AM209" t="s">
        <v>52</v>
      </c>
      <c r="AN209">
        <v>0</v>
      </c>
      <c r="AO209">
        <v>0</v>
      </c>
      <c r="AP209" t="s">
        <v>52</v>
      </c>
      <c r="AQ209" t="s">
        <v>52</v>
      </c>
      <c r="AR209" t="s">
        <v>62</v>
      </c>
      <c r="AS209" t="s">
        <v>52</v>
      </c>
      <c r="AT209" t="s">
        <v>74</v>
      </c>
      <c r="AU209" t="s">
        <v>64</v>
      </c>
      <c r="AV209" t="s">
        <v>62</v>
      </c>
      <c r="AW209" t="s">
        <v>65</v>
      </c>
      <c r="AX209" t="s">
        <v>66</v>
      </c>
      <c r="AY209" t="s">
        <v>67</v>
      </c>
    </row>
    <row r="210" spans="1:51" hidden="1" x14ac:dyDescent="0.25">
      <c r="A210">
        <v>202347</v>
      </c>
      <c r="B210" t="s">
        <v>886</v>
      </c>
      <c r="C210" t="e">
        <f>VLOOKUP(A210,[1]Customer_payment_journal_line!$AL:$BO,30,0)</f>
        <v>#N/A</v>
      </c>
      <c r="D210" t="s">
        <v>53</v>
      </c>
      <c r="E210" t="s">
        <v>887</v>
      </c>
      <c r="F210" t="s">
        <v>888</v>
      </c>
      <c r="G210" t="s">
        <v>631</v>
      </c>
      <c r="H210" t="s">
        <v>57</v>
      </c>
      <c r="I210" t="s">
        <v>319</v>
      </c>
      <c r="J210" t="s">
        <v>879</v>
      </c>
      <c r="K210" t="s">
        <v>880</v>
      </c>
      <c r="L210" t="s">
        <v>52</v>
      </c>
      <c r="M210">
        <v>855</v>
      </c>
      <c r="N210">
        <v>0</v>
      </c>
      <c r="O210" t="s">
        <v>61</v>
      </c>
      <c r="P210">
        <v>100</v>
      </c>
      <c r="Q210" t="s">
        <v>52</v>
      </c>
      <c r="R210" t="s">
        <v>52</v>
      </c>
      <c r="S210" t="s">
        <v>52</v>
      </c>
      <c r="T210" t="s">
        <v>52</v>
      </c>
      <c r="U210" t="s">
        <v>52</v>
      </c>
      <c r="V210" t="s">
        <v>62</v>
      </c>
      <c r="W210" t="s">
        <v>63</v>
      </c>
      <c r="Y210" t="s">
        <v>52</v>
      </c>
      <c r="AB210" t="s">
        <v>52</v>
      </c>
      <c r="AE210" t="s">
        <v>52</v>
      </c>
      <c r="AF210" t="s">
        <v>52</v>
      </c>
      <c r="AH210">
        <v>0</v>
      </c>
      <c r="AI210">
        <v>0</v>
      </c>
      <c r="AJ210" t="s">
        <v>52</v>
      </c>
      <c r="AK210">
        <v>0</v>
      </c>
      <c r="AL210" t="s">
        <v>52</v>
      </c>
      <c r="AM210" t="s">
        <v>52</v>
      </c>
      <c r="AN210">
        <v>0</v>
      </c>
      <c r="AO210">
        <v>0</v>
      </c>
      <c r="AP210" t="s">
        <v>52</v>
      </c>
      <c r="AQ210" t="s">
        <v>52</v>
      </c>
      <c r="AR210" t="s">
        <v>62</v>
      </c>
      <c r="AS210" t="s">
        <v>52</v>
      </c>
      <c r="AT210" t="s">
        <v>52</v>
      </c>
      <c r="AU210" t="s">
        <v>64</v>
      </c>
      <c r="AV210" t="s">
        <v>62</v>
      </c>
      <c r="AW210" t="s">
        <v>65</v>
      </c>
      <c r="AX210" t="s">
        <v>66</v>
      </c>
      <c r="AY210" t="s">
        <v>67</v>
      </c>
    </row>
    <row r="211" spans="1:51" hidden="1" x14ac:dyDescent="0.25">
      <c r="A211">
        <v>202347</v>
      </c>
      <c r="B211" t="s">
        <v>889</v>
      </c>
      <c r="C211" t="e">
        <f>VLOOKUP(A211,[1]Customer_payment_journal_line!$AL:$BO,30,0)</f>
        <v>#N/A</v>
      </c>
      <c r="D211" t="s">
        <v>53</v>
      </c>
      <c r="E211" t="s">
        <v>887</v>
      </c>
      <c r="F211" t="s">
        <v>888</v>
      </c>
      <c r="G211" t="s">
        <v>631</v>
      </c>
      <c r="H211" t="s">
        <v>69</v>
      </c>
      <c r="I211" t="s">
        <v>882</v>
      </c>
      <c r="J211" t="s">
        <v>879</v>
      </c>
      <c r="K211" t="s">
        <v>880</v>
      </c>
      <c r="L211" t="s">
        <v>52</v>
      </c>
      <c r="M211">
        <v>0</v>
      </c>
      <c r="N211">
        <v>855</v>
      </c>
      <c r="O211" t="s">
        <v>61</v>
      </c>
      <c r="P211">
        <v>100</v>
      </c>
      <c r="Q211" t="s">
        <v>52</v>
      </c>
      <c r="R211" t="s">
        <v>52</v>
      </c>
      <c r="S211" t="s">
        <v>52</v>
      </c>
      <c r="T211" t="s">
        <v>52</v>
      </c>
      <c r="U211" t="s">
        <v>52</v>
      </c>
      <c r="V211" t="s">
        <v>62</v>
      </c>
      <c r="W211" t="s">
        <v>52</v>
      </c>
      <c r="Y211" t="s">
        <v>883</v>
      </c>
      <c r="Z211" t="s">
        <v>62</v>
      </c>
      <c r="AB211" t="s">
        <v>890</v>
      </c>
      <c r="AE211" t="s">
        <v>891</v>
      </c>
      <c r="AF211" t="s">
        <v>52</v>
      </c>
      <c r="AH211">
        <v>0</v>
      </c>
      <c r="AI211">
        <v>0</v>
      </c>
      <c r="AJ211" t="s">
        <v>52</v>
      </c>
      <c r="AK211">
        <v>0</v>
      </c>
      <c r="AL211" t="s">
        <v>52</v>
      </c>
      <c r="AM211" t="s">
        <v>52</v>
      </c>
      <c r="AN211">
        <v>0</v>
      </c>
      <c r="AO211">
        <v>0</v>
      </c>
      <c r="AP211" t="s">
        <v>52</v>
      </c>
      <c r="AQ211" t="s">
        <v>52</v>
      </c>
      <c r="AR211" t="s">
        <v>62</v>
      </c>
      <c r="AS211" t="s">
        <v>52</v>
      </c>
      <c r="AT211" t="s">
        <v>74</v>
      </c>
      <c r="AU211" t="s">
        <v>64</v>
      </c>
      <c r="AV211" t="s">
        <v>62</v>
      </c>
      <c r="AW211" t="s">
        <v>65</v>
      </c>
      <c r="AX211" t="s">
        <v>66</v>
      </c>
      <c r="AY211" t="s">
        <v>67</v>
      </c>
    </row>
    <row r="212" spans="1:51" hidden="1" x14ac:dyDescent="0.25">
      <c r="A212">
        <v>202352</v>
      </c>
      <c r="B212" t="s">
        <v>892</v>
      </c>
      <c r="C212" t="e">
        <f>VLOOKUP(A212,[1]Customer_payment_journal_line!$AL:$BO,30,0)</f>
        <v>#N/A</v>
      </c>
      <c r="D212" t="s">
        <v>53</v>
      </c>
      <c r="E212" t="s">
        <v>893</v>
      </c>
      <c r="F212" t="s">
        <v>894</v>
      </c>
      <c r="G212" t="s">
        <v>631</v>
      </c>
      <c r="H212" t="s">
        <v>57</v>
      </c>
      <c r="I212" t="s">
        <v>58</v>
      </c>
      <c r="J212" t="s">
        <v>895</v>
      </c>
      <c r="K212" t="s">
        <v>896</v>
      </c>
      <c r="L212" t="s">
        <v>52</v>
      </c>
      <c r="M212">
        <v>3420</v>
      </c>
      <c r="N212">
        <v>0</v>
      </c>
      <c r="O212" t="s">
        <v>61</v>
      </c>
      <c r="P212">
        <v>100</v>
      </c>
      <c r="Q212" t="s">
        <v>52</v>
      </c>
      <c r="R212" t="s">
        <v>52</v>
      </c>
      <c r="S212" t="s">
        <v>52</v>
      </c>
      <c r="T212" t="s">
        <v>52</v>
      </c>
      <c r="U212" t="s">
        <v>52</v>
      </c>
      <c r="V212" t="s">
        <v>62</v>
      </c>
      <c r="W212" t="s">
        <v>63</v>
      </c>
      <c r="Y212" t="s">
        <v>52</v>
      </c>
      <c r="AB212" t="s">
        <v>52</v>
      </c>
      <c r="AE212" t="s">
        <v>52</v>
      </c>
      <c r="AF212" t="s">
        <v>52</v>
      </c>
      <c r="AH212">
        <v>0</v>
      </c>
      <c r="AI212">
        <v>0</v>
      </c>
      <c r="AJ212" t="s">
        <v>52</v>
      </c>
      <c r="AK212">
        <v>0</v>
      </c>
      <c r="AL212" t="s">
        <v>52</v>
      </c>
      <c r="AM212" t="s">
        <v>52</v>
      </c>
      <c r="AN212">
        <v>0</v>
      </c>
      <c r="AO212">
        <v>0</v>
      </c>
      <c r="AP212" t="s">
        <v>52</v>
      </c>
      <c r="AQ212" t="s">
        <v>52</v>
      </c>
      <c r="AR212" t="s">
        <v>62</v>
      </c>
      <c r="AS212" t="s">
        <v>52</v>
      </c>
      <c r="AT212" t="s">
        <v>52</v>
      </c>
      <c r="AU212" t="s">
        <v>64</v>
      </c>
      <c r="AV212" t="s">
        <v>62</v>
      </c>
      <c r="AW212" t="s">
        <v>65</v>
      </c>
      <c r="AX212" t="s">
        <v>66</v>
      </c>
      <c r="AY212" t="s">
        <v>67</v>
      </c>
    </row>
    <row r="213" spans="1:51" hidden="1" x14ac:dyDescent="0.25">
      <c r="A213">
        <v>202352</v>
      </c>
      <c r="B213" t="s">
        <v>897</v>
      </c>
      <c r="C213" t="e">
        <f>VLOOKUP(A213,[1]Customer_payment_journal_line!$AL:$BO,30,0)</f>
        <v>#N/A</v>
      </c>
      <c r="D213" t="s">
        <v>53</v>
      </c>
      <c r="E213" t="s">
        <v>893</v>
      </c>
      <c r="F213" t="s">
        <v>894</v>
      </c>
      <c r="G213" t="s">
        <v>631</v>
      </c>
      <c r="H213" t="s">
        <v>69</v>
      </c>
      <c r="I213" t="s">
        <v>898</v>
      </c>
      <c r="J213" t="s">
        <v>895</v>
      </c>
      <c r="K213" t="s">
        <v>896</v>
      </c>
      <c r="L213" t="s">
        <v>52</v>
      </c>
      <c r="M213">
        <v>0</v>
      </c>
      <c r="N213">
        <v>3420</v>
      </c>
      <c r="O213" t="s">
        <v>61</v>
      </c>
      <c r="P213">
        <v>100</v>
      </c>
      <c r="Q213" t="s">
        <v>52</v>
      </c>
      <c r="R213" t="s">
        <v>52</v>
      </c>
      <c r="S213" t="s">
        <v>52</v>
      </c>
      <c r="T213" t="s">
        <v>52</v>
      </c>
      <c r="U213" t="s">
        <v>52</v>
      </c>
      <c r="V213" t="s">
        <v>62</v>
      </c>
      <c r="W213" t="s">
        <v>52</v>
      </c>
      <c r="Y213" t="s">
        <v>899</v>
      </c>
      <c r="Z213" t="s">
        <v>62</v>
      </c>
      <c r="AB213" t="s">
        <v>900</v>
      </c>
      <c r="AE213" t="s">
        <v>901</v>
      </c>
      <c r="AF213" t="s">
        <v>52</v>
      </c>
      <c r="AH213">
        <v>0</v>
      </c>
      <c r="AI213">
        <v>0</v>
      </c>
      <c r="AJ213" t="s">
        <v>52</v>
      </c>
      <c r="AK213">
        <v>0</v>
      </c>
      <c r="AL213" t="s">
        <v>52</v>
      </c>
      <c r="AM213" t="s">
        <v>52</v>
      </c>
      <c r="AN213">
        <v>0</v>
      </c>
      <c r="AO213">
        <v>0</v>
      </c>
      <c r="AP213" t="s">
        <v>52</v>
      </c>
      <c r="AQ213" t="s">
        <v>52</v>
      </c>
      <c r="AR213" t="s">
        <v>62</v>
      </c>
      <c r="AS213" t="s">
        <v>52</v>
      </c>
      <c r="AT213" t="s">
        <v>74</v>
      </c>
      <c r="AU213" t="s">
        <v>64</v>
      </c>
      <c r="AV213" t="s">
        <v>62</v>
      </c>
      <c r="AW213" t="s">
        <v>65</v>
      </c>
      <c r="AX213" t="s">
        <v>66</v>
      </c>
      <c r="AY213" t="s">
        <v>67</v>
      </c>
    </row>
    <row r="214" spans="1:51" hidden="1" x14ac:dyDescent="0.25">
      <c r="A214">
        <v>400694</v>
      </c>
      <c r="B214" t="s">
        <v>902</v>
      </c>
      <c r="C214" t="e">
        <f>VLOOKUP(A214,[1]Customer_payment_journal_line!$AL:$BO,30,0)</f>
        <v>#N/A</v>
      </c>
      <c r="D214" t="s">
        <v>53</v>
      </c>
      <c r="E214" t="s">
        <v>903</v>
      </c>
      <c r="F214" t="s">
        <v>904</v>
      </c>
      <c r="G214" t="s">
        <v>631</v>
      </c>
      <c r="H214" t="s">
        <v>57</v>
      </c>
      <c r="I214" t="s">
        <v>905</v>
      </c>
      <c r="J214" t="s">
        <v>906</v>
      </c>
      <c r="K214" t="s">
        <v>907</v>
      </c>
      <c r="L214" t="s">
        <v>52</v>
      </c>
      <c r="M214">
        <v>582</v>
      </c>
      <c r="N214">
        <v>0</v>
      </c>
      <c r="O214" t="s">
        <v>178</v>
      </c>
      <c r="P214">
        <v>5085</v>
      </c>
      <c r="Q214" t="s">
        <v>52</v>
      </c>
      <c r="R214" t="s">
        <v>52</v>
      </c>
      <c r="S214" t="s">
        <v>52</v>
      </c>
      <c r="T214" t="s">
        <v>52</v>
      </c>
      <c r="U214" t="s">
        <v>52</v>
      </c>
      <c r="V214" t="s">
        <v>62</v>
      </c>
      <c r="W214" t="s">
        <v>63</v>
      </c>
      <c r="Y214" t="s">
        <v>52</v>
      </c>
      <c r="AB214" t="s">
        <v>52</v>
      </c>
      <c r="AE214" t="s">
        <v>52</v>
      </c>
      <c r="AF214" t="s">
        <v>52</v>
      </c>
      <c r="AH214">
        <v>0</v>
      </c>
      <c r="AI214">
        <v>0</v>
      </c>
      <c r="AJ214" t="s">
        <v>52</v>
      </c>
      <c r="AK214">
        <v>0</v>
      </c>
      <c r="AL214" t="s">
        <v>52</v>
      </c>
      <c r="AM214" t="s">
        <v>52</v>
      </c>
      <c r="AN214">
        <v>0</v>
      </c>
      <c r="AO214">
        <v>0</v>
      </c>
      <c r="AP214" t="s">
        <v>52</v>
      </c>
      <c r="AQ214" t="s">
        <v>52</v>
      </c>
      <c r="AR214" t="s">
        <v>62</v>
      </c>
      <c r="AS214" t="s">
        <v>52</v>
      </c>
      <c r="AT214" t="s">
        <v>52</v>
      </c>
      <c r="AU214" t="s">
        <v>64</v>
      </c>
      <c r="AV214" t="s">
        <v>62</v>
      </c>
      <c r="AW214" t="s">
        <v>65</v>
      </c>
      <c r="AX214" t="s">
        <v>66</v>
      </c>
      <c r="AY214" t="s">
        <v>67</v>
      </c>
    </row>
    <row r="215" spans="1:51" hidden="1" x14ac:dyDescent="0.25">
      <c r="A215">
        <v>400694</v>
      </c>
      <c r="B215" t="s">
        <v>908</v>
      </c>
      <c r="C215" t="e">
        <f>VLOOKUP(A215,[1]Customer_payment_journal_line!$AL:$BO,30,0)</f>
        <v>#N/A</v>
      </c>
      <c r="D215" t="s">
        <v>53</v>
      </c>
      <c r="E215" t="s">
        <v>903</v>
      </c>
      <c r="F215" t="s">
        <v>904</v>
      </c>
      <c r="G215" t="s">
        <v>631</v>
      </c>
      <c r="H215" t="s">
        <v>69</v>
      </c>
      <c r="I215" t="s">
        <v>909</v>
      </c>
      <c r="J215" t="s">
        <v>906</v>
      </c>
      <c r="K215" t="s">
        <v>907</v>
      </c>
      <c r="L215" t="s">
        <v>52</v>
      </c>
      <c r="M215">
        <v>0</v>
      </c>
      <c r="N215">
        <v>582</v>
      </c>
      <c r="O215" t="s">
        <v>178</v>
      </c>
      <c r="P215">
        <v>5085</v>
      </c>
      <c r="Q215" t="s">
        <v>52</v>
      </c>
      <c r="R215" t="s">
        <v>52</v>
      </c>
      <c r="S215" t="s">
        <v>52</v>
      </c>
      <c r="T215" t="s">
        <v>52</v>
      </c>
      <c r="U215" t="s">
        <v>52</v>
      </c>
      <c r="V215" t="s">
        <v>62</v>
      </c>
      <c r="W215" t="s">
        <v>52</v>
      </c>
      <c r="Y215" t="s">
        <v>910</v>
      </c>
      <c r="Z215" t="s">
        <v>62</v>
      </c>
      <c r="AB215" t="s">
        <v>911</v>
      </c>
      <c r="AE215" t="s">
        <v>912</v>
      </c>
      <c r="AF215" t="s">
        <v>52</v>
      </c>
      <c r="AH215">
        <v>0</v>
      </c>
      <c r="AI215">
        <v>0</v>
      </c>
      <c r="AJ215" t="s">
        <v>52</v>
      </c>
      <c r="AK215">
        <v>0</v>
      </c>
      <c r="AL215" t="s">
        <v>52</v>
      </c>
      <c r="AM215" t="s">
        <v>52</v>
      </c>
      <c r="AN215">
        <v>0</v>
      </c>
      <c r="AO215">
        <v>0</v>
      </c>
      <c r="AP215" t="s">
        <v>52</v>
      </c>
      <c r="AQ215" t="s">
        <v>52</v>
      </c>
      <c r="AR215" t="s">
        <v>62</v>
      </c>
      <c r="AS215" t="s">
        <v>52</v>
      </c>
      <c r="AT215" t="s">
        <v>74</v>
      </c>
      <c r="AU215" t="s">
        <v>64</v>
      </c>
      <c r="AV215" t="s">
        <v>62</v>
      </c>
      <c r="AW215" t="s">
        <v>65</v>
      </c>
      <c r="AX215" t="s">
        <v>66</v>
      </c>
      <c r="AY215" t="s">
        <v>67</v>
      </c>
    </row>
    <row r="216" spans="1:51" hidden="1" x14ac:dyDescent="0.25">
      <c r="A216">
        <v>317132</v>
      </c>
      <c r="B216" t="s">
        <v>913</v>
      </c>
      <c r="C216" t="e">
        <f>VLOOKUP(A216,[1]Customer_payment_journal_line!$AL:$BO,30,0)</f>
        <v>#N/A</v>
      </c>
      <c r="D216" t="s">
        <v>53</v>
      </c>
      <c r="E216" t="s">
        <v>914</v>
      </c>
      <c r="F216" t="s">
        <v>915</v>
      </c>
      <c r="G216" t="s">
        <v>631</v>
      </c>
      <c r="H216" t="s">
        <v>201</v>
      </c>
      <c r="I216" t="s">
        <v>58</v>
      </c>
      <c r="J216" t="s">
        <v>202</v>
      </c>
      <c r="K216" t="s">
        <v>916</v>
      </c>
      <c r="L216" t="s">
        <v>52</v>
      </c>
      <c r="M216">
        <v>1710</v>
      </c>
      <c r="N216">
        <v>0</v>
      </c>
      <c r="O216" t="s">
        <v>61</v>
      </c>
      <c r="P216">
        <v>100</v>
      </c>
      <c r="Q216" t="s">
        <v>52</v>
      </c>
      <c r="R216" t="s">
        <v>52</v>
      </c>
      <c r="S216" t="s">
        <v>52</v>
      </c>
      <c r="T216" t="s">
        <v>52</v>
      </c>
      <c r="U216" t="s">
        <v>52</v>
      </c>
      <c r="V216" t="s">
        <v>62</v>
      </c>
      <c r="W216" t="s">
        <v>63</v>
      </c>
      <c r="Y216" t="s">
        <v>52</v>
      </c>
      <c r="AB216" t="s">
        <v>917</v>
      </c>
      <c r="AE216" t="s">
        <v>917</v>
      </c>
      <c r="AF216" t="s">
        <v>52</v>
      </c>
      <c r="AH216">
        <v>0</v>
      </c>
      <c r="AI216">
        <v>0</v>
      </c>
      <c r="AJ216" t="s">
        <v>52</v>
      </c>
      <c r="AK216">
        <v>0</v>
      </c>
      <c r="AL216" t="s">
        <v>52</v>
      </c>
      <c r="AM216" t="s">
        <v>52</v>
      </c>
      <c r="AN216">
        <v>0</v>
      </c>
      <c r="AO216">
        <v>0</v>
      </c>
      <c r="AP216" t="s">
        <v>52</v>
      </c>
      <c r="AQ216" t="s">
        <v>52</v>
      </c>
      <c r="AR216" t="s">
        <v>62</v>
      </c>
      <c r="AS216" t="s">
        <v>52</v>
      </c>
      <c r="AT216" t="s">
        <v>52</v>
      </c>
      <c r="AU216" t="s">
        <v>64</v>
      </c>
      <c r="AV216" t="s">
        <v>62</v>
      </c>
      <c r="AW216" t="s">
        <v>65</v>
      </c>
      <c r="AX216" t="s">
        <v>66</v>
      </c>
      <c r="AY216" t="s">
        <v>67</v>
      </c>
    </row>
    <row r="217" spans="1:51" hidden="1" x14ac:dyDescent="0.25">
      <c r="A217">
        <v>317132</v>
      </c>
      <c r="B217" t="s">
        <v>918</v>
      </c>
      <c r="C217" t="e">
        <f>VLOOKUP(A217,[1]Customer_payment_journal_line!$AL:$BO,30,0)</f>
        <v>#N/A</v>
      </c>
      <c r="D217" t="s">
        <v>53</v>
      </c>
      <c r="E217" t="s">
        <v>914</v>
      </c>
      <c r="F217" t="s">
        <v>915</v>
      </c>
      <c r="G217" t="s">
        <v>631</v>
      </c>
      <c r="H217" t="s">
        <v>69</v>
      </c>
      <c r="I217" t="s">
        <v>919</v>
      </c>
      <c r="J217" t="s">
        <v>920</v>
      </c>
      <c r="K217" t="s">
        <v>916</v>
      </c>
      <c r="L217" t="s">
        <v>52</v>
      </c>
      <c r="M217">
        <v>0</v>
      </c>
      <c r="N217">
        <v>30</v>
      </c>
      <c r="O217" t="s">
        <v>126</v>
      </c>
      <c r="P217">
        <v>5285</v>
      </c>
      <c r="Q217" t="s">
        <v>52</v>
      </c>
      <c r="R217" t="s">
        <v>52</v>
      </c>
      <c r="S217" t="s">
        <v>52</v>
      </c>
      <c r="T217" t="s">
        <v>52</v>
      </c>
      <c r="U217" t="s">
        <v>52</v>
      </c>
      <c r="V217" t="s">
        <v>62</v>
      </c>
      <c r="W217" t="s">
        <v>52</v>
      </c>
      <c r="Y217" t="s">
        <v>921</v>
      </c>
      <c r="Z217" t="s">
        <v>62</v>
      </c>
      <c r="AB217" t="s">
        <v>917</v>
      </c>
      <c r="AE217" t="s">
        <v>917</v>
      </c>
      <c r="AF217" t="s">
        <v>52</v>
      </c>
      <c r="AH217">
        <v>0</v>
      </c>
      <c r="AI217">
        <v>0</v>
      </c>
      <c r="AJ217" t="s">
        <v>52</v>
      </c>
      <c r="AK217">
        <v>0</v>
      </c>
      <c r="AL217" t="s">
        <v>52</v>
      </c>
      <c r="AM217" t="s">
        <v>52</v>
      </c>
      <c r="AN217">
        <v>0</v>
      </c>
      <c r="AO217">
        <v>0</v>
      </c>
      <c r="AP217" t="s">
        <v>52</v>
      </c>
      <c r="AQ217" t="s">
        <v>52</v>
      </c>
      <c r="AR217" t="s">
        <v>62</v>
      </c>
      <c r="AS217" t="s">
        <v>52</v>
      </c>
      <c r="AT217" t="s">
        <v>74</v>
      </c>
      <c r="AU217" t="s">
        <v>64</v>
      </c>
      <c r="AV217" t="s">
        <v>62</v>
      </c>
      <c r="AW217" t="s">
        <v>65</v>
      </c>
      <c r="AX217" t="s">
        <v>66</v>
      </c>
      <c r="AY217" t="s">
        <v>67</v>
      </c>
    </row>
    <row r="218" spans="1:51" hidden="1" x14ac:dyDescent="0.25">
      <c r="A218">
        <v>317132</v>
      </c>
      <c r="B218" t="s">
        <v>922</v>
      </c>
      <c r="C218" t="e">
        <f>VLOOKUP(A218,[1]Customer_payment_journal_line!$AL:$BO,30,0)</f>
        <v>#N/A</v>
      </c>
      <c r="D218" t="s">
        <v>53</v>
      </c>
      <c r="E218" t="s">
        <v>914</v>
      </c>
      <c r="F218" t="s">
        <v>915</v>
      </c>
      <c r="G218" t="s">
        <v>631</v>
      </c>
      <c r="H218" t="s">
        <v>210</v>
      </c>
      <c r="I218" t="s">
        <v>923</v>
      </c>
      <c r="J218" t="s">
        <v>52</v>
      </c>
      <c r="K218" t="s">
        <v>916</v>
      </c>
      <c r="L218" t="s">
        <v>52</v>
      </c>
      <c r="M218">
        <v>0</v>
      </c>
      <c r="N218">
        <v>124.5</v>
      </c>
      <c r="O218" t="s">
        <v>61</v>
      </c>
      <c r="P218">
        <v>100</v>
      </c>
      <c r="Q218" t="s">
        <v>52</v>
      </c>
      <c r="R218" t="s">
        <v>52</v>
      </c>
      <c r="S218" t="s">
        <v>52</v>
      </c>
      <c r="T218" t="s">
        <v>52</v>
      </c>
      <c r="U218" t="s">
        <v>52</v>
      </c>
      <c r="V218" t="s">
        <v>62</v>
      </c>
      <c r="W218" t="s">
        <v>63</v>
      </c>
      <c r="Y218" t="s">
        <v>921</v>
      </c>
      <c r="AB218" t="s">
        <v>917</v>
      </c>
      <c r="AE218" t="s">
        <v>917</v>
      </c>
      <c r="AF218" t="s">
        <v>52</v>
      </c>
      <c r="AH218">
        <v>0</v>
      </c>
      <c r="AI218">
        <v>0</v>
      </c>
      <c r="AJ218" t="s">
        <v>52</v>
      </c>
      <c r="AK218">
        <v>0</v>
      </c>
      <c r="AL218" t="s">
        <v>52</v>
      </c>
      <c r="AM218" t="s">
        <v>52</v>
      </c>
      <c r="AN218">
        <v>0</v>
      </c>
      <c r="AO218">
        <v>0</v>
      </c>
      <c r="AP218" t="s">
        <v>52</v>
      </c>
      <c r="AQ218" t="s">
        <v>52</v>
      </c>
      <c r="AR218" t="s">
        <v>62</v>
      </c>
      <c r="AS218" t="s">
        <v>52</v>
      </c>
      <c r="AT218" t="s">
        <v>52</v>
      </c>
      <c r="AU218" t="s">
        <v>64</v>
      </c>
      <c r="AV218" t="s">
        <v>62</v>
      </c>
      <c r="AW218" t="s">
        <v>65</v>
      </c>
      <c r="AX218" t="s">
        <v>66</v>
      </c>
      <c r="AY218" t="s">
        <v>67</v>
      </c>
    </row>
    <row r="219" spans="1:51" hidden="1" x14ac:dyDescent="0.25">
      <c r="A219">
        <v>202359</v>
      </c>
      <c r="B219" t="s">
        <v>924</v>
      </c>
      <c r="C219" t="e">
        <f>VLOOKUP(A219,[1]Customer_payment_journal_line!$AL:$BO,30,0)</f>
        <v>#N/A</v>
      </c>
      <c r="D219" t="s">
        <v>53</v>
      </c>
      <c r="E219" t="s">
        <v>925</v>
      </c>
      <c r="F219" t="s">
        <v>926</v>
      </c>
      <c r="G219" t="s">
        <v>631</v>
      </c>
      <c r="H219" t="s">
        <v>57</v>
      </c>
      <c r="I219" t="s">
        <v>58</v>
      </c>
      <c r="J219" t="s">
        <v>927</v>
      </c>
      <c r="K219" t="s">
        <v>916</v>
      </c>
      <c r="L219" t="s">
        <v>52</v>
      </c>
      <c r="M219">
        <v>855</v>
      </c>
      <c r="N219">
        <v>0</v>
      </c>
      <c r="O219" t="s">
        <v>61</v>
      </c>
      <c r="P219">
        <v>100</v>
      </c>
      <c r="Q219" t="s">
        <v>52</v>
      </c>
      <c r="R219" t="s">
        <v>52</v>
      </c>
      <c r="S219" t="s">
        <v>52</v>
      </c>
      <c r="T219" t="s">
        <v>52</v>
      </c>
      <c r="U219" t="s">
        <v>52</v>
      </c>
      <c r="V219" t="s">
        <v>62</v>
      </c>
      <c r="W219" t="s">
        <v>63</v>
      </c>
      <c r="Y219" t="s">
        <v>52</v>
      </c>
      <c r="AB219" t="s">
        <v>52</v>
      </c>
      <c r="AE219" t="s">
        <v>52</v>
      </c>
      <c r="AF219" t="s">
        <v>52</v>
      </c>
      <c r="AH219">
        <v>0</v>
      </c>
      <c r="AI219">
        <v>0</v>
      </c>
      <c r="AJ219" t="s">
        <v>52</v>
      </c>
      <c r="AK219">
        <v>0</v>
      </c>
      <c r="AL219" t="s">
        <v>52</v>
      </c>
      <c r="AM219" t="s">
        <v>52</v>
      </c>
      <c r="AN219">
        <v>0</v>
      </c>
      <c r="AO219">
        <v>0</v>
      </c>
      <c r="AP219" t="s">
        <v>52</v>
      </c>
      <c r="AQ219" t="s">
        <v>52</v>
      </c>
      <c r="AR219" t="s">
        <v>62</v>
      </c>
      <c r="AS219" t="s">
        <v>52</v>
      </c>
      <c r="AT219" t="s">
        <v>52</v>
      </c>
      <c r="AU219" t="s">
        <v>64</v>
      </c>
      <c r="AV219" t="s">
        <v>62</v>
      </c>
      <c r="AW219" t="s">
        <v>65</v>
      </c>
      <c r="AX219" t="s">
        <v>66</v>
      </c>
      <c r="AY219" t="s">
        <v>67</v>
      </c>
    </row>
    <row r="220" spans="1:51" hidden="1" x14ac:dyDescent="0.25">
      <c r="A220">
        <v>202359</v>
      </c>
      <c r="B220" t="s">
        <v>928</v>
      </c>
      <c r="C220" t="e">
        <f>VLOOKUP(A220,[1]Customer_payment_journal_line!$AL:$BO,30,0)</f>
        <v>#N/A</v>
      </c>
      <c r="D220" t="s">
        <v>53</v>
      </c>
      <c r="E220" t="s">
        <v>925</v>
      </c>
      <c r="F220" t="s">
        <v>926</v>
      </c>
      <c r="G220" t="s">
        <v>631</v>
      </c>
      <c r="H220" t="s">
        <v>69</v>
      </c>
      <c r="I220" t="s">
        <v>919</v>
      </c>
      <c r="J220" t="s">
        <v>927</v>
      </c>
      <c r="K220" t="s">
        <v>916</v>
      </c>
      <c r="L220" t="s">
        <v>52</v>
      </c>
      <c r="M220">
        <v>0</v>
      </c>
      <c r="N220">
        <v>855</v>
      </c>
      <c r="O220" t="s">
        <v>61</v>
      </c>
      <c r="P220">
        <v>100</v>
      </c>
      <c r="Q220" t="s">
        <v>52</v>
      </c>
      <c r="R220" t="s">
        <v>52</v>
      </c>
      <c r="S220" t="s">
        <v>52</v>
      </c>
      <c r="T220" t="s">
        <v>52</v>
      </c>
      <c r="U220" t="s">
        <v>52</v>
      </c>
      <c r="V220" t="s">
        <v>62</v>
      </c>
      <c r="W220" t="s">
        <v>52</v>
      </c>
      <c r="Y220" t="s">
        <v>921</v>
      </c>
      <c r="Z220" t="s">
        <v>62</v>
      </c>
      <c r="AB220" t="s">
        <v>929</v>
      </c>
      <c r="AE220" t="s">
        <v>930</v>
      </c>
      <c r="AF220" t="s">
        <v>52</v>
      </c>
      <c r="AH220">
        <v>0</v>
      </c>
      <c r="AI220">
        <v>0</v>
      </c>
      <c r="AJ220" t="s">
        <v>52</v>
      </c>
      <c r="AK220">
        <v>0</v>
      </c>
      <c r="AL220" t="s">
        <v>52</v>
      </c>
      <c r="AM220" t="s">
        <v>52</v>
      </c>
      <c r="AN220">
        <v>0</v>
      </c>
      <c r="AO220">
        <v>0</v>
      </c>
      <c r="AP220" t="s">
        <v>52</v>
      </c>
      <c r="AQ220" t="s">
        <v>52</v>
      </c>
      <c r="AR220" t="s">
        <v>62</v>
      </c>
      <c r="AS220" t="s">
        <v>52</v>
      </c>
      <c r="AT220" t="s">
        <v>74</v>
      </c>
      <c r="AU220" t="s">
        <v>64</v>
      </c>
      <c r="AV220" t="s">
        <v>62</v>
      </c>
      <c r="AW220" t="s">
        <v>65</v>
      </c>
      <c r="AX220" t="s">
        <v>66</v>
      </c>
      <c r="AY220" t="s">
        <v>67</v>
      </c>
    </row>
    <row r="221" spans="1:51" hidden="1" x14ac:dyDescent="0.25">
      <c r="A221">
        <v>202360</v>
      </c>
      <c r="B221" t="s">
        <v>931</v>
      </c>
      <c r="C221" t="e">
        <f>VLOOKUP(A221,[1]Customer_payment_journal_line!$AL:$BO,30,0)</f>
        <v>#N/A</v>
      </c>
      <c r="D221" t="s">
        <v>53</v>
      </c>
      <c r="E221" t="s">
        <v>932</v>
      </c>
      <c r="F221" t="s">
        <v>933</v>
      </c>
      <c r="G221" t="s">
        <v>631</v>
      </c>
      <c r="H221" t="s">
        <v>57</v>
      </c>
      <c r="I221" t="s">
        <v>58</v>
      </c>
      <c r="J221" t="s">
        <v>927</v>
      </c>
      <c r="K221" t="s">
        <v>916</v>
      </c>
      <c r="L221" t="s">
        <v>52</v>
      </c>
      <c r="M221">
        <v>1710</v>
      </c>
      <c r="N221">
        <v>0</v>
      </c>
      <c r="O221" t="s">
        <v>61</v>
      </c>
      <c r="P221">
        <v>100</v>
      </c>
      <c r="Q221" t="s">
        <v>52</v>
      </c>
      <c r="R221" t="s">
        <v>52</v>
      </c>
      <c r="S221" t="s">
        <v>52</v>
      </c>
      <c r="T221" t="s">
        <v>52</v>
      </c>
      <c r="U221" t="s">
        <v>52</v>
      </c>
      <c r="V221" t="s">
        <v>62</v>
      </c>
      <c r="W221" t="s">
        <v>63</v>
      </c>
      <c r="Y221" t="s">
        <v>52</v>
      </c>
      <c r="AB221" t="s">
        <v>52</v>
      </c>
      <c r="AE221" t="s">
        <v>52</v>
      </c>
      <c r="AF221" t="s">
        <v>52</v>
      </c>
      <c r="AH221">
        <v>0</v>
      </c>
      <c r="AI221">
        <v>0</v>
      </c>
      <c r="AJ221" t="s">
        <v>52</v>
      </c>
      <c r="AK221">
        <v>0</v>
      </c>
      <c r="AL221" t="s">
        <v>52</v>
      </c>
      <c r="AM221" t="s">
        <v>52</v>
      </c>
      <c r="AN221">
        <v>0</v>
      </c>
      <c r="AO221">
        <v>0</v>
      </c>
      <c r="AP221" t="s">
        <v>52</v>
      </c>
      <c r="AQ221" t="s">
        <v>52</v>
      </c>
      <c r="AR221" t="s">
        <v>62</v>
      </c>
      <c r="AS221" t="s">
        <v>52</v>
      </c>
      <c r="AT221" t="s">
        <v>52</v>
      </c>
      <c r="AU221" t="s">
        <v>64</v>
      </c>
      <c r="AV221" t="s">
        <v>62</v>
      </c>
      <c r="AW221" t="s">
        <v>65</v>
      </c>
      <c r="AX221" t="s">
        <v>66</v>
      </c>
      <c r="AY221" t="s">
        <v>67</v>
      </c>
    </row>
    <row r="222" spans="1:51" hidden="1" x14ac:dyDescent="0.25">
      <c r="A222">
        <v>202360</v>
      </c>
      <c r="B222" t="s">
        <v>934</v>
      </c>
      <c r="C222" t="e">
        <f>VLOOKUP(A222,[1]Customer_payment_journal_line!$AL:$BO,30,0)</f>
        <v>#N/A</v>
      </c>
      <c r="D222" t="s">
        <v>53</v>
      </c>
      <c r="E222" t="s">
        <v>932</v>
      </c>
      <c r="F222" t="s">
        <v>933</v>
      </c>
      <c r="G222" t="s">
        <v>631</v>
      </c>
      <c r="H222" t="s">
        <v>69</v>
      </c>
      <c r="I222" t="s">
        <v>919</v>
      </c>
      <c r="J222" t="s">
        <v>927</v>
      </c>
      <c r="K222" t="s">
        <v>916</v>
      </c>
      <c r="L222" t="s">
        <v>52</v>
      </c>
      <c r="M222">
        <v>0</v>
      </c>
      <c r="N222">
        <v>1710</v>
      </c>
      <c r="O222" t="s">
        <v>61</v>
      </c>
      <c r="P222">
        <v>100</v>
      </c>
      <c r="Q222" t="s">
        <v>52</v>
      </c>
      <c r="R222" t="s">
        <v>52</v>
      </c>
      <c r="S222" t="s">
        <v>52</v>
      </c>
      <c r="T222" t="s">
        <v>52</v>
      </c>
      <c r="U222" t="s">
        <v>52</v>
      </c>
      <c r="V222" t="s">
        <v>62</v>
      </c>
      <c r="W222" t="s">
        <v>52</v>
      </c>
      <c r="Y222" t="s">
        <v>921</v>
      </c>
      <c r="Z222" t="s">
        <v>62</v>
      </c>
      <c r="AB222" t="s">
        <v>935</v>
      </c>
      <c r="AE222" t="s">
        <v>936</v>
      </c>
      <c r="AF222" t="s">
        <v>52</v>
      </c>
      <c r="AH222">
        <v>0</v>
      </c>
      <c r="AI222">
        <v>0</v>
      </c>
      <c r="AJ222" t="s">
        <v>52</v>
      </c>
      <c r="AK222">
        <v>0</v>
      </c>
      <c r="AL222" t="s">
        <v>52</v>
      </c>
      <c r="AM222" t="s">
        <v>52</v>
      </c>
      <c r="AN222">
        <v>0</v>
      </c>
      <c r="AO222">
        <v>0</v>
      </c>
      <c r="AP222" t="s">
        <v>52</v>
      </c>
      <c r="AQ222" t="s">
        <v>52</v>
      </c>
      <c r="AR222" t="s">
        <v>62</v>
      </c>
      <c r="AS222" t="s">
        <v>52</v>
      </c>
      <c r="AT222" t="s">
        <v>74</v>
      </c>
      <c r="AU222" t="s">
        <v>64</v>
      </c>
      <c r="AV222" t="s">
        <v>62</v>
      </c>
      <c r="AW222" t="s">
        <v>65</v>
      </c>
      <c r="AX222" t="s">
        <v>66</v>
      </c>
      <c r="AY222" t="s">
        <v>67</v>
      </c>
    </row>
    <row r="223" spans="1:51" hidden="1" x14ac:dyDescent="0.25">
      <c r="A223">
        <v>405951</v>
      </c>
      <c r="B223" t="s">
        <v>937</v>
      </c>
      <c r="C223" t="e">
        <f>VLOOKUP(A223,[1]Customer_payment_journal_line!$AL:$BO,30,0)</f>
        <v>#N/A</v>
      </c>
      <c r="D223" t="s">
        <v>53</v>
      </c>
      <c r="E223" t="s">
        <v>938</v>
      </c>
      <c r="F223" t="s">
        <v>939</v>
      </c>
      <c r="G223" t="s">
        <v>631</v>
      </c>
      <c r="H223" t="s">
        <v>57</v>
      </c>
      <c r="I223" t="s">
        <v>58</v>
      </c>
      <c r="J223" t="s">
        <v>770</v>
      </c>
      <c r="K223" t="s">
        <v>763</v>
      </c>
      <c r="L223" t="s">
        <v>52</v>
      </c>
      <c r="M223">
        <v>855</v>
      </c>
      <c r="N223">
        <v>0</v>
      </c>
      <c r="O223" t="s">
        <v>61</v>
      </c>
      <c r="P223">
        <v>100</v>
      </c>
      <c r="Q223" t="s">
        <v>52</v>
      </c>
      <c r="R223" t="s">
        <v>52</v>
      </c>
      <c r="S223" t="s">
        <v>52</v>
      </c>
      <c r="T223" t="s">
        <v>52</v>
      </c>
      <c r="U223" t="s">
        <v>52</v>
      </c>
      <c r="V223" t="s">
        <v>62</v>
      </c>
      <c r="W223" t="s">
        <v>63</v>
      </c>
      <c r="Y223" t="s">
        <v>52</v>
      </c>
      <c r="AB223" t="s">
        <v>52</v>
      </c>
      <c r="AE223" t="s">
        <v>52</v>
      </c>
      <c r="AF223" t="s">
        <v>52</v>
      </c>
      <c r="AH223">
        <v>0</v>
      </c>
      <c r="AI223">
        <v>0</v>
      </c>
      <c r="AJ223" t="s">
        <v>52</v>
      </c>
      <c r="AK223">
        <v>0</v>
      </c>
      <c r="AL223" t="s">
        <v>52</v>
      </c>
      <c r="AM223" t="s">
        <v>52</v>
      </c>
      <c r="AN223">
        <v>0</v>
      </c>
      <c r="AO223">
        <v>0</v>
      </c>
      <c r="AP223" t="s">
        <v>52</v>
      </c>
      <c r="AQ223" t="s">
        <v>52</v>
      </c>
      <c r="AR223" t="s">
        <v>62</v>
      </c>
      <c r="AS223" t="s">
        <v>52</v>
      </c>
      <c r="AT223" t="s">
        <v>52</v>
      </c>
      <c r="AU223" t="s">
        <v>64</v>
      </c>
      <c r="AV223" t="s">
        <v>62</v>
      </c>
      <c r="AW223" t="s">
        <v>65</v>
      </c>
      <c r="AX223" t="s">
        <v>66</v>
      </c>
      <c r="AY223" t="s">
        <v>67</v>
      </c>
    </row>
    <row r="224" spans="1:51" hidden="1" x14ac:dyDescent="0.25">
      <c r="A224">
        <v>405951</v>
      </c>
      <c r="B224" t="s">
        <v>940</v>
      </c>
      <c r="C224" t="e">
        <f>VLOOKUP(A224,[1]Customer_payment_journal_line!$AL:$BO,30,0)</f>
        <v>#N/A</v>
      </c>
      <c r="D224" t="s">
        <v>53</v>
      </c>
      <c r="E224" t="s">
        <v>938</v>
      </c>
      <c r="F224" t="s">
        <v>939</v>
      </c>
      <c r="G224" t="s">
        <v>631</v>
      </c>
      <c r="H224" t="s">
        <v>69</v>
      </c>
      <c r="I224" t="s">
        <v>769</v>
      </c>
      <c r="J224" t="s">
        <v>770</v>
      </c>
      <c r="K224" t="s">
        <v>763</v>
      </c>
      <c r="L224" t="s">
        <v>52</v>
      </c>
      <c r="M224">
        <v>0</v>
      </c>
      <c r="N224">
        <v>855</v>
      </c>
      <c r="O224" t="s">
        <v>61</v>
      </c>
      <c r="P224">
        <v>100</v>
      </c>
      <c r="Q224" t="s">
        <v>52</v>
      </c>
      <c r="R224" t="s">
        <v>52</v>
      </c>
      <c r="S224" t="s">
        <v>52</v>
      </c>
      <c r="T224" t="s">
        <v>52</v>
      </c>
      <c r="U224" t="s">
        <v>52</v>
      </c>
      <c r="V224" t="s">
        <v>62</v>
      </c>
      <c r="W224" t="s">
        <v>52</v>
      </c>
      <c r="Y224" t="s">
        <v>771</v>
      </c>
      <c r="Z224" t="s">
        <v>62</v>
      </c>
      <c r="AB224" t="s">
        <v>941</v>
      </c>
      <c r="AE224" t="s">
        <v>942</v>
      </c>
      <c r="AF224" t="s">
        <v>52</v>
      </c>
      <c r="AH224">
        <v>0</v>
      </c>
      <c r="AI224">
        <v>0</v>
      </c>
      <c r="AJ224" t="s">
        <v>52</v>
      </c>
      <c r="AK224">
        <v>0</v>
      </c>
      <c r="AL224" t="s">
        <v>52</v>
      </c>
      <c r="AM224" t="s">
        <v>52</v>
      </c>
      <c r="AN224">
        <v>0</v>
      </c>
      <c r="AO224">
        <v>0</v>
      </c>
      <c r="AP224" t="s">
        <v>52</v>
      </c>
      <c r="AQ224" t="s">
        <v>52</v>
      </c>
      <c r="AR224" t="s">
        <v>62</v>
      </c>
      <c r="AS224" t="s">
        <v>52</v>
      </c>
      <c r="AT224" t="s">
        <v>74</v>
      </c>
      <c r="AU224" t="s">
        <v>64</v>
      </c>
      <c r="AV224" t="s">
        <v>62</v>
      </c>
      <c r="AW224" t="s">
        <v>65</v>
      </c>
      <c r="AX224" t="s">
        <v>66</v>
      </c>
      <c r="AY224" t="s">
        <v>67</v>
      </c>
    </row>
    <row r="225" spans="1:51" hidden="1" x14ac:dyDescent="0.25">
      <c r="A225">
        <v>405953</v>
      </c>
      <c r="B225" t="s">
        <v>943</v>
      </c>
      <c r="C225" t="e">
        <f>VLOOKUP(A225,[1]Customer_payment_journal_line!$AL:$BO,30,0)</f>
        <v>#N/A</v>
      </c>
      <c r="D225" t="s">
        <v>53</v>
      </c>
      <c r="E225" t="s">
        <v>944</v>
      </c>
      <c r="F225" t="s">
        <v>945</v>
      </c>
      <c r="G225" t="s">
        <v>631</v>
      </c>
      <c r="H225" t="s">
        <v>201</v>
      </c>
      <c r="I225" t="s">
        <v>58</v>
      </c>
      <c r="J225" t="s">
        <v>202</v>
      </c>
      <c r="K225" t="s">
        <v>783</v>
      </c>
      <c r="L225" t="s">
        <v>52</v>
      </c>
      <c r="M225">
        <v>285</v>
      </c>
      <c r="N225">
        <v>0</v>
      </c>
      <c r="O225" t="s">
        <v>61</v>
      </c>
      <c r="P225">
        <v>100</v>
      </c>
      <c r="Q225" t="s">
        <v>52</v>
      </c>
      <c r="R225" t="s">
        <v>52</v>
      </c>
      <c r="S225" t="s">
        <v>52</v>
      </c>
      <c r="T225" t="s">
        <v>52</v>
      </c>
      <c r="U225" t="s">
        <v>52</v>
      </c>
      <c r="V225" t="s">
        <v>62</v>
      </c>
      <c r="W225" t="s">
        <v>63</v>
      </c>
      <c r="Y225" t="s">
        <v>52</v>
      </c>
      <c r="AB225" t="s">
        <v>946</v>
      </c>
      <c r="AE225" t="s">
        <v>946</v>
      </c>
      <c r="AF225" t="s">
        <v>52</v>
      </c>
      <c r="AH225">
        <v>0</v>
      </c>
      <c r="AI225">
        <v>0</v>
      </c>
      <c r="AJ225" t="s">
        <v>52</v>
      </c>
      <c r="AK225">
        <v>0</v>
      </c>
      <c r="AL225" t="s">
        <v>52</v>
      </c>
      <c r="AM225" t="s">
        <v>52</v>
      </c>
      <c r="AN225">
        <v>0</v>
      </c>
      <c r="AO225">
        <v>0</v>
      </c>
      <c r="AP225" t="s">
        <v>52</v>
      </c>
      <c r="AQ225" t="s">
        <v>52</v>
      </c>
      <c r="AR225" t="s">
        <v>62</v>
      </c>
      <c r="AS225" t="s">
        <v>52</v>
      </c>
      <c r="AT225" t="s">
        <v>52</v>
      </c>
      <c r="AU225" t="s">
        <v>64</v>
      </c>
      <c r="AV225" t="s">
        <v>62</v>
      </c>
      <c r="AW225" t="s">
        <v>65</v>
      </c>
      <c r="AX225" t="s">
        <v>66</v>
      </c>
      <c r="AY225" t="s">
        <v>67</v>
      </c>
    </row>
    <row r="226" spans="1:51" hidden="1" x14ac:dyDescent="0.25">
      <c r="A226">
        <v>405953</v>
      </c>
      <c r="B226" t="s">
        <v>947</v>
      </c>
      <c r="C226" t="e">
        <f>VLOOKUP(A226,[1]Customer_payment_journal_line!$AL:$BO,30,0)</f>
        <v>#N/A</v>
      </c>
      <c r="D226" t="s">
        <v>53</v>
      </c>
      <c r="E226" t="s">
        <v>944</v>
      </c>
      <c r="F226" t="s">
        <v>945</v>
      </c>
      <c r="G226" t="s">
        <v>631</v>
      </c>
      <c r="H226" t="s">
        <v>69</v>
      </c>
      <c r="I226" t="s">
        <v>769</v>
      </c>
      <c r="J226" t="s">
        <v>948</v>
      </c>
      <c r="K226" t="s">
        <v>783</v>
      </c>
      <c r="L226" t="s">
        <v>52</v>
      </c>
      <c r="M226">
        <v>0</v>
      </c>
      <c r="N226">
        <v>5</v>
      </c>
      <c r="O226" t="s">
        <v>126</v>
      </c>
      <c r="P226">
        <v>5285</v>
      </c>
      <c r="Q226" t="s">
        <v>52</v>
      </c>
      <c r="R226" t="s">
        <v>52</v>
      </c>
      <c r="S226" t="s">
        <v>52</v>
      </c>
      <c r="T226" t="s">
        <v>52</v>
      </c>
      <c r="U226" t="s">
        <v>52</v>
      </c>
      <c r="V226" t="s">
        <v>62</v>
      </c>
      <c r="W226" t="s">
        <v>52</v>
      </c>
      <c r="Y226" t="s">
        <v>771</v>
      </c>
      <c r="Z226" t="s">
        <v>62</v>
      </c>
      <c r="AB226" t="s">
        <v>946</v>
      </c>
      <c r="AE226" t="s">
        <v>946</v>
      </c>
      <c r="AF226" t="s">
        <v>52</v>
      </c>
      <c r="AH226">
        <v>0</v>
      </c>
      <c r="AI226">
        <v>0</v>
      </c>
      <c r="AJ226" t="s">
        <v>52</v>
      </c>
      <c r="AK226">
        <v>0</v>
      </c>
      <c r="AL226" t="s">
        <v>52</v>
      </c>
      <c r="AM226" t="s">
        <v>52</v>
      </c>
      <c r="AN226">
        <v>0</v>
      </c>
      <c r="AO226">
        <v>0</v>
      </c>
      <c r="AP226" t="s">
        <v>52</v>
      </c>
      <c r="AQ226" t="s">
        <v>52</v>
      </c>
      <c r="AR226" t="s">
        <v>62</v>
      </c>
      <c r="AS226" t="s">
        <v>52</v>
      </c>
      <c r="AT226" t="s">
        <v>74</v>
      </c>
      <c r="AU226" t="s">
        <v>64</v>
      </c>
      <c r="AV226" t="s">
        <v>62</v>
      </c>
      <c r="AW226" t="s">
        <v>65</v>
      </c>
      <c r="AX226" t="s">
        <v>66</v>
      </c>
      <c r="AY226" t="s">
        <v>67</v>
      </c>
    </row>
    <row r="227" spans="1:51" hidden="1" x14ac:dyDescent="0.25">
      <c r="A227">
        <v>405953</v>
      </c>
      <c r="B227" t="s">
        <v>949</v>
      </c>
      <c r="C227" t="e">
        <f>VLOOKUP(A227,[1]Customer_payment_journal_line!$AL:$BO,30,0)</f>
        <v>#N/A</v>
      </c>
      <c r="D227" t="s">
        <v>53</v>
      </c>
      <c r="E227" t="s">
        <v>944</v>
      </c>
      <c r="F227" t="s">
        <v>945</v>
      </c>
      <c r="G227" t="s">
        <v>631</v>
      </c>
      <c r="H227" t="s">
        <v>210</v>
      </c>
      <c r="I227" t="s">
        <v>950</v>
      </c>
      <c r="J227" t="s">
        <v>52</v>
      </c>
      <c r="K227" t="s">
        <v>783</v>
      </c>
      <c r="L227" t="s">
        <v>52</v>
      </c>
      <c r="M227">
        <v>0</v>
      </c>
      <c r="N227">
        <v>20.75</v>
      </c>
      <c r="O227" t="s">
        <v>61</v>
      </c>
      <c r="P227">
        <v>100</v>
      </c>
      <c r="Q227" t="s">
        <v>52</v>
      </c>
      <c r="R227" t="s">
        <v>52</v>
      </c>
      <c r="S227" t="s">
        <v>52</v>
      </c>
      <c r="T227" t="s">
        <v>52</v>
      </c>
      <c r="U227" t="s">
        <v>52</v>
      </c>
      <c r="V227" t="s">
        <v>62</v>
      </c>
      <c r="W227" t="s">
        <v>63</v>
      </c>
      <c r="Y227" t="s">
        <v>771</v>
      </c>
      <c r="AB227" t="s">
        <v>946</v>
      </c>
      <c r="AE227" t="s">
        <v>946</v>
      </c>
      <c r="AF227" t="s">
        <v>52</v>
      </c>
      <c r="AH227">
        <v>0</v>
      </c>
      <c r="AI227">
        <v>0</v>
      </c>
      <c r="AJ227" t="s">
        <v>52</v>
      </c>
      <c r="AK227">
        <v>0</v>
      </c>
      <c r="AL227" t="s">
        <v>52</v>
      </c>
      <c r="AM227" t="s">
        <v>52</v>
      </c>
      <c r="AN227">
        <v>0</v>
      </c>
      <c r="AO227">
        <v>0</v>
      </c>
      <c r="AP227" t="s">
        <v>52</v>
      </c>
      <c r="AQ227" t="s">
        <v>52</v>
      </c>
      <c r="AR227" t="s">
        <v>62</v>
      </c>
      <c r="AS227" t="s">
        <v>52</v>
      </c>
      <c r="AT227" t="s">
        <v>52</v>
      </c>
      <c r="AU227" t="s">
        <v>64</v>
      </c>
      <c r="AV227" t="s">
        <v>62</v>
      </c>
      <c r="AW227" t="s">
        <v>65</v>
      </c>
      <c r="AX227" t="s">
        <v>66</v>
      </c>
      <c r="AY227" t="s">
        <v>67</v>
      </c>
    </row>
    <row r="228" spans="1:51" hidden="1" x14ac:dyDescent="0.25">
      <c r="A228">
        <v>202374</v>
      </c>
      <c r="B228" t="s">
        <v>951</v>
      </c>
      <c r="C228" t="e">
        <f>VLOOKUP(A228,[1]Customer_payment_journal_line!$AL:$BO,30,0)</f>
        <v>#N/A</v>
      </c>
      <c r="D228" t="s">
        <v>53</v>
      </c>
      <c r="E228" t="s">
        <v>952</v>
      </c>
      <c r="F228" t="s">
        <v>953</v>
      </c>
      <c r="G228" t="s">
        <v>631</v>
      </c>
      <c r="H228" t="s">
        <v>57</v>
      </c>
      <c r="I228" t="s">
        <v>319</v>
      </c>
      <c r="J228" t="s">
        <v>954</v>
      </c>
      <c r="K228" t="s">
        <v>795</v>
      </c>
      <c r="L228" t="s">
        <v>52</v>
      </c>
      <c r="M228">
        <v>855</v>
      </c>
      <c r="N228">
        <v>0</v>
      </c>
      <c r="O228" t="s">
        <v>61</v>
      </c>
      <c r="P228">
        <v>100</v>
      </c>
      <c r="Q228" t="s">
        <v>52</v>
      </c>
      <c r="R228" t="s">
        <v>52</v>
      </c>
      <c r="S228" t="s">
        <v>52</v>
      </c>
      <c r="T228" t="s">
        <v>52</v>
      </c>
      <c r="U228" t="s">
        <v>52</v>
      </c>
      <c r="V228" t="s">
        <v>62</v>
      </c>
      <c r="W228" t="s">
        <v>63</v>
      </c>
      <c r="Y228" t="s">
        <v>52</v>
      </c>
      <c r="AB228" t="s">
        <v>52</v>
      </c>
      <c r="AE228" t="s">
        <v>52</v>
      </c>
      <c r="AF228" t="s">
        <v>52</v>
      </c>
      <c r="AH228">
        <v>0</v>
      </c>
      <c r="AI228">
        <v>0</v>
      </c>
      <c r="AJ228" t="s">
        <v>52</v>
      </c>
      <c r="AK228">
        <v>0</v>
      </c>
      <c r="AL228" t="s">
        <v>52</v>
      </c>
      <c r="AM228" t="s">
        <v>52</v>
      </c>
      <c r="AN228">
        <v>0</v>
      </c>
      <c r="AO228">
        <v>0</v>
      </c>
      <c r="AP228" t="s">
        <v>52</v>
      </c>
      <c r="AQ228" t="s">
        <v>52</v>
      </c>
      <c r="AR228" t="s">
        <v>62</v>
      </c>
      <c r="AS228" t="s">
        <v>52</v>
      </c>
      <c r="AT228" t="s">
        <v>52</v>
      </c>
      <c r="AU228" t="s">
        <v>64</v>
      </c>
      <c r="AV228" t="s">
        <v>62</v>
      </c>
      <c r="AW228" t="s">
        <v>65</v>
      </c>
      <c r="AX228" t="s">
        <v>66</v>
      </c>
      <c r="AY228" t="s">
        <v>67</v>
      </c>
    </row>
    <row r="229" spans="1:51" hidden="1" x14ac:dyDescent="0.25">
      <c r="A229">
        <v>202374</v>
      </c>
      <c r="B229" t="s">
        <v>955</v>
      </c>
      <c r="C229" t="e">
        <f>VLOOKUP(A229,[1]Customer_payment_journal_line!$AL:$BO,30,0)</f>
        <v>#N/A</v>
      </c>
      <c r="D229" t="s">
        <v>53</v>
      </c>
      <c r="E229" t="s">
        <v>952</v>
      </c>
      <c r="F229" t="s">
        <v>953</v>
      </c>
      <c r="G229" t="s">
        <v>631</v>
      </c>
      <c r="H229" t="s">
        <v>69</v>
      </c>
      <c r="I229" t="s">
        <v>956</v>
      </c>
      <c r="J229" t="s">
        <v>954</v>
      </c>
      <c r="K229" t="s">
        <v>795</v>
      </c>
      <c r="L229" t="s">
        <v>52</v>
      </c>
      <c r="M229">
        <v>0</v>
      </c>
      <c r="N229">
        <v>855</v>
      </c>
      <c r="O229" t="s">
        <v>61</v>
      </c>
      <c r="P229">
        <v>100</v>
      </c>
      <c r="Q229" t="s">
        <v>52</v>
      </c>
      <c r="R229" t="s">
        <v>52</v>
      </c>
      <c r="S229" t="s">
        <v>52</v>
      </c>
      <c r="T229" t="s">
        <v>52</v>
      </c>
      <c r="U229" t="s">
        <v>52</v>
      </c>
      <c r="V229" t="s">
        <v>62</v>
      </c>
      <c r="W229" t="s">
        <v>52</v>
      </c>
      <c r="Y229" t="s">
        <v>957</v>
      </c>
      <c r="Z229" t="s">
        <v>62</v>
      </c>
      <c r="AB229" t="s">
        <v>958</v>
      </c>
      <c r="AE229" t="s">
        <v>959</v>
      </c>
      <c r="AF229" t="s">
        <v>52</v>
      </c>
      <c r="AH229">
        <v>0</v>
      </c>
      <c r="AI229">
        <v>0</v>
      </c>
      <c r="AJ229" t="s">
        <v>52</v>
      </c>
      <c r="AK229">
        <v>0</v>
      </c>
      <c r="AL229" t="s">
        <v>52</v>
      </c>
      <c r="AM229" t="s">
        <v>52</v>
      </c>
      <c r="AN229">
        <v>0</v>
      </c>
      <c r="AO229">
        <v>0</v>
      </c>
      <c r="AP229" t="s">
        <v>52</v>
      </c>
      <c r="AQ229" t="s">
        <v>52</v>
      </c>
      <c r="AR229" t="s">
        <v>62</v>
      </c>
      <c r="AS229" t="s">
        <v>52</v>
      </c>
      <c r="AT229" t="s">
        <v>74</v>
      </c>
      <c r="AU229" t="s">
        <v>64</v>
      </c>
      <c r="AV229" t="s">
        <v>62</v>
      </c>
      <c r="AW229" t="s">
        <v>65</v>
      </c>
      <c r="AX229" t="s">
        <v>66</v>
      </c>
      <c r="AY229" t="s">
        <v>67</v>
      </c>
    </row>
    <row r="230" spans="1:51" hidden="1" x14ac:dyDescent="0.25">
      <c r="A230">
        <v>202375</v>
      </c>
      <c r="B230" t="s">
        <v>960</v>
      </c>
      <c r="C230" t="e">
        <f>VLOOKUP(A230,[1]Customer_payment_journal_line!$AL:$BO,30,0)</f>
        <v>#N/A</v>
      </c>
      <c r="D230" t="s">
        <v>53</v>
      </c>
      <c r="E230" t="s">
        <v>961</v>
      </c>
      <c r="F230" t="s">
        <v>962</v>
      </c>
      <c r="G230" t="s">
        <v>631</v>
      </c>
      <c r="H230" t="s">
        <v>57</v>
      </c>
      <c r="I230" t="s">
        <v>319</v>
      </c>
      <c r="J230" t="s">
        <v>954</v>
      </c>
      <c r="K230" t="s">
        <v>795</v>
      </c>
      <c r="L230" t="s">
        <v>52</v>
      </c>
      <c r="M230">
        <v>36639.599999999999</v>
      </c>
      <c r="N230">
        <v>0</v>
      </c>
      <c r="O230" t="s">
        <v>61</v>
      </c>
      <c r="P230">
        <v>100</v>
      </c>
      <c r="Q230" t="s">
        <v>52</v>
      </c>
      <c r="R230" t="s">
        <v>52</v>
      </c>
      <c r="S230" t="s">
        <v>52</v>
      </c>
      <c r="T230" t="s">
        <v>52</v>
      </c>
      <c r="U230" t="s">
        <v>52</v>
      </c>
      <c r="V230" t="s">
        <v>62</v>
      </c>
      <c r="W230" t="s">
        <v>63</v>
      </c>
      <c r="Y230" t="s">
        <v>52</v>
      </c>
      <c r="AB230" t="s">
        <v>52</v>
      </c>
      <c r="AE230" t="s">
        <v>52</v>
      </c>
      <c r="AF230" t="s">
        <v>52</v>
      </c>
      <c r="AH230">
        <v>0</v>
      </c>
      <c r="AI230">
        <v>0</v>
      </c>
      <c r="AJ230" t="s">
        <v>52</v>
      </c>
      <c r="AK230">
        <v>0</v>
      </c>
      <c r="AL230" t="s">
        <v>52</v>
      </c>
      <c r="AM230" t="s">
        <v>52</v>
      </c>
      <c r="AN230">
        <v>0</v>
      </c>
      <c r="AO230">
        <v>0</v>
      </c>
      <c r="AP230" t="s">
        <v>52</v>
      </c>
      <c r="AQ230" t="s">
        <v>52</v>
      </c>
      <c r="AR230" t="s">
        <v>62</v>
      </c>
      <c r="AS230" t="s">
        <v>52</v>
      </c>
      <c r="AT230" t="s">
        <v>52</v>
      </c>
      <c r="AU230" t="s">
        <v>64</v>
      </c>
      <c r="AV230" t="s">
        <v>62</v>
      </c>
      <c r="AW230" t="s">
        <v>65</v>
      </c>
      <c r="AX230" t="s">
        <v>66</v>
      </c>
      <c r="AY230" t="s">
        <v>67</v>
      </c>
    </row>
    <row r="231" spans="1:51" hidden="1" x14ac:dyDescent="0.25">
      <c r="A231">
        <v>202375</v>
      </c>
      <c r="B231" t="s">
        <v>963</v>
      </c>
      <c r="C231" t="e">
        <f>VLOOKUP(A231,[1]Customer_payment_journal_line!$AL:$BO,30,0)</f>
        <v>#N/A</v>
      </c>
      <c r="D231" t="s">
        <v>53</v>
      </c>
      <c r="E231" t="s">
        <v>961</v>
      </c>
      <c r="F231" t="s">
        <v>962</v>
      </c>
      <c r="G231" t="s">
        <v>631</v>
      </c>
      <c r="H231" t="s">
        <v>69</v>
      </c>
      <c r="I231" t="s">
        <v>956</v>
      </c>
      <c r="J231" t="s">
        <v>954</v>
      </c>
      <c r="K231" t="s">
        <v>795</v>
      </c>
      <c r="L231" t="s">
        <v>52</v>
      </c>
      <c r="M231">
        <v>0</v>
      </c>
      <c r="N231">
        <v>36639.599999999999</v>
      </c>
      <c r="O231" t="s">
        <v>61</v>
      </c>
      <c r="P231">
        <v>100</v>
      </c>
      <c r="Q231" t="s">
        <v>52</v>
      </c>
      <c r="R231" t="s">
        <v>52</v>
      </c>
      <c r="S231" t="s">
        <v>52</v>
      </c>
      <c r="T231" t="s">
        <v>52</v>
      </c>
      <c r="U231" t="s">
        <v>52</v>
      </c>
      <c r="V231" t="s">
        <v>62</v>
      </c>
      <c r="W231" t="s">
        <v>52</v>
      </c>
      <c r="Y231" t="s">
        <v>957</v>
      </c>
      <c r="Z231" t="s">
        <v>62</v>
      </c>
      <c r="AB231" t="s">
        <v>964</v>
      </c>
      <c r="AE231" t="s">
        <v>965</v>
      </c>
      <c r="AF231" t="s">
        <v>52</v>
      </c>
      <c r="AH231">
        <v>0</v>
      </c>
      <c r="AI231">
        <v>0</v>
      </c>
      <c r="AJ231" t="s">
        <v>52</v>
      </c>
      <c r="AK231">
        <v>0</v>
      </c>
      <c r="AL231" t="s">
        <v>52</v>
      </c>
      <c r="AM231" t="s">
        <v>52</v>
      </c>
      <c r="AN231">
        <v>0</v>
      </c>
      <c r="AO231">
        <v>0</v>
      </c>
      <c r="AP231" t="s">
        <v>52</v>
      </c>
      <c r="AQ231" t="s">
        <v>52</v>
      </c>
      <c r="AR231" t="s">
        <v>62</v>
      </c>
      <c r="AS231" t="s">
        <v>52</v>
      </c>
      <c r="AT231" t="s">
        <v>74</v>
      </c>
      <c r="AU231" t="s">
        <v>64</v>
      </c>
      <c r="AV231" t="s">
        <v>62</v>
      </c>
      <c r="AW231" t="s">
        <v>65</v>
      </c>
      <c r="AX231" t="s">
        <v>66</v>
      </c>
      <c r="AY231" t="s">
        <v>67</v>
      </c>
    </row>
    <row r="232" spans="1:51" hidden="1" x14ac:dyDescent="0.25">
      <c r="A232">
        <v>202425</v>
      </c>
      <c r="B232" t="s">
        <v>966</v>
      </c>
      <c r="C232" t="str">
        <f>VLOOKUP(A232,[1]Customer_payment_journal_line!$AL:$BO,30,0)</f>
        <v>CPay-000000019</v>
      </c>
      <c r="D232" t="s">
        <v>53</v>
      </c>
      <c r="E232" t="s">
        <v>967</v>
      </c>
      <c r="F232" t="s">
        <v>968</v>
      </c>
      <c r="G232" t="s">
        <v>969</v>
      </c>
      <c r="H232" t="s">
        <v>57</v>
      </c>
      <c r="I232" t="s">
        <v>95</v>
      </c>
      <c r="J232" t="s">
        <v>255</v>
      </c>
      <c r="K232" t="s">
        <v>970</v>
      </c>
      <c r="L232">
        <f>VLOOKUP(A232,[1]Customer_payment_journal_line!$B:$L,11,0)</f>
        <v>1653</v>
      </c>
      <c r="M232" s="1">
        <v>1653</v>
      </c>
      <c r="N232" s="2">
        <f>L232-M232</f>
        <v>0</v>
      </c>
      <c r="O232" t="s">
        <v>61</v>
      </c>
      <c r="P232">
        <v>100</v>
      </c>
      <c r="Q232" t="s">
        <v>52</v>
      </c>
      <c r="R232" t="s">
        <v>52</v>
      </c>
      <c r="S232" t="s">
        <v>52</v>
      </c>
      <c r="T232" t="s">
        <v>52</v>
      </c>
      <c r="U232" t="s">
        <v>52</v>
      </c>
      <c r="V232" t="s">
        <v>62</v>
      </c>
      <c r="W232" t="s">
        <v>63</v>
      </c>
      <c r="Y232" t="s">
        <v>52</v>
      </c>
      <c r="AB232" t="s">
        <v>52</v>
      </c>
      <c r="AE232" t="s">
        <v>52</v>
      </c>
      <c r="AF232" t="s">
        <v>52</v>
      </c>
      <c r="AH232">
        <v>0</v>
      </c>
      <c r="AI232">
        <v>0</v>
      </c>
      <c r="AJ232" t="s">
        <v>52</v>
      </c>
      <c r="AK232">
        <v>0</v>
      </c>
      <c r="AL232" t="s">
        <v>52</v>
      </c>
      <c r="AM232" t="s">
        <v>52</v>
      </c>
      <c r="AN232">
        <v>0</v>
      </c>
      <c r="AO232">
        <v>0</v>
      </c>
      <c r="AP232" t="s">
        <v>52</v>
      </c>
      <c r="AQ232" t="s">
        <v>52</v>
      </c>
      <c r="AR232" t="s">
        <v>62</v>
      </c>
      <c r="AS232" t="s">
        <v>52</v>
      </c>
      <c r="AT232" t="s">
        <v>52</v>
      </c>
      <c r="AU232" t="s">
        <v>64</v>
      </c>
      <c r="AV232" t="s">
        <v>62</v>
      </c>
      <c r="AW232" t="s">
        <v>65</v>
      </c>
      <c r="AX232" t="s">
        <v>66</v>
      </c>
      <c r="AY232" t="s">
        <v>67</v>
      </c>
    </row>
    <row r="233" spans="1:51" hidden="1" x14ac:dyDescent="0.25">
      <c r="A233">
        <v>202425</v>
      </c>
      <c r="B233" t="s">
        <v>971</v>
      </c>
      <c r="C233" t="str">
        <f>VLOOKUP(A233,[1]Customer_payment_journal_line!$AL:$BO,30,0)</f>
        <v>CPay-000000019</v>
      </c>
      <c r="D233" t="s">
        <v>53</v>
      </c>
      <c r="E233" t="s">
        <v>967</v>
      </c>
      <c r="F233" t="s">
        <v>968</v>
      </c>
      <c r="G233" t="s">
        <v>969</v>
      </c>
      <c r="H233" t="s">
        <v>69</v>
      </c>
      <c r="I233" t="s">
        <v>99</v>
      </c>
      <c r="J233" t="s">
        <v>255</v>
      </c>
      <c r="K233" t="s">
        <v>970</v>
      </c>
      <c r="L233">
        <f>VLOOKUP(A233,[1]Customer_payment_journal_line!$B:$L,11,0)</f>
        <v>1653</v>
      </c>
      <c r="M233" s="1">
        <v>0</v>
      </c>
      <c r="N233">
        <v>1653</v>
      </c>
      <c r="O233" t="s">
        <v>61</v>
      </c>
      <c r="P233">
        <v>100</v>
      </c>
      <c r="Q233" t="s">
        <v>52</v>
      </c>
      <c r="R233" t="s">
        <v>52</v>
      </c>
      <c r="S233" t="s">
        <v>52</v>
      </c>
      <c r="T233" t="s">
        <v>52</v>
      </c>
      <c r="U233" t="s">
        <v>52</v>
      </c>
      <c r="V233" t="s">
        <v>62</v>
      </c>
      <c r="W233" t="s">
        <v>52</v>
      </c>
      <c r="Y233" t="s">
        <v>100</v>
      </c>
      <c r="Z233" t="s">
        <v>62</v>
      </c>
      <c r="AB233" t="s">
        <v>972</v>
      </c>
      <c r="AE233" t="s">
        <v>973</v>
      </c>
      <c r="AF233" t="s">
        <v>52</v>
      </c>
      <c r="AH233">
        <v>0</v>
      </c>
      <c r="AI233">
        <v>0</v>
      </c>
      <c r="AJ233" t="s">
        <v>52</v>
      </c>
      <c r="AK233">
        <v>0</v>
      </c>
      <c r="AL233" t="s">
        <v>52</v>
      </c>
      <c r="AM233" t="s">
        <v>52</v>
      </c>
      <c r="AN233">
        <v>0</v>
      </c>
      <c r="AO233">
        <v>0</v>
      </c>
      <c r="AP233" t="s">
        <v>52</v>
      </c>
      <c r="AQ233" t="s">
        <v>52</v>
      </c>
      <c r="AR233" t="s">
        <v>62</v>
      </c>
      <c r="AS233" t="s">
        <v>52</v>
      </c>
      <c r="AT233" t="s">
        <v>74</v>
      </c>
      <c r="AU233" t="s">
        <v>64</v>
      </c>
      <c r="AV233" t="s">
        <v>62</v>
      </c>
      <c r="AW233" t="s">
        <v>65</v>
      </c>
      <c r="AX233" t="s">
        <v>66</v>
      </c>
      <c r="AY233" t="s">
        <v>67</v>
      </c>
    </row>
    <row r="234" spans="1:51" hidden="1" x14ac:dyDescent="0.25">
      <c r="A234">
        <v>202426</v>
      </c>
      <c r="B234" t="s">
        <v>974</v>
      </c>
      <c r="C234" t="str">
        <f>VLOOKUP(A234,[1]Customer_payment_journal_line!$AL:$BO,30,0)</f>
        <v>CPay-000000020</v>
      </c>
      <c r="D234" t="s">
        <v>53</v>
      </c>
      <c r="E234" t="s">
        <v>975</v>
      </c>
      <c r="F234" t="s">
        <v>976</v>
      </c>
      <c r="G234" t="s">
        <v>969</v>
      </c>
      <c r="H234" t="s">
        <v>57</v>
      </c>
      <c r="I234" t="s">
        <v>95</v>
      </c>
      <c r="J234" t="s">
        <v>255</v>
      </c>
      <c r="K234" t="s">
        <v>970</v>
      </c>
      <c r="L234">
        <f>VLOOKUP(A234,[1]Customer_payment_journal_line!$B:$L,11,0)</f>
        <v>516.53</v>
      </c>
      <c r="M234" s="1">
        <v>516.53</v>
      </c>
      <c r="N234" s="2">
        <f>L234-M234</f>
        <v>0</v>
      </c>
      <c r="O234" t="s">
        <v>61</v>
      </c>
      <c r="P234">
        <v>100</v>
      </c>
      <c r="Q234" t="s">
        <v>52</v>
      </c>
      <c r="R234" t="s">
        <v>52</v>
      </c>
      <c r="S234" t="s">
        <v>52</v>
      </c>
      <c r="T234" t="s">
        <v>52</v>
      </c>
      <c r="U234" t="s">
        <v>52</v>
      </c>
      <c r="V234" t="s">
        <v>62</v>
      </c>
      <c r="W234" t="s">
        <v>63</v>
      </c>
      <c r="Y234" t="s">
        <v>52</v>
      </c>
      <c r="AB234" t="s">
        <v>52</v>
      </c>
      <c r="AE234" t="s">
        <v>52</v>
      </c>
      <c r="AF234" t="s">
        <v>52</v>
      </c>
      <c r="AH234">
        <v>0</v>
      </c>
      <c r="AI234">
        <v>0</v>
      </c>
      <c r="AJ234" t="s">
        <v>52</v>
      </c>
      <c r="AK234">
        <v>0</v>
      </c>
      <c r="AL234" t="s">
        <v>52</v>
      </c>
      <c r="AM234" t="s">
        <v>52</v>
      </c>
      <c r="AN234">
        <v>0</v>
      </c>
      <c r="AO234">
        <v>0</v>
      </c>
      <c r="AP234" t="s">
        <v>52</v>
      </c>
      <c r="AQ234" t="s">
        <v>52</v>
      </c>
      <c r="AR234" t="s">
        <v>62</v>
      </c>
      <c r="AS234" t="s">
        <v>52</v>
      </c>
      <c r="AT234" t="s">
        <v>52</v>
      </c>
      <c r="AU234" t="s">
        <v>64</v>
      </c>
      <c r="AV234" t="s">
        <v>62</v>
      </c>
      <c r="AW234" t="s">
        <v>65</v>
      </c>
      <c r="AX234" t="s">
        <v>66</v>
      </c>
      <c r="AY234" t="s">
        <v>67</v>
      </c>
    </row>
    <row r="235" spans="1:51" hidden="1" x14ac:dyDescent="0.25">
      <c r="A235">
        <v>202426</v>
      </c>
      <c r="B235" t="s">
        <v>977</v>
      </c>
      <c r="C235" t="str">
        <f>VLOOKUP(A235,[1]Customer_payment_journal_line!$AL:$BO,30,0)</f>
        <v>CPay-000000020</v>
      </c>
      <c r="D235" t="s">
        <v>53</v>
      </c>
      <c r="E235" t="s">
        <v>975</v>
      </c>
      <c r="F235" t="s">
        <v>976</v>
      </c>
      <c r="G235" t="s">
        <v>969</v>
      </c>
      <c r="H235" t="s">
        <v>69</v>
      </c>
      <c r="I235" t="s">
        <v>99</v>
      </c>
      <c r="J235" t="s">
        <v>255</v>
      </c>
      <c r="K235" t="s">
        <v>970</v>
      </c>
      <c r="L235">
        <f>VLOOKUP(A235,[1]Customer_payment_journal_line!$B:$L,11,0)</f>
        <v>516.53</v>
      </c>
      <c r="M235" s="1">
        <v>0</v>
      </c>
      <c r="N235">
        <v>516.53</v>
      </c>
      <c r="O235" t="s">
        <v>61</v>
      </c>
      <c r="P235">
        <v>100</v>
      </c>
      <c r="Q235" t="s">
        <v>52</v>
      </c>
      <c r="R235" t="s">
        <v>52</v>
      </c>
      <c r="S235" t="s">
        <v>52</v>
      </c>
      <c r="T235" t="s">
        <v>52</v>
      </c>
      <c r="U235" t="s">
        <v>52</v>
      </c>
      <c r="V235" t="s">
        <v>62</v>
      </c>
      <c r="W235" t="s">
        <v>52</v>
      </c>
      <c r="Y235" t="s">
        <v>100</v>
      </c>
      <c r="Z235" t="s">
        <v>62</v>
      </c>
      <c r="AB235" t="s">
        <v>978</v>
      </c>
      <c r="AE235" t="s">
        <v>979</v>
      </c>
      <c r="AF235" t="s">
        <v>52</v>
      </c>
      <c r="AH235">
        <v>0</v>
      </c>
      <c r="AI235">
        <v>0</v>
      </c>
      <c r="AJ235" t="s">
        <v>52</v>
      </c>
      <c r="AK235">
        <v>0</v>
      </c>
      <c r="AL235" t="s">
        <v>52</v>
      </c>
      <c r="AM235" t="s">
        <v>52</v>
      </c>
      <c r="AN235">
        <v>0</v>
      </c>
      <c r="AO235">
        <v>0</v>
      </c>
      <c r="AP235" t="s">
        <v>52</v>
      </c>
      <c r="AQ235" t="s">
        <v>52</v>
      </c>
      <c r="AR235" t="s">
        <v>62</v>
      </c>
      <c r="AS235" t="s">
        <v>52</v>
      </c>
      <c r="AT235" t="s">
        <v>74</v>
      </c>
      <c r="AU235" t="s">
        <v>64</v>
      </c>
      <c r="AV235" t="s">
        <v>62</v>
      </c>
      <c r="AW235" t="s">
        <v>65</v>
      </c>
      <c r="AX235" t="s">
        <v>66</v>
      </c>
      <c r="AY235" t="s">
        <v>67</v>
      </c>
    </row>
    <row r="236" spans="1:51" hidden="1" x14ac:dyDescent="0.25">
      <c r="A236">
        <v>317134</v>
      </c>
      <c r="B236" t="s">
        <v>980</v>
      </c>
      <c r="C236" t="e">
        <f>VLOOKUP(A236,[1]Customer_payment_journal_line!$AL:$BO,30,0)</f>
        <v>#N/A</v>
      </c>
      <c r="D236" t="s">
        <v>53</v>
      </c>
      <c r="E236" t="s">
        <v>981</v>
      </c>
      <c r="F236" t="s">
        <v>982</v>
      </c>
      <c r="G236" t="s">
        <v>969</v>
      </c>
      <c r="H236" t="s">
        <v>201</v>
      </c>
      <c r="I236" t="s">
        <v>516</v>
      </c>
      <c r="J236" t="s">
        <v>202</v>
      </c>
      <c r="K236" t="s">
        <v>983</v>
      </c>
      <c r="L236" t="s">
        <v>52</v>
      </c>
      <c r="M236">
        <v>265</v>
      </c>
      <c r="N236">
        <v>0</v>
      </c>
      <c r="O236" t="s">
        <v>178</v>
      </c>
      <c r="P236">
        <v>5085</v>
      </c>
      <c r="Q236" t="s">
        <v>52</v>
      </c>
      <c r="R236" t="s">
        <v>52</v>
      </c>
      <c r="S236" t="s">
        <v>52</v>
      </c>
      <c r="T236" t="s">
        <v>52</v>
      </c>
      <c r="U236" t="s">
        <v>52</v>
      </c>
      <c r="V236" t="s">
        <v>62</v>
      </c>
      <c r="W236" t="s">
        <v>63</v>
      </c>
      <c r="Y236" t="s">
        <v>52</v>
      </c>
      <c r="AB236" t="s">
        <v>984</v>
      </c>
      <c r="AE236" t="s">
        <v>984</v>
      </c>
      <c r="AF236" t="s">
        <v>52</v>
      </c>
      <c r="AH236">
        <v>0</v>
      </c>
      <c r="AI236">
        <v>0</v>
      </c>
      <c r="AJ236" t="s">
        <v>52</v>
      </c>
      <c r="AK236">
        <v>0</v>
      </c>
      <c r="AL236" t="s">
        <v>52</v>
      </c>
      <c r="AM236" t="s">
        <v>52</v>
      </c>
      <c r="AN236">
        <v>0</v>
      </c>
      <c r="AO236">
        <v>0</v>
      </c>
      <c r="AP236" t="s">
        <v>52</v>
      </c>
      <c r="AQ236" t="s">
        <v>52</v>
      </c>
      <c r="AR236" t="s">
        <v>62</v>
      </c>
      <c r="AS236" t="s">
        <v>52</v>
      </c>
      <c r="AT236" t="s">
        <v>52</v>
      </c>
      <c r="AU236" t="s">
        <v>64</v>
      </c>
      <c r="AV236" t="s">
        <v>62</v>
      </c>
      <c r="AW236" t="s">
        <v>65</v>
      </c>
      <c r="AX236" t="s">
        <v>66</v>
      </c>
      <c r="AY236" t="s">
        <v>67</v>
      </c>
    </row>
    <row r="237" spans="1:51" hidden="1" x14ac:dyDescent="0.25">
      <c r="A237">
        <v>317134</v>
      </c>
      <c r="B237" t="s">
        <v>985</v>
      </c>
      <c r="C237" t="e">
        <f>VLOOKUP(A237,[1]Customer_payment_journal_line!$AL:$BO,30,0)</f>
        <v>#N/A</v>
      </c>
      <c r="D237" t="s">
        <v>53</v>
      </c>
      <c r="E237" t="s">
        <v>981</v>
      </c>
      <c r="F237" t="s">
        <v>982</v>
      </c>
      <c r="G237" t="s">
        <v>969</v>
      </c>
      <c r="H237" t="s">
        <v>69</v>
      </c>
      <c r="I237" t="s">
        <v>986</v>
      </c>
      <c r="J237" t="s">
        <v>987</v>
      </c>
      <c r="K237" t="s">
        <v>983</v>
      </c>
      <c r="L237" t="s">
        <v>52</v>
      </c>
      <c r="M237">
        <v>0</v>
      </c>
      <c r="N237">
        <v>250</v>
      </c>
      <c r="O237" t="s">
        <v>126</v>
      </c>
      <c r="P237">
        <v>5285</v>
      </c>
      <c r="Q237" t="s">
        <v>52</v>
      </c>
      <c r="R237" t="s">
        <v>52</v>
      </c>
      <c r="S237" t="s">
        <v>52</v>
      </c>
      <c r="T237" t="s">
        <v>52</v>
      </c>
      <c r="U237" t="s">
        <v>52</v>
      </c>
      <c r="V237" t="s">
        <v>62</v>
      </c>
      <c r="W237" t="s">
        <v>52</v>
      </c>
      <c r="Y237" t="s">
        <v>988</v>
      </c>
      <c r="Z237" t="s">
        <v>62</v>
      </c>
      <c r="AB237" t="s">
        <v>984</v>
      </c>
      <c r="AE237" t="s">
        <v>984</v>
      </c>
      <c r="AF237" t="s">
        <v>52</v>
      </c>
      <c r="AH237">
        <v>0</v>
      </c>
      <c r="AI237">
        <v>0</v>
      </c>
      <c r="AJ237" t="s">
        <v>52</v>
      </c>
      <c r="AK237">
        <v>0</v>
      </c>
      <c r="AL237" t="s">
        <v>52</v>
      </c>
      <c r="AM237" t="s">
        <v>52</v>
      </c>
      <c r="AN237">
        <v>0</v>
      </c>
      <c r="AO237">
        <v>0</v>
      </c>
      <c r="AP237" t="s">
        <v>52</v>
      </c>
      <c r="AQ237" t="s">
        <v>52</v>
      </c>
      <c r="AR237" t="s">
        <v>62</v>
      </c>
      <c r="AS237" t="s">
        <v>52</v>
      </c>
      <c r="AT237" t="s">
        <v>74</v>
      </c>
      <c r="AU237" t="s">
        <v>64</v>
      </c>
      <c r="AV237" t="s">
        <v>62</v>
      </c>
      <c r="AW237" t="s">
        <v>65</v>
      </c>
      <c r="AX237" t="s">
        <v>66</v>
      </c>
      <c r="AY237" t="s">
        <v>67</v>
      </c>
    </row>
    <row r="238" spans="1:51" hidden="1" x14ac:dyDescent="0.25">
      <c r="A238">
        <v>317134</v>
      </c>
      <c r="B238" t="s">
        <v>989</v>
      </c>
      <c r="C238" t="e">
        <f>VLOOKUP(A238,[1]Customer_payment_journal_line!$AL:$BO,30,0)</f>
        <v>#N/A</v>
      </c>
      <c r="D238" t="s">
        <v>53</v>
      </c>
      <c r="E238" t="s">
        <v>981</v>
      </c>
      <c r="F238" t="s">
        <v>982</v>
      </c>
      <c r="G238" t="s">
        <v>969</v>
      </c>
      <c r="H238" t="s">
        <v>210</v>
      </c>
      <c r="I238" t="s">
        <v>990</v>
      </c>
      <c r="J238" t="s">
        <v>52</v>
      </c>
      <c r="K238" t="s">
        <v>983</v>
      </c>
      <c r="L238" t="s">
        <v>52</v>
      </c>
      <c r="M238">
        <v>0</v>
      </c>
      <c r="N238">
        <v>262.75</v>
      </c>
      <c r="O238" t="s">
        <v>61</v>
      </c>
      <c r="P238">
        <v>100</v>
      </c>
      <c r="Q238" t="s">
        <v>52</v>
      </c>
      <c r="R238" t="s">
        <v>52</v>
      </c>
      <c r="S238" t="s">
        <v>52</v>
      </c>
      <c r="T238" t="s">
        <v>52</v>
      </c>
      <c r="U238" t="s">
        <v>52</v>
      </c>
      <c r="V238" t="s">
        <v>62</v>
      </c>
      <c r="W238" t="s">
        <v>63</v>
      </c>
      <c r="Y238" t="s">
        <v>988</v>
      </c>
      <c r="AB238" t="s">
        <v>984</v>
      </c>
      <c r="AE238" t="s">
        <v>984</v>
      </c>
      <c r="AF238" t="s">
        <v>52</v>
      </c>
      <c r="AH238">
        <v>0</v>
      </c>
      <c r="AI238">
        <v>0</v>
      </c>
      <c r="AJ238" t="s">
        <v>52</v>
      </c>
      <c r="AK238">
        <v>0</v>
      </c>
      <c r="AL238" t="s">
        <v>52</v>
      </c>
      <c r="AM238" t="s">
        <v>52</v>
      </c>
      <c r="AN238">
        <v>0</v>
      </c>
      <c r="AO238">
        <v>0</v>
      </c>
      <c r="AP238" t="s">
        <v>52</v>
      </c>
      <c r="AQ238" t="s">
        <v>52</v>
      </c>
      <c r="AR238" t="s">
        <v>62</v>
      </c>
      <c r="AS238" t="s">
        <v>52</v>
      </c>
      <c r="AT238" t="s">
        <v>52</v>
      </c>
      <c r="AU238" t="s">
        <v>64</v>
      </c>
      <c r="AV238" t="s">
        <v>62</v>
      </c>
      <c r="AW238" t="s">
        <v>65</v>
      </c>
      <c r="AX238" t="s">
        <v>66</v>
      </c>
      <c r="AY238" t="s">
        <v>67</v>
      </c>
    </row>
    <row r="239" spans="1:51" hidden="1" x14ac:dyDescent="0.25">
      <c r="A239">
        <v>202392</v>
      </c>
      <c r="B239" t="s">
        <v>991</v>
      </c>
      <c r="C239" t="e">
        <f>VLOOKUP(A239,[1]Customer_payment_journal_line!$AL:$BO,30,0)</f>
        <v>#N/A</v>
      </c>
      <c r="D239" t="s">
        <v>53</v>
      </c>
      <c r="E239" t="s">
        <v>992</v>
      </c>
      <c r="F239" t="s">
        <v>993</v>
      </c>
      <c r="G239" t="s">
        <v>969</v>
      </c>
      <c r="H239" t="s">
        <v>57</v>
      </c>
      <c r="I239" t="s">
        <v>58</v>
      </c>
      <c r="J239" t="s">
        <v>994</v>
      </c>
      <c r="K239" t="s">
        <v>983</v>
      </c>
      <c r="L239" t="s">
        <v>52</v>
      </c>
      <c r="M239">
        <v>5130</v>
      </c>
      <c r="N239">
        <v>0</v>
      </c>
      <c r="O239" t="s">
        <v>61</v>
      </c>
      <c r="P239">
        <v>100</v>
      </c>
      <c r="Q239" t="s">
        <v>52</v>
      </c>
      <c r="R239" t="s">
        <v>52</v>
      </c>
      <c r="S239" t="s">
        <v>52</v>
      </c>
      <c r="T239" t="s">
        <v>52</v>
      </c>
      <c r="U239" t="s">
        <v>52</v>
      </c>
      <c r="V239" t="s">
        <v>62</v>
      </c>
      <c r="W239" t="s">
        <v>63</v>
      </c>
      <c r="Y239" t="s">
        <v>52</v>
      </c>
      <c r="AB239" t="s">
        <v>52</v>
      </c>
      <c r="AE239" t="s">
        <v>52</v>
      </c>
      <c r="AF239" t="s">
        <v>52</v>
      </c>
      <c r="AH239">
        <v>0</v>
      </c>
      <c r="AI239">
        <v>0</v>
      </c>
      <c r="AJ239" t="s">
        <v>52</v>
      </c>
      <c r="AK239">
        <v>0</v>
      </c>
      <c r="AL239" t="s">
        <v>52</v>
      </c>
      <c r="AM239" t="s">
        <v>52</v>
      </c>
      <c r="AN239">
        <v>0</v>
      </c>
      <c r="AO239">
        <v>0</v>
      </c>
      <c r="AP239" t="s">
        <v>52</v>
      </c>
      <c r="AQ239" t="s">
        <v>52</v>
      </c>
      <c r="AR239" t="s">
        <v>62</v>
      </c>
      <c r="AS239" t="s">
        <v>52</v>
      </c>
      <c r="AT239" t="s">
        <v>52</v>
      </c>
      <c r="AU239" t="s">
        <v>64</v>
      </c>
      <c r="AV239" t="s">
        <v>62</v>
      </c>
      <c r="AW239" t="s">
        <v>65</v>
      </c>
      <c r="AX239" t="s">
        <v>66</v>
      </c>
      <c r="AY239" t="s">
        <v>67</v>
      </c>
    </row>
    <row r="240" spans="1:51" hidden="1" x14ac:dyDescent="0.25">
      <c r="A240">
        <v>202392</v>
      </c>
      <c r="B240" t="s">
        <v>995</v>
      </c>
      <c r="C240" t="e">
        <f>VLOOKUP(A240,[1]Customer_payment_journal_line!$AL:$BO,30,0)</f>
        <v>#N/A</v>
      </c>
      <c r="D240" t="s">
        <v>53</v>
      </c>
      <c r="E240" t="s">
        <v>992</v>
      </c>
      <c r="F240" t="s">
        <v>993</v>
      </c>
      <c r="G240" t="s">
        <v>969</v>
      </c>
      <c r="H240" t="s">
        <v>69</v>
      </c>
      <c r="I240" t="s">
        <v>986</v>
      </c>
      <c r="J240" t="s">
        <v>994</v>
      </c>
      <c r="K240" t="s">
        <v>983</v>
      </c>
      <c r="L240" t="s">
        <v>52</v>
      </c>
      <c r="M240">
        <v>0</v>
      </c>
      <c r="N240">
        <v>5130</v>
      </c>
      <c r="O240" t="s">
        <v>61</v>
      </c>
      <c r="P240">
        <v>100</v>
      </c>
      <c r="Q240" t="s">
        <v>52</v>
      </c>
      <c r="R240" t="s">
        <v>52</v>
      </c>
      <c r="S240" t="s">
        <v>52</v>
      </c>
      <c r="T240" t="s">
        <v>52</v>
      </c>
      <c r="U240" t="s">
        <v>52</v>
      </c>
      <c r="V240" t="s">
        <v>62</v>
      </c>
      <c r="W240" t="s">
        <v>52</v>
      </c>
      <c r="Y240" t="s">
        <v>988</v>
      </c>
      <c r="Z240" t="s">
        <v>62</v>
      </c>
      <c r="AB240" t="s">
        <v>996</v>
      </c>
      <c r="AE240" t="s">
        <v>997</v>
      </c>
      <c r="AF240" t="s">
        <v>52</v>
      </c>
      <c r="AH240">
        <v>0</v>
      </c>
      <c r="AI240">
        <v>0</v>
      </c>
      <c r="AJ240" t="s">
        <v>52</v>
      </c>
      <c r="AK240">
        <v>0</v>
      </c>
      <c r="AL240" t="s">
        <v>52</v>
      </c>
      <c r="AM240" t="s">
        <v>52</v>
      </c>
      <c r="AN240">
        <v>0</v>
      </c>
      <c r="AO240">
        <v>0</v>
      </c>
      <c r="AP240" t="s">
        <v>52</v>
      </c>
      <c r="AQ240" t="s">
        <v>52</v>
      </c>
      <c r="AR240" t="s">
        <v>62</v>
      </c>
      <c r="AS240" t="s">
        <v>52</v>
      </c>
      <c r="AT240" t="s">
        <v>74</v>
      </c>
      <c r="AU240" t="s">
        <v>64</v>
      </c>
      <c r="AV240" t="s">
        <v>62</v>
      </c>
      <c r="AW240" t="s">
        <v>65</v>
      </c>
      <c r="AX240" t="s">
        <v>66</v>
      </c>
      <c r="AY240" t="s">
        <v>67</v>
      </c>
    </row>
    <row r="241" spans="1:51" hidden="1" x14ac:dyDescent="0.25">
      <c r="A241">
        <v>202393</v>
      </c>
      <c r="B241" t="s">
        <v>998</v>
      </c>
      <c r="C241" t="e">
        <f>VLOOKUP(A241,[1]Customer_payment_journal_line!$AL:$BO,30,0)</f>
        <v>#N/A</v>
      </c>
      <c r="D241" t="s">
        <v>53</v>
      </c>
      <c r="E241" t="s">
        <v>999</v>
      </c>
      <c r="F241" t="s">
        <v>1000</v>
      </c>
      <c r="G241" t="s">
        <v>969</v>
      </c>
      <c r="H241" t="s">
        <v>57</v>
      </c>
      <c r="I241" t="s">
        <v>58</v>
      </c>
      <c r="J241" t="s">
        <v>994</v>
      </c>
      <c r="K241" t="s">
        <v>983</v>
      </c>
      <c r="L241" t="s">
        <v>52</v>
      </c>
      <c r="M241">
        <v>855</v>
      </c>
      <c r="N241">
        <v>0</v>
      </c>
      <c r="O241" t="s">
        <v>61</v>
      </c>
      <c r="P241">
        <v>100</v>
      </c>
      <c r="Q241" t="s">
        <v>52</v>
      </c>
      <c r="R241" t="s">
        <v>52</v>
      </c>
      <c r="S241" t="s">
        <v>52</v>
      </c>
      <c r="T241" t="s">
        <v>52</v>
      </c>
      <c r="U241" t="s">
        <v>52</v>
      </c>
      <c r="V241" t="s">
        <v>62</v>
      </c>
      <c r="W241" t="s">
        <v>63</v>
      </c>
      <c r="Y241" t="s">
        <v>52</v>
      </c>
      <c r="AB241" t="s">
        <v>52</v>
      </c>
      <c r="AE241" t="s">
        <v>52</v>
      </c>
      <c r="AF241" t="s">
        <v>52</v>
      </c>
      <c r="AH241">
        <v>0</v>
      </c>
      <c r="AI241">
        <v>0</v>
      </c>
      <c r="AJ241" t="s">
        <v>52</v>
      </c>
      <c r="AK241">
        <v>0</v>
      </c>
      <c r="AL241" t="s">
        <v>52</v>
      </c>
      <c r="AM241" t="s">
        <v>52</v>
      </c>
      <c r="AN241">
        <v>0</v>
      </c>
      <c r="AO241">
        <v>0</v>
      </c>
      <c r="AP241" t="s">
        <v>52</v>
      </c>
      <c r="AQ241" t="s">
        <v>52</v>
      </c>
      <c r="AR241" t="s">
        <v>62</v>
      </c>
      <c r="AS241" t="s">
        <v>52</v>
      </c>
      <c r="AT241" t="s">
        <v>52</v>
      </c>
      <c r="AU241" t="s">
        <v>64</v>
      </c>
      <c r="AV241" t="s">
        <v>62</v>
      </c>
      <c r="AW241" t="s">
        <v>65</v>
      </c>
      <c r="AX241" t="s">
        <v>66</v>
      </c>
      <c r="AY241" t="s">
        <v>67</v>
      </c>
    </row>
    <row r="242" spans="1:51" hidden="1" x14ac:dyDescent="0.25">
      <c r="A242">
        <v>202393</v>
      </c>
      <c r="B242" t="s">
        <v>1001</v>
      </c>
      <c r="C242" t="e">
        <f>VLOOKUP(A242,[1]Customer_payment_journal_line!$AL:$BO,30,0)</f>
        <v>#N/A</v>
      </c>
      <c r="D242" t="s">
        <v>53</v>
      </c>
      <c r="E242" t="s">
        <v>999</v>
      </c>
      <c r="F242" t="s">
        <v>1000</v>
      </c>
      <c r="G242" t="s">
        <v>969</v>
      </c>
      <c r="H242" t="s">
        <v>69</v>
      </c>
      <c r="I242" t="s">
        <v>986</v>
      </c>
      <c r="J242" t="s">
        <v>994</v>
      </c>
      <c r="K242" t="s">
        <v>983</v>
      </c>
      <c r="L242" t="s">
        <v>52</v>
      </c>
      <c r="M242">
        <v>0</v>
      </c>
      <c r="N242">
        <v>855</v>
      </c>
      <c r="O242" t="s">
        <v>61</v>
      </c>
      <c r="P242">
        <v>100</v>
      </c>
      <c r="Q242" t="s">
        <v>52</v>
      </c>
      <c r="R242" t="s">
        <v>52</v>
      </c>
      <c r="S242" t="s">
        <v>52</v>
      </c>
      <c r="T242" t="s">
        <v>52</v>
      </c>
      <c r="U242" t="s">
        <v>52</v>
      </c>
      <c r="V242" t="s">
        <v>62</v>
      </c>
      <c r="W242" t="s">
        <v>52</v>
      </c>
      <c r="Y242" t="s">
        <v>988</v>
      </c>
      <c r="Z242" t="s">
        <v>62</v>
      </c>
      <c r="AB242" t="s">
        <v>1002</v>
      </c>
      <c r="AE242" t="s">
        <v>1003</v>
      </c>
      <c r="AF242" t="s">
        <v>52</v>
      </c>
      <c r="AH242">
        <v>0</v>
      </c>
      <c r="AI242">
        <v>0</v>
      </c>
      <c r="AJ242" t="s">
        <v>52</v>
      </c>
      <c r="AK242">
        <v>0</v>
      </c>
      <c r="AL242" t="s">
        <v>52</v>
      </c>
      <c r="AM242" t="s">
        <v>52</v>
      </c>
      <c r="AN242">
        <v>0</v>
      </c>
      <c r="AO242">
        <v>0</v>
      </c>
      <c r="AP242" t="s">
        <v>52</v>
      </c>
      <c r="AQ242" t="s">
        <v>52</v>
      </c>
      <c r="AR242" t="s">
        <v>62</v>
      </c>
      <c r="AS242" t="s">
        <v>52</v>
      </c>
      <c r="AT242" t="s">
        <v>74</v>
      </c>
      <c r="AU242" t="s">
        <v>64</v>
      </c>
      <c r="AV242" t="s">
        <v>62</v>
      </c>
      <c r="AW242" t="s">
        <v>65</v>
      </c>
      <c r="AX242" t="s">
        <v>66</v>
      </c>
      <c r="AY242" t="s">
        <v>67</v>
      </c>
    </row>
    <row r="243" spans="1:51" hidden="1" x14ac:dyDescent="0.25">
      <c r="A243">
        <v>202413</v>
      </c>
      <c r="B243" t="s">
        <v>1004</v>
      </c>
      <c r="C243" t="e">
        <f>VLOOKUP(A243,[1]Customer_payment_journal_line!$AL:$BO,30,0)</f>
        <v>#N/A</v>
      </c>
      <c r="D243" t="s">
        <v>53</v>
      </c>
      <c r="E243" t="s">
        <v>1005</v>
      </c>
      <c r="F243" t="s">
        <v>1006</v>
      </c>
      <c r="G243" t="s">
        <v>969</v>
      </c>
      <c r="H243" t="s">
        <v>57</v>
      </c>
      <c r="I243" t="s">
        <v>319</v>
      </c>
      <c r="J243" t="s">
        <v>1007</v>
      </c>
      <c r="K243" t="s">
        <v>1008</v>
      </c>
      <c r="L243" t="s">
        <v>52</v>
      </c>
      <c r="M243">
        <v>10944</v>
      </c>
      <c r="N243">
        <v>0</v>
      </c>
      <c r="O243" t="s">
        <v>61</v>
      </c>
      <c r="P243">
        <v>100</v>
      </c>
      <c r="Q243" t="s">
        <v>52</v>
      </c>
      <c r="R243" t="s">
        <v>52</v>
      </c>
      <c r="S243" t="s">
        <v>52</v>
      </c>
      <c r="T243" t="s">
        <v>52</v>
      </c>
      <c r="U243" t="s">
        <v>52</v>
      </c>
      <c r="V243" t="s">
        <v>62</v>
      </c>
      <c r="W243" t="s">
        <v>63</v>
      </c>
      <c r="Y243" t="s">
        <v>52</v>
      </c>
      <c r="AB243" t="s">
        <v>52</v>
      </c>
      <c r="AE243" t="s">
        <v>52</v>
      </c>
      <c r="AF243" t="s">
        <v>52</v>
      </c>
      <c r="AH243">
        <v>0</v>
      </c>
      <c r="AI243">
        <v>0</v>
      </c>
      <c r="AJ243" t="s">
        <v>52</v>
      </c>
      <c r="AK243">
        <v>0</v>
      </c>
      <c r="AL243" t="s">
        <v>52</v>
      </c>
      <c r="AM243" t="s">
        <v>52</v>
      </c>
      <c r="AN243">
        <v>0</v>
      </c>
      <c r="AO243">
        <v>0</v>
      </c>
      <c r="AP243" t="s">
        <v>52</v>
      </c>
      <c r="AQ243" t="s">
        <v>52</v>
      </c>
      <c r="AR243" t="s">
        <v>62</v>
      </c>
      <c r="AS243" t="s">
        <v>52</v>
      </c>
      <c r="AT243" t="s">
        <v>52</v>
      </c>
      <c r="AU243" t="s">
        <v>64</v>
      </c>
      <c r="AV243" t="s">
        <v>62</v>
      </c>
      <c r="AW243" t="s">
        <v>65</v>
      </c>
      <c r="AX243" t="s">
        <v>66</v>
      </c>
      <c r="AY243" t="s">
        <v>67</v>
      </c>
    </row>
    <row r="244" spans="1:51" hidden="1" x14ac:dyDescent="0.25">
      <c r="A244">
        <v>202413</v>
      </c>
      <c r="B244" t="s">
        <v>1009</v>
      </c>
      <c r="C244" t="e">
        <f>VLOOKUP(A244,[1]Customer_payment_journal_line!$AL:$BO,30,0)</f>
        <v>#N/A</v>
      </c>
      <c r="D244" t="s">
        <v>53</v>
      </c>
      <c r="E244" t="s">
        <v>1005</v>
      </c>
      <c r="F244" t="s">
        <v>1006</v>
      </c>
      <c r="G244" t="s">
        <v>969</v>
      </c>
      <c r="H244" t="s">
        <v>69</v>
      </c>
      <c r="I244" t="s">
        <v>1010</v>
      </c>
      <c r="J244" t="s">
        <v>1007</v>
      </c>
      <c r="K244" t="s">
        <v>1008</v>
      </c>
      <c r="L244" t="s">
        <v>52</v>
      </c>
      <c r="M244">
        <v>0</v>
      </c>
      <c r="N244">
        <v>10944</v>
      </c>
      <c r="O244" t="s">
        <v>61</v>
      </c>
      <c r="P244">
        <v>100</v>
      </c>
      <c r="Q244" t="s">
        <v>52</v>
      </c>
      <c r="R244" t="s">
        <v>52</v>
      </c>
      <c r="S244" t="s">
        <v>52</v>
      </c>
      <c r="T244" t="s">
        <v>52</v>
      </c>
      <c r="U244" t="s">
        <v>52</v>
      </c>
      <c r="V244" t="s">
        <v>62</v>
      </c>
      <c r="W244" t="s">
        <v>52</v>
      </c>
      <c r="Y244" t="s">
        <v>1011</v>
      </c>
      <c r="Z244" t="s">
        <v>62</v>
      </c>
      <c r="AB244" t="s">
        <v>1012</v>
      </c>
      <c r="AE244" t="s">
        <v>1013</v>
      </c>
      <c r="AF244" t="s">
        <v>52</v>
      </c>
      <c r="AH244">
        <v>0</v>
      </c>
      <c r="AI244">
        <v>0</v>
      </c>
      <c r="AJ244" t="s">
        <v>52</v>
      </c>
      <c r="AK244">
        <v>0</v>
      </c>
      <c r="AL244" t="s">
        <v>52</v>
      </c>
      <c r="AM244" t="s">
        <v>52</v>
      </c>
      <c r="AN244">
        <v>0</v>
      </c>
      <c r="AO244">
        <v>0</v>
      </c>
      <c r="AP244" t="s">
        <v>52</v>
      </c>
      <c r="AQ244" t="s">
        <v>52</v>
      </c>
      <c r="AR244" t="s">
        <v>62</v>
      </c>
      <c r="AS244" t="s">
        <v>52</v>
      </c>
      <c r="AT244" t="s">
        <v>74</v>
      </c>
      <c r="AU244" t="s">
        <v>64</v>
      </c>
      <c r="AV244" t="s">
        <v>62</v>
      </c>
      <c r="AW244" t="s">
        <v>65</v>
      </c>
      <c r="AX244" t="s">
        <v>66</v>
      </c>
      <c r="AY244" t="s">
        <v>67</v>
      </c>
    </row>
    <row r="245" spans="1:51" hidden="1" x14ac:dyDescent="0.25">
      <c r="A245">
        <v>202414</v>
      </c>
      <c r="B245" t="s">
        <v>1014</v>
      </c>
      <c r="C245" t="e">
        <f>VLOOKUP(A245,[1]Customer_payment_journal_line!$AL:$BO,30,0)</f>
        <v>#N/A</v>
      </c>
      <c r="D245" t="s">
        <v>53</v>
      </c>
      <c r="E245" t="s">
        <v>1015</v>
      </c>
      <c r="F245" t="s">
        <v>1016</v>
      </c>
      <c r="G245" t="s">
        <v>969</v>
      </c>
      <c r="H245" t="s">
        <v>57</v>
      </c>
      <c r="I245" t="s">
        <v>319</v>
      </c>
      <c r="J245" t="s">
        <v>1007</v>
      </c>
      <c r="K245" t="s">
        <v>1008</v>
      </c>
      <c r="L245" t="s">
        <v>52</v>
      </c>
      <c r="M245">
        <v>855</v>
      </c>
      <c r="N245">
        <v>0</v>
      </c>
      <c r="O245" t="s">
        <v>61</v>
      </c>
      <c r="P245">
        <v>100</v>
      </c>
      <c r="Q245" t="s">
        <v>52</v>
      </c>
      <c r="R245" t="s">
        <v>52</v>
      </c>
      <c r="S245" t="s">
        <v>52</v>
      </c>
      <c r="T245" t="s">
        <v>52</v>
      </c>
      <c r="U245" t="s">
        <v>52</v>
      </c>
      <c r="V245" t="s">
        <v>62</v>
      </c>
      <c r="W245" t="s">
        <v>63</v>
      </c>
      <c r="Y245" t="s">
        <v>52</v>
      </c>
      <c r="AB245" t="s">
        <v>52</v>
      </c>
      <c r="AE245" t="s">
        <v>52</v>
      </c>
      <c r="AF245" t="s">
        <v>52</v>
      </c>
      <c r="AH245">
        <v>0</v>
      </c>
      <c r="AI245">
        <v>0</v>
      </c>
      <c r="AJ245" t="s">
        <v>52</v>
      </c>
      <c r="AK245">
        <v>0</v>
      </c>
      <c r="AL245" t="s">
        <v>52</v>
      </c>
      <c r="AM245" t="s">
        <v>52</v>
      </c>
      <c r="AN245">
        <v>0</v>
      </c>
      <c r="AO245">
        <v>0</v>
      </c>
      <c r="AP245" t="s">
        <v>52</v>
      </c>
      <c r="AQ245" t="s">
        <v>52</v>
      </c>
      <c r="AR245" t="s">
        <v>62</v>
      </c>
      <c r="AS245" t="s">
        <v>52</v>
      </c>
      <c r="AT245" t="s">
        <v>52</v>
      </c>
      <c r="AU245" t="s">
        <v>64</v>
      </c>
      <c r="AV245" t="s">
        <v>62</v>
      </c>
      <c r="AW245" t="s">
        <v>65</v>
      </c>
      <c r="AX245" t="s">
        <v>66</v>
      </c>
      <c r="AY245" t="s">
        <v>67</v>
      </c>
    </row>
    <row r="246" spans="1:51" hidden="1" x14ac:dyDescent="0.25">
      <c r="A246">
        <v>202414</v>
      </c>
      <c r="B246" t="s">
        <v>1017</v>
      </c>
      <c r="C246" t="e">
        <f>VLOOKUP(A246,[1]Customer_payment_journal_line!$AL:$BO,30,0)</f>
        <v>#N/A</v>
      </c>
      <c r="D246" t="s">
        <v>53</v>
      </c>
      <c r="E246" t="s">
        <v>1015</v>
      </c>
      <c r="F246" t="s">
        <v>1016</v>
      </c>
      <c r="G246" t="s">
        <v>969</v>
      </c>
      <c r="H246" t="s">
        <v>69</v>
      </c>
      <c r="I246" t="s">
        <v>1010</v>
      </c>
      <c r="J246" t="s">
        <v>1007</v>
      </c>
      <c r="K246" t="s">
        <v>1008</v>
      </c>
      <c r="L246" t="s">
        <v>52</v>
      </c>
      <c r="M246">
        <v>0</v>
      </c>
      <c r="N246">
        <v>855</v>
      </c>
      <c r="O246" t="s">
        <v>61</v>
      </c>
      <c r="P246">
        <v>100</v>
      </c>
      <c r="Q246" t="s">
        <v>52</v>
      </c>
      <c r="R246" t="s">
        <v>52</v>
      </c>
      <c r="S246" t="s">
        <v>52</v>
      </c>
      <c r="T246" t="s">
        <v>52</v>
      </c>
      <c r="U246" t="s">
        <v>52</v>
      </c>
      <c r="V246" t="s">
        <v>62</v>
      </c>
      <c r="W246" t="s">
        <v>52</v>
      </c>
      <c r="Y246" t="s">
        <v>1011</v>
      </c>
      <c r="Z246" t="s">
        <v>62</v>
      </c>
      <c r="AB246" t="s">
        <v>1018</v>
      </c>
      <c r="AE246" t="s">
        <v>1019</v>
      </c>
      <c r="AF246" t="s">
        <v>52</v>
      </c>
      <c r="AH246">
        <v>0</v>
      </c>
      <c r="AI246">
        <v>0</v>
      </c>
      <c r="AJ246" t="s">
        <v>52</v>
      </c>
      <c r="AK246">
        <v>0</v>
      </c>
      <c r="AL246" t="s">
        <v>52</v>
      </c>
      <c r="AM246" t="s">
        <v>52</v>
      </c>
      <c r="AN246">
        <v>0</v>
      </c>
      <c r="AO246">
        <v>0</v>
      </c>
      <c r="AP246" t="s">
        <v>52</v>
      </c>
      <c r="AQ246" t="s">
        <v>52</v>
      </c>
      <c r="AR246" t="s">
        <v>62</v>
      </c>
      <c r="AS246" t="s">
        <v>52</v>
      </c>
      <c r="AT246" t="s">
        <v>74</v>
      </c>
      <c r="AU246" t="s">
        <v>64</v>
      </c>
      <c r="AV246" t="s">
        <v>62</v>
      </c>
      <c r="AW246" t="s">
        <v>65</v>
      </c>
      <c r="AX246" t="s">
        <v>66</v>
      </c>
      <c r="AY246" t="s">
        <v>67</v>
      </c>
    </row>
    <row r="247" spans="1:51" hidden="1" x14ac:dyDescent="0.25">
      <c r="A247">
        <v>202420</v>
      </c>
      <c r="B247" t="s">
        <v>1020</v>
      </c>
      <c r="C247" t="e">
        <f>VLOOKUP(A247,[1]Customer_payment_journal_line!$AL:$BO,30,0)</f>
        <v>#N/A</v>
      </c>
      <c r="D247" t="s">
        <v>53</v>
      </c>
      <c r="E247" t="s">
        <v>1021</v>
      </c>
      <c r="F247" t="s">
        <v>1022</v>
      </c>
      <c r="G247" t="s">
        <v>969</v>
      </c>
      <c r="H247" t="s">
        <v>57</v>
      </c>
      <c r="I247" t="s">
        <v>58</v>
      </c>
      <c r="J247" t="s">
        <v>1023</v>
      </c>
      <c r="K247" t="s">
        <v>1024</v>
      </c>
      <c r="L247" t="s">
        <v>52</v>
      </c>
      <c r="M247">
        <v>1710</v>
      </c>
      <c r="N247">
        <v>0</v>
      </c>
      <c r="O247" t="s">
        <v>61</v>
      </c>
      <c r="P247">
        <v>100</v>
      </c>
      <c r="Q247" t="s">
        <v>52</v>
      </c>
      <c r="R247" t="s">
        <v>52</v>
      </c>
      <c r="S247" t="s">
        <v>52</v>
      </c>
      <c r="T247" t="s">
        <v>52</v>
      </c>
      <c r="U247" t="s">
        <v>52</v>
      </c>
      <c r="V247" t="s">
        <v>62</v>
      </c>
      <c r="W247" t="s">
        <v>63</v>
      </c>
      <c r="Y247" t="s">
        <v>52</v>
      </c>
      <c r="AB247" t="s">
        <v>52</v>
      </c>
      <c r="AE247" t="s">
        <v>52</v>
      </c>
      <c r="AF247" t="s">
        <v>52</v>
      </c>
      <c r="AH247">
        <v>0</v>
      </c>
      <c r="AI247">
        <v>0</v>
      </c>
      <c r="AJ247" t="s">
        <v>52</v>
      </c>
      <c r="AK247">
        <v>0</v>
      </c>
      <c r="AL247" t="s">
        <v>52</v>
      </c>
      <c r="AM247" t="s">
        <v>52</v>
      </c>
      <c r="AN247">
        <v>0</v>
      </c>
      <c r="AO247">
        <v>0</v>
      </c>
      <c r="AP247" t="s">
        <v>52</v>
      </c>
      <c r="AQ247" t="s">
        <v>52</v>
      </c>
      <c r="AR247" t="s">
        <v>62</v>
      </c>
      <c r="AS247" t="s">
        <v>52</v>
      </c>
      <c r="AT247" t="s">
        <v>52</v>
      </c>
      <c r="AU247" t="s">
        <v>64</v>
      </c>
      <c r="AV247" t="s">
        <v>62</v>
      </c>
      <c r="AW247" t="s">
        <v>65</v>
      </c>
      <c r="AX247" t="s">
        <v>66</v>
      </c>
      <c r="AY247" t="s">
        <v>67</v>
      </c>
    </row>
    <row r="248" spans="1:51" hidden="1" x14ac:dyDescent="0.25">
      <c r="A248">
        <v>202420</v>
      </c>
      <c r="B248" t="s">
        <v>1025</v>
      </c>
      <c r="C248" t="e">
        <f>VLOOKUP(A248,[1]Customer_payment_journal_line!$AL:$BO,30,0)</f>
        <v>#N/A</v>
      </c>
      <c r="D248" t="s">
        <v>53</v>
      </c>
      <c r="E248" t="s">
        <v>1021</v>
      </c>
      <c r="F248" t="s">
        <v>1022</v>
      </c>
      <c r="G248" t="s">
        <v>969</v>
      </c>
      <c r="H248" t="s">
        <v>69</v>
      </c>
      <c r="I248" t="s">
        <v>797</v>
      </c>
      <c r="J248" t="s">
        <v>1023</v>
      </c>
      <c r="K248" t="s">
        <v>1024</v>
      </c>
      <c r="L248" t="s">
        <v>52</v>
      </c>
      <c r="M248">
        <v>0</v>
      </c>
      <c r="N248">
        <v>1710</v>
      </c>
      <c r="O248" t="s">
        <v>61</v>
      </c>
      <c r="P248">
        <v>100</v>
      </c>
      <c r="Q248" t="s">
        <v>52</v>
      </c>
      <c r="R248" t="s">
        <v>52</v>
      </c>
      <c r="S248" t="s">
        <v>52</v>
      </c>
      <c r="T248" t="s">
        <v>52</v>
      </c>
      <c r="U248" t="s">
        <v>52</v>
      </c>
      <c r="V248" t="s">
        <v>62</v>
      </c>
      <c r="W248" t="s">
        <v>52</v>
      </c>
      <c r="Y248" t="s">
        <v>798</v>
      </c>
      <c r="Z248" t="s">
        <v>62</v>
      </c>
      <c r="AB248" t="s">
        <v>1026</v>
      </c>
      <c r="AE248" t="s">
        <v>1027</v>
      </c>
      <c r="AF248" t="s">
        <v>52</v>
      </c>
      <c r="AH248">
        <v>0</v>
      </c>
      <c r="AI248">
        <v>0</v>
      </c>
      <c r="AJ248" t="s">
        <v>52</v>
      </c>
      <c r="AK248">
        <v>0</v>
      </c>
      <c r="AL248" t="s">
        <v>52</v>
      </c>
      <c r="AM248" t="s">
        <v>52</v>
      </c>
      <c r="AN248">
        <v>0</v>
      </c>
      <c r="AO248">
        <v>0</v>
      </c>
      <c r="AP248" t="s">
        <v>52</v>
      </c>
      <c r="AQ248" t="s">
        <v>52</v>
      </c>
      <c r="AR248" t="s">
        <v>62</v>
      </c>
      <c r="AS248" t="s">
        <v>52</v>
      </c>
      <c r="AT248" t="s">
        <v>74</v>
      </c>
      <c r="AU248" t="s">
        <v>64</v>
      </c>
      <c r="AV248" t="s">
        <v>62</v>
      </c>
      <c r="AW248" t="s">
        <v>65</v>
      </c>
      <c r="AX248" t="s">
        <v>66</v>
      </c>
      <c r="AY248" t="s">
        <v>67</v>
      </c>
    </row>
    <row r="249" spans="1:51" hidden="1" x14ac:dyDescent="0.25">
      <c r="A249">
        <v>202421</v>
      </c>
      <c r="B249" t="s">
        <v>1028</v>
      </c>
      <c r="C249" t="e">
        <f>VLOOKUP(A249,[1]Customer_payment_journal_line!$AL:$BO,30,0)</f>
        <v>#N/A</v>
      </c>
      <c r="D249" t="s">
        <v>53</v>
      </c>
      <c r="E249" t="s">
        <v>1029</v>
      </c>
      <c r="F249" t="s">
        <v>1030</v>
      </c>
      <c r="G249" t="s">
        <v>969</v>
      </c>
      <c r="H249" t="s">
        <v>57</v>
      </c>
      <c r="I249" t="s">
        <v>58</v>
      </c>
      <c r="J249" t="s">
        <v>1023</v>
      </c>
      <c r="K249" t="s">
        <v>1024</v>
      </c>
      <c r="L249" t="s">
        <v>52</v>
      </c>
      <c r="M249">
        <v>855</v>
      </c>
      <c r="N249">
        <v>0</v>
      </c>
      <c r="O249" t="s">
        <v>61</v>
      </c>
      <c r="P249">
        <v>100</v>
      </c>
      <c r="Q249" t="s">
        <v>52</v>
      </c>
      <c r="R249" t="s">
        <v>52</v>
      </c>
      <c r="S249" t="s">
        <v>52</v>
      </c>
      <c r="T249" t="s">
        <v>52</v>
      </c>
      <c r="U249" t="s">
        <v>52</v>
      </c>
      <c r="V249" t="s">
        <v>62</v>
      </c>
      <c r="W249" t="s">
        <v>63</v>
      </c>
      <c r="Y249" t="s">
        <v>52</v>
      </c>
      <c r="AB249" t="s">
        <v>52</v>
      </c>
      <c r="AE249" t="s">
        <v>52</v>
      </c>
      <c r="AF249" t="s">
        <v>52</v>
      </c>
      <c r="AH249">
        <v>0</v>
      </c>
      <c r="AI249">
        <v>0</v>
      </c>
      <c r="AJ249" t="s">
        <v>52</v>
      </c>
      <c r="AK249">
        <v>0</v>
      </c>
      <c r="AL249" t="s">
        <v>52</v>
      </c>
      <c r="AM249" t="s">
        <v>52</v>
      </c>
      <c r="AN249">
        <v>0</v>
      </c>
      <c r="AO249">
        <v>0</v>
      </c>
      <c r="AP249" t="s">
        <v>52</v>
      </c>
      <c r="AQ249" t="s">
        <v>52</v>
      </c>
      <c r="AR249" t="s">
        <v>62</v>
      </c>
      <c r="AS249" t="s">
        <v>52</v>
      </c>
      <c r="AT249" t="s">
        <v>52</v>
      </c>
      <c r="AU249" t="s">
        <v>64</v>
      </c>
      <c r="AV249" t="s">
        <v>62</v>
      </c>
      <c r="AW249" t="s">
        <v>65</v>
      </c>
      <c r="AX249" t="s">
        <v>66</v>
      </c>
      <c r="AY249" t="s">
        <v>67</v>
      </c>
    </row>
    <row r="250" spans="1:51" hidden="1" x14ac:dyDescent="0.25">
      <c r="A250">
        <v>202421</v>
      </c>
      <c r="B250" t="s">
        <v>1031</v>
      </c>
      <c r="C250" t="e">
        <f>VLOOKUP(A250,[1]Customer_payment_journal_line!$AL:$BO,30,0)</f>
        <v>#N/A</v>
      </c>
      <c r="D250" t="s">
        <v>53</v>
      </c>
      <c r="E250" t="s">
        <v>1029</v>
      </c>
      <c r="F250" t="s">
        <v>1030</v>
      </c>
      <c r="G250" t="s">
        <v>969</v>
      </c>
      <c r="H250" t="s">
        <v>69</v>
      </c>
      <c r="I250" t="s">
        <v>797</v>
      </c>
      <c r="J250" t="s">
        <v>1023</v>
      </c>
      <c r="K250" t="s">
        <v>1024</v>
      </c>
      <c r="L250" t="s">
        <v>52</v>
      </c>
      <c r="M250">
        <v>0</v>
      </c>
      <c r="N250">
        <v>855</v>
      </c>
      <c r="O250" t="s">
        <v>61</v>
      </c>
      <c r="P250">
        <v>100</v>
      </c>
      <c r="Q250" t="s">
        <v>52</v>
      </c>
      <c r="R250" t="s">
        <v>52</v>
      </c>
      <c r="S250" t="s">
        <v>52</v>
      </c>
      <c r="T250" t="s">
        <v>52</v>
      </c>
      <c r="U250" t="s">
        <v>52</v>
      </c>
      <c r="V250" t="s">
        <v>62</v>
      </c>
      <c r="W250" t="s">
        <v>52</v>
      </c>
      <c r="Y250" t="s">
        <v>798</v>
      </c>
      <c r="Z250" t="s">
        <v>62</v>
      </c>
      <c r="AB250" t="s">
        <v>1032</v>
      </c>
      <c r="AE250" t="s">
        <v>1033</v>
      </c>
      <c r="AF250" t="s">
        <v>52</v>
      </c>
      <c r="AH250">
        <v>0</v>
      </c>
      <c r="AI250">
        <v>0</v>
      </c>
      <c r="AJ250" t="s">
        <v>52</v>
      </c>
      <c r="AK250">
        <v>0</v>
      </c>
      <c r="AL250" t="s">
        <v>52</v>
      </c>
      <c r="AM250" t="s">
        <v>52</v>
      </c>
      <c r="AN250">
        <v>0</v>
      </c>
      <c r="AO250">
        <v>0</v>
      </c>
      <c r="AP250" t="s">
        <v>52</v>
      </c>
      <c r="AQ250" t="s">
        <v>52</v>
      </c>
      <c r="AR250" t="s">
        <v>62</v>
      </c>
      <c r="AS250" t="s">
        <v>52</v>
      </c>
      <c r="AT250" t="s">
        <v>74</v>
      </c>
      <c r="AU250" t="s">
        <v>64</v>
      </c>
      <c r="AV250" t="s">
        <v>62</v>
      </c>
      <c r="AW250" t="s">
        <v>65</v>
      </c>
      <c r="AX250" t="s">
        <v>66</v>
      </c>
      <c r="AY250" t="s">
        <v>67</v>
      </c>
    </row>
    <row r="251" spans="1:51" hidden="1" x14ac:dyDescent="0.25">
      <c r="A251">
        <v>202422</v>
      </c>
      <c r="B251" t="s">
        <v>1034</v>
      </c>
      <c r="C251" t="e">
        <f>VLOOKUP(A251,[1]Customer_payment_journal_line!$AL:$BO,30,0)</f>
        <v>#N/A</v>
      </c>
      <c r="D251" t="s">
        <v>53</v>
      </c>
      <c r="E251" t="s">
        <v>1035</v>
      </c>
      <c r="F251" t="s">
        <v>1036</v>
      </c>
      <c r="G251" t="s">
        <v>969</v>
      </c>
      <c r="H251" t="s">
        <v>57</v>
      </c>
      <c r="I251" t="s">
        <v>58</v>
      </c>
      <c r="J251" t="s">
        <v>1023</v>
      </c>
      <c r="K251" t="s">
        <v>1037</v>
      </c>
      <c r="L251" t="s">
        <v>52</v>
      </c>
      <c r="M251">
        <v>1140</v>
      </c>
      <c r="N251">
        <v>0</v>
      </c>
      <c r="O251" t="s">
        <v>61</v>
      </c>
      <c r="P251">
        <v>100</v>
      </c>
      <c r="Q251" t="s">
        <v>52</v>
      </c>
      <c r="R251" t="s">
        <v>52</v>
      </c>
      <c r="S251" t="s">
        <v>52</v>
      </c>
      <c r="T251" t="s">
        <v>52</v>
      </c>
      <c r="U251" t="s">
        <v>52</v>
      </c>
      <c r="V251" t="s">
        <v>62</v>
      </c>
      <c r="W251" t="s">
        <v>63</v>
      </c>
      <c r="Y251" t="s">
        <v>52</v>
      </c>
      <c r="AB251" t="s">
        <v>52</v>
      </c>
      <c r="AE251" t="s">
        <v>52</v>
      </c>
      <c r="AF251" t="s">
        <v>52</v>
      </c>
      <c r="AH251">
        <v>0</v>
      </c>
      <c r="AI251">
        <v>0</v>
      </c>
      <c r="AJ251" t="s">
        <v>52</v>
      </c>
      <c r="AK251">
        <v>0</v>
      </c>
      <c r="AL251" t="s">
        <v>52</v>
      </c>
      <c r="AM251" t="s">
        <v>52</v>
      </c>
      <c r="AN251">
        <v>0</v>
      </c>
      <c r="AO251">
        <v>0</v>
      </c>
      <c r="AP251" t="s">
        <v>52</v>
      </c>
      <c r="AQ251" t="s">
        <v>52</v>
      </c>
      <c r="AR251" t="s">
        <v>62</v>
      </c>
      <c r="AS251" t="s">
        <v>52</v>
      </c>
      <c r="AT251" t="s">
        <v>52</v>
      </c>
      <c r="AU251" t="s">
        <v>64</v>
      </c>
      <c r="AV251" t="s">
        <v>62</v>
      </c>
      <c r="AW251" t="s">
        <v>65</v>
      </c>
      <c r="AX251" t="s">
        <v>66</v>
      </c>
      <c r="AY251" t="s">
        <v>67</v>
      </c>
    </row>
    <row r="252" spans="1:51" hidden="1" x14ac:dyDescent="0.25">
      <c r="A252">
        <v>202422</v>
      </c>
      <c r="B252" t="s">
        <v>1038</v>
      </c>
      <c r="C252" t="e">
        <f>VLOOKUP(A252,[1]Customer_payment_journal_line!$AL:$BO,30,0)</f>
        <v>#N/A</v>
      </c>
      <c r="D252" t="s">
        <v>53</v>
      </c>
      <c r="E252" t="s">
        <v>1035</v>
      </c>
      <c r="F252" t="s">
        <v>1036</v>
      </c>
      <c r="G252" t="s">
        <v>969</v>
      </c>
      <c r="H252" t="s">
        <v>69</v>
      </c>
      <c r="I252" t="s">
        <v>797</v>
      </c>
      <c r="J252" t="s">
        <v>1023</v>
      </c>
      <c r="K252" t="s">
        <v>1037</v>
      </c>
      <c r="L252" t="s">
        <v>52</v>
      </c>
      <c r="M252">
        <v>0</v>
      </c>
      <c r="N252">
        <v>1140</v>
      </c>
      <c r="O252" t="s">
        <v>61</v>
      </c>
      <c r="P252">
        <v>100</v>
      </c>
      <c r="Q252" t="s">
        <v>52</v>
      </c>
      <c r="R252" t="s">
        <v>52</v>
      </c>
      <c r="S252" t="s">
        <v>52</v>
      </c>
      <c r="T252" t="s">
        <v>52</v>
      </c>
      <c r="U252" t="s">
        <v>52</v>
      </c>
      <c r="V252" t="s">
        <v>62</v>
      </c>
      <c r="W252" t="s">
        <v>52</v>
      </c>
      <c r="Y252" t="s">
        <v>798</v>
      </c>
      <c r="Z252" t="s">
        <v>62</v>
      </c>
      <c r="AB252" t="s">
        <v>1039</v>
      </c>
      <c r="AE252" t="s">
        <v>1040</v>
      </c>
      <c r="AF252" t="s">
        <v>52</v>
      </c>
      <c r="AH252">
        <v>0</v>
      </c>
      <c r="AI252">
        <v>0</v>
      </c>
      <c r="AJ252" t="s">
        <v>52</v>
      </c>
      <c r="AK252">
        <v>0</v>
      </c>
      <c r="AL252" t="s">
        <v>52</v>
      </c>
      <c r="AM252" t="s">
        <v>52</v>
      </c>
      <c r="AN252">
        <v>0</v>
      </c>
      <c r="AO252">
        <v>0</v>
      </c>
      <c r="AP252" t="s">
        <v>52</v>
      </c>
      <c r="AQ252" t="s">
        <v>52</v>
      </c>
      <c r="AR252" t="s">
        <v>62</v>
      </c>
      <c r="AS252" t="s">
        <v>52</v>
      </c>
      <c r="AT252" t="s">
        <v>74</v>
      </c>
      <c r="AU252" t="s">
        <v>64</v>
      </c>
      <c r="AV252" t="s">
        <v>62</v>
      </c>
      <c r="AW252" t="s">
        <v>65</v>
      </c>
      <c r="AX252" t="s">
        <v>66</v>
      </c>
      <c r="AY252" t="s">
        <v>67</v>
      </c>
    </row>
    <row r="253" spans="1:51" hidden="1" x14ac:dyDescent="0.25">
      <c r="A253">
        <v>202423</v>
      </c>
      <c r="B253" t="s">
        <v>1041</v>
      </c>
      <c r="C253" t="e">
        <f>VLOOKUP(A253,[1]Customer_payment_journal_line!$AL:$BO,30,0)</f>
        <v>#N/A</v>
      </c>
      <c r="D253" t="s">
        <v>53</v>
      </c>
      <c r="E253" t="s">
        <v>1042</v>
      </c>
      <c r="F253" t="s">
        <v>1043</v>
      </c>
      <c r="G253" t="s">
        <v>969</v>
      </c>
      <c r="H253" t="s">
        <v>57</v>
      </c>
      <c r="I253" t="s">
        <v>58</v>
      </c>
      <c r="J253" t="s">
        <v>1023</v>
      </c>
      <c r="K253" t="s">
        <v>1037</v>
      </c>
      <c r="L253" t="s">
        <v>52</v>
      </c>
      <c r="M253">
        <v>855</v>
      </c>
      <c r="N253">
        <v>0</v>
      </c>
      <c r="O253" t="s">
        <v>61</v>
      </c>
      <c r="P253">
        <v>100</v>
      </c>
      <c r="Q253" t="s">
        <v>52</v>
      </c>
      <c r="R253" t="s">
        <v>52</v>
      </c>
      <c r="S253" t="s">
        <v>52</v>
      </c>
      <c r="T253" t="s">
        <v>52</v>
      </c>
      <c r="U253" t="s">
        <v>52</v>
      </c>
      <c r="V253" t="s">
        <v>62</v>
      </c>
      <c r="W253" t="s">
        <v>63</v>
      </c>
      <c r="Y253" t="s">
        <v>52</v>
      </c>
      <c r="AB253" t="s">
        <v>52</v>
      </c>
      <c r="AE253" t="s">
        <v>52</v>
      </c>
      <c r="AF253" t="s">
        <v>52</v>
      </c>
      <c r="AH253">
        <v>0</v>
      </c>
      <c r="AI253">
        <v>0</v>
      </c>
      <c r="AJ253" t="s">
        <v>52</v>
      </c>
      <c r="AK253">
        <v>0</v>
      </c>
      <c r="AL253" t="s">
        <v>52</v>
      </c>
      <c r="AM253" t="s">
        <v>52</v>
      </c>
      <c r="AN253">
        <v>0</v>
      </c>
      <c r="AO253">
        <v>0</v>
      </c>
      <c r="AP253" t="s">
        <v>52</v>
      </c>
      <c r="AQ253" t="s">
        <v>52</v>
      </c>
      <c r="AR253" t="s">
        <v>62</v>
      </c>
      <c r="AS253" t="s">
        <v>52</v>
      </c>
      <c r="AT253" t="s">
        <v>52</v>
      </c>
      <c r="AU253" t="s">
        <v>64</v>
      </c>
      <c r="AV253" t="s">
        <v>62</v>
      </c>
      <c r="AW253" t="s">
        <v>65</v>
      </c>
      <c r="AX253" t="s">
        <v>66</v>
      </c>
      <c r="AY253" t="s">
        <v>67</v>
      </c>
    </row>
    <row r="254" spans="1:51" hidden="1" x14ac:dyDescent="0.25">
      <c r="A254">
        <v>202423</v>
      </c>
      <c r="B254" t="s">
        <v>1044</v>
      </c>
      <c r="C254" t="e">
        <f>VLOOKUP(A254,[1]Customer_payment_journal_line!$AL:$BO,30,0)</f>
        <v>#N/A</v>
      </c>
      <c r="D254" t="s">
        <v>53</v>
      </c>
      <c r="E254" t="s">
        <v>1042</v>
      </c>
      <c r="F254" t="s">
        <v>1043</v>
      </c>
      <c r="G254" t="s">
        <v>969</v>
      </c>
      <c r="H254" t="s">
        <v>69</v>
      </c>
      <c r="I254" t="s">
        <v>797</v>
      </c>
      <c r="J254" t="s">
        <v>1023</v>
      </c>
      <c r="K254" t="s">
        <v>1037</v>
      </c>
      <c r="L254" t="s">
        <v>52</v>
      </c>
      <c r="M254">
        <v>0</v>
      </c>
      <c r="N254">
        <v>855</v>
      </c>
      <c r="O254" t="s">
        <v>61</v>
      </c>
      <c r="P254">
        <v>100</v>
      </c>
      <c r="Q254" t="s">
        <v>52</v>
      </c>
      <c r="R254" t="s">
        <v>52</v>
      </c>
      <c r="S254" t="s">
        <v>52</v>
      </c>
      <c r="T254" t="s">
        <v>52</v>
      </c>
      <c r="U254" t="s">
        <v>52</v>
      </c>
      <c r="V254" t="s">
        <v>62</v>
      </c>
      <c r="W254" t="s">
        <v>52</v>
      </c>
      <c r="Y254" t="s">
        <v>798</v>
      </c>
      <c r="Z254" t="s">
        <v>62</v>
      </c>
      <c r="AB254" t="s">
        <v>1045</v>
      </c>
      <c r="AE254" t="s">
        <v>1046</v>
      </c>
      <c r="AF254" t="s">
        <v>52</v>
      </c>
      <c r="AH254">
        <v>0</v>
      </c>
      <c r="AI254">
        <v>0</v>
      </c>
      <c r="AJ254" t="s">
        <v>52</v>
      </c>
      <c r="AK254">
        <v>0</v>
      </c>
      <c r="AL254" t="s">
        <v>52</v>
      </c>
      <c r="AM254" t="s">
        <v>52</v>
      </c>
      <c r="AN254">
        <v>0</v>
      </c>
      <c r="AO254">
        <v>0</v>
      </c>
      <c r="AP254" t="s">
        <v>52</v>
      </c>
      <c r="AQ254" t="s">
        <v>52</v>
      </c>
      <c r="AR254" t="s">
        <v>62</v>
      </c>
      <c r="AS254" t="s">
        <v>52</v>
      </c>
      <c r="AT254" t="s">
        <v>74</v>
      </c>
      <c r="AU254" t="s">
        <v>64</v>
      </c>
      <c r="AV254" t="s">
        <v>62</v>
      </c>
      <c r="AW254" t="s">
        <v>65</v>
      </c>
      <c r="AX254" t="s">
        <v>66</v>
      </c>
      <c r="AY254" t="s">
        <v>67</v>
      </c>
    </row>
    <row r="255" spans="1:51" hidden="1" x14ac:dyDescent="0.25">
      <c r="A255">
        <v>202427</v>
      </c>
      <c r="B255" t="s">
        <v>1047</v>
      </c>
      <c r="C255" t="e">
        <f>VLOOKUP(A255,[1]Customer_payment_journal_line!$AL:$BO,30,0)</f>
        <v>#N/A</v>
      </c>
      <c r="D255" t="s">
        <v>53</v>
      </c>
      <c r="E255" t="s">
        <v>1048</v>
      </c>
      <c r="F255" t="s">
        <v>1049</v>
      </c>
      <c r="G255" t="s">
        <v>969</v>
      </c>
      <c r="H255" t="s">
        <v>57</v>
      </c>
      <c r="I255" t="s">
        <v>58</v>
      </c>
      <c r="J255" t="s">
        <v>542</v>
      </c>
      <c r="K255" t="s">
        <v>1050</v>
      </c>
      <c r="L255" t="s">
        <v>52</v>
      </c>
      <c r="M255">
        <v>11970</v>
      </c>
      <c r="N255">
        <v>0</v>
      </c>
      <c r="O255" t="s">
        <v>61</v>
      </c>
      <c r="P255">
        <v>100</v>
      </c>
      <c r="Q255" t="s">
        <v>52</v>
      </c>
      <c r="R255" t="s">
        <v>52</v>
      </c>
      <c r="S255" t="s">
        <v>52</v>
      </c>
      <c r="T255" t="s">
        <v>52</v>
      </c>
      <c r="U255" t="s">
        <v>52</v>
      </c>
      <c r="V255" t="s">
        <v>62</v>
      </c>
      <c r="W255" t="s">
        <v>63</v>
      </c>
      <c r="Y255" t="s">
        <v>52</v>
      </c>
      <c r="AB255" t="s">
        <v>52</v>
      </c>
      <c r="AE255" t="s">
        <v>52</v>
      </c>
      <c r="AF255" t="s">
        <v>52</v>
      </c>
      <c r="AH255">
        <v>0</v>
      </c>
      <c r="AI255">
        <v>0</v>
      </c>
      <c r="AJ255" t="s">
        <v>52</v>
      </c>
      <c r="AK255">
        <v>0</v>
      </c>
      <c r="AL255" t="s">
        <v>52</v>
      </c>
      <c r="AM255" t="s">
        <v>52</v>
      </c>
      <c r="AN255">
        <v>0</v>
      </c>
      <c r="AO255">
        <v>0</v>
      </c>
      <c r="AP255" t="s">
        <v>52</v>
      </c>
      <c r="AQ255" t="s">
        <v>52</v>
      </c>
      <c r="AR255" t="s">
        <v>62</v>
      </c>
      <c r="AS255" t="s">
        <v>52</v>
      </c>
      <c r="AT255" t="s">
        <v>52</v>
      </c>
      <c r="AU255" t="s">
        <v>64</v>
      </c>
      <c r="AV255" t="s">
        <v>62</v>
      </c>
      <c r="AW255" t="s">
        <v>65</v>
      </c>
      <c r="AX255" t="s">
        <v>66</v>
      </c>
      <c r="AY255" t="s">
        <v>67</v>
      </c>
    </row>
    <row r="256" spans="1:51" hidden="1" x14ac:dyDescent="0.25">
      <c r="A256">
        <v>202427</v>
      </c>
      <c r="B256" t="s">
        <v>1051</v>
      </c>
      <c r="C256" t="e">
        <f>VLOOKUP(A256,[1]Customer_payment_journal_line!$AL:$BO,30,0)</f>
        <v>#N/A</v>
      </c>
      <c r="D256" t="s">
        <v>53</v>
      </c>
      <c r="E256" t="s">
        <v>1048</v>
      </c>
      <c r="F256" t="s">
        <v>1049</v>
      </c>
      <c r="G256" t="s">
        <v>969</v>
      </c>
      <c r="H256" t="s">
        <v>69</v>
      </c>
      <c r="I256" t="s">
        <v>545</v>
      </c>
      <c r="J256" t="s">
        <v>542</v>
      </c>
      <c r="K256" t="s">
        <v>1050</v>
      </c>
      <c r="L256" t="s">
        <v>52</v>
      </c>
      <c r="M256">
        <v>0</v>
      </c>
      <c r="N256">
        <v>11970</v>
      </c>
      <c r="O256" t="s">
        <v>61</v>
      </c>
      <c r="P256">
        <v>100</v>
      </c>
      <c r="Q256" t="s">
        <v>52</v>
      </c>
      <c r="R256" t="s">
        <v>52</v>
      </c>
      <c r="S256" t="s">
        <v>52</v>
      </c>
      <c r="T256" t="s">
        <v>52</v>
      </c>
      <c r="U256" t="s">
        <v>52</v>
      </c>
      <c r="V256" t="s">
        <v>62</v>
      </c>
      <c r="W256" t="s">
        <v>52</v>
      </c>
      <c r="Y256" t="s">
        <v>546</v>
      </c>
      <c r="Z256" t="s">
        <v>62</v>
      </c>
      <c r="AB256" t="s">
        <v>1052</v>
      </c>
      <c r="AE256" t="s">
        <v>1053</v>
      </c>
      <c r="AF256" t="s">
        <v>52</v>
      </c>
      <c r="AH256">
        <v>0</v>
      </c>
      <c r="AI256">
        <v>0</v>
      </c>
      <c r="AJ256" t="s">
        <v>52</v>
      </c>
      <c r="AK256">
        <v>0</v>
      </c>
      <c r="AL256" t="s">
        <v>52</v>
      </c>
      <c r="AM256" t="s">
        <v>52</v>
      </c>
      <c r="AN256">
        <v>0</v>
      </c>
      <c r="AO256">
        <v>0</v>
      </c>
      <c r="AP256" t="s">
        <v>52</v>
      </c>
      <c r="AQ256" t="s">
        <v>52</v>
      </c>
      <c r="AR256" t="s">
        <v>62</v>
      </c>
      <c r="AS256" t="s">
        <v>52</v>
      </c>
      <c r="AT256" t="s">
        <v>74</v>
      </c>
      <c r="AU256" t="s">
        <v>64</v>
      </c>
      <c r="AV256" t="s">
        <v>62</v>
      </c>
      <c r="AW256" t="s">
        <v>65</v>
      </c>
      <c r="AX256" t="s">
        <v>66</v>
      </c>
      <c r="AY256" t="s">
        <v>67</v>
      </c>
    </row>
    <row r="257" spans="1:51" hidden="1" x14ac:dyDescent="0.25">
      <c r="A257">
        <v>202428</v>
      </c>
      <c r="B257" t="s">
        <v>1054</v>
      </c>
      <c r="C257" t="e">
        <f>VLOOKUP(A257,[1]Customer_payment_journal_line!$AL:$BO,30,0)</f>
        <v>#N/A</v>
      </c>
      <c r="D257" t="s">
        <v>53</v>
      </c>
      <c r="E257" t="s">
        <v>1055</v>
      </c>
      <c r="F257" t="s">
        <v>1056</v>
      </c>
      <c r="G257" t="s">
        <v>969</v>
      </c>
      <c r="H257" t="s">
        <v>57</v>
      </c>
      <c r="I257" t="s">
        <v>58</v>
      </c>
      <c r="J257" t="s">
        <v>542</v>
      </c>
      <c r="K257" t="s">
        <v>1050</v>
      </c>
      <c r="L257" t="s">
        <v>52</v>
      </c>
      <c r="M257">
        <v>855</v>
      </c>
      <c r="N257">
        <v>0</v>
      </c>
      <c r="O257" t="s">
        <v>61</v>
      </c>
      <c r="P257">
        <v>100</v>
      </c>
      <c r="Q257" t="s">
        <v>52</v>
      </c>
      <c r="R257" t="s">
        <v>52</v>
      </c>
      <c r="S257" t="s">
        <v>52</v>
      </c>
      <c r="T257" t="s">
        <v>52</v>
      </c>
      <c r="U257" t="s">
        <v>52</v>
      </c>
      <c r="V257" t="s">
        <v>62</v>
      </c>
      <c r="W257" t="s">
        <v>63</v>
      </c>
      <c r="Y257" t="s">
        <v>52</v>
      </c>
      <c r="AB257" t="s">
        <v>52</v>
      </c>
      <c r="AE257" t="s">
        <v>52</v>
      </c>
      <c r="AF257" t="s">
        <v>52</v>
      </c>
      <c r="AH257">
        <v>0</v>
      </c>
      <c r="AI257">
        <v>0</v>
      </c>
      <c r="AJ257" t="s">
        <v>52</v>
      </c>
      <c r="AK257">
        <v>0</v>
      </c>
      <c r="AL257" t="s">
        <v>52</v>
      </c>
      <c r="AM257" t="s">
        <v>52</v>
      </c>
      <c r="AN257">
        <v>0</v>
      </c>
      <c r="AO257">
        <v>0</v>
      </c>
      <c r="AP257" t="s">
        <v>52</v>
      </c>
      <c r="AQ257" t="s">
        <v>52</v>
      </c>
      <c r="AR257" t="s">
        <v>62</v>
      </c>
      <c r="AS257" t="s">
        <v>52</v>
      </c>
      <c r="AT257" t="s">
        <v>52</v>
      </c>
      <c r="AU257" t="s">
        <v>64</v>
      </c>
      <c r="AV257" t="s">
        <v>62</v>
      </c>
      <c r="AW257" t="s">
        <v>65</v>
      </c>
      <c r="AX257" t="s">
        <v>66</v>
      </c>
      <c r="AY257" t="s">
        <v>67</v>
      </c>
    </row>
    <row r="258" spans="1:51" hidden="1" x14ac:dyDescent="0.25">
      <c r="A258">
        <v>202428</v>
      </c>
      <c r="B258" t="s">
        <v>1057</v>
      </c>
      <c r="C258" t="e">
        <f>VLOOKUP(A258,[1]Customer_payment_journal_line!$AL:$BO,30,0)</f>
        <v>#N/A</v>
      </c>
      <c r="D258" t="s">
        <v>53</v>
      </c>
      <c r="E258" t="s">
        <v>1055</v>
      </c>
      <c r="F258" t="s">
        <v>1056</v>
      </c>
      <c r="G258" t="s">
        <v>969</v>
      </c>
      <c r="H258" t="s">
        <v>69</v>
      </c>
      <c r="I258" t="s">
        <v>545</v>
      </c>
      <c r="J258" t="s">
        <v>542</v>
      </c>
      <c r="K258" t="s">
        <v>1050</v>
      </c>
      <c r="L258" t="s">
        <v>52</v>
      </c>
      <c r="M258">
        <v>0</v>
      </c>
      <c r="N258">
        <v>855</v>
      </c>
      <c r="O258" t="s">
        <v>61</v>
      </c>
      <c r="P258">
        <v>100</v>
      </c>
      <c r="Q258" t="s">
        <v>52</v>
      </c>
      <c r="R258" t="s">
        <v>52</v>
      </c>
      <c r="S258" t="s">
        <v>52</v>
      </c>
      <c r="T258" t="s">
        <v>52</v>
      </c>
      <c r="U258" t="s">
        <v>52</v>
      </c>
      <c r="V258" t="s">
        <v>62</v>
      </c>
      <c r="W258" t="s">
        <v>52</v>
      </c>
      <c r="Y258" t="s">
        <v>546</v>
      </c>
      <c r="Z258" t="s">
        <v>62</v>
      </c>
      <c r="AB258" t="s">
        <v>1058</v>
      </c>
      <c r="AE258" t="s">
        <v>1059</v>
      </c>
      <c r="AF258" t="s">
        <v>52</v>
      </c>
      <c r="AH258">
        <v>0</v>
      </c>
      <c r="AI258">
        <v>0</v>
      </c>
      <c r="AJ258" t="s">
        <v>52</v>
      </c>
      <c r="AK258">
        <v>0</v>
      </c>
      <c r="AL258" t="s">
        <v>52</v>
      </c>
      <c r="AM258" t="s">
        <v>52</v>
      </c>
      <c r="AN258">
        <v>0</v>
      </c>
      <c r="AO258">
        <v>0</v>
      </c>
      <c r="AP258" t="s">
        <v>52</v>
      </c>
      <c r="AQ258" t="s">
        <v>52</v>
      </c>
      <c r="AR258" t="s">
        <v>62</v>
      </c>
      <c r="AS258" t="s">
        <v>52</v>
      </c>
      <c r="AT258" t="s">
        <v>74</v>
      </c>
      <c r="AU258" t="s">
        <v>64</v>
      </c>
      <c r="AV258" t="s">
        <v>62</v>
      </c>
      <c r="AW258" t="s">
        <v>65</v>
      </c>
      <c r="AX258" t="s">
        <v>66</v>
      </c>
      <c r="AY258" t="s">
        <v>67</v>
      </c>
    </row>
    <row r="259" spans="1:51" x14ac:dyDescent="0.25">
      <c r="A259">
        <v>202450</v>
      </c>
      <c r="B259" t="s">
        <v>1060</v>
      </c>
      <c r="C259" t="e">
        <f>VLOOKUP(A259,[1]Customer_payment_journal_line!$AL:$BO,30,0)</f>
        <v>#N/A</v>
      </c>
      <c r="D259" t="s">
        <v>644</v>
      </c>
      <c r="E259" t="s">
        <v>1061</v>
      </c>
      <c r="F259" t="s">
        <v>1062</v>
      </c>
      <c r="G259" t="s">
        <v>1063</v>
      </c>
      <c r="H259" t="s">
        <v>210</v>
      </c>
      <c r="I259" t="s">
        <v>1064</v>
      </c>
      <c r="K259" t="s">
        <v>1065</v>
      </c>
      <c r="L259" t="s">
        <v>52</v>
      </c>
      <c r="M259">
        <v>3186</v>
      </c>
      <c r="N259">
        <v>0</v>
      </c>
      <c r="O259" t="s">
        <v>178</v>
      </c>
      <c r="P259">
        <v>5085</v>
      </c>
      <c r="Q259" t="s">
        <v>52</v>
      </c>
      <c r="R259" t="s">
        <v>52</v>
      </c>
      <c r="S259" t="s">
        <v>52</v>
      </c>
      <c r="T259" t="s">
        <v>52</v>
      </c>
      <c r="U259" t="s">
        <v>52</v>
      </c>
      <c r="V259" t="s">
        <v>62</v>
      </c>
      <c r="W259" t="s">
        <v>63</v>
      </c>
      <c r="Y259" t="s">
        <v>52</v>
      </c>
      <c r="AB259" t="s">
        <v>52</v>
      </c>
      <c r="AE259" t="s">
        <v>52</v>
      </c>
      <c r="AF259" t="s">
        <v>269</v>
      </c>
      <c r="AG259" t="s">
        <v>1066</v>
      </c>
      <c r="AH259">
        <v>0</v>
      </c>
      <c r="AI259">
        <v>0</v>
      </c>
      <c r="AJ259" t="s">
        <v>52</v>
      </c>
      <c r="AK259">
        <v>0</v>
      </c>
      <c r="AL259" t="s">
        <v>52</v>
      </c>
      <c r="AM259" t="s">
        <v>52</v>
      </c>
      <c r="AN259">
        <v>0</v>
      </c>
      <c r="AO259">
        <v>0</v>
      </c>
      <c r="AP259" t="s">
        <v>52</v>
      </c>
      <c r="AQ259" t="s">
        <v>52</v>
      </c>
      <c r="AR259" t="s">
        <v>62</v>
      </c>
      <c r="AS259" t="s">
        <v>52</v>
      </c>
      <c r="AT259" t="s">
        <v>52</v>
      </c>
      <c r="AU259" t="s">
        <v>64</v>
      </c>
      <c r="AV259" t="s">
        <v>62</v>
      </c>
      <c r="AW259" t="s">
        <v>65</v>
      </c>
      <c r="AX259" t="s">
        <v>1067</v>
      </c>
      <c r="AY259" t="s">
        <v>654</v>
      </c>
    </row>
    <row r="260" spans="1:51" x14ac:dyDescent="0.25">
      <c r="A260">
        <v>202450</v>
      </c>
      <c r="B260" t="s">
        <v>1068</v>
      </c>
      <c r="C260" t="e">
        <f>VLOOKUP(A260,[1]Customer_payment_journal_line!$AL:$BO,30,0)</f>
        <v>#N/A</v>
      </c>
      <c r="D260" t="s">
        <v>644</v>
      </c>
      <c r="E260" t="s">
        <v>1061</v>
      </c>
      <c r="F260" t="s">
        <v>1062</v>
      </c>
      <c r="G260" t="s">
        <v>1063</v>
      </c>
      <c r="H260" t="s">
        <v>69</v>
      </c>
      <c r="I260" t="s">
        <v>1069</v>
      </c>
      <c r="J260" t="s">
        <v>1070</v>
      </c>
      <c r="K260" t="s">
        <v>1065</v>
      </c>
      <c r="L260" t="s">
        <v>52</v>
      </c>
      <c r="M260">
        <v>0</v>
      </c>
      <c r="N260">
        <v>3186</v>
      </c>
      <c r="O260" t="s">
        <v>178</v>
      </c>
      <c r="P260">
        <v>5085</v>
      </c>
      <c r="Q260" t="s">
        <v>52</v>
      </c>
      <c r="R260" t="s">
        <v>52</v>
      </c>
      <c r="S260" t="s">
        <v>52</v>
      </c>
      <c r="T260" t="s">
        <v>52</v>
      </c>
      <c r="U260" t="s">
        <v>52</v>
      </c>
      <c r="V260" t="s">
        <v>1071</v>
      </c>
      <c r="W260" t="s">
        <v>52</v>
      </c>
      <c r="Y260" t="s">
        <v>1072</v>
      </c>
      <c r="Z260" t="s">
        <v>62</v>
      </c>
      <c r="AB260" t="s">
        <v>52</v>
      </c>
      <c r="AE260" t="s">
        <v>52</v>
      </c>
      <c r="AF260" t="s">
        <v>269</v>
      </c>
      <c r="AG260" t="s">
        <v>1066</v>
      </c>
      <c r="AH260">
        <v>0</v>
      </c>
      <c r="AI260">
        <v>0</v>
      </c>
      <c r="AJ260" t="s">
        <v>52</v>
      </c>
      <c r="AK260">
        <v>0</v>
      </c>
      <c r="AL260" t="s">
        <v>52</v>
      </c>
      <c r="AM260" t="s">
        <v>52</v>
      </c>
      <c r="AN260">
        <v>0</v>
      </c>
      <c r="AO260">
        <v>0</v>
      </c>
      <c r="AP260" t="s">
        <v>52</v>
      </c>
      <c r="AQ260" t="s">
        <v>52</v>
      </c>
      <c r="AR260" t="s">
        <v>62</v>
      </c>
      <c r="AS260" t="s">
        <v>52</v>
      </c>
      <c r="AT260" t="s">
        <v>21</v>
      </c>
      <c r="AU260" t="s">
        <v>64</v>
      </c>
      <c r="AV260" t="s">
        <v>62</v>
      </c>
      <c r="AW260" t="s">
        <v>65</v>
      </c>
      <c r="AX260" t="s">
        <v>1067</v>
      </c>
      <c r="AY260" t="s">
        <v>654</v>
      </c>
    </row>
    <row r="261" spans="1:51" hidden="1" x14ac:dyDescent="0.25">
      <c r="A261">
        <v>202464</v>
      </c>
      <c r="B261" t="s">
        <v>1073</v>
      </c>
      <c r="C261" t="e">
        <f>VLOOKUP(A261,[1]Customer_payment_journal_line!$AL:$BO,30,0)</f>
        <v>#N/A</v>
      </c>
      <c r="D261" t="s">
        <v>53</v>
      </c>
      <c r="E261" t="s">
        <v>1074</v>
      </c>
      <c r="F261" t="s">
        <v>1075</v>
      </c>
      <c r="G261" t="s">
        <v>1063</v>
      </c>
      <c r="H261" t="s">
        <v>57</v>
      </c>
      <c r="I261" t="s">
        <v>516</v>
      </c>
      <c r="J261" t="s">
        <v>542</v>
      </c>
      <c r="K261" t="s">
        <v>1050</v>
      </c>
      <c r="L261" t="s">
        <v>52</v>
      </c>
      <c r="M261">
        <v>1175</v>
      </c>
      <c r="N261">
        <v>0</v>
      </c>
      <c r="O261" t="s">
        <v>178</v>
      </c>
      <c r="P261">
        <v>5085</v>
      </c>
      <c r="Q261" t="s">
        <v>52</v>
      </c>
      <c r="R261" t="s">
        <v>52</v>
      </c>
      <c r="S261" t="s">
        <v>52</v>
      </c>
      <c r="T261" t="s">
        <v>52</v>
      </c>
      <c r="U261" t="s">
        <v>52</v>
      </c>
      <c r="V261" t="s">
        <v>62</v>
      </c>
      <c r="W261" t="s">
        <v>63</v>
      </c>
      <c r="Y261" t="s">
        <v>52</v>
      </c>
      <c r="AB261" t="s">
        <v>52</v>
      </c>
      <c r="AE261" t="s">
        <v>52</v>
      </c>
      <c r="AF261" t="s">
        <v>52</v>
      </c>
      <c r="AH261">
        <v>0</v>
      </c>
      <c r="AI261">
        <v>0</v>
      </c>
      <c r="AJ261" t="s">
        <v>52</v>
      </c>
      <c r="AK261">
        <v>0</v>
      </c>
      <c r="AL261" t="s">
        <v>52</v>
      </c>
      <c r="AM261" t="s">
        <v>52</v>
      </c>
      <c r="AN261">
        <v>0</v>
      </c>
      <c r="AO261">
        <v>0</v>
      </c>
      <c r="AP261" t="s">
        <v>52</v>
      </c>
      <c r="AQ261" t="s">
        <v>52</v>
      </c>
      <c r="AR261" t="s">
        <v>62</v>
      </c>
      <c r="AS261" t="s">
        <v>52</v>
      </c>
      <c r="AT261" t="s">
        <v>52</v>
      </c>
      <c r="AU261" t="s">
        <v>64</v>
      </c>
      <c r="AV261" t="s">
        <v>62</v>
      </c>
      <c r="AW261" t="s">
        <v>65</v>
      </c>
      <c r="AX261" t="s">
        <v>66</v>
      </c>
      <c r="AY261" t="s">
        <v>67</v>
      </c>
    </row>
    <row r="262" spans="1:51" hidden="1" x14ac:dyDescent="0.25">
      <c r="A262">
        <v>202464</v>
      </c>
      <c r="B262" t="s">
        <v>1076</v>
      </c>
      <c r="C262" t="e">
        <f>VLOOKUP(A262,[1]Customer_payment_journal_line!$AL:$BO,30,0)</f>
        <v>#N/A</v>
      </c>
      <c r="D262" t="s">
        <v>53</v>
      </c>
      <c r="E262" t="s">
        <v>1074</v>
      </c>
      <c r="F262" t="s">
        <v>1075</v>
      </c>
      <c r="G262" t="s">
        <v>1063</v>
      </c>
      <c r="H262" t="s">
        <v>69</v>
      </c>
      <c r="I262" t="s">
        <v>545</v>
      </c>
      <c r="J262" t="s">
        <v>542</v>
      </c>
      <c r="K262" t="s">
        <v>1050</v>
      </c>
      <c r="L262" t="s">
        <v>52</v>
      </c>
      <c r="M262">
        <v>0</v>
      </c>
      <c r="N262">
        <v>1175</v>
      </c>
      <c r="O262" t="s">
        <v>178</v>
      </c>
      <c r="P262">
        <v>5085</v>
      </c>
      <c r="Q262" t="s">
        <v>52</v>
      </c>
      <c r="R262" t="s">
        <v>52</v>
      </c>
      <c r="S262" t="s">
        <v>52</v>
      </c>
      <c r="T262" t="s">
        <v>52</v>
      </c>
      <c r="U262" t="s">
        <v>52</v>
      </c>
      <c r="V262" t="s">
        <v>62</v>
      </c>
      <c r="W262" t="s">
        <v>52</v>
      </c>
      <c r="Y262" t="s">
        <v>546</v>
      </c>
      <c r="Z262" t="s">
        <v>62</v>
      </c>
      <c r="AB262" t="s">
        <v>1077</v>
      </c>
      <c r="AE262" t="s">
        <v>1078</v>
      </c>
      <c r="AF262" t="s">
        <v>52</v>
      </c>
      <c r="AH262">
        <v>0</v>
      </c>
      <c r="AI262">
        <v>0</v>
      </c>
      <c r="AJ262" t="s">
        <v>52</v>
      </c>
      <c r="AK262">
        <v>0</v>
      </c>
      <c r="AL262" t="s">
        <v>52</v>
      </c>
      <c r="AM262" t="s">
        <v>52</v>
      </c>
      <c r="AN262">
        <v>0</v>
      </c>
      <c r="AO262">
        <v>0</v>
      </c>
      <c r="AP262" t="s">
        <v>52</v>
      </c>
      <c r="AQ262" t="s">
        <v>52</v>
      </c>
      <c r="AR262" t="s">
        <v>62</v>
      </c>
      <c r="AS262" t="s">
        <v>52</v>
      </c>
      <c r="AT262" t="s">
        <v>74</v>
      </c>
      <c r="AU262" t="s">
        <v>64</v>
      </c>
      <c r="AV262" t="s">
        <v>62</v>
      </c>
      <c r="AW262" t="s">
        <v>65</v>
      </c>
      <c r="AX262" t="s">
        <v>66</v>
      </c>
      <c r="AY262" t="s">
        <v>67</v>
      </c>
    </row>
    <row r="263" spans="1:51" hidden="1" x14ac:dyDescent="0.25">
      <c r="A263">
        <v>202467</v>
      </c>
      <c r="B263" t="s">
        <v>1079</v>
      </c>
      <c r="C263" t="str">
        <f>VLOOKUP(A263,[1]Customer_payment_journal_line!$AL:$BO,30,0)</f>
        <v>CPay-000000021</v>
      </c>
      <c r="D263" t="s">
        <v>53</v>
      </c>
      <c r="E263" t="s">
        <v>1080</v>
      </c>
      <c r="F263" t="s">
        <v>1081</v>
      </c>
      <c r="G263" t="s">
        <v>1063</v>
      </c>
      <c r="H263" t="s">
        <v>57</v>
      </c>
      <c r="I263" t="s">
        <v>95</v>
      </c>
      <c r="J263" t="s">
        <v>1082</v>
      </c>
      <c r="K263" t="s">
        <v>1083</v>
      </c>
      <c r="L263">
        <f>VLOOKUP(A263,[1]Customer_payment_journal_line!$B:$L,11,0)</f>
        <v>2283.42</v>
      </c>
      <c r="M263" s="1">
        <v>2283.42</v>
      </c>
      <c r="N263" s="2">
        <f>L263-M263</f>
        <v>0</v>
      </c>
      <c r="O263" t="s">
        <v>61</v>
      </c>
      <c r="P263">
        <v>100</v>
      </c>
      <c r="Q263" t="s">
        <v>52</v>
      </c>
      <c r="R263" t="s">
        <v>52</v>
      </c>
      <c r="S263" t="s">
        <v>52</v>
      </c>
      <c r="T263" t="s">
        <v>52</v>
      </c>
      <c r="U263" t="s">
        <v>52</v>
      </c>
      <c r="V263" t="s">
        <v>62</v>
      </c>
      <c r="W263" t="s">
        <v>63</v>
      </c>
      <c r="Y263" t="s">
        <v>52</v>
      </c>
      <c r="AB263" t="s">
        <v>52</v>
      </c>
      <c r="AE263" t="s">
        <v>52</v>
      </c>
      <c r="AF263" t="s">
        <v>52</v>
      </c>
      <c r="AH263">
        <v>0</v>
      </c>
      <c r="AI263">
        <v>0</v>
      </c>
      <c r="AJ263" t="s">
        <v>52</v>
      </c>
      <c r="AK263">
        <v>0</v>
      </c>
      <c r="AL263" t="s">
        <v>52</v>
      </c>
      <c r="AM263" t="s">
        <v>52</v>
      </c>
      <c r="AN263">
        <v>0</v>
      </c>
      <c r="AO263">
        <v>0</v>
      </c>
      <c r="AP263" t="s">
        <v>52</v>
      </c>
      <c r="AQ263" t="s">
        <v>52</v>
      </c>
      <c r="AR263" t="s">
        <v>62</v>
      </c>
      <c r="AS263" t="s">
        <v>52</v>
      </c>
      <c r="AT263" t="s">
        <v>52</v>
      </c>
      <c r="AU263" t="s">
        <v>64</v>
      </c>
      <c r="AV263" t="s">
        <v>62</v>
      </c>
      <c r="AW263" t="s">
        <v>65</v>
      </c>
      <c r="AX263" t="s">
        <v>66</v>
      </c>
      <c r="AY263" t="s">
        <v>67</v>
      </c>
    </row>
    <row r="264" spans="1:51" hidden="1" x14ac:dyDescent="0.25">
      <c r="A264">
        <v>202467</v>
      </c>
      <c r="B264" t="s">
        <v>1084</v>
      </c>
      <c r="C264" t="str">
        <f>VLOOKUP(A264,[1]Customer_payment_journal_line!$AL:$BO,30,0)</f>
        <v>CPay-000000021</v>
      </c>
      <c r="D264" t="s">
        <v>53</v>
      </c>
      <c r="E264" t="s">
        <v>1080</v>
      </c>
      <c r="F264" t="s">
        <v>1081</v>
      </c>
      <c r="G264" t="s">
        <v>1063</v>
      </c>
      <c r="H264" t="s">
        <v>69</v>
      </c>
      <c r="I264" t="s">
        <v>1085</v>
      </c>
      <c r="J264" t="s">
        <v>1082</v>
      </c>
      <c r="K264" t="s">
        <v>1083</v>
      </c>
      <c r="L264">
        <f>VLOOKUP(A264,[1]Customer_payment_journal_line!$B:$L,11,0)</f>
        <v>2283.42</v>
      </c>
      <c r="M264" s="1">
        <v>0</v>
      </c>
      <c r="N264">
        <v>2283.42</v>
      </c>
      <c r="O264" t="s">
        <v>61</v>
      </c>
      <c r="P264">
        <v>100</v>
      </c>
      <c r="Q264" t="s">
        <v>52</v>
      </c>
      <c r="R264" t="s">
        <v>52</v>
      </c>
      <c r="S264" t="s">
        <v>52</v>
      </c>
      <c r="T264" t="s">
        <v>52</v>
      </c>
      <c r="U264" t="s">
        <v>52</v>
      </c>
      <c r="V264" t="s">
        <v>62</v>
      </c>
      <c r="W264" t="s">
        <v>52</v>
      </c>
      <c r="Y264" t="s">
        <v>1086</v>
      </c>
      <c r="Z264" t="s">
        <v>62</v>
      </c>
      <c r="AB264" t="s">
        <v>1087</v>
      </c>
      <c r="AE264" t="s">
        <v>1088</v>
      </c>
      <c r="AF264" t="s">
        <v>52</v>
      </c>
      <c r="AH264">
        <v>0</v>
      </c>
      <c r="AI264">
        <v>0</v>
      </c>
      <c r="AJ264" t="s">
        <v>52</v>
      </c>
      <c r="AK264">
        <v>0</v>
      </c>
      <c r="AL264" t="s">
        <v>52</v>
      </c>
      <c r="AM264" t="s">
        <v>52</v>
      </c>
      <c r="AN264">
        <v>0</v>
      </c>
      <c r="AO264">
        <v>0</v>
      </c>
      <c r="AP264" t="s">
        <v>52</v>
      </c>
      <c r="AQ264" t="s">
        <v>52</v>
      </c>
      <c r="AR264" t="s">
        <v>62</v>
      </c>
      <c r="AS264" t="s">
        <v>52</v>
      </c>
      <c r="AT264" t="s">
        <v>74</v>
      </c>
      <c r="AU264" t="s">
        <v>64</v>
      </c>
      <c r="AV264" t="s">
        <v>62</v>
      </c>
      <c r="AW264" t="s">
        <v>65</v>
      </c>
      <c r="AX264" t="s">
        <v>66</v>
      </c>
      <c r="AY264" t="s">
        <v>67</v>
      </c>
    </row>
    <row r="265" spans="1:51" hidden="1" x14ac:dyDescent="0.25">
      <c r="A265">
        <v>202468</v>
      </c>
      <c r="B265" t="s">
        <v>1089</v>
      </c>
      <c r="C265" t="str">
        <f>VLOOKUP(A265,[1]Customer_payment_journal_line!$AL:$BO,30,0)</f>
        <v>CPay-000000022</v>
      </c>
      <c r="D265" t="s">
        <v>53</v>
      </c>
      <c r="E265" t="s">
        <v>1090</v>
      </c>
      <c r="F265" t="s">
        <v>1091</v>
      </c>
      <c r="G265" t="s">
        <v>1063</v>
      </c>
      <c r="H265" t="s">
        <v>57</v>
      </c>
      <c r="I265" t="s">
        <v>95</v>
      </c>
      <c r="J265" t="s">
        <v>1082</v>
      </c>
      <c r="K265" t="s">
        <v>1083</v>
      </c>
      <c r="L265">
        <f>VLOOKUP(A265,[1]Customer_payment_journal_line!$B:$L,11,0)</f>
        <v>1653</v>
      </c>
      <c r="M265" s="1">
        <v>1653</v>
      </c>
      <c r="N265" s="2">
        <f>L265-M265</f>
        <v>0</v>
      </c>
      <c r="O265" t="s">
        <v>61</v>
      </c>
      <c r="P265">
        <v>100</v>
      </c>
      <c r="Q265" t="s">
        <v>52</v>
      </c>
      <c r="R265" t="s">
        <v>52</v>
      </c>
      <c r="S265" t="s">
        <v>52</v>
      </c>
      <c r="T265" t="s">
        <v>52</v>
      </c>
      <c r="U265" t="s">
        <v>52</v>
      </c>
      <c r="V265" t="s">
        <v>62</v>
      </c>
      <c r="W265" t="s">
        <v>63</v>
      </c>
      <c r="Y265" t="s">
        <v>52</v>
      </c>
      <c r="AB265" t="s">
        <v>52</v>
      </c>
      <c r="AE265" t="s">
        <v>52</v>
      </c>
      <c r="AF265" t="s">
        <v>52</v>
      </c>
      <c r="AH265">
        <v>0</v>
      </c>
      <c r="AI265">
        <v>0</v>
      </c>
      <c r="AJ265" t="s">
        <v>52</v>
      </c>
      <c r="AK265">
        <v>0</v>
      </c>
      <c r="AL265" t="s">
        <v>52</v>
      </c>
      <c r="AM265" t="s">
        <v>52</v>
      </c>
      <c r="AN265">
        <v>0</v>
      </c>
      <c r="AO265">
        <v>0</v>
      </c>
      <c r="AP265" t="s">
        <v>52</v>
      </c>
      <c r="AQ265" t="s">
        <v>52</v>
      </c>
      <c r="AR265" t="s">
        <v>62</v>
      </c>
      <c r="AS265" t="s">
        <v>52</v>
      </c>
      <c r="AT265" t="s">
        <v>52</v>
      </c>
      <c r="AU265" t="s">
        <v>64</v>
      </c>
      <c r="AV265" t="s">
        <v>62</v>
      </c>
      <c r="AW265" t="s">
        <v>65</v>
      </c>
      <c r="AX265" t="s">
        <v>66</v>
      </c>
      <c r="AY265" t="s">
        <v>67</v>
      </c>
    </row>
    <row r="266" spans="1:51" hidden="1" x14ac:dyDescent="0.25">
      <c r="A266">
        <v>202468</v>
      </c>
      <c r="B266" t="s">
        <v>1092</v>
      </c>
      <c r="C266" t="str">
        <f>VLOOKUP(A266,[1]Customer_payment_journal_line!$AL:$BO,30,0)</f>
        <v>CPay-000000022</v>
      </c>
      <c r="D266" t="s">
        <v>53</v>
      </c>
      <c r="E266" t="s">
        <v>1090</v>
      </c>
      <c r="F266" t="s">
        <v>1091</v>
      </c>
      <c r="G266" t="s">
        <v>1063</v>
      </c>
      <c r="H266" t="s">
        <v>69</v>
      </c>
      <c r="I266" t="s">
        <v>1085</v>
      </c>
      <c r="J266" t="s">
        <v>1082</v>
      </c>
      <c r="K266" t="s">
        <v>1083</v>
      </c>
      <c r="L266">
        <f>VLOOKUP(A266,[1]Customer_payment_journal_line!$B:$L,11,0)</f>
        <v>1653</v>
      </c>
      <c r="M266" s="1">
        <v>0</v>
      </c>
      <c r="N266">
        <v>1653</v>
      </c>
      <c r="O266" t="s">
        <v>61</v>
      </c>
      <c r="P266">
        <v>100</v>
      </c>
      <c r="Q266" t="s">
        <v>52</v>
      </c>
      <c r="R266" t="s">
        <v>52</v>
      </c>
      <c r="S266" t="s">
        <v>52</v>
      </c>
      <c r="T266" t="s">
        <v>52</v>
      </c>
      <c r="U266" t="s">
        <v>52</v>
      </c>
      <c r="V266" t="s">
        <v>62</v>
      </c>
      <c r="W266" t="s">
        <v>52</v>
      </c>
      <c r="Y266" t="s">
        <v>1086</v>
      </c>
      <c r="Z266" t="s">
        <v>62</v>
      </c>
      <c r="AB266" t="s">
        <v>1093</v>
      </c>
      <c r="AE266" t="s">
        <v>1094</v>
      </c>
      <c r="AF266" t="s">
        <v>52</v>
      </c>
      <c r="AH266">
        <v>0</v>
      </c>
      <c r="AI266">
        <v>0</v>
      </c>
      <c r="AJ266" t="s">
        <v>52</v>
      </c>
      <c r="AK266">
        <v>0</v>
      </c>
      <c r="AL266" t="s">
        <v>52</v>
      </c>
      <c r="AM266" t="s">
        <v>52</v>
      </c>
      <c r="AN266">
        <v>0</v>
      </c>
      <c r="AO266">
        <v>0</v>
      </c>
      <c r="AP266" t="s">
        <v>52</v>
      </c>
      <c r="AQ266" t="s">
        <v>52</v>
      </c>
      <c r="AR266" t="s">
        <v>62</v>
      </c>
      <c r="AS266" t="s">
        <v>52</v>
      </c>
      <c r="AT266" t="s">
        <v>74</v>
      </c>
      <c r="AU266" t="s">
        <v>64</v>
      </c>
      <c r="AV266" t="s">
        <v>62</v>
      </c>
      <c r="AW266" t="s">
        <v>65</v>
      </c>
      <c r="AX266" t="s">
        <v>66</v>
      </c>
      <c r="AY266" t="s">
        <v>67</v>
      </c>
    </row>
    <row r="267" spans="1:51" hidden="1" x14ac:dyDescent="0.25">
      <c r="A267">
        <v>202469</v>
      </c>
      <c r="B267" t="s">
        <v>1095</v>
      </c>
      <c r="C267" t="str">
        <f>VLOOKUP(A267,[1]Customer_payment_journal_line!$AL:$BO,30,0)</f>
        <v>CPay-000000023</v>
      </c>
      <c r="D267" t="s">
        <v>53</v>
      </c>
      <c r="E267" t="s">
        <v>1096</v>
      </c>
      <c r="F267" t="s">
        <v>1097</v>
      </c>
      <c r="G267" t="s">
        <v>1063</v>
      </c>
      <c r="H267" t="s">
        <v>57</v>
      </c>
      <c r="I267" t="s">
        <v>95</v>
      </c>
      <c r="J267" t="s">
        <v>1082</v>
      </c>
      <c r="K267" t="s">
        <v>1098</v>
      </c>
      <c r="L267">
        <f>VLOOKUP(A267,[1]Customer_payment_journal_line!$B:$L,11,0)</f>
        <v>1653</v>
      </c>
      <c r="M267" s="1">
        <v>1653</v>
      </c>
      <c r="N267" s="2">
        <f>L267-M267</f>
        <v>0</v>
      </c>
      <c r="O267" t="s">
        <v>61</v>
      </c>
      <c r="P267">
        <v>100</v>
      </c>
      <c r="Q267" t="s">
        <v>52</v>
      </c>
      <c r="R267" t="s">
        <v>52</v>
      </c>
      <c r="S267" t="s">
        <v>52</v>
      </c>
      <c r="T267" t="s">
        <v>52</v>
      </c>
      <c r="U267" t="s">
        <v>52</v>
      </c>
      <c r="V267" t="s">
        <v>62</v>
      </c>
      <c r="W267" t="s">
        <v>63</v>
      </c>
      <c r="Y267" t="s">
        <v>52</v>
      </c>
      <c r="AB267" t="s">
        <v>52</v>
      </c>
      <c r="AE267" t="s">
        <v>52</v>
      </c>
      <c r="AF267" t="s">
        <v>52</v>
      </c>
      <c r="AH267">
        <v>0</v>
      </c>
      <c r="AI267">
        <v>0</v>
      </c>
      <c r="AJ267" t="s">
        <v>52</v>
      </c>
      <c r="AK267">
        <v>0</v>
      </c>
      <c r="AL267" t="s">
        <v>52</v>
      </c>
      <c r="AM267" t="s">
        <v>52</v>
      </c>
      <c r="AN267">
        <v>0</v>
      </c>
      <c r="AO267">
        <v>0</v>
      </c>
      <c r="AP267" t="s">
        <v>52</v>
      </c>
      <c r="AQ267" t="s">
        <v>52</v>
      </c>
      <c r="AR267" t="s">
        <v>62</v>
      </c>
      <c r="AS267" t="s">
        <v>52</v>
      </c>
      <c r="AT267" t="s">
        <v>52</v>
      </c>
      <c r="AU267" t="s">
        <v>64</v>
      </c>
      <c r="AV267" t="s">
        <v>62</v>
      </c>
      <c r="AW267" t="s">
        <v>65</v>
      </c>
      <c r="AX267" t="s">
        <v>66</v>
      </c>
      <c r="AY267" t="s">
        <v>67</v>
      </c>
    </row>
    <row r="268" spans="1:51" hidden="1" x14ac:dyDescent="0.25">
      <c r="A268">
        <v>202469</v>
      </c>
      <c r="B268" t="s">
        <v>1099</v>
      </c>
      <c r="C268" t="str">
        <f>VLOOKUP(A268,[1]Customer_payment_journal_line!$AL:$BO,30,0)</f>
        <v>CPay-000000023</v>
      </c>
      <c r="D268" t="s">
        <v>53</v>
      </c>
      <c r="E268" t="s">
        <v>1096</v>
      </c>
      <c r="F268" t="s">
        <v>1097</v>
      </c>
      <c r="G268" t="s">
        <v>1063</v>
      </c>
      <c r="H268" t="s">
        <v>69</v>
      </c>
      <c r="I268" t="s">
        <v>1085</v>
      </c>
      <c r="J268" t="s">
        <v>1082</v>
      </c>
      <c r="K268" t="s">
        <v>1098</v>
      </c>
      <c r="L268">
        <f>VLOOKUP(A268,[1]Customer_payment_journal_line!$B:$L,11,0)</f>
        <v>1653</v>
      </c>
      <c r="M268" s="1">
        <v>0</v>
      </c>
      <c r="N268">
        <v>1653</v>
      </c>
      <c r="O268" t="s">
        <v>61</v>
      </c>
      <c r="P268">
        <v>100</v>
      </c>
      <c r="Q268" t="s">
        <v>52</v>
      </c>
      <c r="R268" t="s">
        <v>52</v>
      </c>
      <c r="S268" t="s">
        <v>52</v>
      </c>
      <c r="T268" t="s">
        <v>52</v>
      </c>
      <c r="U268" t="s">
        <v>52</v>
      </c>
      <c r="V268" t="s">
        <v>62</v>
      </c>
      <c r="W268" t="s">
        <v>52</v>
      </c>
      <c r="Y268" t="s">
        <v>1086</v>
      </c>
      <c r="Z268" t="s">
        <v>62</v>
      </c>
      <c r="AB268" t="s">
        <v>1100</v>
      </c>
      <c r="AE268" t="s">
        <v>1101</v>
      </c>
      <c r="AF268" t="s">
        <v>52</v>
      </c>
      <c r="AH268">
        <v>0</v>
      </c>
      <c r="AI268">
        <v>0</v>
      </c>
      <c r="AJ268" t="s">
        <v>52</v>
      </c>
      <c r="AK268">
        <v>0</v>
      </c>
      <c r="AL268" t="s">
        <v>52</v>
      </c>
      <c r="AM268" t="s">
        <v>52</v>
      </c>
      <c r="AN268">
        <v>0</v>
      </c>
      <c r="AO268">
        <v>0</v>
      </c>
      <c r="AP268" t="s">
        <v>52</v>
      </c>
      <c r="AQ268" t="s">
        <v>52</v>
      </c>
      <c r="AR268" t="s">
        <v>62</v>
      </c>
      <c r="AS268" t="s">
        <v>52</v>
      </c>
      <c r="AT268" t="s">
        <v>74</v>
      </c>
      <c r="AU268" t="s">
        <v>64</v>
      </c>
      <c r="AV268" t="s">
        <v>62</v>
      </c>
      <c r="AW268" t="s">
        <v>65</v>
      </c>
      <c r="AX268" t="s">
        <v>66</v>
      </c>
      <c r="AY268" t="s">
        <v>67</v>
      </c>
    </row>
    <row r="269" spans="1:51" hidden="1" x14ac:dyDescent="0.25">
      <c r="A269">
        <v>202470</v>
      </c>
      <c r="B269" t="s">
        <v>1102</v>
      </c>
      <c r="C269" t="str">
        <f>VLOOKUP(A269,[1]Customer_payment_journal_line!$AL:$BO,30,0)</f>
        <v>CPay-000000024</v>
      </c>
      <c r="D269" t="s">
        <v>53</v>
      </c>
      <c r="E269" t="s">
        <v>1103</v>
      </c>
      <c r="F269" t="s">
        <v>1104</v>
      </c>
      <c r="G269" t="s">
        <v>1063</v>
      </c>
      <c r="H269" t="s">
        <v>57</v>
      </c>
      <c r="I269" t="s">
        <v>95</v>
      </c>
      <c r="J269" t="s">
        <v>1082</v>
      </c>
      <c r="K269" t="s">
        <v>1098</v>
      </c>
      <c r="L269">
        <f>VLOOKUP(A269,[1]Customer_payment_journal_line!$B:$L,11,0)</f>
        <v>1437.08</v>
      </c>
      <c r="M269" s="1">
        <v>1437.08</v>
      </c>
      <c r="N269" s="2">
        <f>L269-M269</f>
        <v>0</v>
      </c>
      <c r="O269" t="s">
        <v>61</v>
      </c>
      <c r="P269">
        <v>100</v>
      </c>
      <c r="Q269" t="s">
        <v>52</v>
      </c>
      <c r="R269" t="s">
        <v>52</v>
      </c>
      <c r="S269" t="s">
        <v>52</v>
      </c>
      <c r="T269" t="s">
        <v>52</v>
      </c>
      <c r="U269" t="s">
        <v>52</v>
      </c>
      <c r="V269" t="s">
        <v>62</v>
      </c>
      <c r="W269" t="s">
        <v>63</v>
      </c>
      <c r="Y269" t="s">
        <v>52</v>
      </c>
      <c r="AB269" t="s">
        <v>52</v>
      </c>
      <c r="AE269" t="s">
        <v>52</v>
      </c>
      <c r="AF269" t="s">
        <v>52</v>
      </c>
      <c r="AH269">
        <v>0</v>
      </c>
      <c r="AI269">
        <v>0</v>
      </c>
      <c r="AJ269" t="s">
        <v>52</v>
      </c>
      <c r="AK269">
        <v>0</v>
      </c>
      <c r="AL269" t="s">
        <v>52</v>
      </c>
      <c r="AM269" t="s">
        <v>52</v>
      </c>
      <c r="AN269">
        <v>0</v>
      </c>
      <c r="AO269">
        <v>0</v>
      </c>
      <c r="AP269" t="s">
        <v>52</v>
      </c>
      <c r="AQ269" t="s">
        <v>52</v>
      </c>
      <c r="AR269" t="s">
        <v>62</v>
      </c>
      <c r="AS269" t="s">
        <v>52</v>
      </c>
      <c r="AT269" t="s">
        <v>52</v>
      </c>
      <c r="AU269" t="s">
        <v>64</v>
      </c>
      <c r="AV269" t="s">
        <v>62</v>
      </c>
      <c r="AW269" t="s">
        <v>65</v>
      </c>
      <c r="AX269" t="s">
        <v>66</v>
      </c>
      <c r="AY269" t="s">
        <v>67</v>
      </c>
    </row>
    <row r="270" spans="1:51" hidden="1" x14ac:dyDescent="0.25">
      <c r="A270">
        <v>202470</v>
      </c>
      <c r="B270" t="s">
        <v>1105</v>
      </c>
      <c r="C270" t="str">
        <f>VLOOKUP(A270,[1]Customer_payment_journal_line!$AL:$BO,30,0)</f>
        <v>CPay-000000024</v>
      </c>
      <c r="D270" t="s">
        <v>53</v>
      </c>
      <c r="E270" t="s">
        <v>1103</v>
      </c>
      <c r="F270" t="s">
        <v>1104</v>
      </c>
      <c r="G270" t="s">
        <v>1063</v>
      </c>
      <c r="H270" t="s">
        <v>69</v>
      </c>
      <c r="I270" t="s">
        <v>1085</v>
      </c>
      <c r="J270" t="s">
        <v>1082</v>
      </c>
      <c r="K270" t="s">
        <v>1098</v>
      </c>
      <c r="L270">
        <f>VLOOKUP(A270,[1]Customer_payment_journal_line!$B:$L,11,0)</f>
        <v>1437.08</v>
      </c>
      <c r="M270" s="1">
        <v>0</v>
      </c>
      <c r="N270">
        <v>1437.08</v>
      </c>
      <c r="O270" t="s">
        <v>61</v>
      </c>
      <c r="P270">
        <v>100</v>
      </c>
      <c r="Q270" t="s">
        <v>52</v>
      </c>
      <c r="R270" t="s">
        <v>52</v>
      </c>
      <c r="S270" t="s">
        <v>52</v>
      </c>
      <c r="T270" t="s">
        <v>52</v>
      </c>
      <c r="U270" t="s">
        <v>52</v>
      </c>
      <c r="V270" t="s">
        <v>62</v>
      </c>
      <c r="W270" t="s">
        <v>52</v>
      </c>
      <c r="Y270" t="s">
        <v>1086</v>
      </c>
      <c r="Z270" t="s">
        <v>62</v>
      </c>
      <c r="AB270" t="s">
        <v>1106</v>
      </c>
      <c r="AE270" t="s">
        <v>1107</v>
      </c>
      <c r="AF270" t="s">
        <v>52</v>
      </c>
      <c r="AH270">
        <v>0</v>
      </c>
      <c r="AI270">
        <v>0</v>
      </c>
      <c r="AJ270" t="s">
        <v>52</v>
      </c>
      <c r="AK270">
        <v>0</v>
      </c>
      <c r="AL270" t="s">
        <v>52</v>
      </c>
      <c r="AM270" t="s">
        <v>52</v>
      </c>
      <c r="AN270">
        <v>0</v>
      </c>
      <c r="AO270">
        <v>0</v>
      </c>
      <c r="AP270" t="s">
        <v>52</v>
      </c>
      <c r="AQ270" t="s">
        <v>52</v>
      </c>
      <c r="AR270" t="s">
        <v>62</v>
      </c>
      <c r="AS270" t="s">
        <v>52</v>
      </c>
      <c r="AT270" t="s">
        <v>74</v>
      </c>
      <c r="AU270" t="s">
        <v>64</v>
      </c>
      <c r="AV270" t="s">
        <v>62</v>
      </c>
      <c r="AW270" t="s">
        <v>65</v>
      </c>
      <c r="AX270" t="s">
        <v>66</v>
      </c>
      <c r="AY270" t="s">
        <v>67</v>
      </c>
    </row>
    <row r="271" spans="1:51" hidden="1" x14ac:dyDescent="0.25">
      <c r="A271">
        <v>202471</v>
      </c>
      <c r="B271" t="s">
        <v>1108</v>
      </c>
      <c r="C271" t="str">
        <f>VLOOKUP(A271,[1]Customer_payment_journal_line!$AL:$BO,30,0)</f>
        <v>CPay-000000025</v>
      </c>
      <c r="D271" t="s">
        <v>53</v>
      </c>
      <c r="E271" t="s">
        <v>1109</v>
      </c>
      <c r="F271" t="s">
        <v>1110</v>
      </c>
      <c r="G271" t="s">
        <v>1063</v>
      </c>
      <c r="H271" t="s">
        <v>57</v>
      </c>
      <c r="I271" t="s">
        <v>95</v>
      </c>
      <c r="J271" t="s">
        <v>1082</v>
      </c>
      <c r="K271" t="s">
        <v>1111</v>
      </c>
      <c r="L271">
        <f>VLOOKUP(A271,[1]Customer_payment_journal_line!$B:$L,11,0)</f>
        <v>1653</v>
      </c>
      <c r="M271" s="1">
        <v>1653</v>
      </c>
      <c r="N271" s="2">
        <f>L271-M271</f>
        <v>0</v>
      </c>
      <c r="O271" t="s">
        <v>61</v>
      </c>
      <c r="P271">
        <v>100</v>
      </c>
      <c r="Q271" t="s">
        <v>52</v>
      </c>
      <c r="R271" t="s">
        <v>52</v>
      </c>
      <c r="S271" t="s">
        <v>52</v>
      </c>
      <c r="T271" t="s">
        <v>52</v>
      </c>
      <c r="U271" t="s">
        <v>52</v>
      </c>
      <c r="V271" t="s">
        <v>62</v>
      </c>
      <c r="W271" t="s">
        <v>63</v>
      </c>
      <c r="Y271" t="s">
        <v>52</v>
      </c>
      <c r="AB271" t="s">
        <v>52</v>
      </c>
      <c r="AE271" t="s">
        <v>52</v>
      </c>
      <c r="AF271" t="s">
        <v>52</v>
      </c>
      <c r="AH271">
        <v>0</v>
      </c>
      <c r="AI271">
        <v>0</v>
      </c>
      <c r="AJ271" t="s">
        <v>52</v>
      </c>
      <c r="AK271">
        <v>0</v>
      </c>
      <c r="AL271" t="s">
        <v>52</v>
      </c>
      <c r="AM271" t="s">
        <v>52</v>
      </c>
      <c r="AN271">
        <v>0</v>
      </c>
      <c r="AO271">
        <v>0</v>
      </c>
      <c r="AP271" t="s">
        <v>52</v>
      </c>
      <c r="AQ271" t="s">
        <v>52</v>
      </c>
      <c r="AR271" t="s">
        <v>62</v>
      </c>
      <c r="AS271" t="s">
        <v>52</v>
      </c>
      <c r="AT271" t="s">
        <v>52</v>
      </c>
      <c r="AU271" t="s">
        <v>64</v>
      </c>
      <c r="AV271" t="s">
        <v>62</v>
      </c>
      <c r="AW271" t="s">
        <v>65</v>
      </c>
      <c r="AX271" t="s">
        <v>66</v>
      </c>
      <c r="AY271" t="s">
        <v>67</v>
      </c>
    </row>
    <row r="272" spans="1:51" hidden="1" x14ac:dyDescent="0.25">
      <c r="A272">
        <v>202471</v>
      </c>
      <c r="B272" t="s">
        <v>1112</v>
      </c>
      <c r="C272" t="str">
        <f>VLOOKUP(A272,[1]Customer_payment_journal_line!$AL:$BO,30,0)</f>
        <v>CPay-000000025</v>
      </c>
      <c r="D272" t="s">
        <v>53</v>
      </c>
      <c r="E272" t="s">
        <v>1109</v>
      </c>
      <c r="F272" t="s">
        <v>1110</v>
      </c>
      <c r="G272" t="s">
        <v>1063</v>
      </c>
      <c r="H272" t="s">
        <v>69</v>
      </c>
      <c r="I272" t="s">
        <v>1085</v>
      </c>
      <c r="J272" t="s">
        <v>1082</v>
      </c>
      <c r="K272" t="s">
        <v>1111</v>
      </c>
      <c r="L272">
        <f>VLOOKUP(A272,[1]Customer_payment_journal_line!$B:$L,11,0)</f>
        <v>1653</v>
      </c>
      <c r="M272" s="1">
        <v>0</v>
      </c>
      <c r="N272">
        <v>1653</v>
      </c>
      <c r="O272" t="s">
        <v>61</v>
      </c>
      <c r="P272">
        <v>100</v>
      </c>
      <c r="Q272" t="s">
        <v>52</v>
      </c>
      <c r="R272" t="s">
        <v>52</v>
      </c>
      <c r="S272" t="s">
        <v>52</v>
      </c>
      <c r="T272" t="s">
        <v>52</v>
      </c>
      <c r="U272" t="s">
        <v>52</v>
      </c>
      <c r="V272" t="s">
        <v>62</v>
      </c>
      <c r="W272" t="s">
        <v>52</v>
      </c>
      <c r="Y272" t="s">
        <v>1086</v>
      </c>
      <c r="Z272" t="s">
        <v>62</v>
      </c>
      <c r="AB272" t="s">
        <v>1113</v>
      </c>
      <c r="AE272" t="s">
        <v>1114</v>
      </c>
      <c r="AF272" t="s">
        <v>52</v>
      </c>
      <c r="AH272">
        <v>0</v>
      </c>
      <c r="AI272">
        <v>0</v>
      </c>
      <c r="AJ272" t="s">
        <v>52</v>
      </c>
      <c r="AK272">
        <v>0</v>
      </c>
      <c r="AL272" t="s">
        <v>52</v>
      </c>
      <c r="AM272" t="s">
        <v>52</v>
      </c>
      <c r="AN272">
        <v>0</v>
      </c>
      <c r="AO272">
        <v>0</v>
      </c>
      <c r="AP272" t="s">
        <v>52</v>
      </c>
      <c r="AQ272" t="s">
        <v>52</v>
      </c>
      <c r="AR272" t="s">
        <v>62</v>
      </c>
      <c r="AS272" t="s">
        <v>52</v>
      </c>
      <c r="AT272" t="s">
        <v>74</v>
      </c>
      <c r="AU272" t="s">
        <v>64</v>
      </c>
      <c r="AV272" t="s">
        <v>62</v>
      </c>
      <c r="AW272" t="s">
        <v>65</v>
      </c>
      <c r="AX272" t="s">
        <v>66</v>
      </c>
      <c r="AY272" t="s">
        <v>67</v>
      </c>
    </row>
    <row r="273" spans="1:51" hidden="1" x14ac:dyDescent="0.25">
      <c r="A273">
        <v>202472</v>
      </c>
      <c r="B273" t="s">
        <v>1115</v>
      </c>
      <c r="C273" t="str">
        <f>VLOOKUP(A273,[1]Customer_payment_journal_line!$AL:$BO,30,0)</f>
        <v>CPay-000000026</v>
      </c>
      <c r="D273" t="s">
        <v>53</v>
      </c>
      <c r="E273" t="s">
        <v>1116</v>
      </c>
      <c r="F273" t="s">
        <v>1117</v>
      </c>
      <c r="G273" t="s">
        <v>1063</v>
      </c>
      <c r="H273" t="s">
        <v>57</v>
      </c>
      <c r="I273" t="s">
        <v>95</v>
      </c>
      <c r="J273" t="s">
        <v>1082</v>
      </c>
      <c r="K273" t="s">
        <v>1111</v>
      </c>
      <c r="L273">
        <f>VLOOKUP(A273,[1]Customer_payment_journal_line!$B:$L,11,0)</f>
        <v>833.34</v>
      </c>
      <c r="M273" s="1">
        <v>833.34</v>
      </c>
      <c r="N273" s="2">
        <f>L273-M273</f>
        <v>0</v>
      </c>
      <c r="O273" t="s">
        <v>61</v>
      </c>
      <c r="P273">
        <v>100</v>
      </c>
      <c r="Q273" t="s">
        <v>52</v>
      </c>
      <c r="R273" t="s">
        <v>52</v>
      </c>
      <c r="S273" t="s">
        <v>52</v>
      </c>
      <c r="T273" t="s">
        <v>52</v>
      </c>
      <c r="U273" t="s">
        <v>52</v>
      </c>
      <c r="V273" t="s">
        <v>62</v>
      </c>
      <c r="W273" t="s">
        <v>63</v>
      </c>
      <c r="Y273" t="s">
        <v>52</v>
      </c>
      <c r="AB273" t="s">
        <v>52</v>
      </c>
      <c r="AE273" t="s">
        <v>52</v>
      </c>
      <c r="AF273" t="s">
        <v>52</v>
      </c>
      <c r="AH273">
        <v>0</v>
      </c>
      <c r="AI273">
        <v>0</v>
      </c>
      <c r="AJ273" t="s">
        <v>52</v>
      </c>
      <c r="AK273">
        <v>0</v>
      </c>
      <c r="AL273" t="s">
        <v>52</v>
      </c>
      <c r="AM273" t="s">
        <v>52</v>
      </c>
      <c r="AN273">
        <v>0</v>
      </c>
      <c r="AO273">
        <v>0</v>
      </c>
      <c r="AP273" t="s">
        <v>52</v>
      </c>
      <c r="AQ273" t="s">
        <v>52</v>
      </c>
      <c r="AR273" t="s">
        <v>62</v>
      </c>
      <c r="AS273" t="s">
        <v>52</v>
      </c>
      <c r="AT273" t="s">
        <v>52</v>
      </c>
      <c r="AU273" t="s">
        <v>64</v>
      </c>
      <c r="AV273" t="s">
        <v>62</v>
      </c>
      <c r="AW273" t="s">
        <v>65</v>
      </c>
      <c r="AX273" t="s">
        <v>66</v>
      </c>
      <c r="AY273" t="s">
        <v>67</v>
      </c>
    </row>
    <row r="274" spans="1:51" hidden="1" x14ac:dyDescent="0.25">
      <c r="A274">
        <v>202472</v>
      </c>
      <c r="B274" t="s">
        <v>1118</v>
      </c>
      <c r="C274" t="str">
        <f>VLOOKUP(A274,[1]Customer_payment_journal_line!$AL:$BO,30,0)</f>
        <v>CPay-000000026</v>
      </c>
      <c r="D274" t="s">
        <v>53</v>
      </c>
      <c r="E274" t="s">
        <v>1116</v>
      </c>
      <c r="F274" t="s">
        <v>1117</v>
      </c>
      <c r="G274" t="s">
        <v>1063</v>
      </c>
      <c r="H274" t="s">
        <v>69</v>
      </c>
      <c r="I274" t="s">
        <v>1085</v>
      </c>
      <c r="J274" t="s">
        <v>1082</v>
      </c>
      <c r="K274" t="s">
        <v>1111</v>
      </c>
      <c r="L274">
        <f>VLOOKUP(A274,[1]Customer_payment_journal_line!$B:$L,11,0)</f>
        <v>833.34</v>
      </c>
      <c r="M274" s="1">
        <v>0</v>
      </c>
      <c r="N274">
        <v>833.34</v>
      </c>
      <c r="O274" t="s">
        <v>61</v>
      </c>
      <c r="P274">
        <v>100</v>
      </c>
      <c r="Q274" t="s">
        <v>52</v>
      </c>
      <c r="R274" t="s">
        <v>52</v>
      </c>
      <c r="S274" t="s">
        <v>52</v>
      </c>
      <c r="T274" t="s">
        <v>52</v>
      </c>
      <c r="U274" t="s">
        <v>52</v>
      </c>
      <c r="V274" t="s">
        <v>62</v>
      </c>
      <c r="W274" t="s">
        <v>52</v>
      </c>
      <c r="Y274" t="s">
        <v>1086</v>
      </c>
      <c r="Z274" t="s">
        <v>62</v>
      </c>
      <c r="AB274" t="s">
        <v>1119</v>
      </c>
      <c r="AE274" t="s">
        <v>1120</v>
      </c>
      <c r="AF274" t="s">
        <v>52</v>
      </c>
      <c r="AH274">
        <v>0</v>
      </c>
      <c r="AI274">
        <v>0</v>
      </c>
      <c r="AJ274" t="s">
        <v>52</v>
      </c>
      <c r="AK274">
        <v>0</v>
      </c>
      <c r="AL274" t="s">
        <v>52</v>
      </c>
      <c r="AM274" t="s">
        <v>52</v>
      </c>
      <c r="AN274">
        <v>0</v>
      </c>
      <c r="AO274">
        <v>0</v>
      </c>
      <c r="AP274" t="s">
        <v>52</v>
      </c>
      <c r="AQ274" t="s">
        <v>52</v>
      </c>
      <c r="AR274" t="s">
        <v>62</v>
      </c>
      <c r="AS274" t="s">
        <v>52</v>
      </c>
      <c r="AT274" t="s">
        <v>74</v>
      </c>
      <c r="AU274" t="s">
        <v>64</v>
      </c>
      <c r="AV274" t="s">
        <v>62</v>
      </c>
      <c r="AW274" t="s">
        <v>65</v>
      </c>
      <c r="AX274" t="s">
        <v>66</v>
      </c>
      <c r="AY274" t="s">
        <v>67</v>
      </c>
    </row>
    <row r="275" spans="1:51" hidden="1" x14ac:dyDescent="0.25">
      <c r="A275">
        <v>202473</v>
      </c>
      <c r="B275" t="s">
        <v>1121</v>
      </c>
      <c r="C275" t="str">
        <f>VLOOKUP(A275,[1]Customer_payment_journal_line!$AL:$BO,30,0)</f>
        <v>CPay-000000027</v>
      </c>
      <c r="D275" t="s">
        <v>53</v>
      </c>
      <c r="E275" t="s">
        <v>1122</v>
      </c>
      <c r="F275" t="s">
        <v>1123</v>
      </c>
      <c r="G275" t="s">
        <v>1063</v>
      </c>
      <c r="H275" t="s">
        <v>57</v>
      </c>
      <c r="I275" t="s">
        <v>95</v>
      </c>
      <c r="J275" t="s">
        <v>255</v>
      </c>
      <c r="K275" t="s">
        <v>1124</v>
      </c>
      <c r="L275">
        <f>VLOOKUP(A275,[1]Customer_payment_journal_line!$B:$L,11,0)</f>
        <v>1653</v>
      </c>
      <c r="M275" s="1">
        <v>1653</v>
      </c>
      <c r="N275" s="2">
        <f>L275-M275</f>
        <v>0</v>
      </c>
      <c r="O275" t="s">
        <v>61</v>
      </c>
      <c r="P275">
        <v>100</v>
      </c>
      <c r="Q275" t="s">
        <v>52</v>
      </c>
      <c r="R275" t="s">
        <v>52</v>
      </c>
      <c r="S275" t="s">
        <v>52</v>
      </c>
      <c r="T275" t="s">
        <v>52</v>
      </c>
      <c r="U275" t="s">
        <v>52</v>
      </c>
      <c r="V275" t="s">
        <v>62</v>
      </c>
      <c r="W275" t="s">
        <v>63</v>
      </c>
      <c r="Y275" t="s">
        <v>52</v>
      </c>
      <c r="AB275" t="s">
        <v>52</v>
      </c>
      <c r="AE275" t="s">
        <v>52</v>
      </c>
      <c r="AF275" t="s">
        <v>52</v>
      </c>
      <c r="AH275">
        <v>0</v>
      </c>
      <c r="AI275">
        <v>0</v>
      </c>
      <c r="AJ275" t="s">
        <v>52</v>
      </c>
      <c r="AK275">
        <v>0</v>
      </c>
      <c r="AL275" t="s">
        <v>52</v>
      </c>
      <c r="AM275" t="s">
        <v>52</v>
      </c>
      <c r="AN275">
        <v>0</v>
      </c>
      <c r="AO275">
        <v>0</v>
      </c>
      <c r="AP275" t="s">
        <v>52</v>
      </c>
      <c r="AQ275" t="s">
        <v>52</v>
      </c>
      <c r="AR275" t="s">
        <v>62</v>
      </c>
      <c r="AS275" t="s">
        <v>52</v>
      </c>
      <c r="AT275" t="s">
        <v>52</v>
      </c>
      <c r="AU275" t="s">
        <v>64</v>
      </c>
      <c r="AV275" t="s">
        <v>62</v>
      </c>
      <c r="AW275" t="s">
        <v>65</v>
      </c>
      <c r="AX275" t="s">
        <v>66</v>
      </c>
      <c r="AY275" t="s">
        <v>67</v>
      </c>
    </row>
    <row r="276" spans="1:51" hidden="1" x14ac:dyDescent="0.25">
      <c r="A276">
        <v>202473</v>
      </c>
      <c r="B276" t="s">
        <v>1125</v>
      </c>
      <c r="C276" t="str">
        <f>VLOOKUP(A276,[1]Customer_payment_journal_line!$AL:$BO,30,0)</f>
        <v>CPay-000000027</v>
      </c>
      <c r="D276" t="s">
        <v>53</v>
      </c>
      <c r="E276" t="s">
        <v>1122</v>
      </c>
      <c r="F276" t="s">
        <v>1123</v>
      </c>
      <c r="G276" t="s">
        <v>1063</v>
      </c>
      <c r="H276" t="s">
        <v>69</v>
      </c>
      <c r="I276" t="s">
        <v>99</v>
      </c>
      <c r="J276" t="s">
        <v>255</v>
      </c>
      <c r="K276" t="s">
        <v>1124</v>
      </c>
      <c r="L276">
        <f>VLOOKUP(A276,[1]Customer_payment_journal_line!$B:$L,11,0)</f>
        <v>1653</v>
      </c>
      <c r="M276" s="1">
        <v>0</v>
      </c>
      <c r="N276">
        <v>1653</v>
      </c>
      <c r="O276" t="s">
        <v>61</v>
      </c>
      <c r="P276">
        <v>100</v>
      </c>
      <c r="Q276" t="s">
        <v>52</v>
      </c>
      <c r="R276" t="s">
        <v>52</v>
      </c>
      <c r="S276" t="s">
        <v>52</v>
      </c>
      <c r="T276" t="s">
        <v>52</v>
      </c>
      <c r="U276" t="s">
        <v>52</v>
      </c>
      <c r="V276" t="s">
        <v>62</v>
      </c>
      <c r="W276" t="s">
        <v>52</v>
      </c>
      <c r="Y276" t="s">
        <v>100</v>
      </c>
      <c r="Z276" t="s">
        <v>62</v>
      </c>
      <c r="AB276" t="s">
        <v>1126</v>
      </c>
      <c r="AE276" t="s">
        <v>1127</v>
      </c>
      <c r="AF276" t="s">
        <v>52</v>
      </c>
      <c r="AH276">
        <v>0</v>
      </c>
      <c r="AI276">
        <v>0</v>
      </c>
      <c r="AJ276" t="s">
        <v>52</v>
      </c>
      <c r="AK276">
        <v>0</v>
      </c>
      <c r="AL276" t="s">
        <v>52</v>
      </c>
      <c r="AM276" t="s">
        <v>52</v>
      </c>
      <c r="AN276">
        <v>0</v>
      </c>
      <c r="AO276">
        <v>0</v>
      </c>
      <c r="AP276" t="s">
        <v>52</v>
      </c>
      <c r="AQ276" t="s">
        <v>52</v>
      </c>
      <c r="AR276" t="s">
        <v>62</v>
      </c>
      <c r="AS276" t="s">
        <v>52</v>
      </c>
      <c r="AT276" t="s">
        <v>74</v>
      </c>
      <c r="AU276" t="s">
        <v>64</v>
      </c>
      <c r="AV276" t="s">
        <v>62</v>
      </c>
      <c r="AW276" t="s">
        <v>65</v>
      </c>
      <c r="AX276" t="s">
        <v>66</v>
      </c>
      <c r="AY276" t="s">
        <v>67</v>
      </c>
    </row>
    <row r="277" spans="1:51" hidden="1" x14ac:dyDescent="0.25">
      <c r="A277">
        <v>202474</v>
      </c>
      <c r="B277" t="s">
        <v>1128</v>
      </c>
      <c r="C277" t="str">
        <f>VLOOKUP(A277,[1]Customer_payment_journal_line!$AL:$BO,30,0)</f>
        <v>CPay-000000028</v>
      </c>
      <c r="D277" t="s">
        <v>53</v>
      </c>
      <c r="E277" t="s">
        <v>1129</v>
      </c>
      <c r="F277" t="s">
        <v>1130</v>
      </c>
      <c r="G277" t="s">
        <v>1063</v>
      </c>
      <c r="H277" t="s">
        <v>57</v>
      </c>
      <c r="I277" t="s">
        <v>95</v>
      </c>
      <c r="J277" t="s">
        <v>255</v>
      </c>
      <c r="K277" t="s">
        <v>1124</v>
      </c>
      <c r="L277">
        <f>VLOOKUP(A277,[1]Customer_payment_journal_line!$B:$L,11,0)</f>
        <v>1387.84</v>
      </c>
      <c r="M277" s="1">
        <v>1387.84</v>
      </c>
      <c r="N277" s="2">
        <f>L277-M277</f>
        <v>0</v>
      </c>
      <c r="O277" t="s">
        <v>61</v>
      </c>
      <c r="P277">
        <v>100</v>
      </c>
      <c r="Q277" t="s">
        <v>52</v>
      </c>
      <c r="R277" t="s">
        <v>52</v>
      </c>
      <c r="S277" t="s">
        <v>52</v>
      </c>
      <c r="T277" t="s">
        <v>52</v>
      </c>
      <c r="U277" t="s">
        <v>52</v>
      </c>
      <c r="V277" t="s">
        <v>62</v>
      </c>
      <c r="W277" t="s">
        <v>63</v>
      </c>
      <c r="Y277" t="s">
        <v>52</v>
      </c>
      <c r="AB277" t="s">
        <v>52</v>
      </c>
      <c r="AE277" t="s">
        <v>52</v>
      </c>
      <c r="AF277" t="s">
        <v>52</v>
      </c>
      <c r="AH277">
        <v>0</v>
      </c>
      <c r="AI277">
        <v>0</v>
      </c>
      <c r="AJ277" t="s">
        <v>52</v>
      </c>
      <c r="AK277">
        <v>0</v>
      </c>
      <c r="AL277" t="s">
        <v>52</v>
      </c>
      <c r="AM277" t="s">
        <v>52</v>
      </c>
      <c r="AN277">
        <v>0</v>
      </c>
      <c r="AO277">
        <v>0</v>
      </c>
      <c r="AP277" t="s">
        <v>52</v>
      </c>
      <c r="AQ277" t="s">
        <v>52</v>
      </c>
      <c r="AR277" t="s">
        <v>62</v>
      </c>
      <c r="AS277" t="s">
        <v>52</v>
      </c>
      <c r="AT277" t="s">
        <v>52</v>
      </c>
      <c r="AU277" t="s">
        <v>64</v>
      </c>
      <c r="AV277" t="s">
        <v>62</v>
      </c>
      <c r="AW277" t="s">
        <v>65</v>
      </c>
      <c r="AX277" t="s">
        <v>66</v>
      </c>
      <c r="AY277" t="s">
        <v>67</v>
      </c>
    </row>
    <row r="278" spans="1:51" hidden="1" x14ac:dyDescent="0.25">
      <c r="A278">
        <v>202474</v>
      </c>
      <c r="B278" t="s">
        <v>1131</v>
      </c>
      <c r="C278" t="str">
        <f>VLOOKUP(A278,[1]Customer_payment_journal_line!$AL:$BO,30,0)</f>
        <v>CPay-000000028</v>
      </c>
      <c r="D278" t="s">
        <v>53</v>
      </c>
      <c r="E278" t="s">
        <v>1129</v>
      </c>
      <c r="F278" t="s">
        <v>1130</v>
      </c>
      <c r="G278" t="s">
        <v>1063</v>
      </c>
      <c r="H278" t="s">
        <v>69</v>
      </c>
      <c r="I278" t="s">
        <v>99</v>
      </c>
      <c r="J278" t="s">
        <v>255</v>
      </c>
      <c r="K278" t="s">
        <v>1124</v>
      </c>
      <c r="L278">
        <f>VLOOKUP(A278,[1]Customer_payment_journal_line!$B:$L,11,0)</f>
        <v>1387.84</v>
      </c>
      <c r="M278" s="1">
        <v>0</v>
      </c>
      <c r="N278">
        <v>1387.84</v>
      </c>
      <c r="O278" t="s">
        <v>61</v>
      </c>
      <c r="P278">
        <v>100</v>
      </c>
      <c r="Q278" t="s">
        <v>52</v>
      </c>
      <c r="R278" t="s">
        <v>52</v>
      </c>
      <c r="S278" t="s">
        <v>52</v>
      </c>
      <c r="T278" t="s">
        <v>52</v>
      </c>
      <c r="U278" t="s">
        <v>52</v>
      </c>
      <c r="V278" t="s">
        <v>62</v>
      </c>
      <c r="W278" t="s">
        <v>52</v>
      </c>
      <c r="Y278" t="s">
        <v>100</v>
      </c>
      <c r="Z278" t="s">
        <v>62</v>
      </c>
      <c r="AB278" t="s">
        <v>1132</v>
      </c>
      <c r="AE278" t="s">
        <v>1133</v>
      </c>
      <c r="AF278" t="s">
        <v>52</v>
      </c>
      <c r="AH278">
        <v>0</v>
      </c>
      <c r="AI278">
        <v>0</v>
      </c>
      <c r="AJ278" t="s">
        <v>52</v>
      </c>
      <c r="AK278">
        <v>0</v>
      </c>
      <c r="AL278" t="s">
        <v>52</v>
      </c>
      <c r="AM278" t="s">
        <v>52</v>
      </c>
      <c r="AN278">
        <v>0</v>
      </c>
      <c r="AO278">
        <v>0</v>
      </c>
      <c r="AP278" t="s">
        <v>52</v>
      </c>
      <c r="AQ278" t="s">
        <v>52</v>
      </c>
      <c r="AR278" t="s">
        <v>62</v>
      </c>
      <c r="AS278" t="s">
        <v>52</v>
      </c>
      <c r="AT278" t="s">
        <v>74</v>
      </c>
      <c r="AU278" t="s">
        <v>64</v>
      </c>
      <c r="AV278" t="s">
        <v>62</v>
      </c>
      <c r="AW278" t="s">
        <v>65</v>
      </c>
      <c r="AX278" t="s">
        <v>66</v>
      </c>
      <c r="AY278" t="s">
        <v>67</v>
      </c>
    </row>
    <row r="279" spans="1:51" hidden="1" x14ac:dyDescent="0.25">
      <c r="A279">
        <v>402005</v>
      </c>
      <c r="B279" t="s">
        <v>1134</v>
      </c>
      <c r="C279" t="e">
        <f>VLOOKUP(A279,[1]Customer_payment_journal_line!$AL:$BO,30,0)</f>
        <v>#N/A</v>
      </c>
      <c r="D279" t="s">
        <v>53</v>
      </c>
      <c r="E279" t="s">
        <v>1135</v>
      </c>
      <c r="F279" t="s">
        <v>1136</v>
      </c>
      <c r="G279" t="s">
        <v>1063</v>
      </c>
      <c r="H279" t="s">
        <v>57</v>
      </c>
      <c r="I279" t="s">
        <v>58</v>
      </c>
      <c r="J279" t="s">
        <v>1137</v>
      </c>
      <c r="K279" t="s">
        <v>1138</v>
      </c>
      <c r="L279" t="s">
        <v>52</v>
      </c>
      <c r="M279">
        <v>1710</v>
      </c>
      <c r="N279">
        <v>0</v>
      </c>
      <c r="O279" t="s">
        <v>61</v>
      </c>
      <c r="P279">
        <v>100</v>
      </c>
      <c r="Q279" t="s">
        <v>52</v>
      </c>
      <c r="R279" t="s">
        <v>52</v>
      </c>
      <c r="S279" t="s">
        <v>52</v>
      </c>
      <c r="T279" t="s">
        <v>52</v>
      </c>
      <c r="U279" t="s">
        <v>52</v>
      </c>
      <c r="V279" t="s">
        <v>62</v>
      </c>
      <c r="W279" t="s">
        <v>63</v>
      </c>
      <c r="Y279" t="s">
        <v>52</v>
      </c>
      <c r="AB279" t="s">
        <v>52</v>
      </c>
      <c r="AE279" t="s">
        <v>52</v>
      </c>
      <c r="AF279" t="s">
        <v>52</v>
      </c>
      <c r="AH279">
        <v>0</v>
      </c>
      <c r="AI279">
        <v>0</v>
      </c>
      <c r="AJ279" t="s">
        <v>52</v>
      </c>
      <c r="AK279">
        <v>0</v>
      </c>
      <c r="AL279" t="s">
        <v>52</v>
      </c>
      <c r="AM279" t="s">
        <v>52</v>
      </c>
      <c r="AN279">
        <v>0</v>
      </c>
      <c r="AO279">
        <v>0</v>
      </c>
      <c r="AP279" t="s">
        <v>52</v>
      </c>
      <c r="AQ279" t="s">
        <v>52</v>
      </c>
      <c r="AR279" t="s">
        <v>62</v>
      </c>
      <c r="AS279" t="s">
        <v>52</v>
      </c>
      <c r="AT279" t="s">
        <v>52</v>
      </c>
      <c r="AU279" t="s">
        <v>64</v>
      </c>
      <c r="AV279" t="s">
        <v>62</v>
      </c>
      <c r="AW279" t="s">
        <v>65</v>
      </c>
      <c r="AX279" t="s">
        <v>66</v>
      </c>
      <c r="AY279" t="s">
        <v>67</v>
      </c>
    </row>
    <row r="280" spans="1:51" hidden="1" x14ac:dyDescent="0.25">
      <c r="A280">
        <v>402005</v>
      </c>
      <c r="B280" t="s">
        <v>1139</v>
      </c>
      <c r="C280" t="e">
        <f>VLOOKUP(A280,[1]Customer_payment_journal_line!$AL:$BO,30,0)</f>
        <v>#N/A</v>
      </c>
      <c r="D280" t="s">
        <v>53</v>
      </c>
      <c r="E280" t="s">
        <v>1135</v>
      </c>
      <c r="F280" t="s">
        <v>1136</v>
      </c>
      <c r="G280" t="s">
        <v>1063</v>
      </c>
      <c r="H280" t="s">
        <v>69</v>
      </c>
      <c r="I280" t="s">
        <v>1140</v>
      </c>
      <c r="J280" t="s">
        <v>1137</v>
      </c>
      <c r="K280" t="s">
        <v>1138</v>
      </c>
      <c r="L280" t="s">
        <v>52</v>
      </c>
      <c r="M280">
        <v>0</v>
      </c>
      <c r="N280">
        <v>1710</v>
      </c>
      <c r="O280" t="s">
        <v>61</v>
      </c>
      <c r="P280">
        <v>100</v>
      </c>
      <c r="Q280" t="s">
        <v>52</v>
      </c>
      <c r="R280" t="s">
        <v>52</v>
      </c>
      <c r="S280" t="s">
        <v>52</v>
      </c>
      <c r="T280" t="s">
        <v>52</v>
      </c>
      <c r="U280" t="s">
        <v>52</v>
      </c>
      <c r="V280" t="s">
        <v>62</v>
      </c>
      <c r="W280" t="s">
        <v>52</v>
      </c>
      <c r="Y280" t="s">
        <v>1141</v>
      </c>
      <c r="Z280" t="s">
        <v>62</v>
      </c>
      <c r="AB280" t="s">
        <v>1142</v>
      </c>
      <c r="AE280" t="s">
        <v>1143</v>
      </c>
      <c r="AF280" t="s">
        <v>52</v>
      </c>
      <c r="AH280">
        <v>0</v>
      </c>
      <c r="AI280">
        <v>0</v>
      </c>
      <c r="AJ280" t="s">
        <v>52</v>
      </c>
      <c r="AK280">
        <v>0</v>
      </c>
      <c r="AL280" t="s">
        <v>52</v>
      </c>
      <c r="AM280" t="s">
        <v>52</v>
      </c>
      <c r="AN280">
        <v>0</v>
      </c>
      <c r="AO280">
        <v>0</v>
      </c>
      <c r="AP280" t="s">
        <v>52</v>
      </c>
      <c r="AQ280" t="s">
        <v>52</v>
      </c>
      <c r="AR280" t="s">
        <v>62</v>
      </c>
      <c r="AS280" t="s">
        <v>52</v>
      </c>
      <c r="AT280" t="s">
        <v>74</v>
      </c>
      <c r="AU280" t="s">
        <v>64</v>
      </c>
      <c r="AV280" t="s">
        <v>62</v>
      </c>
      <c r="AW280" t="s">
        <v>65</v>
      </c>
      <c r="AX280" t="s">
        <v>66</v>
      </c>
      <c r="AY280" t="s">
        <v>67</v>
      </c>
    </row>
    <row r="281" spans="1:51" hidden="1" x14ac:dyDescent="0.25">
      <c r="A281">
        <v>403369</v>
      </c>
      <c r="B281" t="s">
        <v>1144</v>
      </c>
      <c r="C281" t="e">
        <f>VLOOKUP(A281,[1]Customer_payment_journal_line!$AL:$BO,30,0)</f>
        <v>#N/A</v>
      </c>
      <c r="D281" t="s">
        <v>53</v>
      </c>
      <c r="E281" t="s">
        <v>1145</v>
      </c>
      <c r="F281" t="s">
        <v>1146</v>
      </c>
      <c r="G281" t="s">
        <v>1063</v>
      </c>
      <c r="H281" t="s">
        <v>57</v>
      </c>
      <c r="I281" t="s">
        <v>58</v>
      </c>
      <c r="J281" t="s">
        <v>1137</v>
      </c>
      <c r="K281" t="s">
        <v>1138</v>
      </c>
      <c r="L281" t="s">
        <v>52</v>
      </c>
      <c r="M281">
        <v>855</v>
      </c>
      <c r="N281">
        <v>0</v>
      </c>
      <c r="O281" t="s">
        <v>61</v>
      </c>
      <c r="P281">
        <v>100</v>
      </c>
      <c r="Q281" t="s">
        <v>52</v>
      </c>
      <c r="R281" t="s">
        <v>52</v>
      </c>
      <c r="S281" t="s">
        <v>52</v>
      </c>
      <c r="T281" t="s">
        <v>52</v>
      </c>
      <c r="U281" t="s">
        <v>52</v>
      </c>
      <c r="V281" t="s">
        <v>62</v>
      </c>
      <c r="W281" t="s">
        <v>63</v>
      </c>
      <c r="Y281" t="s">
        <v>52</v>
      </c>
      <c r="AB281" t="s">
        <v>52</v>
      </c>
      <c r="AE281" t="s">
        <v>52</v>
      </c>
      <c r="AF281" t="s">
        <v>52</v>
      </c>
      <c r="AH281">
        <v>0</v>
      </c>
      <c r="AI281">
        <v>0</v>
      </c>
      <c r="AJ281" t="s">
        <v>52</v>
      </c>
      <c r="AK281">
        <v>0</v>
      </c>
      <c r="AL281" t="s">
        <v>52</v>
      </c>
      <c r="AM281" t="s">
        <v>52</v>
      </c>
      <c r="AN281">
        <v>0</v>
      </c>
      <c r="AO281">
        <v>0</v>
      </c>
      <c r="AP281" t="s">
        <v>52</v>
      </c>
      <c r="AQ281" t="s">
        <v>52</v>
      </c>
      <c r="AR281" t="s">
        <v>62</v>
      </c>
      <c r="AS281" t="s">
        <v>52</v>
      </c>
      <c r="AT281" t="s">
        <v>52</v>
      </c>
      <c r="AU281" t="s">
        <v>64</v>
      </c>
      <c r="AV281" t="s">
        <v>62</v>
      </c>
      <c r="AW281" t="s">
        <v>65</v>
      </c>
      <c r="AX281" t="s">
        <v>66</v>
      </c>
      <c r="AY281" t="s">
        <v>67</v>
      </c>
    </row>
    <row r="282" spans="1:51" hidden="1" x14ac:dyDescent="0.25">
      <c r="A282">
        <v>403369</v>
      </c>
      <c r="B282" t="s">
        <v>1147</v>
      </c>
      <c r="C282" t="e">
        <f>VLOOKUP(A282,[1]Customer_payment_journal_line!$AL:$BO,30,0)</f>
        <v>#N/A</v>
      </c>
      <c r="D282" t="s">
        <v>53</v>
      </c>
      <c r="E282" t="s">
        <v>1145</v>
      </c>
      <c r="F282" t="s">
        <v>1146</v>
      </c>
      <c r="G282" t="s">
        <v>1063</v>
      </c>
      <c r="H282" t="s">
        <v>69</v>
      </c>
      <c r="I282" t="s">
        <v>1140</v>
      </c>
      <c r="J282" t="s">
        <v>1137</v>
      </c>
      <c r="K282" t="s">
        <v>1138</v>
      </c>
      <c r="L282" t="s">
        <v>52</v>
      </c>
      <c r="M282">
        <v>0</v>
      </c>
      <c r="N282">
        <v>855</v>
      </c>
      <c r="O282" t="s">
        <v>61</v>
      </c>
      <c r="P282">
        <v>100</v>
      </c>
      <c r="Q282" t="s">
        <v>52</v>
      </c>
      <c r="R282" t="s">
        <v>52</v>
      </c>
      <c r="S282" t="s">
        <v>52</v>
      </c>
      <c r="T282" t="s">
        <v>52</v>
      </c>
      <c r="U282" t="s">
        <v>52</v>
      </c>
      <c r="V282" t="s">
        <v>62</v>
      </c>
      <c r="W282" t="s">
        <v>52</v>
      </c>
      <c r="Y282" t="s">
        <v>1141</v>
      </c>
      <c r="Z282" t="s">
        <v>62</v>
      </c>
      <c r="AB282" t="s">
        <v>1148</v>
      </c>
      <c r="AE282" t="s">
        <v>1149</v>
      </c>
      <c r="AF282" t="s">
        <v>52</v>
      </c>
      <c r="AH282">
        <v>0</v>
      </c>
      <c r="AI282">
        <v>0</v>
      </c>
      <c r="AJ282" t="s">
        <v>52</v>
      </c>
      <c r="AK282">
        <v>0</v>
      </c>
      <c r="AL282" t="s">
        <v>52</v>
      </c>
      <c r="AM282" t="s">
        <v>52</v>
      </c>
      <c r="AN282">
        <v>0</v>
      </c>
      <c r="AO282">
        <v>0</v>
      </c>
      <c r="AP282" t="s">
        <v>52</v>
      </c>
      <c r="AQ282" t="s">
        <v>52</v>
      </c>
      <c r="AR282" t="s">
        <v>62</v>
      </c>
      <c r="AS282" t="s">
        <v>52</v>
      </c>
      <c r="AT282" t="s">
        <v>74</v>
      </c>
      <c r="AU282" t="s">
        <v>64</v>
      </c>
      <c r="AV282" t="s">
        <v>62</v>
      </c>
      <c r="AW282" t="s">
        <v>65</v>
      </c>
      <c r="AX282" t="s">
        <v>66</v>
      </c>
      <c r="AY282" t="s">
        <v>67</v>
      </c>
    </row>
    <row r="283" spans="1:51" hidden="1" x14ac:dyDescent="0.25">
      <c r="A283">
        <v>317135</v>
      </c>
      <c r="B283" t="s">
        <v>1150</v>
      </c>
      <c r="C283" t="e">
        <f>VLOOKUP(A283,[1]Customer_payment_journal_line!$AL:$BO,30,0)</f>
        <v>#N/A</v>
      </c>
      <c r="D283" t="s">
        <v>53</v>
      </c>
      <c r="E283" t="s">
        <v>1151</v>
      </c>
      <c r="F283" t="s">
        <v>1152</v>
      </c>
      <c r="G283" t="s">
        <v>1063</v>
      </c>
      <c r="H283" t="s">
        <v>201</v>
      </c>
      <c r="I283" t="s">
        <v>58</v>
      </c>
      <c r="J283" t="s">
        <v>202</v>
      </c>
      <c r="K283" t="s">
        <v>1138</v>
      </c>
      <c r="L283" t="s">
        <v>52</v>
      </c>
      <c r="M283">
        <v>1710</v>
      </c>
      <c r="N283">
        <v>0</v>
      </c>
      <c r="O283" t="s">
        <v>61</v>
      </c>
      <c r="P283">
        <v>100</v>
      </c>
      <c r="Q283" t="s">
        <v>52</v>
      </c>
      <c r="R283" t="s">
        <v>52</v>
      </c>
      <c r="S283" t="s">
        <v>52</v>
      </c>
      <c r="T283" t="s">
        <v>52</v>
      </c>
      <c r="U283" t="s">
        <v>52</v>
      </c>
      <c r="V283" t="s">
        <v>62</v>
      </c>
      <c r="W283" t="s">
        <v>63</v>
      </c>
      <c r="Y283" t="s">
        <v>52</v>
      </c>
      <c r="AB283" t="s">
        <v>1153</v>
      </c>
      <c r="AE283" t="s">
        <v>1153</v>
      </c>
      <c r="AF283" t="s">
        <v>52</v>
      </c>
      <c r="AH283">
        <v>0</v>
      </c>
      <c r="AI283">
        <v>0</v>
      </c>
      <c r="AJ283" t="s">
        <v>52</v>
      </c>
      <c r="AK283">
        <v>0</v>
      </c>
      <c r="AL283" t="s">
        <v>52</v>
      </c>
      <c r="AM283" t="s">
        <v>52</v>
      </c>
      <c r="AN283">
        <v>0</v>
      </c>
      <c r="AO283">
        <v>0</v>
      </c>
      <c r="AP283" t="s">
        <v>52</v>
      </c>
      <c r="AQ283" t="s">
        <v>52</v>
      </c>
      <c r="AR283" t="s">
        <v>62</v>
      </c>
      <c r="AS283" t="s">
        <v>52</v>
      </c>
      <c r="AT283" t="s">
        <v>52</v>
      </c>
      <c r="AU283" t="s">
        <v>64</v>
      </c>
      <c r="AV283" t="s">
        <v>62</v>
      </c>
      <c r="AW283" t="s">
        <v>65</v>
      </c>
      <c r="AX283" t="s">
        <v>66</v>
      </c>
      <c r="AY283" t="s">
        <v>67</v>
      </c>
    </row>
    <row r="284" spans="1:51" hidden="1" x14ac:dyDescent="0.25">
      <c r="A284">
        <v>317135</v>
      </c>
      <c r="B284" t="s">
        <v>1154</v>
      </c>
      <c r="C284" t="e">
        <f>VLOOKUP(A284,[1]Customer_payment_journal_line!$AL:$BO,30,0)</f>
        <v>#N/A</v>
      </c>
      <c r="D284" t="s">
        <v>53</v>
      </c>
      <c r="E284" t="s">
        <v>1151</v>
      </c>
      <c r="F284" t="s">
        <v>1152</v>
      </c>
      <c r="G284" t="s">
        <v>1063</v>
      </c>
      <c r="H284" t="s">
        <v>69</v>
      </c>
      <c r="I284" t="s">
        <v>1140</v>
      </c>
      <c r="J284" t="s">
        <v>1155</v>
      </c>
      <c r="K284" t="s">
        <v>1138</v>
      </c>
      <c r="L284" t="s">
        <v>52</v>
      </c>
      <c r="M284">
        <v>0</v>
      </c>
      <c r="N284">
        <v>30</v>
      </c>
      <c r="O284" t="s">
        <v>126</v>
      </c>
      <c r="P284">
        <v>5285</v>
      </c>
      <c r="Q284" t="s">
        <v>52</v>
      </c>
      <c r="R284" t="s">
        <v>52</v>
      </c>
      <c r="S284" t="s">
        <v>52</v>
      </c>
      <c r="T284" t="s">
        <v>52</v>
      </c>
      <c r="U284" t="s">
        <v>52</v>
      </c>
      <c r="V284" t="s">
        <v>62</v>
      </c>
      <c r="W284" t="s">
        <v>52</v>
      </c>
      <c r="Y284" t="s">
        <v>1141</v>
      </c>
      <c r="Z284" t="s">
        <v>62</v>
      </c>
      <c r="AB284" t="s">
        <v>1153</v>
      </c>
      <c r="AE284" t="s">
        <v>1153</v>
      </c>
      <c r="AF284" t="s">
        <v>52</v>
      </c>
      <c r="AH284">
        <v>0</v>
      </c>
      <c r="AI284">
        <v>0</v>
      </c>
      <c r="AJ284" t="s">
        <v>52</v>
      </c>
      <c r="AK284">
        <v>0</v>
      </c>
      <c r="AL284" t="s">
        <v>52</v>
      </c>
      <c r="AM284" t="s">
        <v>52</v>
      </c>
      <c r="AN284">
        <v>0</v>
      </c>
      <c r="AO284">
        <v>0</v>
      </c>
      <c r="AP284" t="s">
        <v>52</v>
      </c>
      <c r="AQ284" t="s">
        <v>52</v>
      </c>
      <c r="AR284" t="s">
        <v>62</v>
      </c>
      <c r="AS284" t="s">
        <v>52</v>
      </c>
      <c r="AT284" t="s">
        <v>74</v>
      </c>
      <c r="AU284" t="s">
        <v>64</v>
      </c>
      <c r="AV284" t="s">
        <v>62</v>
      </c>
      <c r="AW284" t="s">
        <v>65</v>
      </c>
      <c r="AX284" t="s">
        <v>66</v>
      </c>
      <c r="AY284" t="s">
        <v>67</v>
      </c>
    </row>
    <row r="285" spans="1:51" hidden="1" x14ac:dyDescent="0.25">
      <c r="A285">
        <v>317135</v>
      </c>
      <c r="B285" t="s">
        <v>1156</v>
      </c>
      <c r="C285" t="e">
        <f>VLOOKUP(A285,[1]Customer_payment_journal_line!$AL:$BO,30,0)</f>
        <v>#N/A</v>
      </c>
      <c r="D285" t="s">
        <v>53</v>
      </c>
      <c r="E285" t="s">
        <v>1151</v>
      </c>
      <c r="F285" t="s">
        <v>1152</v>
      </c>
      <c r="G285" t="s">
        <v>1063</v>
      </c>
      <c r="H285" t="s">
        <v>210</v>
      </c>
      <c r="I285" t="s">
        <v>1157</v>
      </c>
      <c r="J285" t="s">
        <v>52</v>
      </c>
      <c r="K285" t="s">
        <v>1138</v>
      </c>
      <c r="L285" t="s">
        <v>52</v>
      </c>
      <c r="M285">
        <v>0</v>
      </c>
      <c r="N285">
        <v>124.5</v>
      </c>
      <c r="O285" t="s">
        <v>61</v>
      </c>
      <c r="P285">
        <v>100</v>
      </c>
      <c r="Q285" t="s">
        <v>52</v>
      </c>
      <c r="R285" t="s">
        <v>52</v>
      </c>
      <c r="S285" t="s">
        <v>52</v>
      </c>
      <c r="T285" t="s">
        <v>52</v>
      </c>
      <c r="U285" t="s">
        <v>52</v>
      </c>
      <c r="V285" t="s">
        <v>62</v>
      </c>
      <c r="W285" t="s">
        <v>63</v>
      </c>
      <c r="Y285" t="s">
        <v>1141</v>
      </c>
      <c r="AB285" t="s">
        <v>1153</v>
      </c>
      <c r="AE285" t="s">
        <v>1153</v>
      </c>
      <c r="AF285" t="s">
        <v>52</v>
      </c>
      <c r="AH285">
        <v>0</v>
      </c>
      <c r="AI285">
        <v>0</v>
      </c>
      <c r="AJ285" t="s">
        <v>52</v>
      </c>
      <c r="AK285">
        <v>0</v>
      </c>
      <c r="AL285" t="s">
        <v>52</v>
      </c>
      <c r="AM285" t="s">
        <v>52</v>
      </c>
      <c r="AN285">
        <v>0</v>
      </c>
      <c r="AO285">
        <v>0</v>
      </c>
      <c r="AP285" t="s">
        <v>52</v>
      </c>
      <c r="AQ285" t="s">
        <v>52</v>
      </c>
      <c r="AR285" t="s">
        <v>62</v>
      </c>
      <c r="AS285" t="s">
        <v>52</v>
      </c>
      <c r="AT285" t="s">
        <v>52</v>
      </c>
      <c r="AU285" t="s">
        <v>64</v>
      </c>
      <c r="AV285" t="s">
        <v>62</v>
      </c>
      <c r="AW285" t="s">
        <v>65</v>
      </c>
      <c r="AX285" t="s">
        <v>66</v>
      </c>
      <c r="AY285" t="s">
        <v>67</v>
      </c>
    </row>
    <row r="286" spans="1:51" hidden="1" x14ac:dyDescent="0.25">
      <c r="A286">
        <v>202445</v>
      </c>
      <c r="B286" t="s">
        <v>1158</v>
      </c>
      <c r="C286" t="e">
        <f>VLOOKUP(A286,[1]Customer_payment_journal_line!$AL:$BO,30,0)</f>
        <v>#N/A</v>
      </c>
      <c r="D286" t="s">
        <v>53</v>
      </c>
      <c r="E286" t="s">
        <v>1159</v>
      </c>
      <c r="F286" t="s">
        <v>1160</v>
      </c>
      <c r="G286" t="s">
        <v>1063</v>
      </c>
      <c r="H286" t="s">
        <v>57</v>
      </c>
      <c r="I286" t="s">
        <v>319</v>
      </c>
      <c r="J286" t="s">
        <v>1161</v>
      </c>
      <c r="K286" t="s">
        <v>1162</v>
      </c>
      <c r="L286" t="s">
        <v>52</v>
      </c>
      <c r="M286">
        <v>18411</v>
      </c>
      <c r="N286">
        <v>0</v>
      </c>
      <c r="O286" t="s">
        <v>61</v>
      </c>
      <c r="P286">
        <v>100</v>
      </c>
      <c r="Q286" t="s">
        <v>52</v>
      </c>
      <c r="R286" t="s">
        <v>52</v>
      </c>
      <c r="S286" t="s">
        <v>52</v>
      </c>
      <c r="T286" t="s">
        <v>52</v>
      </c>
      <c r="U286" t="s">
        <v>52</v>
      </c>
      <c r="V286" t="s">
        <v>62</v>
      </c>
      <c r="W286" t="s">
        <v>63</v>
      </c>
      <c r="Y286" t="s">
        <v>52</v>
      </c>
      <c r="AB286" t="s">
        <v>52</v>
      </c>
      <c r="AE286" t="s">
        <v>52</v>
      </c>
      <c r="AF286" t="s">
        <v>52</v>
      </c>
      <c r="AH286">
        <v>0</v>
      </c>
      <c r="AI286">
        <v>0</v>
      </c>
      <c r="AJ286" t="s">
        <v>52</v>
      </c>
      <c r="AK286">
        <v>0</v>
      </c>
      <c r="AL286" t="s">
        <v>52</v>
      </c>
      <c r="AM286" t="s">
        <v>52</v>
      </c>
      <c r="AN286">
        <v>0</v>
      </c>
      <c r="AO286">
        <v>0</v>
      </c>
      <c r="AP286" t="s">
        <v>52</v>
      </c>
      <c r="AQ286" t="s">
        <v>52</v>
      </c>
      <c r="AR286" t="s">
        <v>62</v>
      </c>
      <c r="AS286" t="s">
        <v>52</v>
      </c>
      <c r="AT286" t="s">
        <v>52</v>
      </c>
      <c r="AU286" t="s">
        <v>64</v>
      </c>
      <c r="AV286" t="s">
        <v>62</v>
      </c>
      <c r="AW286" t="s">
        <v>65</v>
      </c>
      <c r="AX286" t="s">
        <v>66</v>
      </c>
      <c r="AY286" t="s">
        <v>67</v>
      </c>
    </row>
    <row r="287" spans="1:51" hidden="1" x14ac:dyDescent="0.25">
      <c r="A287">
        <v>202445</v>
      </c>
      <c r="B287" t="s">
        <v>1163</v>
      </c>
      <c r="C287" t="e">
        <f>VLOOKUP(A287,[1]Customer_payment_journal_line!$AL:$BO,30,0)</f>
        <v>#N/A</v>
      </c>
      <c r="D287" t="s">
        <v>53</v>
      </c>
      <c r="E287" t="s">
        <v>1159</v>
      </c>
      <c r="F287" t="s">
        <v>1160</v>
      </c>
      <c r="G287" t="s">
        <v>1063</v>
      </c>
      <c r="H287" t="s">
        <v>69</v>
      </c>
      <c r="I287" t="s">
        <v>1164</v>
      </c>
      <c r="J287" t="s">
        <v>1161</v>
      </c>
      <c r="K287" t="s">
        <v>1162</v>
      </c>
      <c r="L287" t="s">
        <v>52</v>
      </c>
      <c r="M287">
        <v>0</v>
      </c>
      <c r="N287">
        <v>18411</v>
      </c>
      <c r="O287" t="s">
        <v>61</v>
      </c>
      <c r="P287">
        <v>100</v>
      </c>
      <c r="Q287" t="s">
        <v>52</v>
      </c>
      <c r="R287" t="s">
        <v>52</v>
      </c>
      <c r="S287" t="s">
        <v>52</v>
      </c>
      <c r="T287" t="s">
        <v>52</v>
      </c>
      <c r="U287" t="s">
        <v>52</v>
      </c>
      <c r="V287" t="s">
        <v>62</v>
      </c>
      <c r="W287" t="s">
        <v>52</v>
      </c>
      <c r="Y287" t="s">
        <v>1165</v>
      </c>
      <c r="Z287" t="s">
        <v>62</v>
      </c>
      <c r="AB287" t="s">
        <v>1166</v>
      </c>
      <c r="AE287" t="s">
        <v>1167</v>
      </c>
      <c r="AF287" t="s">
        <v>52</v>
      </c>
      <c r="AH287">
        <v>0</v>
      </c>
      <c r="AI287">
        <v>0</v>
      </c>
      <c r="AJ287" t="s">
        <v>52</v>
      </c>
      <c r="AK287">
        <v>0</v>
      </c>
      <c r="AL287" t="s">
        <v>52</v>
      </c>
      <c r="AM287" t="s">
        <v>52</v>
      </c>
      <c r="AN287">
        <v>0</v>
      </c>
      <c r="AO287">
        <v>0</v>
      </c>
      <c r="AP287" t="s">
        <v>52</v>
      </c>
      <c r="AQ287" t="s">
        <v>52</v>
      </c>
      <c r="AR287" t="s">
        <v>62</v>
      </c>
      <c r="AS287" t="s">
        <v>52</v>
      </c>
      <c r="AT287" t="s">
        <v>74</v>
      </c>
      <c r="AU287" t="s">
        <v>64</v>
      </c>
      <c r="AV287" t="s">
        <v>62</v>
      </c>
      <c r="AW287" t="s">
        <v>65</v>
      </c>
      <c r="AX287" t="s">
        <v>66</v>
      </c>
      <c r="AY287" t="s">
        <v>67</v>
      </c>
    </row>
    <row r="288" spans="1:51" hidden="1" x14ac:dyDescent="0.25">
      <c r="A288">
        <v>202446</v>
      </c>
      <c r="B288" t="s">
        <v>1168</v>
      </c>
      <c r="C288" t="e">
        <f>VLOOKUP(A288,[1]Customer_payment_journal_line!$AL:$BO,30,0)</f>
        <v>#N/A</v>
      </c>
      <c r="D288" t="s">
        <v>53</v>
      </c>
      <c r="E288" t="s">
        <v>1169</v>
      </c>
      <c r="F288" t="s">
        <v>1170</v>
      </c>
      <c r="G288" t="s">
        <v>1063</v>
      </c>
      <c r="H288" t="s">
        <v>57</v>
      </c>
      <c r="I288" t="s">
        <v>319</v>
      </c>
      <c r="J288" t="s">
        <v>1161</v>
      </c>
      <c r="K288" t="s">
        <v>1162</v>
      </c>
      <c r="L288" t="s">
        <v>52</v>
      </c>
      <c r="M288">
        <v>855</v>
      </c>
      <c r="N288">
        <v>0</v>
      </c>
      <c r="O288" t="s">
        <v>61</v>
      </c>
      <c r="P288">
        <v>100</v>
      </c>
      <c r="Q288" t="s">
        <v>52</v>
      </c>
      <c r="R288" t="s">
        <v>52</v>
      </c>
      <c r="S288" t="s">
        <v>52</v>
      </c>
      <c r="T288" t="s">
        <v>52</v>
      </c>
      <c r="U288" t="s">
        <v>52</v>
      </c>
      <c r="V288" t="s">
        <v>62</v>
      </c>
      <c r="W288" t="s">
        <v>63</v>
      </c>
      <c r="Y288" t="s">
        <v>52</v>
      </c>
      <c r="AB288" t="s">
        <v>52</v>
      </c>
      <c r="AE288" t="s">
        <v>52</v>
      </c>
      <c r="AF288" t="s">
        <v>52</v>
      </c>
      <c r="AH288">
        <v>0</v>
      </c>
      <c r="AI288">
        <v>0</v>
      </c>
      <c r="AJ288" t="s">
        <v>52</v>
      </c>
      <c r="AK288">
        <v>0</v>
      </c>
      <c r="AL288" t="s">
        <v>52</v>
      </c>
      <c r="AM288" t="s">
        <v>52</v>
      </c>
      <c r="AN288">
        <v>0</v>
      </c>
      <c r="AO288">
        <v>0</v>
      </c>
      <c r="AP288" t="s">
        <v>52</v>
      </c>
      <c r="AQ288" t="s">
        <v>52</v>
      </c>
      <c r="AR288" t="s">
        <v>62</v>
      </c>
      <c r="AS288" t="s">
        <v>52</v>
      </c>
      <c r="AT288" t="s">
        <v>52</v>
      </c>
      <c r="AU288" t="s">
        <v>64</v>
      </c>
      <c r="AV288" t="s">
        <v>62</v>
      </c>
      <c r="AW288" t="s">
        <v>65</v>
      </c>
      <c r="AX288" t="s">
        <v>66</v>
      </c>
      <c r="AY288" t="s">
        <v>67</v>
      </c>
    </row>
    <row r="289" spans="1:51" hidden="1" x14ac:dyDescent="0.25">
      <c r="A289">
        <v>202446</v>
      </c>
      <c r="B289" t="s">
        <v>1171</v>
      </c>
      <c r="C289" t="e">
        <f>VLOOKUP(A289,[1]Customer_payment_journal_line!$AL:$BO,30,0)</f>
        <v>#N/A</v>
      </c>
      <c r="D289" t="s">
        <v>53</v>
      </c>
      <c r="E289" t="s">
        <v>1169</v>
      </c>
      <c r="F289" t="s">
        <v>1170</v>
      </c>
      <c r="G289" t="s">
        <v>1063</v>
      </c>
      <c r="H289" t="s">
        <v>69</v>
      </c>
      <c r="I289" t="s">
        <v>1164</v>
      </c>
      <c r="J289" t="s">
        <v>1161</v>
      </c>
      <c r="K289" t="s">
        <v>1162</v>
      </c>
      <c r="L289" t="s">
        <v>52</v>
      </c>
      <c r="M289">
        <v>0</v>
      </c>
      <c r="N289">
        <v>855</v>
      </c>
      <c r="O289" t="s">
        <v>61</v>
      </c>
      <c r="P289">
        <v>100</v>
      </c>
      <c r="Q289" t="s">
        <v>52</v>
      </c>
      <c r="R289" t="s">
        <v>52</v>
      </c>
      <c r="S289" t="s">
        <v>52</v>
      </c>
      <c r="T289" t="s">
        <v>52</v>
      </c>
      <c r="U289" t="s">
        <v>52</v>
      </c>
      <c r="V289" t="s">
        <v>62</v>
      </c>
      <c r="W289" t="s">
        <v>52</v>
      </c>
      <c r="Y289" t="s">
        <v>1165</v>
      </c>
      <c r="Z289" t="s">
        <v>62</v>
      </c>
      <c r="AB289" t="s">
        <v>1172</v>
      </c>
      <c r="AE289" t="s">
        <v>1173</v>
      </c>
      <c r="AF289" t="s">
        <v>52</v>
      </c>
      <c r="AH289">
        <v>0</v>
      </c>
      <c r="AI289">
        <v>0</v>
      </c>
      <c r="AJ289" t="s">
        <v>52</v>
      </c>
      <c r="AK289">
        <v>0</v>
      </c>
      <c r="AL289" t="s">
        <v>52</v>
      </c>
      <c r="AM289" t="s">
        <v>52</v>
      </c>
      <c r="AN289">
        <v>0</v>
      </c>
      <c r="AO289">
        <v>0</v>
      </c>
      <c r="AP289" t="s">
        <v>52</v>
      </c>
      <c r="AQ289" t="s">
        <v>52</v>
      </c>
      <c r="AR289" t="s">
        <v>62</v>
      </c>
      <c r="AS289" t="s">
        <v>52</v>
      </c>
      <c r="AT289" t="s">
        <v>74</v>
      </c>
      <c r="AU289" t="s">
        <v>64</v>
      </c>
      <c r="AV289" t="s">
        <v>62</v>
      </c>
      <c r="AW289" t="s">
        <v>65</v>
      </c>
      <c r="AX289" t="s">
        <v>66</v>
      </c>
      <c r="AY289" t="s">
        <v>67</v>
      </c>
    </row>
    <row r="290" spans="1:51" hidden="1" x14ac:dyDescent="0.25">
      <c r="A290">
        <v>405954</v>
      </c>
      <c r="B290" t="s">
        <v>1174</v>
      </c>
      <c r="C290" t="e">
        <f>VLOOKUP(A290,[1]Customer_payment_journal_line!$AL:$BO,30,0)</f>
        <v>#N/A</v>
      </c>
      <c r="D290" t="s">
        <v>53</v>
      </c>
      <c r="E290" t="s">
        <v>1175</v>
      </c>
      <c r="F290" t="s">
        <v>1176</v>
      </c>
      <c r="G290" t="s">
        <v>1063</v>
      </c>
      <c r="H290" t="s">
        <v>57</v>
      </c>
      <c r="I290" t="s">
        <v>58</v>
      </c>
      <c r="J290" t="s">
        <v>1177</v>
      </c>
      <c r="K290" t="s">
        <v>377</v>
      </c>
      <c r="L290" t="s">
        <v>52</v>
      </c>
      <c r="M290">
        <v>1299.5999999999999</v>
      </c>
      <c r="N290">
        <v>0</v>
      </c>
      <c r="O290" t="s">
        <v>61</v>
      </c>
      <c r="P290">
        <v>100</v>
      </c>
      <c r="Q290" t="s">
        <v>52</v>
      </c>
      <c r="R290" t="s">
        <v>52</v>
      </c>
      <c r="S290" t="s">
        <v>52</v>
      </c>
      <c r="T290" t="s">
        <v>52</v>
      </c>
      <c r="U290" t="s">
        <v>52</v>
      </c>
      <c r="V290" t="s">
        <v>62</v>
      </c>
      <c r="W290" t="s">
        <v>63</v>
      </c>
      <c r="Y290" t="s">
        <v>52</v>
      </c>
      <c r="AB290" t="s">
        <v>52</v>
      </c>
      <c r="AE290" t="s">
        <v>52</v>
      </c>
      <c r="AF290" t="s">
        <v>52</v>
      </c>
      <c r="AH290">
        <v>0</v>
      </c>
      <c r="AI290">
        <v>0</v>
      </c>
      <c r="AJ290" t="s">
        <v>52</v>
      </c>
      <c r="AK290">
        <v>0</v>
      </c>
      <c r="AL290" t="s">
        <v>52</v>
      </c>
      <c r="AM290" t="s">
        <v>52</v>
      </c>
      <c r="AN290">
        <v>0</v>
      </c>
      <c r="AO290">
        <v>0</v>
      </c>
      <c r="AP290" t="s">
        <v>52</v>
      </c>
      <c r="AQ290" t="s">
        <v>52</v>
      </c>
      <c r="AR290" t="s">
        <v>62</v>
      </c>
      <c r="AS290" t="s">
        <v>52</v>
      </c>
      <c r="AT290" t="s">
        <v>52</v>
      </c>
      <c r="AU290" t="s">
        <v>64</v>
      </c>
      <c r="AV290" t="s">
        <v>62</v>
      </c>
      <c r="AW290" t="s">
        <v>65</v>
      </c>
      <c r="AX290" t="s">
        <v>66</v>
      </c>
      <c r="AY290" t="s">
        <v>67</v>
      </c>
    </row>
    <row r="291" spans="1:51" hidden="1" x14ac:dyDescent="0.25">
      <c r="A291">
        <v>405954</v>
      </c>
      <c r="B291" t="s">
        <v>1178</v>
      </c>
      <c r="C291" t="e">
        <f>VLOOKUP(A291,[1]Customer_payment_journal_line!$AL:$BO,30,0)</f>
        <v>#N/A</v>
      </c>
      <c r="D291" t="s">
        <v>53</v>
      </c>
      <c r="E291" t="s">
        <v>1175</v>
      </c>
      <c r="F291" t="s">
        <v>1176</v>
      </c>
      <c r="G291" t="s">
        <v>1063</v>
      </c>
      <c r="H291" t="s">
        <v>69</v>
      </c>
      <c r="I291" t="s">
        <v>379</v>
      </c>
      <c r="J291" t="s">
        <v>1177</v>
      </c>
      <c r="K291" t="s">
        <v>377</v>
      </c>
      <c r="L291" t="s">
        <v>52</v>
      </c>
      <c r="M291">
        <v>0</v>
      </c>
      <c r="N291">
        <v>1299.5999999999999</v>
      </c>
      <c r="O291" t="s">
        <v>61</v>
      </c>
      <c r="P291">
        <v>100</v>
      </c>
      <c r="Q291" t="s">
        <v>52</v>
      </c>
      <c r="R291" t="s">
        <v>52</v>
      </c>
      <c r="S291" t="s">
        <v>52</v>
      </c>
      <c r="T291" t="s">
        <v>52</v>
      </c>
      <c r="U291" t="s">
        <v>52</v>
      </c>
      <c r="V291" t="s">
        <v>62</v>
      </c>
      <c r="W291" t="s">
        <v>52</v>
      </c>
      <c r="Y291" t="s">
        <v>380</v>
      </c>
      <c r="Z291" t="s">
        <v>62</v>
      </c>
      <c r="AB291" t="s">
        <v>1179</v>
      </c>
      <c r="AE291" t="s">
        <v>1180</v>
      </c>
      <c r="AF291" t="s">
        <v>52</v>
      </c>
      <c r="AH291">
        <v>0</v>
      </c>
      <c r="AI291">
        <v>0</v>
      </c>
      <c r="AJ291" t="s">
        <v>52</v>
      </c>
      <c r="AK291">
        <v>0</v>
      </c>
      <c r="AL291" t="s">
        <v>52</v>
      </c>
      <c r="AM291" t="s">
        <v>52</v>
      </c>
      <c r="AN291">
        <v>0</v>
      </c>
      <c r="AO291">
        <v>0</v>
      </c>
      <c r="AP291" t="s">
        <v>52</v>
      </c>
      <c r="AQ291" t="s">
        <v>52</v>
      </c>
      <c r="AR291" t="s">
        <v>62</v>
      </c>
      <c r="AS291" t="s">
        <v>52</v>
      </c>
      <c r="AT291" t="s">
        <v>74</v>
      </c>
      <c r="AU291" t="s">
        <v>64</v>
      </c>
      <c r="AV291" t="s">
        <v>62</v>
      </c>
      <c r="AW291" t="s">
        <v>65</v>
      </c>
      <c r="AX291" t="s">
        <v>66</v>
      </c>
      <c r="AY291" t="s">
        <v>67</v>
      </c>
    </row>
    <row r="292" spans="1:51" hidden="1" x14ac:dyDescent="0.25">
      <c r="A292">
        <v>202465</v>
      </c>
      <c r="B292" t="s">
        <v>1181</v>
      </c>
      <c r="C292" t="e">
        <f>VLOOKUP(A292,[1]Customer_payment_journal_line!$AL:$BO,30,0)</f>
        <v>#N/A</v>
      </c>
      <c r="D292" t="s">
        <v>53</v>
      </c>
      <c r="E292" t="s">
        <v>1182</v>
      </c>
      <c r="F292" t="s">
        <v>1183</v>
      </c>
      <c r="G292" t="s">
        <v>1063</v>
      </c>
      <c r="H292" t="s">
        <v>57</v>
      </c>
      <c r="I292" t="s">
        <v>58</v>
      </c>
      <c r="J292" t="s">
        <v>1184</v>
      </c>
      <c r="K292" t="s">
        <v>1185</v>
      </c>
      <c r="L292" t="s">
        <v>52</v>
      </c>
      <c r="M292">
        <v>6270</v>
      </c>
      <c r="N292">
        <v>0</v>
      </c>
      <c r="O292" t="s">
        <v>61</v>
      </c>
      <c r="P292">
        <v>100</v>
      </c>
      <c r="Q292" t="s">
        <v>52</v>
      </c>
      <c r="R292" t="s">
        <v>52</v>
      </c>
      <c r="S292" t="s">
        <v>52</v>
      </c>
      <c r="T292" t="s">
        <v>52</v>
      </c>
      <c r="U292" t="s">
        <v>52</v>
      </c>
      <c r="V292" t="s">
        <v>62</v>
      </c>
      <c r="W292" t="s">
        <v>63</v>
      </c>
      <c r="Y292" t="s">
        <v>52</v>
      </c>
      <c r="AB292" t="s">
        <v>52</v>
      </c>
      <c r="AE292" t="s">
        <v>52</v>
      </c>
      <c r="AF292" t="s">
        <v>52</v>
      </c>
      <c r="AH292">
        <v>0</v>
      </c>
      <c r="AI292">
        <v>0</v>
      </c>
      <c r="AJ292" t="s">
        <v>52</v>
      </c>
      <c r="AK292">
        <v>0</v>
      </c>
      <c r="AL292" t="s">
        <v>52</v>
      </c>
      <c r="AM292" t="s">
        <v>52</v>
      </c>
      <c r="AN292">
        <v>0</v>
      </c>
      <c r="AO292">
        <v>0</v>
      </c>
      <c r="AP292" t="s">
        <v>52</v>
      </c>
      <c r="AQ292" t="s">
        <v>52</v>
      </c>
      <c r="AR292" t="s">
        <v>62</v>
      </c>
      <c r="AS292" t="s">
        <v>52</v>
      </c>
      <c r="AT292" t="s">
        <v>52</v>
      </c>
      <c r="AU292" t="s">
        <v>64</v>
      </c>
      <c r="AV292" t="s">
        <v>62</v>
      </c>
      <c r="AW292" t="s">
        <v>65</v>
      </c>
      <c r="AX292" t="s">
        <v>66</v>
      </c>
      <c r="AY292" t="s">
        <v>67</v>
      </c>
    </row>
    <row r="293" spans="1:51" hidden="1" x14ac:dyDescent="0.25">
      <c r="A293">
        <v>202465</v>
      </c>
      <c r="B293" t="s">
        <v>1186</v>
      </c>
      <c r="C293" t="e">
        <f>VLOOKUP(A293,[1]Customer_payment_journal_line!$AL:$BO,30,0)</f>
        <v>#N/A</v>
      </c>
      <c r="D293" t="s">
        <v>53</v>
      </c>
      <c r="E293" t="s">
        <v>1182</v>
      </c>
      <c r="F293" t="s">
        <v>1183</v>
      </c>
      <c r="G293" t="s">
        <v>1063</v>
      </c>
      <c r="H293" t="s">
        <v>69</v>
      </c>
      <c r="I293" t="s">
        <v>1187</v>
      </c>
      <c r="J293" t="s">
        <v>1184</v>
      </c>
      <c r="K293" t="s">
        <v>1185</v>
      </c>
      <c r="L293" t="s">
        <v>52</v>
      </c>
      <c r="M293">
        <v>0</v>
      </c>
      <c r="N293">
        <v>6270</v>
      </c>
      <c r="O293" t="s">
        <v>61</v>
      </c>
      <c r="P293">
        <v>100</v>
      </c>
      <c r="Q293" t="s">
        <v>52</v>
      </c>
      <c r="R293" t="s">
        <v>52</v>
      </c>
      <c r="S293" t="s">
        <v>52</v>
      </c>
      <c r="T293" t="s">
        <v>52</v>
      </c>
      <c r="U293" t="s">
        <v>52</v>
      </c>
      <c r="V293" t="s">
        <v>62</v>
      </c>
      <c r="W293" t="s">
        <v>52</v>
      </c>
      <c r="Y293" t="s">
        <v>1188</v>
      </c>
      <c r="Z293" t="s">
        <v>62</v>
      </c>
      <c r="AB293" t="s">
        <v>1189</v>
      </c>
      <c r="AE293" t="s">
        <v>1190</v>
      </c>
      <c r="AF293" t="s">
        <v>52</v>
      </c>
      <c r="AH293">
        <v>0</v>
      </c>
      <c r="AI293">
        <v>0</v>
      </c>
      <c r="AJ293" t="s">
        <v>52</v>
      </c>
      <c r="AK293">
        <v>0</v>
      </c>
      <c r="AL293" t="s">
        <v>52</v>
      </c>
      <c r="AM293" t="s">
        <v>52</v>
      </c>
      <c r="AN293">
        <v>0</v>
      </c>
      <c r="AO293">
        <v>0</v>
      </c>
      <c r="AP293" t="s">
        <v>52</v>
      </c>
      <c r="AQ293" t="s">
        <v>52</v>
      </c>
      <c r="AR293" t="s">
        <v>62</v>
      </c>
      <c r="AS293" t="s">
        <v>52</v>
      </c>
      <c r="AT293" t="s">
        <v>74</v>
      </c>
      <c r="AU293" t="s">
        <v>64</v>
      </c>
      <c r="AV293" t="s">
        <v>62</v>
      </c>
      <c r="AW293" t="s">
        <v>65</v>
      </c>
      <c r="AX293" t="s">
        <v>66</v>
      </c>
      <c r="AY293" t="s">
        <v>67</v>
      </c>
    </row>
    <row r="294" spans="1:51" hidden="1" x14ac:dyDescent="0.25">
      <c r="A294">
        <v>202466</v>
      </c>
      <c r="B294" t="s">
        <v>1191</v>
      </c>
      <c r="C294" t="e">
        <f>VLOOKUP(A294,[1]Customer_payment_journal_line!$AL:$BO,30,0)</f>
        <v>#N/A</v>
      </c>
      <c r="D294" t="s">
        <v>53</v>
      </c>
      <c r="E294" t="s">
        <v>1192</v>
      </c>
      <c r="F294" t="s">
        <v>1193</v>
      </c>
      <c r="G294" t="s">
        <v>1063</v>
      </c>
      <c r="H294" t="s">
        <v>57</v>
      </c>
      <c r="I294" t="s">
        <v>58</v>
      </c>
      <c r="J294" t="s">
        <v>1184</v>
      </c>
      <c r="K294" t="s">
        <v>1185</v>
      </c>
      <c r="L294" t="s">
        <v>52</v>
      </c>
      <c r="M294">
        <v>855</v>
      </c>
      <c r="N294">
        <v>0</v>
      </c>
      <c r="O294" t="s">
        <v>61</v>
      </c>
      <c r="P294">
        <v>100</v>
      </c>
      <c r="Q294" t="s">
        <v>52</v>
      </c>
      <c r="R294" t="s">
        <v>52</v>
      </c>
      <c r="S294" t="s">
        <v>52</v>
      </c>
      <c r="T294" t="s">
        <v>52</v>
      </c>
      <c r="U294" t="s">
        <v>52</v>
      </c>
      <c r="V294" t="s">
        <v>62</v>
      </c>
      <c r="W294" t="s">
        <v>63</v>
      </c>
      <c r="Y294" t="s">
        <v>52</v>
      </c>
      <c r="AB294" t="s">
        <v>52</v>
      </c>
      <c r="AE294" t="s">
        <v>52</v>
      </c>
      <c r="AF294" t="s">
        <v>52</v>
      </c>
      <c r="AH294">
        <v>0</v>
      </c>
      <c r="AI294">
        <v>0</v>
      </c>
      <c r="AJ294" t="s">
        <v>52</v>
      </c>
      <c r="AK294">
        <v>0</v>
      </c>
      <c r="AL294" t="s">
        <v>52</v>
      </c>
      <c r="AM294" t="s">
        <v>52</v>
      </c>
      <c r="AN294">
        <v>0</v>
      </c>
      <c r="AO294">
        <v>0</v>
      </c>
      <c r="AP294" t="s">
        <v>52</v>
      </c>
      <c r="AQ294" t="s">
        <v>52</v>
      </c>
      <c r="AR294" t="s">
        <v>62</v>
      </c>
      <c r="AS294" t="s">
        <v>52</v>
      </c>
      <c r="AT294" t="s">
        <v>52</v>
      </c>
      <c r="AU294" t="s">
        <v>64</v>
      </c>
      <c r="AV294" t="s">
        <v>62</v>
      </c>
      <c r="AW294" t="s">
        <v>65</v>
      </c>
      <c r="AX294" t="s">
        <v>66</v>
      </c>
      <c r="AY294" t="s">
        <v>67</v>
      </c>
    </row>
    <row r="295" spans="1:51" hidden="1" x14ac:dyDescent="0.25">
      <c r="A295">
        <v>202466</v>
      </c>
      <c r="B295" t="s">
        <v>1194</v>
      </c>
      <c r="C295" t="e">
        <f>VLOOKUP(A295,[1]Customer_payment_journal_line!$AL:$BO,30,0)</f>
        <v>#N/A</v>
      </c>
      <c r="D295" t="s">
        <v>53</v>
      </c>
      <c r="E295" t="s">
        <v>1192</v>
      </c>
      <c r="F295" t="s">
        <v>1193</v>
      </c>
      <c r="G295" t="s">
        <v>1063</v>
      </c>
      <c r="H295" t="s">
        <v>69</v>
      </c>
      <c r="I295" t="s">
        <v>1187</v>
      </c>
      <c r="J295" t="s">
        <v>1184</v>
      </c>
      <c r="K295" t="s">
        <v>1185</v>
      </c>
      <c r="L295" t="s">
        <v>52</v>
      </c>
      <c r="M295">
        <v>0</v>
      </c>
      <c r="N295">
        <v>855</v>
      </c>
      <c r="O295" t="s">
        <v>61</v>
      </c>
      <c r="P295">
        <v>100</v>
      </c>
      <c r="Q295" t="s">
        <v>52</v>
      </c>
      <c r="R295" t="s">
        <v>52</v>
      </c>
      <c r="S295" t="s">
        <v>52</v>
      </c>
      <c r="T295" t="s">
        <v>52</v>
      </c>
      <c r="U295" t="s">
        <v>52</v>
      </c>
      <c r="V295" t="s">
        <v>62</v>
      </c>
      <c r="W295" t="s">
        <v>52</v>
      </c>
      <c r="Y295" t="s">
        <v>1188</v>
      </c>
      <c r="Z295" t="s">
        <v>62</v>
      </c>
      <c r="AB295" t="s">
        <v>1195</v>
      </c>
      <c r="AE295" t="s">
        <v>1196</v>
      </c>
      <c r="AF295" t="s">
        <v>52</v>
      </c>
      <c r="AH295">
        <v>0</v>
      </c>
      <c r="AI295">
        <v>0</v>
      </c>
      <c r="AJ295" t="s">
        <v>52</v>
      </c>
      <c r="AK295">
        <v>0</v>
      </c>
      <c r="AL295" t="s">
        <v>52</v>
      </c>
      <c r="AM295" t="s">
        <v>52</v>
      </c>
      <c r="AN295">
        <v>0</v>
      </c>
      <c r="AO295">
        <v>0</v>
      </c>
      <c r="AP295" t="s">
        <v>52</v>
      </c>
      <c r="AQ295" t="s">
        <v>52</v>
      </c>
      <c r="AR295" t="s">
        <v>62</v>
      </c>
      <c r="AS295" t="s">
        <v>52</v>
      </c>
      <c r="AT295" t="s">
        <v>74</v>
      </c>
      <c r="AU295" t="s">
        <v>64</v>
      </c>
      <c r="AV295" t="s">
        <v>62</v>
      </c>
      <c r="AW295" t="s">
        <v>65</v>
      </c>
      <c r="AX295" t="s">
        <v>66</v>
      </c>
      <c r="AY295" t="s">
        <v>67</v>
      </c>
    </row>
    <row r="296" spans="1:51" hidden="1" x14ac:dyDescent="0.25">
      <c r="A296">
        <v>202482</v>
      </c>
      <c r="B296" t="s">
        <v>1197</v>
      </c>
      <c r="C296" t="e">
        <f>VLOOKUP(A296,[1]Customer_payment_journal_line!$AL:$BO,30,0)</f>
        <v>#N/A</v>
      </c>
      <c r="D296" t="s">
        <v>53</v>
      </c>
      <c r="E296" t="s">
        <v>1198</v>
      </c>
      <c r="F296" t="s">
        <v>1199</v>
      </c>
      <c r="G296" t="s">
        <v>1063</v>
      </c>
      <c r="H296" t="s">
        <v>57</v>
      </c>
      <c r="I296" t="s">
        <v>319</v>
      </c>
      <c r="J296" t="s">
        <v>1200</v>
      </c>
      <c r="K296" t="s">
        <v>271</v>
      </c>
      <c r="L296" t="s">
        <v>52</v>
      </c>
      <c r="M296">
        <v>4332</v>
      </c>
      <c r="N296">
        <v>0</v>
      </c>
      <c r="O296" t="s">
        <v>61</v>
      </c>
      <c r="P296">
        <v>100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62</v>
      </c>
      <c r="W296" t="s">
        <v>63</v>
      </c>
      <c r="Y296" t="s">
        <v>52</v>
      </c>
      <c r="AB296" t="s">
        <v>52</v>
      </c>
      <c r="AE296" t="s">
        <v>52</v>
      </c>
      <c r="AF296" t="s">
        <v>52</v>
      </c>
      <c r="AH296">
        <v>0</v>
      </c>
      <c r="AI296">
        <v>0</v>
      </c>
      <c r="AJ296" t="s">
        <v>52</v>
      </c>
      <c r="AK296">
        <v>0</v>
      </c>
      <c r="AL296" t="s">
        <v>52</v>
      </c>
      <c r="AM296" t="s">
        <v>52</v>
      </c>
      <c r="AN296">
        <v>0</v>
      </c>
      <c r="AO296">
        <v>0</v>
      </c>
      <c r="AP296" t="s">
        <v>52</v>
      </c>
      <c r="AQ296" t="s">
        <v>52</v>
      </c>
      <c r="AR296" t="s">
        <v>62</v>
      </c>
      <c r="AS296" t="s">
        <v>52</v>
      </c>
      <c r="AT296" t="s">
        <v>52</v>
      </c>
      <c r="AU296" t="s">
        <v>64</v>
      </c>
      <c r="AV296" t="s">
        <v>62</v>
      </c>
      <c r="AW296" t="s">
        <v>65</v>
      </c>
      <c r="AX296" t="s">
        <v>66</v>
      </c>
      <c r="AY296" t="s">
        <v>67</v>
      </c>
    </row>
    <row r="297" spans="1:51" hidden="1" x14ac:dyDescent="0.25">
      <c r="A297">
        <v>202482</v>
      </c>
      <c r="B297" t="s">
        <v>1201</v>
      </c>
      <c r="C297" t="e">
        <f>VLOOKUP(A297,[1]Customer_payment_journal_line!$AL:$BO,30,0)</f>
        <v>#N/A</v>
      </c>
      <c r="D297" t="s">
        <v>53</v>
      </c>
      <c r="E297" t="s">
        <v>1198</v>
      </c>
      <c r="F297" t="s">
        <v>1199</v>
      </c>
      <c r="G297" t="s">
        <v>1063</v>
      </c>
      <c r="H297" t="s">
        <v>69</v>
      </c>
      <c r="I297" t="s">
        <v>273</v>
      </c>
      <c r="J297" t="s">
        <v>1200</v>
      </c>
      <c r="K297" t="s">
        <v>271</v>
      </c>
      <c r="L297" t="s">
        <v>52</v>
      </c>
      <c r="M297">
        <v>0</v>
      </c>
      <c r="N297">
        <v>4332</v>
      </c>
      <c r="O297" t="s">
        <v>61</v>
      </c>
      <c r="P297">
        <v>100</v>
      </c>
      <c r="Q297" t="s">
        <v>52</v>
      </c>
      <c r="R297" t="s">
        <v>52</v>
      </c>
      <c r="S297" t="s">
        <v>52</v>
      </c>
      <c r="T297" t="s">
        <v>52</v>
      </c>
      <c r="U297" t="s">
        <v>52</v>
      </c>
      <c r="V297" t="s">
        <v>62</v>
      </c>
      <c r="W297" t="s">
        <v>52</v>
      </c>
      <c r="Y297" t="s">
        <v>274</v>
      </c>
      <c r="Z297" t="s">
        <v>62</v>
      </c>
      <c r="AB297" t="s">
        <v>1202</v>
      </c>
      <c r="AE297" t="s">
        <v>1203</v>
      </c>
      <c r="AF297" t="s">
        <v>52</v>
      </c>
      <c r="AH297">
        <v>0</v>
      </c>
      <c r="AI297">
        <v>0</v>
      </c>
      <c r="AJ297" t="s">
        <v>52</v>
      </c>
      <c r="AK297">
        <v>0</v>
      </c>
      <c r="AL297" t="s">
        <v>52</v>
      </c>
      <c r="AM297" t="s">
        <v>52</v>
      </c>
      <c r="AN297">
        <v>0</v>
      </c>
      <c r="AO297">
        <v>0</v>
      </c>
      <c r="AP297" t="s">
        <v>52</v>
      </c>
      <c r="AQ297" t="s">
        <v>52</v>
      </c>
      <c r="AR297" t="s">
        <v>62</v>
      </c>
      <c r="AS297" t="s">
        <v>52</v>
      </c>
      <c r="AT297" t="s">
        <v>74</v>
      </c>
      <c r="AU297" t="s">
        <v>64</v>
      </c>
      <c r="AV297" t="s">
        <v>62</v>
      </c>
      <c r="AW297" t="s">
        <v>65</v>
      </c>
      <c r="AX297" t="s">
        <v>66</v>
      </c>
      <c r="AY297" t="s">
        <v>67</v>
      </c>
    </row>
    <row r="298" spans="1:51" hidden="1" x14ac:dyDescent="0.25">
      <c r="A298">
        <v>202483</v>
      </c>
      <c r="B298" t="s">
        <v>1204</v>
      </c>
      <c r="C298" t="e">
        <f>VLOOKUP(A298,[1]Customer_payment_journal_line!$AL:$BO,30,0)</f>
        <v>#N/A</v>
      </c>
      <c r="D298" t="s">
        <v>53</v>
      </c>
      <c r="E298" t="s">
        <v>1205</v>
      </c>
      <c r="F298" t="s">
        <v>1206</v>
      </c>
      <c r="G298" t="s">
        <v>1063</v>
      </c>
      <c r="H298" t="s">
        <v>57</v>
      </c>
      <c r="I298" t="s">
        <v>319</v>
      </c>
      <c r="J298" t="s">
        <v>1207</v>
      </c>
      <c r="K298" t="s">
        <v>271</v>
      </c>
      <c r="L298" t="s">
        <v>52</v>
      </c>
      <c r="M298">
        <v>5118.6000000000004</v>
      </c>
      <c r="N298">
        <v>0</v>
      </c>
      <c r="O298" t="s">
        <v>61</v>
      </c>
      <c r="P298">
        <v>100</v>
      </c>
      <c r="Q298" t="s">
        <v>52</v>
      </c>
      <c r="R298" t="s">
        <v>52</v>
      </c>
      <c r="S298" t="s">
        <v>52</v>
      </c>
      <c r="T298" t="s">
        <v>52</v>
      </c>
      <c r="U298" t="s">
        <v>52</v>
      </c>
      <c r="V298" t="s">
        <v>62</v>
      </c>
      <c r="W298" t="s">
        <v>63</v>
      </c>
      <c r="Y298" t="s">
        <v>52</v>
      </c>
      <c r="AB298" t="s">
        <v>52</v>
      </c>
      <c r="AE298" t="s">
        <v>52</v>
      </c>
      <c r="AF298" t="s">
        <v>52</v>
      </c>
      <c r="AH298">
        <v>0</v>
      </c>
      <c r="AI298">
        <v>0</v>
      </c>
      <c r="AJ298" t="s">
        <v>52</v>
      </c>
      <c r="AK298">
        <v>0</v>
      </c>
      <c r="AL298" t="s">
        <v>52</v>
      </c>
      <c r="AM298" t="s">
        <v>52</v>
      </c>
      <c r="AN298">
        <v>0</v>
      </c>
      <c r="AO298">
        <v>0</v>
      </c>
      <c r="AP298" t="s">
        <v>52</v>
      </c>
      <c r="AQ298" t="s">
        <v>52</v>
      </c>
      <c r="AR298" t="s">
        <v>62</v>
      </c>
      <c r="AS298" t="s">
        <v>52</v>
      </c>
      <c r="AT298" t="s">
        <v>52</v>
      </c>
      <c r="AU298" t="s">
        <v>64</v>
      </c>
      <c r="AV298" t="s">
        <v>62</v>
      </c>
      <c r="AW298" t="s">
        <v>65</v>
      </c>
      <c r="AX298" t="s">
        <v>66</v>
      </c>
      <c r="AY298" t="s">
        <v>67</v>
      </c>
    </row>
    <row r="299" spans="1:51" hidden="1" x14ac:dyDescent="0.25">
      <c r="A299">
        <v>202483</v>
      </c>
      <c r="B299" t="s">
        <v>1208</v>
      </c>
      <c r="C299" t="e">
        <f>VLOOKUP(A299,[1]Customer_payment_journal_line!$AL:$BO,30,0)</f>
        <v>#N/A</v>
      </c>
      <c r="D299" t="s">
        <v>53</v>
      </c>
      <c r="E299" t="s">
        <v>1205</v>
      </c>
      <c r="F299" t="s">
        <v>1206</v>
      </c>
      <c r="G299" t="s">
        <v>1063</v>
      </c>
      <c r="H299" t="s">
        <v>69</v>
      </c>
      <c r="I299" t="s">
        <v>273</v>
      </c>
      <c r="J299" t="s">
        <v>1207</v>
      </c>
      <c r="K299" t="s">
        <v>271</v>
      </c>
      <c r="L299" t="s">
        <v>52</v>
      </c>
      <c r="M299">
        <v>0</v>
      </c>
      <c r="N299">
        <v>5118.6000000000004</v>
      </c>
      <c r="O299" t="s">
        <v>61</v>
      </c>
      <c r="P299">
        <v>100</v>
      </c>
      <c r="Q299" t="s">
        <v>52</v>
      </c>
      <c r="R299" t="s">
        <v>52</v>
      </c>
      <c r="S299" t="s">
        <v>52</v>
      </c>
      <c r="T299" t="s">
        <v>52</v>
      </c>
      <c r="U299" t="s">
        <v>52</v>
      </c>
      <c r="V299" t="s">
        <v>62</v>
      </c>
      <c r="W299" t="s">
        <v>52</v>
      </c>
      <c r="Y299" t="s">
        <v>274</v>
      </c>
      <c r="Z299" t="s">
        <v>62</v>
      </c>
      <c r="AB299" t="s">
        <v>1209</v>
      </c>
      <c r="AE299" t="s">
        <v>1210</v>
      </c>
      <c r="AF299" t="s">
        <v>52</v>
      </c>
      <c r="AH299">
        <v>0</v>
      </c>
      <c r="AI299">
        <v>0</v>
      </c>
      <c r="AJ299" t="s">
        <v>52</v>
      </c>
      <c r="AK299">
        <v>0</v>
      </c>
      <c r="AL299" t="s">
        <v>52</v>
      </c>
      <c r="AM299" t="s">
        <v>52</v>
      </c>
      <c r="AN299">
        <v>0</v>
      </c>
      <c r="AO299">
        <v>0</v>
      </c>
      <c r="AP299" t="s">
        <v>52</v>
      </c>
      <c r="AQ299" t="s">
        <v>52</v>
      </c>
      <c r="AR299" t="s">
        <v>62</v>
      </c>
      <c r="AS299" t="s">
        <v>52</v>
      </c>
      <c r="AT299" t="s">
        <v>74</v>
      </c>
      <c r="AU299" t="s">
        <v>64</v>
      </c>
      <c r="AV299" t="s">
        <v>62</v>
      </c>
      <c r="AW299" t="s">
        <v>65</v>
      </c>
      <c r="AX299" t="s">
        <v>66</v>
      </c>
      <c r="AY299" t="s">
        <v>67</v>
      </c>
    </row>
    <row r="300" spans="1:51" hidden="1" x14ac:dyDescent="0.25">
      <c r="A300">
        <v>202509</v>
      </c>
      <c r="B300" t="s">
        <v>1211</v>
      </c>
      <c r="C300" t="str">
        <f>VLOOKUP(A300,[1]Customer_payment_journal_line!$AL:$BO,30,0)</f>
        <v>CPay-000000029</v>
      </c>
      <c r="D300" t="s">
        <v>53</v>
      </c>
      <c r="E300" t="s">
        <v>1212</v>
      </c>
      <c r="F300" t="s">
        <v>1213</v>
      </c>
      <c r="G300" t="s">
        <v>1214</v>
      </c>
      <c r="H300" t="s">
        <v>57</v>
      </c>
      <c r="I300" t="s">
        <v>95</v>
      </c>
      <c r="J300" t="s">
        <v>1215</v>
      </c>
      <c r="K300" t="s">
        <v>1216</v>
      </c>
      <c r="L300">
        <f>VLOOKUP(A300,[1]Customer_payment_journal_line!$B:$L,11,0)</f>
        <v>2052</v>
      </c>
      <c r="M300" s="1">
        <v>2052</v>
      </c>
      <c r="N300" s="2">
        <f>L300-M300</f>
        <v>0</v>
      </c>
      <c r="O300" t="s">
        <v>61</v>
      </c>
      <c r="P300">
        <v>100</v>
      </c>
      <c r="Q300" t="s">
        <v>52</v>
      </c>
      <c r="R300" t="s">
        <v>52</v>
      </c>
      <c r="S300" t="s">
        <v>52</v>
      </c>
      <c r="T300" t="s">
        <v>52</v>
      </c>
      <c r="U300" t="s">
        <v>52</v>
      </c>
      <c r="V300" t="s">
        <v>62</v>
      </c>
      <c r="W300" t="s">
        <v>63</v>
      </c>
      <c r="Y300" t="s">
        <v>52</v>
      </c>
      <c r="AB300" t="s">
        <v>52</v>
      </c>
      <c r="AE300" t="s">
        <v>52</v>
      </c>
      <c r="AF300" t="s">
        <v>52</v>
      </c>
      <c r="AH300">
        <v>0</v>
      </c>
      <c r="AI300">
        <v>0</v>
      </c>
      <c r="AJ300" t="s">
        <v>52</v>
      </c>
      <c r="AK300">
        <v>0</v>
      </c>
      <c r="AL300" t="s">
        <v>52</v>
      </c>
      <c r="AM300" t="s">
        <v>52</v>
      </c>
      <c r="AN300">
        <v>0</v>
      </c>
      <c r="AO300">
        <v>0</v>
      </c>
      <c r="AP300" t="s">
        <v>52</v>
      </c>
      <c r="AQ300" t="s">
        <v>52</v>
      </c>
      <c r="AR300" t="s">
        <v>62</v>
      </c>
      <c r="AS300" t="s">
        <v>52</v>
      </c>
      <c r="AT300" t="s">
        <v>52</v>
      </c>
      <c r="AU300" t="s">
        <v>64</v>
      </c>
      <c r="AV300" t="s">
        <v>62</v>
      </c>
      <c r="AW300" t="s">
        <v>65</v>
      </c>
      <c r="AX300" t="s">
        <v>66</v>
      </c>
      <c r="AY300" t="s">
        <v>67</v>
      </c>
    </row>
    <row r="301" spans="1:51" hidden="1" x14ac:dyDescent="0.25">
      <c r="A301">
        <v>202509</v>
      </c>
      <c r="B301" t="s">
        <v>1217</v>
      </c>
      <c r="C301" t="str">
        <f>VLOOKUP(A301,[1]Customer_payment_journal_line!$AL:$BO,30,0)</f>
        <v>CPay-000000029</v>
      </c>
      <c r="D301" t="s">
        <v>53</v>
      </c>
      <c r="E301" t="s">
        <v>1212</v>
      </c>
      <c r="F301" t="s">
        <v>1213</v>
      </c>
      <c r="G301" t="s">
        <v>1214</v>
      </c>
      <c r="H301" t="s">
        <v>69</v>
      </c>
      <c r="I301" t="s">
        <v>1218</v>
      </c>
      <c r="J301" t="s">
        <v>1215</v>
      </c>
      <c r="K301" t="s">
        <v>1216</v>
      </c>
      <c r="L301">
        <f>VLOOKUP(A301,[1]Customer_payment_journal_line!$B:$L,11,0)</f>
        <v>2052</v>
      </c>
      <c r="M301" s="1">
        <v>0</v>
      </c>
      <c r="N301">
        <v>2052</v>
      </c>
      <c r="O301" t="s">
        <v>61</v>
      </c>
      <c r="P301">
        <v>100</v>
      </c>
      <c r="Q301" t="s">
        <v>52</v>
      </c>
      <c r="R301" t="s">
        <v>52</v>
      </c>
      <c r="S301" t="s">
        <v>52</v>
      </c>
      <c r="T301" t="s">
        <v>52</v>
      </c>
      <c r="U301" t="s">
        <v>52</v>
      </c>
      <c r="V301" t="s">
        <v>62</v>
      </c>
      <c r="W301" t="s">
        <v>52</v>
      </c>
      <c r="Y301" t="s">
        <v>1219</v>
      </c>
      <c r="Z301" t="s">
        <v>62</v>
      </c>
      <c r="AB301" t="s">
        <v>1220</v>
      </c>
      <c r="AE301" t="s">
        <v>1221</v>
      </c>
      <c r="AF301" t="s">
        <v>52</v>
      </c>
      <c r="AH301">
        <v>0</v>
      </c>
      <c r="AI301">
        <v>0</v>
      </c>
      <c r="AJ301" t="s">
        <v>52</v>
      </c>
      <c r="AK301">
        <v>0</v>
      </c>
      <c r="AL301" t="s">
        <v>52</v>
      </c>
      <c r="AM301" t="s">
        <v>52</v>
      </c>
      <c r="AN301">
        <v>0</v>
      </c>
      <c r="AO301">
        <v>0</v>
      </c>
      <c r="AP301" t="s">
        <v>52</v>
      </c>
      <c r="AQ301" t="s">
        <v>52</v>
      </c>
      <c r="AR301" t="s">
        <v>62</v>
      </c>
      <c r="AS301" t="s">
        <v>52</v>
      </c>
      <c r="AT301" t="s">
        <v>74</v>
      </c>
      <c r="AU301" t="s">
        <v>64</v>
      </c>
      <c r="AV301" t="s">
        <v>62</v>
      </c>
      <c r="AW301" t="s">
        <v>65</v>
      </c>
      <c r="AX301" t="s">
        <v>66</v>
      </c>
      <c r="AY301" t="s">
        <v>67</v>
      </c>
    </row>
    <row r="302" spans="1:51" hidden="1" x14ac:dyDescent="0.25">
      <c r="A302">
        <v>202510</v>
      </c>
      <c r="B302" t="s">
        <v>1222</v>
      </c>
      <c r="C302" t="str">
        <f>VLOOKUP(A302,[1]Customer_payment_journal_line!$AL:$BO,30,0)</f>
        <v>CPay-000000030</v>
      </c>
      <c r="D302" t="s">
        <v>53</v>
      </c>
      <c r="E302" t="s">
        <v>1223</v>
      </c>
      <c r="F302" t="s">
        <v>1224</v>
      </c>
      <c r="G302" t="s">
        <v>1214</v>
      </c>
      <c r="H302" t="s">
        <v>57</v>
      </c>
      <c r="I302" t="s">
        <v>95</v>
      </c>
      <c r="J302" t="s">
        <v>1225</v>
      </c>
      <c r="K302" t="s">
        <v>1226</v>
      </c>
      <c r="L302">
        <f>VLOOKUP(A302,[1]Customer_payment_journal_line!$B:$L,11,0)</f>
        <v>199.5</v>
      </c>
      <c r="M302" s="1">
        <v>199.5</v>
      </c>
      <c r="N302" s="2">
        <f>L302-M302</f>
        <v>0</v>
      </c>
      <c r="O302" t="s">
        <v>61</v>
      </c>
      <c r="P302">
        <v>100</v>
      </c>
      <c r="Q302" t="s">
        <v>52</v>
      </c>
      <c r="R302" t="s">
        <v>52</v>
      </c>
      <c r="S302" t="s">
        <v>52</v>
      </c>
      <c r="T302" t="s">
        <v>52</v>
      </c>
      <c r="U302" t="s">
        <v>52</v>
      </c>
      <c r="V302" t="s">
        <v>62</v>
      </c>
      <c r="W302" t="s">
        <v>63</v>
      </c>
      <c r="Y302" t="s">
        <v>52</v>
      </c>
      <c r="AB302" t="s">
        <v>52</v>
      </c>
      <c r="AE302" t="s">
        <v>52</v>
      </c>
      <c r="AF302" t="s">
        <v>52</v>
      </c>
      <c r="AH302">
        <v>0</v>
      </c>
      <c r="AI302">
        <v>0</v>
      </c>
      <c r="AJ302" t="s">
        <v>52</v>
      </c>
      <c r="AK302">
        <v>0</v>
      </c>
      <c r="AL302" t="s">
        <v>52</v>
      </c>
      <c r="AM302" t="s">
        <v>52</v>
      </c>
      <c r="AN302">
        <v>0</v>
      </c>
      <c r="AO302">
        <v>0</v>
      </c>
      <c r="AP302" t="s">
        <v>52</v>
      </c>
      <c r="AQ302" t="s">
        <v>52</v>
      </c>
      <c r="AR302" t="s">
        <v>62</v>
      </c>
      <c r="AS302" t="s">
        <v>52</v>
      </c>
      <c r="AT302" t="s">
        <v>52</v>
      </c>
      <c r="AU302" t="s">
        <v>64</v>
      </c>
      <c r="AV302" t="s">
        <v>62</v>
      </c>
      <c r="AW302" t="s">
        <v>65</v>
      </c>
      <c r="AX302" t="s">
        <v>66</v>
      </c>
      <c r="AY302" t="s">
        <v>67</v>
      </c>
    </row>
    <row r="303" spans="1:51" hidden="1" x14ac:dyDescent="0.25">
      <c r="A303">
        <v>202510</v>
      </c>
      <c r="B303" t="s">
        <v>1227</v>
      </c>
      <c r="C303" t="str">
        <f>VLOOKUP(A303,[1]Customer_payment_journal_line!$AL:$BO,30,0)</f>
        <v>CPay-000000030</v>
      </c>
      <c r="D303" t="s">
        <v>53</v>
      </c>
      <c r="E303" t="s">
        <v>1223</v>
      </c>
      <c r="F303" t="s">
        <v>1224</v>
      </c>
      <c r="G303" t="s">
        <v>1214</v>
      </c>
      <c r="H303" t="s">
        <v>69</v>
      </c>
      <c r="I303" t="s">
        <v>1218</v>
      </c>
      <c r="J303" t="s">
        <v>1225</v>
      </c>
      <c r="K303" t="s">
        <v>1226</v>
      </c>
      <c r="L303">
        <f>VLOOKUP(A303,[1]Customer_payment_journal_line!$B:$L,11,0)</f>
        <v>199.5</v>
      </c>
      <c r="M303" s="1">
        <v>0</v>
      </c>
      <c r="N303">
        <v>199.5</v>
      </c>
      <c r="O303" t="s">
        <v>61</v>
      </c>
      <c r="P303">
        <v>100</v>
      </c>
      <c r="Q303" t="s">
        <v>52</v>
      </c>
      <c r="R303" t="s">
        <v>52</v>
      </c>
      <c r="S303" t="s">
        <v>52</v>
      </c>
      <c r="T303" t="s">
        <v>52</v>
      </c>
      <c r="U303" t="s">
        <v>52</v>
      </c>
      <c r="V303" t="s">
        <v>62</v>
      </c>
      <c r="W303" t="s">
        <v>52</v>
      </c>
      <c r="Y303" t="s">
        <v>1219</v>
      </c>
      <c r="Z303" t="s">
        <v>62</v>
      </c>
      <c r="AB303" t="s">
        <v>1228</v>
      </c>
      <c r="AE303" t="s">
        <v>1229</v>
      </c>
      <c r="AF303" t="s">
        <v>52</v>
      </c>
      <c r="AH303">
        <v>0</v>
      </c>
      <c r="AI303">
        <v>0</v>
      </c>
      <c r="AJ303" t="s">
        <v>52</v>
      </c>
      <c r="AK303">
        <v>0</v>
      </c>
      <c r="AL303" t="s">
        <v>52</v>
      </c>
      <c r="AM303" t="s">
        <v>52</v>
      </c>
      <c r="AN303">
        <v>0</v>
      </c>
      <c r="AO303">
        <v>0</v>
      </c>
      <c r="AP303" t="s">
        <v>52</v>
      </c>
      <c r="AQ303" t="s">
        <v>52</v>
      </c>
      <c r="AR303" t="s">
        <v>62</v>
      </c>
      <c r="AS303" t="s">
        <v>52</v>
      </c>
      <c r="AT303" t="s">
        <v>74</v>
      </c>
      <c r="AU303" t="s">
        <v>64</v>
      </c>
      <c r="AV303" t="s">
        <v>62</v>
      </c>
      <c r="AW303" t="s">
        <v>65</v>
      </c>
      <c r="AX303" t="s">
        <v>66</v>
      </c>
      <c r="AY303" t="s">
        <v>67</v>
      </c>
    </row>
    <row r="304" spans="1:51" hidden="1" x14ac:dyDescent="0.25">
      <c r="A304">
        <v>202511</v>
      </c>
      <c r="B304" t="s">
        <v>1230</v>
      </c>
      <c r="C304" t="e">
        <f>VLOOKUP(A304,[1]Customer_payment_journal_line!$AL:$BO,30,0)</f>
        <v>#N/A</v>
      </c>
      <c r="D304" t="s">
        <v>159</v>
      </c>
      <c r="E304" t="s">
        <v>1231</v>
      </c>
      <c r="F304" t="s">
        <v>1232</v>
      </c>
      <c r="G304" t="s">
        <v>1214</v>
      </c>
      <c r="H304" t="s">
        <v>80</v>
      </c>
      <c r="I304" t="s">
        <v>1233</v>
      </c>
      <c r="J304" t="s">
        <v>1234</v>
      </c>
      <c r="K304" t="s">
        <v>1235</v>
      </c>
      <c r="L304" t="s">
        <v>52</v>
      </c>
      <c r="M304">
        <v>240</v>
      </c>
      <c r="N304">
        <v>0</v>
      </c>
      <c r="O304" t="s">
        <v>178</v>
      </c>
      <c r="P304">
        <v>5085</v>
      </c>
      <c r="Q304" t="s">
        <v>52</v>
      </c>
      <c r="R304" t="s">
        <v>52</v>
      </c>
      <c r="S304" t="s">
        <v>52</v>
      </c>
      <c r="T304" t="s">
        <v>52</v>
      </c>
      <c r="U304" t="s">
        <v>52</v>
      </c>
      <c r="V304" t="s">
        <v>62</v>
      </c>
      <c r="W304" t="s">
        <v>52</v>
      </c>
      <c r="Y304" t="s">
        <v>52</v>
      </c>
      <c r="AB304" t="s">
        <v>52</v>
      </c>
      <c r="AE304" t="s">
        <v>52</v>
      </c>
      <c r="AF304" t="s">
        <v>52</v>
      </c>
      <c r="AH304">
        <v>0</v>
      </c>
      <c r="AI304">
        <v>0</v>
      </c>
      <c r="AJ304" t="s">
        <v>52</v>
      </c>
      <c r="AK304">
        <v>0</v>
      </c>
      <c r="AL304" t="s">
        <v>52</v>
      </c>
      <c r="AM304" t="s">
        <v>52</v>
      </c>
      <c r="AN304">
        <v>0</v>
      </c>
      <c r="AO304">
        <v>0</v>
      </c>
      <c r="AP304" t="s">
        <v>52</v>
      </c>
      <c r="AQ304" t="s">
        <v>52</v>
      </c>
      <c r="AR304" t="s">
        <v>62</v>
      </c>
      <c r="AS304" t="s">
        <v>52</v>
      </c>
      <c r="AT304" t="s">
        <v>52</v>
      </c>
      <c r="AU304" t="s">
        <v>64</v>
      </c>
      <c r="AV304" t="s">
        <v>62</v>
      </c>
      <c r="AW304" t="s">
        <v>65</v>
      </c>
      <c r="AX304" t="s">
        <v>66</v>
      </c>
      <c r="AY304" t="s">
        <v>165</v>
      </c>
    </row>
    <row r="305" spans="1:51" hidden="1" x14ac:dyDescent="0.25">
      <c r="A305">
        <v>202511</v>
      </c>
      <c r="B305" t="s">
        <v>1236</v>
      </c>
      <c r="C305" t="e">
        <f>VLOOKUP(A305,[1]Customer_payment_journal_line!$AL:$BO,30,0)</f>
        <v>#N/A</v>
      </c>
      <c r="D305" t="s">
        <v>159</v>
      </c>
      <c r="E305" t="s">
        <v>1231</v>
      </c>
      <c r="F305" t="s">
        <v>1232</v>
      </c>
      <c r="G305" t="s">
        <v>1214</v>
      </c>
      <c r="H305" t="s">
        <v>69</v>
      </c>
      <c r="I305" t="s">
        <v>1237</v>
      </c>
      <c r="J305" t="s">
        <v>1234</v>
      </c>
      <c r="K305" t="s">
        <v>1235</v>
      </c>
      <c r="L305" t="s">
        <v>52</v>
      </c>
      <c r="M305">
        <v>0</v>
      </c>
      <c r="N305">
        <v>30</v>
      </c>
      <c r="O305" t="s">
        <v>178</v>
      </c>
      <c r="P305">
        <v>5085</v>
      </c>
      <c r="Q305" t="s">
        <v>52</v>
      </c>
      <c r="R305" t="s">
        <v>52</v>
      </c>
      <c r="S305" t="s">
        <v>52</v>
      </c>
      <c r="T305" t="s">
        <v>52</v>
      </c>
      <c r="U305" t="s">
        <v>52</v>
      </c>
      <c r="V305" t="s">
        <v>62</v>
      </c>
      <c r="W305" t="s">
        <v>52</v>
      </c>
      <c r="Y305" t="s">
        <v>1238</v>
      </c>
      <c r="Z305" t="s">
        <v>62</v>
      </c>
      <c r="AB305" t="s">
        <v>1239</v>
      </c>
      <c r="AE305" t="s">
        <v>1240</v>
      </c>
      <c r="AF305" t="s">
        <v>52</v>
      </c>
      <c r="AH305">
        <v>0</v>
      </c>
      <c r="AI305">
        <v>0</v>
      </c>
      <c r="AJ305" t="s">
        <v>52</v>
      </c>
      <c r="AK305">
        <v>0</v>
      </c>
      <c r="AL305" t="s">
        <v>52</v>
      </c>
      <c r="AM305" t="s">
        <v>52</v>
      </c>
      <c r="AN305">
        <v>0</v>
      </c>
      <c r="AO305">
        <v>0</v>
      </c>
      <c r="AP305" t="s">
        <v>52</v>
      </c>
      <c r="AQ305" t="s">
        <v>52</v>
      </c>
      <c r="AR305" t="s">
        <v>62</v>
      </c>
      <c r="AS305" t="s">
        <v>52</v>
      </c>
      <c r="AT305" t="s">
        <v>74</v>
      </c>
      <c r="AU305" t="s">
        <v>64</v>
      </c>
      <c r="AV305" t="s">
        <v>62</v>
      </c>
      <c r="AW305" t="s">
        <v>65</v>
      </c>
      <c r="AX305" t="s">
        <v>66</v>
      </c>
      <c r="AY305" t="s">
        <v>165</v>
      </c>
    </row>
    <row r="306" spans="1:51" hidden="1" x14ac:dyDescent="0.25">
      <c r="A306">
        <v>202511</v>
      </c>
      <c r="B306" t="s">
        <v>1241</v>
      </c>
      <c r="C306" t="e">
        <f>VLOOKUP(A306,[1]Customer_payment_journal_line!$AL:$BO,30,0)</f>
        <v>#N/A</v>
      </c>
      <c r="D306" t="s">
        <v>159</v>
      </c>
      <c r="E306" t="s">
        <v>1231</v>
      </c>
      <c r="F306" t="s">
        <v>1232</v>
      </c>
      <c r="G306" t="s">
        <v>1214</v>
      </c>
      <c r="H306" t="s">
        <v>69</v>
      </c>
      <c r="I306" t="s">
        <v>1237</v>
      </c>
      <c r="J306" t="s">
        <v>1234</v>
      </c>
      <c r="K306" t="s">
        <v>1235</v>
      </c>
      <c r="L306" t="s">
        <v>52</v>
      </c>
      <c r="M306">
        <v>0</v>
      </c>
      <c r="N306">
        <v>210</v>
      </c>
      <c r="O306" t="s">
        <v>178</v>
      </c>
      <c r="P306">
        <v>5085</v>
      </c>
      <c r="Q306" t="s">
        <v>52</v>
      </c>
      <c r="R306" t="s">
        <v>52</v>
      </c>
      <c r="S306" t="s">
        <v>52</v>
      </c>
      <c r="T306" t="s">
        <v>52</v>
      </c>
      <c r="U306" t="s">
        <v>52</v>
      </c>
      <c r="V306" t="s">
        <v>62</v>
      </c>
      <c r="W306" t="s">
        <v>52</v>
      </c>
      <c r="Y306" t="s">
        <v>1238</v>
      </c>
      <c r="Z306" t="s">
        <v>62</v>
      </c>
      <c r="AB306" t="s">
        <v>1242</v>
      </c>
      <c r="AE306" t="s">
        <v>1243</v>
      </c>
      <c r="AF306" t="s">
        <v>52</v>
      </c>
      <c r="AH306">
        <v>0</v>
      </c>
      <c r="AI306">
        <v>0</v>
      </c>
      <c r="AJ306" t="s">
        <v>52</v>
      </c>
      <c r="AK306">
        <v>0</v>
      </c>
      <c r="AL306" t="s">
        <v>52</v>
      </c>
      <c r="AM306" t="s">
        <v>52</v>
      </c>
      <c r="AN306">
        <v>0</v>
      </c>
      <c r="AO306">
        <v>0</v>
      </c>
      <c r="AP306" t="s">
        <v>52</v>
      </c>
      <c r="AQ306" t="s">
        <v>52</v>
      </c>
      <c r="AR306" t="s">
        <v>62</v>
      </c>
      <c r="AS306" t="s">
        <v>52</v>
      </c>
      <c r="AT306" t="s">
        <v>74</v>
      </c>
      <c r="AU306" t="s">
        <v>64</v>
      </c>
      <c r="AV306" t="s">
        <v>62</v>
      </c>
      <c r="AW306" t="s">
        <v>65</v>
      </c>
      <c r="AX306" t="s">
        <v>66</v>
      </c>
      <c r="AY306" t="s">
        <v>165</v>
      </c>
    </row>
    <row r="307" spans="1:51" hidden="1" x14ac:dyDescent="0.25">
      <c r="A307">
        <v>202542</v>
      </c>
      <c r="B307" t="s">
        <v>1244</v>
      </c>
      <c r="C307" t="str">
        <f>VLOOKUP(A307,[1]Customer_payment_journal_line!$AL:$BO,30,0)</f>
        <v>CPay-000000031</v>
      </c>
      <c r="D307" t="s">
        <v>53</v>
      </c>
      <c r="E307" t="s">
        <v>1245</v>
      </c>
      <c r="F307" t="s">
        <v>1246</v>
      </c>
      <c r="G307" t="s">
        <v>1214</v>
      </c>
      <c r="H307" t="s">
        <v>57</v>
      </c>
      <c r="I307" t="s">
        <v>95</v>
      </c>
      <c r="J307" t="s">
        <v>1247</v>
      </c>
      <c r="K307" t="s">
        <v>1248</v>
      </c>
      <c r="L307">
        <f>VLOOKUP(A307,[1]Customer_payment_journal_line!$B:$L,11,0)</f>
        <v>1653</v>
      </c>
      <c r="M307" s="1">
        <v>1653</v>
      </c>
      <c r="N307" s="2">
        <f>L307-M307</f>
        <v>0</v>
      </c>
      <c r="O307" t="s">
        <v>61</v>
      </c>
      <c r="P307">
        <v>100</v>
      </c>
      <c r="Q307" t="s">
        <v>52</v>
      </c>
      <c r="R307" t="s">
        <v>52</v>
      </c>
      <c r="S307" t="s">
        <v>52</v>
      </c>
      <c r="T307" t="s">
        <v>52</v>
      </c>
      <c r="U307" t="s">
        <v>52</v>
      </c>
      <c r="V307" t="s">
        <v>62</v>
      </c>
      <c r="W307" t="s">
        <v>63</v>
      </c>
      <c r="Y307" t="s">
        <v>52</v>
      </c>
      <c r="AB307" t="s">
        <v>52</v>
      </c>
      <c r="AE307" t="s">
        <v>52</v>
      </c>
      <c r="AF307" t="s">
        <v>52</v>
      </c>
      <c r="AH307">
        <v>0</v>
      </c>
      <c r="AI307">
        <v>0</v>
      </c>
      <c r="AJ307" t="s">
        <v>52</v>
      </c>
      <c r="AK307">
        <v>0</v>
      </c>
      <c r="AL307" t="s">
        <v>52</v>
      </c>
      <c r="AM307" t="s">
        <v>52</v>
      </c>
      <c r="AN307">
        <v>0</v>
      </c>
      <c r="AO307">
        <v>0</v>
      </c>
      <c r="AP307" t="s">
        <v>52</v>
      </c>
      <c r="AQ307" t="s">
        <v>52</v>
      </c>
      <c r="AR307" t="s">
        <v>62</v>
      </c>
      <c r="AS307" t="s">
        <v>52</v>
      </c>
      <c r="AT307" t="s">
        <v>52</v>
      </c>
      <c r="AU307" t="s">
        <v>64</v>
      </c>
      <c r="AV307" t="s">
        <v>62</v>
      </c>
      <c r="AW307" t="s">
        <v>65</v>
      </c>
      <c r="AX307" t="s">
        <v>66</v>
      </c>
      <c r="AY307" t="s">
        <v>67</v>
      </c>
    </row>
    <row r="308" spans="1:51" hidden="1" x14ac:dyDescent="0.25">
      <c r="A308">
        <v>202542</v>
      </c>
      <c r="B308" t="s">
        <v>1249</v>
      </c>
      <c r="C308" t="str">
        <f>VLOOKUP(A308,[1]Customer_payment_journal_line!$AL:$BO,30,0)</f>
        <v>CPay-000000031</v>
      </c>
      <c r="D308" t="s">
        <v>53</v>
      </c>
      <c r="E308" t="s">
        <v>1245</v>
      </c>
      <c r="F308" t="s">
        <v>1246</v>
      </c>
      <c r="G308" t="s">
        <v>1214</v>
      </c>
      <c r="H308" t="s">
        <v>69</v>
      </c>
      <c r="I308" t="s">
        <v>1250</v>
      </c>
      <c r="J308" t="s">
        <v>1247</v>
      </c>
      <c r="K308" t="s">
        <v>1248</v>
      </c>
      <c r="L308">
        <f>VLOOKUP(A308,[1]Customer_payment_journal_line!$B:$L,11,0)</f>
        <v>1653</v>
      </c>
      <c r="M308" s="1">
        <v>0</v>
      </c>
      <c r="N308">
        <v>1653</v>
      </c>
      <c r="O308" t="s">
        <v>61</v>
      </c>
      <c r="P308">
        <v>100</v>
      </c>
      <c r="Q308" t="s">
        <v>52</v>
      </c>
      <c r="R308" t="s">
        <v>52</v>
      </c>
      <c r="S308" t="s">
        <v>52</v>
      </c>
      <c r="T308" t="s">
        <v>52</v>
      </c>
      <c r="U308" t="s">
        <v>52</v>
      </c>
      <c r="V308" t="s">
        <v>62</v>
      </c>
      <c r="W308" t="s">
        <v>52</v>
      </c>
      <c r="Y308" t="s">
        <v>1251</v>
      </c>
      <c r="Z308" t="s">
        <v>62</v>
      </c>
      <c r="AB308" t="s">
        <v>1252</v>
      </c>
      <c r="AE308" t="s">
        <v>1253</v>
      </c>
      <c r="AF308" t="s">
        <v>52</v>
      </c>
      <c r="AH308">
        <v>0</v>
      </c>
      <c r="AI308">
        <v>0</v>
      </c>
      <c r="AJ308" t="s">
        <v>52</v>
      </c>
      <c r="AK308">
        <v>0</v>
      </c>
      <c r="AL308" t="s">
        <v>52</v>
      </c>
      <c r="AM308" t="s">
        <v>52</v>
      </c>
      <c r="AN308">
        <v>0</v>
      </c>
      <c r="AO308">
        <v>0</v>
      </c>
      <c r="AP308" t="s">
        <v>52</v>
      </c>
      <c r="AQ308" t="s">
        <v>52</v>
      </c>
      <c r="AR308" t="s">
        <v>62</v>
      </c>
      <c r="AS308" t="s">
        <v>52</v>
      </c>
      <c r="AT308" t="s">
        <v>74</v>
      </c>
      <c r="AU308" t="s">
        <v>64</v>
      </c>
      <c r="AV308" t="s">
        <v>62</v>
      </c>
      <c r="AW308" t="s">
        <v>65</v>
      </c>
      <c r="AX308" t="s">
        <v>66</v>
      </c>
      <c r="AY308" t="s">
        <v>67</v>
      </c>
    </row>
    <row r="309" spans="1:51" hidden="1" x14ac:dyDescent="0.25">
      <c r="A309">
        <v>202543</v>
      </c>
      <c r="B309" t="s">
        <v>1254</v>
      </c>
      <c r="C309" t="str">
        <f>VLOOKUP(A309,[1]Customer_payment_journal_line!$AL:$BO,30,0)</f>
        <v>CPay-000000032</v>
      </c>
      <c r="D309" t="s">
        <v>53</v>
      </c>
      <c r="E309" t="s">
        <v>1255</v>
      </c>
      <c r="F309" t="s">
        <v>1256</v>
      </c>
      <c r="G309" t="s">
        <v>1214</v>
      </c>
      <c r="H309" t="s">
        <v>57</v>
      </c>
      <c r="I309" t="s">
        <v>95</v>
      </c>
      <c r="J309" t="s">
        <v>1257</v>
      </c>
      <c r="K309" t="s">
        <v>1258</v>
      </c>
      <c r="L309">
        <f>VLOOKUP(A309,[1]Customer_payment_journal_line!$B:$L,11,0)</f>
        <v>262.2</v>
      </c>
      <c r="M309" s="1">
        <v>262.2</v>
      </c>
      <c r="N309" s="2">
        <f>L309-M309</f>
        <v>0</v>
      </c>
      <c r="O309" t="s">
        <v>61</v>
      </c>
      <c r="P309">
        <v>100</v>
      </c>
      <c r="Q309" t="s">
        <v>52</v>
      </c>
      <c r="R309" t="s">
        <v>52</v>
      </c>
      <c r="S309" t="s">
        <v>52</v>
      </c>
      <c r="T309" t="s">
        <v>52</v>
      </c>
      <c r="U309" t="s">
        <v>52</v>
      </c>
      <c r="V309" t="s">
        <v>62</v>
      </c>
      <c r="W309" t="s">
        <v>63</v>
      </c>
      <c r="Y309" t="s">
        <v>52</v>
      </c>
      <c r="AB309" t="s">
        <v>52</v>
      </c>
      <c r="AE309" t="s">
        <v>52</v>
      </c>
      <c r="AF309" t="s">
        <v>52</v>
      </c>
      <c r="AH309">
        <v>0</v>
      </c>
      <c r="AI309">
        <v>0</v>
      </c>
      <c r="AJ309" t="s">
        <v>52</v>
      </c>
      <c r="AK309">
        <v>0</v>
      </c>
      <c r="AL309" t="s">
        <v>52</v>
      </c>
      <c r="AM309" t="s">
        <v>52</v>
      </c>
      <c r="AN309">
        <v>0</v>
      </c>
      <c r="AO309">
        <v>0</v>
      </c>
      <c r="AP309" t="s">
        <v>52</v>
      </c>
      <c r="AQ309" t="s">
        <v>52</v>
      </c>
      <c r="AR309" t="s">
        <v>62</v>
      </c>
      <c r="AS309" t="s">
        <v>52</v>
      </c>
      <c r="AT309" t="s">
        <v>52</v>
      </c>
      <c r="AU309" t="s">
        <v>64</v>
      </c>
      <c r="AV309" t="s">
        <v>62</v>
      </c>
      <c r="AW309" t="s">
        <v>65</v>
      </c>
      <c r="AX309" t="s">
        <v>66</v>
      </c>
      <c r="AY309" t="s">
        <v>67</v>
      </c>
    </row>
    <row r="310" spans="1:51" hidden="1" x14ac:dyDescent="0.25">
      <c r="A310">
        <v>202543</v>
      </c>
      <c r="B310" t="s">
        <v>1259</v>
      </c>
      <c r="C310" t="str">
        <f>VLOOKUP(A310,[1]Customer_payment_journal_line!$AL:$BO,30,0)</f>
        <v>CPay-000000032</v>
      </c>
      <c r="D310" t="s">
        <v>53</v>
      </c>
      <c r="E310" t="s">
        <v>1255</v>
      </c>
      <c r="F310" t="s">
        <v>1256</v>
      </c>
      <c r="G310" t="s">
        <v>1214</v>
      </c>
      <c r="H310" t="s">
        <v>69</v>
      </c>
      <c r="I310" t="s">
        <v>1250</v>
      </c>
      <c r="J310" t="s">
        <v>1257</v>
      </c>
      <c r="K310" t="s">
        <v>1258</v>
      </c>
      <c r="L310">
        <f>VLOOKUP(A310,[1]Customer_payment_journal_line!$B:$L,11,0)</f>
        <v>262.2</v>
      </c>
      <c r="M310" s="1">
        <v>0</v>
      </c>
      <c r="N310">
        <v>262.2</v>
      </c>
      <c r="O310" t="s">
        <v>61</v>
      </c>
      <c r="P310">
        <v>100</v>
      </c>
      <c r="Q310" t="s">
        <v>52</v>
      </c>
      <c r="R310" t="s">
        <v>52</v>
      </c>
      <c r="S310" t="s">
        <v>52</v>
      </c>
      <c r="T310" t="s">
        <v>52</v>
      </c>
      <c r="U310" t="s">
        <v>52</v>
      </c>
      <c r="V310" t="s">
        <v>62</v>
      </c>
      <c r="W310" t="s">
        <v>52</v>
      </c>
      <c r="Y310" t="s">
        <v>1251</v>
      </c>
      <c r="Z310" t="s">
        <v>62</v>
      </c>
      <c r="AB310" t="s">
        <v>1260</v>
      </c>
      <c r="AE310" t="s">
        <v>1261</v>
      </c>
      <c r="AF310" t="s">
        <v>52</v>
      </c>
      <c r="AH310">
        <v>0</v>
      </c>
      <c r="AI310">
        <v>0</v>
      </c>
      <c r="AJ310" t="s">
        <v>52</v>
      </c>
      <c r="AK310">
        <v>0</v>
      </c>
      <c r="AL310" t="s">
        <v>52</v>
      </c>
      <c r="AM310" t="s">
        <v>52</v>
      </c>
      <c r="AN310">
        <v>0</v>
      </c>
      <c r="AO310">
        <v>0</v>
      </c>
      <c r="AP310" t="s">
        <v>52</v>
      </c>
      <c r="AQ310" t="s">
        <v>52</v>
      </c>
      <c r="AR310" t="s">
        <v>62</v>
      </c>
      <c r="AS310" t="s">
        <v>52</v>
      </c>
      <c r="AT310" t="s">
        <v>74</v>
      </c>
      <c r="AU310" t="s">
        <v>64</v>
      </c>
      <c r="AV310" t="s">
        <v>62</v>
      </c>
      <c r="AW310" t="s">
        <v>65</v>
      </c>
      <c r="AX310" t="s">
        <v>66</v>
      </c>
      <c r="AY310" t="s">
        <v>67</v>
      </c>
    </row>
    <row r="311" spans="1:51" hidden="1" x14ac:dyDescent="0.25">
      <c r="A311">
        <v>202547</v>
      </c>
      <c r="B311" t="s">
        <v>1262</v>
      </c>
      <c r="C311" t="e">
        <f>VLOOKUP(A311,[1]Customer_payment_journal_line!$AL:$BO,30,0)</f>
        <v>#N/A</v>
      </c>
      <c r="D311" t="s">
        <v>76</v>
      </c>
      <c r="E311" t="s">
        <v>1263</v>
      </c>
      <c r="F311" t="s">
        <v>1264</v>
      </c>
      <c r="G311" t="s">
        <v>1214</v>
      </c>
      <c r="H311" t="s">
        <v>80</v>
      </c>
      <c r="I311" t="s">
        <v>81</v>
      </c>
      <c r="J311" t="s">
        <v>1265</v>
      </c>
      <c r="K311" t="s">
        <v>1266</v>
      </c>
      <c r="L311" t="s">
        <v>52</v>
      </c>
      <c r="M311">
        <v>4275</v>
      </c>
      <c r="N311">
        <v>0</v>
      </c>
      <c r="O311" t="s">
        <v>61</v>
      </c>
      <c r="P311">
        <v>100</v>
      </c>
      <c r="Q311" t="s">
        <v>52</v>
      </c>
      <c r="R311" t="s">
        <v>52</v>
      </c>
      <c r="S311" t="s">
        <v>52</v>
      </c>
      <c r="T311" t="s">
        <v>52</v>
      </c>
      <c r="U311" t="s">
        <v>52</v>
      </c>
      <c r="V311" t="s">
        <v>62</v>
      </c>
      <c r="W311" t="s">
        <v>52</v>
      </c>
      <c r="Y311" t="s">
        <v>52</v>
      </c>
      <c r="AB311" t="s">
        <v>52</v>
      </c>
      <c r="AE311" t="s">
        <v>52</v>
      </c>
      <c r="AF311" t="s">
        <v>52</v>
      </c>
      <c r="AH311">
        <v>0</v>
      </c>
      <c r="AI311">
        <v>0</v>
      </c>
      <c r="AJ311" t="s">
        <v>52</v>
      </c>
      <c r="AK311">
        <v>0</v>
      </c>
      <c r="AL311" t="s">
        <v>52</v>
      </c>
      <c r="AM311" t="s">
        <v>52</v>
      </c>
      <c r="AN311">
        <v>0</v>
      </c>
      <c r="AO311">
        <v>0</v>
      </c>
      <c r="AP311" t="s">
        <v>52</v>
      </c>
      <c r="AQ311" t="s">
        <v>52</v>
      </c>
      <c r="AR311" t="s">
        <v>62</v>
      </c>
      <c r="AS311" t="s">
        <v>52</v>
      </c>
      <c r="AT311" t="s">
        <v>52</v>
      </c>
      <c r="AU311" t="s">
        <v>64</v>
      </c>
      <c r="AV311" t="s">
        <v>62</v>
      </c>
      <c r="AW311" t="s">
        <v>65</v>
      </c>
      <c r="AX311" t="s">
        <v>66</v>
      </c>
      <c r="AY311" t="s">
        <v>76</v>
      </c>
    </row>
    <row r="312" spans="1:51" hidden="1" x14ac:dyDescent="0.25">
      <c r="A312">
        <v>202547</v>
      </c>
      <c r="B312" t="s">
        <v>1267</v>
      </c>
      <c r="C312" t="e">
        <f>VLOOKUP(A312,[1]Customer_payment_journal_line!$AL:$BO,30,0)</f>
        <v>#N/A</v>
      </c>
      <c r="D312" t="s">
        <v>76</v>
      </c>
      <c r="E312" t="s">
        <v>1263</v>
      </c>
      <c r="F312" t="s">
        <v>1264</v>
      </c>
      <c r="G312" t="s">
        <v>1214</v>
      </c>
      <c r="H312" t="s">
        <v>69</v>
      </c>
      <c r="I312" t="s">
        <v>1268</v>
      </c>
      <c r="J312" t="s">
        <v>1265</v>
      </c>
      <c r="K312" t="s">
        <v>1266</v>
      </c>
      <c r="L312" t="s">
        <v>52</v>
      </c>
      <c r="M312">
        <v>0</v>
      </c>
      <c r="N312">
        <v>3420</v>
      </c>
      <c r="O312" t="s">
        <v>61</v>
      </c>
      <c r="P312">
        <v>100</v>
      </c>
      <c r="Q312" t="s">
        <v>52</v>
      </c>
      <c r="R312" t="s">
        <v>52</v>
      </c>
      <c r="S312" t="s">
        <v>52</v>
      </c>
      <c r="T312" t="s">
        <v>52</v>
      </c>
      <c r="U312" t="s">
        <v>52</v>
      </c>
      <c r="V312" t="s">
        <v>62</v>
      </c>
      <c r="W312" t="s">
        <v>52</v>
      </c>
      <c r="Y312" t="s">
        <v>1269</v>
      </c>
      <c r="Z312" t="s">
        <v>62</v>
      </c>
      <c r="AB312" t="s">
        <v>1270</v>
      </c>
      <c r="AE312" t="s">
        <v>1271</v>
      </c>
      <c r="AF312" t="s">
        <v>52</v>
      </c>
      <c r="AH312">
        <v>0</v>
      </c>
      <c r="AI312">
        <v>0</v>
      </c>
      <c r="AJ312" t="s">
        <v>52</v>
      </c>
      <c r="AK312">
        <v>0</v>
      </c>
      <c r="AL312" t="s">
        <v>52</v>
      </c>
      <c r="AM312" t="s">
        <v>52</v>
      </c>
      <c r="AN312">
        <v>0</v>
      </c>
      <c r="AO312">
        <v>0</v>
      </c>
      <c r="AP312" t="s">
        <v>52</v>
      </c>
      <c r="AQ312" t="s">
        <v>52</v>
      </c>
      <c r="AR312" t="s">
        <v>62</v>
      </c>
      <c r="AS312" t="s">
        <v>52</v>
      </c>
      <c r="AT312" t="s">
        <v>74</v>
      </c>
      <c r="AU312" t="s">
        <v>64</v>
      </c>
      <c r="AV312" t="s">
        <v>62</v>
      </c>
      <c r="AW312" t="s">
        <v>65</v>
      </c>
      <c r="AX312" t="s">
        <v>66</v>
      </c>
      <c r="AY312" t="s">
        <v>76</v>
      </c>
    </row>
    <row r="313" spans="1:51" hidden="1" x14ac:dyDescent="0.25">
      <c r="A313">
        <v>202547</v>
      </c>
      <c r="B313" t="s">
        <v>1272</v>
      </c>
      <c r="C313" t="e">
        <f>VLOOKUP(A313,[1]Customer_payment_journal_line!$AL:$BO,30,0)</f>
        <v>#N/A</v>
      </c>
      <c r="D313" t="s">
        <v>76</v>
      </c>
      <c r="E313" t="s">
        <v>1263</v>
      </c>
      <c r="F313" t="s">
        <v>1264</v>
      </c>
      <c r="G313" t="s">
        <v>1214</v>
      </c>
      <c r="H313" t="s">
        <v>69</v>
      </c>
      <c r="I313" t="s">
        <v>1268</v>
      </c>
      <c r="J313" t="s">
        <v>1265</v>
      </c>
      <c r="K313" t="s">
        <v>1266</v>
      </c>
      <c r="L313" t="s">
        <v>52</v>
      </c>
      <c r="M313">
        <v>0</v>
      </c>
      <c r="N313">
        <v>855</v>
      </c>
      <c r="O313" t="s">
        <v>61</v>
      </c>
      <c r="P313">
        <v>100</v>
      </c>
      <c r="Q313" t="s">
        <v>52</v>
      </c>
      <c r="R313" t="s">
        <v>52</v>
      </c>
      <c r="S313" t="s">
        <v>52</v>
      </c>
      <c r="T313" t="s">
        <v>52</v>
      </c>
      <c r="U313" t="s">
        <v>52</v>
      </c>
      <c r="V313" t="s">
        <v>62</v>
      </c>
      <c r="W313" t="s">
        <v>52</v>
      </c>
      <c r="Y313" t="s">
        <v>1269</v>
      </c>
      <c r="Z313" t="s">
        <v>62</v>
      </c>
      <c r="AB313" t="s">
        <v>1273</v>
      </c>
      <c r="AE313" t="s">
        <v>1274</v>
      </c>
      <c r="AF313" t="s">
        <v>52</v>
      </c>
      <c r="AH313">
        <v>0</v>
      </c>
      <c r="AI313">
        <v>0</v>
      </c>
      <c r="AJ313" t="s">
        <v>52</v>
      </c>
      <c r="AK313">
        <v>0</v>
      </c>
      <c r="AL313" t="s">
        <v>52</v>
      </c>
      <c r="AM313" t="s">
        <v>52</v>
      </c>
      <c r="AN313">
        <v>0</v>
      </c>
      <c r="AO313">
        <v>0</v>
      </c>
      <c r="AP313" t="s">
        <v>52</v>
      </c>
      <c r="AQ313" t="s">
        <v>52</v>
      </c>
      <c r="AR313" t="s">
        <v>62</v>
      </c>
      <c r="AS313" t="s">
        <v>52</v>
      </c>
      <c r="AT313" t="s">
        <v>74</v>
      </c>
      <c r="AU313" t="s">
        <v>64</v>
      </c>
      <c r="AV313" t="s">
        <v>62</v>
      </c>
      <c r="AW313" t="s">
        <v>65</v>
      </c>
      <c r="AX313" t="s">
        <v>66</v>
      </c>
      <c r="AY313" t="s">
        <v>76</v>
      </c>
    </row>
    <row r="314" spans="1:51" hidden="1" x14ac:dyDescent="0.25">
      <c r="A314">
        <v>202548</v>
      </c>
      <c r="B314" t="s">
        <v>1275</v>
      </c>
      <c r="C314" t="e">
        <f>VLOOKUP(A314,[1]Customer_payment_journal_line!$AL:$BO,30,0)</f>
        <v>#N/A</v>
      </c>
      <c r="D314" t="s">
        <v>159</v>
      </c>
      <c r="E314" t="s">
        <v>1276</v>
      </c>
      <c r="F314" t="s">
        <v>1277</v>
      </c>
      <c r="G314" t="s">
        <v>1214</v>
      </c>
      <c r="H314" t="s">
        <v>80</v>
      </c>
      <c r="I314" t="s">
        <v>1278</v>
      </c>
      <c r="J314" t="s">
        <v>1279</v>
      </c>
      <c r="K314" t="s">
        <v>1065</v>
      </c>
      <c r="L314" t="s">
        <v>52</v>
      </c>
      <c r="M314">
        <v>170</v>
      </c>
      <c r="N314">
        <v>0</v>
      </c>
      <c r="O314" t="s">
        <v>126</v>
      </c>
      <c r="P314">
        <v>5285</v>
      </c>
      <c r="Q314" t="s">
        <v>52</v>
      </c>
      <c r="R314" t="s">
        <v>52</v>
      </c>
      <c r="S314" t="s">
        <v>52</v>
      </c>
      <c r="T314" t="s">
        <v>52</v>
      </c>
      <c r="U314" t="s">
        <v>52</v>
      </c>
      <c r="V314" t="s">
        <v>62</v>
      </c>
      <c r="W314" t="s">
        <v>52</v>
      </c>
      <c r="Y314" t="s">
        <v>52</v>
      </c>
      <c r="AB314" t="s">
        <v>52</v>
      </c>
      <c r="AE314" t="s">
        <v>52</v>
      </c>
      <c r="AF314" t="s">
        <v>52</v>
      </c>
      <c r="AH314">
        <v>0</v>
      </c>
      <c r="AI314">
        <v>0</v>
      </c>
      <c r="AJ314" t="s">
        <v>52</v>
      </c>
      <c r="AK314">
        <v>0</v>
      </c>
      <c r="AL314" t="s">
        <v>52</v>
      </c>
      <c r="AM314" t="s">
        <v>52</v>
      </c>
      <c r="AN314">
        <v>0</v>
      </c>
      <c r="AO314">
        <v>0</v>
      </c>
      <c r="AP314" t="s">
        <v>52</v>
      </c>
      <c r="AQ314" t="s">
        <v>52</v>
      </c>
      <c r="AR314" t="s">
        <v>62</v>
      </c>
      <c r="AS314" t="s">
        <v>52</v>
      </c>
      <c r="AT314" t="s">
        <v>52</v>
      </c>
      <c r="AU314" t="s">
        <v>64</v>
      </c>
      <c r="AV314" t="s">
        <v>62</v>
      </c>
      <c r="AW314" t="s">
        <v>65</v>
      </c>
      <c r="AX314" t="s">
        <v>752</v>
      </c>
      <c r="AY314" t="s">
        <v>165</v>
      </c>
    </row>
    <row r="315" spans="1:51" hidden="1" x14ac:dyDescent="0.25">
      <c r="A315">
        <v>202548</v>
      </c>
      <c r="B315" t="s">
        <v>1280</v>
      </c>
      <c r="C315" t="e">
        <f>VLOOKUP(A315,[1]Customer_payment_journal_line!$AL:$BO,30,0)</f>
        <v>#N/A</v>
      </c>
      <c r="D315" t="s">
        <v>159</v>
      </c>
      <c r="E315" t="s">
        <v>1276</v>
      </c>
      <c r="F315" t="s">
        <v>1277</v>
      </c>
      <c r="G315" t="s">
        <v>1214</v>
      </c>
      <c r="H315" t="s">
        <v>69</v>
      </c>
      <c r="I315" t="s">
        <v>1281</v>
      </c>
      <c r="J315" t="s">
        <v>1279</v>
      </c>
      <c r="K315" t="s">
        <v>1065</v>
      </c>
      <c r="L315" t="s">
        <v>52</v>
      </c>
      <c r="M315">
        <v>0</v>
      </c>
      <c r="N315">
        <v>170</v>
      </c>
      <c r="O315" t="s">
        <v>126</v>
      </c>
      <c r="P315">
        <v>5285</v>
      </c>
      <c r="Q315" t="s">
        <v>52</v>
      </c>
      <c r="R315" t="s">
        <v>52</v>
      </c>
      <c r="S315" t="s">
        <v>52</v>
      </c>
      <c r="T315" t="s">
        <v>52</v>
      </c>
      <c r="U315" t="s">
        <v>52</v>
      </c>
      <c r="V315" t="s">
        <v>1071</v>
      </c>
      <c r="W315" t="s">
        <v>52</v>
      </c>
      <c r="Y315" t="s">
        <v>1282</v>
      </c>
      <c r="Z315" t="s">
        <v>62</v>
      </c>
      <c r="AB315" t="s">
        <v>52</v>
      </c>
      <c r="AE315" t="s">
        <v>52</v>
      </c>
      <c r="AF315" t="s">
        <v>52</v>
      </c>
      <c r="AH315">
        <v>0</v>
      </c>
      <c r="AI315">
        <v>0</v>
      </c>
      <c r="AJ315" t="s">
        <v>52</v>
      </c>
      <c r="AK315">
        <v>0</v>
      </c>
      <c r="AL315" t="s">
        <v>52</v>
      </c>
      <c r="AM315" t="s">
        <v>52</v>
      </c>
      <c r="AN315">
        <v>0</v>
      </c>
      <c r="AO315">
        <v>0</v>
      </c>
      <c r="AP315" t="s">
        <v>52</v>
      </c>
      <c r="AQ315" t="s">
        <v>52</v>
      </c>
      <c r="AR315" t="s">
        <v>62</v>
      </c>
      <c r="AS315" t="s">
        <v>52</v>
      </c>
      <c r="AT315" t="s">
        <v>21</v>
      </c>
      <c r="AU315" t="s">
        <v>64</v>
      </c>
      <c r="AV315" t="s">
        <v>62</v>
      </c>
      <c r="AW315" t="s">
        <v>65</v>
      </c>
      <c r="AX315" t="s">
        <v>752</v>
      </c>
      <c r="AY315" t="s">
        <v>165</v>
      </c>
    </row>
    <row r="316" spans="1:51" hidden="1" x14ac:dyDescent="0.25">
      <c r="A316">
        <v>405957</v>
      </c>
      <c r="B316" t="s">
        <v>1283</v>
      </c>
      <c r="C316" t="e">
        <f>VLOOKUP(A316,[1]Customer_payment_journal_line!$AL:$BO,30,0)</f>
        <v>#N/A</v>
      </c>
      <c r="D316" t="s">
        <v>159</v>
      </c>
      <c r="E316" t="s">
        <v>1284</v>
      </c>
      <c r="F316" t="s">
        <v>1285</v>
      </c>
      <c r="G316" t="s">
        <v>1214</v>
      </c>
      <c r="H316" t="s">
        <v>80</v>
      </c>
      <c r="I316" t="s">
        <v>1233</v>
      </c>
      <c r="J316" t="s">
        <v>1286</v>
      </c>
      <c r="K316" t="s">
        <v>1287</v>
      </c>
      <c r="L316" t="s">
        <v>52</v>
      </c>
      <c r="M316">
        <v>275</v>
      </c>
      <c r="N316">
        <v>0</v>
      </c>
      <c r="O316" t="s">
        <v>178</v>
      </c>
      <c r="P316">
        <v>5085</v>
      </c>
      <c r="Q316" t="s">
        <v>52</v>
      </c>
      <c r="R316" t="s">
        <v>52</v>
      </c>
      <c r="S316" t="s">
        <v>52</v>
      </c>
      <c r="T316" t="s">
        <v>52</v>
      </c>
      <c r="U316" t="s">
        <v>52</v>
      </c>
      <c r="V316" t="s">
        <v>62</v>
      </c>
      <c r="W316" t="s">
        <v>52</v>
      </c>
      <c r="Y316" t="s">
        <v>52</v>
      </c>
      <c r="AB316" t="s">
        <v>52</v>
      </c>
      <c r="AE316" t="s">
        <v>52</v>
      </c>
      <c r="AF316" t="s">
        <v>52</v>
      </c>
      <c r="AH316">
        <v>0</v>
      </c>
      <c r="AI316">
        <v>0</v>
      </c>
      <c r="AJ316" t="s">
        <v>52</v>
      </c>
      <c r="AK316">
        <v>0</v>
      </c>
      <c r="AL316" t="s">
        <v>52</v>
      </c>
      <c r="AM316" t="s">
        <v>52</v>
      </c>
      <c r="AN316">
        <v>0</v>
      </c>
      <c r="AO316">
        <v>0</v>
      </c>
      <c r="AP316" t="s">
        <v>52</v>
      </c>
      <c r="AQ316" t="s">
        <v>52</v>
      </c>
      <c r="AR316" t="s">
        <v>62</v>
      </c>
      <c r="AS316" t="s">
        <v>52</v>
      </c>
      <c r="AT316" t="s">
        <v>52</v>
      </c>
      <c r="AU316" t="s">
        <v>64</v>
      </c>
      <c r="AV316" t="s">
        <v>62</v>
      </c>
      <c r="AW316" t="s">
        <v>65</v>
      </c>
      <c r="AX316" t="s">
        <v>66</v>
      </c>
      <c r="AY316" t="s">
        <v>165</v>
      </c>
    </row>
    <row r="317" spans="1:51" hidden="1" x14ac:dyDescent="0.25">
      <c r="A317">
        <v>405957</v>
      </c>
      <c r="B317" t="s">
        <v>1288</v>
      </c>
      <c r="C317" t="e">
        <f>VLOOKUP(A317,[1]Customer_payment_journal_line!$AL:$BO,30,0)</f>
        <v>#N/A</v>
      </c>
      <c r="D317" t="s">
        <v>159</v>
      </c>
      <c r="E317" t="s">
        <v>1284</v>
      </c>
      <c r="F317" t="s">
        <v>1285</v>
      </c>
      <c r="G317" t="s">
        <v>1214</v>
      </c>
      <c r="H317" t="s">
        <v>69</v>
      </c>
      <c r="I317" t="s">
        <v>1289</v>
      </c>
      <c r="J317" t="s">
        <v>1286</v>
      </c>
      <c r="K317" t="s">
        <v>1287</v>
      </c>
      <c r="L317" t="s">
        <v>52</v>
      </c>
      <c r="M317">
        <v>0</v>
      </c>
      <c r="N317">
        <v>275</v>
      </c>
      <c r="O317" t="s">
        <v>178</v>
      </c>
      <c r="P317">
        <v>5085</v>
      </c>
      <c r="Q317" t="s">
        <v>52</v>
      </c>
      <c r="R317" t="s">
        <v>52</v>
      </c>
      <c r="S317" t="s">
        <v>52</v>
      </c>
      <c r="T317" t="s">
        <v>52</v>
      </c>
      <c r="U317" t="s">
        <v>52</v>
      </c>
      <c r="V317" t="s">
        <v>62</v>
      </c>
      <c r="W317" t="s">
        <v>52</v>
      </c>
      <c r="Y317" t="s">
        <v>1290</v>
      </c>
      <c r="Z317" t="s">
        <v>62</v>
      </c>
      <c r="AB317" t="s">
        <v>1291</v>
      </c>
      <c r="AE317" t="s">
        <v>1292</v>
      </c>
      <c r="AF317" t="s">
        <v>52</v>
      </c>
      <c r="AH317">
        <v>0</v>
      </c>
      <c r="AI317">
        <v>0</v>
      </c>
      <c r="AJ317" t="s">
        <v>52</v>
      </c>
      <c r="AK317">
        <v>0</v>
      </c>
      <c r="AL317" t="s">
        <v>52</v>
      </c>
      <c r="AM317" t="s">
        <v>52</v>
      </c>
      <c r="AN317">
        <v>0</v>
      </c>
      <c r="AO317">
        <v>0</v>
      </c>
      <c r="AP317" t="s">
        <v>52</v>
      </c>
      <c r="AQ317" t="s">
        <v>52</v>
      </c>
      <c r="AR317" t="s">
        <v>62</v>
      </c>
      <c r="AS317" t="s">
        <v>52</v>
      </c>
      <c r="AT317" t="s">
        <v>74</v>
      </c>
      <c r="AU317" t="s">
        <v>64</v>
      </c>
      <c r="AV317" t="s">
        <v>62</v>
      </c>
      <c r="AW317" t="s">
        <v>65</v>
      </c>
      <c r="AX317" t="s">
        <v>66</v>
      </c>
      <c r="AY317" t="s">
        <v>165</v>
      </c>
    </row>
    <row r="318" spans="1:51" hidden="1" x14ac:dyDescent="0.25">
      <c r="A318">
        <v>202486</v>
      </c>
      <c r="B318" t="s">
        <v>1293</v>
      </c>
      <c r="C318" t="e">
        <f>VLOOKUP(A318,[1]Customer_payment_journal_line!$AL:$BO,30,0)</f>
        <v>#N/A</v>
      </c>
      <c r="D318" t="s">
        <v>53</v>
      </c>
      <c r="E318" t="s">
        <v>1294</v>
      </c>
      <c r="F318" t="s">
        <v>1295</v>
      </c>
      <c r="G318" t="s">
        <v>1214</v>
      </c>
      <c r="H318" t="s">
        <v>57</v>
      </c>
      <c r="I318" t="s">
        <v>319</v>
      </c>
      <c r="J318" t="s">
        <v>1296</v>
      </c>
      <c r="K318" t="s">
        <v>1297</v>
      </c>
      <c r="L318" t="s">
        <v>52</v>
      </c>
      <c r="M318">
        <v>8721</v>
      </c>
      <c r="N318">
        <v>0</v>
      </c>
      <c r="O318" t="s">
        <v>61</v>
      </c>
      <c r="P318">
        <v>100</v>
      </c>
      <c r="Q318" t="s">
        <v>52</v>
      </c>
      <c r="R318" t="s">
        <v>52</v>
      </c>
      <c r="S318" t="s">
        <v>52</v>
      </c>
      <c r="T318" t="s">
        <v>52</v>
      </c>
      <c r="U318" t="s">
        <v>52</v>
      </c>
      <c r="V318" t="s">
        <v>62</v>
      </c>
      <c r="W318" t="s">
        <v>63</v>
      </c>
      <c r="Y318" t="s">
        <v>52</v>
      </c>
      <c r="AB318" t="s">
        <v>52</v>
      </c>
      <c r="AE318" t="s">
        <v>52</v>
      </c>
      <c r="AF318" t="s">
        <v>52</v>
      </c>
      <c r="AH318">
        <v>0</v>
      </c>
      <c r="AI318">
        <v>0</v>
      </c>
      <c r="AJ318" t="s">
        <v>52</v>
      </c>
      <c r="AK318">
        <v>0</v>
      </c>
      <c r="AL318" t="s">
        <v>52</v>
      </c>
      <c r="AM318" t="s">
        <v>52</v>
      </c>
      <c r="AN318">
        <v>0</v>
      </c>
      <c r="AO318">
        <v>0</v>
      </c>
      <c r="AP318" t="s">
        <v>52</v>
      </c>
      <c r="AQ318" t="s">
        <v>52</v>
      </c>
      <c r="AR318" t="s">
        <v>62</v>
      </c>
      <c r="AS318" t="s">
        <v>52</v>
      </c>
      <c r="AT318" t="s">
        <v>52</v>
      </c>
      <c r="AU318" t="s">
        <v>64</v>
      </c>
      <c r="AV318" t="s">
        <v>62</v>
      </c>
      <c r="AW318" t="s">
        <v>65</v>
      </c>
      <c r="AX318" t="s">
        <v>66</v>
      </c>
      <c r="AY318" t="s">
        <v>67</v>
      </c>
    </row>
    <row r="319" spans="1:51" hidden="1" x14ac:dyDescent="0.25">
      <c r="A319">
        <v>202486</v>
      </c>
      <c r="B319" t="s">
        <v>1298</v>
      </c>
      <c r="C319" t="e">
        <f>VLOOKUP(A319,[1]Customer_payment_journal_line!$AL:$BO,30,0)</f>
        <v>#N/A</v>
      </c>
      <c r="D319" t="s">
        <v>53</v>
      </c>
      <c r="E319" t="s">
        <v>1294</v>
      </c>
      <c r="F319" t="s">
        <v>1295</v>
      </c>
      <c r="G319" t="s">
        <v>1214</v>
      </c>
      <c r="H319" t="s">
        <v>69</v>
      </c>
      <c r="I319" t="s">
        <v>1299</v>
      </c>
      <c r="J319" t="s">
        <v>1296</v>
      </c>
      <c r="K319" t="s">
        <v>1297</v>
      </c>
      <c r="L319" t="s">
        <v>52</v>
      </c>
      <c r="M319">
        <v>0</v>
      </c>
      <c r="N319">
        <v>8721</v>
      </c>
      <c r="O319" t="s">
        <v>61</v>
      </c>
      <c r="P319">
        <v>100</v>
      </c>
      <c r="Q319" t="s">
        <v>52</v>
      </c>
      <c r="R319" t="s">
        <v>52</v>
      </c>
      <c r="S319" t="s">
        <v>52</v>
      </c>
      <c r="T319" t="s">
        <v>52</v>
      </c>
      <c r="U319" t="s">
        <v>52</v>
      </c>
      <c r="V319" t="s">
        <v>62</v>
      </c>
      <c r="W319" t="s">
        <v>52</v>
      </c>
      <c r="Y319" t="s">
        <v>1300</v>
      </c>
      <c r="Z319" t="s">
        <v>62</v>
      </c>
      <c r="AB319" t="s">
        <v>1301</v>
      </c>
      <c r="AE319" t="s">
        <v>1302</v>
      </c>
      <c r="AF319" t="s">
        <v>52</v>
      </c>
      <c r="AH319">
        <v>0</v>
      </c>
      <c r="AI319">
        <v>0</v>
      </c>
      <c r="AJ319" t="s">
        <v>52</v>
      </c>
      <c r="AK319">
        <v>0</v>
      </c>
      <c r="AL319" t="s">
        <v>52</v>
      </c>
      <c r="AM319" t="s">
        <v>52</v>
      </c>
      <c r="AN319">
        <v>0</v>
      </c>
      <c r="AO319">
        <v>0</v>
      </c>
      <c r="AP319" t="s">
        <v>52</v>
      </c>
      <c r="AQ319" t="s">
        <v>52</v>
      </c>
      <c r="AR319" t="s">
        <v>62</v>
      </c>
      <c r="AS319" t="s">
        <v>52</v>
      </c>
      <c r="AT319" t="s">
        <v>74</v>
      </c>
      <c r="AU319" t="s">
        <v>64</v>
      </c>
      <c r="AV319" t="s">
        <v>62</v>
      </c>
      <c r="AW319" t="s">
        <v>65</v>
      </c>
      <c r="AX319" t="s">
        <v>66</v>
      </c>
      <c r="AY319" t="s">
        <v>67</v>
      </c>
    </row>
    <row r="320" spans="1:51" hidden="1" x14ac:dyDescent="0.25">
      <c r="A320">
        <v>202487</v>
      </c>
      <c r="B320" t="s">
        <v>1303</v>
      </c>
      <c r="C320" t="e">
        <f>VLOOKUP(A320,[1]Customer_payment_journal_line!$AL:$BO,30,0)</f>
        <v>#N/A</v>
      </c>
      <c r="D320" t="s">
        <v>53</v>
      </c>
      <c r="E320" t="s">
        <v>1304</v>
      </c>
      <c r="F320" t="s">
        <v>1305</v>
      </c>
      <c r="G320" t="s">
        <v>1214</v>
      </c>
      <c r="H320" t="s">
        <v>57</v>
      </c>
      <c r="I320" t="s">
        <v>319</v>
      </c>
      <c r="J320" t="s">
        <v>1296</v>
      </c>
      <c r="K320" t="s">
        <v>1297</v>
      </c>
      <c r="L320" t="s">
        <v>52</v>
      </c>
      <c r="M320">
        <v>855</v>
      </c>
      <c r="N320">
        <v>0</v>
      </c>
      <c r="O320" t="s">
        <v>61</v>
      </c>
      <c r="P320">
        <v>100</v>
      </c>
      <c r="Q320" t="s">
        <v>52</v>
      </c>
      <c r="R320" t="s">
        <v>52</v>
      </c>
      <c r="S320" t="s">
        <v>52</v>
      </c>
      <c r="T320" t="s">
        <v>52</v>
      </c>
      <c r="U320" t="s">
        <v>52</v>
      </c>
      <c r="V320" t="s">
        <v>62</v>
      </c>
      <c r="W320" t="s">
        <v>63</v>
      </c>
      <c r="Y320" t="s">
        <v>52</v>
      </c>
      <c r="AB320" t="s">
        <v>52</v>
      </c>
      <c r="AE320" t="s">
        <v>52</v>
      </c>
      <c r="AF320" t="s">
        <v>52</v>
      </c>
      <c r="AH320">
        <v>0</v>
      </c>
      <c r="AI320">
        <v>0</v>
      </c>
      <c r="AJ320" t="s">
        <v>52</v>
      </c>
      <c r="AK320">
        <v>0</v>
      </c>
      <c r="AL320" t="s">
        <v>52</v>
      </c>
      <c r="AM320" t="s">
        <v>52</v>
      </c>
      <c r="AN320">
        <v>0</v>
      </c>
      <c r="AO320">
        <v>0</v>
      </c>
      <c r="AP320" t="s">
        <v>52</v>
      </c>
      <c r="AQ320" t="s">
        <v>52</v>
      </c>
      <c r="AR320" t="s">
        <v>62</v>
      </c>
      <c r="AS320" t="s">
        <v>52</v>
      </c>
      <c r="AT320" t="s">
        <v>52</v>
      </c>
      <c r="AU320" t="s">
        <v>64</v>
      </c>
      <c r="AV320" t="s">
        <v>62</v>
      </c>
      <c r="AW320" t="s">
        <v>65</v>
      </c>
      <c r="AX320" t="s">
        <v>66</v>
      </c>
      <c r="AY320" t="s">
        <v>67</v>
      </c>
    </row>
    <row r="321" spans="1:51" hidden="1" x14ac:dyDescent="0.25">
      <c r="A321">
        <v>202487</v>
      </c>
      <c r="B321" t="s">
        <v>1306</v>
      </c>
      <c r="C321" t="e">
        <f>VLOOKUP(A321,[1]Customer_payment_journal_line!$AL:$BO,30,0)</f>
        <v>#N/A</v>
      </c>
      <c r="D321" t="s">
        <v>53</v>
      </c>
      <c r="E321" t="s">
        <v>1304</v>
      </c>
      <c r="F321" t="s">
        <v>1305</v>
      </c>
      <c r="G321" t="s">
        <v>1214</v>
      </c>
      <c r="H321" t="s">
        <v>69</v>
      </c>
      <c r="I321" t="s">
        <v>1299</v>
      </c>
      <c r="J321" t="s">
        <v>1296</v>
      </c>
      <c r="K321" t="s">
        <v>1297</v>
      </c>
      <c r="L321" t="s">
        <v>52</v>
      </c>
      <c r="M321">
        <v>0</v>
      </c>
      <c r="N321">
        <v>855</v>
      </c>
      <c r="O321" t="s">
        <v>61</v>
      </c>
      <c r="P321">
        <v>100</v>
      </c>
      <c r="Q321" t="s">
        <v>52</v>
      </c>
      <c r="R321" t="s">
        <v>52</v>
      </c>
      <c r="S321" t="s">
        <v>52</v>
      </c>
      <c r="T321" t="s">
        <v>52</v>
      </c>
      <c r="U321" t="s">
        <v>52</v>
      </c>
      <c r="V321" t="s">
        <v>62</v>
      </c>
      <c r="W321" t="s">
        <v>52</v>
      </c>
      <c r="Y321" t="s">
        <v>1300</v>
      </c>
      <c r="Z321" t="s">
        <v>62</v>
      </c>
      <c r="AB321" t="s">
        <v>1307</v>
      </c>
      <c r="AE321" t="s">
        <v>1308</v>
      </c>
      <c r="AF321" t="s">
        <v>52</v>
      </c>
      <c r="AH321">
        <v>0</v>
      </c>
      <c r="AI321">
        <v>0</v>
      </c>
      <c r="AJ321" t="s">
        <v>52</v>
      </c>
      <c r="AK321">
        <v>0</v>
      </c>
      <c r="AL321" t="s">
        <v>52</v>
      </c>
      <c r="AM321" t="s">
        <v>52</v>
      </c>
      <c r="AN321">
        <v>0</v>
      </c>
      <c r="AO321">
        <v>0</v>
      </c>
      <c r="AP321" t="s">
        <v>52</v>
      </c>
      <c r="AQ321" t="s">
        <v>52</v>
      </c>
      <c r="AR321" t="s">
        <v>62</v>
      </c>
      <c r="AS321" t="s">
        <v>52</v>
      </c>
      <c r="AT321" t="s">
        <v>74</v>
      </c>
      <c r="AU321" t="s">
        <v>64</v>
      </c>
      <c r="AV321" t="s">
        <v>62</v>
      </c>
      <c r="AW321" t="s">
        <v>65</v>
      </c>
      <c r="AX321" t="s">
        <v>66</v>
      </c>
      <c r="AY321" t="s">
        <v>67</v>
      </c>
    </row>
    <row r="322" spans="1:51" hidden="1" x14ac:dyDescent="0.25">
      <c r="A322">
        <v>202496</v>
      </c>
      <c r="B322" t="s">
        <v>1309</v>
      </c>
      <c r="C322" t="e">
        <f>VLOOKUP(A322,[1]Customer_payment_journal_line!$AL:$BO,30,0)</f>
        <v>#N/A</v>
      </c>
      <c r="D322" t="s">
        <v>53</v>
      </c>
      <c r="E322" t="s">
        <v>1310</v>
      </c>
      <c r="F322" t="s">
        <v>1311</v>
      </c>
      <c r="G322" t="s">
        <v>1214</v>
      </c>
      <c r="H322" t="s">
        <v>57</v>
      </c>
      <c r="I322" t="s">
        <v>319</v>
      </c>
      <c r="J322" t="s">
        <v>1312</v>
      </c>
      <c r="K322" t="s">
        <v>1297</v>
      </c>
      <c r="L322" t="s">
        <v>52</v>
      </c>
      <c r="M322">
        <v>10362.6</v>
      </c>
      <c r="N322">
        <v>0</v>
      </c>
      <c r="O322" t="s">
        <v>61</v>
      </c>
      <c r="P322">
        <v>100</v>
      </c>
      <c r="Q322" t="s">
        <v>52</v>
      </c>
      <c r="R322" t="s">
        <v>52</v>
      </c>
      <c r="S322" t="s">
        <v>52</v>
      </c>
      <c r="T322" t="s">
        <v>52</v>
      </c>
      <c r="U322" t="s">
        <v>52</v>
      </c>
      <c r="V322" t="s">
        <v>62</v>
      </c>
      <c r="W322" t="s">
        <v>63</v>
      </c>
      <c r="Y322" t="s">
        <v>52</v>
      </c>
      <c r="AB322" t="s">
        <v>52</v>
      </c>
      <c r="AE322" t="s">
        <v>52</v>
      </c>
      <c r="AF322" t="s">
        <v>52</v>
      </c>
      <c r="AH322">
        <v>0</v>
      </c>
      <c r="AI322">
        <v>0</v>
      </c>
      <c r="AJ322" t="s">
        <v>52</v>
      </c>
      <c r="AK322">
        <v>0</v>
      </c>
      <c r="AL322" t="s">
        <v>52</v>
      </c>
      <c r="AM322" t="s">
        <v>52</v>
      </c>
      <c r="AN322">
        <v>0</v>
      </c>
      <c r="AO322">
        <v>0</v>
      </c>
      <c r="AP322" t="s">
        <v>52</v>
      </c>
      <c r="AQ322" t="s">
        <v>52</v>
      </c>
      <c r="AR322" t="s">
        <v>62</v>
      </c>
      <c r="AS322" t="s">
        <v>52</v>
      </c>
      <c r="AT322" t="s">
        <v>52</v>
      </c>
      <c r="AU322" t="s">
        <v>64</v>
      </c>
      <c r="AV322" t="s">
        <v>62</v>
      </c>
      <c r="AW322" t="s">
        <v>65</v>
      </c>
      <c r="AX322" t="s">
        <v>66</v>
      </c>
      <c r="AY322" t="s">
        <v>67</v>
      </c>
    </row>
    <row r="323" spans="1:51" hidden="1" x14ac:dyDescent="0.25">
      <c r="A323">
        <v>202496</v>
      </c>
      <c r="B323" t="s">
        <v>1313</v>
      </c>
      <c r="C323" t="e">
        <f>VLOOKUP(A323,[1]Customer_payment_journal_line!$AL:$BO,30,0)</f>
        <v>#N/A</v>
      </c>
      <c r="D323" t="s">
        <v>53</v>
      </c>
      <c r="E323" t="s">
        <v>1310</v>
      </c>
      <c r="F323" t="s">
        <v>1311</v>
      </c>
      <c r="G323" t="s">
        <v>1214</v>
      </c>
      <c r="H323" t="s">
        <v>69</v>
      </c>
      <c r="I323" t="s">
        <v>1299</v>
      </c>
      <c r="J323" t="s">
        <v>1312</v>
      </c>
      <c r="K323" t="s">
        <v>1297</v>
      </c>
      <c r="L323" t="s">
        <v>52</v>
      </c>
      <c r="M323">
        <v>0</v>
      </c>
      <c r="N323">
        <v>10362.6</v>
      </c>
      <c r="O323" t="s">
        <v>61</v>
      </c>
      <c r="P323">
        <v>100</v>
      </c>
      <c r="Q323" t="s">
        <v>52</v>
      </c>
      <c r="R323" t="s">
        <v>52</v>
      </c>
      <c r="S323" t="s">
        <v>52</v>
      </c>
      <c r="T323" t="s">
        <v>52</v>
      </c>
      <c r="U323" t="s">
        <v>52</v>
      </c>
      <c r="V323" t="s">
        <v>62</v>
      </c>
      <c r="W323" t="s">
        <v>52</v>
      </c>
      <c r="Y323" t="s">
        <v>1300</v>
      </c>
      <c r="Z323" t="s">
        <v>62</v>
      </c>
      <c r="AB323" t="s">
        <v>1314</v>
      </c>
      <c r="AE323" t="s">
        <v>1315</v>
      </c>
      <c r="AF323" t="s">
        <v>52</v>
      </c>
      <c r="AH323">
        <v>0</v>
      </c>
      <c r="AI323">
        <v>0</v>
      </c>
      <c r="AJ323" t="s">
        <v>52</v>
      </c>
      <c r="AK323">
        <v>0</v>
      </c>
      <c r="AL323" t="s">
        <v>52</v>
      </c>
      <c r="AM323" t="s">
        <v>52</v>
      </c>
      <c r="AN323">
        <v>0</v>
      </c>
      <c r="AO323">
        <v>0</v>
      </c>
      <c r="AP323" t="s">
        <v>52</v>
      </c>
      <c r="AQ323" t="s">
        <v>52</v>
      </c>
      <c r="AR323" t="s">
        <v>62</v>
      </c>
      <c r="AS323" t="s">
        <v>52</v>
      </c>
      <c r="AT323" t="s">
        <v>74</v>
      </c>
      <c r="AU323" t="s">
        <v>64</v>
      </c>
      <c r="AV323" t="s">
        <v>62</v>
      </c>
      <c r="AW323" t="s">
        <v>65</v>
      </c>
      <c r="AX323" t="s">
        <v>66</v>
      </c>
      <c r="AY323" t="s">
        <v>67</v>
      </c>
    </row>
    <row r="324" spans="1:51" hidden="1" x14ac:dyDescent="0.25">
      <c r="A324">
        <v>202497</v>
      </c>
      <c r="B324" t="s">
        <v>1316</v>
      </c>
      <c r="C324" t="e">
        <f>VLOOKUP(A324,[1]Customer_payment_journal_line!$AL:$BO,30,0)</f>
        <v>#N/A</v>
      </c>
      <c r="D324" t="s">
        <v>53</v>
      </c>
      <c r="E324" t="s">
        <v>1317</v>
      </c>
      <c r="F324" t="s">
        <v>1318</v>
      </c>
      <c r="G324" t="s">
        <v>1214</v>
      </c>
      <c r="H324" t="s">
        <v>57</v>
      </c>
      <c r="I324" t="s">
        <v>319</v>
      </c>
      <c r="J324" t="s">
        <v>1319</v>
      </c>
      <c r="K324" t="s">
        <v>1297</v>
      </c>
      <c r="L324" t="s">
        <v>52</v>
      </c>
      <c r="M324">
        <v>2000.7</v>
      </c>
      <c r="N324">
        <v>0</v>
      </c>
      <c r="O324" t="s">
        <v>61</v>
      </c>
      <c r="P324">
        <v>100</v>
      </c>
      <c r="Q324" t="s">
        <v>52</v>
      </c>
      <c r="R324" t="s">
        <v>52</v>
      </c>
      <c r="S324" t="s">
        <v>52</v>
      </c>
      <c r="T324" t="s">
        <v>52</v>
      </c>
      <c r="U324" t="s">
        <v>52</v>
      </c>
      <c r="V324" t="s">
        <v>62</v>
      </c>
      <c r="W324" t="s">
        <v>63</v>
      </c>
      <c r="Y324" t="s">
        <v>52</v>
      </c>
      <c r="AB324" t="s">
        <v>52</v>
      </c>
      <c r="AE324" t="s">
        <v>52</v>
      </c>
      <c r="AF324" t="s">
        <v>52</v>
      </c>
      <c r="AH324">
        <v>0</v>
      </c>
      <c r="AI324">
        <v>0</v>
      </c>
      <c r="AJ324" t="s">
        <v>52</v>
      </c>
      <c r="AK324">
        <v>0</v>
      </c>
      <c r="AL324" t="s">
        <v>52</v>
      </c>
      <c r="AM324" t="s">
        <v>52</v>
      </c>
      <c r="AN324">
        <v>0</v>
      </c>
      <c r="AO324">
        <v>0</v>
      </c>
      <c r="AP324" t="s">
        <v>52</v>
      </c>
      <c r="AQ324" t="s">
        <v>52</v>
      </c>
      <c r="AR324" t="s">
        <v>62</v>
      </c>
      <c r="AS324" t="s">
        <v>52</v>
      </c>
      <c r="AT324" t="s">
        <v>52</v>
      </c>
      <c r="AU324" t="s">
        <v>64</v>
      </c>
      <c r="AV324" t="s">
        <v>62</v>
      </c>
      <c r="AW324" t="s">
        <v>65</v>
      </c>
      <c r="AX324" t="s">
        <v>66</v>
      </c>
      <c r="AY324" t="s">
        <v>67</v>
      </c>
    </row>
    <row r="325" spans="1:51" hidden="1" x14ac:dyDescent="0.25">
      <c r="A325">
        <v>202497</v>
      </c>
      <c r="B325" t="s">
        <v>1320</v>
      </c>
      <c r="C325" t="e">
        <f>VLOOKUP(A325,[1]Customer_payment_journal_line!$AL:$BO,30,0)</f>
        <v>#N/A</v>
      </c>
      <c r="D325" t="s">
        <v>53</v>
      </c>
      <c r="E325" t="s">
        <v>1317</v>
      </c>
      <c r="F325" t="s">
        <v>1318</v>
      </c>
      <c r="G325" t="s">
        <v>1214</v>
      </c>
      <c r="H325" t="s">
        <v>69</v>
      </c>
      <c r="I325" t="s">
        <v>1299</v>
      </c>
      <c r="J325" t="s">
        <v>1319</v>
      </c>
      <c r="K325" t="s">
        <v>1297</v>
      </c>
      <c r="L325" t="s">
        <v>52</v>
      </c>
      <c r="M325">
        <v>0</v>
      </c>
      <c r="N325">
        <v>2000.7</v>
      </c>
      <c r="O325" t="s">
        <v>61</v>
      </c>
      <c r="P325">
        <v>100</v>
      </c>
      <c r="Q325" t="s">
        <v>52</v>
      </c>
      <c r="R325" t="s">
        <v>52</v>
      </c>
      <c r="S325" t="s">
        <v>52</v>
      </c>
      <c r="T325" t="s">
        <v>52</v>
      </c>
      <c r="U325" t="s">
        <v>52</v>
      </c>
      <c r="V325" t="s">
        <v>62</v>
      </c>
      <c r="W325" t="s">
        <v>52</v>
      </c>
      <c r="Y325" t="s">
        <v>1300</v>
      </c>
      <c r="Z325" t="s">
        <v>62</v>
      </c>
      <c r="AB325" t="s">
        <v>1321</v>
      </c>
      <c r="AE325" t="s">
        <v>1322</v>
      </c>
      <c r="AF325" t="s">
        <v>52</v>
      </c>
      <c r="AH325">
        <v>0</v>
      </c>
      <c r="AI325">
        <v>0</v>
      </c>
      <c r="AJ325" t="s">
        <v>52</v>
      </c>
      <c r="AK325">
        <v>0</v>
      </c>
      <c r="AL325" t="s">
        <v>52</v>
      </c>
      <c r="AM325" t="s">
        <v>52</v>
      </c>
      <c r="AN325">
        <v>0</v>
      </c>
      <c r="AO325">
        <v>0</v>
      </c>
      <c r="AP325" t="s">
        <v>52</v>
      </c>
      <c r="AQ325" t="s">
        <v>52</v>
      </c>
      <c r="AR325" t="s">
        <v>62</v>
      </c>
      <c r="AS325" t="s">
        <v>52</v>
      </c>
      <c r="AT325" t="s">
        <v>74</v>
      </c>
      <c r="AU325" t="s">
        <v>64</v>
      </c>
      <c r="AV325" t="s">
        <v>62</v>
      </c>
      <c r="AW325" t="s">
        <v>65</v>
      </c>
      <c r="AX325" t="s">
        <v>66</v>
      </c>
      <c r="AY325" t="s">
        <v>67</v>
      </c>
    </row>
    <row r="326" spans="1:51" hidden="1" x14ac:dyDescent="0.25">
      <c r="A326">
        <v>202503</v>
      </c>
      <c r="B326" t="s">
        <v>1323</v>
      </c>
      <c r="C326" t="e">
        <f>VLOOKUP(A326,[1]Customer_payment_journal_line!$AL:$BO,30,0)</f>
        <v>#N/A</v>
      </c>
      <c r="D326" t="s">
        <v>159</v>
      </c>
      <c r="E326" t="s">
        <v>1324</v>
      </c>
      <c r="F326" t="s">
        <v>1325</v>
      </c>
      <c r="G326" t="s">
        <v>1214</v>
      </c>
      <c r="H326" t="s">
        <v>80</v>
      </c>
      <c r="I326" t="s">
        <v>1326</v>
      </c>
      <c r="J326" t="s">
        <v>1327</v>
      </c>
      <c r="K326" t="s">
        <v>1328</v>
      </c>
      <c r="L326" t="s">
        <v>52</v>
      </c>
      <c r="M326">
        <v>16800</v>
      </c>
      <c r="N326">
        <v>0</v>
      </c>
      <c r="O326" t="s">
        <v>61</v>
      </c>
      <c r="P326">
        <v>100</v>
      </c>
      <c r="Q326" t="s">
        <v>52</v>
      </c>
      <c r="R326" t="s">
        <v>52</v>
      </c>
      <c r="S326" t="s">
        <v>52</v>
      </c>
      <c r="T326" t="s">
        <v>52</v>
      </c>
      <c r="U326" t="s">
        <v>52</v>
      </c>
      <c r="V326" t="s">
        <v>62</v>
      </c>
      <c r="W326" t="s">
        <v>52</v>
      </c>
      <c r="Y326" t="s">
        <v>52</v>
      </c>
      <c r="AB326" t="s">
        <v>52</v>
      </c>
      <c r="AE326" t="s">
        <v>52</v>
      </c>
      <c r="AF326" t="s">
        <v>52</v>
      </c>
      <c r="AH326">
        <v>0</v>
      </c>
      <c r="AI326">
        <v>0</v>
      </c>
      <c r="AJ326" t="s">
        <v>52</v>
      </c>
      <c r="AK326">
        <v>0</v>
      </c>
      <c r="AL326" t="s">
        <v>52</v>
      </c>
      <c r="AM326" t="s">
        <v>52</v>
      </c>
      <c r="AN326">
        <v>0</v>
      </c>
      <c r="AO326">
        <v>0</v>
      </c>
      <c r="AP326" t="s">
        <v>52</v>
      </c>
      <c r="AQ326" t="s">
        <v>52</v>
      </c>
      <c r="AR326" t="s">
        <v>62</v>
      </c>
      <c r="AS326" t="s">
        <v>52</v>
      </c>
      <c r="AT326" t="s">
        <v>52</v>
      </c>
      <c r="AU326" t="s">
        <v>64</v>
      </c>
      <c r="AV326" t="s">
        <v>62</v>
      </c>
      <c r="AW326" t="s">
        <v>65</v>
      </c>
      <c r="AX326" t="s">
        <v>66</v>
      </c>
      <c r="AY326" t="s">
        <v>165</v>
      </c>
    </row>
    <row r="327" spans="1:51" hidden="1" x14ac:dyDescent="0.25">
      <c r="A327">
        <v>202503</v>
      </c>
      <c r="B327" t="s">
        <v>1329</v>
      </c>
      <c r="C327" t="e">
        <f>VLOOKUP(A327,[1]Customer_payment_journal_line!$AL:$BO,30,0)</f>
        <v>#N/A</v>
      </c>
      <c r="D327" t="s">
        <v>159</v>
      </c>
      <c r="E327" t="s">
        <v>1324</v>
      </c>
      <c r="F327" t="s">
        <v>1325</v>
      </c>
      <c r="G327" t="s">
        <v>1214</v>
      </c>
      <c r="H327" t="s">
        <v>69</v>
      </c>
      <c r="I327" t="s">
        <v>1330</v>
      </c>
      <c r="J327" t="s">
        <v>1327</v>
      </c>
      <c r="K327" t="s">
        <v>1328</v>
      </c>
      <c r="L327" t="s">
        <v>52</v>
      </c>
      <c r="M327">
        <v>0</v>
      </c>
      <c r="N327">
        <v>16800</v>
      </c>
      <c r="O327" t="s">
        <v>61</v>
      </c>
      <c r="P327">
        <v>100</v>
      </c>
      <c r="Q327" t="s">
        <v>52</v>
      </c>
      <c r="R327" t="s">
        <v>52</v>
      </c>
      <c r="S327" t="s">
        <v>52</v>
      </c>
      <c r="T327" t="s">
        <v>52</v>
      </c>
      <c r="U327" t="s">
        <v>52</v>
      </c>
      <c r="V327" t="s">
        <v>62</v>
      </c>
      <c r="W327" t="s">
        <v>52</v>
      </c>
      <c r="Y327" t="s">
        <v>1331</v>
      </c>
      <c r="Z327" t="s">
        <v>62</v>
      </c>
      <c r="AB327" t="s">
        <v>1332</v>
      </c>
      <c r="AE327" t="s">
        <v>1333</v>
      </c>
      <c r="AF327" t="s">
        <v>52</v>
      </c>
      <c r="AH327">
        <v>0</v>
      </c>
      <c r="AI327">
        <v>0</v>
      </c>
      <c r="AJ327" t="s">
        <v>52</v>
      </c>
      <c r="AK327">
        <v>0</v>
      </c>
      <c r="AL327" t="s">
        <v>52</v>
      </c>
      <c r="AM327" t="s">
        <v>52</v>
      </c>
      <c r="AN327">
        <v>0</v>
      </c>
      <c r="AO327">
        <v>0</v>
      </c>
      <c r="AP327" t="s">
        <v>52</v>
      </c>
      <c r="AQ327" t="s">
        <v>52</v>
      </c>
      <c r="AR327" t="s">
        <v>62</v>
      </c>
      <c r="AS327" t="s">
        <v>52</v>
      </c>
      <c r="AT327" t="s">
        <v>74</v>
      </c>
      <c r="AU327" t="s">
        <v>64</v>
      </c>
      <c r="AV327" t="s">
        <v>62</v>
      </c>
      <c r="AW327" t="s">
        <v>65</v>
      </c>
      <c r="AX327" t="s">
        <v>66</v>
      </c>
      <c r="AY327" t="s">
        <v>165</v>
      </c>
    </row>
    <row r="328" spans="1:51" hidden="1" x14ac:dyDescent="0.25">
      <c r="A328">
        <v>405955</v>
      </c>
      <c r="B328" t="s">
        <v>1334</v>
      </c>
      <c r="C328" t="e">
        <f>VLOOKUP(A328,[1]Customer_payment_journal_line!$AL:$BO,30,0)</f>
        <v>#N/A</v>
      </c>
      <c r="D328" t="s">
        <v>53</v>
      </c>
      <c r="E328" t="s">
        <v>1335</v>
      </c>
      <c r="F328" t="s">
        <v>1336</v>
      </c>
      <c r="G328" t="s">
        <v>1214</v>
      </c>
      <c r="H328" t="s">
        <v>57</v>
      </c>
      <c r="I328" t="s">
        <v>58</v>
      </c>
      <c r="J328" t="s">
        <v>1286</v>
      </c>
      <c r="K328" t="s">
        <v>1287</v>
      </c>
      <c r="L328" t="s">
        <v>52</v>
      </c>
      <c r="M328">
        <v>3249</v>
      </c>
      <c r="N328">
        <v>0</v>
      </c>
      <c r="O328" t="s">
        <v>61</v>
      </c>
      <c r="P328">
        <v>100</v>
      </c>
      <c r="Q328" t="s">
        <v>52</v>
      </c>
      <c r="R328" t="s">
        <v>52</v>
      </c>
      <c r="S328" t="s">
        <v>52</v>
      </c>
      <c r="T328" t="s">
        <v>52</v>
      </c>
      <c r="U328" t="s">
        <v>52</v>
      </c>
      <c r="V328" t="s">
        <v>62</v>
      </c>
      <c r="W328" t="s">
        <v>63</v>
      </c>
      <c r="Y328" t="s">
        <v>52</v>
      </c>
      <c r="AB328" t="s">
        <v>52</v>
      </c>
      <c r="AE328" t="s">
        <v>52</v>
      </c>
      <c r="AF328" t="s">
        <v>52</v>
      </c>
      <c r="AH328">
        <v>0</v>
      </c>
      <c r="AI328">
        <v>0</v>
      </c>
      <c r="AJ328" t="s">
        <v>52</v>
      </c>
      <c r="AK328">
        <v>0</v>
      </c>
      <c r="AL328" t="s">
        <v>52</v>
      </c>
      <c r="AM328" t="s">
        <v>52</v>
      </c>
      <c r="AN328">
        <v>0</v>
      </c>
      <c r="AO328">
        <v>0</v>
      </c>
      <c r="AP328" t="s">
        <v>52</v>
      </c>
      <c r="AQ328" t="s">
        <v>52</v>
      </c>
      <c r="AR328" t="s">
        <v>62</v>
      </c>
      <c r="AS328" t="s">
        <v>52</v>
      </c>
      <c r="AT328" t="s">
        <v>52</v>
      </c>
      <c r="AU328" t="s">
        <v>64</v>
      </c>
      <c r="AV328" t="s">
        <v>62</v>
      </c>
      <c r="AW328" t="s">
        <v>65</v>
      </c>
      <c r="AX328" t="s">
        <v>66</v>
      </c>
      <c r="AY328" t="s">
        <v>67</v>
      </c>
    </row>
    <row r="329" spans="1:51" hidden="1" x14ac:dyDescent="0.25">
      <c r="A329">
        <v>405955</v>
      </c>
      <c r="B329" t="s">
        <v>1337</v>
      </c>
      <c r="C329" t="e">
        <f>VLOOKUP(A329,[1]Customer_payment_journal_line!$AL:$BO,30,0)</f>
        <v>#N/A</v>
      </c>
      <c r="D329" t="s">
        <v>53</v>
      </c>
      <c r="E329" t="s">
        <v>1335</v>
      </c>
      <c r="F329" t="s">
        <v>1336</v>
      </c>
      <c r="G329" t="s">
        <v>1214</v>
      </c>
      <c r="H329" t="s">
        <v>69</v>
      </c>
      <c r="I329" t="s">
        <v>1289</v>
      </c>
      <c r="J329" t="s">
        <v>1286</v>
      </c>
      <c r="K329" t="s">
        <v>1287</v>
      </c>
      <c r="L329" t="s">
        <v>52</v>
      </c>
      <c r="M329">
        <v>0</v>
      </c>
      <c r="N329">
        <v>3249</v>
      </c>
      <c r="O329" t="s">
        <v>61</v>
      </c>
      <c r="P329">
        <v>100</v>
      </c>
      <c r="Q329" t="s">
        <v>52</v>
      </c>
      <c r="R329" t="s">
        <v>52</v>
      </c>
      <c r="S329" t="s">
        <v>52</v>
      </c>
      <c r="T329" t="s">
        <v>52</v>
      </c>
      <c r="U329" t="s">
        <v>52</v>
      </c>
      <c r="V329" t="s">
        <v>62</v>
      </c>
      <c r="W329" t="s">
        <v>52</v>
      </c>
      <c r="Y329" t="s">
        <v>1290</v>
      </c>
      <c r="Z329" t="s">
        <v>62</v>
      </c>
      <c r="AB329" t="s">
        <v>1338</v>
      </c>
      <c r="AE329" t="s">
        <v>1339</v>
      </c>
      <c r="AF329" t="s">
        <v>52</v>
      </c>
      <c r="AH329">
        <v>0</v>
      </c>
      <c r="AI329">
        <v>0</v>
      </c>
      <c r="AJ329" t="s">
        <v>52</v>
      </c>
      <c r="AK329">
        <v>0</v>
      </c>
      <c r="AL329" t="s">
        <v>52</v>
      </c>
      <c r="AM329" t="s">
        <v>52</v>
      </c>
      <c r="AN329">
        <v>0</v>
      </c>
      <c r="AO329">
        <v>0</v>
      </c>
      <c r="AP329" t="s">
        <v>52</v>
      </c>
      <c r="AQ329" t="s">
        <v>52</v>
      </c>
      <c r="AR329" t="s">
        <v>62</v>
      </c>
      <c r="AS329" t="s">
        <v>52</v>
      </c>
      <c r="AT329" t="s">
        <v>74</v>
      </c>
      <c r="AU329" t="s">
        <v>64</v>
      </c>
      <c r="AV329" t="s">
        <v>62</v>
      </c>
      <c r="AW329" t="s">
        <v>65</v>
      </c>
      <c r="AX329" t="s">
        <v>66</v>
      </c>
      <c r="AY329" t="s">
        <v>67</v>
      </c>
    </row>
    <row r="330" spans="1:51" hidden="1" x14ac:dyDescent="0.25">
      <c r="A330">
        <v>405956</v>
      </c>
      <c r="B330" t="s">
        <v>1340</v>
      </c>
      <c r="C330" t="e">
        <f>VLOOKUP(A330,[1]Customer_payment_journal_line!$AL:$BO,30,0)</f>
        <v>#N/A</v>
      </c>
      <c r="D330" t="s">
        <v>53</v>
      </c>
      <c r="E330" t="s">
        <v>1341</v>
      </c>
      <c r="F330" t="s">
        <v>1342</v>
      </c>
      <c r="G330" t="s">
        <v>1214</v>
      </c>
      <c r="H330" t="s">
        <v>57</v>
      </c>
      <c r="I330" t="s">
        <v>58</v>
      </c>
      <c r="J330" t="s">
        <v>1286</v>
      </c>
      <c r="K330" t="s">
        <v>1287</v>
      </c>
      <c r="L330" t="s">
        <v>52</v>
      </c>
      <c r="M330">
        <v>855</v>
      </c>
      <c r="N330">
        <v>0</v>
      </c>
      <c r="O330" t="s">
        <v>61</v>
      </c>
      <c r="P330">
        <v>100</v>
      </c>
      <c r="Q330" t="s">
        <v>52</v>
      </c>
      <c r="R330" t="s">
        <v>52</v>
      </c>
      <c r="S330" t="s">
        <v>52</v>
      </c>
      <c r="T330" t="s">
        <v>52</v>
      </c>
      <c r="U330" t="s">
        <v>52</v>
      </c>
      <c r="V330" t="s">
        <v>62</v>
      </c>
      <c r="W330" t="s">
        <v>63</v>
      </c>
      <c r="Y330" t="s">
        <v>52</v>
      </c>
      <c r="AB330" t="s">
        <v>52</v>
      </c>
      <c r="AE330" t="s">
        <v>52</v>
      </c>
      <c r="AF330" t="s">
        <v>52</v>
      </c>
      <c r="AH330">
        <v>0</v>
      </c>
      <c r="AI330">
        <v>0</v>
      </c>
      <c r="AJ330" t="s">
        <v>52</v>
      </c>
      <c r="AK330">
        <v>0</v>
      </c>
      <c r="AL330" t="s">
        <v>52</v>
      </c>
      <c r="AM330" t="s">
        <v>52</v>
      </c>
      <c r="AN330">
        <v>0</v>
      </c>
      <c r="AO330">
        <v>0</v>
      </c>
      <c r="AP330" t="s">
        <v>52</v>
      </c>
      <c r="AQ330" t="s">
        <v>52</v>
      </c>
      <c r="AR330" t="s">
        <v>62</v>
      </c>
      <c r="AS330" t="s">
        <v>52</v>
      </c>
      <c r="AT330" t="s">
        <v>52</v>
      </c>
      <c r="AU330" t="s">
        <v>64</v>
      </c>
      <c r="AV330" t="s">
        <v>62</v>
      </c>
      <c r="AW330" t="s">
        <v>65</v>
      </c>
      <c r="AX330" t="s">
        <v>66</v>
      </c>
      <c r="AY330" t="s">
        <v>67</v>
      </c>
    </row>
    <row r="331" spans="1:51" hidden="1" x14ac:dyDescent="0.25">
      <c r="A331">
        <v>405956</v>
      </c>
      <c r="B331" t="s">
        <v>1343</v>
      </c>
      <c r="C331" t="e">
        <f>VLOOKUP(A331,[1]Customer_payment_journal_line!$AL:$BO,30,0)</f>
        <v>#N/A</v>
      </c>
      <c r="D331" t="s">
        <v>53</v>
      </c>
      <c r="E331" t="s">
        <v>1341</v>
      </c>
      <c r="F331" t="s">
        <v>1342</v>
      </c>
      <c r="G331" t="s">
        <v>1214</v>
      </c>
      <c r="H331" t="s">
        <v>69</v>
      </c>
      <c r="I331" t="s">
        <v>1289</v>
      </c>
      <c r="J331" t="s">
        <v>1286</v>
      </c>
      <c r="K331" t="s">
        <v>1287</v>
      </c>
      <c r="L331" t="s">
        <v>52</v>
      </c>
      <c r="M331">
        <v>0</v>
      </c>
      <c r="N331">
        <v>855</v>
      </c>
      <c r="O331" t="s">
        <v>61</v>
      </c>
      <c r="P331">
        <v>100</v>
      </c>
      <c r="Q331" t="s">
        <v>52</v>
      </c>
      <c r="R331" t="s">
        <v>52</v>
      </c>
      <c r="S331" t="s">
        <v>52</v>
      </c>
      <c r="T331" t="s">
        <v>52</v>
      </c>
      <c r="U331" t="s">
        <v>52</v>
      </c>
      <c r="V331" t="s">
        <v>62</v>
      </c>
      <c r="W331" t="s">
        <v>52</v>
      </c>
      <c r="Y331" t="s">
        <v>1290</v>
      </c>
      <c r="Z331" t="s">
        <v>62</v>
      </c>
      <c r="AB331" t="s">
        <v>1344</v>
      </c>
      <c r="AE331" t="s">
        <v>1345</v>
      </c>
      <c r="AF331" t="s">
        <v>52</v>
      </c>
      <c r="AH331">
        <v>0</v>
      </c>
      <c r="AI331">
        <v>0</v>
      </c>
      <c r="AJ331" t="s">
        <v>52</v>
      </c>
      <c r="AK331">
        <v>0</v>
      </c>
      <c r="AL331" t="s">
        <v>52</v>
      </c>
      <c r="AM331" t="s">
        <v>52</v>
      </c>
      <c r="AN331">
        <v>0</v>
      </c>
      <c r="AO331">
        <v>0</v>
      </c>
      <c r="AP331" t="s">
        <v>52</v>
      </c>
      <c r="AQ331" t="s">
        <v>52</v>
      </c>
      <c r="AR331" t="s">
        <v>62</v>
      </c>
      <c r="AS331" t="s">
        <v>52</v>
      </c>
      <c r="AT331" t="s">
        <v>74</v>
      </c>
      <c r="AU331" t="s">
        <v>64</v>
      </c>
      <c r="AV331" t="s">
        <v>62</v>
      </c>
      <c r="AW331" t="s">
        <v>65</v>
      </c>
      <c r="AX331" t="s">
        <v>66</v>
      </c>
      <c r="AY331" t="s">
        <v>67</v>
      </c>
    </row>
    <row r="332" spans="1:51" hidden="1" x14ac:dyDescent="0.25">
      <c r="A332">
        <v>202522</v>
      </c>
      <c r="B332" t="s">
        <v>1346</v>
      </c>
      <c r="C332" t="e">
        <f>VLOOKUP(A332,[1]Customer_payment_journal_line!$AL:$BO,30,0)</f>
        <v>#N/A</v>
      </c>
      <c r="D332" t="s">
        <v>53</v>
      </c>
      <c r="E332" t="s">
        <v>1347</v>
      </c>
      <c r="F332" t="s">
        <v>1348</v>
      </c>
      <c r="G332" t="s">
        <v>1214</v>
      </c>
      <c r="H332" t="s">
        <v>57</v>
      </c>
      <c r="I332" t="s">
        <v>1349</v>
      </c>
      <c r="J332" t="s">
        <v>1350</v>
      </c>
      <c r="K332" t="s">
        <v>565</v>
      </c>
      <c r="L332" t="s">
        <v>52</v>
      </c>
      <c r="M332">
        <v>2700</v>
      </c>
      <c r="N332">
        <v>0</v>
      </c>
      <c r="O332" t="s">
        <v>61</v>
      </c>
      <c r="P332">
        <v>100</v>
      </c>
      <c r="Q332" t="s">
        <v>52</v>
      </c>
      <c r="R332" t="s">
        <v>52</v>
      </c>
      <c r="S332" t="s">
        <v>52</v>
      </c>
      <c r="T332" t="s">
        <v>52</v>
      </c>
      <c r="U332" t="s">
        <v>52</v>
      </c>
      <c r="V332" t="s">
        <v>62</v>
      </c>
      <c r="W332" t="s">
        <v>63</v>
      </c>
      <c r="Y332" t="s">
        <v>52</v>
      </c>
      <c r="AB332" t="s">
        <v>52</v>
      </c>
      <c r="AE332" t="s">
        <v>52</v>
      </c>
      <c r="AF332" t="s">
        <v>52</v>
      </c>
      <c r="AH332">
        <v>0</v>
      </c>
      <c r="AI332">
        <v>0</v>
      </c>
      <c r="AJ332" t="s">
        <v>52</v>
      </c>
      <c r="AK332">
        <v>0</v>
      </c>
      <c r="AL332" t="s">
        <v>52</v>
      </c>
      <c r="AM332" t="s">
        <v>52</v>
      </c>
      <c r="AN332">
        <v>0</v>
      </c>
      <c r="AO332">
        <v>0</v>
      </c>
      <c r="AP332" t="s">
        <v>52</v>
      </c>
      <c r="AQ332" t="s">
        <v>52</v>
      </c>
      <c r="AR332" t="s">
        <v>62</v>
      </c>
      <c r="AS332" t="s">
        <v>52</v>
      </c>
      <c r="AT332" t="s">
        <v>52</v>
      </c>
      <c r="AU332" t="s">
        <v>64</v>
      </c>
      <c r="AV332" t="s">
        <v>62</v>
      </c>
      <c r="AW332" t="s">
        <v>65</v>
      </c>
      <c r="AX332" t="s">
        <v>66</v>
      </c>
      <c r="AY332" t="s">
        <v>67</v>
      </c>
    </row>
    <row r="333" spans="1:51" hidden="1" x14ac:dyDescent="0.25">
      <c r="A333">
        <v>202522</v>
      </c>
      <c r="B333" t="s">
        <v>1351</v>
      </c>
      <c r="C333" t="e">
        <f>VLOOKUP(A333,[1]Customer_payment_journal_line!$AL:$BO,30,0)</f>
        <v>#N/A</v>
      </c>
      <c r="D333" t="s">
        <v>53</v>
      </c>
      <c r="E333" t="s">
        <v>1347</v>
      </c>
      <c r="F333" t="s">
        <v>1348</v>
      </c>
      <c r="G333" t="s">
        <v>1214</v>
      </c>
      <c r="H333" t="s">
        <v>69</v>
      </c>
      <c r="I333" t="s">
        <v>567</v>
      </c>
      <c r="J333" t="s">
        <v>1350</v>
      </c>
      <c r="K333" t="s">
        <v>565</v>
      </c>
      <c r="L333" t="s">
        <v>52</v>
      </c>
      <c r="M333">
        <v>0</v>
      </c>
      <c r="N333">
        <v>2700</v>
      </c>
      <c r="O333" t="s">
        <v>61</v>
      </c>
      <c r="P333">
        <v>100</v>
      </c>
      <c r="Q333" t="s">
        <v>52</v>
      </c>
      <c r="R333" t="s">
        <v>52</v>
      </c>
      <c r="S333" t="s">
        <v>52</v>
      </c>
      <c r="T333" t="s">
        <v>52</v>
      </c>
      <c r="U333" t="s">
        <v>52</v>
      </c>
      <c r="V333" t="s">
        <v>62</v>
      </c>
      <c r="W333" t="s">
        <v>52</v>
      </c>
      <c r="Y333" t="s">
        <v>568</v>
      </c>
      <c r="Z333" t="s">
        <v>62</v>
      </c>
      <c r="AB333" t="s">
        <v>1352</v>
      </c>
      <c r="AE333" t="s">
        <v>1353</v>
      </c>
      <c r="AF333" t="s">
        <v>52</v>
      </c>
      <c r="AH333">
        <v>0</v>
      </c>
      <c r="AI333">
        <v>0</v>
      </c>
      <c r="AJ333" t="s">
        <v>52</v>
      </c>
      <c r="AK333">
        <v>0</v>
      </c>
      <c r="AL333" t="s">
        <v>52</v>
      </c>
      <c r="AM333" t="s">
        <v>52</v>
      </c>
      <c r="AN333">
        <v>0</v>
      </c>
      <c r="AO333">
        <v>0</v>
      </c>
      <c r="AP333" t="s">
        <v>52</v>
      </c>
      <c r="AQ333" t="s">
        <v>52</v>
      </c>
      <c r="AR333" t="s">
        <v>62</v>
      </c>
      <c r="AS333" t="s">
        <v>52</v>
      </c>
      <c r="AT333" t="s">
        <v>74</v>
      </c>
      <c r="AU333" t="s">
        <v>64</v>
      </c>
      <c r="AV333" t="s">
        <v>62</v>
      </c>
      <c r="AW333" t="s">
        <v>65</v>
      </c>
      <c r="AX333" t="s">
        <v>66</v>
      </c>
      <c r="AY333" t="s">
        <v>67</v>
      </c>
    </row>
    <row r="334" spans="1:51" hidden="1" x14ac:dyDescent="0.25">
      <c r="A334">
        <v>202525</v>
      </c>
      <c r="B334" t="s">
        <v>1354</v>
      </c>
      <c r="C334" t="e">
        <f>VLOOKUP(A334,[1]Customer_payment_journal_line!$AL:$BO,30,0)</f>
        <v>#N/A</v>
      </c>
      <c r="D334" t="s">
        <v>53</v>
      </c>
      <c r="E334" t="s">
        <v>1355</v>
      </c>
      <c r="F334" t="s">
        <v>1356</v>
      </c>
      <c r="G334" t="s">
        <v>1214</v>
      </c>
      <c r="H334" t="s">
        <v>57</v>
      </c>
      <c r="I334" t="s">
        <v>58</v>
      </c>
      <c r="J334" t="s">
        <v>1357</v>
      </c>
      <c r="K334" t="s">
        <v>1358</v>
      </c>
      <c r="L334" t="s">
        <v>52</v>
      </c>
      <c r="M334">
        <v>1482</v>
      </c>
      <c r="N334">
        <v>0</v>
      </c>
      <c r="O334" t="s">
        <v>61</v>
      </c>
      <c r="P334">
        <v>100</v>
      </c>
      <c r="Q334" t="s">
        <v>52</v>
      </c>
      <c r="R334" t="s">
        <v>52</v>
      </c>
      <c r="S334" t="s">
        <v>52</v>
      </c>
      <c r="T334" t="s">
        <v>52</v>
      </c>
      <c r="U334" t="s">
        <v>52</v>
      </c>
      <c r="V334" t="s">
        <v>62</v>
      </c>
      <c r="W334" t="s">
        <v>63</v>
      </c>
      <c r="Y334" t="s">
        <v>52</v>
      </c>
      <c r="AB334" t="s">
        <v>52</v>
      </c>
      <c r="AE334" t="s">
        <v>52</v>
      </c>
      <c r="AF334" t="s">
        <v>52</v>
      </c>
      <c r="AH334">
        <v>0</v>
      </c>
      <c r="AI334">
        <v>0</v>
      </c>
      <c r="AJ334" t="s">
        <v>52</v>
      </c>
      <c r="AK334">
        <v>0</v>
      </c>
      <c r="AL334" t="s">
        <v>52</v>
      </c>
      <c r="AM334" t="s">
        <v>52</v>
      </c>
      <c r="AN334">
        <v>0</v>
      </c>
      <c r="AO334">
        <v>0</v>
      </c>
      <c r="AP334" t="s">
        <v>52</v>
      </c>
      <c r="AQ334" t="s">
        <v>52</v>
      </c>
      <c r="AR334" t="s">
        <v>62</v>
      </c>
      <c r="AS334" t="s">
        <v>52</v>
      </c>
      <c r="AT334" t="s">
        <v>52</v>
      </c>
      <c r="AU334" t="s">
        <v>64</v>
      </c>
      <c r="AV334" t="s">
        <v>62</v>
      </c>
      <c r="AW334" t="s">
        <v>65</v>
      </c>
      <c r="AX334" t="s">
        <v>66</v>
      </c>
      <c r="AY334" t="s">
        <v>67</v>
      </c>
    </row>
    <row r="335" spans="1:51" hidden="1" x14ac:dyDescent="0.25">
      <c r="A335">
        <v>202525</v>
      </c>
      <c r="B335" t="s">
        <v>1359</v>
      </c>
      <c r="C335" t="e">
        <f>VLOOKUP(A335,[1]Customer_payment_journal_line!$AL:$BO,30,0)</f>
        <v>#N/A</v>
      </c>
      <c r="D335" t="s">
        <v>53</v>
      </c>
      <c r="E335" t="s">
        <v>1355</v>
      </c>
      <c r="F335" t="s">
        <v>1356</v>
      </c>
      <c r="G335" t="s">
        <v>1214</v>
      </c>
      <c r="H335" t="s">
        <v>69</v>
      </c>
      <c r="I335" t="s">
        <v>1360</v>
      </c>
      <c r="J335" t="s">
        <v>1357</v>
      </c>
      <c r="K335" t="s">
        <v>1358</v>
      </c>
      <c r="L335" t="s">
        <v>52</v>
      </c>
      <c r="M335">
        <v>0</v>
      </c>
      <c r="N335">
        <v>1482</v>
      </c>
      <c r="O335" t="s">
        <v>61</v>
      </c>
      <c r="P335">
        <v>100</v>
      </c>
      <c r="Q335" t="s">
        <v>52</v>
      </c>
      <c r="R335" t="s">
        <v>52</v>
      </c>
      <c r="S335" t="s">
        <v>52</v>
      </c>
      <c r="T335" t="s">
        <v>52</v>
      </c>
      <c r="U335" t="s">
        <v>52</v>
      </c>
      <c r="V335" t="s">
        <v>62</v>
      </c>
      <c r="W335" t="s">
        <v>52</v>
      </c>
      <c r="Y335" t="s">
        <v>1361</v>
      </c>
      <c r="Z335" t="s">
        <v>62</v>
      </c>
      <c r="AB335" t="s">
        <v>1362</v>
      </c>
      <c r="AE335" t="s">
        <v>1363</v>
      </c>
      <c r="AF335" t="s">
        <v>52</v>
      </c>
      <c r="AH335">
        <v>0</v>
      </c>
      <c r="AI335">
        <v>0</v>
      </c>
      <c r="AJ335" t="s">
        <v>52</v>
      </c>
      <c r="AK335">
        <v>0</v>
      </c>
      <c r="AL335" t="s">
        <v>52</v>
      </c>
      <c r="AM335" t="s">
        <v>52</v>
      </c>
      <c r="AN335">
        <v>0</v>
      </c>
      <c r="AO335">
        <v>0</v>
      </c>
      <c r="AP335" t="s">
        <v>52</v>
      </c>
      <c r="AQ335" t="s">
        <v>52</v>
      </c>
      <c r="AR335" t="s">
        <v>62</v>
      </c>
      <c r="AS335" t="s">
        <v>52</v>
      </c>
      <c r="AT335" t="s">
        <v>74</v>
      </c>
      <c r="AU335" t="s">
        <v>64</v>
      </c>
      <c r="AV335" t="s">
        <v>62</v>
      </c>
      <c r="AW335" t="s">
        <v>65</v>
      </c>
      <c r="AX335" t="s">
        <v>66</v>
      </c>
      <c r="AY335" t="s">
        <v>67</v>
      </c>
    </row>
    <row r="336" spans="1:51" hidden="1" x14ac:dyDescent="0.25">
      <c r="A336">
        <v>405958</v>
      </c>
      <c r="B336" t="s">
        <v>1364</v>
      </c>
      <c r="C336" t="e">
        <f>VLOOKUP(A336,[1]Customer_payment_journal_line!$AL:$BO,30,0)</f>
        <v>#N/A</v>
      </c>
      <c r="D336" t="s">
        <v>53</v>
      </c>
      <c r="E336" t="s">
        <v>1365</v>
      </c>
      <c r="F336" t="s">
        <v>1366</v>
      </c>
      <c r="G336" t="s">
        <v>1214</v>
      </c>
      <c r="H336" t="s">
        <v>57</v>
      </c>
      <c r="I336" t="s">
        <v>516</v>
      </c>
      <c r="J336" t="s">
        <v>1367</v>
      </c>
      <c r="K336" t="s">
        <v>1368</v>
      </c>
      <c r="L336" t="s">
        <v>52</v>
      </c>
      <c r="M336">
        <v>20</v>
      </c>
      <c r="N336">
        <v>0</v>
      </c>
      <c r="O336" t="s">
        <v>178</v>
      </c>
      <c r="P336">
        <v>5085</v>
      </c>
      <c r="Q336" t="s">
        <v>52</v>
      </c>
      <c r="R336" t="s">
        <v>52</v>
      </c>
      <c r="S336" t="s">
        <v>52</v>
      </c>
      <c r="T336" t="s">
        <v>52</v>
      </c>
      <c r="U336" t="s">
        <v>52</v>
      </c>
      <c r="V336" t="s">
        <v>62</v>
      </c>
      <c r="W336" t="s">
        <v>63</v>
      </c>
      <c r="Y336" t="s">
        <v>52</v>
      </c>
      <c r="AB336" t="s">
        <v>52</v>
      </c>
      <c r="AE336" t="s">
        <v>52</v>
      </c>
      <c r="AF336" t="s">
        <v>52</v>
      </c>
      <c r="AH336">
        <v>0</v>
      </c>
      <c r="AI336">
        <v>0</v>
      </c>
      <c r="AJ336" t="s">
        <v>52</v>
      </c>
      <c r="AK336">
        <v>0</v>
      </c>
      <c r="AL336" t="s">
        <v>52</v>
      </c>
      <c r="AM336" t="s">
        <v>52</v>
      </c>
      <c r="AN336">
        <v>0</v>
      </c>
      <c r="AO336">
        <v>0</v>
      </c>
      <c r="AP336" t="s">
        <v>52</v>
      </c>
      <c r="AQ336" t="s">
        <v>52</v>
      </c>
      <c r="AR336" t="s">
        <v>62</v>
      </c>
      <c r="AS336" t="s">
        <v>52</v>
      </c>
      <c r="AT336" t="s">
        <v>52</v>
      </c>
      <c r="AU336" t="s">
        <v>64</v>
      </c>
      <c r="AV336" t="s">
        <v>62</v>
      </c>
      <c r="AW336" t="s">
        <v>65</v>
      </c>
      <c r="AX336" t="s">
        <v>66</v>
      </c>
      <c r="AY336" t="s">
        <v>67</v>
      </c>
    </row>
    <row r="337" spans="1:51" hidden="1" x14ac:dyDescent="0.25">
      <c r="A337">
        <v>405958</v>
      </c>
      <c r="B337" t="s">
        <v>1369</v>
      </c>
      <c r="C337" t="e">
        <f>VLOOKUP(A337,[1]Customer_payment_journal_line!$AL:$BO,30,0)</f>
        <v>#N/A</v>
      </c>
      <c r="D337" t="s">
        <v>53</v>
      </c>
      <c r="E337" t="s">
        <v>1365</v>
      </c>
      <c r="F337" t="s">
        <v>1366</v>
      </c>
      <c r="G337" t="s">
        <v>1214</v>
      </c>
      <c r="H337" t="s">
        <v>69</v>
      </c>
      <c r="I337" t="s">
        <v>1370</v>
      </c>
      <c r="J337" t="s">
        <v>1367</v>
      </c>
      <c r="K337" t="s">
        <v>1368</v>
      </c>
      <c r="L337" t="s">
        <v>52</v>
      </c>
      <c r="M337">
        <v>0</v>
      </c>
      <c r="N337">
        <v>20</v>
      </c>
      <c r="O337" t="s">
        <v>178</v>
      </c>
      <c r="P337">
        <v>5085</v>
      </c>
      <c r="Q337" t="s">
        <v>52</v>
      </c>
      <c r="R337" t="s">
        <v>52</v>
      </c>
      <c r="S337" t="s">
        <v>52</v>
      </c>
      <c r="T337" t="s">
        <v>52</v>
      </c>
      <c r="U337" t="s">
        <v>52</v>
      </c>
      <c r="V337" t="s">
        <v>62</v>
      </c>
      <c r="W337" t="s">
        <v>52</v>
      </c>
      <c r="Y337" t="s">
        <v>1371</v>
      </c>
      <c r="Z337" t="s">
        <v>62</v>
      </c>
      <c r="AB337" t="s">
        <v>1372</v>
      </c>
      <c r="AE337" t="s">
        <v>1373</v>
      </c>
      <c r="AF337" t="s">
        <v>52</v>
      </c>
      <c r="AH337">
        <v>0</v>
      </c>
      <c r="AI337">
        <v>0</v>
      </c>
      <c r="AJ337" t="s">
        <v>52</v>
      </c>
      <c r="AK337">
        <v>0</v>
      </c>
      <c r="AL337" t="s">
        <v>52</v>
      </c>
      <c r="AM337" t="s">
        <v>52</v>
      </c>
      <c r="AN337">
        <v>0</v>
      </c>
      <c r="AO337">
        <v>0</v>
      </c>
      <c r="AP337" t="s">
        <v>52</v>
      </c>
      <c r="AQ337" t="s">
        <v>52</v>
      </c>
      <c r="AR337" t="s">
        <v>62</v>
      </c>
      <c r="AS337" t="s">
        <v>52</v>
      </c>
      <c r="AT337" t="s">
        <v>74</v>
      </c>
      <c r="AU337" t="s">
        <v>64</v>
      </c>
      <c r="AV337" t="s">
        <v>62</v>
      </c>
      <c r="AW337" t="s">
        <v>65</v>
      </c>
      <c r="AX337" t="s">
        <v>66</v>
      </c>
      <c r="AY337" t="s">
        <v>67</v>
      </c>
    </row>
    <row r="338" spans="1:51" hidden="1" x14ac:dyDescent="0.25">
      <c r="A338">
        <v>405959</v>
      </c>
      <c r="B338" t="s">
        <v>1374</v>
      </c>
      <c r="C338" t="e">
        <f>VLOOKUP(A338,[1]Customer_payment_journal_line!$AL:$BO,30,0)</f>
        <v>#N/A</v>
      </c>
      <c r="D338" t="s">
        <v>53</v>
      </c>
      <c r="E338" t="s">
        <v>1375</v>
      </c>
      <c r="F338" t="s">
        <v>1376</v>
      </c>
      <c r="G338" t="s">
        <v>1214</v>
      </c>
      <c r="H338" t="s">
        <v>57</v>
      </c>
      <c r="I338" t="s">
        <v>58</v>
      </c>
      <c r="J338" t="s">
        <v>1367</v>
      </c>
      <c r="K338" t="s">
        <v>1368</v>
      </c>
      <c r="L338" t="s">
        <v>52</v>
      </c>
      <c r="M338">
        <v>4845</v>
      </c>
      <c r="N338">
        <v>0</v>
      </c>
      <c r="O338" t="s">
        <v>61</v>
      </c>
      <c r="P338">
        <v>100</v>
      </c>
      <c r="Q338" t="s">
        <v>52</v>
      </c>
      <c r="R338" t="s">
        <v>52</v>
      </c>
      <c r="S338" t="s">
        <v>52</v>
      </c>
      <c r="T338" t="s">
        <v>52</v>
      </c>
      <c r="U338" t="s">
        <v>52</v>
      </c>
      <c r="V338" t="s">
        <v>62</v>
      </c>
      <c r="W338" t="s">
        <v>63</v>
      </c>
      <c r="Y338" t="s">
        <v>52</v>
      </c>
      <c r="AB338" t="s">
        <v>52</v>
      </c>
      <c r="AE338" t="s">
        <v>52</v>
      </c>
      <c r="AF338" t="s">
        <v>52</v>
      </c>
      <c r="AH338">
        <v>0</v>
      </c>
      <c r="AI338">
        <v>0</v>
      </c>
      <c r="AJ338" t="s">
        <v>52</v>
      </c>
      <c r="AK338">
        <v>0</v>
      </c>
      <c r="AL338" t="s">
        <v>52</v>
      </c>
      <c r="AM338" t="s">
        <v>52</v>
      </c>
      <c r="AN338">
        <v>0</v>
      </c>
      <c r="AO338">
        <v>0</v>
      </c>
      <c r="AP338" t="s">
        <v>52</v>
      </c>
      <c r="AQ338" t="s">
        <v>52</v>
      </c>
      <c r="AR338" t="s">
        <v>62</v>
      </c>
      <c r="AS338" t="s">
        <v>52</v>
      </c>
      <c r="AT338" t="s">
        <v>52</v>
      </c>
      <c r="AU338" t="s">
        <v>64</v>
      </c>
      <c r="AV338" t="s">
        <v>62</v>
      </c>
      <c r="AW338" t="s">
        <v>65</v>
      </c>
      <c r="AX338" t="s">
        <v>66</v>
      </c>
      <c r="AY338" t="s">
        <v>67</v>
      </c>
    </row>
    <row r="339" spans="1:51" hidden="1" x14ac:dyDescent="0.25">
      <c r="A339">
        <v>405959</v>
      </c>
      <c r="B339" t="s">
        <v>1377</v>
      </c>
      <c r="C339" t="e">
        <f>VLOOKUP(A339,[1]Customer_payment_journal_line!$AL:$BO,30,0)</f>
        <v>#N/A</v>
      </c>
      <c r="D339" t="s">
        <v>53</v>
      </c>
      <c r="E339" t="s">
        <v>1375</v>
      </c>
      <c r="F339" t="s">
        <v>1376</v>
      </c>
      <c r="G339" t="s">
        <v>1214</v>
      </c>
      <c r="H339" t="s">
        <v>69</v>
      </c>
      <c r="I339" t="s">
        <v>1370</v>
      </c>
      <c r="J339" t="s">
        <v>1367</v>
      </c>
      <c r="K339" t="s">
        <v>1368</v>
      </c>
      <c r="L339" t="s">
        <v>52</v>
      </c>
      <c r="M339">
        <v>0</v>
      </c>
      <c r="N339">
        <v>4845</v>
      </c>
      <c r="O339" t="s">
        <v>61</v>
      </c>
      <c r="P339">
        <v>100</v>
      </c>
      <c r="Q339" t="s">
        <v>52</v>
      </c>
      <c r="R339" t="s">
        <v>52</v>
      </c>
      <c r="S339" t="s">
        <v>52</v>
      </c>
      <c r="T339" t="s">
        <v>52</v>
      </c>
      <c r="U339" t="s">
        <v>52</v>
      </c>
      <c r="V339" t="s">
        <v>62</v>
      </c>
      <c r="W339" t="s">
        <v>52</v>
      </c>
      <c r="Y339" t="s">
        <v>1371</v>
      </c>
      <c r="Z339" t="s">
        <v>62</v>
      </c>
      <c r="AB339" t="s">
        <v>1378</v>
      </c>
      <c r="AE339" t="s">
        <v>1379</v>
      </c>
      <c r="AF339" t="s">
        <v>52</v>
      </c>
      <c r="AH339">
        <v>0</v>
      </c>
      <c r="AI339">
        <v>0</v>
      </c>
      <c r="AJ339" t="s">
        <v>52</v>
      </c>
      <c r="AK339">
        <v>0</v>
      </c>
      <c r="AL339" t="s">
        <v>52</v>
      </c>
      <c r="AM339" t="s">
        <v>52</v>
      </c>
      <c r="AN339">
        <v>0</v>
      </c>
      <c r="AO339">
        <v>0</v>
      </c>
      <c r="AP339" t="s">
        <v>52</v>
      </c>
      <c r="AQ339" t="s">
        <v>52</v>
      </c>
      <c r="AR339" t="s">
        <v>62</v>
      </c>
      <c r="AS339" t="s">
        <v>52</v>
      </c>
      <c r="AT339" t="s">
        <v>74</v>
      </c>
      <c r="AU339" t="s">
        <v>64</v>
      </c>
      <c r="AV339" t="s">
        <v>62</v>
      </c>
      <c r="AW339" t="s">
        <v>65</v>
      </c>
      <c r="AX339" t="s">
        <v>66</v>
      </c>
      <c r="AY339" t="s">
        <v>67</v>
      </c>
    </row>
    <row r="340" spans="1:51" hidden="1" x14ac:dyDescent="0.25">
      <c r="A340">
        <v>405960</v>
      </c>
      <c r="B340" t="s">
        <v>1380</v>
      </c>
      <c r="C340" t="e">
        <f>VLOOKUP(A340,[1]Customer_payment_journal_line!$AL:$BO,30,0)</f>
        <v>#N/A</v>
      </c>
      <c r="D340" t="s">
        <v>53</v>
      </c>
      <c r="E340" t="s">
        <v>1381</v>
      </c>
      <c r="F340" t="s">
        <v>1382</v>
      </c>
      <c r="G340" t="s">
        <v>1214</v>
      </c>
      <c r="H340" t="s">
        <v>57</v>
      </c>
      <c r="I340" t="s">
        <v>58</v>
      </c>
      <c r="J340" t="s">
        <v>1367</v>
      </c>
      <c r="K340" t="s">
        <v>1368</v>
      </c>
      <c r="L340" t="s">
        <v>52</v>
      </c>
      <c r="M340">
        <v>855</v>
      </c>
      <c r="N340">
        <v>0</v>
      </c>
      <c r="O340" t="s">
        <v>61</v>
      </c>
      <c r="P340">
        <v>100</v>
      </c>
      <c r="Q340" t="s">
        <v>52</v>
      </c>
      <c r="R340" t="s">
        <v>52</v>
      </c>
      <c r="S340" t="s">
        <v>52</v>
      </c>
      <c r="T340" t="s">
        <v>52</v>
      </c>
      <c r="U340" t="s">
        <v>52</v>
      </c>
      <c r="V340" t="s">
        <v>62</v>
      </c>
      <c r="W340" t="s">
        <v>63</v>
      </c>
      <c r="Y340" t="s">
        <v>52</v>
      </c>
      <c r="AB340" t="s">
        <v>52</v>
      </c>
      <c r="AE340" t="s">
        <v>52</v>
      </c>
      <c r="AF340" t="s">
        <v>52</v>
      </c>
      <c r="AH340">
        <v>0</v>
      </c>
      <c r="AI340">
        <v>0</v>
      </c>
      <c r="AJ340" t="s">
        <v>52</v>
      </c>
      <c r="AK340">
        <v>0</v>
      </c>
      <c r="AL340" t="s">
        <v>52</v>
      </c>
      <c r="AM340" t="s">
        <v>52</v>
      </c>
      <c r="AN340">
        <v>0</v>
      </c>
      <c r="AO340">
        <v>0</v>
      </c>
      <c r="AP340" t="s">
        <v>52</v>
      </c>
      <c r="AQ340" t="s">
        <v>52</v>
      </c>
      <c r="AR340" t="s">
        <v>62</v>
      </c>
      <c r="AS340" t="s">
        <v>52</v>
      </c>
      <c r="AT340" t="s">
        <v>52</v>
      </c>
      <c r="AU340" t="s">
        <v>64</v>
      </c>
      <c r="AV340" t="s">
        <v>62</v>
      </c>
      <c r="AW340" t="s">
        <v>65</v>
      </c>
      <c r="AX340" t="s">
        <v>66</v>
      </c>
      <c r="AY340" t="s">
        <v>67</v>
      </c>
    </row>
    <row r="341" spans="1:51" hidden="1" x14ac:dyDescent="0.25">
      <c r="A341">
        <v>405960</v>
      </c>
      <c r="B341" t="s">
        <v>1383</v>
      </c>
      <c r="C341" t="e">
        <f>VLOOKUP(A341,[1]Customer_payment_journal_line!$AL:$BO,30,0)</f>
        <v>#N/A</v>
      </c>
      <c r="D341" t="s">
        <v>53</v>
      </c>
      <c r="E341" t="s">
        <v>1381</v>
      </c>
      <c r="F341" t="s">
        <v>1382</v>
      </c>
      <c r="G341" t="s">
        <v>1214</v>
      </c>
      <c r="H341" t="s">
        <v>69</v>
      </c>
      <c r="I341" t="s">
        <v>1370</v>
      </c>
      <c r="J341" t="s">
        <v>1367</v>
      </c>
      <c r="K341" t="s">
        <v>1368</v>
      </c>
      <c r="L341" t="s">
        <v>52</v>
      </c>
      <c r="M341">
        <v>0</v>
      </c>
      <c r="N341">
        <v>855</v>
      </c>
      <c r="O341" t="s">
        <v>61</v>
      </c>
      <c r="P341">
        <v>100</v>
      </c>
      <c r="Q341" t="s">
        <v>52</v>
      </c>
      <c r="R341" t="s">
        <v>52</v>
      </c>
      <c r="S341" t="s">
        <v>52</v>
      </c>
      <c r="T341" t="s">
        <v>52</v>
      </c>
      <c r="U341" t="s">
        <v>52</v>
      </c>
      <c r="V341" t="s">
        <v>62</v>
      </c>
      <c r="W341" t="s">
        <v>52</v>
      </c>
      <c r="Y341" t="s">
        <v>1371</v>
      </c>
      <c r="Z341" t="s">
        <v>62</v>
      </c>
      <c r="AB341" t="s">
        <v>1384</v>
      </c>
      <c r="AE341" t="s">
        <v>1385</v>
      </c>
      <c r="AF341" t="s">
        <v>52</v>
      </c>
      <c r="AH341">
        <v>0</v>
      </c>
      <c r="AI341">
        <v>0</v>
      </c>
      <c r="AJ341" t="s">
        <v>52</v>
      </c>
      <c r="AK341">
        <v>0</v>
      </c>
      <c r="AL341" t="s">
        <v>52</v>
      </c>
      <c r="AM341" t="s">
        <v>52</v>
      </c>
      <c r="AN341">
        <v>0</v>
      </c>
      <c r="AO341">
        <v>0</v>
      </c>
      <c r="AP341" t="s">
        <v>52</v>
      </c>
      <c r="AQ341" t="s">
        <v>52</v>
      </c>
      <c r="AR341" t="s">
        <v>62</v>
      </c>
      <c r="AS341" t="s">
        <v>52</v>
      </c>
      <c r="AT341" t="s">
        <v>74</v>
      </c>
      <c r="AU341" t="s">
        <v>64</v>
      </c>
      <c r="AV341" t="s">
        <v>62</v>
      </c>
      <c r="AW341" t="s">
        <v>65</v>
      </c>
      <c r="AX341" t="s">
        <v>66</v>
      </c>
      <c r="AY341" t="s">
        <v>67</v>
      </c>
    </row>
    <row r="342" spans="1:51" hidden="1" x14ac:dyDescent="0.25">
      <c r="A342">
        <v>202535</v>
      </c>
      <c r="B342" t="s">
        <v>1386</v>
      </c>
      <c r="C342" t="e">
        <f>VLOOKUP(A342,[1]Customer_payment_journal_line!$AL:$BO,30,0)</f>
        <v>#N/A</v>
      </c>
      <c r="D342" t="s">
        <v>53</v>
      </c>
      <c r="E342" t="s">
        <v>1387</v>
      </c>
      <c r="F342" t="s">
        <v>1388</v>
      </c>
      <c r="G342" t="s">
        <v>1214</v>
      </c>
      <c r="H342" t="s">
        <v>57</v>
      </c>
      <c r="I342" t="s">
        <v>319</v>
      </c>
      <c r="J342" t="s">
        <v>1389</v>
      </c>
      <c r="K342" t="s">
        <v>1390</v>
      </c>
      <c r="L342" t="s">
        <v>52</v>
      </c>
      <c r="M342">
        <v>13383.6</v>
      </c>
      <c r="N342">
        <v>0</v>
      </c>
      <c r="O342" t="s">
        <v>61</v>
      </c>
      <c r="P342">
        <v>100</v>
      </c>
      <c r="Q342" t="s">
        <v>52</v>
      </c>
      <c r="R342" t="s">
        <v>52</v>
      </c>
      <c r="S342" t="s">
        <v>52</v>
      </c>
      <c r="T342" t="s">
        <v>52</v>
      </c>
      <c r="U342" t="s">
        <v>52</v>
      </c>
      <c r="V342" t="s">
        <v>62</v>
      </c>
      <c r="W342" t="s">
        <v>63</v>
      </c>
      <c r="Y342" t="s">
        <v>52</v>
      </c>
      <c r="AB342" t="s">
        <v>52</v>
      </c>
      <c r="AE342" t="s">
        <v>52</v>
      </c>
      <c r="AF342" t="s">
        <v>52</v>
      </c>
      <c r="AH342">
        <v>0</v>
      </c>
      <c r="AI342">
        <v>0</v>
      </c>
      <c r="AJ342" t="s">
        <v>52</v>
      </c>
      <c r="AK342">
        <v>0</v>
      </c>
      <c r="AL342" t="s">
        <v>52</v>
      </c>
      <c r="AM342" t="s">
        <v>52</v>
      </c>
      <c r="AN342">
        <v>0</v>
      </c>
      <c r="AO342">
        <v>0</v>
      </c>
      <c r="AP342" t="s">
        <v>52</v>
      </c>
      <c r="AQ342" t="s">
        <v>52</v>
      </c>
      <c r="AR342" t="s">
        <v>62</v>
      </c>
      <c r="AS342" t="s">
        <v>52</v>
      </c>
      <c r="AT342" t="s">
        <v>52</v>
      </c>
      <c r="AU342" t="s">
        <v>64</v>
      </c>
      <c r="AV342" t="s">
        <v>62</v>
      </c>
      <c r="AW342" t="s">
        <v>65</v>
      </c>
      <c r="AX342" t="s">
        <v>66</v>
      </c>
      <c r="AY342" t="s">
        <v>67</v>
      </c>
    </row>
    <row r="343" spans="1:51" hidden="1" x14ac:dyDescent="0.25">
      <c r="A343">
        <v>202535</v>
      </c>
      <c r="B343" t="s">
        <v>1391</v>
      </c>
      <c r="C343" t="e">
        <f>VLOOKUP(A343,[1]Customer_payment_journal_line!$AL:$BO,30,0)</f>
        <v>#N/A</v>
      </c>
      <c r="D343" t="s">
        <v>53</v>
      </c>
      <c r="E343" t="s">
        <v>1387</v>
      </c>
      <c r="F343" t="s">
        <v>1388</v>
      </c>
      <c r="G343" t="s">
        <v>1214</v>
      </c>
      <c r="H343" t="s">
        <v>69</v>
      </c>
      <c r="I343" t="s">
        <v>1281</v>
      </c>
      <c r="J343" t="s">
        <v>1389</v>
      </c>
      <c r="K343" t="s">
        <v>1390</v>
      </c>
      <c r="L343" t="s">
        <v>52</v>
      </c>
      <c r="M343">
        <v>0</v>
      </c>
      <c r="N343">
        <v>13383.6</v>
      </c>
      <c r="O343" t="s">
        <v>61</v>
      </c>
      <c r="P343">
        <v>100</v>
      </c>
      <c r="Q343" t="s">
        <v>52</v>
      </c>
      <c r="R343" t="s">
        <v>52</v>
      </c>
      <c r="S343" t="s">
        <v>52</v>
      </c>
      <c r="T343" t="s">
        <v>52</v>
      </c>
      <c r="U343" t="s">
        <v>52</v>
      </c>
      <c r="V343" t="s">
        <v>62</v>
      </c>
      <c r="W343" t="s">
        <v>52</v>
      </c>
      <c r="Y343" t="s">
        <v>1282</v>
      </c>
      <c r="Z343" t="s">
        <v>62</v>
      </c>
      <c r="AB343" t="s">
        <v>1392</v>
      </c>
      <c r="AE343" t="s">
        <v>1393</v>
      </c>
      <c r="AF343" t="s">
        <v>52</v>
      </c>
      <c r="AH343">
        <v>0</v>
      </c>
      <c r="AI343">
        <v>0</v>
      </c>
      <c r="AJ343" t="s">
        <v>52</v>
      </c>
      <c r="AK343">
        <v>0</v>
      </c>
      <c r="AL343" t="s">
        <v>52</v>
      </c>
      <c r="AM343" t="s">
        <v>52</v>
      </c>
      <c r="AN343">
        <v>0</v>
      </c>
      <c r="AO343">
        <v>0</v>
      </c>
      <c r="AP343" t="s">
        <v>52</v>
      </c>
      <c r="AQ343" t="s">
        <v>52</v>
      </c>
      <c r="AR343" t="s">
        <v>62</v>
      </c>
      <c r="AS343" t="s">
        <v>52</v>
      </c>
      <c r="AT343" t="s">
        <v>74</v>
      </c>
      <c r="AU343" t="s">
        <v>64</v>
      </c>
      <c r="AV343" t="s">
        <v>62</v>
      </c>
      <c r="AW343" t="s">
        <v>65</v>
      </c>
      <c r="AX343" t="s">
        <v>66</v>
      </c>
      <c r="AY343" t="s">
        <v>67</v>
      </c>
    </row>
    <row r="344" spans="1:51" hidden="1" x14ac:dyDescent="0.25">
      <c r="A344">
        <v>202536</v>
      </c>
      <c r="B344" t="s">
        <v>1394</v>
      </c>
      <c r="C344" t="e">
        <f>VLOOKUP(A344,[1]Customer_payment_journal_line!$AL:$BO,30,0)</f>
        <v>#N/A</v>
      </c>
      <c r="D344" t="s">
        <v>53</v>
      </c>
      <c r="E344" t="s">
        <v>1395</v>
      </c>
      <c r="F344" t="s">
        <v>1396</v>
      </c>
      <c r="G344" t="s">
        <v>1214</v>
      </c>
      <c r="H344" t="s">
        <v>57</v>
      </c>
      <c r="I344" t="s">
        <v>319</v>
      </c>
      <c r="J344" t="s">
        <v>1389</v>
      </c>
      <c r="K344" t="s">
        <v>1390</v>
      </c>
      <c r="L344" t="s">
        <v>52</v>
      </c>
      <c r="M344">
        <v>855</v>
      </c>
      <c r="N344">
        <v>0</v>
      </c>
      <c r="O344" t="s">
        <v>61</v>
      </c>
      <c r="P344">
        <v>100</v>
      </c>
      <c r="Q344" t="s">
        <v>52</v>
      </c>
      <c r="R344" t="s">
        <v>52</v>
      </c>
      <c r="S344" t="s">
        <v>52</v>
      </c>
      <c r="T344" t="s">
        <v>52</v>
      </c>
      <c r="U344" t="s">
        <v>52</v>
      </c>
      <c r="V344" t="s">
        <v>62</v>
      </c>
      <c r="W344" t="s">
        <v>63</v>
      </c>
      <c r="Y344" t="s">
        <v>52</v>
      </c>
      <c r="AB344" t="s">
        <v>52</v>
      </c>
      <c r="AE344" t="s">
        <v>52</v>
      </c>
      <c r="AF344" t="s">
        <v>52</v>
      </c>
      <c r="AH344">
        <v>0</v>
      </c>
      <c r="AI344">
        <v>0</v>
      </c>
      <c r="AJ344" t="s">
        <v>52</v>
      </c>
      <c r="AK344">
        <v>0</v>
      </c>
      <c r="AL344" t="s">
        <v>52</v>
      </c>
      <c r="AM344" t="s">
        <v>52</v>
      </c>
      <c r="AN344">
        <v>0</v>
      </c>
      <c r="AO344">
        <v>0</v>
      </c>
      <c r="AP344" t="s">
        <v>52</v>
      </c>
      <c r="AQ344" t="s">
        <v>52</v>
      </c>
      <c r="AR344" t="s">
        <v>62</v>
      </c>
      <c r="AS344" t="s">
        <v>52</v>
      </c>
      <c r="AT344" t="s">
        <v>52</v>
      </c>
      <c r="AU344" t="s">
        <v>64</v>
      </c>
      <c r="AV344" t="s">
        <v>62</v>
      </c>
      <c r="AW344" t="s">
        <v>65</v>
      </c>
      <c r="AX344" t="s">
        <v>66</v>
      </c>
      <c r="AY344" t="s">
        <v>67</v>
      </c>
    </row>
    <row r="345" spans="1:51" hidden="1" x14ac:dyDescent="0.25">
      <c r="A345">
        <v>202536</v>
      </c>
      <c r="B345" t="s">
        <v>1397</v>
      </c>
      <c r="C345" t="e">
        <f>VLOOKUP(A345,[1]Customer_payment_journal_line!$AL:$BO,30,0)</f>
        <v>#N/A</v>
      </c>
      <c r="D345" t="s">
        <v>53</v>
      </c>
      <c r="E345" t="s">
        <v>1395</v>
      </c>
      <c r="F345" t="s">
        <v>1396</v>
      </c>
      <c r="G345" t="s">
        <v>1214</v>
      </c>
      <c r="H345" t="s">
        <v>69</v>
      </c>
      <c r="I345" t="s">
        <v>1281</v>
      </c>
      <c r="J345" t="s">
        <v>1389</v>
      </c>
      <c r="K345" t="s">
        <v>1390</v>
      </c>
      <c r="L345" t="s">
        <v>52</v>
      </c>
      <c r="M345">
        <v>0</v>
      </c>
      <c r="N345">
        <v>855</v>
      </c>
      <c r="O345" t="s">
        <v>61</v>
      </c>
      <c r="P345">
        <v>100</v>
      </c>
      <c r="Q345" t="s">
        <v>52</v>
      </c>
      <c r="R345" t="s">
        <v>52</v>
      </c>
      <c r="S345" t="s">
        <v>52</v>
      </c>
      <c r="T345" t="s">
        <v>52</v>
      </c>
      <c r="U345" t="s">
        <v>52</v>
      </c>
      <c r="V345" t="s">
        <v>62</v>
      </c>
      <c r="W345" t="s">
        <v>52</v>
      </c>
      <c r="Y345" t="s">
        <v>1282</v>
      </c>
      <c r="Z345" t="s">
        <v>62</v>
      </c>
      <c r="AB345" t="s">
        <v>1398</v>
      </c>
      <c r="AE345" t="s">
        <v>1399</v>
      </c>
      <c r="AF345" t="s">
        <v>52</v>
      </c>
      <c r="AH345">
        <v>0</v>
      </c>
      <c r="AI345">
        <v>0</v>
      </c>
      <c r="AJ345" t="s">
        <v>52</v>
      </c>
      <c r="AK345">
        <v>0</v>
      </c>
      <c r="AL345" t="s">
        <v>52</v>
      </c>
      <c r="AM345" t="s">
        <v>52</v>
      </c>
      <c r="AN345">
        <v>0</v>
      </c>
      <c r="AO345">
        <v>0</v>
      </c>
      <c r="AP345" t="s">
        <v>52</v>
      </c>
      <c r="AQ345" t="s">
        <v>52</v>
      </c>
      <c r="AR345" t="s">
        <v>62</v>
      </c>
      <c r="AS345" t="s">
        <v>52</v>
      </c>
      <c r="AT345" t="s">
        <v>74</v>
      </c>
      <c r="AU345" t="s">
        <v>64</v>
      </c>
      <c r="AV345" t="s">
        <v>62</v>
      </c>
      <c r="AW345" t="s">
        <v>65</v>
      </c>
      <c r="AX345" t="s">
        <v>66</v>
      </c>
      <c r="AY345" t="s">
        <v>67</v>
      </c>
    </row>
    <row r="346" spans="1:51" hidden="1" x14ac:dyDescent="0.25">
      <c r="A346">
        <v>317136</v>
      </c>
      <c r="B346" t="s">
        <v>1400</v>
      </c>
      <c r="C346" t="e">
        <f>VLOOKUP(A346,[1]Customer_payment_journal_line!$AL:$BO,30,0)</f>
        <v>#N/A</v>
      </c>
      <c r="D346" t="s">
        <v>53</v>
      </c>
      <c r="E346" t="s">
        <v>1401</v>
      </c>
      <c r="F346" t="s">
        <v>1402</v>
      </c>
      <c r="G346" t="s">
        <v>1214</v>
      </c>
      <c r="H346" t="s">
        <v>201</v>
      </c>
      <c r="I346" t="s">
        <v>58</v>
      </c>
      <c r="J346" t="s">
        <v>202</v>
      </c>
      <c r="K346" t="s">
        <v>1403</v>
      </c>
      <c r="L346" t="s">
        <v>52</v>
      </c>
      <c r="M346">
        <v>570</v>
      </c>
      <c r="N346">
        <v>0</v>
      </c>
      <c r="O346" t="s">
        <v>61</v>
      </c>
      <c r="P346">
        <v>100</v>
      </c>
      <c r="Q346" t="s">
        <v>52</v>
      </c>
      <c r="R346" t="s">
        <v>52</v>
      </c>
      <c r="S346" t="s">
        <v>52</v>
      </c>
      <c r="T346" t="s">
        <v>52</v>
      </c>
      <c r="U346" t="s">
        <v>52</v>
      </c>
      <c r="V346" t="s">
        <v>62</v>
      </c>
      <c r="W346" t="s">
        <v>63</v>
      </c>
      <c r="Y346" t="s">
        <v>52</v>
      </c>
      <c r="AB346" t="s">
        <v>1404</v>
      </c>
      <c r="AE346" t="s">
        <v>1404</v>
      </c>
      <c r="AF346" t="s">
        <v>52</v>
      </c>
      <c r="AH346">
        <v>0</v>
      </c>
      <c r="AI346">
        <v>0</v>
      </c>
      <c r="AJ346" t="s">
        <v>52</v>
      </c>
      <c r="AK346">
        <v>0</v>
      </c>
      <c r="AL346" t="s">
        <v>52</v>
      </c>
      <c r="AM346" t="s">
        <v>52</v>
      </c>
      <c r="AN346">
        <v>0</v>
      </c>
      <c r="AO346">
        <v>0</v>
      </c>
      <c r="AP346" t="s">
        <v>52</v>
      </c>
      <c r="AQ346" t="s">
        <v>52</v>
      </c>
      <c r="AR346" t="s">
        <v>62</v>
      </c>
      <c r="AS346" t="s">
        <v>52</v>
      </c>
      <c r="AT346" t="s">
        <v>52</v>
      </c>
      <c r="AU346" t="s">
        <v>64</v>
      </c>
      <c r="AV346" t="s">
        <v>62</v>
      </c>
      <c r="AW346" t="s">
        <v>65</v>
      </c>
      <c r="AX346" t="s">
        <v>66</v>
      </c>
      <c r="AY346" t="s">
        <v>67</v>
      </c>
    </row>
    <row r="347" spans="1:51" hidden="1" x14ac:dyDescent="0.25">
      <c r="A347">
        <v>317136</v>
      </c>
      <c r="B347" t="s">
        <v>1405</v>
      </c>
      <c r="C347" t="e">
        <f>VLOOKUP(A347,[1]Customer_payment_journal_line!$AL:$BO,30,0)</f>
        <v>#N/A</v>
      </c>
      <c r="D347" t="s">
        <v>53</v>
      </c>
      <c r="E347" t="s">
        <v>1401</v>
      </c>
      <c r="F347" t="s">
        <v>1402</v>
      </c>
      <c r="G347" t="s">
        <v>1214</v>
      </c>
      <c r="H347" t="s">
        <v>69</v>
      </c>
      <c r="I347" t="s">
        <v>1406</v>
      </c>
      <c r="J347" t="s">
        <v>1407</v>
      </c>
      <c r="K347" t="s">
        <v>1403</v>
      </c>
      <c r="L347" t="s">
        <v>52</v>
      </c>
      <c r="M347">
        <v>0</v>
      </c>
      <c r="N347">
        <v>10</v>
      </c>
      <c r="O347" t="s">
        <v>126</v>
      </c>
      <c r="P347">
        <v>5285</v>
      </c>
      <c r="Q347" t="s">
        <v>52</v>
      </c>
      <c r="R347" t="s">
        <v>52</v>
      </c>
      <c r="S347" t="s">
        <v>52</v>
      </c>
      <c r="T347" t="s">
        <v>52</v>
      </c>
      <c r="U347" t="s">
        <v>52</v>
      </c>
      <c r="V347" t="s">
        <v>62</v>
      </c>
      <c r="W347" t="s">
        <v>52</v>
      </c>
      <c r="Y347" t="s">
        <v>1408</v>
      </c>
      <c r="Z347" t="s">
        <v>62</v>
      </c>
      <c r="AB347" t="s">
        <v>1404</v>
      </c>
      <c r="AE347" t="s">
        <v>1404</v>
      </c>
      <c r="AF347" t="s">
        <v>52</v>
      </c>
      <c r="AH347">
        <v>0</v>
      </c>
      <c r="AI347">
        <v>0</v>
      </c>
      <c r="AJ347" t="s">
        <v>52</v>
      </c>
      <c r="AK347">
        <v>0</v>
      </c>
      <c r="AL347" t="s">
        <v>52</v>
      </c>
      <c r="AM347" t="s">
        <v>52</v>
      </c>
      <c r="AN347">
        <v>0</v>
      </c>
      <c r="AO347">
        <v>0</v>
      </c>
      <c r="AP347" t="s">
        <v>52</v>
      </c>
      <c r="AQ347" t="s">
        <v>52</v>
      </c>
      <c r="AR347" t="s">
        <v>62</v>
      </c>
      <c r="AS347" t="s">
        <v>52</v>
      </c>
      <c r="AT347" t="s">
        <v>74</v>
      </c>
      <c r="AU347" t="s">
        <v>64</v>
      </c>
      <c r="AV347" t="s">
        <v>62</v>
      </c>
      <c r="AW347" t="s">
        <v>65</v>
      </c>
      <c r="AX347" t="s">
        <v>66</v>
      </c>
      <c r="AY347" t="s">
        <v>67</v>
      </c>
    </row>
    <row r="348" spans="1:51" hidden="1" x14ac:dyDescent="0.25">
      <c r="A348">
        <v>317136</v>
      </c>
      <c r="B348" t="s">
        <v>1409</v>
      </c>
      <c r="C348" t="e">
        <f>VLOOKUP(A348,[1]Customer_payment_journal_line!$AL:$BO,30,0)</f>
        <v>#N/A</v>
      </c>
      <c r="D348" t="s">
        <v>53</v>
      </c>
      <c r="E348" t="s">
        <v>1401</v>
      </c>
      <c r="F348" t="s">
        <v>1402</v>
      </c>
      <c r="G348" t="s">
        <v>1214</v>
      </c>
      <c r="H348" t="s">
        <v>210</v>
      </c>
      <c r="I348" t="s">
        <v>1410</v>
      </c>
      <c r="J348" t="s">
        <v>52</v>
      </c>
      <c r="K348" t="s">
        <v>1403</v>
      </c>
      <c r="L348" t="s">
        <v>52</v>
      </c>
      <c r="M348">
        <v>0</v>
      </c>
      <c r="N348">
        <v>41.5</v>
      </c>
      <c r="O348" t="s">
        <v>61</v>
      </c>
      <c r="P348">
        <v>100</v>
      </c>
      <c r="Q348" t="s">
        <v>52</v>
      </c>
      <c r="R348" t="s">
        <v>52</v>
      </c>
      <c r="S348" t="s">
        <v>52</v>
      </c>
      <c r="T348" t="s">
        <v>52</v>
      </c>
      <c r="U348" t="s">
        <v>52</v>
      </c>
      <c r="V348" t="s">
        <v>62</v>
      </c>
      <c r="W348" t="s">
        <v>63</v>
      </c>
      <c r="Y348" t="s">
        <v>1408</v>
      </c>
      <c r="AB348" t="s">
        <v>1404</v>
      </c>
      <c r="AE348" t="s">
        <v>1404</v>
      </c>
      <c r="AF348" t="s">
        <v>52</v>
      </c>
      <c r="AH348">
        <v>0</v>
      </c>
      <c r="AI348">
        <v>0</v>
      </c>
      <c r="AJ348" t="s">
        <v>52</v>
      </c>
      <c r="AK348">
        <v>0</v>
      </c>
      <c r="AL348" t="s">
        <v>52</v>
      </c>
      <c r="AM348" t="s">
        <v>52</v>
      </c>
      <c r="AN348">
        <v>0</v>
      </c>
      <c r="AO348">
        <v>0</v>
      </c>
      <c r="AP348" t="s">
        <v>52</v>
      </c>
      <c r="AQ348" t="s">
        <v>52</v>
      </c>
      <c r="AR348" t="s">
        <v>62</v>
      </c>
      <c r="AS348" t="s">
        <v>52</v>
      </c>
      <c r="AT348" t="s">
        <v>52</v>
      </c>
      <c r="AU348" t="s">
        <v>64</v>
      </c>
      <c r="AV348" t="s">
        <v>62</v>
      </c>
      <c r="AW348" t="s">
        <v>65</v>
      </c>
      <c r="AX348" t="s">
        <v>66</v>
      </c>
      <c r="AY348" t="s">
        <v>67</v>
      </c>
    </row>
    <row r="349" spans="1:51" hidden="1" x14ac:dyDescent="0.25">
      <c r="A349">
        <v>403104</v>
      </c>
      <c r="B349" t="s">
        <v>1411</v>
      </c>
      <c r="C349" t="e">
        <f>VLOOKUP(A349,[1]Customer_payment_journal_line!$AL:$BO,30,0)</f>
        <v>#N/A</v>
      </c>
      <c r="D349" t="s">
        <v>53</v>
      </c>
      <c r="E349" t="s">
        <v>1412</v>
      </c>
      <c r="F349" t="s">
        <v>1413</v>
      </c>
      <c r="G349" t="s">
        <v>1214</v>
      </c>
      <c r="H349" t="s">
        <v>57</v>
      </c>
      <c r="I349" t="s">
        <v>58</v>
      </c>
      <c r="J349" t="s">
        <v>1414</v>
      </c>
      <c r="K349" t="s">
        <v>1403</v>
      </c>
      <c r="L349" t="s">
        <v>52</v>
      </c>
      <c r="M349">
        <v>855</v>
      </c>
      <c r="N349">
        <v>0</v>
      </c>
      <c r="O349" t="s">
        <v>61</v>
      </c>
      <c r="P349">
        <v>100</v>
      </c>
      <c r="Q349" t="s">
        <v>52</v>
      </c>
      <c r="R349" t="s">
        <v>52</v>
      </c>
      <c r="S349" t="s">
        <v>52</v>
      </c>
      <c r="T349" t="s">
        <v>52</v>
      </c>
      <c r="U349" t="s">
        <v>52</v>
      </c>
      <c r="V349" t="s">
        <v>62</v>
      </c>
      <c r="W349" t="s">
        <v>63</v>
      </c>
      <c r="Y349" t="s">
        <v>52</v>
      </c>
      <c r="AB349" t="s">
        <v>52</v>
      </c>
      <c r="AE349" t="s">
        <v>52</v>
      </c>
      <c r="AF349" t="s">
        <v>52</v>
      </c>
      <c r="AH349">
        <v>0</v>
      </c>
      <c r="AI349">
        <v>0</v>
      </c>
      <c r="AJ349" t="s">
        <v>52</v>
      </c>
      <c r="AK349">
        <v>0</v>
      </c>
      <c r="AL349" t="s">
        <v>52</v>
      </c>
      <c r="AM349" t="s">
        <v>52</v>
      </c>
      <c r="AN349">
        <v>0</v>
      </c>
      <c r="AO349">
        <v>0</v>
      </c>
      <c r="AP349" t="s">
        <v>52</v>
      </c>
      <c r="AQ349" t="s">
        <v>52</v>
      </c>
      <c r="AR349" t="s">
        <v>62</v>
      </c>
      <c r="AS349" t="s">
        <v>52</v>
      </c>
      <c r="AT349" t="s">
        <v>52</v>
      </c>
      <c r="AU349" t="s">
        <v>64</v>
      </c>
      <c r="AV349" t="s">
        <v>62</v>
      </c>
      <c r="AW349" t="s">
        <v>65</v>
      </c>
      <c r="AX349" t="s">
        <v>66</v>
      </c>
      <c r="AY349" t="s">
        <v>67</v>
      </c>
    </row>
    <row r="350" spans="1:51" hidden="1" x14ac:dyDescent="0.25">
      <c r="A350">
        <v>403104</v>
      </c>
      <c r="B350" t="s">
        <v>1415</v>
      </c>
      <c r="C350" t="e">
        <f>VLOOKUP(A350,[1]Customer_payment_journal_line!$AL:$BO,30,0)</f>
        <v>#N/A</v>
      </c>
      <c r="D350" t="s">
        <v>53</v>
      </c>
      <c r="E350" t="s">
        <v>1412</v>
      </c>
      <c r="F350" t="s">
        <v>1413</v>
      </c>
      <c r="G350" t="s">
        <v>1214</v>
      </c>
      <c r="H350" t="s">
        <v>69</v>
      </c>
      <c r="I350" t="s">
        <v>1406</v>
      </c>
      <c r="J350" t="s">
        <v>1414</v>
      </c>
      <c r="K350" t="s">
        <v>1403</v>
      </c>
      <c r="L350" t="s">
        <v>52</v>
      </c>
      <c r="M350">
        <v>0</v>
      </c>
      <c r="N350">
        <v>855</v>
      </c>
      <c r="O350" t="s">
        <v>61</v>
      </c>
      <c r="P350">
        <v>100</v>
      </c>
      <c r="Q350" t="s">
        <v>52</v>
      </c>
      <c r="R350" t="s">
        <v>52</v>
      </c>
      <c r="S350" t="s">
        <v>52</v>
      </c>
      <c r="T350" t="s">
        <v>52</v>
      </c>
      <c r="U350" t="s">
        <v>52</v>
      </c>
      <c r="V350" t="s">
        <v>62</v>
      </c>
      <c r="W350" t="s">
        <v>52</v>
      </c>
      <c r="Y350" t="s">
        <v>1408</v>
      </c>
      <c r="Z350" t="s">
        <v>62</v>
      </c>
      <c r="AB350" t="s">
        <v>1416</v>
      </c>
      <c r="AE350" t="s">
        <v>1417</v>
      </c>
      <c r="AF350" t="s">
        <v>52</v>
      </c>
      <c r="AH350">
        <v>0</v>
      </c>
      <c r="AI350">
        <v>0</v>
      </c>
      <c r="AJ350" t="s">
        <v>52</v>
      </c>
      <c r="AK350">
        <v>0</v>
      </c>
      <c r="AL350" t="s">
        <v>52</v>
      </c>
      <c r="AM350" t="s">
        <v>52</v>
      </c>
      <c r="AN350">
        <v>0</v>
      </c>
      <c r="AO350">
        <v>0</v>
      </c>
      <c r="AP350" t="s">
        <v>52</v>
      </c>
      <c r="AQ350" t="s">
        <v>52</v>
      </c>
      <c r="AR350" t="s">
        <v>62</v>
      </c>
      <c r="AS350" t="s">
        <v>52</v>
      </c>
      <c r="AT350" t="s">
        <v>74</v>
      </c>
      <c r="AU350" t="s">
        <v>64</v>
      </c>
      <c r="AV350" t="s">
        <v>62</v>
      </c>
      <c r="AW350" t="s">
        <v>65</v>
      </c>
      <c r="AX350" t="s">
        <v>66</v>
      </c>
      <c r="AY350" t="s">
        <v>67</v>
      </c>
    </row>
    <row r="351" spans="1:51" hidden="1" x14ac:dyDescent="0.25">
      <c r="A351">
        <v>404457</v>
      </c>
      <c r="B351" t="s">
        <v>1418</v>
      </c>
      <c r="C351" t="e">
        <f>VLOOKUP(A351,[1]Customer_payment_journal_line!$AL:$BO,30,0)</f>
        <v>#N/A</v>
      </c>
      <c r="D351" t="s">
        <v>53</v>
      </c>
      <c r="E351" t="s">
        <v>1419</v>
      </c>
      <c r="F351" t="s">
        <v>1420</v>
      </c>
      <c r="G351" t="s">
        <v>1214</v>
      </c>
      <c r="H351" t="s">
        <v>57</v>
      </c>
      <c r="I351" t="s">
        <v>58</v>
      </c>
      <c r="J351" t="s">
        <v>1414</v>
      </c>
      <c r="K351" t="s">
        <v>1403</v>
      </c>
      <c r="L351" t="s">
        <v>52</v>
      </c>
      <c r="M351">
        <v>1368</v>
      </c>
      <c r="N351">
        <v>0</v>
      </c>
      <c r="O351" t="s">
        <v>61</v>
      </c>
      <c r="P351">
        <v>100</v>
      </c>
      <c r="Q351" t="s">
        <v>52</v>
      </c>
      <c r="R351" t="s">
        <v>52</v>
      </c>
      <c r="S351" t="s">
        <v>52</v>
      </c>
      <c r="T351" t="s">
        <v>52</v>
      </c>
      <c r="U351" t="s">
        <v>52</v>
      </c>
      <c r="V351" t="s">
        <v>62</v>
      </c>
      <c r="W351" t="s">
        <v>63</v>
      </c>
      <c r="Y351" t="s">
        <v>52</v>
      </c>
      <c r="AB351" t="s">
        <v>52</v>
      </c>
      <c r="AE351" t="s">
        <v>52</v>
      </c>
      <c r="AF351" t="s">
        <v>52</v>
      </c>
      <c r="AH351">
        <v>0</v>
      </c>
      <c r="AI351">
        <v>0</v>
      </c>
      <c r="AJ351" t="s">
        <v>52</v>
      </c>
      <c r="AK351">
        <v>0</v>
      </c>
      <c r="AL351" t="s">
        <v>52</v>
      </c>
      <c r="AM351" t="s">
        <v>52</v>
      </c>
      <c r="AN351">
        <v>0</v>
      </c>
      <c r="AO351">
        <v>0</v>
      </c>
      <c r="AP351" t="s">
        <v>52</v>
      </c>
      <c r="AQ351" t="s">
        <v>52</v>
      </c>
      <c r="AR351" t="s">
        <v>62</v>
      </c>
      <c r="AS351" t="s">
        <v>52</v>
      </c>
      <c r="AT351" t="s">
        <v>52</v>
      </c>
      <c r="AU351" t="s">
        <v>64</v>
      </c>
      <c r="AV351" t="s">
        <v>62</v>
      </c>
      <c r="AW351" t="s">
        <v>65</v>
      </c>
      <c r="AX351" t="s">
        <v>66</v>
      </c>
      <c r="AY351" t="s">
        <v>67</v>
      </c>
    </row>
    <row r="352" spans="1:51" hidden="1" x14ac:dyDescent="0.25">
      <c r="A352">
        <v>404457</v>
      </c>
      <c r="B352" t="s">
        <v>1421</v>
      </c>
      <c r="C352" t="e">
        <f>VLOOKUP(A352,[1]Customer_payment_journal_line!$AL:$BO,30,0)</f>
        <v>#N/A</v>
      </c>
      <c r="D352" t="s">
        <v>53</v>
      </c>
      <c r="E352" t="s">
        <v>1419</v>
      </c>
      <c r="F352" t="s">
        <v>1420</v>
      </c>
      <c r="G352" t="s">
        <v>1214</v>
      </c>
      <c r="H352" t="s">
        <v>69</v>
      </c>
      <c r="I352" t="s">
        <v>1406</v>
      </c>
      <c r="J352" t="s">
        <v>1414</v>
      </c>
      <c r="K352" t="s">
        <v>1403</v>
      </c>
      <c r="L352" t="s">
        <v>52</v>
      </c>
      <c r="M352">
        <v>0</v>
      </c>
      <c r="N352">
        <v>1368</v>
      </c>
      <c r="O352" t="s">
        <v>61</v>
      </c>
      <c r="P352">
        <v>100</v>
      </c>
      <c r="Q352" t="s">
        <v>52</v>
      </c>
      <c r="R352" t="s">
        <v>52</v>
      </c>
      <c r="S352" t="s">
        <v>52</v>
      </c>
      <c r="T352" t="s">
        <v>52</v>
      </c>
      <c r="U352" t="s">
        <v>52</v>
      </c>
      <c r="V352" t="s">
        <v>62</v>
      </c>
      <c r="W352" t="s">
        <v>52</v>
      </c>
      <c r="Y352" t="s">
        <v>1408</v>
      </c>
      <c r="Z352" t="s">
        <v>62</v>
      </c>
      <c r="AB352" t="s">
        <v>1422</v>
      </c>
      <c r="AE352" t="s">
        <v>1423</v>
      </c>
      <c r="AF352" t="s">
        <v>52</v>
      </c>
      <c r="AH352">
        <v>0</v>
      </c>
      <c r="AI352">
        <v>0</v>
      </c>
      <c r="AJ352" t="s">
        <v>52</v>
      </c>
      <c r="AK352">
        <v>0</v>
      </c>
      <c r="AL352" t="s">
        <v>52</v>
      </c>
      <c r="AM352" t="s">
        <v>52</v>
      </c>
      <c r="AN352">
        <v>0</v>
      </c>
      <c r="AO352">
        <v>0</v>
      </c>
      <c r="AP352" t="s">
        <v>52</v>
      </c>
      <c r="AQ352" t="s">
        <v>52</v>
      </c>
      <c r="AR352" t="s">
        <v>62</v>
      </c>
      <c r="AS352" t="s">
        <v>52</v>
      </c>
      <c r="AT352" t="s">
        <v>74</v>
      </c>
      <c r="AU352" t="s">
        <v>64</v>
      </c>
      <c r="AV352" t="s">
        <v>62</v>
      </c>
      <c r="AW352" t="s">
        <v>65</v>
      </c>
      <c r="AX352" t="s">
        <v>66</v>
      </c>
      <c r="AY352" t="s">
        <v>67</v>
      </c>
    </row>
    <row r="353" spans="1:51" hidden="1" x14ac:dyDescent="0.25">
      <c r="A353">
        <v>202544</v>
      </c>
      <c r="B353" t="s">
        <v>1424</v>
      </c>
      <c r="C353" t="e">
        <f>VLOOKUP(A353,[1]Customer_payment_journal_line!$AL:$BO,30,0)</f>
        <v>#N/A</v>
      </c>
      <c r="D353" t="s">
        <v>53</v>
      </c>
      <c r="E353" t="s">
        <v>1425</v>
      </c>
      <c r="F353" t="s">
        <v>1426</v>
      </c>
      <c r="G353" t="s">
        <v>1214</v>
      </c>
      <c r="H353" t="s">
        <v>57</v>
      </c>
      <c r="I353" t="s">
        <v>319</v>
      </c>
      <c r="J353" t="s">
        <v>1427</v>
      </c>
      <c r="K353" t="s">
        <v>864</v>
      </c>
      <c r="L353" t="s">
        <v>52</v>
      </c>
      <c r="M353">
        <v>2439.6</v>
      </c>
      <c r="N353">
        <v>0</v>
      </c>
      <c r="O353" t="s">
        <v>61</v>
      </c>
      <c r="P353">
        <v>100</v>
      </c>
      <c r="Q353" t="s">
        <v>52</v>
      </c>
      <c r="R353" t="s">
        <v>52</v>
      </c>
      <c r="S353" t="s">
        <v>52</v>
      </c>
      <c r="T353" t="s">
        <v>52</v>
      </c>
      <c r="U353" t="s">
        <v>52</v>
      </c>
      <c r="V353" t="s">
        <v>62</v>
      </c>
      <c r="W353" t="s">
        <v>63</v>
      </c>
      <c r="Y353" t="s">
        <v>52</v>
      </c>
      <c r="AB353" t="s">
        <v>52</v>
      </c>
      <c r="AE353" t="s">
        <v>52</v>
      </c>
      <c r="AF353" t="s">
        <v>52</v>
      </c>
      <c r="AH353">
        <v>0</v>
      </c>
      <c r="AI353">
        <v>0</v>
      </c>
      <c r="AJ353" t="s">
        <v>52</v>
      </c>
      <c r="AK353">
        <v>0</v>
      </c>
      <c r="AL353" t="s">
        <v>52</v>
      </c>
      <c r="AM353" t="s">
        <v>52</v>
      </c>
      <c r="AN353">
        <v>0</v>
      </c>
      <c r="AO353">
        <v>0</v>
      </c>
      <c r="AP353" t="s">
        <v>52</v>
      </c>
      <c r="AQ353" t="s">
        <v>52</v>
      </c>
      <c r="AR353" t="s">
        <v>62</v>
      </c>
      <c r="AS353" t="s">
        <v>52</v>
      </c>
      <c r="AT353" t="s">
        <v>52</v>
      </c>
      <c r="AU353" t="s">
        <v>64</v>
      </c>
      <c r="AV353" t="s">
        <v>62</v>
      </c>
      <c r="AW353" t="s">
        <v>65</v>
      </c>
      <c r="AX353" t="s">
        <v>66</v>
      </c>
      <c r="AY353" t="s">
        <v>67</v>
      </c>
    </row>
    <row r="354" spans="1:51" hidden="1" x14ac:dyDescent="0.25">
      <c r="A354">
        <v>202544</v>
      </c>
      <c r="B354" t="s">
        <v>1428</v>
      </c>
      <c r="C354" t="e">
        <f>VLOOKUP(A354,[1]Customer_payment_journal_line!$AL:$BO,30,0)</f>
        <v>#N/A</v>
      </c>
      <c r="D354" t="s">
        <v>53</v>
      </c>
      <c r="E354" t="s">
        <v>1425</v>
      </c>
      <c r="F354" t="s">
        <v>1426</v>
      </c>
      <c r="G354" t="s">
        <v>1214</v>
      </c>
      <c r="H354" t="s">
        <v>69</v>
      </c>
      <c r="I354" t="s">
        <v>866</v>
      </c>
      <c r="J354" t="s">
        <v>1427</v>
      </c>
      <c r="K354" t="s">
        <v>864</v>
      </c>
      <c r="L354" t="s">
        <v>52</v>
      </c>
      <c r="M354">
        <v>0</v>
      </c>
      <c r="N354">
        <v>2439.6</v>
      </c>
      <c r="O354" t="s">
        <v>61</v>
      </c>
      <c r="P354">
        <v>100</v>
      </c>
      <c r="Q354" t="s">
        <v>52</v>
      </c>
      <c r="R354" t="s">
        <v>52</v>
      </c>
      <c r="S354" t="s">
        <v>52</v>
      </c>
      <c r="T354" t="s">
        <v>52</v>
      </c>
      <c r="U354" t="s">
        <v>52</v>
      </c>
      <c r="V354" t="s">
        <v>62</v>
      </c>
      <c r="W354" t="s">
        <v>52</v>
      </c>
      <c r="Y354" t="s">
        <v>867</v>
      </c>
      <c r="Z354" t="s">
        <v>62</v>
      </c>
      <c r="AB354" t="s">
        <v>1429</v>
      </c>
      <c r="AE354" t="s">
        <v>1430</v>
      </c>
      <c r="AF354" t="s">
        <v>52</v>
      </c>
      <c r="AH354">
        <v>0</v>
      </c>
      <c r="AI354">
        <v>0</v>
      </c>
      <c r="AJ354" t="s">
        <v>52</v>
      </c>
      <c r="AK354">
        <v>0</v>
      </c>
      <c r="AL354" t="s">
        <v>52</v>
      </c>
      <c r="AM354" t="s">
        <v>52</v>
      </c>
      <c r="AN354">
        <v>0</v>
      </c>
      <c r="AO354">
        <v>0</v>
      </c>
      <c r="AP354" t="s">
        <v>52</v>
      </c>
      <c r="AQ354" t="s">
        <v>52</v>
      </c>
      <c r="AR354" t="s">
        <v>62</v>
      </c>
      <c r="AS354" t="s">
        <v>52</v>
      </c>
      <c r="AT354" t="s">
        <v>74</v>
      </c>
      <c r="AU354" t="s">
        <v>64</v>
      </c>
      <c r="AV354" t="s">
        <v>62</v>
      </c>
      <c r="AW354" t="s">
        <v>65</v>
      </c>
      <c r="AX354" t="s">
        <v>66</v>
      </c>
      <c r="AY354" t="s">
        <v>67</v>
      </c>
    </row>
    <row r="355" spans="1:51" hidden="1" x14ac:dyDescent="0.25">
      <c r="A355">
        <v>202545</v>
      </c>
      <c r="B355" t="s">
        <v>1431</v>
      </c>
      <c r="C355" t="e">
        <f>VLOOKUP(A355,[1]Customer_payment_journal_line!$AL:$BO,30,0)</f>
        <v>#N/A</v>
      </c>
      <c r="D355" t="s">
        <v>53</v>
      </c>
      <c r="E355" t="s">
        <v>1432</v>
      </c>
      <c r="F355" t="s">
        <v>1433</v>
      </c>
      <c r="G355" t="s">
        <v>1214</v>
      </c>
      <c r="H355" t="s">
        <v>57</v>
      </c>
      <c r="I355" t="s">
        <v>319</v>
      </c>
      <c r="J355" t="s">
        <v>1434</v>
      </c>
      <c r="K355" t="s">
        <v>864</v>
      </c>
      <c r="L355" t="s">
        <v>52</v>
      </c>
      <c r="M355">
        <v>803.7</v>
      </c>
      <c r="N355">
        <v>0</v>
      </c>
      <c r="O355" t="s">
        <v>61</v>
      </c>
      <c r="P355">
        <v>100</v>
      </c>
      <c r="Q355" t="s">
        <v>52</v>
      </c>
      <c r="R355" t="s">
        <v>52</v>
      </c>
      <c r="S355" t="s">
        <v>52</v>
      </c>
      <c r="T355" t="s">
        <v>52</v>
      </c>
      <c r="U355" t="s">
        <v>52</v>
      </c>
      <c r="V355" t="s">
        <v>62</v>
      </c>
      <c r="W355" t="s">
        <v>63</v>
      </c>
      <c r="Y355" t="s">
        <v>52</v>
      </c>
      <c r="AB355" t="s">
        <v>52</v>
      </c>
      <c r="AE355" t="s">
        <v>52</v>
      </c>
      <c r="AF355" t="s">
        <v>52</v>
      </c>
      <c r="AH355">
        <v>0</v>
      </c>
      <c r="AI355">
        <v>0</v>
      </c>
      <c r="AJ355" t="s">
        <v>52</v>
      </c>
      <c r="AK355">
        <v>0</v>
      </c>
      <c r="AL355" t="s">
        <v>52</v>
      </c>
      <c r="AM355" t="s">
        <v>52</v>
      </c>
      <c r="AN355">
        <v>0</v>
      </c>
      <c r="AO355">
        <v>0</v>
      </c>
      <c r="AP355" t="s">
        <v>52</v>
      </c>
      <c r="AQ355" t="s">
        <v>52</v>
      </c>
      <c r="AR355" t="s">
        <v>62</v>
      </c>
      <c r="AS355" t="s">
        <v>52</v>
      </c>
      <c r="AT355" t="s">
        <v>52</v>
      </c>
      <c r="AU355" t="s">
        <v>64</v>
      </c>
      <c r="AV355" t="s">
        <v>62</v>
      </c>
      <c r="AW355" t="s">
        <v>65</v>
      </c>
      <c r="AX355" t="s">
        <v>66</v>
      </c>
      <c r="AY355" t="s">
        <v>67</v>
      </c>
    </row>
    <row r="356" spans="1:51" hidden="1" x14ac:dyDescent="0.25">
      <c r="A356">
        <v>202545</v>
      </c>
      <c r="B356" t="s">
        <v>1435</v>
      </c>
      <c r="C356" t="e">
        <f>VLOOKUP(A356,[1]Customer_payment_journal_line!$AL:$BO,30,0)</f>
        <v>#N/A</v>
      </c>
      <c r="D356" t="s">
        <v>53</v>
      </c>
      <c r="E356" t="s">
        <v>1432</v>
      </c>
      <c r="F356" t="s">
        <v>1433</v>
      </c>
      <c r="G356" t="s">
        <v>1214</v>
      </c>
      <c r="H356" t="s">
        <v>69</v>
      </c>
      <c r="I356" t="s">
        <v>866</v>
      </c>
      <c r="J356" t="s">
        <v>1434</v>
      </c>
      <c r="K356" t="s">
        <v>864</v>
      </c>
      <c r="L356" t="s">
        <v>52</v>
      </c>
      <c r="M356">
        <v>0</v>
      </c>
      <c r="N356">
        <v>803.7</v>
      </c>
      <c r="O356" t="s">
        <v>61</v>
      </c>
      <c r="P356">
        <v>100</v>
      </c>
      <c r="Q356" t="s">
        <v>52</v>
      </c>
      <c r="R356" t="s">
        <v>52</v>
      </c>
      <c r="S356" t="s">
        <v>52</v>
      </c>
      <c r="T356" t="s">
        <v>52</v>
      </c>
      <c r="U356" t="s">
        <v>52</v>
      </c>
      <c r="V356" t="s">
        <v>62</v>
      </c>
      <c r="W356" t="s">
        <v>52</v>
      </c>
      <c r="Y356" t="s">
        <v>867</v>
      </c>
      <c r="Z356" t="s">
        <v>62</v>
      </c>
      <c r="AB356" t="s">
        <v>1436</v>
      </c>
      <c r="AE356" t="s">
        <v>1437</v>
      </c>
      <c r="AF356" t="s">
        <v>52</v>
      </c>
      <c r="AH356">
        <v>0</v>
      </c>
      <c r="AI356">
        <v>0</v>
      </c>
      <c r="AJ356" t="s">
        <v>52</v>
      </c>
      <c r="AK356">
        <v>0</v>
      </c>
      <c r="AL356" t="s">
        <v>52</v>
      </c>
      <c r="AM356" t="s">
        <v>52</v>
      </c>
      <c r="AN356">
        <v>0</v>
      </c>
      <c r="AO356">
        <v>0</v>
      </c>
      <c r="AP356" t="s">
        <v>52</v>
      </c>
      <c r="AQ356" t="s">
        <v>52</v>
      </c>
      <c r="AR356" t="s">
        <v>62</v>
      </c>
      <c r="AS356" t="s">
        <v>52</v>
      </c>
      <c r="AT356" t="s">
        <v>74</v>
      </c>
      <c r="AU356" t="s">
        <v>64</v>
      </c>
      <c r="AV356" t="s">
        <v>62</v>
      </c>
      <c r="AW356" t="s">
        <v>65</v>
      </c>
      <c r="AX356" t="s">
        <v>66</v>
      </c>
      <c r="AY356" t="s">
        <v>67</v>
      </c>
    </row>
    <row r="357" spans="1:51" hidden="1" x14ac:dyDescent="0.25">
      <c r="A357">
        <v>202546</v>
      </c>
      <c r="B357" t="s">
        <v>1438</v>
      </c>
      <c r="C357" t="e">
        <f>VLOOKUP(A357,[1]Customer_payment_journal_line!$AL:$BO,30,0)</f>
        <v>#N/A</v>
      </c>
      <c r="D357" t="s">
        <v>53</v>
      </c>
      <c r="E357" t="s">
        <v>1439</v>
      </c>
      <c r="F357" t="s">
        <v>1440</v>
      </c>
      <c r="G357" t="s">
        <v>1214</v>
      </c>
      <c r="H357" t="s">
        <v>57</v>
      </c>
      <c r="I357" t="s">
        <v>319</v>
      </c>
      <c r="J357" t="s">
        <v>1434</v>
      </c>
      <c r="K357" t="s">
        <v>864</v>
      </c>
      <c r="L357" t="s">
        <v>52</v>
      </c>
      <c r="M357">
        <v>285</v>
      </c>
      <c r="N357">
        <v>0</v>
      </c>
      <c r="O357" t="s">
        <v>61</v>
      </c>
      <c r="P357">
        <v>100</v>
      </c>
      <c r="Q357" t="s">
        <v>52</v>
      </c>
      <c r="R357" t="s">
        <v>52</v>
      </c>
      <c r="S357" t="s">
        <v>52</v>
      </c>
      <c r="T357" t="s">
        <v>52</v>
      </c>
      <c r="U357" t="s">
        <v>52</v>
      </c>
      <c r="V357" t="s">
        <v>62</v>
      </c>
      <c r="W357" t="s">
        <v>63</v>
      </c>
      <c r="Y357" t="s">
        <v>52</v>
      </c>
      <c r="AB357" t="s">
        <v>52</v>
      </c>
      <c r="AE357" t="s">
        <v>52</v>
      </c>
      <c r="AF357" t="s">
        <v>52</v>
      </c>
      <c r="AH357">
        <v>0</v>
      </c>
      <c r="AI357">
        <v>0</v>
      </c>
      <c r="AJ357" t="s">
        <v>52</v>
      </c>
      <c r="AK357">
        <v>0</v>
      </c>
      <c r="AL357" t="s">
        <v>52</v>
      </c>
      <c r="AM357" t="s">
        <v>52</v>
      </c>
      <c r="AN357">
        <v>0</v>
      </c>
      <c r="AO357">
        <v>0</v>
      </c>
      <c r="AP357" t="s">
        <v>52</v>
      </c>
      <c r="AQ357" t="s">
        <v>52</v>
      </c>
      <c r="AR357" t="s">
        <v>62</v>
      </c>
      <c r="AS357" t="s">
        <v>52</v>
      </c>
      <c r="AT357" t="s">
        <v>52</v>
      </c>
      <c r="AU357" t="s">
        <v>64</v>
      </c>
      <c r="AV357" t="s">
        <v>62</v>
      </c>
      <c r="AW357" t="s">
        <v>65</v>
      </c>
      <c r="AX357" t="s">
        <v>66</v>
      </c>
      <c r="AY357" t="s">
        <v>67</v>
      </c>
    </row>
    <row r="358" spans="1:51" hidden="1" x14ac:dyDescent="0.25">
      <c r="A358">
        <v>202546</v>
      </c>
      <c r="B358" t="s">
        <v>1441</v>
      </c>
      <c r="C358" t="e">
        <f>VLOOKUP(A358,[1]Customer_payment_journal_line!$AL:$BO,30,0)</f>
        <v>#N/A</v>
      </c>
      <c r="D358" t="s">
        <v>53</v>
      </c>
      <c r="E358" t="s">
        <v>1439</v>
      </c>
      <c r="F358" t="s">
        <v>1440</v>
      </c>
      <c r="G358" t="s">
        <v>1214</v>
      </c>
      <c r="H358" t="s">
        <v>69</v>
      </c>
      <c r="I358" t="s">
        <v>866</v>
      </c>
      <c r="J358" t="s">
        <v>1434</v>
      </c>
      <c r="K358" t="s">
        <v>864</v>
      </c>
      <c r="L358" t="s">
        <v>52</v>
      </c>
      <c r="M358">
        <v>0</v>
      </c>
      <c r="N358">
        <v>285</v>
      </c>
      <c r="O358" t="s">
        <v>61</v>
      </c>
      <c r="P358">
        <v>100</v>
      </c>
      <c r="Q358" t="s">
        <v>52</v>
      </c>
      <c r="R358" t="s">
        <v>52</v>
      </c>
      <c r="S358" t="s">
        <v>52</v>
      </c>
      <c r="T358" t="s">
        <v>52</v>
      </c>
      <c r="U358" t="s">
        <v>52</v>
      </c>
      <c r="V358" t="s">
        <v>62</v>
      </c>
      <c r="W358" t="s">
        <v>52</v>
      </c>
      <c r="Y358" t="s">
        <v>867</v>
      </c>
      <c r="Z358" t="s">
        <v>62</v>
      </c>
      <c r="AB358" t="s">
        <v>1442</v>
      </c>
      <c r="AE358" t="s">
        <v>1443</v>
      </c>
      <c r="AF358" t="s">
        <v>52</v>
      </c>
      <c r="AH358">
        <v>0</v>
      </c>
      <c r="AI358">
        <v>0</v>
      </c>
      <c r="AJ358" t="s">
        <v>52</v>
      </c>
      <c r="AK358">
        <v>0</v>
      </c>
      <c r="AL358" t="s">
        <v>52</v>
      </c>
      <c r="AM358" t="s">
        <v>52</v>
      </c>
      <c r="AN358">
        <v>0</v>
      </c>
      <c r="AO358">
        <v>0</v>
      </c>
      <c r="AP358" t="s">
        <v>52</v>
      </c>
      <c r="AQ358" t="s">
        <v>52</v>
      </c>
      <c r="AR358" t="s">
        <v>62</v>
      </c>
      <c r="AS358" t="s">
        <v>52</v>
      </c>
      <c r="AT358" t="s">
        <v>74</v>
      </c>
      <c r="AU358" t="s">
        <v>64</v>
      </c>
      <c r="AV358" t="s">
        <v>62</v>
      </c>
      <c r="AW358" t="s">
        <v>65</v>
      </c>
      <c r="AX358" t="s">
        <v>66</v>
      </c>
      <c r="AY358" t="s">
        <v>67</v>
      </c>
    </row>
    <row r="359" spans="1:51" hidden="1" x14ac:dyDescent="0.25">
      <c r="A359">
        <v>202570</v>
      </c>
      <c r="B359" t="s">
        <v>1444</v>
      </c>
      <c r="C359" t="e">
        <f>VLOOKUP(A359,[1]Customer_payment_journal_line!$AL:$BO,30,0)</f>
        <v>#N/A</v>
      </c>
      <c r="D359" t="s">
        <v>53</v>
      </c>
      <c r="E359" t="s">
        <v>1445</v>
      </c>
      <c r="F359" t="s">
        <v>1446</v>
      </c>
      <c r="G359" t="s">
        <v>1447</v>
      </c>
      <c r="H359" t="s">
        <v>210</v>
      </c>
      <c r="I359" t="s">
        <v>1448</v>
      </c>
      <c r="K359" t="s">
        <v>1449</v>
      </c>
      <c r="L359" t="s">
        <v>1450</v>
      </c>
      <c r="M359" s="1">
        <v>50</v>
      </c>
      <c r="N359">
        <v>0</v>
      </c>
      <c r="O359" t="s">
        <v>61</v>
      </c>
      <c r="P359">
        <v>100</v>
      </c>
      <c r="Q359" t="s">
        <v>52</v>
      </c>
      <c r="R359" t="s">
        <v>52</v>
      </c>
      <c r="S359" t="s">
        <v>52</v>
      </c>
      <c r="T359" t="s">
        <v>52</v>
      </c>
      <c r="U359" t="s">
        <v>52</v>
      </c>
      <c r="V359" t="s">
        <v>62</v>
      </c>
      <c r="W359" t="s">
        <v>63</v>
      </c>
      <c r="Y359" t="s">
        <v>52</v>
      </c>
      <c r="Z359" t="s">
        <v>62</v>
      </c>
      <c r="AB359" t="s">
        <v>1451</v>
      </c>
      <c r="AC359" t="s">
        <v>631</v>
      </c>
      <c r="AD359" t="s">
        <v>631</v>
      </c>
      <c r="AF359" t="s">
        <v>52</v>
      </c>
      <c r="AH359">
        <v>0</v>
      </c>
      <c r="AI359">
        <v>0</v>
      </c>
      <c r="AJ359" t="s">
        <v>52</v>
      </c>
      <c r="AK359">
        <v>0</v>
      </c>
      <c r="AL359" t="s">
        <v>52</v>
      </c>
      <c r="AM359" t="s">
        <v>52</v>
      </c>
      <c r="AN359">
        <v>0</v>
      </c>
      <c r="AO359">
        <v>0</v>
      </c>
      <c r="AP359" t="s">
        <v>52</v>
      </c>
      <c r="AQ359" t="s">
        <v>52</v>
      </c>
      <c r="AR359" t="s">
        <v>62</v>
      </c>
      <c r="AS359" t="s">
        <v>52</v>
      </c>
      <c r="AT359" t="s">
        <v>52</v>
      </c>
      <c r="AU359" t="s">
        <v>64</v>
      </c>
      <c r="AV359" t="s">
        <v>62</v>
      </c>
      <c r="AW359" t="s">
        <v>65</v>
      </c>
      <c r="AX359" t="s">
        <v>702</v>
      </c>
      <c r="AY359" t="s">
        <v>67</v>
      </c>
    </row>
    <row r="360" spans="1:51" hidden="1" x14ac:dyDescent="0.25">
      <c r="A360">
        <v>202570</v>
      </c>
      <c r="B360" t="s">
        <v>1452</v>
      </c>
      <c r="C360" t="e">
        <f>VLOOKUP(A360,[1]Customer_payment_journal_line!$AL:$BO,30,0)</f>
        <v>#N/A</v>
      </c>
      <c r="D360" t="s">
        <v>53</v>
      </c>
      <c r="E360" t="s">
        <v>1445</v>
      </c>
      <c r="F360" t="s">
        <v>1446</v>
      </c>
      <c r="G360" t="s">
        <v>1447</v>
      </c>
      <c r="H360" t="s">
        <v>210</v>
      </c>
      <c r="I360" t="s">
        <v>1453</v>
      </c>
      <c r="K360" t="s">
        <v>1449</v>
      </c>
      <c r="L360" t="s">
        <v>1450</v>
      </c>
      <c r="M360" s="1">
        <v>50</v>
      </c>
      <c r="N360">
        <v>0</v>
      </c>
      <c r="O360" t="s">
        <v>61</v>
      </c>
      <c r="P360">
        <v>100</v>
      </c>
      <c r="Q360" t="s">
        <v>52</v>
      </c>
      <c r="R360" t="s">
        <v>52</v>
      </c>
      <c r="S360" t="s">
        <v>52</v>
      </c>
      <c r="T360" t="s">
        <v>52</v>
      </c>
      <c r="U360" t="s">
        <v>52</v>
      </c>
      <c r="V360" t="s">
        <v>62</v>
      </c>
      <c r="W360" t="s">
        <v>63</v>
      </c>
      <c r="Y360" t="s">
        <v>52</v>
      </c>
      <c r="Z360" t="s">
        <v>62</v>
      </c>
      <c r="AB360" t="s">
        <v>1451</v>
      </c>
      <c r="AC360" t="s">
        <v>631</v>
      </c>
      <c r="AD360" t="s">
        <v>631</v>
      </c>
      <c r="AF360" t="s">
        <v>52</v>
      </c>
      <c r="AH360">
        <v>0</v>
      </c>
      <c r="AI360">
        <v>0</v>
      </c>
      <c r="AJ360" t="s">
        <v>52</v>
      </c>
      <c r="AK360">
        <v>0</v>
      </c>
      <c r="AL360" t="s">
        <v>52</v>
      </c>
      <c r="AM360" t="s">
        <v>52</v>
      </c>
      <c r="AN360">
        <v>0</v>
      </c>
      <c r="AO360">
        <v>0</v>
      </c>
      <c r="AP360" t="s">
        <v>52</v>
      </c>
      <c r="AQ360" t="s">
        <v>52</v>
      </c>
      <c r="AR360" t="s">
        <v>62</v>
      </c>
      <c r="AS360" t="s">
        <v>52</v>
      </c>
      <c r="AT360" t="s">
        <v>52</v>
      </c>
      <c r="AU360" t="s">
        <v>64</v>
      </c>
      <c r="AV360" t="s">
        <v>62</v>
      </c>
      <c r="AW360" t="s">
        <v>65</v>
      </c>
      <c r="AX360" t="s">
        <v>702</v>
      </c>
      <c r="AY360" t="s">
        <v>67</v>
      </c>
    </row>
    <row r="361" spans="1:51" hidden="1" x14ac:dyDescent="0.25">
      <c r="A361">
        <v>202570</v>
      </c>
      <c r="B361" t="s">
        <v>1454</v>
      </c>
      <c r="C361" t="e">
        <f>VLOOKUP(A361,[1]Customer_payment_journal_line!$AL:$BO,30,0)</f>
        <v>#N/A</v>
      </c>
      <c r="D361" t="s">
        <v>53</v>
      </c>
      <c r="E361" t="s">
        <v>1445</v>
      </c>
      <c r="F361" t="s">
        <v>1446</v>
      </c>
      <c r="G361" t="s">
        <v>1447</v>
      </c>
      <c r="H361" t="s">
        <v>210</v>
      </c>
      <c r="I361" t="s">
        <v>1455</v>
      </c>
      <c r="K361" t="s">
        <v>1449</v>
      </c>
      <c r="L361" t="s">
        <v>1450</v>
      </c>
      <c r="M361" s="1">
        <v>75</v>
      </c>
      <c r="N361">
        <v>0</v>
      </c>
      <c r="O361" t="s">
        <v>61</v>
      </c>
      <c r="P361">
        <v>100</v>
      </c>
      <c r="Q361" t="s">
        <v>52</v>
      </c>
      <c r="R361" t="s">
        <v>52</v>
      </c>
      <c r="S361" t="s">
        <v>52</v>
      </c>
      <c r="T361" t="s">
        <v>52</v>
      </c>
      <c r="U361" t="s">
        <v>52</v>
      </c>
      <c r="V361" t="s">
        <v>62</v>
      </c>
      <c r="W361" t="s">
        <v>63</v>
      </c>
      <c r="Y361" t="s">
        <v>52</v>
      </c>
      <c r="Z361" t="s">
        <v>62</v>
      </c>
      <c r="AB361" t="s">
        <v>1451</v>
      </c>
      <c r="AC361" t="s">
        <v>631</v>
      </c>
      <c r="AD361" t="s">
        <v>631</v>
      </c>
      <c r="AF361" t="s">
        <v>52</v>
      </c>
      <c r="AH361">
        <v>0</v>
      </c>
      <c r="AI361">
        <v>0</v>
      </c>
      <c r="AJ361" t="s">
        <v>52</v>
      </c>
      <c r="AK361">
        <v>0</v>
      </c>
      <c r="AL361" t="s">
        <v>52</v>
      </c>
      <c r="AM361" t="s">
        <v>52</v>
      </c>
      <c r="AN361">
        <v>0</v>
      </c>
      <c r="AO361">
        <v>0</v>
      </c>
      <c r="AP361" t="s">
        <v>52</v>
      </c>
      <c r="AQ361" t="s">
        <v>52</v>
      </c>
      <c r="AR361" t="s">
        <v>62</v>
      </c>
      <c r="AS361" t="s">
        <v>52</v>
      </c>
      <c r="AT361" t="s">
        <v>52</v>
      </c>
      <c r="AU361" t="s">
        <v>64</v>
      </c>
      <c r="AV361" t="s">
        <v>62</v>
      </c>
      <c r="AW361" t="s">
        <v>65</v>
      </c>
      <c r="AX361" t="s">
        <v>702</v>
      </c>
      <c r="AY361" t="s">
        <v>67</v>
      </c>
    </row>
    <row r="362" spans="1:51" hidden="1" x14ac:dyDescent="0.25">
      <c r="A362">
        <v>202570</v>
      </c>
      <c r="B362" t="s">
        <v>1456</v>
      </c>
      <c r="C362" t="e">
        <f>VLOOKUP(A362,[1]Customer_payment_journal_line!$AL:$BO,30,0)</f>
        <v>#N/A</v>
      </c>
      <c r="D362" t="s">
        <v>53</v>
      </c>
      <c r="E362" t="s">
        <v>1445</v>
      </c>
      <c r="F362" t="s">
        <v>1446</v>
      </c>
      <c r="G362" t="s">
        <v>1447</v>
      </c>
      <c r="H362" t="s">
        <v>210</v>
      </c>
      <c r="I362" t="s">
        <v>1457</v>
      </c>
      <c r="K362" t="s">
        <v>1449</v>
      </c>
      <c r="L362" t="s">
        <v>1450</v>
      </c>
      <c r="M362" s="1">
        <v>100</v>
      </c>
      <c r="N362">
        <v>0</v>
      </c>
      <c r="O362" t="s">
        <v>61</v>
      </c>
      <c r="P362">
        <v>100</v>
      </c>
      <c r="Q362" t="s">
        <v>52</v>
      </c>
      <c r="R362" t="s">
        <v>52</v>
      </c>
      <c r="S362" t="s">
        <v>52</v>
      </c>
      <c r="T362" t="s">
        <v>52</v>
      </c>
      <c r="U362" t="s">
        <v>52</v>
      </c>
      <c r="V362" t="s">
        <v>62</v>
      </c>
      <c r="W362" t="s">
        <v>63</v>
      </c>
      <c r="Y362" t="s">
        <v>52</v>
      </c>
      <c r="Z362" t="s">
        <v>62</v>
      </c>
      <c r="AB362" t="s">
        <v>1451</v>
      </c>
      <c r="AC362" t="s">
        <v>631</v>
      </c>
      <c r="AD362" t="s">
        <v>631</v>
      </c>
      <c r="AF362" t="s">
        <v>52</v>
      </c>
      <c r="AH362">
        <v>0</v>
      </c>
      <c r="AI362">
        <v>0</v>
      </c>
      <c r="AJ362" t="s">
        <v>52</v>
      </c>
      <c r="AK362">
        <v>0</v>
      </c>
      <c r="AL362" t="s">
        <v>52</v>
      </c>
      <c r="AM362" t="s">
        <v>52</v>
      </c>
      <c r="AN362">
        <v>0</v>
      </c>
      <c r="AO362">
        <v>0</v>
      </c>
      <c r="AP362" t="s">
        <v>52</v>
      </c>
      <c r="AQ362" t="s">
        <v>52</v>
      </c>
      <c r="AR362" t="s">
        <v>62</v>
      </c>
      <c r="AS362" t="s">
        <v>52</v>
      </c>
      <c r="AT362" t="s">
        <v>52</v>
      </c>
      <c r="AU362" t="s">
        <v>64</v>
      </c>
      <c r="AV362" t="s">
        <v>62</v>
      </c>
      <c r="AW362" t="s">
        <v>65</v>
      </c>
      <c r="AX362" t="s">
        <v>702</v>
      </c>
      <c r="AY362" t="s">
        <v>67</v>
      </c>
    </row>
    <row r="363" spans="1:51" hidden="1" x14ac:dyDescent="0.25">
      <c r="A363">
        <v>202570</v>
      </c>
      <c r="B363" t="s">
        <v>1458</v>
      </c>
      <c r="C363" t="e">
        <f>VLOOKUP(A363,[1]Customer_payment_journal_line!$AL:$BO,30,0)</f>
        <v>#N/A</v>
      </c>
      <c r="D363" t="s">
        <v>53</v>
      </c>
      <c r="E363" t="s">
        <v>1445</v>
      </c>
      <c r="F363" t="s">
        <v>1446</v>
      </c>
      <c r="G363" t="s">
        <v>1447</v>
      </c>
      <c r="H363" t="s">
        <v>210</v>
      </c>
      <c r="I363" t="s">
        <v>1459</v>
      </c>
      <c r="K363" t="s">
        <v>1449</v>
      </c>
      <c r="L363" t="s">
        <v>1450</v>
      </c>
      <c r="M363" s="1">
        <v>100</v>
      </c>
      <c r="N363">
        <v>0</v>
      </c>
      <c r="O363" t="s">
        <v>61</v>
      </c>
      <c r="P363">
        <v>100</v>
      </c>
      <c r="Q363" t="s">
        <v>52</v>
      </c>
      <c r="R363" t="s">
        <v>52</v>
      </c>
      <c r="S363" t="s">
        <v>52</v>
      </c>
      <c r="T363" t="s">
        <v>52</v>
      </c>
      <c r="U363" t="s">
        <v>52</v>
      </c>
      <c r="V363" t="s">
        <v>62</v>
      </c>
      <c r="W363" t="s">
        <v>63</v>
      </c>
      <c r="Y363" t="s">
        <v>52</v>
      </c>
      <c r="Z363" t="s">
        <v>62</v>
      </c>
      <c r="AB363" t="s">
        <v>1451</v>
      </c>
      <c r="AC363" t="s">
        <v>631</v>
      </c>
      <c r="AD363" t="s">
        <v>631</v>
      </c>
      <c r="AF363" t="s">
        <v>52</v>
      </c>
      <c r="AH363">
        <v>0</v>
      </c>
      <c r="AI363">
        <v>0</v>
      </c>
      <c r="AJ363" t="s">
        <v>52</v>
      </c>
      <c r="AK363">
        <v>0</v>
      </c>
      <c r="AL363" t="s">
        <v>52</v>
      </c>
      <c r="AM363" t="s">
        <v>52</v>
      </c>
      <c r="AN363">
        <v>0</v>
      </c>
      <c r="AO363">
        <v>0</v>
      </c>
      <c r="AP363" t="s">
        <v>52</v>
      </c>
      <c r="AQ363" t="s">
        <v>52</v>
      </c>
      <c r="AR363" t="s">
        <v>62</v>
      </c>
      <c r="AS363" t="s">
        <v>52</v>
      </c>
      <c r="AT363" t="s">
        <v>52</v>
      </c>
      <c r="AU363" t="s">
        <v>64</v>
      </c>
      <c r="AV363" t="s">
        <v>62</v>
      </c>
      <c r="AW363" t="s">
        <v>65</v>
      </c>
      <c r="AX363" t="s">
        <v>702</v>
      </c>
      <c r="AY363" t="s">
        <v>67</v>
      </c>
    </row>
    <row r="364" spans="1:51" hidden="1" x14ac:dyDescent="0.25">
      <c r="A364">
        <v>202570</v>
      </c>
      <c r="B364" t="s">
        <v>1460</v>
      </c>
      <c r="C364" t="e">
        <f>VLOOKUP(A364,[1]Customer_payment_journal_line!$AL:$BO,30,0)</f>
        <v>#N/A</v>
      </c>
      <c r="D364" t="s">
        <v>53</v>
      </c>
      <c r="E364" t="s">
        <v>1445</v>
      </c>
      <c r="F364" t="s">
        <v>1446</v>
      </c>
      <c r="G364" t="s">
        <v>1447</v>
      </c>
      <c r="H364" t="s">
        <v>210</v>
      </c>
      <c r="I364" t="s">
        <v>1461</v>
      </c>
      <c r="K364" t="s">
        <v>1449</v>
      </c>
      <c r="L364" t="s">
        <v>1450</v>
      </c>
      <c r="M364" s="1">
        <v>3307.7</v>
      </c>
      <c r="N364">
        <v>0</v>
      </c>
      <c r="O364" t="s">
        <v>61</v>
      </c>
      <c r="P364">
        <v>100</v>
      </c>
      <c r="Q364" t="s">
        <v>52</v>
      </c>
      <c r="R364" t="s">
        <v>52</v>
      </c>
      <c r="S364" t="s">
        <v>52</v>
      </c>
      <c r="T364" t="s">
        <v>52</v>
      </c>
      <c r="U364" t="s">
        <v>52</v>
      </c>
      <c r="V364" t="s">
        <v>62</v>
      </c>
      <c r="W364" t="s">
        <v>63</v>
      </c>
      <c r="Y364" t="s">
        <v>52</v>
      </c>
      <c r="Z364" t="s">
        <v>62</v>
      </c>
      <c r="AB364" t="s">
        <v>1451</v>
      </c>
      <c r="AC364" t="s">
        <v>631</v>
      </c>
      <c r="AD364" t="s">
        <v>631</v>
      </c>
      <c r="AF364" t="s">
        <v>52</v>
      </c>
      <c r="AH364">
        <v>0</v>
      </c>
      <c r="AI364">
        <v>0</v>
      </c>
      <c r="AJ364" t="s">
        <v>52</v>
      </c>
      <c r="AK364">
        <v>0</v>
      </c>
      <c r="AL364" t="s">
        <v>52</v>
      </c>
      <c r="AM364" t="s">
        <v>52</v>
      </c>
      <c r="AN364">
        <v>0</v>
      </c>
      <c r="AO364">
        <v>0</v>
      </c>
      <c r="AP364" t="s">
        <v>52</v>
      </c>
      <c r="AQ364" t="s">
        <v>52</v>
      </c>
      <c r="AR364" t="s">
        <v>62</v>
      </c>
      <c r="AS364" t="s">
        <v>52</v>
      </c>
      <c r="AT364" t="s">
        <v>52</v>
      </c>
      <c r="AU364" t="s">
        <v>64</v>
      </c>
      <c r="AV364" t="s">
        <v>62</v>
      </c>
      <c r="AW364" t="s">
        <v>65</v>
      </c>
      <c r="AX364" t="s">
        <v>702</v>
      </c>
      <c r="AY364" t="s">
        <v>67</v>
      </c>
    </row>
    <row r="365" spans="1:51" hidden="1" x14ac:dyDescent="0.25">
      <c r="A365">
        <v>202570</v>
      </c>
      <c r="B365" t="s">
        <v>1462</v>
      </c>
      <c r="C365" t="e">
        <f>VLOOKUP(A365,[1]Customer_payment_journal_line!$AL:$BO,30,0)</f>
        <v>#N/A</v>
      </c>
      <c r="D365" t="s">
        <v>53</v>
      </c>
      <c r="E365" t="s">
        <v>1445</v>
      </c>
      <c r="F365" t="s">
        <v>1446</v>
      </c>
      <c r="G365" t="s">
        <v>1447</v>
      </c>
      <c r="H365" t="s">
        <v>704</v>
      </c>
      <c r="I365" t="s">
        <v>1463</v>
      </c>
      <c r="J365" t="s">
        <v>1464</v>
      </c>
      <c r="K365" t="s">
        <v>1449</v>
      </c>
      <c r="L365" t="s">
        <v>1450</v>
      </c>
      <c r="M365" s="1">
        <v>0</v>
      </c>
      <c r="N365">
        <v>6000</v>
      </c>
      <c r="O365" t="s">
        <v>61</v>
      </c>
      <c r="P365">
        <v>100</v>
      </c>
      <c r="Q365" t="s">
        <v>52</v>
      </c>
      <c r="R365" t="s">
        <v>52</v>
      </c>
      <c r="S365" t="s">
        <v>52</v>
      </c>
      <c r="T365" t="s">
        <v>52</v>
      </c>
      <c r="U365" t="s">
        <v>52</v>
      </c>
      <c r="V365" t="s">
        <v>62</v>
      </c>
      <c r="W365" t="s">
        <v>52</v>
      </c>
      <c r="Z365" t="s">
        <v>62</v>
      </c>
      <c r="AB365" t="s">
        <v>1451</v>
      </c>
      <c r="AC365" t="s">
        <v>631</v>
      </c>
      <c r="AD365" t="s">
        <v>631</v>
      </c>
      <c r="AF365" t="s">
        <v>52</v>
      </c>
      <c r="AH365">
        <v>0</v>
      </c>
      <c r="AI365">
        <v>0</v>
      </c>
      <c r="AJ365" t="s">
        <v>52</v>
      </c>
      <c r="AK365">
        <v>0</v>
      </c>
      <c r="AL365" t="s">
        <v>52</v>
      </c>
      <c r="AM365" t="s">
        <v>52</v>
      </c>
      <c r="AN365">
        <v>0</v>
      </c>
      <c r="AO365">
        <v>0</v>
      </c>
      <c r="AP365" t="s">
        <v>52</v>
      </c>
      <c r="AQ365" t="s">
        <v>52</v>
      </c>
      <c r="AR365" t="s">
        <v>62</v>
      </c>
      <c r="AS365" t="s">
        <v>52</v>
      </c>
      <c r="AT365" t="s">
        <v>710</v>
      </c>
      <c r="AU365" t="s">
        <v>64</v>
      </c>
      <c r="AV365" t="s">
        <v>62</v>
      </c>
      <c r="AW365" t="s">
        <v>65</v>
      </c>
      <c r="AX365" t="s">
        <v>702</v>
      </c>
      <c r="AY365" t="s">
        <v>67</v>
      </c>
    </row>
    <row r="366" spans="1:51" hidden="1" x14ac:dyDescent="0.25">
      <c r="A366">
        <v>202570</v>
      </c>
      <c r="B366" t="s">
        <v>1465</v>
      </c>
      <c r="C366" t="e">
        <f>VLOOKUP(A366,[1]Customer_payment_journal_line!$AL:$BO,30,0)</f>
        <v>#N/A</v>
      </c>
      <c r="D366" t="s">
        <v>53</v>
      </c>
      <c r="E366" t="s">
        <v>1445</v>
      </c>
      <c r="F366" t="s">
        <v>1446</v>
      </c>
      <c r="G366" t="s">
        <v>1447</v>
      </c>
      <c r="H366" t="s">
        <v>201</v>
      </c>
      <c r="I366" t="s">
        <v>95</v>
      </c>
      <c r="J366" t="s">
        <v>1464</v>
      </c>
      <c r="K366" t="s">
        <v>1449</v>
      </c>
      <c r="L366" t="s">
        <v>52</v>
      </c>
      <c r="M366" s="1">
        <v>2242.3000000000002</v>
      </c>
      <c r="N366">
        <v>0</v>
      </c>
      <c r="O366" t="s">
        <v>61</v>
      </c>
      <c r="P366">
        <v>100</v>
      </c>
      <c r="Q366" t="s">
        <v>52</v>
      </c>
      <c r="R366" t="s">
        <v>52</v>
      </c>
      <c r="S366" t="s">
        <v>52</v>
      </c>
      <c r="T366" t="s">
        <v>52</v>
      </c>
      <c r="U366" t="s">
        <v>52</v>
      </c>
      <c r="V366" t="s">
        <v>62</v>
      </c>
      <c r="W366" t="s">
        <v>63</v>
      </c>
      <c r="Y366" t="s">
        <v>52</v>
      </c>
      <c r="AB366" t="s">
        <v>1451</v>
      </c>
      <c r="AC366" t="s">
        <v>631</v>
      </c>
      <c r="AD366" t="s">
        <v>631</v>
      </c>
      <c r="AF366" t="s">
        <v>52</v>
      </c>
      <c r="AH366">
        <v>0</v>
      </c>
      <c r="AI366">
        <v>0</v>
      </c>
      <c r="AJ366" t="s">
        <v>52</v>
      </c>
      <c r="AK366">
        <v>0</v>
      </c>
      <c r="AL366" t="s">
        <v>52</v>
      </c>
      <c r="AM366" t="s">
        <v>52</v>
      </c>
      <c r="AN366">
        <v>0</v>
      </c>
      <c r="AO366">
        <v>0</v>
      </c>
      <c r="AP366" t="s">
        <v>52</v>
      </c>
      <c r="AQ366" t="s">
        <v>52</v>
      </c>
      <c r="AR366" t="s">
        <v>62</v>
      </c>
      <c r="AS366" t="s">
        <v>52</v>
      </c>
      <c r="AT366" t="s">
        <v>52</v>
      </c>
      <c r="AU366" t="s">
        <v>64</v>
      </c>
      <c r="AV366" t="s">
        <v>62</v>
      </c>
      <c r="AW366" t="s">
        <v>65</v>
      </c>
      <c r="AX366" t="s">
        <v>702</v>
      </c>
      <c r="AY366" t="s">
        <v>67</v>
      </c>
    </row>
    <row r="367" spans="1:51" hidden="1" x14ac:dyDescent="0.25">
      <c r="A367">
        <v>202570</v>
      </c>
      <c r="B367" t="s">
        <v>1466</v>
      </c>
      <c r="C367" t="e">
        <f>VLOOKUP(A367,[1]Customer_payment_journal_line!$AL:$BO,30,0)</f>
        <v>#N/A</v>
      </c>
      <c r="D367" t="s">
        <v>53</v>
      </c>
      <c r="E367" t="s">
        <v>1445</v>
      </c>
      <c r="F367" t="s">
        <v>1446</v>
      </c>
      <c r="G367" t="s">
        <v>1447</v>
      </c>
      <c r="H367" t="s">
        <v>210</v>
      </c>
      <c r="I367" t="s">
        <v>1459</v>
      </c>
      <c r="K367" t="s">
        <v>1449</v>
      </c>
      <c r="L367" t="s">
        <v>1450</v>
      </c>
      <c r="M367" s="1">
        <v>75</v>
      </c>
      <c r="N367">
        <v>0</v>
      </c>
      <c r="O367" t="s">
        <v>61</v>
      </c>
      <c r="P367">
        <v>100</v>
      </c>
      <c r="Q367" t="s">
        <v>52</v>
      </c>
      <c r="R367" t="s">
        <v>52</v>
      </c>
      <c r="S367" t="s">
        <v>52</v>
      </c>
      <c r="T367" t="s">
        <v>52</v>
      </c>
      <c r="U367" t="s">
        <v>52</v>
      </c>
      <c r="V367" t="s">
        <v>62</v>
      </c>
      <c r="W367" t="s">
        <v>63</v>
      </c>
      <c r="Y367" t="s">
        <v>52</v>
      </c>
      <c r="Z367" t="s">
        <v>62</v>
      </c>
      <c r="AB367" t="s">
        <v>1451</v>
      </c>
      <c r="AC367" t="s">
        <v>631</v>
      </c>
      <c r="AD367" t="s">
        <v>631</v>
      </c>
      <c r="AE367" t="s">
        <v>1467</v>
      </c>
      <c r="AF367" t="s">
        <v>52</v>
      </c>
      <c r="AH367">
        <v>0</v>
      </c>
      <c r="AI367">
        <v>0</v>
      </c>
      <c r="AJ367" t="s">
        <v>52</v>
      </c>
      <c r="AK367">
        <v>0</v>
      </c>
      <c r="AL367" t="s">
        <v>52</v>
      </c>
      <c r="AM367" t="s">
        <v>52</v>
      </c>
      <c r="AN367">
        <v>0</v>
      </c>
      <c r="AO367">
        <v>0</v>
      </c>
      <c r="AP367" t="s">
        <v>52</v>
      </c>
      <c r="AQ367" t="s">
        <v>52</v>
      </c>
      <c r="AR367" t="s">
        <v>62</v>
      </c>
      <c r="AS367" t="s">
        <v>52</v>
      </c>
      <c r="AT367" t="s">
        <v>52</v>
      </c>
      <c r="AU367" t="s">
        <v>64</v>
      </c>
      <c r="AV367" t="s">
        <v>62</v>
      </c>
      <c r="AW367" t="s">
        <v>65</v>
      </c>
      <c r="AX367" t="s">
        <v>702</v>
      </c>
      <c r="AY367" t="s">
        <v>67</v>
      </c>
    </row>
    <row r="368" spans="1:51" hidden="1" x14ac:dyDescent="0.25">
      <c r="A368">
        <v>202576</v>
      </c>
      <c r="B368" t="s">
        <v>1468</v>
      </c>
      <c r="C368" t="e">
        <f>VLOOKUP(A368,[1]Customer_payment_journal_line!$AL:$BO,30,0)</f>
        <v>#N/A</v>
      </c>
      <c r="D368" t="s">
        <v>159</v>
      </c>
      <c r="E368" t="s">
        <v>1469</v>
      </c>
      <c r="F368" t="s">
        <v>1470</v>
      </c>
      <c r="G368" t="s">
        <v>1447</v>
      </c>
      <c r="H368" t="s">
        <v>80</v>
      </c>
      <c r="I368" t="s">
        <v>766</v>
      </c>
      <c r="J368" t="s">
        <v>1471</v>
      </c>
      <c r="K368" t="s">
        <v>1472</v>
      </c>
      <c r="L368" t="s">
        <v>52</v>
      </c>
      <c r="M368">
        <v>310</v>
      </c>
      <c r="N368">
        <v>0</v>
      </c>
      <c r="O368" t="s">
        <v>126</v>
      </c>
      <c r="P368">
        <v>5285</v>
      </c>
      <c r="Q368" t="s">
        <v>52</v>
      </c>
      <c r="R368" t="s">
        <v>52</v>
      </c>
      <c r="S368" t="s">
        <v>52</v>
      </c>
      <c r="T368" t="s">
        <v>52</v>
      </c>
      <c r="U368" t="s">
        <v>52</v>
      </c>
      <c r="V368" t="s">
        <v>62</v>
      </c>
      <c r="W368" t="s">
        <v>52</v>
      </c>
      <c r="Y368" t="s">
        <v>52</v>
      </c>
      <c r="AB368" t="s">
        <v>52</v>
      </c>
      <c r="AE368" t="s">
        <v>52</v>
      </c>
      <c r="AF368" t="s">
        <v>52</v>
      </c>
      <c r="AH368">
        <v>0</v>
      </c>
      <c r="AI368">
        <v>0</v>
      </c>
      <c r="AJ368" t="s">
        <v>52</v>
      </c>
      <c r="AK368">
        <v>0</v>
      </c>
      <c r="AL368" t="s">
        <v>52</v>
      </c>
      <c r="AM368" t="s">
        <v>52</v>
      </c>
      <c r="AN368">
        <v>0</v>
      </c>
      <c r="AO368">
        <v>0</v>
      </c>
      <c r="AP368" t="s">
        <v>52</v>
      </c>
      <c r="AQ368" t="s">
        <v>52</v>
      </c>
      <c r="AR368" t="s">
        <v>62</v>
      </c>
      <c r="AS368" t="s">
        <v>52</v>
      </c>
      <c r="AT368" t="s">
        <v>52</v>
      </c>
      <c r="AU368" t="s">
        <v>64</v>
      </c>
      <c r="AV368" t="s">
        <v>62</v>
      </c>
      <c r="AW368" t="s">
        <v>65</v>
      </c>
      <c r="AX368" t="s">
        <v>66</v>
      </c>
      <c r="AY368" t="s">
        <v>165</v>
      </c>
    </row>
    <row r="369" spans="1:51" hidden="1" x14ac:dyDescent="0.25">
      <c r="A369">
        <v>202576</v>
      </c>
      <c r="B369" t="s">
        <v>1473</v>
      </c>
      <c r="C369" t="e">
        <f>VLOOKUP(A369,[1]Customer_payment_journal_line!$AL:$BO,30,0)</f>
        <v>#N/A</v>
      </c>
      <c r="D369" t="s">
        <v>159</v>
      </c>
      <c r="E369" t="s">
        <v>1469</v>
      </c>
      <c r="F369" t="s">
        <v>1470</v>
      </c>
      <c r="G369" t="s">
        <v>1447</v>
      </c>
      <c r="H369" t="s">
        <v>69</v>
      </c>
      <c r="I369" t="s">
        <v>1474</v>
      </c>
      <c r="J369" t="s">
        <v>1471</v>
      </c>
      <c r="K369" t="s">
        <v>1472</v>
      </c>
      <c r="L369" t="s">
        <v>52</v>
      </c>
      <c r="M369">
        <v>0</v>
      </c>
      <c r="N369">
        <v>310</v>
      </c>
      <c r="O369" t="s">
        <v>126</v>
      </c>
      <c r="P369">
        <v>5285</v>
      </c>
      <c r="Q369" t="s">
        <v>52</v>
      </c>
      <c r="R369" t="s">
        <v>52</v>
      </c>
      <c r="S369" t="s">
        <v>52</v>
      </c>
      <c r="T369" t="s">
        <v>52</v>
      </c>
      <c r="U369" t="s">
        <v>52</v>
      </c>
      <c r="V369" t="s">
        <v>62</v>
      </c>
      <c r="W369" t="s">
        <v>52</v>
      </c>
      <c r="Y369" t="s">
        <v>1475</v>
      </c>
      <c r="Z369" t="s">
        <v>62</v>
      </c>
      <c r="AB369" t="s">
        <v>1476</v>
      </c>
      <c r="AE369" t="s">
        <v>1477</v>
      </c>
      <c r="AF369" t="s">
        <v>52</v>
      </c>
      <c r="AH369">
        <v>0</v>
      </c>
      <c r="AI369">
        <v>0</v>
      </c>
      <c r="AJ369" t="s">
        <v>52</v>
      </c>
      <c r="AK369">
        <v>0</v>
      </c>
      <c r="AL369" t="s">
        <v>52</v>
      </c>
      <c r="AM369" t="s">
        <v>52</v>
      </c>
      <c r="AN369">
        <v>0</v>
      </c>
      <c r="AO369">
        <v>0</v>
      </c>
      <c r="AP369" t="s">
        <v>52</v>
      </c>
      <c r="AQ369" t="s">
        <v>52</v>
      </c>
      <c r="AR369" t="s">
        <v>62</v>
      </c>
      <c r="AS369" t="s">
        <v>52</v>
      </c>
      <c r="AT369" t="s">
        <v>74</v>
      </c>
      <c r="AU369" t="s">
        <v>64</v>
      </c>
      <c r="AV369" t="s">
        <v>62</v>
      </c>
      <c r="AW369" t="s">
        <v>65</v>
      </c>
      <c r="AX369" t="s">
        <v>66</v>
      </c>
      <c r="AY369" t="s">
        <v>165</v>
      </c>
    </row>
    <row r="370" spans="1:51" hidden="1" x14ac:dyDescent="0.25">
      <c r="A370">
        <v>202577</v>
      </c>
      <c r="B370" t="s">
        <v>1478</v>
      </c>
      <c r="C370" t="e">
        <f>VLOOKUP(A370,[1]Customer_payment_journal_line!$AL:$BO,30,0)</f>
        <v>#N/A</v>
      </c>
      <c r="D370" t="s">
        <v>159</v>
      </c>
      <c r="E370" t="s">
        <v>1479</v>
      </c>
      <c r="F370" t="s">
        <v>1480</v>
      </c>
      <c r="G370" t="s">
        <v>1447</v>
      </c>
      <c r="H370" t="s">
        <v>80</v>
      </c>
      <c r="I370" t="s">
        <v>162</v>
      </c>
      <c r="J370" t="s">
        <v>1471</v>
      </c>
      <c r="K370" t="s">
        <v>1472</v>
      </c>
      <c r="L370" t="s">
        <v>52</v>
      </c>
      <c r="M370">
        <v>1852.5</v>
      </c>
      <c r="N370">
        <v>0</v>
      </c>
      <c r="O370" t="s">
        <v>61</v>
      </c>
      <c r="P370">
        <v>100</v>
      </c>
      <c r="Q370" t="s">
        <v>52</v>
      </c>
      <c r="R370" t="s">
        <v>52</v>
      </c>
      <c r="S370" t="s">
        <v>52</v>
      </c>
      <c r="T370" t="s">
        <v>52</v>
      </c>
      <c r="U370" t="s">
        <v>52</v>
      </c>
      <c r="V370" t="s">
        <v>62</v>
      </c>
      <c r="W370" t="s">
        <v>52</v>
      </c>
      <c r="Y370" t="s">
        <v>52</v>
      </c>
      <c r="AB370" t="s">
        <v>52</v>
      </c>
      <c r="AE370" t="s">
        <v>52</v>
      </c>
      <c r="AF370" t="s">
        <v>52</v>
      </c>
      <c r="AH370">
        <v>0</v>
      </c>
      <c r="AI370">
        <v>0</v>
      </c>
      <c r="AJ370" t="s">
        <v>52</v>
      </c>
      <c r="AK370">
        <v>0</v>
      </c>
      <c r="AL370" t="s">
        <v>52</v>
      </c>
      <c r="AM370" t="s">
        <v>52</v>
      </c>
      <c r="AN370">
        <v>0</v>
      </c>
      <c r="AO370">
        <v>0</v>
      </c>
      <c r="AP370" t="s">
        <v>52</v>
      </c>
      <c r="AQ370" t="s">
        <v>52</v>
      </c>
      <c r="AR370" t="s">
        <v>62</v>
      </c>
      <c r="AS370" t="s">
        <v>52</v>
      </c>
      <c r="AT370" t="s">
        <v>52</v>
      </c>
      <c r="AU370" t="s">
        <v>64</v>
      </c>
      <c r="AV370" t="s">
        <v>62</v>
      </c>
      <c r="AW370" t="s">
        <v>65</v>
      </c>
      <c r="AX370" t="s">
        <v>66</v>
      </c>
      <c r="AY370" t="s">
        <v>165</v>
      </c>
    </row>
    <row r="371" spans="1:51" hidden="1" x14ac:dyDescent="0.25">
      <c r="A371">
        <v>202577</v>
      </c>
      <c r="B371" t="s">
        <v>1481</v>
      </c>
      <c r="C371" t="e">
        <f>VLOOKUP(A371,[1]Customer_payment_journal_line!$AL:$BO,30,0)</f>
        <v>#N/A</v>
      </c>
      <c r="D371" t="s">
        <v>159</v>
      </c>
      <c r="E371" t="s">
        <v>1479</v>
      </c>
      <c r="F371" t="s">
        <v>1480</v>
      </c>
      <c r="G371" t="s">
        <v>1447</v>
      </c>
      <c r="H371" t="s">
        <v>69</v>
      </c>
      <c r="I371" t="s">
        <v>1474</v>
      </c>
      <c r="J371" t="s">
        <v>1482</v>
      </c>
      <c r="K371" t="s">
        <v>1472</v>
      </c>
      <c r="L371" t="s">
        <v>52</v>
      </c>
      <c r="M371">
        <v>0</v>
      </c>
      <c r="N371">
        <v>199.5</v>
      </c>
      <c r="O371" t="s">
        <v>61</v>
      </c>
      <c r="P371">
        <v>100</v>
      </c>
      <c r="Q371" t="s">
        <v>52</v>
      </c>
      <c r="R371" t="s">
        <v>52</v>
      </c>
      <c r="S371" t="s">
        <v>52</v>
      </c>
      <c r="T371" t="s">
        <v>52</v>
      </c>
      <c r="U371" t="s">
        <v>52</v>
      </c>
      <c r="V371" t="s">
        <v>62</v>
      </c>
      <c r="W371" t="s">
        <v>52</v>
      </c>
      <c r="Y371" t="s">
        <v>1475</v>
      </c>
      <c r="Z371" t="s">
        <v>62</v>
      </c>
      <c r="AB371" t="s">
        <v>1483</v>
      </c>
      <c r="AE371" t="s">
        <v>1484</v>
      </c>
      <c r="AF371" t="s">
        <v>52</v>
      </c>
      <c r="AH371">
        <v>0</v>
      </c>
      <c r="AI371">
        <v>0</v>
      </c>
      <c r="AJ371" t="s">
        <v>52</v>
      </c>
      <c r="AK371">
        <v>0</v>
      </c>
      <c r="AL371" t="s">
        <v>52</v>
      </c>
      <c r="AM371" t="s">
        <v>52</v>
      </c>
      <c r="AN371">
        <v>0</v>
      </c>
      <c r="AO371">
        <v>0</v>
      </c>
      <c r="AP371" t="s">
        <v>52</v>
      </c>
      <c r="AQ371" t="s">
        <v>52</v>
      </c>
      <c r="AR371" t="s">
        <v>62</v>
      </c>
      <c r="AS371" t="s">
        <v>52</v>
      </c>
      <c r="AT371" t="s">
        <v>74</v>
      </c>
      <c r="AU371" t="s">
        <v>64</v>
      </c>
      <c r="AV371" t="s">
        <v>62</v>
      </c>
      <c r="AW371" t="s">
        <v>65</v>
      </c>
      <c r="AX371" t="s">
        <v>66</v>
      </c>
      <c r="AY371" t="s">
        <v>165</v>
      </c>
    </row>
    <row r="372" spans="1:51" hidden="1" x14ac:dyDescent="0.25">
      <c r="A372">
        <v>202577</v>
      </c>
      <c r="B372" t="s">
        <v>1485</v>
      </c>
      <c r="C372" t="e">
        <f>VLOOKUP(A372,[1]Customer_payment_journal_line!$AL:$BO,30,0)</f>
        <v>#N/A</v>
      </c>
      <c r="D372" t="s">
        <v>159</v>
      </c>
      <c r="E372" t="s">
        <v>1479</v>
      </c>
      <c r="F372" t="s">
        <v>1480</v>
      </c>
      <c r="G372" t="s">
        <v>1447</v>
      </c>
      <c r="H372" t="s">
        <v>69</v>
      </c>
      <c r="I372" t="s">
        <v>1474</v>
      </c>
      <c r="J372" t="s">
        <v>1471</v>
      </c>
      <c r="K372" t="s">
        <v>1472</v>
      </c>
      <c r="L372" t="s">
        <v>52</v>
      </c>
      <c r="M372">
        <v>0</v>
      </c>
      <c r="N372">
        <v>1653</v>
      </c>
      <c r="O372" t="s">
        <v>61</v>
      </c>
      <c r="P372">
        <v>100</v>
      </c>
      <c r="Q372" t="s">
        <v>52</v>
      </c>
      <c r="R372" t="s">
        <v>52</v>
      </c>
      <c r="S372" t="s">
        <v>52</v>
      </c>
      <c r="T372" t="s">
        <v>52</v>
      </c>
      <c r="U372" t="s">
        <v>52</v>
      </c>
      <c r="V372" t="s">
        <v>62</v>
      </c>
      <c r="W372" t="s">
        <v>52</v>
      </c>
      <c r="Y372" t="s">
        <v>1475</v>
      </c>
      <c r="Z372" t="s">
        <v>62</v>
      </c>
      <c r="AB372" t="s">
        <v>1486</v>
      </c>
      <c r="AE372" t="s">
        <v>1487</v>
      </c>
      <c r="AF372" t="s">
        <v>52</v>
      </c>
      <c r="AH372">
        <v>0</v>
      </c>
      <c r="AI372">
        <v>0</v>
      </c>
      <c r="AJ372" t="s">
        <v>52</v>
      </c>
      <c r="AK372">
        <v>0</v>
      </c>
      <c r="AL372" t="s">
        <v>52</v>
      </c>
      <c r="AM372" t="s">
        <v>52</v>
      </c>
      <c r="AN372">
        <v>0</v>
      </c>
      <c r="AO372">
        <v>0</v>
      </c>
      <c r="AP372" t="s">
        <v>52</v>
      </c>
      <c r="AQ372" t="s">
        <v>52</v>
      </c>
      <c r="AR372" t="s">
        <v>62</v>
      </c>
      <c r="AS372" t="s">
        <v>52</v>
      </c>
      <c r="AT372" t="s">
        <v>74</v>
      </c>
      <c r="AU372" t="s">
        <v>64</v>
      </c>
      <c r="AV372" t="s">
        <v>62</v>
      </c>
      <c r="AW372" t="s">
        <v>65</v>
      </c>
      <c r="AX372" t="s">
        <v>66</v>
      </c>
      <c r="AY372" t="s">
        <v>165</v>
      </c>
    </row>
    <row r="373" spans="1:51" hidden="1" x14ac:dyDescent="0.25">
      <c r="A373">
        <v>202600</v>
      </c>
      <c r="B373" t="s">
        <v>1488</v>
      </c>
      <c r="C373" t="str">
        <f>VLOOKUP(A373,[1]Customer_payment_journal_line!$AL:$BO,30,0)</f>
        <v>CPay-000000033</v>
      </c>
      <c r="D373" t="s">
        <v>53</v>
      </c>
      <c r="E373" t="s">
        <v>1489</v>
      </c>
      <c r="F373" t="s">
        <v>1490</v>
      </c>
      <c r="G373" t="s">
        <v>1447</v>
      </c>
      <c r="H373" t="s">
        <v>57</v>
      </c>
      <c r="I373" t="s">
        <v>95</v>
      </c>
      <c r="J373" t="s">
        <v>1491</v>
      </c>
      <c r="K373" t="s">
        <v>1492</v>
      </c>
      <c r="L373">
        <f>VLOOKUP(A373,[1]Customer_payment_journal_line!$B:$L,11,0)</f>
        <v>1653</v>
      </c>
      <c r="M373" s="1">
        <v>1653</v>
      </c>
      <c r="N373" s="2">
        <f>L373-M373</f>
        <v>0</v>
      </c>
      <c r="O373" t="s">
        <v>61</v>
      </c>
      <c r="P373">
        <v>100</v>
      </c>
      <c r="Q373" t="s">
        <v>52</v>
      </c>
      <c r="R373" t="s">
        <v>52</v>
      </c>
      <c r="S373" t="s">
        <v>52</v>
      </c>
      <c r="T373" t="s">
        <v>52</v>
      </c>
      <c r="U373" t="s">
        <v>52</v>
      </c>
      <c r="V373" t="s">
        <v>62</v>
      </c>
      <c r="W373" t="s">
        <v>63</v>
      </c>
      <c r="Y373" t="s">
        <v>52</v>
      </c>
      <c r="AB373" t="s">
        <v>52</v>
      </c>
      <c r="AE373" t="s">
        <v>52</v>
      </c>
      <c r="AF373" t="s">
        <v>52</v>
      </c>
      <c r="AH373">
        <v>0</v>
      </c>
      <c r="AI373">
        <v>0</v>
      </c>
      <c r="AJ373" t="s">
        <v>52</v>
      </c>
      <c r="AK373">
        <v>0</v>
      </c>
      <c r="AL373" t="s">
        <v>52</v>
      </c>
      <c r="AM373" t="s">
        <v>52</v>
      </c>
      <c r="AN373">
        <v>0</v>
      </c>
      <c r="AO373">
        <v>0</v>
      </c>
      <c r="AP373" t="s">
        <v>52</v>
      </c>
      <c r="AQ373" t="s">
        <v>52</v>
      </c>
      <c r="AR373" t="s">
        <v>62</v>
      </c>
      <c r="AS373" t="s">
        <v>52</v>
      </c>
      <c r="AT373" t="s">
        <v>52</v>
      </c>
      <c r="AU373" t="s">
        <v>64</v>
      </c>
      <c r="AV373" t="s">
        <v>62</v>
      </c>
      <c r="AW373" t="s">
        <v>65</v>
      </c>
      <c r="AX373" t="s">
        <v>66</v>
      </c>
      <c r="AY373" t="s">
        <v>67</v>
      </c>
    </row>
    <row r="374" spans="1:51" hidden="1" x14ac:dyDescent="0.25">
      <c r="A374">
        <v>202600</v>
      </c>
      <c r="B374" t="s">
        <v>1493</v>
      </c>
      <c r="C374" t="str">
        <f>VLOOKUP(A374,[1]Customer_payment_journal_line!$AL:$BO,30,0)</f>
        <v>CPay-000000033</v>
      </c>
      <c r="D374" t="s">
        <v>53</v>
      </c>
      <c r="E374" t="s">
        <v>1489</v>
      </c>
      <c r="F374" t="s">
        <v>1490</v>
      </c>
      <c r="G374" t="s">
        <v>1447</v>
      </c>
      <c r="H374" t="s">
        <v>69</v>
      </c>
      <c r="I374" t="s">
        <v>1494</v>
      </c>
      <c r="J374" t="s">
        <v>1491</v>
      </c>
      <c r="K374" t="s">
        <v>1492</v>
      </c>
      <c r="L374">
        <f>VLOOKUP(A374,[1]Customer_payment_journal_line!$B:$L,11,0)</f>
        <v>1653</v>
      </c>
      <c r="M374" s="1">
        <v>0</v>
      </c>
      <c r="N374">
        <v>1653</v>
      </c>
      <c r="O374" t="s">
        <v>61</v>
      </c>
      <c r="P374">
        <v>100</v>
      </c>
      <c r="Q374" t="s">
        <v>52</v>
      </c>
      <c r="R374" t="s">
        <v>52</v>
      </c>
      <c r="S374" t="s">
        <v>52</v>
      </c>
      <c r="T374" t="s">
        <v>52</v>
      </c>
      <c r="U374" t="s">
        <v>52</v>
      </c>
      <c r="V374" t="s">
        <v>62</v>
      </c>
      <c r="W374" t="s">
        <v>52</v>
      </c>
      <c r="Y374" t="s">
        <v>1495</v>
      </c>
      <c r="Z374" t="s">
        <v>62</v>
      </c>
      <c r="AB374" t="s">
        <v>1496</v>
      </c>
      <c r="AE374" t="s">
        <v>1497</v>
      </c>
      <c r="AF374" t="s">
        <v>52</v>
      </c>
      <c r="AH374">
        <v>0</v>
      </c>
      <c r="AI374">
        <v>0</v>
      </c>
      <c r="AJ374" t="s">
        <v>52</v>
      </c>
      <c r="AK374">
        <v>0</v>
      </c>
      <c r="AL374" t="s">
        <v>52</v>
      </c>
      <c r="AM374" t="s">
        <v>52</v>
      </c>
      <c r="AN374">
        <v>0</v>
      </c>
      <c r="AO374">
        <v>0</v>
      </c>
      <c r="AP374" t="s">
        <v>52</v>
      </c>
      <c r="AQ374" t="s">
        <v>52</v>
      </c>
      <c r="AR374" t="s">
        <v>62</v>
      </c>
      <c r="AS374" t="s">
        <v>52</v>
      </c>
      <c r="AT374" t="s">
        <v>74</v>
      </c>
      <c r="AU374" t="s">
        <v>64</v>
      </c>
      <c r="AV374" t="s">
        <v>62</v>
      </c>
      <c r="AW374" t="s">
        <v>65</v>
      </c>
      <c r="AX374" t="s">
        <v>66</v>
      </c>
      <c r="AY374" t="s">
        <v>67</v>
      </c>
    </row>
    <row r="375" spans="1:51" hidden="1" x14ac:dyDescent="0.25">
      <c r="A375">
        <v>202601</v>
      </c>
      <c r="B375" t="s">
        <v>1498</v>
      </c>
      <c r="C375" t="str">
        <f>VLOOKUP(A375,[1]Customer_payment_journal_line!$AL:$BO,30,0)</f>
        <v>CPay-000000034</v>
      </c>
      <c r="D375" t="s">
        <v>53</v>
      </c>
      <c r="E375" t="s">
        <v>1499</v>
      </c>
      <c r="F375" t="s">
        <v>1500</v>
      </c>
      <c r="G375" t="s">
        <v>1447</v>
      </c>
      <c r="H375" t="s">
        <v>57</v>
      </c>
      <c r="I375" t="s">
        <v>95</v>
      </c>
      <c r="J375" t="s">
        <v>1491</v>
      </c>
      <c r="K375" t="s">
        <v>1492</v>
      </c>
      <c r="L375">
        <f>VLOOKUP(A375,[1]Customer_payment_journal_line!$B:$L,11,0)</f>
        <v>262.2</v>
      </c>
      <c r="M375" s="1">
        <v>262.2</v>
      </c>
      <c r="N375" s="2">
        <f>L375-M375</f>
        <v>0</v>
      </c>
      <c r="O375" t="s">
        <v>61</v>
      </c>
      <c r="P375">
        <v>100</v>
      </c>
      <c r="Q375" t="s">
        <v>52</v>
      </c>
      <c r="R375" t="s">
        <v>52</v>
      </c>
      <c r="S375" t="s">
        <v>52</v>
      </c>
      <c r="T375" t="s">
        <v>52</v>
      </c>
      <c r="U375" t="s">
        <v>52</v>
      </c>
      <c r="V375" t="s">
        <v>62</v>
      </c>
      <c r="W375" t="s">
        <v>63</v>
      </c>
      <c r="Y375" t="s">
        <v>52</v>
      </c>
      <c r="AB375" t="s">
        <v>52</v>
      </c>
      <c r="AE375" t="s">
        <v>52</v>
      </c>
      <c r="AF375" t="s">
        <v>52</v>
      </c>
      <c r="AH375">
        <v>0</v>
      </c>
      <c r="AI375">
        <v>0</v>
      </c>
      <c r="AJ375" t="s">
        <v>52</v>
      </c>
      <c r="AK375">
        <v>0</v>
      </c>
      <c r="AL375" t="s">
        <v>52</v>
      </c>
      <c r="AM375" t="s">
        <v>52</v>
      </c>
      <c r="AN375">
        <v>0</v>
      </c>
      <c r="AO375">
        <v>0</v>
      </c>
      <c r="AP375" t="s">
        <v>52</v>
      </c>
      <c r="AQ375" t="s">
        <v>52</v>
      </c>
      <c r="AR375" t="s">
        <v>62</v>
      </c>
      <c r="AS375" t="s">
        <v>52</v>
      </c>
      <c r="AT375" t="s">
        <v>52</v>
      </c>
      <c r="AU375" t="s">
        <v>64</v>
      </c>
      <c r="AV375" t="s">
        <v>62</v>
      </c>
      <c r="AW375" t="s">
        <v>65</v>
      </c>
      <c r="AX375" t="s">
        <v>66</v>
      </c>
      <c r="AY375" t="s">
        <v>67</v>
      </c>
    </row>
    <row r="376" spans="1:51" hidden="1" x14ac:dyDescent="0.25">
      <c r="A376">
        <v>202601</v>
      </c>
      <c r="B376" t="s">
        <v>1501</v>
      </c>
      <c r="C376" t="str">
        <f>VLOOKUP(A376,[1]Customer_payment_journal_line!$AL:$BO,30,0)</f>
        <v>CPay-000000034</v>
      </c>
      <c r="D376" t="s">
        <v>53</v>
      </c>
      <c r="E376" t="s">
        <v>1499</v>
      </c>
      <c r="F376" t="s">
        <v>1500</v>
      </c>
      <c r="G376" t="s">
        <v>1447</v>
      </c>
      <c r="H376" t="s">
        <v>69</v>
      </c>
      <c r="I376" t="s">
        <v>1494</v>
      </c>
      <c r="J376" t="s">
        <v>1491</v>
      </c>
      <c r="K376" t="s">
        <v>1492</v>
      </c>
      <c r="L376">
        <f>VLOOKUP(A376,[1]Customer_payment_journal_line!$B:$L,11,0)</f>
        <v>262.2</v>
      </c>
      <c r="M376" s="1">
        <v>0</v>
      </c>
      <c r="N376">
        <v>262.2</v>
      </c>
      <c r="O376" t="s">
        <v>61</v>
      </c>
      <c r="P376">
        <v>100</v>
      </c>
      <c r="Q376" t="s">
        <v>52</v>
      </c>
      <c r="R376" t="s">
        <v>52</v>
      </c>
      <c r="S376" t="s">
        <v>52</v>
      </c>
      <c r="T376" t="s">
        <v>52</v>
      </c>
      <c r="U376" t="s">
        <v>52</v>
      </c>
      <c r="V376" t="s">
        <v>62</v>
      </c>
      <c r="W376" t="s">
        <v>52</v>
      </c>
      <c r="Y376" t="s">
        <v>1495</v>
      </c>
      <c r="Z376" t="s">
        <v>62</v>
      </c>
      <c r="AB376" t="s">
        <v>1502</v>
      </c>
      <c r="AE376" t="s">
        <v>1503</v>
      </c>
      <c r="AF376" t="s">
        <v>52</v>
      </c>
      <c r="AH376">
        <v>0</v>
      </c>
      <c r="AI376">
        <v>0</v>
      </c>
      <c r="AJ376" t="s">
        <v>52</v>
      </c>
      <c r="AK376">
        <v>0</v>
      </c>
      <c r="AL376" t="s">
        <v>52</v>
      </c>
      <c r="AM376" t="s">
        <v>52</v>
      </c>
      <c r="AN376">
        <v>0</v>
      </c>
      <c r="AO376">
        <v>0</v>
      </c>
      <c r="AP376" t="s">
        <v>52</v>
      </c>
      <c r="AQ376" t="s">
        <v>52</v>
      </c>
      <c r="AR376" t="s">
        <v>62</v>
      </c>
      <c r="AS376" t="s">
        <v>52</v>
      </c>
      <c r="AT376" t="s">
        <v>74</v>
      </c>
      <c r="AU376" t="s">
        <v>64</v>
      </c>
      <c r="AV376" t="s">
        <v>62</v>
      </c>
      <c r="AW376" t="s">
        <v>65</v>
      </c>
      <c r="AX376" t="s">
        <v>66</v>
      </c>
      <c r="AY376" t="s">
        <v>67</v>
      </c>
    </row>
    <row r="377" spans="1:51" hidden="1" x14ac:dyDescent="0.25">
      <c r="A377">
        <v>202549</v>
      </c>
      <c r="B377" t="s">
        <v>1504</v>
      </c>
      <c r="C377" t="e">
        <f>VLOOKUP(A377,[1]Customer_payment_journal_line!$AL:$BO,30,0)</f>
        <v>#N/A</v>
      </c>
      <c r="D377" t="s">
        <v>53</v>
      </c>
      <c r="E377" t="s">
        <v>1505</v>
      </c>
      <c r="F377" t="s">
        <v>1506</v>
      </c>
      <c r="G377" t="s">
        <v>1447</v>
      </c>
      <c r="H377" t="s">
        <v>57</v>
      </c>
      <c r="I377" t="s">
        <v>58</v>
      </c>
      <c r="J377" t="s">
        <v>1507</v>
      </c>
      <c r="K377" t="s">
        <v>1508</v>
      </c>
      <c r="L377" t="s">
        <v>52</v>
      </c>
      <c r="M377">
        <v>1425</v>
      </c>
      <c r="N377">
        <v>0</v>
      </c>
      <c r="O377" t="s">
        <v>61</v>
      </c>
      <c r="P377">
        <v>100</v>
      </c>
      <c r="Q377" t="s">
        <v>52</v>
      </c>
      <c r="R377" t="s">
        <v>52</v>
      </c>
      <c r="S377" t="s">
        <v>52</v>
      </c>
      <c r="T377" t="s">
        <v>52</v>
      </c>
      <c r="U377" t="s">
        <v>52</v>
      </c>
      <c r="V377" t="s">
        <v>62</v>
      </c>
      <c r="W377" t="s">
        <v>63</v>
      </c>
      <c r="Y377" t="s">
        <v>52</v>
      </c>
      <c r="AB377" t="s">
        <v>52</v>
      </c>
      <c r="AE377" t="s">
        <v>52</v>
      </c>
      <c r="AF377" t="s">
        <v>52</v>
      </c>
      <c r="AH377">
        <v>0</v>
      </c>
      <c r="AI377">
        <v>0</v>
      </c>
      <c r="AJ377" t="s">
        <v>52</v>
      </c>
      <c r="AK377">
        <v>0</v>
      </c>
      <c r="AL377" t="s">
        <v>52</v>
      </c>
      <c r="AM377" t="s">
        <v>52</v>
      </c>
      <c r="AN377">
        <v>0</v>
      </c>
      <c r="AO377">
        <v>0</v>
      </c>
      <c r="AP377" t="s">
        <v>52</v>
      </c>
      <c r="AQ377" t="s">
        <v>52</v>
      </c>
      <c r="AR377" t="s">
        <v>62</v>
      </c>
      <c r="AS377" t="s">
        <v>52</v>
      </c>
      <c r="AT377" t="s">
        <v>52</v>
      </c>
      <c r="AU377" t="s">
        <v>64</v>
      </c>
      <c r="AV377" t="s">
        <v>62</v>
      </c>
      <c r="AW377" t="s">
        <v>65</v>
      </c>
      <c r="AX377" t="s">
        <v>66</v>
      </c>
      <c r="AY377" t="s">
        <v>67</v>
      </c>
    </row>
    <row r="378" spans="1:51" hidden="1" x14ac:dyDescent="0.25">
      <c r="A378">
        <v>202549</v>
      </c>
      <c r="B378" t="s">
        <v>1509</v>
      </c>
      <c r="C378" t="e">
        <f>VLOOKUP(A378,[1]Customer_payment_journal_line!$AL:$BO,30,0)</f>
        <v>#N/A</v>
      </c>
      <c r="D378" t="s">
        <v>53</v>
      </c>
      <c r="E378" t="s">
        <v>1505</v>
      </c>
      <c r="F378" t="s">
        <v>1506</v>
      </c>
      <c r="G378" t="s">
        <v>1447</v>
      </c>
      <c r="H378" t="s">
        <v>69</v>
      </c>
      <c r="I378" t="s">
        <v>1510</v>
      </c>
      <c r="J378" t="s">
        <v>1507</v>
      </c>
      <c r="K378" t="s">
        <v>1508</v>
      </c>
      <c r="L378" t="s">
        <v>52</v>
      </c>
      <c r="M378">
        <v>0</v>
      </c>
      <c r="N378">
        <v>1425</v>
      </c>
      <c r="O378" t="s">
        <v>61</v>
      </c>
      <c r="P378">
        <v>100</v>
      </c>
      <c r="Q378" t="s">
        <v>52</v>
      </c>
      <c r="R378" t="s">
        <v>52</v>
      </c>
      <c r="S378" t="s">
        <v>52</v>
      </c>
      <c r="T378" t="s">
        <v>52</v>
      </c>
      <c r="U378" t="s">
        <v>52</v>
      </c>
      <c r="V378" t="s">
        <v>62</v>
      </c>
      <c r="W378" t="s">
        <v>52</v>
      </c>
      <c r="Y378" t="s">
        <v>1511</v>
      </c>
      <c r="Z378" t="s">
        <v>62</v>
      </c>
      <c r="AB378" t="s">
        <v>1512</v>
      </c>
      <c r="AE378" t="s">
        <v>1513</v>
      </c>
      <c r="AF378" t="s">
        <v>52</v>
      </c>
      <c r="AH378">
        <v>0</v>
      </c>
      <c r="AI378">
        <v>0</v>
      </c>
      <c r="AJ378" t="s">
        <v>52</v>
      </c>
      <c r="AK378">
        <v>0</v>
      </c>
      <c r="AL378" t="s">
        <v>52</v>
      </c>
      <c r="AM378" t="s">
        <v>52</v>
      </c>
      <c r="AN378">
        <v>0</v>
      </c>
      <c r="AO378">
        <v>0</v>
      </c>
      <c r="AP378" t="s">
        <v>52</v>
      </c>
      <c r="AQ378" t="s">
        <v>52</v>
      </c>
      <c r="AR378" t="s">
        <v>62</v>
      </c>
      <c r="AS378" t="s">
        <v>52</v>
      </c>
      <c r="AT378" t="s">
        <v>74</v>
      </c>
      <c r="AU378" t="s">
        <v>64</v>
      </c>
      <c r="AV378" t="s">
        <v>62</v>
      </c>
      <c r="AW378" t="s">
        <v>65</v>
      </c>
      <c r="AX378" t="s">
        <v>66</v>
      </c>
      <c r="AY378" t="s">
        <v>67</v>
      </c>
    </row>
    <row r="379" spans="1:51" hidden="1" x14ac:dyDescent="0.25">
      <c r="A379">
        <v>202550</v>
      </c>
      <c r="B379" t="s">
        <v>1514</v>
      </c>
      <c r="C379" t="e">
        <f>VLOOKUP(A379,[1]Customer_payment_journal_line!$AL:$BO,30,0)</f>
        <v>#N/A</v>
      </c>
      <c r="D379" t="s">
        <v>53</v>
      </c>
      <c r="E379" t="s">
        <v>1515</v>
      </c>
      <c r="F379" t="s">
        <v>1516</v>
      </c>
      <c r="G379" t="s">
        <v>1447</v>
      </c>
      <c r="H379" t="s">
        <v>57</v>
      </c>
      <c r="I379" t="s">
        <v>516</v>
      </c>
      <c r="J379" t="s">
        <v>1507</v>
      </c>
      <c r="K379" t="s">
        <v>1508</v>
      </c>
      <c r="L379" t="s">
        <v>52</v>
      </c>
      <c r="M379">
        <v>600</v>
      </c>
      <c r="N379">
        <v>0</v>
      </c>
      <c r="O379" t="s">
        <v>178</v>
      </c>
      <c r="P379">
        <v>5085</v>
      </c>
      <c r="Q379" t="s">
        <v>52</v>
      </c>
      <c r="R379" t="s">
        <v>52</v>
      </c>
      <c r="S379" t="s">
        <v>52</v>
      </c>
      <c r="T379" t="s">
        <v>52</v>
      </c>
      <c r="U379" t="s">
        <v>52</v>
      </c>
      <c r="V379" t="s">
        <v>62</v>
      </c>
      <c r="W379" t="s">
        <v>63</v>
      </c>
      <c r="Y379" t="s">
        <v>52</v>
      </c>
      <c r="AB379" t="s">
        <v>52</v>
      </c>
      <c r="AE379" t="s">
        <v>52</v>
      </c>
      <c r="AF379" t="s">
        <v>52</v>
      </c>
      <c r="AH379">
        <v>0</v>
      </c>
      <c r="AI379">
        <v>0</v>
      </c>
      <c r="AJ379" t="s">
        <v>52</v>
      </c>
      <c r="AK379">
        <v>0</v>
      </c>
      <c r="AL379" t="s">
        <v>52</v>
      </c>
      <c r="AM379" t="s">
        <v>52</v>
      </c>
      <c r="AN379">
        <v>0</v>
      </c>
      <c r="AO379">
        <v>0</v>
      </c>
      <c r="AP379" t="s">
        <v>52</v>
      </c>
      <c r="AQ379" t="s">
        <v>52</v>
      </c>
      <c r="AR379" t="s">
        <v>62</v>
      </c>
      <c r="AS379" t="s">
        <v>52</v>
      </c>
      <c r="AT379" t="s">
        <v>52</v>
      </c>
      <c r="AU379" t="s">
        <v>64</v>
      </c>
      <c r="AV379" t="s">
        <v>62</v>
      </c>
      <c r="AW379" t="s">
        <v>65</v>
      </c>
      <c r="AX379" t="s">
        <v>66</v>
      </c>
      <c r="AY379" t="s">
        <v>67</v>
      </c>
    </row>
    <row r="380" spans="1:51" hidden="1" x14ac:dyDescent="0.25">
      <c r="A380">
        <v>202550</v>
      </c>
      <c r="B380" t="s">
        <v>1517</v>
      </c>
      <c r="C380" t="e">
        <f>VLOOKUP(A380,[1]Customer_payment_journal_line!$AL:$BO,30,0)</f>
        <v>#N/A</v>
      </c>
      <c r="D380" t="s">
        <v>53</v>
      </c>
      <c r="E380" t="s">
        <v>1515</v>
      </c>
      <c r="F380" t="s">
        <v>1516</v>
      </c>
      <c r="G380" t="s">
        <v>1447</v>
      </c>
      <c r="H380" t="s">
        <v>69</v>
      </c>
      <c r="I380" t="s">
        <v>1510</v>
      </c>
      <c r="J380" t="s">
        <v>1507</v>
      </c>
      <c r="K380" t="s">
        <v>1508</v>
      </c>
      <c r="L380" t="s">
        <v>52</v>
      </c>
      <c r="M380">
        <v>0</v>
      </c>
      <c r="N380">
        <v>600</v>
      </c>
      <c r="O380" t="s">
        <v>178</v>
      </c>
      <c r="P380">
        <v>5085</v>
      </c>
      <c r="Q380" t="s">
        <v>52</v>
      </c>
      <c r="R380" t="s">
        <v>52</v>
      </c>
      <c r="S380" t="s">
        <v>52</v>
      </c>
      <c r="T380" t="s">
        <v>52</v>
      </c>
      <c r="U380" t="s">
        <v>52</v>
      </c>
      <c r="V380" t="s">
        <v>62</v>
      </c>
      <c r="W380" t="s">
        <v>52</v>
      </c>
      <c r="Y380" t="s">
        <v>1511</v>
      </c>
      <c r="Z380" t="s">
        <v>62</v>
      </c>
      <c r="AB380" t="s">
        <v>1518</v>
      </c>
      <c r="AE380" t="s">
        <v>1519</v>
      </c>
      <c r="AF380" t="s">
        <v>52</v>
      </c>
      <c r="AH380">
        <v>0</v>
      </c>
      <c r="AI380">
        <v>0</v>
      </c>
      <c r="AJ380" t="s">
        <v>52</v>
      </c>
      <c r="AK380">
        <v>0</v>
      </c>
      <c r="AL380" t="s">
        <v>52</v>
      </c>
      <c r="AM380" t="s">
        <v>52</v>
      </c>
      <c r="AN380">
        <v>0</v>
      </c>
      <c r="AO380">
        <v>0</v>
      </c>
      <c r="AP380" t="s">
        <v>52</v>
      </c>
      <c r="AQ380" t="s">
        <v>52</v>
      </c>
      <c r="AR380" t="s">
        <v>62</v>
      </c>
      <c r="AS380" t="s">
        <v>52</v>
      </c>
      <c r="AT380" t="s">
        <v>74</v>
      </c>
      <c r="AU380" t="s">
        <v>64</v>
      </c>
      <c r="AV380" t="s">
        <v>62</v>
      </c>
      <c r="AW380" t="s">
        <v>65</v>
      </c>
      <c r="AX380" t="s">
        <v>66</v>
      </c>
      <c r="AY380" t="s">
        <v>67</v>
      </c>
    </row>
    <row r="381" spans="1:51" hidden="1" x14ac:dyDescent="0.25">
      <c r="A381">
        <v>202560</v>
      </c>
      <c r="B381" t="s">
        <v>1520</v>
      </c>
      <c r="C381" t="e">
        <f>VLOOKUP(A381,[1]Customer_payment_journal_line!$AL:$BO,30,0)</f>
        <v>#N/A</v>
      </c>
      <c r="D381" t="s">
        <v>53</v>
      </c>
      <c r="E381" t="s">
        <v>1521</v>
      </c>
      <c r="F381" t="s">
        <v>1522</v>
      </c>
      <c r="G381" t="s">
        <v>1447</v>
      </c>
      <c r="H381" t="s">
        <v>57</v>
      </c>
      <c r="I381" t="s">
        <v>319</v>
      </c>
      <c r="J381" t="s">
        <v>1523</v>
      </c>
      <c r="K381" t="s">
        <v>321</v>
      </c>
      <c r="L381" t="s">
        <v>52</v>
      </c>
      <c r="M381">
        <v>4685.3999999999996</v>
      </c>
      <c r="N381">
        <v>0</v>
      </c>
      <c r="O381" t="s">
        <v>61</v>
      </c>
      <c r="P381">
        <v>100</v>
      </c>
      <c r="Q381" t="s">
        <v>52</v>
      </c>
      <c r="R381" t="s">
        <v>52</v>
      </c>
      <c r="S381" t="s">
        <v>52</v>
      </c>
      <c r="T381" t="s">
        <v>52</v>
      </c>
      <c r="U381" t="s">
        <v>52</v>
      </c>
      <c r="V381" t="s">
        <v>62</v>
      </c>
      <c r="W381" t="s">
        <v>63</v>
      </c>
      <c r="Y381" t="s">
        <v>52</v>
      </c>
      <c r="AB381" t="s">
        <v>52</v>
      </c>
      <c r="AE381" t="s">
        <v>52</v>
      </c>
      <c r="AF381" t="s">
        <v>52</v>
      </c>
      <c r="AH381">
        <v>0</v>
      </c>
      <c r="AI381">
        <v>0</v>
      </c>
      <c r="AJ381" t="s">
        <v>52</v>
      </c>
      <c r="AK381">
        <v>0</v>
      </c>
      <c r="AL381" t="s">
        <v>52</v>
      </c>
      <c r="AM381" t="s">
        <v>52</v>
      </c>
      <c r="AN381">
        <v>0</v>
      </c>
      <c r="AO381">
        <v>0</v>
      </c>
      <c r="AP381" t="s">
        <v>52</v>
      </c>
      <c r="AQ381" t="s">
        <v>52</v>
      </c>
      <c r="AR381" t="s">
        <v>62</v>
      </c>
      <c r="AS381" t="s">
        <v>52</v>
      </c>
      <c r="AT381" t="s">
        <v>52</v>
      </c>
      <c r="AU381" t="s">
        <v>64</v>
      </c>
      <c r="AV381" t="s">
        <v>62</v>
      </c>
      <c r="AW381" t="s">
        <v>65</v>
      </c>
      <c r="AX381" t="s">
        <v>66</v>
      </c>
      <c r="AY381" t="s">
        <v>67</v>
      </c>
    </row>
    <row r="382" spans="1:51" hidden="1" x14ac:dyDescent="0.25">
      <c r="A382">
        <v>202560</v>
      </c>
      <c r="B382" t="s">
        <v>1524</v>
      </c>
      <c r="C382" t="e">
        <f>VLOOKUP(A382,[1]Customer_payment_journal_line!$AL:$BO,30,0)</f>
        <v>#N/A</v>
      </c>
      <c r="D382" t="s">
        <v>53</v>
      </c>
      <c r="E382" t="s">
        <v>1521</v>
      </c>
      <c r="F382" t="s">
        <v>1522</v>
      </c>
      <c r="G382" t="s">
        <v>1447</v>
      </c>
      <c r="H382" t="s">
        <v>69</v>
      </c>
      <c r="I382" t="s">
        <v>323</v>
      </c>
      <c r="J382" t="s">
        <v>1523</v>
      </c>
      <c r="K382" t="s">
        <v>321</v>
      </c>
      <c r="L382" t="s">
        <v>52</v>
      </c>
      <c r="M382">
        <v>0</v>
      </c>
      <c r="N382">
        <v>4685.3999999999996</v>
      </c>
      <c r="O382" t="s">
        <v>61</v>
      </c>
      <c r="P382">
        <v>100</v>
      </c>
      <c r="Q382" t="s">
        <v>52</v>
      </c>
      <c r="R382" t="s">
        <v>52</v>
      </c>
      <c r="S382" t="s">
        <v>52</v>
      </c>
      <c r="T382" t="s">
        <v>52</v>
      </c>
      <c r="U382" t="s">
        <v>52</v>
      </c>
      <c r="V382" t="s">
        <v>62</v>
      </c>
      <c r="W382" t="s">
        <v>52</v>
      </c>
      <c r="Y382" t="s">
        <v>324</v>
      </c>
      <c r="Z382" t="s">
        <v>62</v>
      </c>
      <c r="AB382" t="s">
        <v>1525</v>
      </c>
      <c r="AE382" t="s">
        <v>1526</v>
      </c>
      <c r="AF382" t="s">
        <v>52</v>
      </c>
      <c r="AH382">
        <v>0</v>
      </c>
      <c r="AI382">
        <v>0</v>
      </c>
      <c r="AJ382" t="s">
        <v>52</v>
      </c>
      <c r="AK382">
        <v>0</v>
      </c>
      <c r="AL382" t="s">
        <v>52</v>
      </c>
      <c r="AM382" t="s">
        <v>52</v>
      </c>
      <c r="AN382">
        <v>0</v>
      </c>
      <c r="AO382">
        <v>0</v>
      </c>
      <c r="AP382" t="s">
        <v>52</v>
      </c>
      <c r="AQ382" t="s">
        <v>52</v>
      </c>
      <c r="AR382" t="s">
        <v>62</v>
      </c>
      <c r="AS382" t="s">
        <v>52</v>
      </c>
      <c r="AT382" t="s">
        <v>74</v>
      </c>
      <c r="AU382" t="s">
        <v>64</v>
      </c>
      <c r="AV382" t="s">
        <v>62</v>
      </c>
      <c r="AW382" t="s">
        <v>65</v>
      </c>
      <c r="AX382" t="s">
        <v>66</v>
      </c>
      <c r="AY382" t="s">
        <v>67</v>
      </c>
    </row>
    <row r="383" spans="1:51" hidden="1" x14ac:dyDescent="0.25">
      <c r="A383">
        <v>202561</v>
      </c>
      <c r="B383" t="s">
        <v>1527</v>
      </c>
      <c r="C383" t="e">
        <f>VLOOKUP(A383,[1]Customer_payment_journal_line!$AL:$BO,30,0)</f>
        <v>#N/A</v>
      </c>
      <c r="D383" t="s">
        <v>53</v>
      </c>
      <c r="E383" t="s">
        <v>1528</v>
      </c>
      <c r="F383" t="s">
        <v>1529</v>
      </c>
      <c r="G383" t="s">
        <v>1447</v>
      </c>
      <c r="H383" t="s">
        <v>57</v>
      </c>
      <c r="I383" t="s">
        <v>319</v>
      </c>
      <c r="J383" t="s">
        <v>1530</v>
      </c>
      <c r="K383" t="s">
        <v>321</v>
      </c>
      <c r="L383" t="s">
        <v>52</v>
      </c>
      <c r="M383">
        <v>399</v>
      </c>
      <c r="N383">
        <v>0</v>
      </c>
      <c r="O383" t="s">
        <v>61</v>
      </c>
      <c r="P383">
        <v>100</v>
      </c>
      <c r="Q383" t="s">
        <v>52</v>
      </c>
      <c r="R383" t="s">
        <v>52</v>
      </c>
      <c r="S383" t="s">
        <v>52</v>
      </c>
      <c r="T383" t="s">
        <v>52</v>
      </c>
      <c r="U383" t="s">
        <v>52</v>
      </c>
      <c r="V383" t="s">
        <v>62</v>
      </c>
      <c r="W383" t="s">
        <v>63</v>
      </c>
      <c r="Y383" t="s">
        <v>52</v>
      </c>
      <c r="AB383" t="s">
        <v>52</v>
      </c>
      <c r="AE383" t="s">
        <v>52</v>
      </c>
      <c r="AF383" t="s">
        <v>52</v>
      </c>
      <c r="AH383">
        <v>0</v>
      </c>
      <c r="AI383">
        <v>0</v>
      </c>
      <c r="AJ383" t="s">
        <v>52</v>
      </c>
      <c r="AK383">
        <v>0</v>
      </c>
      <c r="AL383" t="s">
        <v>52</v>
      </c>
      <c r="AM383" t="s">
        <v>52</v>
      </c>
      <c r="AN383">
        <v>0</v>
      </c>
      <c r="AO383">
        <v>0</v>
      </c>
      <c r="AP383" t="s">
        <v>52</v>
      </c>
      <c r="AQ383" t="s">
        <v>52</v>
      </c>
      <c r="AR383" t="s">
        <v>62</v>
      </c>
      <c r="AS383" t="s">
        <v>52</v>
      </c>
      <c r="AT383" t="s">
        <v>52</v>
      </c>
      <c r="AU383" t="s">
        <v>64</v>
      </c>
      <c r="AV383" t="s">
        <v>62</v>
      </c>
      <c r="AW383" t="s">
        <v>65</v>
      </c>
      <c r="AX383" t="s">
        <v>66</v>
      </c>
      <c r="AY383" t="s">
        <v>67</v>
      </c>
    </row>
    <row r="384" spans="1:51" hidden="1" x14ac:dyDescent="0.25">
      <c r="A384">
        <v>202561</v>
      </c>
      <c r="B384" t="s">
        <v>1531</v>
      </c>
      <c r="C384" t="e">
        <f>VLOOKUP(A384,[1]Customer_payment_journal_line!$AL:$BO,30,0)</f>
        <v>#N/A</v>
      </c>
      <c r="D384" t="s">
        <v>53</v>
      </c>
      <c r="E384" t="s">
        <v>1528</v>
      </c>
      <c r="F384" t="s">
        <v>1529</v>
      </c>
      <c r="G384" t="s">
        <v>1447</v>
      </c>
      <c r="H384" t="s">
        <v>69</v>
      </c>
      <c r="I384" t="s">
        <v>323</v>
      </c>
      <c r="J384" t="s">
        <v>1530</v>
      </c>
      <c r="K384" t="s">
        <v>321</v>
      </c>
      <c r="L384" t="s">
        <v>52</v>
      </c>
      <c r="M384">
        <v>0</v>
      </c>
      <c r="N384">
        <v>399</v>
      </c>
      <c r="O384" t="s">
        <v>61</v>
      </c>
      <c r="P384">
        <v>100</v>
      </c>
      <c r="Q384" t="s">
        <v>52</v>
      </c>
      <c r="R384" t="s">
        <v>52</v>
      </c>
      <c r="S384" t="s">
        <v>52</v>
      </c>
      <c r="T384" t="s">
        <v>52</v>
      </c>
      <c r="U384" t="s">
        <v>52</v>
      </c>
      <c r="V384" t="s">
        <v>62</v>
      </c>
      <c r="W384" t="s">
        <v>52</v>
      </c>
      <c r="Y384" t="s">
        <v>324</v>
      </c>
      <c r="Z384" t="s">
        <v>62</v>
      </c>
      <c r="AB384" t="s">
        <v>1532</v>
      </c>
      <c r="AE384" t="s">
        <v>1533</v>
      </c>
      <c r="AF384" t="s">
        <v>52</v>
      </c>
      <c r="AH384">
        <v>0</v>
      </c>
      <c r="AI384">
        <v>0</v>
      </c>
      <c r="AJ384" t="s">
        <v>52</v>
      </c>
      <c r="AK384">
        <v>0</v>
      </c>
      <c r="AL384" t="s">
        <v>52</v>
      </c>
      <c r="AM384" t="s">
        <v>52</v>
      </c>
      <c r="AN384">
        <v>0</v>
      </c>
      <c r="AO384">
        <v>0</v>
      </c>
      <c r="AP384" t="s">
        <v>52</v>
      </c>
      <c r="AQ384" t="s">
        <v>52</v>
      </c>
      <c r="AR384" t="s">
        <v>62</v>
      </c>
      <c r="AS384" t="s">
        <v>52</v>
      </c>
      <c r="AT384" t="s">
        <v>74</v>
      </c>
      <c r="AU384" t="s">
        <v>64</v>
      </c>
      <c r="AV384" t="s">
        <v>62</v>
      </c>
      <c r="AW384" t="s">
        <v>65</v>
      </c>
      <c r="AX384" t="s">
        <v>66</v>
      </c>
      <c r="AY384" t="s">
        <v>67</v>
      </c>
    </row>
    <row r="385" spans="1:51" hidden="1" x14ac:dyDescent="0.25">
      <c r="A385">
        <v>202562</v>
      </c>
      <c r="B385" t="s">
        <v>1534</v>
      </c>
      <c r="C385" t="e">
        <f>VLOOKUP(A385,[1]Customer_payment_journal_line!$AL:$BO,30,0)</f>
        <v>#N/A</v>
      </c>
      <c r="D385" t="s">
        <v>53</v>
      </c>
      <c r="E385" t="s">
        <v>1535</v>
      </c>
      <c r="F385" t="s">
        <v>1536</v>
      </c>
      <c r="G385" t="s">
        <v>1447</v>
      </c>
      <c r="H385" t="s">
        <v>57</v>
      </c>
      <c r="I385" t="s">
        <v>319</v>
      </c>
      <c r="J385" t="s">
        <v>1530</v>
      </c>
      <c r="K385" t="s">
        <v>321</v>
      </c>
      <c r="L385" t="s">
        <v>52</v>
      </c>
      <c r="M385">
        <v>803.7</v>
      </c>
      <c r="N385">
        <v>0</v>
      </c>
      <c r="O385" t="s">
        <v>61</v>
      </c>
      <c r="P385">
        <v>100</v>
      </c>
      <c r="Q385" t="s">
        <v>52</v>
      </c>
      <c r="R385" t="s">
        <v>52</v>
      </c>
      <c r="S385" t="s">
        <v>52</v>
      </c>
      <c r="T385" t="s">
        <v>52</v>
      </c>
      <c r="U385" t="s">
        <v>52</v>
      </c>
      <c r="V385" t="s">
        <v>62</v>
      </c>
      <c r="W385" t="s">
        <v>63</v>
      </c>
      <c r="Y385" t="s">
        <v>52</v>
      </c>
      <c r="AB385" t="s">
        <v>52</v>
      </c>
      <c r="AE385" t="s">
        <v>52</v>
      </c>
      <c r="AF385" t="s">
        <v>52</v>
      </c>
      <c r="AH385">
        <v>0</v>
      </c>
      <c r="AI385">
        <v>0</v>
      </c>
      <c r="AJ385" t="s">
        <v>52</v>
      </c>
      <c r="AK385">
        <v>0</v>
      </c>
      <c r="AL385" t="s">
        <v>52</v>
      </c>
      <c r="AM385" t="s">
        <v>52</v>
      </c>
      <c r="AN385">
        <v>0</v>
      </c>
      <c r="AO385">
        <v>0</v>
      </c>
      <c r="AP385" t="s">
        <v>52</v>
      </c>
      <c r="AQ385" t="s">
        <v>52</v>
      </c>
      <c r="AR385" t="s">
        <v>62</v>
      </c>
      <c r="AS385" t="s">
        <v>52</v>
      </c>
      <c r="AT385" t="s">
        <v>52</v>
      </c>
      <c r="AU385" t="s">
        <v>64</v>
      </c>
      <c r="AV385" t="s">
        <v>62</v>
      </c>
      <c r="AW385" t="s">
        <v>65</v>
      </c>
      <c r="AX385" t="s">
        <v>66</v>
      </c>
      <c r="AY385" t="s">
        <v>67</v>
      </c>
    </row>
    <row r="386" spans="1:51" hidden="1" x14ac:dyDescent="0.25">
      <c r="A386">
        <v>202562</v>
      </c>
      <c r="B386" t="s">
        <v>1537</v>
      </c>
      <c r="C386" t="e">
        <f>VLOOKUP(A386,[1]Customer_payment_journal_line!$AL:$BO,30,0)</f>
        <v>#N/A</v>
      </c>
      <c r="D386" t="s">
        <v>53</v>
      </c>
      <c r="E386" t="s">
        <v>1535</v>
      </c>
      <c r="F386" t="s">
        <v>1536</v>
      </c>
      <c r="G386" t="s">
        <v>1447</v>
      </c>
      <c r="H386" t="s">
        <v>69</v>
      </c>
      <c r="I386" t="s">
        <v>323</v>
      </c>
      <c r="J386" t="s">
        <v>1530</v>
      </c>
      <c r="K386" t="s">
        <v>321</v>
      </c>
      <c r="L386" t="s">
        <v>52</v>
      </c>
      <c r="M386">
        <v>0</v>
      </c>
      <c r="N386">
        <v>803.7</v>
      </c>
      <c r="O386" t="s">
        <v>61</v>
      </c>
      <c r="P386">
        <v>100</v>
      </c>
      <c r="Q386" t="s">
        <v>52</v>
      </c>
      <c r="R386" t="s">
        <v>52</v>
      </c>
      <c r="S386" t="s">
        <v>52</v>
      </c>
      <c r="T386" t="s">
        <v>52</v>
      </c>
      <c r="U386" t="s">
        <v>52</v>
      </c>
      <c r="V386" t="s">
        <v>62</v>
      </c>
      <c r="W386" t="s">
        <v>52</v>
      </c>
      <c r="Y386" t="s">
        <v>324</v>
      </c>
      <c r="Z386" t="s">
        <v>62</v>
      </c>
      <c r="AB386" t="s">
        <v>1538</v>
      </c>
      <c r="AE386" t="s">
        <v>1539</v>
      </c>
      <c r="AF386" t="s">
        <v>52</v>
      </c>
      <c r="AH386">
        <v>0</v>
      </c>
      <c r="AI386">
        <v>0</v>
      </c>
      <c r="AJ386" t="s">
        <v>52</v>
      </c>
      <c r="AK386">
        <v>0</v>
      </c>
      <c r="AL386" t="s">
        <v>52</v>
      </c>
      <c r="AM386" t="s">
        <v>52</v>
      </c>
      <c r="AN386">
        <v>0</v>
      </c>
      <c r="AO386">
        <v>0</v>
      </c>
      <c r="AP386" t="s">
        <v>52</v>
      </c>
      <c r="AQ386" t="s">
        <v>52</v>
      </c>
      <c r="AR386" t="s">
        <v>62</v>
      </c>
      <c r="AS386" t="s">
        <v>52</v>
      </c>
      <c r="AT386" t="s">
        <v>74</v>
      </c>
      <c r="AU386" t="s">
        <v>64</v>
      </c>
      <c r="AV386" t="s">
        <v>62</v>
      </c>
      <c r="AW386" t="s">
        <v>65</v>
      </c>
      <c r="AX386" t="s">
        <v>66</v>
      </c>
      <c r="AY386" t="s">
        <v>67</v>
      </c>
    </row>
    <row r="387" spans="1:51" hidden="1" x14ac:dyDescent="0.25">
      <c r="A387">
        <v>202583</v>
      </c>
      <c r="B387" t="s">
        <v>1540</v>
      </c>
      <c r="C387" t="e">
        <f>VLOOKUP(A387,[1]Customer_payment_journal_line!$AL:$BO,30,0)</f>
        <v>#N/A</v>
      </c>
      <c r="D387" t="s">
        <v>53</v>
      </c>
      <c r="E387" t="s">
        <v>1541</v>
      </c>
      <c r="F387" t="s">
        <v>1542</v>
      </c>
      <c r="G387" t="s">
        <v>1447</v>
      </c>
      <c r="H387" t="s">
        <v>57</v>
      </c>
      <c r="I387" t="s">
        <v>319</v>
      </c>
      <c r="J387" t="s">
        <v>1543</v>
      </c>
      <c r="K387" t="s">
        <v>466</v>
      </c>
      <c r="L387" t="s">
        <v>52</v>
      </c>
      <c r="M387">
        <v>803.7</v>
      </c>
      <c r="N387">
        <v>0</v>
      </c>
      <c r="O387" t="s">
        <v>61</v>
      </c>
      <c r="P387">
        <v>100</v>
      </c>
      <c r="Q387" t="s">
        <v>52</v>
      </c>
      <c r="R387" t="s">
        <v>52</v>
      </c>
      <c r="S387" t="s">
        <v>52</v>
      </c>
      <c r="T387" t="s">
        <v>52</v>
      </c>
      <c r="U387" t="s">
        <v>52</v>
      </c>
      <c r="V387" t="s">
        <v>62</v>
      </c>
      <c r="W387" t="s">
        <v>63</v>
      </c>
      <c r="Y387" t="s">
        <v>52</v>
      </c>
      <c r="AB387" t="s">
        <v>52</v>
      </c>
      <c r="AE387" t="s">
        <v>52</v>
      </c>
      <c r="AF387" t="s">
        <v>52</v>
      </c>
      <c r="AH387">
        <v>0</v>
      </c>
      <c r="AI387">
        <v>0</v>
      </c>
      <c r="AJ387" t="s">
        <v>52</v>
      </c>
      <c r="AK387">
        <v>0</v>
      </c>
      <c r="AL387" t="s">
        <v>52</v>
      </c>
      <c r="AM387" t="s">
        <v>52</v>
      </c>
      <c r="AN387">
        <v>0</v>
      </c>
      <c r="AO387">
        <v>0</v>
      </c>
      <c r="AP387" t="s">
        <v>52</v>
      </c>
      <c r="AQ387" t="s">
        <v>52</v>
      </c>
      <c r="AR387" t="s">
        <v>62</v>
      </c>
      <c r="AS387" t="s">
        <v>52</v>
      </c>
      <c r="AT387" t="s">
        <v>52</v>
      </c>
      <c r="AU387" t="s">
        <v>64</v>
      </c>
      <c r="AV387" t="s">
        <v>62</v>
      </c>
      <c r="AW387" t="s">
        <v>65</v>
      </c>
      <c r="AX387" t="s">
        <v>66</v>
      </c>
      <c r="AY387" t="s">
        <v>67</v>
      </c>
    </row>
    <row r="388" spans="1:51" hidden="1" x14ac:dyDescent="0.25">
      <c r="A388">
        <v>202583</v>
      </c>
      <c r="B388" t="s">
        <v>1544</v>
      </c>
      <c r="C388" t="e">
        <f>VLOOKUP(A388,[1]Customer_payment_journal_line!$AL:$BO,30,0)</f>
        <v>#N/A</v>
      </c>
      <c r="D388" t="s">
        <v>53</v>
      </c>
      <c r="E388" t="s">
        <v>1541</v>
      </c>
      <c r="F388" t="s">
        <v>1542</v>
      </c>
      <c r="G388" t="s">
        <v>1447</v>
      </c>
      <c r="H388" t="s">
        <v>69</v>
      </c>
      <c r="I388" t="s">
        <v>453</v>
      </c>
      <c r="J388" t="s">
        <v>1543</v>
      </c>
      <c r="K388" t="s">
        <v>466</v>
      </c>
      <c r="L388" t="s">
        <v>52</v>
      </c>
      <c r="M388">
        <v>0</v>
      </c>
      <c r="N388">
        <v>803.7</v>
      </c>
      <c r="O388" t="s">
        <v>61</v>
      </c>
      <c r="P388">
        <v>100</v>
      </c>
      <c r="Q388" t="s">
        <v>52</v>
      </c>
      <c r="R388" t="s">
        <v>52</v>
      </c>
      <c r="S388" t="s">
        <v>52</v>
      </c>
      <c r="T388" t="s">
        <v>52</v>
      </c>
      <c r="U388" t="s">
        <v>52</v>
      </c>
      <c r="V388" t="s">
        <v>62</v>
      </c>
      <c r="W388" t="s">
        <v>52</v>
      </c>
      <c r="Y388" t="s">
        <v>454</v>
      </c>
      <c r="Z388" t="s">
        <v>62</v>
      </c>
      <c r="AB388" t="s">
        <v>1545</v>
      </c>
      <c r="AE388" t="s">
        <v>1546</v>
      </c>
      <c r="AF388" t="s">
        <v>52</v>
      </c>
      <c r="AH388">
        <v>0</v>
      </c>
      <c r="AI388">
        <v>0</v>
      </c>
      <c r="AJ388" t="s">
        <v>52</v>
      </c>
      <c r="AK388">
        <v>0</v>
      </c>
      <c r="AL388" t="s">
        <v>52</v>
      </c>
      <c r="AM388" t="s">
        <v>52</v>
      </c>
      <c r="AN388">
        <v>0</v>
      </c>
      <c r="AO388">
        <v>0</v>
      </c>
      <c r="AP388" t="s">
        <v>52</v>
      </c>
      <c r="AQ388" t="s">
        <v>52</v>
      </c>
      <c r="AR388" t="s">
        <v>62</v>
      </c>
      <c r="AS388" t="s">
        <v>52</v>
      </c>
      <c r="AT388" t="s">
        <v>74</v>
      </c>
      <c r="AU388" t="s">
        <v>64</v>
      </c>
      <c r="AV388" t="s">
        <v>62</v>
      </c>
      <c r="AW388" t="s">
        <v>65</v>
      </c>
      <c r="AX388" t="s">
        <v>66</v>
      </c>
      <c r="AY388" t="s">
        <v>67</v>
      </c>
    </row>
    <row r="389" spans="1:51" hidden="1" x14ac:dyDescent="0.25">
      <c r="A389">
        <v>202584</v>
      </c>
      <c r="B389" t="s">
        <v>1547</v>
      </c>
      <c r="C389" t="e">
        <f>VLOOKUP(A389,[1]Customer_payment_journal_line!$AL:$BO,30,0)</f>
        <v>#N/A</v>
      </c>
      <c r="D389" t="s">
        <v>53</v>
      </c>
      <c r="E389" t="s">
        <v>1548</v>
      </c>
      <c r="F389" t="s">
        <v>1549</v>
      </c>
      <c r="G389" t="s">
        <v>1447</v>
      </c>
      <c r="H389" t="s">
        <v>57</v>
      </c>
      <c r="I389" t="s">
        <v>319</v>
      </c>
      <c r="J389" t="s">
        <v>1550</v>
      </c>
      <c r="K389" t="s">
        <v>466</v>
      </c>
      <c r="L389" t="s">
        <v>52</v>
      </c>
      <c r="M389">
        <v>2439.6</v>
      </c>
      <c r="N389">
        <v>0</v>
      </c>
      <c r="O389" t="s">
        <v>61</v>
      </c>
      <c r="P389">
        <v>100</v>
      </c>
      <c r="Q389" t="s">
        <v>52</v>
      </c>
      <c r="R389" t="s">
        <v>52</v>
      </c>
      <c r="S389" t="s">
        <v>52</v>
      </c>
      <c r="T389" t="s">
        <v>52</v>
      </c>
      <c r="U389" t="s">
        <v>52</v>
      </c>
      <c r="V389" t="s">
        <v>62</v>
      </c>
      <c r="W389" t="s">
        <v>63</v>
      </c>
      <c r="Y389" t="s">
        <v>52</v>
      </c>
      <c r="AB389" t="s">
        <v>52</v>
      </c>
      <c r="AE389" t="s">
        <v>52</v>
      </c>
      <c r="AF389" t="s">
        <v>52</v>
      </c>
      <c r="AH389">
        <v>0</v>
      </c>
      <c r="AI389">
        <v>0</v>
      </c>
      <c r="AJ389" t="s">
        <v>52</v>
      </c>
      <c r="AK389">
        <v>0</v>
      </c>
      <c r="AL389" t="s">
        <v>52</v>
      </c>
      <c r="AM389" t="s">
        <v>52</v>
      </c>
      <c r="AN389">
        <v>0</v>
      </c>
      <c r="AO389">
        <v>0</v>
      </c>
      <c r="AP389" t="s">
        <v>52</v>
      </c>
      <c r="AQ389" t="s">
        <v>52</v>
      </c>
      <c r="AR389" t="s">
        <v>62</v>
      </c>
      <c r="AS389" t="s">
        <v>52</v>
      </c>
      <c r="AT389" t="s">
        <v>52</v>
      </c>
      <c r="AU389" t="s">
        <v>64</v>
      </c>
      <c r="AV389" t="s">
        <v>62</v>
      </c>
      <c r="AW389" t="s">
        <v>65</v>
      </c>
      <c r="AX389" t="s">
        <v>66</v>
      </c>
      <c r="AY389" t="s">
        <v>67</v>
      </c>
    </row>
    <row r="390" spans="1:51" hidden="1" x14ac:dyDescent="0.25">
      <c r="A390">
        <v>202584</v>
      </c>
      <c r="B390" t="s">
        <v>1551</v>
      </c>
      <c r="C390" t="e">
        <f>VLOOKUP(A390,[1]Customer_payment_journal_line!$AL:$BO,30,0)</f>
        <v>#N/A</v>
      </c>
      <c r="D390" t="s">
        <v>53</v>
      </c>
      <c r="E390" t="s">
        <v>1548</v>
      </c>
      <c r="F390" t="s">
        <v>1549</v>
      </c>
      <c r="G390" t="s">
        <v>1447</v>
      </c>
      <c r="H390" t="s">
        <v>69</v>
      </c>
      <c r="I390" t="s">
        <v>453</v>
      </c>
      <c r="J390" t="s">
        <v>1550</v>
      </c>
      <c r="K390" t="s">
        <v>466</v>
      </c>
      <c r="L390" t="s">
        <v>52</v>
      </c>
      <c r="M390">
        <v>0</v>
      </c>
      <c r="N390">
        <v>2439.6</v>
      </c>
      <c r="O390" t="s">
        <v>61</v>
      </c>
      <c r="P390">
        <v>100</v>
      </c>
      <c r="Q390" t="s">
        <v>52</v>
      </c>
      <c r="R390" t="s">
        <v>52</v>
      </c>
      <c r="S390" t="s">
        <v>52</v>
      </c>
      <c r="T390" t="s">
        <v>52</v>
      </c>
      <c r="U390" t="s">
        <v>52</v>
      </c>
      <c r="V390" t="s">
        <v>62</v>
      </c>
      <c r="W390" t="s">
        <v>52</v>
      </c>
      <c r="Y390" t="s">
        <v>454</v>
      </c>
      <c r="Z390" t="s">
        <v>62</v>
      </c>
      <c r="AB390" t="s">
        <v>1552</v>
      </c>
      <c r="AE390" t="s">
        <v>1553</v>
      </c>
      <c r="AF390" t="s">
        <v>52</v>
      </c>
      <c r="AH390">
        <v>0</v>
      </c>
      <c r="AI390">
        <v>0</v>
      </c>
      <c r="AJ390" t="s">
        <v>52</v>
      </c>
      <c r="AK390">
        <v>0</v>
      </c>
      <c r="AL390" t="s">
        <v>52</v>
      </c>
      <c r="AM390" t="s">
        <v>52</v>
      </c>
      <c r="AN390">
        <v>0</v>
      </c>
      <c r="AO390">
        <v>0</v>
      </c>
      <c r="AP390" t="s">
        <v>52</v>
      </c>
      <c r="AQ390" t="s">
        <v>52</v>
      </c>
      <c r="AR390" t="s">
        <v>62</v>
      </c>
      <c r="AS390" t="s">
        <v>52</v>
      </c>
      <c r="AT390" t="s">
        <v>74</v>
      </c>
      <c r="AU390" t="s">
        <v>64</v>
      </c>
      <c r="AV390" t="s">
        <v>62</v>
      </c>
      <c r="AW390" t="s">
        <v>65</v>
      </c>
      <c r="AX390" t="s">
        <v>66</v>
      </c>
      <c r="AY390" t="s">
        <v>67</v>
      </c>
    </row>
    <row r="391" spans="1:51" hidden="1" x14ac:dyDescent="0.25">
      <c r="A391">
        <v>202585</v>
      </c>
      <c r="B391" t="s">
        <v>1554</v>
      </c>
      <c r="C391" t="e">
        <f>VLOOKUP(A391,[1]Customer_payment_journal_line!$AL:$BO,30,0)</f>
        <v>#N/A</v>
      </c>
      <c r="D391" t="s">
        <v>159</v>
      </c>
      <c r="E391" t="s">
        <v>1555</v>
      </c>
      <c r="F391" t="s">
        <v>1556</v>
      </c>
      <c r="G391" t="s">
        <v>1447</v>
      </c>
      <c r="H391" t="s">
        <v>80</v>
      </c>
      <c r="I391" t="s">
        <v>1326</v>
      </c>
      <c r="J391" t="s">
        <v>1557</v>
      </c>
      <c r="K391" t="s">
        <v>1558</v>
      </c>
      <c r="L391" t="s">
        <v>52</v>
      </c>
      <c r="M391">
        <v>5275</v>
      </c>
      <c r="N391">
        <v>0</v>
      </c>
      <c r="O391" t="s">
        <v>61</v>
      </c>
      <c r="P391">
        <v>100</v>
      </c>
      <c r="Q391" t="s">
        <v>52</v>
      </c>
      <c r="R391" t="s">
        <v>52</v>
      </c>
      <c r="S391" t="s">
        <v>52</v>
      </c>
      <c r="T391" t="s">
        <v>52</v>
      </c>
      <c r="U391" t="s">
        <v>52</v>
      </c>
      <c r="V391" t="s">
        <v>62</v>
      </c>
      <c r="W391" t="s">
        <v>52</v>
      </c>
      <c r="Y391" t="s">
        <v>52</v>
      </c>
      <c r="AB391" t="s">
        <v>52</v>
      </c>
      <c r="AE391" t="s">
        <v>52</v>
      </c>
      <c r="AF391" t="s">
        <v>52</v>
      </c>
      <c r="AH391">
        <v>0</v>
      </c>
      <c r="AI391">
        <v>0</v>
      </c>
      <c r="AJ391" t="s">
        <v>52</v>
      </c>
      <c r="AK391">
        <v>0</v>
      </c>
      <c r="AL391" t="s">
        <v>52</v>
      </c>
      <c r="AM391" t="s">
        <v>52</v>
      </c>
      <c r="AN391">
        <v>0</v>
      </c>
      <c r="AO391">
        <v>0</v>
      </c>
      <c r="AP391" t="s">
        <v>52</v>
      </c>
      <c r="AQ391" t="s">
        <v>52</v>
      </c>
      <c r="AR391" t="s">
        <v>62</v>
      </c>
      <c r="AS391" t="s">
        <v>52</v>
      </c>
      <c r="AT391" t="s">
        <v>52</v>
      </c>
      <c r="AU391" t="s">
        <v>64</v>
      </c>
      <c r="AV391" t="s">
        <v>62</v>
      </c>
      <c r="AW391" t="s">
        <v>65</v>
      </c>
      <c r="AX391" t="s">
        <v>66</v>
      </c>
      <c r="AY391" t="s">
        <v>165</v>
      </c>
    </row>
    <row r="392" spans="1:51" hidden="1" x14ac:dyDescent="0.25">
      <c r="A392">
        <v>202585</v>
      </c>
      <c r="B392" t="s">
        <v>1559</v>
      </c>
      <c r="C392" t="e">
        <f>VLOOKUP(A392,[1]Customer_payment_journal_line!$AL:$BO,30,0)</f>
        <v>#N/A</v>
      </c>
      <c r="D392" t="s">
        <v>159</v>
      </c>
      <c r="E392" t="s">
        <v>1555</v>
      </c>
      <c r="F392" t="s">
        <v>1556</v>
      </c>
      <c r="G392" t="s">
        <v>1447</v>
      </c>
      <c r="H392" t="s">
        <v>69</v>
      </c>
      <c r="I392" t="s">
        <v>1560</v>
      </c>
      <c r="J392" t="s">
        <v>1557</v>
      </c>
      <c r="K392" t="s">
        <v>1558</v>
      </c>
      <c r="L392" t="s">
        <v>52</v>
      </c>
      <c r="M392">
        <v>0</v>
      </c>
      <c r="N392">
        <v>5275</v>
      </c>
      <c r="O392" t="s">
        <v>61</v>
      </c>
      <c r="P392">
        <v>100</v>
      </c>
      <c r="Q392" t="s">
        <v>52</v>
      </c>
      <c r="R392" t="s">
        <v>52</v>
      </c>
      <c r="S392" t="s">
        <v>52</v>
      </c>
      <c r="T392" t="s">
        <v>52</v>
      </c>
      <c r="U392" t="s">
        <v>52</v>
      </c>
      <c r="V392" t="s">
        <v>62</v>
      </c>
      <c r="W392" t="s">
        <v>52</v>
      </c>
      <c r="Y392" t="s">
        <v>1561</v>
      </c>
      <c r="Z392" t="s">
        <v>62</v>
      </c>
      <c r="AB392" t="s">
        <v>1562</v>
      </c>
      <c r="AE392" t="s">
        <v>1563</v>
      </c>
      <c r="AF392" t="s">
        <v>52</v>
      </c>
      <c r="AH392">
        <v>0</v>
      </c>
      <c r="AI392">
        <v>0</v>
      </c>
      <c r="AJ392" t="s">
        <v>52</v>
      </c>
      <c r="AK392">
        <v>0</v>
      </c>
      <c r="AL392" t="s">
        <v>52</v>
      </c>
      <c r="AM392" t="s">
        <v>52</v>
      </c>
      <c r="AN392">
        <v>0</v>
      </c>
      <c r="AO392">
        <v>0</v>
      </c>
      <c r="AP392" t="s">
        <v>52</v>
      </c>
      <c r="AQ392" t="s">
        <v>52</v>
      </c>
      <c r="AR392" t="s">
        <v>62</v>
      </c>
      <c r="AS392" t="s">
        <v>52</v>
      </c>
      <c r="AT392" t="s">
        <v>74</v>
      </c>
      <c r="AU392" t="s">
        <v>64</v>
      </c>
      <c r="AV392" t="s">
        <v>62</v>
      </c>
      <c r="AW392" t="s">
        <v>65</v>
      </c>
      <c r="AX392" t="s">
        <v>66</v>
      </c>
      <c r="AY392" t="s">
        <v>165</v>
      </c>
    </row>
    <row r="393" spans="1:51" hidden="1" x14ac:dyDescent="0.25">
      <c r="A393">
        <v>202586</v>
      </c>
      <c r="B393" t="s">
        <v>1564</v>
      </c>
      <c r="C393" t="e">
        <f>VLOOKUP(A393,[1]Customer_payment_journal_line!$AL:$BO,30,0)</f>
        <v>#N/A</v>
      </c>
      <c r="D393" t="s">
        <v>159</v>
      </c>
      <c r="E393" t="s">
        <v>1565</v>
      </c>
      <c r="F393" t="s">
        <v>1566</v>
      </c>
      <c r="G393" t="s">
        <v>1447</v>
      </c>
      <c r="H393" t="s">
        <v>80</v>
      </c>
      <c r="I393" t="s">
        <v>816</v>
      </c>
      <c r="J393" t="s">
        <v>1557</v>
      </c>
      <c r="K393" t="s">
        <v>1558</v>
      </c>
      <c r="L393" t="s">
        <v>52</v>
      </c>
      <c r="M393">
        <v>5</v>
      </c>
      <c r="N393">
        <v>0</v>
      </c>
      <c r="O393" t="s">
        <v>178</v>
      </c>
      <c r="P393">
        <v>5085</v>
      </c>
      <c r="Q393" t="s">
        <v>52</v>
      </c>
      <c r="R393" t="s">
        <v>52</v>
      </c>
      <c r="S393" t="s">
        <v>52</v>
      </c>
      <c r="T393" t="s">
        <v>52</v>
      </c>
      <c r="U393" t="s">
        <v>52</v>
      </c>
      <c r="V393" t="s">
        <v>62</v>
      </c>
      <c r="W393" t="s">
        <v>52</v>
      </c>
      <c r="Y393" t="s">
        <v>52</v>
      </c>
      <c r="AB393" t="s">
        <v>52</v>
      </c>
      <c r="AE393" t="s">
        <v>52</v>
      </c>
      <c r="AF393" t="s">
        <v>52</v>
      </c>
      <c r="AH393">
        <v>0</v>
      </c>
      <c r="AI393">
        <v>0</v>
      </c>
      <c r="AJ393" t="s">
        <v>52</v>
      </c>
      <c r="AK393">
        <v>0</v>
      </c>
      <c r="AL393" t="s">
        <v>52</v>
      </c>
      <c r="AM393" t="s">
        <v>52</v>
      </c>
      <c r="AN393">
        <v>0</v>
      </c>
      <c r="AO393">
        <v>0</v>
      </c>
      <c r="AP393" t="s">
        <v>52</v>
      </c>
      <c r="AQ393" t="s">
        <v>52</v>
      </c>
      <c r="AR393" t="s">
        <v>62</v>
      </c>
      <c r="AS393" t="s">
        <v>52</v>
      </c>
      <c r="AT393" t="s">
        <v>52</v>
      </c>
      <c r="AU393" t="s">
        <v>64</v>
      </c>
      <c r="AV393" t="s">
        <v>62</v>
      </c>
      <c r="AW393" t="s">
        <v>65</v>
      </c>
      <c r="AX393" t="s">
        <v>66</v>
      </c>
      <c r="AY393" t="s">
        <v>165</v>
      </c>
    </row>
    <row r="394" spans="1:51" hidden="1" x14ac:dyDescent="0.25">
      <c r="A394">
        <v>202586</v>
      </c>
      <c r="B394" t="s">
        <v>1567</v>
      </c>
      <c r="C394" t="e">
        <f>VLOOKUP(A394,[1]Customer_payment_journal_line!$AL:$BO,30,0)</f>
        <v>#N/A</v>
      </c>
      <c r="D394" t="s">
        <v>159</v>
      </c>
      <c r="E394" t="s">
        <v>1565</v>
      </c>
      <c r="F394" t="s">
        <v>1566</v>
      </c>
      <c r="G394" t="s">
        <v>1447</v>
      </c>
      <c r="H394" t="s">
        <v>69</v>
      </c>
      <c r="I394" t="s">
        <v>1560</v>
      </c>
      <c r="J394" t="s">
        <v>1557</v>
      </c>
      <c r="K394" t="s">
        <v>1558</v>
      </c>
      <c r="L394" t="s">
        <v>52</v>
      </c>
      <c r="M394">
        <v>0</v>
      </c>
      <c r="N394">
        <v>5</v>
      </c>
      <c r="O394" t="s">
        <v>178</v>
      </c>
      <c r="P394">
        <v>5085</v>
      </c>
      <c r="Q394" t="s">
        <v>52</v>
      </c>
      <c r="R394" t="s">
        <v>52</v>
      </c>
      <c r="S394" t="s">
        <v>52</v>
      </c>
      <c r="T394" t="s">
        <v>52</v>
      </c>
      <c r="U394" t="s">
        <v>52</v>
      </c>
      <c r="V394" t="s">
        <v>62</v>
      </c>
      <c r="W394" t="s">
        <v>52</v>
      </c>
      <c r="Y394" t="s">
        <v>1561</v>
      </c>
      <c r="Z394" t="s">
        <v>62</v>
      </c>
      <c r="AB394" t="s">
        <v>1568</v>
      </c>
      <c r="AE394" t="s">
        <v>1569</v>
      </c>
      <c r="AF394" t="s">
        <v>52</v>
      </c>
      <c r="AH394">
        <v>0</v>
      </c>
      <c r="AI394">
        <v>0</v>
      </c>
      <c r="AJ394" t="s">
        <v>52</v>
      </c>
      <c r="AK394">
        <v>0</v>
      </c>
      <c r="AL394" t="s">
        <v>52</v>
      </c>
      <c r="AM394" t="s">
        <v>52</v>
      </c>
      <c r="AN394">
        <v>0</v>
      </c>
      <c r="AO394">
        <v>0</v>
      </c>
      <c r="AP394" t="s">
        <v>52</v>
      </c>
      <c r="AQ394" t="s">
        <v>52</v>
      </c>
      <c r="AR394" t="s">
        <v>62</v>
      </c>
      <c r="AS394" t="s">
        <v>52</v>
      </c>
      <c r="AT394" t="s">
        <v>74</v>
      </c>
      <c r="AU394" t="s">
        <v>64</v>
      </c>
      <c r="AV394" t="s">
        <v>62</v>
      </c>
      <c r="AW394" t="s">
        <v>65</v>
      </c>
      <c r="AX394" t="s">
        <v>66</v>
      </c>
      <c r="AY394" t="s">
        <v>165</v>
      </c>
    </row>
    <row r="395" spans="1:51" hidden="1" x14ac:dyDescent="0.25">
      <c r="A395">
        <v>202587</v>
      </c>
      <c r="B395" t="s">
        <v>1570</v>
      </c>
      <c r="C395" t="e">
        <f>VLOOKUP(A395,[1]Customer_payment_journal_line!$AL:$BO,30,0)</f>
        <v>#N/A</v>
      </c>
      <c r="D395" t="s">
        <v>159</v>
      </c>
      <c r="E395" t="s">
        <v>1571</v>
      </c>
      <c r="F395" t="s">
        <v>1572</v>
      </c>
      <c r="G395" t="s">
        <v>1447</v>
      </c>
      <c r="H395" t="s">
        <v>80</v>
      </c>
      <c r="I395" t="s">
        <v>816</v>
      </c>
      <c r="J395" t="s">
        <v>1557</v>
      </c>
      <c r="K395" t="s">
        <v>1558</v>
      </c>
      <c r="L395" t="s">
        <v>52</v>
      </c>
      <c r="M395">
        <v>30</v>
      </c>
      <c r="N395">
        <v>0</v>
      </c>
      <c r="O395" t="s">
        <v>178</v>
      </c>
      <c r="P395">
        <v>5085</v>
      </c>
      <c r="Q395" t="s">
        <v>52</v>
      </c>
      <c r="R395" t="s">
        <v>52</v>
      </c>
      <c r="S395" t="s">
        <v>52</v>
      </c>
      <c r="T395" t="s">
        <v>52</v>
      </c>
      <c r="U395" t="s">
        <v>52</v>
      </c>
      <c r="V395" t="s">
        <v>62</v>
      </c>
      <c r="W395" t="s">
        <v>52</v>
      </c>
      <c r="Y395" t="s">
        <v>52</v>
      </c>
      <c r="AB395" t="s">
        <v>52</v>
      </c>
      <c r="AE395" t="s">
        <v>52</v>
      </c>
      <c r="AF395" t="s">
        <v>52</v>
      </c>
      <c r="AH395">
        <v>0</v>
      </c>
      <c r="AI395">
        <v>0</v>
      </c>
      <c r="AJ395" t="s">
        <v>52</v>
      </c>
      <c r="AK395">
        <v>0</v>
      </c>
      <c r="AL395" t="s">
        <v>52</v>
      </c>
      <c r="AM395" t="s">
        <v>52</v>
      </c>
      <c r="AN395">
        <v>0</v>
      </c>
      <c r="AO395">
        <v>0</v>
      </c>
      <c r="AP395" t="s">
        <v>52</v>
      </c>
      <c r="AQ395" t="s">
        <v>52</v>
      </c>
      <c r="AR395" t="s">
        <v>62</v>
      </c>
      <c r="AS395" t="s">
        <v>52</v>
      </c>
      <c r="AT395" t="s">
        <v>52</v>
      </c>
      <c r="AU395" t="s">
        <v>64</v>
      </c>
      <c r="AV395" t="s">
        <v>62</v>
      </c>
      <c r="AW395" t="s">
        <v>65</v>
      </c>
      <c r="AX395" t="s">
        <v>66</v>
      </c>
      <c r="AY395" t="s">
        <v>165</v>
      </c>
    </row>
    <row r="396" spans="1:51" hidden="1" x14ac:dyDescent="0.25">
      <c r="A396">
        <v>202587</v>
      </c>
      <c r="B396" t="s">
        <v>1573</v>
      </c>
      <c r="C396" t="e">
        <f>VLOOKUP(A396,[1]Customer_payment_journal_line!$AL:$BO,30,0)</f>
        <v>#N/A</v>
      </c>
      <c r="D396" t="s">
        <v>159</v>
      </c>
      <c r="E396" t="s">
        <v>1571</v>
      </c>
      <c r="F396" t="s">
        <v>1572</v>
      </c>
      <c r="G396" t="s">
        <v>1447</v>
      </c>
      <c r="H396" t="s">
        <v>69</v>
      </c>
      <c r="I396" t="s">
        <v>1560</v>
      </c>
      <c r="J396" t="s">
        <v>1557</v>
      </c>
      <c r="K396" t="s">
        <v>1558</v>
      </c>
      <c r="L396" t="s">
        <v>52</v>
      </c>
      <c r="M396">
        <v>0</v>
      </c>
      <c r="N396">
        <v>30</v>
      </c>
      <c r="O396" t="s">
        <v>178</v>
      </c>
      <c r="P396">
        <v>5085</v>
      </c>
      <c r="Q396" t="s">
        <v>52</v>
      </c>
      <c r="R396" t="s">
        <v>52</v>
      </c>
      <c r="S396" t="s">
        <v>52</v>
      </c>
      <c r="T396" t="s">
        <v>52</v>
      </c>
      <c r="U396" t="s">
        <v>52</v>
      </c>
      <c r="V396" t="s">
        <v>62</v>
      </c>
      <c r="W396" t="s">
        <v>52</v>
      </c>
      <c r="Y396" t="s">
        <v>1561</v>
      </c>
      <c r="Z396" t="s">
        <v>62</v>
      </c>
      <c r="AB396" t="s">
        <v>1574</v>
      </c>
      <c r="AE396" t="s">
        <v>1575</v>
      </c>
      <c r="AF396" t="s">
        <v>52</v>
      </c>
      <c r="AH396">
        <v>0</v>
      </c>
      <c r="AI396">
        <v>0</v>
      </c>
      <c r="AJ396" t="s">
        <v>52</v>
      </c>
      <c r="AK396">
        <v>0</v>
      </c>
      <c r="AL396" t="s">
        <v>52</v>
      </c>
      <c r="AM396" t="s">
        <v>52</v>
      </c>
      <c r="AN396">
        <v>0</v>
      </c>
      <c r="AO396">
        <v>0</v>
      </c>
      <c r="AP396" t="s">
        <v>52</v>
      </c>
      <c r="AQ396" t="s">
        <v>52</v>
      </c>
      <c r="AR396" t="s">
        <v>62</v>
      </c>
      <c r="AS396" t="s">
        <v>52</v>
      </c>
      <c r="AT396" t="s">
        <v>74</v>
      </c>
      <c r="AU396" t="s">
        <v>64</v>
      </c>
      <c r="AV396" t="s">
        <v>62</v>
      </c>
      <c r="AW396" t="s">
        <v>65</v>
      </c>
      <c r="AX396" t="s">
        <v>66</v>
      </c>
      <c r="AY396" t="s">
        <v>165</v>
      </c>
    </row>
    <row r="397" spans="1:51" hidden="1" x14ac:dyDescent="0.25">
      <c r="A397">
        <v>202596</v>
      </c>
      <c r="B397" t="s">
        <v>1576</v>
      </c>
      <c r="C397" t="e">
        <f>VLOOKUP(A397,[1]Customer_payment_journal_line!$AL:$BO,30,0)</f>
        <v>#N/A</v>
      </c>
      <c r="D397" t="s">
        <v>53</v>
      </c>
      <c r="E397" t="s">
        <v>1577</v>
      </c>
      <c r="F397" t="s">
        <v>1578</v>
      </c>
      <c r="G397" t="s">
        <v>1447</v>
      </c>
      <c r="H397" t="s">
        <v>57</v>
      </c>
      <c r="I397" t="s">
        <v>1349</v>
      </c>
      <c r="J397" t="s">
        <v>1579</v>
      </c>
      <c r="K397" t="s">
        <v>543</v>
      </c>
      <c r="L397" t="s">
        <v>52</v>
      </c>
      <c r="M397">
        <v>3619.5</v>
      </c>
      <c r="N397">
        <v>0</v>
      </c>
      <c r="O397" t="s">
        <v>61</v>
      </c>
      <c r="P397">
        <v>100</v>
      </c>
      <c r="Q397" t="s">
        <v>52</v>
      </c>
      <c r="R397" t="s">
        <v>52</v>
      </c>
      <c r="S397" t="s">
        <v>52</v>
      </c>
      <c r="T397" t="s">
        <v>52</v>
      </c>
      <c r="U397" t="s">
        <v>52</v>
      </c>
      <c r="V397" t="s">
        <v>62</v>
      </c>
      <c r="W397" t="s">
        <v>63</v>
      </c>
      <c r="Y397" t="s">
        <v>52</v>
      </c>
      <c r="AB397" t="s">
        <v>52</v>
      </c>
      <c r="AE397" t="s">
        <v>52</v>
      </c>
      <c r="AF397" t="s">
        <v>52</v>
      </c>
      <c r="AH397">
        <v>0</v>
      </c>
      <c r="AI397">
        <v>0</v>
      </c>
      <c r="AJ397" t="s">
        <v>52</v>
      </c>
      <c r="AK397">
        <v>0</v>
      </c>
      <c r="AL397" t="s">
        <v>52</v>
      </c>
      <c r="AM397" t="s">
        <v>52</v>
      </c>
      <c r="AN397">
        <v>0</v>
      </c>
      <c r="AO397">
        <v>0</v>
      </c>
      <c r="AP397" t="s">
        <v>52</v>
      </c>
      <c r="AQ397" t="s">
        <v>52</v>
      </c>
      <c r="AR397" t="s">
        <v>62</v>
      </c>
      <c r="AS397" t="s">
        <v>52</v>
      </c>
      <c r="AT397" t="s">
        <v>52</v>
      </c>
      <c r="AU397" t="s">
        <v>64</v>
      </c>
      <c r="AV397" t="s">
        <v>62</v>
      </c>
      <c r="AW397" t="s">
        <v>65</v>
      </c>
      <c r="AX397" t="s">
        <v>66</v>
      </c>
      <c r="AY397" t="s">
        <v>67</v>
      </c>
    </row>
    <row r="398" spans="1:51" hidden="1" x14ac:dyDescent="0.25">
      <c r="A398">
        <v>202596</v>
      </c>
      <c r="B398" t="s">
        <v>1580</v>
      </c>
      <c r="C398" t="e">
        <f>VLOOKUP(A398,[1]Customer_payment_journal_line!$AL:$BO,30,0)</f>
        <v>#N/A</v>
      </c>
      <c r="D398" t="s">
        <v>53</v>
      </c>
      <c r="E398" t="s">
        <v>1577</v>
      </c>
      <c r="F398" t="s">
        <v>1578</v>
      </c>
      <c r="G398" t="s">
        <v>1447</v>
      </c>
      <c r="H398" t="s">
        <v>69</v>
      </c>
      <c r="I398" t="s">
        <v>545</v>
      </c>
      <c r="J398" t="s">
        <v>1579</v>
      </c>
      <c r="K398" t="s">
        <v>543</v>
      </c>
      <c r="L398" t="s">
        <v>52</v>
      </c>
      <c r="M398">
        <v>0</v>
      </c>
      <c r="N398">
        <v>3619.5</v>
      </c>
      <c r="O398" t="s">
        <v>61</v>
      </c>
      <c r="P398">
        <v>100</v>
      </c>
      <c r="Q398" t="s">
        <v>52</v>
      </c>
      <c r="R398" t="s">
        <v>52</v>
      </c>
      <c r="S398" t="s">
        <v>52</v>
      </c>
      <c r="T398" t="s">
        <v>52</v>
      </c>
      <c r="U398" t="s">
        <v>52</v>
      </c>
      <c r="V398" t="s">
        <v>62</v>
      </c>
      <c r="W398" t="s">
        <v>52</v>
      </c>
      <c r="Y398" t="s">
        <v>546</v>
      </c>
      <c r="Z398" t="s">
        <v>62</v>
      </c>
      <c r="AB398" t="s">
        <v>1581</v>
      </c>
      <c r="AE398" t="s">
        <v>1582</v>
      </c>
      <c r="AF398" t="s">
        <v>52</v>
      </c>
      <c r="AH398">
        <v>0</v>
      </c>
      <c r="AI398">
        <v>0</v>
      </c>
      <c r="AJ398" t="s">
        <v>52</v>
      </c>
      <c r="AK398">
        <v>0</v>
      </c>
      <c r="AL398" t="s">
        <v>52</v>
      </c>
      <c r="AM398" t="s">
        <v>52</v>
      </c>
      <c r="AN398">
        <v>0</v>
      </c>
      <c r="AO398">
        <v>0</v>
      </c>
      <c r="AP398" t="s">
        <v>52</v>
      </c>
      <c r="AQ398" t="s">
        <v>52</v>
      </c>
      <c r="AR398" t="s">
        <v>62</v>
      </c>
      <c r="AS398" t="s">
        <v>52</v>
      </c>
      <c r="AT398" t="s">
        <v>74</v>
      </c>
      <c r="AU398" t="s">
        <v>64</v>
      </c>
      <c r="AV398" t="s">
        <v>62</v>
      </c>
      <c r="AW398" t="s">
        <v>65</v>
      </c>
      <c r="AX398" t="s">
        <v>66</v>
      </c>
      <c r="AY398" t="s">
        <v>67</v>
      </c>
    </row>
    <row r="399" spans="1:51" hidden="1" x14ac:dyDescent="0.25">
      <c r="A399">
        <v>202597</v>
      </c>
      <c r="B399" t="s">
        <v>1583</v>
      </c>
      <c r="C399" t="e">
        <f>VLOOKUP(A399,[1]Customer_payment_journal_line!$AL:$BO,30,0)</f>
        <v>#N/A</v>
      </c>
      <c r="D399" t="s">
        <v>53</v>
      </c>
      <c r="E399" t="s">
        <v>1584</v>
      </c>
      <c r="F399" t="s">
        <v>1585</v>
      </c>
      <c r="G399" t="s">
        <v>1447</v>
      </c>
      <c r="H399" t="s">
        <v>57</v>
      </c>
      <c r="I399" t="s">
        <v>1349</v>
      </c>
      <c r="J399" t="s">
        <v>1586</v>
      </c>
      <c r="K399" t="s">
        <v>1024</v>
      </c>
      <c r="L399" t="s">
        <v>52</v>
      </c>
      <c r="M399">
        <v>1710</v>
      </c>
      <c r="N399">
        <v>0</v>
      </c>
      <c r="O399" t="s">
        <v>61</v>
      </c>
      <c r="P399">
        <v>100</v>
      </c>
      <c r="Q399" t="s">
        <v>52</v>
      </c>
      <c r="R399" t="s">
        <v>52</v>
      </c>
      <c r="S399" t="s">
        <v>52</v>
      </c>
      <c r="T399" t="s">
        <v>52</v>
      </c>
      <c r="U399" t="s">
        <v>52</v>
      </c>
      <c r="V399" t="s">
        <v>62</v>
      </c>
      <c r="W399" t="s">
        <v>63</v>
      </c>
      <c r="Y399" t="s">
        <v>52</v>
      </c>
      <c r="AB399" t="s">
        <v>52</v>
      </c>
      <c r="AE399" t="s">
        <v>52</v>
      </c>
      <c r="AF399" t="s">
        <v>52</v>
      </c>
      <c r="AH399">
        <v>0</v>
      </c>
      <c r="AI399">
        <v>0</v>
      </c>
      <c r="AJ399" t="s">
        <v>52</v>
      </c>
      <c r="AK399">
        <v>0</v>
      </c>
      <c r="AL399" t="s">
        <v>52</v>
      </c>
      <c r="AM399" t="s">
        <v>52</v>
      </c>
      <c r="AN399">
        <v>0</v>
      </c>
      <c r="AO399">
        <v>0</v>
      </c>
      <c r="AP399" t="s">
        <v>52</v>
      </c>
      <c r="AQ399" t="s">
        <v>52</v>
      </c>
      <c r="AR399" t="s">
        <v>62</v>
      </c>
      <c r="AS399" t="s">
        <v>52</v>
      </c>
      <c r="AT399" t="s">
        <v>52</v>
      </c>
      <c r="AU399" t="s">
        <v>64</v>
      </c>
      <c r="AV399" t="s">
        <v>62</v>
      </c>
      <c r="AW399" t="s">
        <v>65</v>
      </c>
      <c r="AX399" t="s">
        <v>66</v>
      </c>
      <c r="AY399" t="s">
        <v>67</v>
      </c>
    </row>
    <row r="400" spans="1:51" hidden="1" x14ac:dyDescent="0.25">
      <c r="A400">
        <v>202597</v>
      </c>
      <c r="B400" t="s">
        <v>1587</v>
      </c>
      <c r="C400" t="e">
        <f>VLOOKUP(A400,[1]Customer_payment_journal_line!$AL:$BO,30,0)</f>
        <v>#N/A</v>
      </c>
      <c r="D400" t="s">
        <v>53</v>
      </c>
      <c r="E400" t="s">
        <v>1584</v>
      </c>
      <c r="F400" t="s">
        <v>1585</v>
      </c>
      <c r="G400" t="s">
        <v>1447</v>
      </c>
      <c r="H400" t="s">
        <v>69</v>
      </c>
      <c r="I400" t="s">
        <v>797</v>
      </c>
      <c r="J400" t="s">
        <v>1586</v>
      </c>
      <c r="K400" t="s">
        <v>1024</v>
      </c>
      <c r="L400" t="s">
        <v>52</v>
      </c>
      <c r="M400">
        <v>0</v>
      </c>
      <c r="N400">
        <v>1710</v>
      </c>
      <c r="O400" t="s">
        <v>61</v>
      </c>
      <c r="P400">
        <v>100</v>
      </c>
      <c r="Q400" t="s">
        <v>52</v>
      </c>
      <c r="R400" t="s">
        <v>52</v>
      </c>
      <c r="S400" t="s">
        <v>52</v>
      </c>
      <c r="T400" t="s">
        <v>52</v>
      </c>
      <c r="U400" t="s">
        <v>52</v>
      </c>
      <c r="V400" t="s">
        <v>62</v>
      </c>
      <c r="W400" t="s">
        <v>52</v>
      </c>
      <c r="Y400" t="s">
        <v>798</v>
      </c>
      <c r="Z400" t="s">
        <v>62</v>
      </c>
      <c r="AB400" t="s">
        <v>1588</v>
      </c>
      <c r="AE400" t="s">
        <v>1589</v>
      </c>
      <c r="AF400" t="s">
        <v>52</v>
      </c>
      <c r="AH400">
        <v>0</v>
      </c>
      <c r="AI400">
        <v>0</v>
      </c>
      <c r="AJ400" t="s">
        <v>52</v>
      </c>
      <c r="AK400">
        <v>0</v>
      </c>
      <c r="AL400" t="s">
        <v>52</v>
      </c>
      <c r="AM400" t="s">
        <v>52</v>
      </c>
      <c r="AN400">
        <v>0</v>
      </c>
      <c r="AO400">
        <v>0</v>
      </c>
      <c r="AP400" t="s">
        <v>52</v>
      </c>
      <c r="AQ400" t="s">
        <v>52</v>
      </c>
      <c r="AR400" t="s">
        <v>62</v>
      </c>
      <c r="AS400" t="s">
        <v>52</v>
      </c>
      <c r="AT400" t="s">
        <v>74</v>
      </c>
      <c r="AU400" t="s">
        <v>64</v>
      </c>
      <c r="AV400" t="s">
        <v>62</v>
      </c>
      <c r="AW400" t="s">
        <v>65</v>
      </c>
      <c r="AX400" t="s">
        <v>66</v>
      </c>
      <c r="AY400" t="s">
        <v>67</v>
      </c>
    </row>
    <row r="401" spans="1:51" hidden="1" x14ac:dyDescent="0.25">
      <c r="A401">
        <v>202598</v>
      </c>
      <c r="B401" t="s">
        <v>1590</v>
      </c>
      <c r="C401" t="e">
        <f>VLOOKUP(A401,[1]Customer_payment_journal_line!$AL:$BO,30,0)</f>
        <v>#N/A</v>
      </c>
      <c r="D401" t="s">
        <v>53</v>
      </c>
      <c r="E401" t="s">
        <v>1591</v>
      </c>
      <c r="F401" t="s">
        <v>1592</v>
      </c>
      <c r="G401" t="s">
        <v>1447</v>
      </c>
      <c r="H401" t="s">
        <v>57</v>
      </c>
      <c r="I401" t="s">
        <v>1349</v>
      </c>
      <c r="J401" t="s">
        <v>1586</v>
      </c>
      <c r="K401" t="s">
        <v>1037</v>
      </c>
      <c r="L401" t="s">
        <v>52</v>
      </c>
      <c r="M401">
        <v>1140</v>
      </c>
      <c r="N401">
        <v>0</v>
      </c>
      <c r="O401" t="s">
        <v>61</v>
      </c>
      <c r="P401">
        <v>100</v>
      </c>
      <c r="Q401" t="s">
        <v>52</v>
      </c>
      <c r="R401" t="s">
        <v>52</v>
      </c>
      <c r="S401" t="s">
        <v>52</v>
      </c>
      <c r="T401" t="s">
        <v>52</v>
      </c>
      <c r="U401" t="s">
        <v>52</v>
      </c>
      <c r="V401" t="s">
        <v>62</v>
      </c>
      <c r="W401" t="s">
        <v>63</v>
      </c>
      <c r="Y401" t="s">
        <v>52</v>
      </c>
      <c r="AB401" t="s">
        <v>52</v>
      </c>
      <c r="AE401" t="s">
        <v>52</v>
      </c>
      <c r="AF401" t="s">
        <v>52</v>
      </c>
      <c r="AH401">
        <v>0</v>
      </c>
      <c r="AI401">
        <v>0</v>
      </c>
      <c r="AJ401" t="s">
        <v>52</v>
      </c>
      <c r="AK401">
        <v>0</v>
      </c>
      <c r="AL401" t="s">
        <v>52</v>
      </c>
      <c r="AM401" t="s">
        <v>52</v>
      </c>
      <c r="AN401">
        <v>0</v>
      </c>
      <c r="AO401">
        <v>0</v>
      </c>
      <c r="AP401" t="s">
        <v>52</v>
      </c>
      <c r="AQ401" t="s">
        <v>52</v>
      </c>
      <c r="AR401" t="s">
        <v>62</v>
      </c>
      <c r="AS401" t="s">
        <v>52</v>
      </c>
      <c r="AT401" t="s">
        <v>52</v>
      </c>
      <c r="AU401" t="s">
        <v>64</v>
      </c>
      <c r="AV401" t="s">
        <v>62</v>
      </c>
      <c r="AW401" t="s">
        <v>65</v>
      </c>
      <c r="AX401" t="s">
        <v>66</v>
      </c>
      <c r="AY401" t="s">
        <v>67</v>
      </c>
    </row>
    <row r="402" spans="1:51" hidden="1" x14ac:dyDescent="0.25">
      <c r="A402">
        <v>202598</v>
      </c>
      <c r="B402" t="s">
        <v>1593</v>
      </c>
      <c r="C402" t="e">
        <f>VLOOKUP(A402,[1]Customer_payment_journal_line!$AL:$BO,30,0)</f>
        <v>#N/A</v>
      </c>
      <c r="D402" t="s">
        <v>53</v>
      </c>
      <c r="E402" t="s">
        <v>1591</v>
      </c>
      <c r="F402" t="s">
        <v>1592</v>
      </c>
      <c r="G402" t="s">
        <v>1447</v>
      </c>
      <c r="H402" t="s">
        <v>69</v>
      </c>
      <c r="I402" t="s">
        <v>797</v>
      </c>
      <c r="J402" t="s">
        <v>1586</v>
      </c>
      <c r="K402" t="s">
        <v>1037</v>
      </c>
      <c r="L402" t="s">
        <v>52</v>
      </c>
      <c r="M402">
        <v>0</v>
      </c>
      <c r="N402">
        <v>1140</v>
      </c>
      <c r="O402" t="s">
        <v>61</v>
      </c>
      <c r="P402">
        <v>100</v>
      </c>
      <c r="Q402" t="s">
        <v>52</v>
      </c>
      <c r="R402" t="s">
        <v>52</v>
      </c>
      <c r="S402" t="s">
        <v>52</v>
      </c>
      <c r="T402" t="s">
        <v>52</v>
      </c>
      <c r="U402" t="s">
        <v>52</v>
      </c>
      <c r="V402" t="s">
        <v>62</v>
      </c>
      <c r="W402" t="s">
        <v>52</v>
      </c>
      <c r="Y402" t="s">
        <v>798</v>
      </c>
      <c r="Z402" t="s">
        <v>62</v>
      </c>
      <c r="AB402" t="s">
        <v>1594</v>
      </c>
      <c r="AE402" t="s">
        <v>1595</v>
      </c>
      <c r="AF402" t="s">
        <v>52</v>
      </c>
      <c r="AH402">
        <v>0</v>
      </c>
      <c r="AI402">
        <v>0</v>
      </c>
      <c r="AJ402" t="s">
        <v>52</v>
      </c>
      <c r="AK402">
        <v>0</v>
      </c>
      <c r="AL402" t="s">
        <v>52</v>
      </c>
      <c r="AM402" t="s">
        <v>52</v>
      </c>
      <c r="AN402">
        <v>0</v>
      </c>
      <c r="AO402">
        <v>0</v>
      </c>
      <c r="AP402" t="s">
        <v>52</v>
      </c>
      <c r="AQ402" t="s">
        <v>52</v>
      </c>
      <c r="AR402" t="s">
        <v>62</v>
      </c>
      <c r="AS402" t="s">
        <v>52</v>
      </c>
      <c r="AT402" t="s">
        <v>74</v>
      </c>
      <c r="AU402" t="s">
        <v>64</v>
      </c>
      <c r="AV402" t="s">
        <v>62</v>
      </c>
      <c r="AW402" t="s">
        <v>65</v>
      </c>
      <c r="AX402" t="s">
        <v>66</v>
      </c>
      <c r="AY402" t="s">
        <v>67</v>
      </c>
    </row>
    <row r="403" spans="1:51" hidden="1" x14ac:dyDescent="0.25">
      <c r="A403">
        <v>202607</v>
      </c>
      <c r="B403" t="s">
        <v>1596</v>
      </c>
      <c r="C403" t="e">
        <f>VLOOKUP(A403,[1]Customer_payment_journal_line!$AL:$BO,30,0)</f>
        <v>#N/A</v>
      </c>
      <c r="D403" t="s">
        <v>53</v>
      </c>
      <c r="E403" t="s">
        <v>1597</v>
      </c>
      <c r="F403" t="s">
        <v>1598</v>
      </c>
      <c r="G403" t="s">
        <v>1447</v>
      </c>
      <c r="H403" t="s">
        <v>57</v>
      </c>
      <c r="I403" t="s">
        <v>319</v>
      </c>
      <c r="J403" t="s">
        <v>1599</v>
      </c>
      <c r="K403" t="s">
        <v>1600</v>
      </c>
      <c r="L403" t="s">
        <v>52</v>
      </c>
      <c r="M403">
        <v>2850</v>
      </c>
      <c r="N403">
        <v>0</v>
      </c>
      <c r="O403" t="s">
        <v>61</v>
      </c>
      <c r="P403">
        <v>100</v>
      </c>
      <c r="Q403" t="s">
        <v>52</v>
      </c>
      <c r="R403" t="s">
        <v>52</v>
      </c>
      <c r="S403" t="s">
        <v>52</v>
      </c>
      <c r="T403" t="s">
        <v>52</v>
      </c>
      <c r="U403" t="s">
        <v>52</v>
      </c>
      <c r="V403" t="s">
        <v>62</v>
      </c>
      <c r="W403" t="s">
        <v>63</v>
      </c>
      <c r="Y403" t="s">
        <v>52</v>
      </c>
      <c r="AB403" t="s">
        <v>52</v>
      </c>
      <c r="AE403" t="s">
        <v>52</v>
      </c>
      <c r="AF403" t="s">
        <v>52</v>
      </c>
      <c r="AH403">
        <v>0</v>
      </c>
      <c r="AI403">
        <v>0</v>
      </c>
      <c r="AJ403" t="s">
        <v>52</v>
      </c>
      <c r="AK403">
        <v>0</v>
      </c>
      <c r="AL403" t="s">
        <v>52</v>
      </c>
      <c r="AM403" t="s">
        <v>52</v>
      </c>
      <c r="AN403">
        <v>0</v>
      </c>
      <c r="AO403">
        <v>0</v>
      </c>
      <c r="AP403" t="s">
        <v>52</v>
      </c>
      <c r="AQ403" t="s">
        <v>52</v>
      </c>
      <c r="AR403" t="s">
        <v>62</v>
      </c>
      <c r="AS403" t="s">
        <v>52</v>
      </c>
      <c r="AT403" t="s">
        <v>52</v>
      </c>
      <c r="AU403" t="s">
        <v>64</v>
      </c>
      <c r="AV403" t="s">
        <v>62</v>
      </c>
      <c r="AW403" t="s">
        <v>65</v>
      </c>
      <c r="AX403" t="s">
        <v>66</v>
      </c>
      <c r="AY403" t="s">
        <v>67</v>
      </c>
    </row>
    <row r="404" spans="1:51" hidden="1" x14ac:dyDescent="0.25">
      <c r="A404">
        <v>202607</v>
      </c>
      <c r="B404" t="s">
        <v>1601</v>
      </c>
      <c r="C404" t="e">
        <f>VLOOKUP(A404,[1]Customer_payment_journal_line!$AL:$BO,30,0)</f>
        <v>#N/A</v>
      </c>
      <c r="D404" t="s">
        <v>53</v>
      </c>
      <c r="E404" t="s">
        <v>1597</v>
      </c>
      <c r="F404" t="s">
        <v>1598</v>
      </c>
      <c r="G404" t="s">
        <v>1447</v>
      </c>
      <c r="H404" t="s">
        <v>69</v>
      </c>
      <c r="I404" t="s">
        <v>1602</v>
      </c>
      <c r="J404" t="s">
        <v>1599</v>
      </c>
      <c r="K404" t="s">
        <v>1600</v>
      </c>
      <c r="L404" t="s">
        <v>52</v>
      </c>
      <c r="M404">
        <v>0</v>
      </c>
      <c r="N404">
        <v>2850</v>
      </c>
      <c r="O404" t="s">
        <v>61</v>
      </c>
      <c r="P404">
        <v>100</v>
      </c>
      <c r="Q404" t="s">
        <v>52</v>
      </c>
      <c r="R404" t="s">
        <v>52</v>
      </c>
      <c r="S404" t="s">
        <v>52</v>
      </c>
      <c r="T404" t="s">
        <v>52</v>
      </c>
      <c r="U404" t="s">
        <v>52</v>
      </c>
      <c r="V404" t="s">
        <v>62</v>
      </c>
      <c r="W404" t="s">
        <v>52</v>
      </c>
      <c r="Y404" t="s">
        <v>1603</v>
      </c>
      <c r="Z404" t="s">
        <v>62</v>
      </c>
      <c r="AB404" t="s">
        <v>1604</v>
      </c>
      <c r="AE404" t="s">
        <v>1605</v>
      </c>
      <c r="AF404" t="s">
        <v>52</v>
      </c>
      <c r="AH404">
        <v>0</v>
      </c>
      <c r="AI404">
        <v>0</v>
      </c>
      <c r="AJ404" t="s">
        <v>52</v>
      </c>
      <c r="AK404">
        <v>0</v>
      </c>
      <c r="AL404" t="s">
        <v>52</v>
      </c>
      <c r="AM404" t="s">
        <v>52</v>
      </c>
      <c r="AN404">
        <v>0</v>
      </c>
      <c r="AO404">
        <v>0</v>
      </c>
      <c r="AP404" t="s">
        <v>52</v>
      </c>
      <c r="AQ404" t="s">
        <v>52</v>
      </c>
      <c r="AR404" t="s">
        <v>62</v>
      </c>
      <c r="AS404" t="s">
        <v>52</v>
      </c>
      <c r="AT404" t="s">
        <v>74</v>
      </c>
      <c r="AU404" t="s">
        <v>64</v>
      </c>
      <c r="AV404" t="s">
        <v>62</v>
      </c>
      <c r="AW404" t="s">
        <v>65</v>
      </c>
      <c r="AX404" t="s">
        <v>66</v>
      </c>
      <c r="AY404" t="s">
        <v>67</v>
      </c>
    </row>
    <row r="405" spans="1:51" hidden="1" x14ac:dyDescent="0.25">
      <c r="A405">
        <v>202627</v>
      </c>
      <c r="B405" t="s">
        <v>1606</v>
      </c>
      <c r="C405" t="e">
        <f>VLOOKUP(A405,[1]Customer_payment_journal_line!$AL:$BO,30,0)</f>
        <v>#N/A</v>
      </c>
      <c r="D405" t="s">
        <v>159</v>
      </c>
      <c r="E405" t="s">
        <v>1607</v>
      </c>
      <c r="F405" t="s">
        <v>1608</v>
      </c>
      <c r="G405" t="s">
        <v>1609</v>
      </c>
      <c r="H405" t="s">
        <v>80</v>
      </c>
      <c r="I405" t="s">
        <v>269</v>
      </c>
      <c r="J405" t="s">
        <v>1610</v>
      </c>
      <c r="K405" t="s">
        <v>1611</v>
      </c>
      <c r="L405" t="s">
        <v>52</v>
      </c>
      <c r="M405">
        <v>4900</v>
      </c>
      <c r="N405">
        <v>0</v>
      </c>
      <c r="O405" t="s">
        <v>178</v>
      </c>
      <c r="P405">
        <v>5085</v>
      </c>
      <c r="Q405" t="s">
        <v>52</v>
      </c>
      <c r="R405" t="s">
        <v>52</v>
      </c>
      <c r="S405" t="s">
        <v>52</v>
      </c>
      <c r="T405" t="s">
        <v>52</v>
      </c>
      <c r="U405" t="s">
        <v>52</v>
      </c>
      <c r="V405" t="s">
        <v>62</v>
      </c>
      <c r="W405" t="s">
        <v>52</v>
      </c>
      <c r="Y405" t="s">
        <v>52</v>
      </c>
      <c r="AB405" t="s">
        <v>52</v>
      </c>
      <c r="AE405" t="s">
        <v>52</v>
      </c>
      <c r="AF405" t="s">
        <v>52</v>
      </c>
      <c r="AH405">
        <v>0</v>
      </c>
      <c r="AI405">
        <v>0</v>
      </c>
      <c r="AJ405" t="s">
        <v>52</v>
      </c>
      <c r="AK405">
        <v>0</v>
      </c>
      <c r="AL405" t="s">
        <v>52</v>
      </c>
      <c r="AM405" t="s">
        <v>52</v>
      </c>
      <c r="AN405">
        <v>0</v>
      </c>
      <c r="AO405">
        <v>0</v>
      </c>
      <c r="AP405" t="s">
        <v>52</v>
      </c>
      <c r="AQ405" t="s">
        <v>52</v>
      </c>
      <c r="AR405" t="s">
        <v>62</v>
      </c>
      <c r="AS405" t="s">
        <v>52</v>
      </c>
      <c r="AT405" t="s">
        <v>52</v>
      </c>
      <c r="AU405" t="s">
        <v>64</v>
      </c>
      <c r="AV405" t="s">
        <v>62</v>
      </c>
      <c r="AW405" t="s">
        <v>65</v>
      </c>
      <c r="AX405" t="s">
        <v>66</v>
      </c>
      <c r="AY405" t="s">
        <v>165</v>
      </c>
    </row>
    <row r="406" spans="1:51" hidden="1" x14ac:dyDescent="0.25">
      <c r="A406">
        <v>202627</v>
      </c>
      <c r="B406" t="s">
        <v>1612</v>
      </c>
      <c r="C406" t="e">
        <f>VLOOKUP(A406,[1]Customer_payment_journal_line!$AL:$BO,30,0)</f>
        <v>#N/A</v>
      </c>
      <c r="D406" t="s">
        <v>159</v>
      </c>
      <c r="E406" t="s">
        <v>1607</v>
      </c>
      <c r="F406" t="s">
        <v>1608</v>
      </c>
      <c r="G406" t="s">
        <v>1609</v>
      </c>
      <c r="H406" t="s">
        <v>69</v>
      </c>
      <c r="I406" t="s">
        <v>842</v>
      </c>
      <c r="J406" t="s">
        <v>1610</v>
      </c>
      <c r="K406" t="s">
        <v>1611</v>
      </c>
      <c r="L406" t="s">
        <v>52</v>
      </c>
      <c r="M406">
        <v>0</v>
      </c>
      <c r="N406">
        <v>4900</v>
      </c>
      <c r="O406" t="s">
        <v>178</v>
      </c>
      <c r="P406">
        <v>5085</v>
      </c>
      <c r="Q406" t="s">
        <v>52</v>
      </c>
      <c r="R406" t="s">
        <v>52</v>
      </c>
      <c r="S406" t="s">
        <v>52</v>
      </c>
      <c r="T406" t="s">
        <v>52</v>
      </c>
      <c r="U406" t="s">
        <v>52</v>
      </c>
      <c r="V406" t="s">
        <v>62</v>
      </c>
      <c r="W406" t="s">
        <v>52</v>
      </c>
      <c r="Y406" t="s">
        <v>844</v>
      </c>
      <c r="Z406" t="s">
        <v>62</v>
      </c>
      <c r="AB406" t="s">
        <v>1613</v>
      </c>
      <c r="AE406" t="s">
        <v>1614</v>
      </c>
      <c r="AF406" t="s">
        <v>52</v>
      </c>
      <c r="AH406">
        <v>0</v>
      </c>
      <c r="AI406">
        <v>0</v>
      </c>
      <c r="AJ406" t="s">
        <v>52</v>
      </c>
      <c r="AK406">
        <v>0</v>
      </c>
      <c r="AL406" t="s">
        <v>52</v>
      </c>
      <c r="AM406" t="s">
        <v>52</v>
      </c>
      <c r="AN406">
        <v>0</v>
      </c>
      <c r="AO406">
        <v>0</v>
      </c>
      <c r="AP406" t="s">
        <v>52</v>
      </c>
      <c r="AQ406" t="s">
        <v>52</v>
      </c>
      <c r="AR406" t="s">
        <v>62</v>
      </c>
      <c r="AS406" t="s">
        <v>52</v>
      </c>
      <c r="AT406" t="s">
        <v>74</v>
      </c>
      <c r="AU406" t="s">
        <v>64</v>
      </c>
      <c r="AV406" t="s">
        <v>62</v>
      </c>
      <c r="AW406" t="s">
        <v>65</v>
      </c>
      <c r="AX406" t="s">
        <v>66</v>
      </c>
      <c r="AY406" t="s">
        <v>165</v>
      </c>
    </row>
    <row r="407" spans="1:51" hidden="1" x14ac:dyDescent="0.25">
      <c r="A407">
        <v>202640</v>
      </c>
      <c r="B407" t="s">
        <v>1615</v>
      </c>
      <c r="C407" t="str">
        <f>VLOOKUP(A407,[1]Customer_payment_journal_line!$AL:$BO,30,0)</f>
        <v>CPay-000000035</v>
      </c>
      <c r="D407" t="s">
        <v>53</v>
      </c>
      <c r="E407" t="s">
        <v>1616</v>
      </c>
      <c r="F407" t="s">
        <v>1617</v>
      </c>
      <c r="G407" t="s">
        <v>1609</v>
      </c>
      <c r="H407" t="s">
        <v>57</v>
      </c>
      <c r="I407" t="s">
        <v>95</v>
      </c>
      <c r="J407" t="s">
        <v>1618</v>
      </c>
      <c r="K407" t="s">
        <v>1619</v>
      </c>
      <c r="L407">
        <f>VLOOKUP(A407,[1]Customer_payment_journal_line!$B:$L,11,0)</f>
        <v>274</v>
      </c>
      <c r="M407" s="1">
        <v>274</v>
      </c>
      <c r="N407" s="2">
        <f>L407-M407</f>
        <v>0</v>
      </c>
      <c r="O407" t="s">
        <v>61</v>
      </c>
      <c r="P407">
        <v>100</v>
      </c>
      <c r="Q407" t="s">
        <v>52</v>
      </c>
      <c r="R407" t="s">
        <v>52</v>
      </c>
      <c r="S407" t="s">
        <v>52</v>
      </c>
      <c r="T407" t="s">
        <v>52</v>
      </c>
      <c r="U407" t="s">
        <v>52</v>
      </c>
      <c r="V407" t="s">
        <v>62</v>
      </c>
      <c r="W407" t="s">
        <v>63</v>
      </c>
      <c r="Y407" t="s">
        <v>52</v>
      </c>
      <c r="AB407" t="s">
        <v>52</v>
      </c>
      <c r="AE407" t="s">
        <v>52</v>
      </c>
      <c r="AF407" t="s">
        <v>52</v>
      </c>
      <c r="AH407">
        <v>0</v>
      </c>
      <c r="AI407">
        <v>0</v>
      </c>
      <c r="AJ407" t="s">
        <v>52</v>
      </c>
      <c r="AK407">
        <v>0</v>
      </c>
      <c r="AL407" t="s">
        <v>52</v>
      </c>
      <c r="AM407" t="s">
        <v>52</v>
      </c>
      <c r="AN407">
        <v>0</v>
      </c>
      <c r="AO407">
        <v>0</v>
      </c>
      <c r="AP407" t="s">
        <v>52</v>
      </c>
      <c r="AQ407" t="s">
        <v>52</v>
      </c>
      <c r="AR407" t="s">
        <v>62</v>
      </c>
      <c r="AS407" t="s">
        <v>52</v>
      </c>
      <c r="AT407" t="s">
        <v>52</v>
      </c>
      <c r="AU407" t="s">
        <v>64</v>
      </c>
      <c r="AV407" t="s">
        <v>62</v>
      </c>
      <c r="AW407" t="s">
        <v>65</v>
      </c>
      <c r="AX407" t="s">
        <v>66</v>
      </c>
      <c r="AY407" t="s">
        <v>67</v>
      </c>
    </row>
    <row r="408" spans="1:51" hidden="1" x14ac:dyDescent="0.25">
      <c r="A408">
        <v>202640</v>
      </c>
      <c r="B408" t="s">
        <v>1620</v>
      </c>
      <c r="C408" t="str">
        <f>VLOOKUP(A408,[1]Customer_payment_journal_line!$AL:$BO,30,0)</f>
        <v>CPay-000000035</v>
      </c>
      <c r="D408" t="s">
        <v>53</v>
      </c>
      <c r="E408" t="s">
        <v>1616</v>
      </c>
      <c r="F408" t="s">
        <v>1617</v>
      </c>
      <c r="G408" t="s">
        <v>1609</v>
      </c>
      <c r="H408" t="s">
        <v>69</v>
      </c>
      <c r="I408" t="s">
        <v>1621</v>
      </c>
      <c r="J408" t="s">
        <v>1618</v>
      </c>
      <c r="K408" t="s">
        <v>1619</v>
      </c>
      <c r="L408">
        <f>VLOOKUP(A408,[1]Customer_payment_journal_line!$B:$L,11,0)</f>
        <v>274</v>
      </c>
      <c r="M408" s="1">
        <v>0</v>
      </c>
      <c r="N408">
        <v>274</v>
      </c>
      <c r="O408" t="s">
        <v>61</v>
      </c>
      <c r="P408">
        <v>100</v>
      </c>
      <c r="Q408" t="s">
        <v>52</v>
      </c>
      <c r="R408" t="s">
        <v>52</v>
      </c>
      <c r="S408" t="s">
        <v>52</v>
      </c>
      <c r="T408" t="s">
        <v>52</v>
      </c>
      <c r="U408" t="s">
        <v>52</v>
      </c>
      <c r="V408" t="s">
        <v>62</v>
      </c>
      <c r="W408" t="s">
        <v>52</v>
      </c>
      <c r="Y408" t="s">
        <v>1622</v>
      </c>
      <c r="Z408" t="s">
        <v>62</v>
      </c>
      <c r="AB408" t="s">
        <v>1623</v>
      </c>
      <c r="AE408" t="s">
        <v>1624</v>
      </c>
      <c r="AF408" t="s">
        <v>52</v>
      </c>
      <c r="AH408">
        <v>0</v>
      </c>
      <c r="AI408">
        <v>0</v>
      </c>
      <c r="AJ408" t="s">
        <v>52</v>
      </c>
      <c r="AK408">
        <v>0</v>
      </c>
      <c r="AL408" t="s">
        <v>52</v>
      </c>
      <c r="AM408" t="s">
        <v>52</v>
      </c>
      <c r="AN408">
        <v>0</v>
      </c>
      <c r="AO408">
        <v>0</v>
      </c>
      <c r="AP408" t="s">
        <v>52</v>
      </c>
      <c r="AQ408" t="s">
        <v>52</v>
      </c>
      <c r="AR408" t="s">
        <v>62</v>
      </c>
      <c r="AS408" t="s">
        <v>52</v>
      </c>
      <c r="AT408" t="s">
        <v>74</v>
      </c>
      <c r="AU408" t="s">
        <v>64</v>
      </c>
      <c r="AV408" t="s">
        <v>62</v>
      </c>
      <c r="AW408" t="s">
        <v>65</v>
      </c>
      <c r="AX408" t="s">
        <v>66</v>
      </c>
      <c r="AY408" t="s">
        <v>67</v>
      </c>
    </row>
    <row r="409" spans="1:51" hidden="1" x14ac:dyDescent="0.25">
      <c r="A409">
        <v>202641</v>
      </c>
      <c r="B409" t="s">
        <v>1625</v>
      </c>
      <c r="C409" t="str">
        <f>VLOOKUP(A409,[1]Customer_payment_journal_line!$AL:$BO,30,0)</f>
        <v>CPay-000000036</v>
      </c>
      <c r="D409" t="s">
        <v>53</v>
      </c>
      <c r="E409" t="s">
        <v>1626</v>
      </c>
      <c r="F409" t="s">
        <v>1627</v>
      </c>
      <c r="G409" t="s">
        <v>1609</v>
      </c>
      <c r="H409" t="s">
        <v>57</v>
      </c>
      <c r="I409" t="s">
        <v>95</v>
      </c>
      <c r="J409" t="s">
        <v>1618</v>
      </c>
      <c r="K409" t="s">
        <v>1619</v>
      </c>
      <c r="L409">
        <f>VLOOKUP(A409,[1]Customer_payment_journal_line!$B:$L,11,0)</f>
        <v>1653</v>
      </c>
      <c r="M409" s="1">
        <v>1653</v>
      </c>
      <c r="N409" s="2">
        <f>L409-M409</f>
        <v>0</v>
      </c>
      <c r="O409" t="s">
        <v>61</v>
      </c>
      <c r="P409">
        <v>100</v>
      </c>
      <c r="Q409" t="s">
        <v>52</v>
      </c>
      <c r="R409" t="s">
        <v>52</v>
      </c>
      <c r="S409" t="s">
        <v>52</v>
      </c>
      <c r="T409" t="s">
        <v>52</v>
      </c>
      <c r="U409" t="s">
        <v>52</v>
      </c>
      <c r="V409" t="s">
        <v>62</v>
      </c>
      <c r="W409" t="s">
        <v>63</v>
      </c>
      <c r="Y409" t="s">
        <v>52</v>
      </c>
      <c r="AB409" t="s">
        <v>52</v>
      </c>
      <c r="AE409" t="s">
        <v>52</v>
      </c>
      <c r="AF409" t="s">
        <v>52</v>
      </c>
      <c r="AH409">
        <v>0</v>
      </c>
      <c r="AI409">
        <v>0</v>
      </c>
      <c r="AJ409" t="s">
        <v>52</v>
      </c>
      <c r="AK409">
        <v>0</v>
      </c>
      <c r="AL409" t="s">
        <v>52</v>
      </c>
      <c r="AM409" t="s">
        <v>52</v>
      </c>
      <c r="AN409">
        <v>0</v>
      </c>
      <c r="AO409">
        <v>0</v>
      </c>
      <c r="AP409" t="s">
        <v>52</v>
      </c>
      <c r="AQ409" t="s">
        <v>52</v>
      </c>
      <c r="AR409" t="s">
        <v>62</v>
      </c>
      <c r="AS409" t="s">
        <v>52</v>
      </c>
      <c r="AT409" t="s">
        <v>52</v>
      </c>
      <c r="AU409" t="s">
        <v>64</v>
      </c>
      <c r="AV409" t="s">
        <v>62</v>
      </c>
      <c r="AW409" t="s">
        <v>65</v>
      </c>
      <c r="AX409" t="s">
        <v>66</v>
      </c>
      <c r="AY409" t="s">
        <v>67</v>
      </c>
    </row>
    <row r="410" spans="1:51" hidden="1" x14ac:dyDescent="0.25">
      <c r="A410">
        <v>202641</v>
      </c>
      <c r="B410" t="s">
        <v>1628</v>
      </c>
      <c r="C410" t="str">
        <f>VLOOKUP(A410,[1]Customer_payment_journal_line!$AL:$BO,30,0)</f>
        <v>CPay-000000036</v>
      </c>
      <c r="D410" t="s">
        <v>53</v>
      </c>
      <c r="E410" t="s">
        <v>1626</v>
      </c>
      <c r="F410" t="s">
        <v>1627</v>
      </c>
      <c r="G410" t="s">
        <v>1609</v>
      </c>
      <c r="H410" t="s">
        <v>69</v>
      </c>
      <c r="I410" t="s">
        <v>1621</v>
      </c>
      <c r="J410" t="s">
        <v>1618</v>
      </c>
      <c r="K410" t="s">
        <v>1619</v>
      </c>
      <c r="L410">
        <f>VLOOKUP(A410,[1]Customer_payment_journal_line!$B:$L,11,0)</f>
        <v>1653</v>
      </c>
      <c r="M410" s="1">
        <v>0</v>
      </c>
      <c r="N410">
        <v>1653</v>
      </c>
      <c r="O410" t="s">
        <v>61</v>
      </c>
      <c r="P410">
        <v>100</v>
      </c>
      <c r="Q410" t="s">
        <v>52</v>
      </c>
      <c r="R410" t="s">
        <v>52</v>
      </c>
      <c r="S410" t="s">
        <v>52</v>
      </c>
      <c r="T410" t="s">
        <v>52</v>
      </c>
      <c r="U410" t="s">
        <v>52</v>
      </c>
      <c r="V410" t="s">
        <v>62</v>
      </c>
      <c r="W410" t="s">
        <v>52</v>
      </c>
      <c r="Y410" t="s">
        <v>1622</v>
      </c>
      <c r="Z410" t="s">
        <v>62</v>
      </c>
      <c r="AB410" t="s">
        <v>1629</v>
      </c>
      <c r="AE410" t="s">
        <v>1630</v>
      </c>
      <c r="AF410" t="s">
        <v>52</v>
      </c>
      <c r="AH410">
        <v>0</v>
      </c>
      <c r="AI410">
        <v>0</v>
      </c>
      <c r="AJ410" t="s">
        <v>52</v>
      </c>
      <c r="AK410">
        <v>0</v>
      </c>
      <c r="AL410" t="s">
        <v>52</v>
      </c>
      <c r="AM410" t="s">
        <v>52</v>
      </c>
      <c r="AN410">
        <v>0</v>
      </c>
      <c r="AO410">
        <v>0</v>
      </c>
      <c r="AP410" t="s">
        <v>52</v>
      </c>
      <c r="AQ410" t="s">
        <v>52</v>
      </c>
      <c r="AR410" t="s">
        <v>62</v>
      </c>
      <c r="AS410" t="s">
        <v>52</v>
      </c>
      <c r="AT410" t="s">
        <v>74</v>
      </c>
      <c r="AU410" t="s">
        <v>64</v>
      </c>
      <c r="AV410" t="s">
        <v>62</v>
      </c>
      <c r="AW410" t="s">
        <v>65</v>
      </c>
      <c r="AX410" t="s">
        <v>66</v>
      </c>
      <c r="AY410" t="s">
        <v>67</v>
      </c>
    </row>
    <row r="411" spans="1:51" hidden="1" x14ac:dyDescent="0.25">
      <c r="A411">
        <v>202657</v>
      </c>
      <c r="B411" t="s">
        <v>1631</v>
      </c>
      <c r="C411" t="str">
        <f>VLOOKUP(A411,[1]Customer_payment_journal_line!$AL:$BO,30,0)</f>
        <v>CPay-000000037</v>
      </c>
      <c r="D411" t="s">
        <v>53</v>
      </c>
      <c r="E411" t="s">
        <v>1632</v>
      </c>
      <c r="F411" t="s">
        <v>1633</v>
      </c>
      <c r="G411" t="s">
        <v>1609</v>
      </c>
      <c r="H411" t="s">
        <v>57</v>
      </c>
      <c r="I411" t="s">
        <v>95</v>
      </c>
      <c r="J411" t="s">
        <v>666</v>
      </c>
      <c r="K411" t="s">
        <v>1634</v>
      </c>
      <c r="L411">
        <f>VLOOKUP(A411,[1]Customer_payment_journal_line!$B:$L,11,0)</f>
        <v>1653</v>
      </c>
      <c r="M411" s="1">
        <v>1653</v>
      </c>
      <c r="N411" s="2">
        <f>L411-M411</f>
        <v>0</v>
      </c>
      <c r="O411" t="s">
        <v>61</v>
      </c>
      <c r="P411">
        <v>100</v>
      </c>
      <c r="Q411" t="s">
        <v>52</v>
      </c>
      <c r="R411" t="s">
        <v>52</v>
      </c>
      <c r="S411" t="s">
        <v>52</v>
      </c>
      <c r="T411" t="s">
        <v>52</v>
      </c>
      <c r="U411" t="s">
        <v>52</v>
      </c>
      <c r="V411" t="s">
        <v>62</v>
      </c>
      <c r="W411" t="s">
        <v>63</v>
      </c>
      <c r="Y411" t="s">
        <v>52</v>
      </c>
      <c r="AB411" t="s">
        <v>52</v>
      </c>
      <c r="AE411" t="s">
        <v>52</v>
      </c>
      <c r="AF411" t="s">
        <v>52</v>
      </c>
      <c r="AH411">
        <v>0</v>
      </c>
      <c r="AI411">
        <v>0</v>
      </c>
      <c r="AJ411" t="s">
        <v>52</v>
      </c>
      <c r="AK411">
        <v>0</v>
      </c>
      <c r="AL411" t="s">
        <v>52</v>
      </c>
      <c r="AM411" t="s">
        <v>52</v>
      </c>
      <c r="AN411">
        <v>0</v>
      </c>
      <c r="AO411">
        <v>0</v>
      </c>
      <c r="AP411" t="s">
        <v>52</v>
      </c>
      <c r="AQ411" t="s">
        <v>52</v>
      </c>
      <c r="AR411" t="s">
        <v>62</v>
      </c>
      <c r="AS411" t="s">
        <v>52</v>
      </c>
      <c r="AT411" t="s">
        <v>52</v>
      </c>
      <c r="AU411" t="s">
        <v>64</v>
      </c>
      <c r="AV411" t="s">
        <v>62</v>
      </c>
      <c r="AW411" t="s">
        <v>65</v>
      </c>
      <c r="AX411" t="s">
        <v>66</v>
      </c>
      <c r="AY411" t="s">
        <v>67</v>
      </c>
    </row>
    <row r="412" spans="1:51" hidden="1" x14ac:dyDescent="0.25">
      <c r="A412">
        <v>202657</v>
      </c>
      <c r="B412" t="s">
        <v>1635</v>
      </c>
      <c r="C412" t="str">
        <f>VLOOKUP(A412,[1]Customer_payment_journal_line!$AL:$BO,30,0)</f>
        <v>CPay-000000037</v>
      </c>
      <c r="D412" t="s">
        <v>53</v>
      </c>
      <c r="E412" t="s">
        <v>1632</v>
      </c>
      <c r="F412" t="s">
        <v>1633</v>
      </c>
      <c r="G412" t="s">
        <v>1609</v>
      </c>
      <c r="H412" t="s">
        <v>69</v>
      </c>
      <c r="I412" t="s">
        <v>669</v>
      </c>
      <c r="J412" t="s">
        <v>666</v>
      </c>
      <c r="K412" t="s">
        <v>1634</v>
      </c>
      <c r="L412">
        <f>VLOOKUP(A412,[1]Customer_payment_journal_line!$B:$L,11,0)</f>
        <v>1653</v>
      </c>
      <c r="M412" s="1">
        <v>0</v>
      </c>
      <c r="N412">
        <v>1653</v>
      </c>
      <c r="O412" t="s">
        <v>61</v>
      </c>
      <c r="P412">
        <v>100</v>
      </c>
      <c r="Q412" t="s">
        <v>52</v>
      </c>
      <c r="R412" t="s">
        <v>52</v>
      </c>
      <c r="S412" t="s">
        <v>52</v>
      </c>
      <c r="T412" t="s">
        <v>52</v>
      </c>
      <c r="U412" t="s">
        <v>52</v>
      </c>
      <c r="V412" t="s">
        <v>62</v>
      </c>
      <c r="W412" t="s">
        <v>52</v>
      </c>
      <c r="Y412" t="s">
        <v>670</v>
      </c>
      <c r="Z412" t="s">
        <v>62</v>
      </c>
      <c r="AB412" t="s">
        <v>1636</v>
      </c>
      <c r="AE412" t="s">
        <v>1637</v>
      </c>
      <c r="AF412" t="s">
        <v>52</v>
      </c>
      <c r="AH412">
        <v>0</v>
      </c>
      <c r="AI412">
        <v>0</v>
      </c>
      <c r="AJ412" t="s">
        <v>52</v>
      </c>
      <c r="AK412">
        <v>0</v>
      </c>
      <c r="AL412" t="s">
        <v>52</v>
      </c>
      <c r="AM412" t="s">
        <v>52</v>
      </c>
      <c r="AN412">
        <v>0</v>
      </c>
      <c r="AO412">
        <v>0</v>
      </c>
      <c r="AP412" t="s">
        <v>52</v>
      </c>
      <c r="AQ412" t="s">
        <v>52</v>
      </c>
      <c r="AR412" t="s">
        <v>62</v>
      </c>
      <c r="AS412" t="s">
        <v>52</v>
      </c>
      <c r="AT412" t="s">
        <v>74</v>
      </c>
      <c r="AU412" t="s">
        <v>64</v>
      </c>
      <c r="AV412" t="s">
        <v>62</v>
      </c>
      <c r="AW412" t="s">
        <v>65</v>
      </c>
      <c r="AX412" t="s">
        <v>66</v>
      </c>
      <c r="AY412" t="s">
        <v>67</v>
      </c>
    </row>
    <row r="413" spans="1:51" hidden="1" x14ac:dyDescent="0.25">
      <c r="A413">
        <v>202658</v>
      </c>
      <c r="B413" t="s">
        <v>1638</v>
      </c>
      <c r="C413" t="str">
        <f>VLOOKUP(A413,[1]Customer_payment_journal_line!$AL:$BO,30,0)</f>
        <v>CPay-000000038</v>
      </c>
      <c r="D413" t="s">
        <v>53</v>
      </c>
      <c r="E413" t="s">
        <v>1639</v>
      </c>
      <c r="F413" t="s">
        <v>1640</v>
      </c>
      <c r="G413" t="s">
        <v>1609</v>
      </c>
      <c r="H413" t="s">
        <v>57</v>
      </c>
      <c r="I413" t="s">
        <v>95</v>
      </c>
      <c r="J413" t="s">
        <v>666</v>
      </c>
      <c r="K413" t="s">
        <v>1634</v>
      </c>
      <c r="L413">
        <f>VLOOKUP(A413,[1]Customer_payment_journal_line!$B:$L,11,0)</f>
        <v>7047.48</v>
      </c>
      <c r="M413" s="1">
        <v>7047.48</v>
      </c>
      <c r="N413" s="2">
        <f>L413-M413</f>
        <v>0</v>
      </c>
      <c r="O413" t="s">
        <v>61</v>
      </c>
      <c r="P413">
        <v>100</v>
      </c>
      <c r="Q413" t="s">
        <v>52</v>
      </c>
      <c r="R413" t="s">
        <v>52</v>
      </c>
      <c r="S413" t="s">
        <v>52</v>
      </c>
      <c r="T413" t="s">
        <v>52</v>
      </c>
      <c r="U413" t="s">
        <v>52</v>
      </c>
      <c r="V413" t="s">
        <v>62</v>
      </c>
      <c r="W413" t="s">
        <v>63</v>
      </c>
      <c r="Y413" t="s">
        <v>52</v>
      </c>
      <c r="AB413" t="s">
        <v>52</v>
      </c>
      <c r="AE413" t="s">
        <v>52</v>
      </c>
      <c r="AF413" t="s">
        <v>52</v>
      </c>
      <c r="AH413">
        <v>0</v>
      </c>
      <c r="AI413">
        <v>0</v>
      </c>
      <c r="AJ413" t="s">
        <v>52</v>
      </c>
      <c r="AK413">
        <v>0</v>
      </c>
      <c r="AL413" t="s">
        <v>52</v>
      </c>
      <c r="AM413" t="s">
        <v>52</v>
      </c>
      <c r="AN413">
        <v>0</v>
      </c>
      <c r="AO413">
        <v>0</v>
      </c>
      <c r="AP413" t="s">
        <v>52</v>
      </c>
      <c r="AQ413" t="s">
        <v>52</v>
      </c>
      <c r="AR413" t="s">
        <v>62</v>
      </c>
      <c r="AS413" t="s">
        <v>52</v>
      </c>
      <c r="AT413" t="s">
        <v>52</v>
      </c>
      <c r="AU413" t="s">
        <v>64</v>
      </c>
      <c r="AV413" t="s">
        <v>62</v>
      </c>
      <c r="AW413" t="s">
        <v>65</v>
      </c>
      <c r="AX413" t="s">
        <v>66</v>
      </c>
      <c r="AY413" t="s">
        <v>67</v>
      </c>
    </row>
    <row r="414" spans="1:51" hidden="1" x14ac:dyDescent="0.25">
      <c r="A414">
        <v>202658</v>
      </c>
      <c r="B414" t="s">
        <v>1641</v>
      </c>
      <c r="C414" t="str">
        <f>VLOOKUP(A414,[1]Customer_payment_journal_line!$AL:$BO,30,0)</f>
        <v>CPay-000000038</v>
      </c>
      <c r="D414" t="s">
        <v>53</v>
      </c>
      <c r="E414" t="s">
        <v>1639</v>
      </c>
      <c r="F414" t="s">
        <v>1640</v>
      </c>
      <c r="G414" t="s">
        <v>1609</v>
      </c>
      <c r="H414" t="s">
        <v>69</v>
      </c>
      <c r="I414" t="s">
        <v>669</v>
      </c>
      <c r="J414" t="s">
        <v>666</v>
      </c>
      <c r="K414" t="s">
        <v>1634</v>
      </c>
      <c r="L414">
        <f>VLOOKUP(A414,[1]Customer_payment_journal_line!$B:$L,11,0)</f>
        <v>7047.48</v>
      </c>
      <c r="M414" s="1">
        <v>0</v>
      </c>
      <c r="N414">
        <v>7047.48</v>
      </c>
      <c r="O414" t="s">
        <v>61</v>
      </c>
      <c r="P414">
        <v>100</v>
      </c>
      <c r="Q414" t="s">
        <v>52</v>
      </c>
      <c r="R414" t="s">
        <v>52</v>
      </c>
      <c r="S414" t="s">
        <v>52</v>
      </c>
      <c r="T414" t="s">
        <v>52</v>
      </c>
      <c r="U414" t="s">
        <v>52</v>
      </c>
      <c r="V414" t="s">
        <v>62</v>
      </c>
      <c r="W414" t="s">
        <v>52</v>
      </c>
      <c r="Y414" t="s">
        <v>670</v>
      </c>
      <c r="Z414" t="s">
        <v>62</v>
      </c>
      <c r="AB414" t="s">
        <v>1642</v>
      </c>
      <c r="AE414" t="s">
        <v>1643</v>
      </c>
      <c r="AF414" t="s">
        <v>52</v>
      </c>
      <c r="AH414">
        <v>0</v>
      </c>
      <c r="AI414">
        <v>0</v>
      </c>
      <c r="AJ414" t="s">
        <v>52</v>
      </c>
      <c r="AK414">
        <v>0</v>
      </c>
      <c r="AL414" t="s">
        <v>52</v>
      </c>
      <c r="AM414" t="s">
        <v>52</v>
      </c>
      <c r="AN414">
        <v>0</v>
      </c>
      <c r="AO414">
        <v>0</v>
      </c>
      <c r="AP414" t="s">
        <v>52</v>
      </c>
      <c r="AQ414" t="s">
        <v>52</v>
      </c>
      <c r="AR414" t="s">
        <v>62</v>
      </c>
      <c r="AS414" t="s">
        <v>52</v>
      </c>
      <c r="AT414" t="s">
        <v>74</v>
      </c>
      <c r="AU414" t="s">
        <v>64</v>
      </c>
      <c r="AV414" t="s">
        <v>62</v>
      </c>
      <c r="AW414" t="s">
        <v>65</v>
      </c>
      <c r="AX414" t="s">
        <v>66</v>
      </c>
      <c r="AY414" t="s">
        <v>67</v>
      </c>
    </row>
    <row r="415" spans="1:51" hidden="1" x14ac:dyDescent="0.25">
      <c r="A415">
        <v>405964</v>
      </c>
      <c r="B415" t="s">
        <v>1644</v>
      </c>
      <c r="C415" t="e">
        <f>VLOOKUP(A415,[1]Customer_payment_journal_line!$AL:$BO,30,0)</f>
        <v>#N/A</v>
      </c>
      <c r="D415" t="s">
        <v>159</v>
      </c>
      <c r="E415" t="s">
        <v>1645</v>
      </c>
      <c r="F415" t="s">
        <v>1646</v>
      </c>
      <c r="G415" t="s">
        <v>1609</v>
      </c>
      <c r="H415" t="s">
        <v>80</v>
      </c>
      <c r="I415" t="s">
        <v>1647</v>
      </c>
      <c r="J415" t="s">
        <v>1648</v>
      </c>
      <c r="K415" t="s">
        <v>1649</v>
      </c>
      <c r="L415" t="s">
        <v>52</v>
      </c>
      <c r="M415">
        <v>110</v>
      </c>
      <c r="N415">
        <v>0</v>
      </c>
      <c r="O415" t="s">
        <v>126</v>
      </c>
      <c r="P415">
        <v>5285</v>
      </c>
      <c r="Q415" t="s">
        <v>52</v>
      </c>
      <c r="R415" t="s">
        <v>52</v>
      </c>
      <c r="S415" t="s">
        <v>52</v>
      </c>
      <c r="T415" t="s">
        <v>52</v>
      </c>
      <c r="U415" t="s">
        <v>52</v>
      </c>
      <c r="V415" t="s">
        <v>62</v>
      </c>
      <c r="W415" t="s">
        <v>52</v>
      </c>
      <c r="Y415" t="s">
        <v>52</v>
      </c>
      <c r="AB415" t="s">
        <v>52</v>
      </c>
      <c r="AE415" t="s">
        <v>52</v>
      </c>
      <c r="AF415" t="s">
        <v>52</v>
      </c>
      <c r="AH415">
        <v>0</v>
      </c>
      <c r="AI415">
        <v>0</v>
      </c>
      <c r="AJ415" t="s">
        <v>52</v>
      </c>
      <c r="AK415">
        <v>0</v>
      </c>
      <c r="AL415" t="s">
        <v>52</v>
      </c>
      <c r="AM415" t="s">
        <v>52</v>
      </c>
      <c r="AN415">
        <v>0</v>
      </c>
      <c r="AO415">
        <v>0</v>
      </c>
      <c r="AP415" t="s">
        <v>52</v>
      </c>
      <c r="AQ415" t="s">
        <v>52</v>
      </c>
      <c r="AR415" t="s">
        <v>62</v>
      </c>
      <c r="AS415" t="s">
        <v>52</v>
      </c>
      <c r="AT415" t="s">
        <v>52</v>
      </c>
      <c r="AU415" t="s">
        <v>64</v>
      </c>
      <c r="AV415" t="s">
        <v>62</v>
      </c>
      <c r="AW415" t="s">
        <v>65</v>
      </c>
      <c r="AX415" t="s">
        <v>66</v>
      </c>
      <c r="AY415" t="s">
        <v>165</v>
      </c>
    </row>
    <row r="416" spans="1:51" hidden="1" x14ac:dyDescent="0.25">
      <c r="A416">
        <v>405964</v>
      </c>
      <c r="B416" t="s">
        <v>1650</v>
      </c>
      <c r="C416" t="e">
        <f>VLOOKUP(A416,[1]Customer_payment_journal_line!$AL:$BO,30,0)</f>
        <v>#N/A</v>
      </c>
      <c r="D416" t="s">
        <v>159</v>
      </c>
      <c r="E416" t="s">
        <v>1645</v>
      </c>
      <c r="F416" t="s">
        <v>1646</v>
      </c>
      <c r="G416" t="s">
        <v>1609</v>
      </c>
      <c r="H416" t="s">
        <v>69</v>
      </c>
      <c r="I416" t="s">
        <v>1651</v>
      </c>
      <c r="J416" t="s">
        <v>1648</v>
      </c>
      <c r="K416" t="s">
        <v>1649</v>
      </c>
      <c r="L416" t="s">
        <v>52</v>
      </c>
      <c r="M416">
        <v>0</v>
      </c>
      <c r="N416">
        <v>110</v>
      </c>
      <c r="O416" t="s">
        <v>126</v>
      </c>
      <c r="P416">
        <v>5285</v>
      </c>
      <c r="Q416" t="s">
        <v>52</v>
      </c>
      <c r="R416" t="s">
        <v>52</v>
      </c>
      <c r="S416" t="s">
        <v>52</v>
      </c>
      <c r="T416" t="s">
        <v>52</v>
      </c>
      <c r="U416" t="s">
        <v>52</v>
      </c>
      <c r="V416" t="s">
        <v>62</v>
      </c>
      <c r="W416" t="s">
        <v>52</v>
      </c>
      <c r="Y416" t="s">
        <v>1652</v>
      </c>
      <c r="Z416" t="s">
        <v>62</v>
      </c>
      <c r="AB416" t="s">
        <v>1653</v>
      </c>
      <c r="AE416" t="s">
        <v>1654</v>
      </c>
      <c r="AF416" t="s">
        <v>52</v>
      </c>
      <c r="AH416">
        <v>0</v>
      </c>
      <c r="AI416">
        <v>0</v>
      </c>
      <c r="AJ416" t="s">
        <v>52</v>
      </c>
      <c r="AK416">
        <v>0</v>
      </c>
      <c r="AL416" t="s">
        <v>52</v>
      </c>
      <c r="AM416" t="s">
        <v>52</v>
      </c>
      <c r="AN416">
        <v>0</v>
      </c>
      <c r="AO416">
        <v>0</v>
      </c>
      <c r="AP416" t="s">
        <v>52</v>
      </c>
      <c r="AQ416" t="s">
        <v>52</v>
      </c>
      <c r="AR416" t="s">
        <v>62</v>
      </c>
      <c r="AS416" t="s">
        <v>52</v>
      </c>
      <c r="AT416" t="s">
        <v>74</v>
      </c>
      <c r="AU416" t="s">
        <v>64</v>
      </c>
      <c r="AV416" t="s">
        <v>62</v>
      </c>
      <c r="AW416" t="s">
        <v>65</v>
      </c>
      <c r="AX416" t="s">
        <v>66</v>
      </c>
      <c r="AY416" t="s">
        <v>165</v>
      </c>
    </row>
    <row r="417" spans="1:51" hidden="1" x14ac:dyDescent="0.25">
      <c r="A417">
        <v>405967</v>
      </c>
      <c r="B417" t="s">
        <v>1655</v>
      </c>
      <c r="C417" t="e">
        <f>VLOOKUP(A417,[1]Customer_payment_journal_line!$AL:$BO,30,0)</f>
        <v>#N/A</v>
      </c>
      <c r="D417" t="s">
        <v>644</v>
      </c>
      <c r="E417" t="s">
        <v>1656</v>
      </c>
      <c r="F417" t="s">
        <v>1657</v>
      </c>
      <c r="G417" t="s">
        <v>1609</v>
      </c>
      <c r="H417" t="s">
        <v>210</v>
      </c>
      <c r="I417" t="s">
        <v>1658</v>
      </c>
      <c r="K417" t="s">
        <v>763</v>
      </c>
      <c r="L417" t="s">
        <v>52</v>
      </c>
      <c r="M417">
        <v>13560.3</v>
      </c>
      <c r="N417">
        <v>0</v>
      </c>
      <c r="O417" t="s">
        <v>61</v>
      </c>
      <c r="P417">
        <v>100</v>
      </c>
      <c r="Q417" t="s">
        <v>52</v>
      </c>
      <c r="R417" t="s">
        <v>52</v>
      </c>
      <c r="S417" t="s">
        <v>52</v>
      </c>
      <c r="T417" t="s">
        <v>52</v>
      </c>
      <c r="U417" t="s">
        <v>52</v>
      </c>
      <c r="V417" t="s">
        <v>62</v>
      </c>
      <c r="W417" t="s">
        <v>63</v>
      </c>
      <c r="Y417" t="s">
        <v>52</v>
      </c>
      <c r="AB417" t="s">
        <v>1659</v>
      </c>
      <c r="AE417" t="s">
        <v>1660</v>
      </c>
      <c r="AF417" t="s">
        <v>1661</v>
      </c>
      <c r="AG417" t="s">
        <v>1662</v>
      </c>
      <c r="AH417">
        <v>0</v>
      </c>
      <c r="AI417">
        <v>0</v>
      </c>
      <c r="AJ417" t="s">
        <v>52</v>
      </c>
      <c r="AK417">
        <v>0</v>
      </c>
      <c r="AL417" t="s">
        <v>52</v>
      </c>
      <c r="AM417" t="s">
        <v>52</v>
      </c>
      <c r="AN417">
        <v>0</v>
      </c>
      <c r="AO417">
        <v>0</v>
      </c>
      <c r="AP417" t="s">
        <v>52</v>
      </c>
      <c r="AQ417" t="s">
        <v>52</v>
      </c>
      <c r="AR417" t="s">
        <v>62</v>
      </c>
      <c r="AS417" t="s">
        <v>52</v>
      </c>
      <c r="AT417" t="s">
        <v>52</v>
      </c>
      <c r="AU417" t="s">
        <v>64</v>
      </c>
      <c r="AV417" t="s">
        <v>62</v>
      </c>
      <c r="AW417" t="s">
        <v>65</v>
      </c>
      <c r="AX417" t="s">
        <v>66</v>
      </c>
      <c r="AY417" t="s">
        <v>654</v>
      </c>
    </row>
    <row r="418" spans="1:51" hidden="1" x14ac:dyDescent="0.25">
      <c r="A418">
        <v>405967</v>
      </c>
      <c r="B418" t="s">
        <v>1663</v>
      </c>
      <c r="C418" t="e">
        <f>VLOOKUP(A418,[1]Customer_payment_journal_line!$AL:$BO,30,0)</f>
        <v>#N/A</v>
      </c>
      <c r="D418" t="s">
        <v>644</v>
      </c>
      <c r="E418" t="s">
        <v>1656</v>
      </c>
      <c r="F418" t="s">
        <v>1657</v>
      </c>
      <c r="G418" t="s">
        <v>1609</v>
      </c>
      <c r="H418" t="s">
        <v>69</v>
      </c>
      <c r="I418" t="s">
        <v>769</v>
      </c>
      <c r="J418" t="s">
        <v>1664</v>
      </c>
      <c r="K418" t="s">
        <v>763</v>
      </c>
      <c r="L418" t="s">
        <v>52</v>
      </c>
      <c r="M418">
        <v>0</v>
      </c>
      <c r="N418">
        <v>13560.3</v>
      </c>
      <c r="O418" t="s">
        <v>61</v>
      </c>
      <c r="P418">
        <v>100</v>
      </c>
      <c r="Q418" t="s">
        <v>52</v>
      </c>
      <c r="R418" t="s">
        <v>52</v>
      </c>
      <c r="S418" t="s">
        <v>52</v>
      </c>
      <c r="T418" t="s">
        <v>52</v>
      </c>
      <c r="U418" t="s">
        <v>52</v>
      </c>
      <c r="V418" t="s">
        <v>62</v>
      </c>
      <c r="W418" t="s">
        <v>52</v>
      </c>
      <c r="Y418" t="s">
        <v>771</v>
      </c>
      <c r="Z418" t="s">
        <v>62</v>
      </c>
      <c r="AB418" t="s">
        <v>1659</v>
      </c>
      <c r="AE418" t="s">
        <v>1660</v>
      </c>
      <c r="AF418" t="s">
        <v>1661</v>
      </c>
      <c r="AG418" t="s">
        <v>1662</v>
      </c>
      <c r="AH418">
        <v>0</v>
      </c>
      <c r="AI418">
        <v>0</v>
      </c>
      <c r="AJ418" t="s">
        <v>52</v>
      </c>
      <c r="AK418">
        <v>0</v>
      </c>
      <c r="AL418" t="s">
        <v>52</v>
      </c>
      <c r="AM418" t="s">
        <v>52</v>
      </c>
      <c r="AN418">
        <v>0</v>
      </c>
      <c r="AO418">
        <v>0</v>
      </c>
      <c r="AP418" t="s">
        <v>52</v>
      </c>
      <c r="AQ418" t="s">
        <v>52</v>
      </c>
      <c r="AR418" t="s">
        <v>62</v>
      </c>
      <c r="AS418" t="s">
        <v>52</v>
      </c>
      <c r="AT418" t="s">
        <v>74</v>
      </c>
      <c r="AU418" t="s">
        <v>64</v>
      </c>
      <c r="AV418" t="s">
        <v>62</v>
      </c>
      <c r="AW418" t="s">
        <v>65</v>
      </c>
      <c r="AX418" t="s">
        <v>66</v>
      </c>
      <c r="AY418" t="s">
        <v>654</v>
      </c>
    </row>
    <row r="419" spans="1:51" hidden="1" x14ac:dyDescent="0.25">
      <c r="A419">
        <v>405961</v>
      </c>
      <c r="B419" t="s">
        <v>1665</v>
      </c>
      <c r="C419" t="e">
        <f>VLOOKUP(A419,[1]Customer_payment_journal_line!$AL:$BO,30,0)</f>
        <v>#N/A</v>
      </c>
      <c r="D419" t="s">
        <v>53</v>
      </c>
      <c r="E419" t="s">
        <v>1666</v>
      </c>
      <c r="F419" t="s">
        <v>1667</v>
      </c>
      <c r="G419" t="s">
        <v>1609</v>
      </c>
      <c r="H419" t="s">
        <v>57</v>
      </c>
      <c r="I419" t="s">
        <v>1349</v>
      </c>
      <c r="J419" t="s">
        <v>1668</v>
      </c>
      <c r="K419" t="s">
        <v>296</v>
      </c>
      <c r="L419" t="s">
        <v>52</v>
      </c>
      <c r="M419">
        <v>2758.8</v>
      </c>
      <c r="N419">
        <v>0</v>
      </c>
      <c r="O419" t="s">
        <v>61</v>
      </c>
      <c r="P419">
        <v>100</v>
      </c>
      <c r="Q419" t="s">
        <v>52</v>
      </c>
      <c r="R419" t="s">
        <v>52</v>
      </c>
      <c r="S419" t="s">
        <v>52</v>
      </c>
      <c r="T419" t="s">
        <v>52</v>
      </c>
      <c r="U419" t="s">
        <v>52</v>
      </c>
      <c r="V419" t="s">
        <v>62</v>
      </c>
      <c r="W419" t="s">
        <v>63</v>
      </c>
      <c r="Y419" t="s">
        <v>52</v>
      </c>
      <c r="AB419" t="s">
        <v>52</v>
      </c>
      <c r="AE419" t="s">
        <v>52</v>
      </c>
      <c r="AF419" t="s">
        <v>52</v>
      </c>
      <c r="AH419">
        <v>0</v>
      </c>
      <c r="AI419">
        <v>0</v>
      </c>
      <c r="AJ419" t="s">
        <v>52</v>
      </c>
      <c r="AK419">
        <v>0</v>
      </c>
      <c r="AL419" t="s">
        <v>52</v>
      </c>
      <c r="AM419" t="s">
        <v>52</v>
      </c>
      <c r="AN419">
        <v>0</v>
      </c>
      <c r="AO419">
        <v>0</v>
      </c>
      <c r="AP419" t="s">
        <v>52</v>
      </c>
      <c r="AQ419" t="s">
        <v>52</v>
      </c>
      <c r="AR419" t="s">
        <v>62</v>
      </c>
      <c r="AS419" t="s">
        <v>52</v>
      </c>
      <c r="AT419" t="s">
        <v>52</v>
      </c>
      <c r="AU419" t="s">
        <v>64</v>
      </c>
      <c r="AV419" t="s">
        <v>62</v>
      </c>
      <c r="AW419" t="s">
        <v>65</v>
      </c>
      <c r="AX419" t="s">
        <v>66</v>
      </c>
      <c r="AY419" t="s">
        <v>67</v>
      </c>
    </row>
    <row r="420" spans="1:51" hidden="1" x14ac:dyDescent="0.25">
      <c r="A420">
        <v>405961</v>
      </c>
      <c r="B420" t="s">
        <v>1669</v>
      </c>
      <c r="C420" t="e">
        <f>VLOOKUP(A420,[1]Customer_payment_journal_line!$AL:$BO,30,0)</f>
        <v>#N/A</v>
      </c>
      <c r="D420" t="s">
        <v>53</v>
      </c>
      <c r="E420" t="s">
        <v>1666</v>
      </c>
      <c r="F420" t="s">
        <v>1667</v>
      </c>
      <c r="G420" t="s">
        <v>1609</v>
      </c>
      <c r="H420" t="s">
        <v>69</v>
      </c>
      <c r="I420" t="s">
        <v>188</v>
      </c>
      <c r="J420" t="s">
        <v>1668</v>
      </c>
      <c r="K420" t="s">
        <v>296</v>
      </c>
      <c r="L420" t="s">
        <v>52</v>
      </c>
      <c r="M420">
        <v>0</v>
      </c>
      <c r="N420">
        <v>2758.8</v>
      </c>
      <c r="O420" t="s">
        <v>61</v>
      </c>
      <c r="P420">
        <v>100</v>
      </c>
      <c r="Q420" t="s">
        <v>52</v>
      </c>
      <c r="R420" t="s">
        <v>52</v>
      </c>
      <c r="S420" t="s">
        <v>52</v>
      </c>
      <c r="T420" t="s">
        <v>52</v>
      </c>
      <c r="U420" t="s">
        <v>52</v>
      </c>
      <c r="V420" t="s">
        <v>62</v>
      </c>
      <c r="W420" t="s">
        <v>52</v>
      </c>
      <c r="Y420" t="s">
        <v>189</v>
      </c>
      <c r="Z420" t="s">
        <v>62</v>
      </c>
      <c r="AB420" t="s">
        <v>1670</v>
      </c>
      <c r="AE420" t="s">
        <v>1671</v>
      </c>
      <c r="AF420" t="s">
        <v>52</v>
      </c>
      <c r="AH420">
        <v>0</v>
      </c>
      <c r="AI420">
        <v>0</v>
      </c>
      <c r="AJ420" t="s">
        <v>52</v>
      </c>
      <c r="AK420">
        <v>0</v>
      </c>
      <c r="AL420" t="s">
        <v>52</v>
      </c>
      <c r="AM420" t="s">
        <v>52</v>
      </c>
      <c r="AN420">
        <v>0</v>
      </c>
      <c r="AO420">
        <v>0</v>
      </c>
      <c r="AP420" t="s">
        <v>52</v>
      </c>
      <c r="AQ420" t="s">
        <v>52</v>
      </c>
      <c r="AR420" t="s">
        <v>62</v>
      </c>
      <c r="AS420" t="s">
        <v>52</v>
      </c>
      <c r="AT420" t="s">
        <v>74</v>
      </c>
      <c r="AU420" t="s">
        <v>64</v>
      </c>
      <c r="AV420" t="s">
        <v>62</v>
      </c>
      <c r="AW420" t="s">
        <v>65</v>
      </c>
      <c r="AX420" t="s">
        <v>66</v>
      </c>
      <c r="AY420" t="s">
        <v>67</v>
      </c>
    </row>
    <row r="421" spans="1:51" hidden="1" x14ac:dyDescent="0.25">
      <c r="A421">
        <v>317137</v>
      </c>
      <c r="B421" t="s">
        <v>1672</v>
      </c>
      <c r="C421" t="e">
        <f>VLOOKUP(A421,[1]Customer_payment_journal_line!$AL:$BO,30,0)</f>
        <v>#N/A</v>
      </c>
      <c r="D421" t="s">
        <v>53</v>
      </c>
      <c r="E421" t="s">
        <v>1673</v>
      </c>
      <c r="F421" t="s">
        <v>1674</v>
      </c>
      <c r="G421" t="s">
        <v>1609</v>
      </c>
      <c r="H421" t="s">
        <v>201</v>
      </c>
      <c r="I421" t="s">
        <v>58</v>
      </c>
      <c r="J421" t="s">
        <v>1675</v>
      </c>
      <c r="K421" t="s">
        <v>1676</v>
      </c>
      <c r="L421" t="s">
        <v>52</v>
      </c>
      <c r="M421">
        <v>570</v>
      </c>
      <c r="N421">
        <v>0</v>
      </c>
      <c r="O421" t="s">
        <v>61</v>
      </c>
      <c r="P421">
        <v>100</v>
      </c>
      <c r="Q421" t="s">
        <v>52</v>
      </c>
      <c r="R421" t="s">
        <v>52</v>
      </c>
      <c r="S421" t="s">
        <v>52</v>
      </c>
      <c r="T421" t="s">
        <v>52</v>
      </c>
      <c r="U421" t="s">
        <v>52</v>
      </c>
      <c r="V421" t="s">
        <v>62</v>
      </c>
      <c r="W421" t="s">
        <v>63</v>
      </c>
      <c r="Y421" t="s">
        <v>52</v>
      </c>
      <c r="AB421" t="s">
        <v>1677</v>
      </c>
      <c r="AE421" t="s">
        <v>1677</v>
      </c>
      <c r="AF421" t="s">
        <v>52</v>
      </c>
      <c r="AH421">
        <v>0</v>
      </c>
      <c r="AI421">
        <v>0</v>
      </c>
      <c r="AJ421" t="s">
        <v>52</v>
      </c>
      <c r="AK421">
        <v>0</v>
      </c>
      <c r="AL421" t="s">
        <v>52</v>
      </c>
      <c r="AM421" t="s">
        <v>52</v>
      </c>
      <c r="AN421">
        <v>0</v>
      </c>
      <c r="AO421">
        <v>0</v>
      </c>
      <c r="AP421" t="s">
        <v>52</v>
      </c>
      <c r="AQ421" t="s">
        <v>52</v>
      </c>
      <c r="AR421" t="s">
        <v>62</v>
      </c>
      <c r="AS421" t="s">
        <v>52</v>
      </c>
      <c r="AT421" t="s">
        <v>52</v>
      </c>
      <c r="AU421" t="s">
        <v>64</v>
      </c>
      <c r="AV421" t="s">
        <v>62</v>
      </c>
      <c r="AW421" t="s">
        <v>65</v>
      </c>
      <c r="AX421" t="s">
        <v>66</v>
      </c>
      <c r="AY421" t="s">
        <v>67</v>
      </c>
    </row>
    <row r="422" spans="1:51" hidden="1" x14ac:dyDescent="0.25">
      <c r="A422">
        <v>317137</v>
      </c>
      <c r="B422" t="s">
        <v>1678</v>
      </c>
      <c r="C422" t="e">
        <f>VLOOKUP(A422,[1]Customer_payment_journal_line!$AL:$BO,30,0)</f>
        <v>#N/A</v>
      </c>
      <c r="D422" t="s">
        <v>53</v>
      </c>
      <c r="E422" t="s">
        <v>1673</v>
      </c>
      <c r="F422" t="s">
        <v>1674</v>
      </c>
      <c r="G422" t="s">
        <v>1609</v>
      </c>
      <c r="H422" t="s">
        <v>69</v>
      </c>
      <c r="I422" t="s">
        <v>1679</v>
      </c>
      <c r="J422" t="s">
        <v>1680</v>
      </c>
      <c r="K422" t="s">
        <v>1676</v>
      </c>
      <c r="L422" t="s">
        <v>52</v>
      </c>
      <c r="M422">
        <v>0</v>
      </c>
      <c r="N422">
        <v>30</v>
      </c>
      <c r="O422" t="s">
        <v>178</v>
      </c>
      <c r="P422">
        <v>5085</v>
      </c>
      <c r="Q422" t="s">
        <v>52</v>
      </c>
      <c r="R422" t="s">
        <v>52</v>
      </c>
      <c r="S422" t="s">
        <v>52</v>
      </c>
      <c r="T422" t="s">
        <v>52</v>
      </c>
      <c r="U422" t="s">
        <v>52</v>
      </c>
      <c r="V422" t="s">
        <v>62</v>
      </c>
      <c r="W422" t="s">
        <v>52</v>
      </c>
      <c r="Z422" t="s">
        <v>62</v>
      </c>
      <c r="AB422" t="s">
        <v>1677</v>
      </c>
      <c r="AE422" t="s">
        <v>1677</v>
      </c>
      <c r="AF422" t="s">
        <v>52</v>
      </c>
      <c r="AH422">
        <v>0</v>
      </c>
      <c r="AI422">
        <v>0</v>
      </c>
      <c r="AJ422" t="s">
        <v>52</v>
      </c>
      <c r="AK422">
        <v>0</v>
      </c>
      <c r="AL422" t="s">
        <v>52</v>
      </c>
      <c r="AM422" t="s">
        <v>52</v>
      </c>
      <c r="AN422">
        <v>0</v>
      </c>
      <c r="AO422">
        <v>0</v>
      </c>
      <c r="AP422" t="s">
        <v>52</v>
      </c>
      <c r="AQ422" t="s">
        <v>52</v>
      </c>
      <c r="AR422" t="s">
        <v>62</v>
      </c>
      <c r="AS422" t="s">
        <v>52</v>
      </c>
      <c r="AT422" t="s">
        <v>74</v>
      </c>
      <c r="AU422" t="s">
        <v>64</v>
      </c>
      <c r="AV422" t="s">
        <v>62</v>
      </c>
      <c r="AW422" t="s">
        <v>65</v>
      </c>
      <c r="AX422" t="s">
        <v>66</v>
      </c>
      <c r="AY422" t="s">
        <v>67</v>
      </c>
    </row>
    <row r="423" spans="1:51" hidden="1" x14ac:dyDescent="0.25">
      <c r="A423">
        <v>317137</v>
      </c>
      <c r="B423" t="s">
        <v>1681</v>
      </c>
      <c r="C423" t="e">
        <f>VLOOKUP(A423,[1]Customer_payment_journal_line!$AL:$BO,30,0)</f>
        <v>#N/A</v>
      </c>
      <c r="D423" t="s">
        <v>53</v>
      </c>
      <c r="E423" t="s">
        <v>1673</v>
      </c>
      <c r="F423" t="s">
        <v>1674</v>
      </c>
      <c r="G423" t="s">
        <v>1609</v>
      </c>
      <c r="H423" t="s">
        <v>210</v>
      </c>
      <c r="I423" t="s">
        <v>1682</v>
      </c>
      <c r="J423" t="s">
        <v>52</v>
      </c>
      <c r="K423" t="s">
        <v>1676</v>
      </c>
      <c r="L423" t="s">
        <v>52</v>
      </c>
      <c r="M423">
        <v>955.5</v>
      </c>
      <c r="N423">
        <v>0</v>
      </c>
      <c r="O423" t="s">
        <v>61</v>
      </c>
      <c r="P423">
        <v>100</v>
      </c>
      <c r="Q423" t="s">
        <v>52</v>
      </c>
      <c r="R423" t="s">
        <v>52</v>
      </c>
      <c r="S423" t="s">
        <v>52</v>
      </c>
      <c r="T423" t="s">
        <v>52</v>
      </c>
      <c r="U423" t="s">
        <v>52</v>
      </c>
      <c r="V423" t="s">
        <v>62</v>
      </c>
      <c r="W423" t="s">
        <v>63</v>
      </c>
      <c r="AB423" t="s">
        <v>1677</v>
      </c>
      <c r="AE423" t="s">
        <v>1677</v>
      </c>
      <c r="AF423" t="s">
        <v>52</v>
      </c>
      <c r="AH423">
        <v>0</v>
      </c>
      <c r="AI423">
        <v>0</v>
      </c>
      <c r="AJ423" t="s">
        <v>52</v>
      </c>
      <c r="AK423">
        <v>0</v>
      </c>
      <c r="AL423" t="s">
        <v>52</v>
      </c>
      <c r="AM423" t="s">
        <v>52</v>
      </c>
      <c r="AN423">
        <v>0</v>
      </c>
      <c r="AO423">
        <v>0</v>
      </c>
      <c r="AP423" t="s">
        <v>52</v>
      </c>
      <c r="AQ423" t="s">
        <v>52</v>
      </c>
      <c r="AR423" t="s">
        <v>62</v>
      </c>
      <c r="AS423" t="s">
        <v>52</v>
      </c>
      <c r="AT423" t="s">
        <v>52</v>
      </c>
      <c r="AU423" t="s">
        <v>64</v>
      </c>
      <c r="AV423" t="s">
        <v>62</v>
      </c>
      <c r="AW423" t="s">
        <v>65</v>
      </c>
      <c r="AX423" t="s">
        <v>66</v>
      </c>
      <c r="AY423" t="s">
        <v>67</v>
      </c>
    </row>
    <row r="424" spans="1:51" hidden="1" x14ac:dyDescent="0.25">
      <c r="A424">
        <v>202615</v>
      </c>
      <c r="B424" t="s">
        <v>1683</v>
      </c>
      <c r="C424" t="e">
        <f>VLOOKUP(A424,[1]Customer_payment_journal_line!$AL:$BO,30,0)</f>
        <v>#N/A</v>
      </c>
      <c r="D424" t="s">
        <v>53</v>
      </c>
      <c r="E424" t="s">
        <v>1684</v>
      </c>
      <c r="F424" t="s">
        <v>1685</v>
      </c>
      <c r="G424" t="s">
        <v>1609</v>
      </c>
      <c r="H424" t="s">
        <v>57</v>
      </c>
      <c r="I424" t="s">
        <v>58</v>
      </c>
      <c r="J424" t="s">
        <v>1686</v>
      </c>
      <c r="K424" t="s">
        <v>1687</v>
      </c>
      <c r="L424" t="s">
        <v>52</v>
      </c>
      <c r="M424">
        <v>1710</v>
      </c>
      <c r="N424">
        <v>0</v>
      </c>
      <c r="O424" t="s">
        <v>61</v>
      </c>
      <c r="P424">
        <v>100</v>
      </c>
      <c r="Q424" t="s">
        <v>52</v>
      </c>
      <c r="R424" t="s">
        <v>52</v>
      </c>
      <c r="S424" t="s">
        <v>52</v>
      </c>
      <c r="T424" t="s">
        <v>52</v>
      </c>
      <c r="U424" t="s">
        <v>52</v>
      </c>
      <c r="V424" t="s">
        <v>62</v>
      </c>
      <c r="W424" t="s">
        <v>63</v>
      </c>
      <c r="Y424" t="s">
        <v>52</v>
      </c>
      <c r="AB424" t="s">
        <v>52</v>
      </c>
      <c r="AE424" t="s">
        <v>52</v>
      </c>
      <c r="AF424" t="s">
        <v>52</v>
      </c>
      <c r="AH424">
        <v>0</v>
      </c>
      <c r="AI424">
        <v>0</v>
      </c>
      <c r="AJ424" t="s">
        <v>52</v>
      </c>
      <c r="AK424">
        <v>0</v>
      </c>
      <c r="AL424" t="s">
        <v>52</v>
      </c>
      <c r="AM424" t="s">
        <v>52</v>
      </c>
      <c r="AN424">
        <v>0</v>
      </c>
      <c r="AO424">
        <v>0</v>
      </c>
      <c r="AP424" t="s">
        <v>52</v>
      </c>
      <c r="AQ424" t="s">
        <v>52</v>
      </c>
      <c r="AR424" t="s">
        <v>62</v>
      </c>
      <c r="AS424" t="s">
        <v>52</v>
      </c>
      <c r="AT424" t="s">
        <v>52</v>
      </c>
      <c r="AU424" t="s">
        <v>64</v>
      </c>
      <c r="AV424" t="s">
        <v>62</v>
      </c>
      <c r="AW424" t="s">
        <v>65</v>
      </c>
      <c r="AX424" t="s">
        <v>66</v>
      </c>
      <c r="AY424" t="s">
        <v>67</v>
      </c>
    </row>
    <row r="425" spans="1:51" hidden="1" x14ac:dyDescent="0.25">
      <c r="A425">
        <v>202615</v>
      </c>
      <c r="B425" t="s">
        <v>1688</v>
      </c>
      <c r="C425" t="e">
        <f>VLOOKUP(A425,[1]Customer_payment_journal_line!$AL:$BO,30,0)</f>
        <v>#N/A</v>
      </c>
      <c r="D425" t="s">
        <v>53</v>
      </c>
      <c r="E425" t="s">
        <v>1684</v>
      </c>
      <c r="F425" t="s">
        <v>1685</v>
      </c>
      <c r="G425" t="s">
        <v>1609</v>
      </c>
      <c r="H425" t="s">
        <v>69</v>
      </c>
      <c r="I425" t="s">
        <v>1689</v>
      </c>
      <c r="J425" t="s">
        <v>1686</v>
      </c>
      <c r="K425" t="s">
        <v>1687</v>
      </c>
      <c r="L425" t="s">
        <v>52</v>
      </c>
      <c r="M425">
        <v>0</v>
      </c>
      <c r="N425">
        <v>1710</v>
      </c>
      <c r="O425" t="s">
        <v>61</v>
      </c>
      <c r="P425">
        <v>100</v>
      </c>
      <c r="Q425" t="s">
        <v>52</v>
      </c>
      <c r="R425" t="s">
        <v>52</v>
      </c>
      <c r="S425" t="s">
        <v>52</v>
      </c>
      <c r="T425" t="s">
        <v>52</v>
      </c>
      <c r="U425" t="s">
        <v>52</v>
      </c>
      <c r="V425" t="s">
        <v>62</v>
      </c>
      <c r="W425" t="s">
        <v>52</v>
      </c>
      <c r="Y425" t="s">
        <v>1690</v>
      </c>
      <c r="Z425" t="s">
        <v>62</v>
      </c>
      <c r="AB425" t="s">
        <v>1691</v>
      </c>
      <c r="AE425" t="s">
        <v>1692</v>
      </c>
      <c r="AF425" t="s">
        <v>52</v>
      </c>
      <c r="AH425">
        <v>0</v>
      </c>
      <c r="AI425">
        <v>0</v>
      </c>
      <c r="AJ425" t="s">
        <v>52</v>
      </c>
      <c r="AK425">
        <v>0</v>
      </c>
      <c r="AL425" t="s">
        <v>52</v>
      </c>
      <c r="AM425" t="s">
        <v>52</v>
      </c>
      <c r="AN425">
        <v>0</v>
      </c>
      <c r="AO425">
        <v>0</v>
      </c>
      <c r="AP425" t="s">
        <v>52</v>
      </c>
      <c r="AQ425" t="s">
        <v>52</v>
      </c>
      <c r="AR425" t="s">
        <v>62</v>
      </c>
      <c r="AS425" t="s">
        <v>52</v>
      </c>
      <c r="AT425" t="s">
        <v>74</v>
      </c>
      <c r="AU425" t="s">
        <v>64</v>
      </c>
      <c r="AV425" t="s">
        <v>62</v>
      </c>
      <c r="AW425" t="s">
        <v>65</v>
      </c>
      <c r="AX425" t="s">
        <v>66</v>
      </c>
      <c r="AY425" t="s">
        <v>67</v>
      </c>
    </row>
    <row r="426" spans="1:51" hidden="1" x14ac:dyDescent="0.25">
      <c r="A426">
        <v>202616</v>
      </c>
      <c r="B426" t="s">
        <v>1693</v>
      </c>
      <c r="C426" t="e">
        <f>VLOOKUP(A426,[1]Customer_payment_journal_line!$AL:$BO,30,0)</f>
        <v>#N/A</v>
      </c>
      <c r="D426" t="s">
        <v>53</v>
      </c>
      <c r="E426" t="s">
        <v>1694</v>
      </c>
      <c r="F426" t="s">
        <v>1695</v>
      </c>
      <c r="G426" t="s">
        <v>1609</v>
      </c>
      <c r="H426" t="s">
        <v>57</v>
      </c>
      <c r="I426" t="s">
        <v>58</v>
      </c>
      <c r="J426" t="s">
        <v>1686</v>
      </c>
      <c r="K426" t="s">
        <v>1687</v>
      </c>
      <c r="L426" t="s">
        <v>52</v>
      </c>
      <c r="M426">
        <v>855</v>
      </c>
      <c r="N426">
        <v>0</v>
      </c>
      <c r="O426" t="s">
        <v>61</v>
      </c>
      <c r="P426">
        <v>100</v>
      </c>
      <c r="Q426" t="s">
        <v>52</v>
      </c>
      <c r="R426" t="s">
        <v>52</v>
      </c>
      <c r="S426" t="s">
        <v>52</v>
      </c>
      <c r="T426" t="s">
        <v>52</v>
      </c>
      <c r="U426" t="s">
        <v>52</v>
      </c>
      <c r="V426" t="s">
        <v>62</v>
      </c>
      <c r="W426" t="s">
        <v>63</v>
      </c>
      <c r="Y426" t="s">
        <v>52</v>
      </c>
      <c r="AB426" t="s">
        <v>52</v>
      </c>
      <c r="AE426" t="s">
        <v>52</v>
      </c>
      <c r="AF426" t="s">
        <v>52</v>
      </c>
      <c r="AH426">
        <v>0</v>
      </c>
      <c r="AI426">
        <v>0</v>
      </c>
      <c r="AJ426" t="s">
        <v>52</v>
      </c>
      <c r="AK426">
        <v>0</v>
      </c>
      <c r="AL426" t="s">
        <v>52</v>
      </c>
      <c r="AM426" t="s">
        <v>52</v>
      </c>
      <c r="AN426">
        <v>0</v>
      </c>
      <c r="AO426">
        <v>0</v>
      </c>
      <c r="AP426" t="s">
        <v>52</v>
      </c>
      <c r="AQ426" t="s">
        <v>52</v>
      </c>
      <c r="AR426" t="s">
        <v>62</v>
      </c>
      <c r="AS426" t="s">
        <v>52</v>
      </c>
      <c r="AT426" t="s">
        <v>52</v>
      </c>
      <c r="AU426" t="s">
        <v>64</v>
      </c>
      <c r="AV426" t="s">
        <v>62</v>
      </c>
      <c r="AW426" t="s">
        <v>65</v>
      </c>
      <c r="AX426" t="s">
        <v>66</v>
      </c>
      <c r="AY426" t="s">
        <v>67</v>
      </c>
    </row>
    <row r="427" spans="1:51" hidden="1" x14ac:dyDescent="0.25">
      <c r="A427">
        <v>202616</v>
      </c>
      <c r="B427" t="s">
        <v>1696</v>
      </c>
      <c r="C427" t="e">
        <f>VLOOKUP(A427,[1]Customer_payment_journal_line!$AL:$BO,30,0)</f>
        <v>#N/A</v>
      </c>
      <c r="D427" t="s">
        <v>53</v>
      </c>
      <c r="E427" t="s">
        <v>1694</v>
      </c>
      <c r="F427" t="s">
        <v>1695</v>
      </c>
      <c r="G427" t="s">
        <v>1609</v>
      </c>
      <c r="H427" t="s">
        <v>69</v>
      </c>
      <c r="I427" t="s">
        <v>1689</v>
      </c>
      <c r="J427" t="s">
        <v>1686</v>
      </c>
      <c r="K427" t="s">
        <v>1687</v>
      </c>
      <c r="L427" t="s">
        <v>52</v>
      </c>
      <c r="M427">
        <v>0</v>
      </c>
      <c r="N427">
        <v>855</v>
      </c>
      <c r="O427" t="s">
        <v>61</v>
      </c>
      <c r="P427">
        <v>100</v>
      </c>
      <c r="Q427" t="s">
        <v>52</v>
      </c>
      <c r="R427" t="s">
        <v>52</v>
      </c>
      <c r="S427" t="s">
        <v>52</v>
      </c>
      <c r="T427" t="s">
        <v>52</v>
      </c>
      <c r="U427" t="s">
        <v>52</v>
      </c>
      <c r="V427" t="s">
        <v>62</v>
      </c>
      <c r="W427" t="s">
        <v>52</v>
      </c>
      <c r="Y427" t="s">
        <v>1690</v>
      </c>
      <c r="Z427" t="s">
        <v>62</v>
      </c>
      <c r="AB427" t="s">
        <v>1697</v>
      </c>
      <c r="AE427" t="s">
        <v>1698</v>
      </c>
      <c r="AF427" t="s">
        <v>52</v>
      </c>
      <c r="AH427">
        <v>0</v>
      </c>
      <c r="AI427">
        <v>0</v>
      </c>
      <c r="AJ427" t="s">
        <v>52</v>
      </c>
      <c r="AK427">
        <v>0</v>
      </c>
      <c r="AL427" t="s">
        <v>52</v>
      </c>
      <c r="AM427" t="s">
        <v>52</v>
      </c>
      <c r="AN427">
        <v>0</v>
      </c>
      <c r="AO427">
        <v>0</v>
      </c>
      <c r="AP427" t="s">
        <v>52</v>
      </c>
      <c r="AQ427" t="s">
        <v>52</v>
      </c>
      <c r="AR427" t="s">
        <v>62</v>
      </c>
      <c r="AS427" t="s">
        <v>52</v>
      </c>
      <c r="AT427" t="s">
        <v>74</v>
      </c>
      <c r="AU427" t="s">
        <v>64</v>
      </c>
      <c r="AV427" t="s">
        <v>62</v>
      </c>
      <c r="AW427" t="s">
        <v>65</v>
      </c>
      <c r="AX427" t="s">
        <v>66</v>
      </c>
      <c r="AY427" t="s">
        <v>67</v>
      </c>
    </row>
    <row r="428" spans="1:51" hidden="1" x14ac:dyDescent="0.25">
      <c r="A428">
        <v>202623</v>
      </c>
      <c r="B428" t="s">
        <v>1699</v>
      </c>
      <c r="C428" t="e">
        <f>VLOOKUP(A428,[1]Customer_payment_journal_line!$AL:$BO,30,0)</f>
        <v>#N/A</v>
      </c>
      <c r="D428" t="s">
        <v>53</v>
      </c>
      <c r="E428" t="s">
        <v>1700</v>
      </c>
      <c r="F428" t="s">
        <v>1701</v>
      </c>
      <c r="G428" t="s">
        <v>1609</v>
      </c>
      <c r="H428" t="s">
        <v>57</v>
      </c>
      <c r="I428" t="s">
        <v>58</v>
      </c>
      <c r="J428" t="s">
        <v>1702</v>
      </c>
      <c r="K428" t="s">
        <v>1703</v>
      </c>
      <c r="L428" t="s">
        <v>52</v>
      </c>
      <c r="M428">
        <v>6400</v>
      </c>
      <c r="N428">
        <v>0</v>
      </c>
      <c r="O428" t="s">
        <v>61</v>
      </c>
      <c r="P428">
        <v>100</v>
      </c>
      <c r="Q428" t="s">
        <v>52</v>
      </c>
      <c r="R428" t="s">
        <v>52</v>
      </c>
      <c r="S428" t="s">
        <v>52</v>
      </c>
      <c r="T428" t="s">
        <v>52</v>
      </c>
      <c r="U428" t="s">
        <v>52</v>
      </c>
      <c r="V428" t="s">
        <v>62</v>
      </c>
      <c r="W428" t="s">
        <v>63</v>
      </c>
      <c r="Y428" t="s">
        <v>52</v>
      </c>
      <c r="AB428" t="s">
        <v>52</v>
      </c>
      <c r="AE428" t="s">
        <v>52</v>
      </c>
      <c r="AF428" t="s">
        <v>52</v>
      </c>
      <c r="AH428">
        <v>0</v>
      </c>
      <c r="AI428">
        <v>0</v>
      </c>
      <c r="AJ428" t="s">
        <v>52</v>
      </c>
      <c r="AK428">
        <v>0</v>
      </c>
      <c r="AL428" t="s">
        <v>52</v>
      </c>
      <c r="AM428" t="s">
        <v>52</v>
      </c>
      <c r="AN428">
        <v>0</v>
      </c>
      <c r="AO428">
        <v>0</v>
      </c>
      <c r="AP428" t="s">
        <v>52</v>
      </c>
      <c r="AQ428" t="s">
        <v>52</v>
      </c>
      <c r="AR428" t="s">
        <v>62</v>
      </c>
      <c r="AS428" t="s">
        <v>52</v>
      </c>
      <c r="AT428" t="s">
        <v>52</v>
      </c>
      <c r="AU428" t="s">
        <v>64</v>
      </c>
      <c r="AV428" t="s">
        <v>62</v>
      </c>
      <c r="AW428" t="s">
        <v>65</v>
      </c>
      <c r="AX428" t="s">
        <v>66</v>
      </c>
      <c r="AY428" t="s">
        <v>67</v>
      </c>
    </row>
    <row r="429" spans="1:51" hidden="1" x14ac:dyDescent="0.25">
      <c r="A429">
        <v>202623</v>
      </c>
      <c r="B429" t="s">
        <v>1704</v>
      </c>
      <c r="C429" t="e">
        <f>VLOOKUP(A429,[1]Customer_payment_journal_line!$AL:$BO,30,0)</f>
        <v>#N/A</v>
      </c>
      <c r="D429" t="s">
        <v>53</v>
      </c>
      <c r="E429" t="s">
        <v>1700</v>
      </c>
      <c r="F429" t="s">
        <v>1701</v>
      </c>
      <c r="G429" t="s">
        <v>1609</v>
      </c>
      <c r="H429" t="s">
        <v>69</v>
      </c>
      <c r="I429" t="s">
        <v>1705</v>
      </c>
      <c r="J429" t="s">
        <v>1702</v>
      </c>
      <c r="K429" t="s">
        <v>1703</v>
      </c>
      <c r="L429" t="s">
        <v>52</v>
      </c>
      <c r="M429">
        <v>0</v>
      </c>
      <c r="N429">
        <v>6400</v>
      </c>
      <c r="O429" t="s">
        <v>61</v>
      </c>
      <c r="P429">
        <v>100</v>
      </c>
      <c r="Q429" t="s">
        <v>52</v>
      </c>
      <c r="R429" t="s">
        <v>52</v>
      </c>
      <c r="S429" t="s">
        <v>52</v>
      </c>
      <c r="T429" t="s">
        <v>52</v>
      </c>
      <c r="U429" t="s">
        <v>52</v>
      </c>
      <c r="V429" t="s">
        <v>62</v>
      </c>
      <c r="W429" t="s">
        <v>52</v>
      </c>
      <c r="Y429" t="s">
        <v>1706</v>
      </c>
      <c r="Z429" t="s">
        <v>62</v>
      </c>
      <c r="AB429" t="s">
        <v>1707</v>
      </c>
      <c r="AE429" t="s">
        <v>1708</v>
      </c>
      <c r="AF429" t="s">
        <v>52</v>
      </c>
      <c r="AH429">
        <v>0</v>
      </c>
      <c r="AI429">
        <v>0</v>
      </c>
      <c r="AJ429" t="s">
        <v>52</v>
      </c>
      <c r="AK429">
        <v>0</v>
      </c>
      <c r="AL429" t="s">
        <v>52</v>
      </c>
      <c r="AM429" t="s">
        <v>52</v>
      </c>
      <c r="AN429">
        <v>0</v>
      </c>
      <c r="AO429">
        <v>0</v>
      </c>
      <c r="AP429" t="s">
        <v>52</v>
      </c>
      <c r="AQ429" t="s">
        <v>52</v>
      </c>
      <c r="AR429" t="s">
        <v>62</v>
      </c>
      <c r="AS429" t="s">
        <v>52</v>
      </c>
      <c r="AT429" t="s">
        <v>74</v>
      </c>
      <c r="AU429" t="s">
        <v>64</v>
      </c>
      <c r="AV429" t="s">
        <v>62</v>
      </c>
      <c r="AW429" t="s">
        <v>65</v>
      </c>
      <c r="AX429" t="s">
        <v>66</v>
      </c>
      <c r="AY429" t="s">
        <v>67</v>
      </c>
    </row>
    <row r="430" spans="1:51" hidden="1" x14ac:dyDescent="0.25">
      <c r="A430">
        <v>202624</v>
      </c>
      <c r="B430" t="s">
        <v>1709</v>
      </c>
      <c r="C430" t="e">
        <f>VLOOKUP(A430,[1]Customer_payment_journal_line!$AL:$BO,30,0)</f>
        <v>#N/A</v>
      </c>
      <c r="D430" t="s">
        <v>53</v>
      </c>
      <c r="E430" t="s">
        <v>1710</v>
      </c>
      <c r="F430" t="s">
        <v>1711</v>
      </c>
      <c r="G430" t="s">
        <v>1609</v>
      </c>
      <c r="H430" t="s">
        <v>57</v>
      </c>
      <c r="I430" t="s">
        <v>58</v>
      </c>
      <c r="J430" t="s">
        <v>1702</v>
      </c>
      <c r="K430" t="s">
        <v>1703</v>
      </c>
      <c r="L430" t="s">
        <v>52</v>
      </c>
      <c r="M430">
        <v>855</v>
      </c>
      <c r="N430">
        <v>0</v>
      </c>
      <c r="O430" t="s">
        <v>61</v>
      </c>
      <c r="P430">
        <v>100</v>
      </c>
      <c r="Q430" t="s">
        <v>52</v>
      </c>
      <c r="R430" t="s">
        <v>52</v>
      </c>
      <c r="S430" t="s">
        <v>52</v>
      </c>
      <c r="T430" t="s">
        <v>52</v>
      </c>
      <c r="U430" t="s">
        <v>52</v>
      </c>
      <c r="V430" t="s">
        <v>62</v>
      </c>
      <c r="W430" t="s">
        <v>63</v>
      </c>
      <c r="Y430" t="s">
        <v>52</v>
      </c>
      <c r="AB430" t="s">
        <v>52</v>
      </c>
      <c r="AE430" t="s">
        <v>52</v>
      </c>
      <c r="AF430" t="s">
        <v>52</v>
      </c>
      <c r="AH430">
        <v>0</v>
      </c>
      <c r="AI430">
        <v>0</v>
      </c>
      <c r="AJ430" t="s">
        <v>52</v>
      </c>
      <c r="AK430">
        <v>0</v>
      </c>
      <c r="AL430" t="s">
        <v>52</v>
      </c>
      <c r="AM430" t="s">
        <v>52</v>
      </c>
      <c r="AN430">
        <v>0</v>
      </c>
      <c r="AO430">
        <v>0</v>
      </c>
      <c r="AP430" t="s">
        <v>52</v>
      </c>
      <c r="AQ430" t="s">
        <v>52</v>
      </c>
      <c r="AR430" t="s">
        <v>62</v>
      </c>
      <c r="AS430" t="s">
        <v>52</v>
      </c>
      <c r="AT430" t="s">
        <v>52</v>
      </c>
      <c r="AU430" t="s">
        <v>64</v>
      </c>
      <c r="AV430" t="s">
        <v>62</v>
      </c>
      <c r="AW430" t="s">
        <v>65</v>
      </c>
      <c r="AX430" t="s">
        <v>66</v>
      </c>
      <c r="AY430" t="s">
        <v>67</v>
      </c>
    </row>
    <row r="431" spans="1:51" hidden="1" x14ac:dyDescent="0.25">
      <c r="A431">
        <v>202624</v>
      </c>
      <c r="B431" t="s">
        <v>1712</v>
      </c>
      <c r="C431" t="e">
        <f>VLOOKUP(A431,[1]Customer_payment_journal_line!$AL:$BO,30,0)</f>
        <v>#N/A</v>
      </c>
      <c r="D431" t="s">
        <v>53</v>
      </c>
      <c r="E431" t="s">
        <v>1710</v>
      </c>
      <c r="F431" t="s">
        <v>1711</v>
      </c>
      <c r="G431" t="s">
        <v>1609</v>
      </c>
      <c r="H431" t="s">
        <v>69</v>
      </c>
      <c r="I431" t="s">
        <v>1705</v>
      </c>
      <c r="J431" t="s">
        <v>1702</v>
      </c>
      <c r="K431" t="s">
        <v>1703</v>
      </c>
      <c r="L431" t="s">
        <v>52</v>
      </c>
      <c r="M431">
        <v>0</v>
      </c>
      <c r="N431">
        <v>855</v>
      </c>
      <c r="O431" t="s">
        <v>61</v>
      </c>
      <c r="P431">
        <v>100</v>
      </c>
      <c r="Q431" t="s">
        <v>52</v>
      </c>
      <c r="R431" t="s">
        <v>52</v>
      </c>
      <c r="S431" t="s">
        <v>52</v>
      </c>
      <c r="T431" t="s">
        <v>52</v>
      </c>
      <c r="U431" t="s">
        <v>52</v>
      </c>
      <c r="V431" t="s">
        <v>62</v>
      </c>
      <c r="W431" t="s">
        <v>52</v>
      </c>
      <c r="Y431" t="s">
        <v>1706</v>
      </c>
      <c r="Z431" t="s">
        <v>62</v>
      </c>
      <c r="AB431" t="s">
        <v>1713</v>
      </c>
      <c r="AE431" t="s">
        <v>1714</v>
      </c>
      <c r="AF431" t="s">
        <v>52</v>
      </c>
      <c r="AH431">
        <v>0</v>
      </c>
      <c r="AI431">
        <v>0</v>
      </c>
      <c r="AJ431" t="s">
        <v>52</v>
      </c>
      <c r="AK431">
        <v>0</v>
      </c>
      <c r="AL431" t="s">
        <v>52</v>
      </c>
      <c r="AM431" t="s">
        <v>52</v>
      </c>
      <c r="AN431">
        <v>0</v>
      </c>
      <c r="AO431">
        <v>0</v>
      </c>
      <c r="AP431" t="s">
        <v>52</v>
      </c>
      <c r="AQ431" t="s">
        <v>52</v>
      </c>
      <c r="AR431" t="s">
        <v>62</v>
      </c>
      <c r="AS431" t="s">
        <v>52</v>
      </c>
      <c r="AT431" t="s">
        <v>74</v>
      </c>
      <c r="AU431" t="s">
        <v>64</v>
      </c>
      <c r="AV431" t="s">
        <v>62</v>
      </c>
      <c r="AW431" t="s">
        <v>65</v>
      </c>
      <c r="AX431" t="s">
        <v>66</v>
      </c>
      <c r="AY431" t="s">
        <v>67</v>
      </c>
    </row>
    <row r="432" spans="1:51" hidden="1" x14ac:dyDescent="0.25">
      <c r="A432">
        <v>202626</v>
      </c>
      <c r="B432" t="s">
        <v>1715</v>
      </c>
      <c r="C432" t="e">
        <f>VLOOKUP(A432,[1]Customer_payment_journal_line!$AL:$BO,30,0)</f>
        <v>#N/A</v>
      </c>
      <c r="D432" t="s">
        <v>53</v>
      </c>
      <c r="E432" t="s">
        <v>1716</v>
      </c>
      <c r="F432" t="s">
        <v>1717</v>
      </c>
      <c r="G432" t="s">
        <v>1609</v>
      </c>
      <c r="H432" t="s">
        <v>57</v>
      </c>
      <c r="I432" t="s">
        <v>58</v>
      </c>
      <c r="J432" t="s">
        <v>1610</v>
      </c>
      <c r="K432" t="s">
        <v>1611</v>
      </c>
      <c r="L432" t="s">
        <v>52</v>
      </c>
      <c r="M432">
        <v>3000</v>
      </c>
      <c r="N432">
        <v>0</v>
      </c>
      <c r="O432" t="s">
        <v>61</v>
      </c>
      <c r="P432">
        <v>100</v>
      </c>
      <c r="Q432" t="s">
        <v>52</v>
      </c>
      <c r="R432" t="s">
        <v>52</v>
      </c>
      <c r="S432" t="s">
        <v>52</v>
      </c>
      <c r="T432" t="s">
        <v>52</v>
      </c>
      <c r="U432" t="s">
        <v>52</v>
      </c>
      <c r="V432" t="s">
        <v>62</v>
      </c>
      <c r="W432" t="s">
        <v>63</v>
      </c>
      <c r="Y432" t="s">
        <v>52</v>
      </c>
      <c r="AB432" t="s">
        <v>52</v>
      </c>
      <c r="AE432" t="s">
        <v>52</v>
      </c>
      <c r="AF432" t="s">
        <v>52</v>
      </c>
      <c r="AH432">
        <v>0</v>
      </c>
      <c r="AI432">
        <v>0</v>
      </c>
      <c r="AJ432" t="s">
        <v>52</v>
      </c>
      <c r="AK432">
        <v>0</v>
      </c>
      <c r="AL432" t="s">
        <v>52</v>
      </c>
      <c r="AM432" t="s">
        <v>52</v>
      </c>
      <c r="AN432">
        <v>0</v>
      </c>
      <c r="AO432">
        <v>0</v>
      </c>
      <c r="AP432" t="s">
        <v>52</v>
      </c>
      <c r="AQ432" t="s">
        <v>52</v>
      </c>
      <c r="AR432" t="s">
        <v>62</v>
      </c>
      <c r="AS432" t="s">
        <v>52</v>
      </c>
      <c r="AT432" t="s">
        <v>52</v>
      </c>
      <c r="AU432" t="s">
        <v>64</v>
      </c>
      <c r="AV432" t="s">
        <v>62</v>
      </c>
      <c r="AW432" t="s">
        <v>65</v>
      </c>
      <c r="AX432" t="s">
        <v>66</v>
      </c>
      <c r="AY432" t="s">
        <v>67</v>
      </c>
    </row>
    <row r="433" spans="1:51" hidden="1" x14ac:dyDescent="0.25">
      <c r="A433">
        <v>202626</v>
      </c>
      <c r="B433" t="s">
        <v>1718</v>
      </c>
      <c r="C433" t="e">
        <f>VLOOKUP(A433,[1]Customer_payment_journal_line!$AL:$BO,30,0)</f>
        <v>#N/A</v>
      </c>
      <c r="D433" t="s">
        <v>53</v>
      </c>
      <c r="E433" t="s">
        <v>1716</v>
      </c>
      <c r="F433" t="s">
        <v>1717</v>
      </c>
      <c r="G433" t="s">
        <v>1609</v>
      </c>
      <c r="H433" t="s">
        <v>69</v>
      </c>
      <c r="I433" t="s">
        <v>842</v>
      </c>
      <c r="J433" t="s">
        <v>1610</v>
      </c>
      <c r="K433" t="s">
        <v>1611</v>
      </c>
      <c r="L433" t="s">
        <v>52</v>
      </c>
      <c r="M433">
        <v>0</v>
      </c>
      <c r="N433">
        <v>3000</v>
      </c>
      <c r="O433" t="s">
        <v>61</v>
      </c>
      <c r="P433">
        <v>100</v>
      </c>
      <c r="Q433" t="s">
        <v>52</v>
      </c>
      <c r="R433" t="s">
        <v>52</v>
      </c>
      <c r="S433" t="s">
        <v>52</v>
      </c>
      <c r="T433" t="s">
        <v>52</v>
      </c>
      <c r="U433" t="s">
        <v>52</v>
      </c>
      <c r="V433" t="s">
        <v>62</v>
      </c>
      <c r="W433" t="s">
        <v>52</v>
      </c>
      <c r="Y433" t="s">
        <v>844</v>
      </c>
      <c r="Z433" t="s">
        <v>62</v>
      </c>
      <c r="AB433" t="s">
        <v>1719</v>
      </c>
      <c r="AE433" t="s">
        <v>1720</v>
      </c>
      <c r="AF433" t="s">
        <v>52</v>
      </c>
      <c r="AH433">
        <v>0</v>
      </c>
      <c r="AI433">
        <v>0</v>
      </c>
      <c r="AJ433" t="s">
        <v>52</v>
      </c>
      <c r="AK433">
        <v>0</v>
      </c>
      <c r="AL433" t="s">
        <v>52</v>
      </c>
      <c r="AM433" t="s">
        <v>52</v>
      </c>
      <c r="AN433">
        <v>0</v>
      </c>
      <c r="AO433">
        <v>0</v>
      </c>
      <c r="AP433" t="s">
        <v>52</v>
      </c>
      <c r="AQ433" t="s">
        <v>52</v>
      </c>
      <c r="AR433" t="s">
        <v>62</v>
      </c>
      <c r="AS433" t="s">
        <v>52</v>
      </c>
      <c r="AT433" t="s">
        <v>74</v>
      </c>
      <c r="AU433" t="s">
        <v>64</v>
      </c>
      <c r="AV433" t="s">
        <v>62</v>
      </c>
      <c r="AW433" t="s">
        <v>65</v>
      </c>
      <c r="AX433" t="s">
        <v>66</v>
      </c>
      <c r="AY433" t="s">
        <v>67</v>
      </c>
    </row>
    <row r="434" spans="1:51" hidden="1" x14ac:dyDescent="0.25">
      <c r="A434">
        <v>405962</v>
      </c>
      <c r="B434" t="s">
        <v>1721</v>
      </c>
      <c r="C434" t="e">
        <f>VLOOKUP(A434,[1]Customer_payment_journal_line!$AL:$BO,30,0)</f>
        <v>#N/A</v>
      </c>
      <c r="D434" t="s">
        <v>53</v>
      </c>
      <c r="E434" t="s">
        <v>1722</v>
      </c>
      <c r="F434" t="s">
        <v>1723</v>
      </c>
      <c r="G434" t="s">
        <v>1609</v>
      </c>
      <c r="H434" t="s">
        <v>57</v>
      </c>
      <c r="I434" t="s">
        <v>58</v>
      </c>
      <c r="J434" t="s">
        <v>1023</v>
      </c>
      <c r="K434" t="s">
        <v>1724</v>
      </c>
      <c r="L434" t="s">
        <v>52</v>
      </c>
      <c r="M434">
        <v>11970</v>
      </c>
      <c r="N434">
        <v>0</v>
      </c>
      <c r="O434" t="s">
        <v>61</v>
      </c>
      <c r="P434">
        <v>100</v>
      </c>
      <c r="Q434" t="s">
        <v>52</v>
      </c>
      <c r="R434" t="s">
        <v>52</v>
      </c>
      <c r="S434" t="s">
        <v>52</v>
      </c>
      <c r="T434" t="s">
        <v>52</v>
      </c>
      <c r="U434" t="s">
        <v>52</v>
      </c>
      <c r="V434" t="s">
        <v>62</v>
      </c>
      <c r="W434" t="s">
        <v>63</v>
      </c>
      <c r="Y434" t="s">
        <v>52</v>
      </c>
      <c r="AB434" t="s">
        <v>52</v>
      </c>
      <c r="AE434" t="s">
        <v>52</v>
      </c>
      <c r="AF434" t="s">
        <v>52</v>
      </c>
      <c r="AH434">
        <v>0</v>
      </c>
      <c r="AI434">
        <v>0</v>
      </c>
      <c r="AJ434" t="s">
        <v>52</v>
      </c>
      <c r="AK434">
        <v>0</v>
      </c>
      <c r="AL434" t="s">
        <v>52</v>
      </c>
      <c r="AM434" t="s">
        <v>52</v>
      </c>
      <c r="AN434">
        <v>0</v>
      </c>
      <c r="AO434">
        <v>0</v>
      </c>
      <c r="AP434" t="s">
        <v>52</v>
      </c>
      <c r="AQ434" t="s">
        <v>52</v>
      </c>
      <c r="AR434" t="s">
        <v>62</v>
      </c>
      <c r="AS434" t="s">
        <v>52</v>
      </c>
      <c r="AT434" t="s">
        <v>52</v>
      </c>
      <c r="AU434" t="s">
        <v>64</v>
      </c>
      <c r="AV434" t="s">
        <v>62</v>
      </c>
      <c r="AW434" t="s">
        <v>65</v>
      </c>
      <c r="AX434" t="s">
        <v>66</v>
      </c>
      <c r="AY434" t="s">
        <v>67</v>
      </c>
    </row>
    <row r="435" spans="1:51" hidden="1" x14ac:dyDescent="0.25">
      <c r="A435">
        <v>405962</v>
      </c>
      <c r="B435" t="s">
        <v>1725</v>
      </c>
      <c r="C435" t="e">
        <f>VLOOKUP(A435,[1]Customer_payment_journal_line!$AL:$BO,30,0)</f>
        <v>#N/A</v>
      </c>
      <c r="D435" t="s">
        <v>53</v>
      </c>
      <c r="E435" t="s">
        <v>1722</v>
      </c>
      <c r="F435" t="s">
        <v>1723</v>
      </c>
      <c r="G435" t="s">
        <v>1609</v>
      </c>
      <c r="H435" t="s">
        <v>69</v>
      </c>
      <c r="I435" t="s">
        <v>797</v>
      </c>
      <c r="J435" t="s">
        <v>1023</v>
      </c>
      <c r="K435" t="s">
        <v>1724</v>
      </c>
      <c r="L435" t="s">
        <v>52</v>
      </c>
      <c r="M435">
        <v>0</v>
      </c>
      <c r="N435">
        <v>11970</v>
      </c>
      <c r="O435" t="s">
        <v>61</v>
      </c>
      <c r="P435">
        <v>100</v>
      </c>
      <c r="Q435" t="s">
        <v>52</v>
      </c>
      <c r="R435" t="s">
        <v>52</v>
      </c>
      <c r="S435" t="s">
        <v>52</v>
      </c>
      <c r="T435" t="s">
        <v>52</v>
      </c>
      <c r="U435" t="s">
        <v>52</v>
      </c>
      <c r="V435" t="s">
        <v>62</v>
      </c>
      <c r="W435" t="s">
        <v>52</v>
      </c>
      <c r="Y435" t="s">
        <v>798</v>
      </c>
      <c r="Z435" t="s">
        <v>62</v>
      </c>
      <c r="AB435" t="s">
        <v>1726</v>
      </c>
      <c r="AE435" t="s">
        <v>1727</v>
      </c>
      <c r="AF435" t="s">
        <v>52</v>
      </c>
      <c r="AH435">
        <v>0</v>
      </c>
      <c r="AI435">
        <v>0</v>
      </c>
      <c r="AJ435" t="s">
        <v>52</v>
      </c>
      <c r="AK435">
        <v>0</v>
      </c>
      <c r="AL435" t="s">
        <v>52</v>
      </c>
      <c r="AM435" t="s">
        <v>52</v>
      </c>
      <c r="AN435">
        <v>0</v>
      </c>
      <c r="AO435">
        <v>0</v>
      </c>
      <c r="AP435" t="s">
        <v>52</v>
      </c>
      <c r="AQ435" t="s">
        <v>52</v>
      </c>
      <c r="AR435" t="s">
        <v>62</v>
      </c>
      <c r="AS435" t="s">
        <v>52</v>
      </c>
      <c r="AT435" t="s">
        <v>74</v>
      </c>
      <c r="AU435" t="s">
        <v>64</v>
      </c>
      <c r="AV435" t="s">
        <v>62</v>
      </c>
      <c r="AW435" t="s">
        <v>65</v>
      </c>
      <c r="AX435" t="s">
        <v>66</v>
      </c>
      <c r="AY435" t="s">
        <v>67</v>
      </c>
    </row>
    <row r="436" spans="1:51" hidden="1" x14ac:dyDescent="0.25">
      <c r="A436">
        <v>405963</v>
      </c>
      <c r="B436" t="s">
        <v>1728</v>
      </c>
      <c r="C436" t="e">
        <f>VLOOKUP(A436,[1]Customer_payment_journal_line!$AL:$BO,30,0)</f>
        <v>#N/A</v>
      </c>
      <c r="D436" t="s">
        <v>53</v>
      </c>
      <c r="E436" t="s">
        <v>1729</v>
      </c>
      <c r="F436" t="s">
        <v>1730</v>
      </c>
      <c r="G436" t="s">
        <v>1609</v>
      </c>
      <c r="H436" t="s">
        <v>57</v>
      </c>
      <c r="I436" t="s">
        <v>58</v>
      </c>
      <c r="J436" t="s">
        <v>1023</v>
      </c>
      <c r="K436" t="s">
        <v>1724</v>
      </c>
      <c r="L436" t="s">
        <v>52</v>
      </c>
      <c r="M436">
        <v>855</v>
      </c>
      <c r="N436">
        <v>0</v>
      </c>
      <c r="O436" t="s">
        <v>61</v>
      </c>
      <c r="P436">
        <v>100</v>
      </c>
      <c r="Q436" t="s">
        <v>52</v>
      </c>
      <c r="R436" t="s">
        <v>52</v>
      </c>
      <c r="S436" t="s">
        <v>52</v>
      </c>
      <c r="T436" t="s">
        <v>52</v>
      </c>
      <c r="U436" t="s">
        <v>52</v>
      </c>
      <c r="V436" t="s">
        <v>62</v>
      </c>
      <c r="W436" t="s">
        <v>63</v>
      </c>
      <c r="Y436" t="s">
        <v>52</v>
      </c>
      <c r="AB436" t="s">
        <v>52</v>
      </c>
      <c r="AE436" t="s">
        <v>52</v>
      </c>
      <c r="AF436" t="s">
        <v>52</v>
      </c>
      <c r="AH436">
        <v>0</v>
      </c>
      <c r="AI436">
        <v>0</v>
      </c>
      <c r="AJ436" t="s">
        <v>52</v>
      </c>
      <c r="AK436">
        <v>0</v>
      </c>
      <c r="AL436" t="s">
        <v>52</v>
      </c>
      <c r="AM436" t="s">
        <v>52</v>
      </c>
      <c r="AN436">
        <v>0</v>
      </c>
      <c r="AO436">
        <v>0</v>
      </c>
      <c r="AP436" t="s">
        <v>52</v>
      </c>
      <c r="AQ436" t="s">
        <v>52</v>
      </c>
      <c r="AR436" t="s">
        <v>62</v>
      </c>
      <c r="AS436" t="s">
        <v>52</v>
      </c>
      <c r="AT436" t="s">
        <v>52</v>
      </c>
      <c r="AU436" t="s">
        <v>64</v>
      </c>
      <c r="AV436" t="s">
        <v>62</v>
      </c>
      <c r="AW436" t="s">
        <v>65</v>
      </c>
      <c r="AX436" t="s">
        <v>66</v>
      </c>
      <c r="AY436" t="s">
        <v>67</v>
      </c>
    </row>
    <row r="437" spans="1:51" hidden="1" x14ac:dyDescent="0.25">
      <c r="A437">
        <v>405963</v>
      </c>
      <c r="B437" t="s">
        <v>1731</v>
      </c>
      <c r="C437" t="e">
        <f>VLOOKUP(A437,[1]Customer_payment_journal_line!$AL:$BO,30,0)</f>
        <v>#N/A</v>
      </c>
      <c r="D437" t="s">
        <v>53</v>
      </c>
      <c r="E437" t="s">
        <v>1729</v>
      </c>
      <c r="F437" t="s">
        <v>1730</v>
      </c>
      <c r="G437" t="s">
        <v>1609</v>
      </c>
      <c r="H437" t="s">
        <v>69</v>
      </c>
      <c r="I437" t="s">
        <v>797</v>
      </c>
      <c r="J437" t="s">
        <v>1023</v>
      </c>
      <c r="K437" t="s">
        <v>1724</v>
      </c>
      <c r="L437" t="s">
        <v>52</v>
      </c>
      <c r="M437">
        <v>0</v>
      </c>
      <c r="N437">
        <v>855</v>
      </c>
      <c r="O437" t="s">
        <v>61</v>
      </c>
      <c r="P437">
        <v>100</v>
      </c>
      <c r="Q437" t="s">
        <v>52</v>
      </c>
      <c r="R437" t="s">
        <v>52</v>
      </c>
      <c r="S437" t="s">
        <v>52</v>
      </c>
      <c r="T437" t="s">
        <v>52</v>
      </c>
      <c r="U437" t="s">
        <v>52</v>
      </c>
      <c r="V437" t="s">
        <v>62</v>
      </c>
      <c r="W437" t="s">
        <v>52</v>
      </c>
      <c r="Y437" t="s">
        <v>798</v>
      </c>
      <c r="Z437" t="s">
        <v>62</v>
      </c>
      <c r="AB437" t="s">
        <v>1732</v>
      </c>
      <c r="AE437" t="s">
        <v>1733</v>
      </c>
      <c r="AF437" t="s">
        <v>52</v>
      </c>
      <c r="AH437">
        <v>0</v>
      </c>
      <c r="AI437">
        <v>0</v>
      </c>
      <c r="AJ437" t="s">
        <v>52</v>
      </c>
      <c r="AK437">
        <v>0</v>
      </c>
      <c r="AL437" t="s">
        <v>52</v>
      </c>
      <c r="AM437" t="s">
        <v>52</v>
      </c>
      <c r="AN437">
        <v>0</v>
      </c>
      <c r="AO437">
        <v>0</v>
      </c>
      <c r="AP437" t="s">
        <v>52</v>
      </c>
      <c r="AQ437" t="s">
        <v>52</v>
      </c>
      <c r="AR437" t="s">
        <v>62</v>
      </c>
      <c r="AS437" t="s">
        <v>52</v>
      </c>
      <c r="AT437" t="s">
        <v>74</v>
      </c>
      <c r="AU437" t="s">
        <v>64</v>
      </c>
      <c r="AV437" t="s">
        <v>62</v>
      </c>
      <c r="AW437" t="s">
        <v>65</v>
      </c>
      <c r="AX437" t="s">
        <v>66</v>
      </c>
      <c r="AY437" t="s">
        <v>67</v>
      </c>
    </row>
    <row r="438" spans="1:51" hidden="1" x14ac:dyDescent="0.25">
      <c r="A438">
        <v>202633</v>
      </c>
      <c r="B438" t="s">
        <v>1734</v>
      </c>
      <c r="C438" t="e">
        <f>VLOOKUP(A438,[1]Customer_payment_journal_line!$AL:$BO,30,0)</f>
        <v>#N/A</v>
      </c>
      <c r="D438" t="s">
        <v>159</v>
      </c>
      <c r="E438" t="s">
        <v>1735</v>
      </c>
      <c r="F438" t="s">
        <v>1736</v>
      </c>
      <c r="G438" t="s">
        <v>1609</v>
      </c>
      <c r="H438" t="s">
        <v>80</v>
      </c>
      <c r="I438" t="s">
        <v>816</v>
      </c>
      <c r="J438" t="s">
        <v>1737</v>
      </c>
      <c r="K438" t="s">
        <v>1738</v>
      </c>
      <c r="L438" t="s">
        <v>52</v>
      </c>
      <c r="M438">
        <v>1000</v>
      </c>
      <c r="N438">
        <v>0</v>
      </c>
      <c r="O438" t="s">
        <v>178</v>
      </c>
      <c r="P438">
        <v>5085</v>
      </c>
      <c r="Q438" t="s">
        <v>52</v>
      </c>
      <c r="R438" t="s">
        <v>52</v>
      </c>
      <c r="S438" t="s">
        <v>52</v>
      </c>
      <c r="T438" t="s">
        <v>52</v>
      </c>
      <c r="U438" t="s">
        <v>52</v>
      </c>
      <c r="V438" t="s">
        <v>62</v>
      </c>
      <c r="W438" t="s">
        <v>52</v>
      </c>
      <c r="Y438" t="s">
        <v>52</v>
      </c>
      <c r="AB438" t="s">
        <v>52</v>
      </c>
      <c r="AE438" t="s">
        <v>52</v>
      </c>
      <c r="AF438" t="s">
        <v>52</v>
      </c>
      <c r="AH438">
        <v>0</v>
      </c>
      <c r="AI438">
        <v>0</v>
      </c>
      <c r="AJ438" t="s">
        <v>52</v>
      </c>
      <c r="AK438">
        <v>0</v>
      </c>
      <c r="AL438" t="s">
        <v>52</v>
      </c>
      <c r="AM438" t="s">
        <v>52</v>
      </c>
      <c r="AN438">
        <v>0</v>
      </c>
      <c r="AO438">
        <v>0</v>
      </c>
      <c r="AP438" t="s">
        <v>52</v>
      </c>
      <c r="AQ438" t="s">
        <v>52</v>
      </c>
      <c r="AR438" t="s">
        <v>62</v>
      </c>
      <c r="AS438" t="s">
        <v>52</v>
      </c>
      <c r="AT438" t="s">
        <v>52</v>
      </c>
      <c r="AU438" t="s">
        <v>64</v>
      </c>
      <c r="AV438" t="s">
        <v>62</v>
      </c>
      <c r="AW438" t="s">
        <v>65</v>
      </c>
      <c r="AX438" t="s">
        <v>66</v>
      </c>
      <c r="AY438" t="s">
        <v>165</v>
      </c>
    </row>
    <row r="439" spans="1:51" hidden="1" x14ac:dyDescent="0.25">
      <c r="A439">
        <v>202633</v>
      </c>
      <c r="B439" t="s">
        <v>1739</v>
      </c>
      <c r="C439" t="e">
        <f>VLOOKUP(A439,[1]Customer_payment_journal_line!$AL:$BO,30,0)</f>
        <v>#N/A</v>
      </c>
      <c r="D439" t="s">
        <v>159</v>
      </c>
      <c r="E439" t="s">
        <v>1735</v>
      </c>
      <c r="F439" t="s">
        <v>1736</v>
      </c>
      <c r="G439" t="s">
        <v>1609</v>
      </c>
      <c r="H439" t="s">
        <v>69</v>
      </c>
      <c r="I439" t="s">
        <v>1740</v>
      </c>
      <c r="J439" t="s">
        <v>1737</v>
      </c>
      <c r="K439" t="s">
        <v>1738</v>
      </c>
      <c r="L439" t="s">
        <v>52</v>
      </c>
      <c r="M439">
        <v>0</v>
      </c>
      <c r="N439">
        <v>1000</v>
      </c>
      <c r="O439" t="s">
        <v>178</v>
      </c>
      <c r="P439">
        <v>5085</v>
      </c>
      <c r="Q439" t="s">
        <v>52</v>
      </c>
      <c r="R439" t="s">
        <v>52</v>
      </c>
      <c r="S439" t="s">
        <v>52</v>
      </c>
      <c r="T439" t="s">
        <v>52</v>
      </c>
      <c r="U439" t="s">
        <v>52</v>
      </c>
      <c r="V439" t="s">
        <v>62</v>
      </c>
      <c r="W439" t="s">
        <v>52</v>
      </c>
      <c r="Y439" t="s">
        <v>1741</v>
      </c>
      <c r="Z439" t="s">
        <v>62</v>
      </c>
      <c r="AB439" t="s">
        <v>1742</v>
      </c>
      <c r="AE439" t="s">
        <v>1743</v>
      </c>
      <c r="AF439" t="s">
        <v>52</v>
      </c>
      <c r="AH439">
        <v>0</v>
      </c>
      <c r="AI439">
        <v>0</v>
      </c>
      <c r="AJ439" t="s">
        <v>52</v>
      </c>
      <c r="AK439">
        <v>0</v>
      </c>
      <c r="AL439" t="s">
        <v>52</v>
      </c>
      <c r="AM439" t="s">
        <v>52</v>
      </c>
      <c r="AN439">
        <v>0</v>
      </c>
      <c r="AO439">
        <v>0</v>
      </c>
      <c r="AP439" t="s">
        <v>52</v>
      </c>
      <c r="AQ439" t="s">
        <v>52</v>
      </c>
      <c r="AR439" t="s">
        <v>62</v>
      </c>
      <c r="AS439" t="s">
        <v>52</v>
      </c>
      <c r="AT439" t="s">
        <v>74</v>
      </c>
      <c r="AU439" t="s">
        <v>64</v>
      </c>
      <c r="AV439" t="s">
        <v>62</v>
      </c>
      <c r="AW439" t="s">
        <v>65</v>
      </c>
      <c r="AX439" t="s">
        <v>66</v>
      </c>
      <c r="AY439" t="s">
        <v>165</v>
      </c>
    </row>
    <row r="440" spans="1:51" hidden="1" x14ac:dyDescent="0.25">
      <c r="A440">
        <v>202638</v>
      </c>
      <c r="B440" t="s">
        <v>1744</v>
      </c>
      <c r="C440" t="e">
        <f>VLOOKUP(A440,[1]Customer_payment_journal_line!$AL:$BO,30,0)</f>
        <v>#N/A</v>
      </c>
      <c r="D440" t="s">
        <v>53</v>
      </c>
      <c r="E440" t="s">
        <v>1745</v>
      </c>
      <c r="F440" t="s">
        <v>1746</v>
      </c>
      <c r="G440" t="s">
        <v>1609</v>
      </c>
      <c r="H440" t="s">
        <v>57</v>
      </c>
      <c r="I440" t="s">
        <v>319</v>
      </c>
      <c r="J440" t="s">
        <v>392</v>
      </c>
      <c r="K440" t="s">
        <v>1747</v>
      </c>
      <c r="L440" t="s">
        <v>52</v>
      </c>
      <c r="M440">
        <v>1778.4</v>
      </c>
      <c r="N440">
        <v>0</v>
      </c>
      <c r="O440" t="s">
        <v>61</v>
      </c>
      <c r="P440">
        <v>100</v>
      </c>
      <c r="Q440" t="s">
        <v>52</v>
      </c>
      <c r="R440" t="s">
        <v>52</v>
      </c>
      <c r="S440" t="s">
        <v>52</v>
      </c>
      <c r="T440" t="s">
        <v>52</v>
      </c>
      <c r="U440" t="s">
        <v>52</v>
      </c>
      <c r="V440" t="s">
        <v>62</v>
      </c>
      <c r="W440" t="s">
        <v>63</v>
      </c>
      <c r="Y440" t="s">
        <v>52</v>
      </c>
      <c r="AB440" t="s">
        <v>52</v>
      </c>
      <c r="AE440" t="s">
        <v>52</v>
      </c>
      <c r="AF440" t="s">
        <v>52</v>
      </c>
      <c r="AH440">
        <v>0</v>
      </c>
      <c r="AI440">
        <v>0</v>
      </c>
      <c r="AJ440" t="s">
        <v>52</v>
      </c>
      <c r="AK440">
        <v>0</v>
      </c>
      <c r="AL440" t="s">
        <v>52</v>
      </c>
      <c r="AM440" t="s">
        <v>52</v>
      </c>
      <c r="AN440">
        <v>0</v>
      </c>
      <c r="AO440">
        <v>0</v>
      </c>
      <c r="AP440" t="s">
        <v>52</v>
      </c>
      <c r="AQ440" t="s">
        <v>52</v>
      </c>
      <c r="AR440" t="s">
        <v>62</v>
      </c>
      <c r="AS440" t="s">
        <v>52</v>
      </c>
      <c r="AT440" t="s">
        <v>52</v>
      </c>
      <c r="AU440" t="s">
        <v>64</v>
      </c>
      <c r="AV440" t="s">
        <v>62</v>
      </c>
      <c r="AW440" t="s">
        <v>65</v>
      </c>
      <c r="AX440" t="s">
        <v>66</v>
      </c>
      <c r="AY440" t="s">
        <v>67</v>
      </c>
    </row>
    <row r="441" spans="1:51" hidden="1" x14ac:dyDescent="0.25">
      <c r="A441">
        <v>202638</v>
      </c>
      <c r="B441" t="s">
        <v>1748</v>
      </c>
      <c r="C441" t="e">
        <f>VLOOKUP(A441,[1]Customer_payment_journal_line!$AL:$BO,30,0)</f>
        <v>#N/A</v>
      </c>
      <c r="D441" t="s">
        <v>53</v>
      </c>
      <c r="E441" t="s">
        <v>1745</v>
      </c>
      <c r="F441" t="s">
        <v>1746</v>
      </c>
      <c r="G441" t="s">
        <v>1609</v>
      </c>
      <c r="H441" t="s">
        <v>69</v>
      </c>
      <c r="I441" t="s">
        <v>395</v>
      </c>
      <c r="J441" t="s">
        <v>392</v>
      </c>
      <c r="K441" t="s">
        <v>1747</v>
      </c>
      <c r="L441" t="s">
        <v>52</v>
      </c>
      <c r="M441">
        <v>0</v>
      </c>
      <c r="N441">
        <v>1778.4</v>
      </c>
      <c r="O441" t="s">
        <v>61</v>
      </c>
      <c r="P441">
        <v>100</v>
      </c>
      <c r="Q441" t="s">
        <v>52</v>
      </c>
      <c r="R441" t="s">
        <v>52</v>
      </c>
      <c r="S441" t="s">
        <v>52</v>
      </c>
      <c r="T441" t="s">
        <v>52</v>
      </c>
      <c r="U441" t="s">
        <v>52</v>
      </c>
      <c r="V441" t="s">
        <v>62</v>
      </c>
      <c r="W441" t="s">
        <v>52</v>
      </c>
      <c r="Y441" t="s">
        <v>396</v>
      </c>
      <c r="Z441" t="s">
        <v>62</v>
      </c>
      <c r="AB441" t="s">
        <v>1749</v>
      </c>
      <c r="AE441" t="s">
        <v>1750</v>
      </c>
      <c r="AF441" t="s">
        <v>52</v>
      </c>
      <c r="AH441">
        <v>0</v>
      </c>
      <c r="AI441">
        <v>0</v>
      </c>
      <c r="AJ441" t="s">
        <v>52</v>
      </c>
      <c r="AK441">
        <v>0</v>
      </c>
      <c r="AL441" t="s">
        <v>52</v>
      </c>
      <c r="AM441" t="s">
        <v>52</v>
      </c>
      <c r="AN441">
        <v>0</v>
      </c>
      <c r="AO441">
        <v>0</v>
      </c>
      <c r="AP441" t="s">
        <v>52</v>
      </c>
      <c r="AQ441" t="s">
        <v>52</v>
      </c>
      <c r="AR441" t="s">
        <v>62</v>
      </c>
      <c r="AS441" t="s">
        <v>52</v>
      </c>
      <c r="AT441" t="s">
        <v>74</v>
      </c>
      <c r="AU441" t="s">
        <v>64</v>
      </c>
      <c r="AV441" t="s">
        <v>62</v>
      </c>
      <c r="AW441" t="s">
        <v>65</v>
      </c>
      <c r="AX441" t="s">
        <v>66</v>
      </c>
      <c r="AY441" t="s">
        <v>67</v>
      </c>
    </row>
    <row r="442" spans="1:51" hidden="1" x14ac:dyDescent="0.25">
      <c r="A442">
        <v>202639</v>
      </c>
      <c r="B442" t="s">
        <v>1751</v>
      </c>
      <c r="C442" t="e">
        <f>VLOOKUP(A442,[1]Customer_payment_journal_line!$AL:$BO,30,0)</f>
        <v>#N/A</v>
      </c>
      <c r="D442" t="s">
        <v>53</v>
      </c>
      <c r="E442" t="s">
        <v>1752</v>
      </c>
      <c r="F442" t="s">
        <v>1753</v>
      </c>
      <c r="G442" t="s">
        <v>1609</v>
      </c>
      <c r="H442" t="s">
        <v>57</v>
      </c>
      <c r="I442" t="s">
        <v>319</v>
      </c>
      <c r="J442" t="s">
        <v>392</v>
      </c>
      <c r="K442" t="s">
        <v>1747</v>
      </c>
      <c r="L442" t="s">
        <v>52</v>
      </c>
      <c r="M442">
        <v>855</v>
      </c>
      <c r="N442">
        <v>0</v>
      </c>
      <c r="O442" t="s">
        <v>61</v>
      </c>
      <c r="P442">
        <v>100</v>
      </c>
      <c r="Q442" t="s">
        <v>52</v>
      </c>
      <c r="R442" t="s">
        <v>52</v>
      </c>
      <c r="S442" t="s">
        <v>52</v>
      </c>
      <c r="T442" t="s">
        <v>52</v>
      </c>
      <c r="U442" t="s">
        <v>52</v>
      </c>
      <c r="V442" t="s">
        <v>62</v>
      </c>
      <c r="W442" t="s">
        <v>63</v>
      </c>
      <c r="Y442" t="s">
        <v>52</v>
      </c>
      <c r="AB442" t="s">
        <v>52</v>
      </c>
      <c r="AE442" t="s">
        <v>52</v>
      </c>
      <c r="AF442" t="s">
        <v>52</v>
      </c>
      <c r="AH442">
        <v>0</v>
      </c>
      <c r="AI442">
        <v>0</v>
      </c>
      <c r="AJ442" t="s">
        <v>52</v>
      </c>
      <c r="AK442">
        <v>0</v>
      </c>
      <c r="AL442" t="s">
        <v>52</v>
      </c>
      <c r="AM442" t="s">
        <v>52</v>
      </c>
      <c r="AN442">
        <v>0</v>
      </c>
      <c r="AO442">
        <v>0</v>
      </c>
      <c r="AP442" t="s">
        <v>52</v>
      </c>
      <c r="AQ442" t="s">
        <v>52</v>
      </c>
      <c r="AR442" t="s">
        <v>62</v>
      </c>
      <c r="AS442" t="s">
        <v>52</v>
      </c>
      <c r="AT442" t="s">
        <v>52</v>
      </c>
      <c r="AU442" t="s">
        <v>64</v>
      </c>
      <c r="AV442" t="s">
        <v>62</v>
      </c>
      <c r="AW442" t="s">
        <v>65</v>
      </c>
      <c r="AX442" t="s">
        <v>66</v>
      </c>
      <c r="AY442" t="s">
        <v>67</v>
      </c>
    </row>
    <row r="443" spans="1:51" hidden="1" x14ac:dyDescent="0.25">
      <c r="A443">
        <v>202639</v>
      </c>
      <c r="B443" t="s">
        <v>1754</v>
      </c>
      <c r="C443" t="e">
        <f>VLOOKUP(A443,[1]Customer_payment_journal_line!$AL:$BO,30,0)</f>
        <v>#N/A</v>
      </c>
      <c r="D443" t="s">
        <v>53</v>
      </c>
      <c r="E443" t="s">
        <v>1752</v>
      </c>
      <c r="F443" t="s">
        <v>1753</v>
      </c>
      <c r="G443" t="s">
        <v>1609</v>
      </c>
      <c r="H443" t="s">
        <v>69</v>
      </c>
      <c r="I443" t="s">
        <v>395</v>
      </c>
      <c r="J443" t="s">
        <v>392</v>
      </c>
      <c r="K443" t="s">
        <v>1747</v>
      </c>
      <c r="L443" t="s">
        <v>52</v>
      </c>
      <c r="M443">
        <v>0</v>
      </c>
      <c r="N443">
        <v>855</v>
      </c>
      <c r="O443" t="s">
        <v>61</v>
      </c>
      <c r="P443">
        <v>100</v>
      </c>
      <c r="Q443" t="s">
        <v>52</v>
      </c>
      <c r="R443" t="s">
        <v>52</v>
      </c>
      <c r="S443" t="s">
        <v>52</v>
      </c>
      <c r="T443" t="s">
        <v>52</v>
      </c>
      <c r="U443" t="s">
        <v>52</v>
      </c>
      <c r="V443" t="s">
        <v>62</v>
      </c>
      <c r="W443" t="s">
        <v>52</v>
      </c>
      <c r="Y443" t="s">
        <v>396</v>
      </c>
      <c r="Z443" t="s">
        <v>62</v>
      </c>
      <c r="AB443" t="s">
        <v>1755</v>
      </c>
      <c r="AE443" t="s">
        <v>1756</v>
      </c>
      <c r="AF443" t="s">
        <v>52</v>
      </c>
      <c r="AH443">
        <v>0</v>
      </c>
      <c r="AI443">
        <v>0</v>
      </c>
      <c r="AJ443" t="s">
        <v>52</v>
      </c>
      <c r="AK443">
        <v>0</v>
      </c>
      <c r="AL443" t="s">
        <v>52</v>
      </c>
      <c r="AM443" t="s">
        <v>52</v>
      </c>
      <c r="AN443">
        <v>0</v>
      </c>
      <c r="AO443">
        <v>0</v>
      </c>
      <c r="AP443" t="s">
        <v>52</v>
      </c>
      <c r="AQ443" t="s">
        <v>52</v>
      </c>
      <c r="AR443" t="s">
        <v>62</v>
      </c>
      <c r="AS443" t="s">
        <v>52</v>
      </c>
      <c r="AT443" t="s">
        <v>74</v>
      </c>
      <c r="AU443" t="s">
        <v>64</v>
      </c>
      <c r="AV443" t="s">
        <v>62</v>
      </c>
      <c r="AW443" t="s">
        <v>65</v>
      </c>
      <c r="AX443" t="s">
        <v>66</v>
      </c>
      <c r="AY443" t="s">
        <v>67</v>
      </c>
    </row>
    <row r="444" spans="1:51" hidden="1" x14ac:dyDescent="0.25">
      <c r="A444">
        <v>405965</v>
      </c>
      <c r="B444" t="s">
        <v>1757</v>
      </c>
      <c r="C444" t="e">
        <f>VLOOKUP(A444,[1]Customer_payment_journal_line!$AL:$BO,30,0)</f>
        <v>#N/A</v>
      </c>
      <c r="D444" t="s">
        <v>53</v>
      </c>
      <c r="E444" t="s">
        <v>1758</v>
      </c>
      <c r="F444" t="s">
        <v>1759</v>
      </c>
      <c r="G444" t="s">
        <v>1609</v>
      </c>
      <c r="H444" t="s">
        <v>57</v>
      </c>
      <c r="I444" t="s">
        <v>58</v>
      </c>
      <c r="J444" t="s">
        <v>1648</v>
      </c>
      <c r="K444" t="s">
        <v>1649</v>
      </c>
      <c r="L444" t="s">
        <v>52</v>
      </c>
      <c r="M444">
        <v>6270</v>
      </c>
      <c r="N444">
        <v>0</v>
      </c>
      <c r="O444" t="s">
        <v>61</v>
      </c>
      <c r="P444">
        <v>100</v>
      </c>
      <c r="Q444" t="s">
        <v>52</v>
      </c>
      <c r="R444" t="s">
        <v>52</v>
      </c>
      <c r="S444" t="s">
        <v>52</v>
      </c>
      <c r="T444" t="s">
        <v>52</v>
      </c>
      <c r="U444" t="s">
        <v>52</v>
      </c>
      <c r="V444" t="s">
        <v>62</v>
      </c>
      <c r="W444" t="s">
        <v>63</v>
      </c>
      <c r="Y444" t="s">
        <v>52</v>
      </c>
      <c r="AB444" t="s">
        <v>52</v>
      </c>
      <c r="AE444" t="s">
        <v>52</v>
      </c>
      <c r="AF444" t="s">
        <v>52</v>
      </c>
      <c r="AH444">
        <v>0</v>
      </c>
      <c r="AI444">
        <v>0</v>
      </c>
      <c r="AJ444" t="s">
        <v>52</v>
      </c>
      <c r="AK444">
        <v>0</v>
      </c>
      <c r="AL444" t="s">
        <v>52</v>
      </c>
      <c r="AM444" t="s">
        <v>52</v>
      </c>
      <c r="AN444">
        <v>0</v>
      </c>
      <c r="AO444">
        <v>0</v>
      </c>
      <c r="AP444" t="s">
        <v>52</v>
      </c>
      <c r="AQ444" t="s">
        <v>52</v>
      </c>
      <c r="AR444" t="s">
        <v>62</v>
      </c>
      <c r="AS444" t="s">
        <v>52</v>
      </c>
      <c r="AT444" t="s">
        <v>52</v>
      </c>
      <c r="AU444" t="s">
        <v>64</v>
      </c>
      <c r="AV444" t="s">
        <v>62</v>
      </c>
      <c r="AW444" t="s">
        <v>65</v>
      </c>
      <c r="AX444" t="s">
        <v>66</v>
      </c>
      <c r="AY444" t="s">
        <v>67</v>
      </c>
    </row>
    <row r="445" spans="1:51" hidden="1" x14ac:dyDescent="0.25">
      <c r="A445">
        <v>405965</v>
      </c>
      <c r="B445" t="s">
        <v>1760</v>
      </c>
      <c r="C445" t="e">
        <f>VLOOKUP(A445,[1]Customer_payment_journal_line!$AL:$BO,30,0)</f>
        <v>#N/A</v>
      </c>
      <c r="D445" t="s">
        <v>53</v>
      </c>
      <c r="E445" t="s">
        <v>1758</v>
      </c>
      <c r="F445" t="s">
        <v>1759</v>
      </c>
      <c r="G445" t="s">
        <v>1609</v>
      </c>
      <c r="H445" t="s">
        <v>69</v>
      </c>
      <c r="I445" t="s">
        <v>1651</v>
      </c>
      <c r="J445" t="s">
        <v>1648</v>
      </c>
      <c r="K445" t="s">
        <v>1649</v>
      </c>
      <c r="L445" t="s">
        <v>52</v>
      </c>
      <c r="M445">
        <v>0</v>
      </c>
      <c r="N445">
        <v>6270</v>
      </c>
      <c r="O445" t="s">
        <v>61</v>
      </c>
      <c r="P445">
        <v>100</v>
      </c>
      <c r="Q445" t="s">
        <v>52</v>
      </c>
      <c r="R445" t="s">
        <v>52</v>
      </c>
      <c r="S445" t="s">
        <v>52</v>
      </c>
      <c r="T445" t="s">
        <v>52</v>
      </c>
      <c r="U445" t="s">
        <v>52</v>
      </c>
      <c r="V445" t="s">
        <v>62</v>
      </c>
      <c r="W445" t="s">
        <v>52</v>
      </c>
      <c r="Y445" t="s">
        <v>1652</v>
      </c>
      <c r="Z445" t="s">
        <v>62</v>
      </c>
      <c r="AB445" t="s">
        <v>1761</v>
      </c>
      <c r="AE445" t="s">
        <v>1762</v>
      </c>
      <c r="AF445" t="s">
        <v>52</v>
      </c>
      <c r="AH445">
        <v>0</v>
      </c>
      <c r="AI445">
        <v>0</v>
      </c>
      <c r="AJ445" t="s">
        <v>52</v>
      </c>
      <c r="AK445">
        <v>0</v>
      </c>
      <c r="AL445" t="s">
        <v>52</v>
      </c>
      <c r="AM445" t="s">
        <v>52</v>
      </c>
      <c r="AN445">
        <v>0</v>
      </c>
      <c r="AO445">
        <v>0</v>
      </c>
      <c r="AP445" t="s">
        <v>52</v>
      </c>
      <c r="AQ445" t="s">
        <v>52</v>
      </c>
      <c r="AR445" t="s">
        <v>62</v>
      </c>
      <c r="AS445" t="s">
        <v>52</v>
      </c>
      <c r="AT445" t="s">
        <v>74</v>
      </c>
      <c r="AU445" t="s">
        <v>64</v>
      </c>
      <c r="AV445" t="s">
        <v>62</v>
      </c>
      <c r="AW445" t="s">
        <v>65</v>
      </c>
      <c r="AX445" t="s">
        <v>66</v>
      </c>
      <c r="AY445" t="s">
        <v>67</v>
      </c>
    </row>
    <row r="446" spans="1:51" hidden="1" x14ac:dyDescent="0.25">
      <c r="A446">
        <v>405966</v>
      </c>
      <c r="B446" t="s">
        <v>1763</v>
      </c>
      <c r="C446" t="e">
        <f>VLOOKUP(A446,[1]Customer_payment_journal_line!$AL:$BO,30,0)</f>
        <v>#N/A</v>
      </c>
      <c r="D446" t="s">
        <v>53</v>
      </c>
      <c r="E446" t="s">
        <v>1764</v>
      </c>
      <c r="F446" t="s">
        <v>1765</v>
      </c>
      <c r="G446" t="s">
        <v>1609</v>
      </c>
      <c r="H446" t="s">
        <v>57</v>
      </c>
      <c r="I446" t="s">
        <v>58</v>
      </c>
      <c r="J446" t="s">
        <v>1648</v>
      </c>
      <c r="K446" t="s">
        <v>1649</v>
      </c>
      <c r="L446" t="s">
        <v>52</v>
      </c>
      <c r="M446">
        <v>855</v>
      </c>
      <c r="N446">
        <v>0</v>
      </c>
      <c r="O446" t="s">
        <v>61</v>
      </c>
      <c r="P446">
        <v>100</v>
      </c>
      <c r="Q446" t="s">
        <v>52</v>
      </c>
      <c r="R446" t="s">
        <v>52</v>
      </c>
      <c r="S446" t="s">
        <v>52</v>
      </c>
      <c r="T446" t="s">
        <v>52</v>
      </c>
      <c r="U446" t="s">
        <v>52</v>
      </c>
      <c r="V446" t="s">
        <v>62</v>
      </c>
      <c r="W446" t="s">
        <v>63</v>
      </c>
      <c r="Y446" t="s">
        <v>52</v>
      </c>
      <c r="AB446" t="s">
        <v>52</v>
      </c>
      <c r="AE446" t="s">
        <v>52</v>
      </c>
      <c r="AF446" t="s">
        <v>52</v>
      </c>
      <c r="AH446">
        <v>0</v>
      </c>
      <c r="AI446">
        <v>0</v>
      </c>
      <c r="AJ446" t="s">
        <v>52</v>
      </c>
      <c r="AK446">
        <v>0</v>
      </c>
      <c r="AL446" t="s">
        <v>52</v>
      </c>
      <c r="AM446" t="s">
        <v>52</v>
      </c>
      <c r="AN446">
        <v>0</v>
      </c>
      <c r="AO446">
        <v>0</v>
      </c>
      <c r="AP446" t="s">
        <v>52</v>
      </c>
      <c r="AQ446" t="s">
        <v>52</v>
      </c>
      <c r="AR446" t="s">
        <v>62</v>
      </c>
      <c r="AS446" t="s">
        <v>52</v>
      </c>
      <c r="AT446" t="s">
        <v>52</v>
      </c>
      <c r="AU446" t="s">
        <v>64</v>
      </c>
      <c r="AV446" t="s">
        <v>62</v>
      </c>
      <c r="AW446" t="s">
        <v>65</v>
      </c>
      <c r="AX446" t="s">
        <v>66</v>
      </c>
      <c r="AY446" t="s">
        <v>67</v>
      </c>
    </row>
    <row r="447" spans="1:51" hidden="1" x14ac:dyDescent="0.25">
      <c r="A447">
        <v>405966</v>
      </c>
      <c r="B447" t="s">
        <v>1766</v>
      </c>
      <c r="C447" t="e">
        <f>VLOOKUP(A447,[1]Customer_payment_journal_line!$AL:$BO,30,0)</f>
        <v>#N/A</v>
      </c>
      <c r="D447" t="s">
        <v>53</v>
      </c>
      <c r="E447" t="s">
        <v>1764</v>
      </c>
      <c r="F447" t="s">
        <v>1765</v>
      </c>
      <c r="G447" t="s">
        <v>1609</v>
      </c>
      <c r="H447" t="s">
        <v>69</v>
      </c>
      <c r="I447" t="s">
        <v>1651</v>
      </c>
      <c r="J447" t="s">
        <v>1648</v>
      </c>
      <c r="K447" t="s">
        <v>1649</v>
      </c>
      <c r="L447" t="s">
        <v>52</v>
      </c>
      <c r="M447">
        <v>0</v>
      </c>
      <c r="N447">
        <v>855</v>
      </c>
      <c r="O447" t="s">
        <v>61</v>
      </c>
      <c r="P447">
        <v>100</v>
      </c>
      <c r="Q447" t="s">
        <v>52</v>
      </c>
      <c r="R447" t="s">
        <v>52</v>
      </c>
      <c r="S447" t="s">
        <v>52</v>
      </c>
      <c r="T447" t="s">
        <v>52</v>
      </c>
      <c r="U447" t="s">
        <v>52</v>
      </c>
      <c r="V447" t="s">
        <v>62</v>
      </c>
      <c r="W447" t="s">
        <v>52</v>
      </c>
      <c r="Y447" t="s">
        <v>1652</v>
      </c>
      <c r="Z447" t="s">
        <v>62</v>
      </c>
      <c r="AB447" t="s">
        <v>1767</v>
      </c>
      <c r="AE447" t="s">
        <v>1768</v>
      </c>
      <c r="AF447" t="s">
        <v>52</v>
      </c>
      <c r="AH447">
        <v>0</v>
      </c>
      <c r="AI447">
        <v>0</v>
      </c>
      <c r="AJ447" t="s">
        <v>52</v>
      </c>
      <c r="AK447">
        <v>0</v>
      </c>
      <c r="AL447" t="s">
        <v>52</v>
      </c>
      <c r="AM447" t="s">
        <v>52</v>
      </c>
      <c r="AN447">
        <v>0</v>
      </c>
      <c r="AO447">
        <v>0</v>
      </c>
      <c r="AP447" t="s">
        <v>52</v>
      </c>
      <c r="AQ447" t="s">
        <v>52</v>
      </c>
      <c r="AR447" t="s">
        <v>62</v>
      </c>
      <c r="AS447" t="s">
        <v>52</v>
      </c>
      <c r="AT447" t="s">
        <v>74</v>
      </c>
      <c r="AU447" t="s">
        <v>64</v>
      </c>
      <c r="AV447" t="s">
        <v>62</v>
      </c>
      <c r="AW447" t="s">
        <v>65</v>
      </c>
      <c r="AX447" t="s">
        <v>66</v>
      </c>
      <c r="AY447" t="s">
        <v>67</v>
      </c>
    </row>
    <row r="448" spans="1:51" hidden="1" x14ac:dyDescent="0.25">
      <c r="A448">
        <v>202647</v>
      </c>
      <c r="B448" t="s">
        <v>1769</v>
      </c>
      <c r="C448" t="e">
        <f>VLOOKUP(A448,[1]Customer_payment_journal_line!$AL:$BO,30,0)</f>
        <v>#N/A</v>
      </c>
      <c r="D448" t="s">
        <v>53</v>
      </c>
      <c r="E448" t="s">
        <v>1770</v>
      </c>
      <c r="F448" t="s">
        <v>1771</v>
      </c>
      <c r="G448" t="s">
        <v>1609</v>
      </c>
      <c r="H448" t="s">
        <v>57</v>
      </c>
      <c r="I448" t="s">
        <v>319</v>
      </c>
      <c r="J448" t="s">
        <v>352</v>
      </c>
      <c r="K448" t="s">
        <v>1772</v>
      </c>
      <c r="L448" t="s">
        <v>52</v>
      </c>
      <c r="M448">
        <v>570</v>
      </c>
      <c r="N448">
        <v>0</v>
      </c>
      <c r="O448" t="s">
        <v>61</v>
      </c>
      <c r="P448">
        <v>100</v>
      </c>
      <c r="Q448" t="s">
        <v>52</v>
      </c>
      <c r="R448" t="s">
        <v>52</v>
      </c>
      <c r="S448" t="s">
        <v>52</v>
      </c>
      <c r="T448" t="s">
        <v>52</v>
      </c>
      <c r="U448" t="s">
        <v>52</v>
      </c>
      <c r="V448" t="s">
        <v>62</v>
      </c>
      <c r="W448" t="s">
        <v>63</v>
      </c>
      <c r="Y448" t="s">
        <v>52</v>
      </c>
      <c r="AB448" t="s">
        <v>52</v>
      </c>
      <c r="AE448" t="s">
        <v>52</v>
      </c>
      <c r="AF448" t="s">
        <v>52</v>
      </c>
      <c r="AH448">
        <v>0</v>
      </c>
      <c r="AI448">
        <v>0</v>
      </c>
      <c r="AJ448" t="s">
        <v>52</v>
      </c>
      <c r="AK448">
        <v>0</v>
      </c>
      <c r="AL448" t="s">
        <v>52</v>
      </c>
      <c r="AM448" t="s">
        <v>52</v>
      </c>
      <c r="AN448">
        <v>0</v>
      </c>
      <c r="AO448">
        <v>0</v>
      </c>
      <c r="AP448" t="s">
        <v>52</v>
      </c>
      <c r="AQ448" t="s">
        <v>52</v>
      </c>
      <c r="AR448" t="s">
        <v>62</v>
      </c>
      <c r="AS448" t="s">
        <v>52</v>
      </c>
      <c r="AT448" t="s">
        <v>52</v>
      </c>
      <c r="AU448" t="s">
        <v>64</v>
      </c>
      <c r="AV448" t="s">
        <v>62</v>
      </c>
      <c r="AW448" t="s">
        <v>65</v>
      </c>
      <c r="AX448" t="s">
        <v>66</v>
      </c>
      <c r="AY448" t="s">
        <v>67</v>
      </c>
    </row>
    <row r="449" spans="1:51" hidden="1" x14ac:dyDescent="0.25">
      <c r="A449">
        <v>202647</v>
      </c>
      <c r="B449" t="s">
        <v>1773</v>
      </c>
      <c r="C449" t="e">
        <f>VLOOKUP(A449,[1]Customer_payment_journal_line!$AL:$BO,30,0)</f>
        <v>#N/A</v>
      </c>
      <c r="D449" t="s">
        <v>53</v>
      </c>
      <c r="E449" t="s">
        <v>1770</v>
      </c>
      <c r="F449" t="s">
        <v>1771</v>
      </c>
      <c r="G449" t="s">
        <v>1609</v>
      </c>
      <c r="H449" t="s">
        <v>69</v>
      </c>
      <c r="I449" t="s">
        <v>355</v>
      </c>
      <c r="J449" t="s">
        <v>352</v>
      </c>
      <c r="K449" t="s">
        <v>1772</v>
      </c>
      <c r="L449" t="s">
        <v>52</v>
      </c>
      <c r="M449">
        <v>0</v>
      </c>
      <c r="N449">
        <v>570</v>
      </c>
      <c r="O449" t="s">
        <v>61</v>
      </c>
      <c r="P449">
        <v>100</v>
      </c>
      <c r="Q449" t="s">
        <v>52</v>
      </c>
      <c r="R449" t="s">
        <v>52</v>
      </c>
      <c r="S449" t="s">
        <v>52</v>
      </c>
      <c r="T449" t="s">
        <v>52</v>
      </c>
      <c r="U449" t="s">
        <v>52</v>
      </c>
      <c r="V449" t="s">
        <v>62</v>
      </c>
      <c r="W449" t="s">
        <v>52</v>
      </c>
      <c r="Y449" t="s">
        <v>356</v>
      </c>
      <c r="Z449" t="s">
        <v>62</v>
      </c>
      <c r="AB449" t="s">
        <v>1774</v>
      </c>
      <c r="AE449" t="s">
        <v>1775</v>
      </c>
      <c r="AF449" t="s">
        <v>52</v>
      </c>
      <c r="AH449">
        <v>0</v>
      </c>
      <c r="AI449">
        <v>0</v>
      </c>
      <c r="AJ449" t="s">
        <v>52</v>
      </c>
      <c r="AK449">
        <v>0</v>
      </c>
      <c r="AL449" t="s">
        <v>52</v>
      </c>
      <c r="AM449" t="s">
        <v>52</v>
      </c>
      <c r="AN449">
        <v>0</v>
      </c>
      <c r="AO449">
        <v>0</v>
      </c>
      <c r="AP449" t="s">
        <v>52</v>
      </c>
      <c r="AQ449" t="s">
        <v>52</v>
      </c>
      <c r="AR449" t="s">
        <v>62</v>
      </c>
      <c r="AS449" t="s">
        <v>52</v>
      </c>
      <c r="AT449" t="s">
        <v>74</v>
      </c>
      <c r="AU449" t="s">
        <v>64</v>
      </c>
      <c r="AV449" t="s">
        <v>62</v>
      </c>
      <c r="AW449" t="s">
        <v>65</v>
      </c>
      <c r="AX449" t="s">
        <v>66</v>
      </c>
      <c r="AY449" t="s">
        <v>67</v>
      </c>
    </row>
    <row r="450" spans="1:51" hidden="1" x14ac:dyDescent="0.25">
      <c r="A450">
        <v>202648</v>
      </c>
      <c r="B450" t="s">
        <v>1776</v>
      </c>
      <c r="C450" t="e">
        <f>VLOOKUP(A450,[1]Customer_payment_journal_line!$AL:$BO,30,0)</f>
        <v>#N/A</v>
      </c>
      <c r="D450" t="s">
        <v>53</v>
      </c>
      <c r="E450" t="s">
        <v>1777</v>
      </c>
      <c r="F450" t="s">
        <v>1778</v>
      </c>
      <c r="G450" t="s">
        <v>1609</v>
      </c>
      <c r="H450" t="s">
        <v>57</v>
      </c>
      <c r="I450" t="s">
        <v>319</v>
      </c>
      <c r="J450" t="s">
        <v>352</v>
      </c>
      <c r="K450" t="s">
        <v>1779</v>
      </c>
      <c r="L450" t="s">
        <v>52</v>
      </c>
      <c r="M450">
        <v>570</v>
      </c>
      <c r="N450">
        <v>0</v>
      </c>
      <c r="O450" t="s">
        <v>61</v>
      </c>
      <c r="P450">
        <v>100</v>
      </c>
      <c r="Q450" t="s">
        <v>52</v>
      </c>
      <c r="R450" t="s">
        <v>52</v>
      </c>
      <c r="S450" t="s">
        <v>52</v>
      </c>
      <c r="T450" t="s">
        <v>52</v>
      </c>
      <c r="U450" t="s">
        <v>52</v>
      </c>
      <c r="V450" t="s">
        <v>62</v>
      </c>
      <c r="W450" t="s">
        <v>63</v>
      </c>
      <c r="Y450" t="s">
        <v>52</v>
      </c>
      <c r="AB450" t="s">
        <v>52</v>
      </c>
      <c r="AE450" t="s">
        <v>52</v>
      </c>
      <c r="AF450" t="s">
        <v>52</v>
      </c>
      <c r="AH450">
        <v>0</v>
      </c>
      <c r="AI450">
        <v>0</v>
      </c>
      <c r="AJ450" t="s">
        <v>52</v>
      </c>
      <c r="AK450">
        <v>0</v>
      </c>
      <c r="AL450" t="s">
        <v>52</v>
      </c>
      <c r="AM450" t="s">
        <v>52</v>
      </c>
      <c r="AN450">
        <v>0</v>
      </c>
      <c r="AO450">
        <v>0</v>
      </c>
      <c r="AP450" t="s">
        <v>52</v>
      </c>
      <c r="AQ450" t="s">
        <v>52</v>
      </c>
      <c r="AR450" t="s">
        <v>62</v>
      </c>
      <c r="AS450" t="s">
        <v>52</v>
      </c>
      <c r="AT450" t="s">
        <v>52</v>
      </c>
      <c r="AU450" t="s">
        <v>64</v>
      </c>
      <c r="AV450" t="s">
        <v>62</v>
      </c>
      <c r="AW450" t="s">
        <v>65</v>
      </c>
      <c r="AX450" t="s">
        <v>66</v>
      </c>
      <c r="AY450" t="s">
        <v>67</v>
      </c>
    </row>
    <row r="451" spans="1:51" hidden="1" x14ac:dyDescent="0.25">
      <c r="A451">
        <v>202648</v>
      </c>
      <c r="B451" t="s">
        <v>1780</v>
      </c>
      <c r="C451" t="e">
        <f>VLOOKUP(A451,[1]Customer_payment_journal_line!$AL:$BO,30,0)</f>
        <v>#N/A</v>
      </c>
      <c r="D451" t="s">
        <v>53</v>
      </c>
      <c r="E451" t="s">
        <v>1777</v>
      </c>
      <c r="F451" t="s">
        <v>1778</v>
      </c>
      <c r="G451" t="s">
        <v>1609</v>
      </c>
      <c r="H451" t="s">
        <v>69</v>
      </c>
      <c r="I451" t="s">
        <v>355</v>
      </c>
      <c r="J451" t="s">
        <v>352</v>
      </c>
      <c r="K451" t="s">
        <v>1779</v>
      </c>
      <c r="L451" t="s">
        <v>52</v>
      </c>
      <c r="M451">
        <v>0</v>
      </c>
      <c r="N451">
        <v>570</v>
      </c>
      <c r="O451" t="s">
        <v>61</v>
      </c>
      <c r="P451">
        <v>100</v>
      </c>
      <c r="Q451" t="s">
        <v>52</v>
      </c>
      <c r="R451" t="s">
        <v>52</v>
      </c>
      <c r="S451" t="s">
        <v>52</v>
      </c>
      <c r="T451" t="s">
        <v>52</v>
      </c>
      <c r="U451" t="s">
        <v>52</v>
      </c>
      <c r="V451" t="s">
        <v>62</v>
      </c>
      <c r="W451" t="s">
        <v>52</v>
      </c>
      <c r="Y451" t="s">
        <v>356</v>
      </c>
      <c r="Z451" t="s">
        <v>62</v>
      </c>
      <c r="AB451" t="s">
        <v>1781</v>
      </c>
      <c r="AE451" t="s">
        <v>1782</v>
      </c>
      <c r="AF451" t="s">
        <v>52</v>
      </c>
      <c r="AH451">
        <v>0</v>
      </c>
      <c r="AI451">
        <v>0</v>
      </c>
      <c r="AJ451" t="s">
        <v>52</v>
      </c>
      <c r="AK451">
        <v>0</v>
      </c>
      <c r="AL451" t="s">
        <v>52</v>
      </c>
      <c r="AM451" t="s">
        <v>52</v>
      </c>
      <c r="AN451">
        <v>0</v>
      </c>
      <c r="AO451">
        <v>0</v>
      </c>
      <c r="AP451" t="s">
        <v>52</v>
      </c>
      <c r="AQ451" t="s">
        <v>52</v>
      </c>
      <c r="AR451" t="s">
        <v>62</v>
      </c>
      <c r="AS451" t="s">
        <v>52</v>
      </c>
      <c r="AT451" t="s">
        <v>74</v>
      </c>
      <c r="AU451" t="s">
        <v>64</v>
      </c>
      <c r="AV451" t="s">
        <v>62</v>
      </c>
      <c r="AW451" t="s">
        <v>65</v>
      </c>
      <c r="AX451" t="s">
        <v>66</v>
      </c>
      <c r="AY451" t="s">
        <v>67</v>
      </c>
    </row>
    <row r="452" spans="1:51" hidden="1" x14ac:dyDescent="0.25">
      <c r="A452">
        <v>202650</v>
      </c>
      <c r="B452" t="s">
        <v>1783</v>
      </c>
      <c r="C452" t="e">
        <f>VLOOKUP(A452,[1]Customer_payment_journal_line!$AL:$BO,30,0)</f>
        <v>#N/A</v>
      </c>
      <c r="D452" t="s">
        <v>53</v>
      </c>
      <c r="E452" t="s">
        <v>1784</v>
      </c>
      <c r="F452" t="s">
        <v>1785</v>
      </c>
      <c r="G452" t="s">
        <v>1609</v>
      </c>
      <c r="H452" t="s">
        <v>57</v>
      </c>
      <c r="I452" t="s">
        <v>58</v>
      </c>
      <c r="J452" t="s">
        <v>1786</v>
      </c>
      <c r="K452" t="s">
        <v>1787</v>
      </c>
      <c r="L452" t="s">
        <v>52</v>
      </c>
      <c r="M452">
        <v>4560</v>
      </c>
      <c r="N452">
        <v>0</v>
      </c>
      <c r="O452" t="s">
        <v>61</v>
      </c>
      <c r="P452">
        <v>100</v>
      </c>
      <c r="Q452" t="s">
        <v>52</v>
      </c>
      <c r="R452" t="s">
        <v>52</v>
      </c>
      <c r="S452" t="s">
        <v>52</v>
      </c>
      <c r="T452" t="s">
        <v>52</v>
      </c>
      <c r="U452" t="s">
        <v>52</v>
      </c>
      <c r="V452" t="s">
        <v>62</v>
      </c>
      <c r="W452" t="s">
        <v>63</v>
      </c>
      <c r="Y452" t="s">
        <v>52</v>
      </c>
      <c r="AB452" t="s">
        <v>52</v>
      </c>
      <c r="AE452" t="s">
        <v>52</v>
      </c>
      <c r="AF452" t="s">
        <v>52</v>
      </c>
      <c r="AH452">
        <v>0</v>
      </c>
      <c r="AI452">
        <v>0</v>
      </c>
      <c r="AJ452" t="s">
        <v>52</v>
      </c>
      <c r="AK452">
        <v>0</v>
      </c>
      <c r="AL452" t="s">
        <v>52</v>
      </c>
      <c r="AM452" t="s">
        <v>52</v>
      </c>
      <c r="AN452">
        <v>0</v>
      </c>
      <c r="AO452">
        <v>0</v>
      </c>
      <c r="AP452" t="s">
        <v>52</v>
      </c>
      <c r="AQ452" t="s">
        <v>52</v>
      </c>
      <c r="AR452" t="s">
        <v>62</v>
      </c>
      <c r="AS452" t="s">
        <v>52</v>
      </c>
      <c r="AT452" t="s">
        <v>52</v>
      </c>
      <c r="AU452" t="s">
        <v>64</v>
      </c>
      <c r="AV452" t="s">
        <v>62</v>
      </c>
      <c r="AW452" t="s">
        <v>65</v>
      </c>
      <c r="AX452" t="s">
        <v>66</v>
      </c>
      <c r="AY452" t="s">
        <v>67</v>
      </c>
    </row>
    <row r="453" spans="1:51" hidden="1" x14ac:dyDescent="0.25">
      <c r="A453">
        <v>202650</v>
      </c>
      <c r="B453" t="s">
        <v>1788</v>
      </c>
      <c r="C453" t="e">
        <f>VLOOKUP(A453,[1]Customer_payment_journal_line!$AL:$BO,30,0)</f>
        <v>#N/A</v>
      </c>
      <c r="D453" t="s">
        <v>53</v>
      </c>
      <c r="E453" t="s">
        <v>1784</v>
      </c>
      <c r="F453" t="s">
        <v>1785</v>
      </c>
      <c r="G453" t="s">
        <v>1609</v>
      </c>
      <c r="H453" t="s">
        <v>69</v>
      </c>
      <c r="I453" t="s">
        <v>1789</v>
      </c>
      <c r="J453" t="s">
        <v>1786</v>
      </c>
      <c r="K453" t="s">
        <v>1787</v>
      </c>
      <c r="L453" t="s">
        <v>52</v>
      </c>
      <c r="M453">
        <v>0</v>
      </c>
      <c r="N453">
        <v>4560</v>
      </c>
      <c r="O453" t="s">
        <v>61</v>
      </c>
      <c r="P453">
        <v>100</v>
      </c>
      <c r="Q453" t="s">
        <v>52</v>
      </c>
      <c r="R453" t="s">
        <v>52</v>
      </c>
      <c r="S453" t="s">
        <v>52</v>
      </c>
      <c r="T453" t="s">
        <v>52</v>
      </c>
      <c r="U453" t="s">
        <v>52</v>
      </c>
      <c r="V453" t="s">
        <v>62</v>
      </c>
      <c r="W453" t="s">
        <v>52</v>
      </c>
      <c r="Y453" t="s">
        <v>1790</v>
      </c>
      <c r="Z453" t="s">
        <v>62</v>
      </c>
      <c r="AB453" t="s">
        <v>1791</v>
      </c>
      <c r="AE453" t="s">
        <v>1792</v>
      </c>
      <c r="AF453" t="s">
        <v>52</v>
      </c>
      <c r="AH453">
        <v>0</v>
      </c>
      <c r="AI453">
        <v>0</v>
      </c>
      <c r="AJ453" t="s">
        <v>52</v>
      </c>
      <c r="AK453">
        <v>0</v>
      </c>
      <c r="AL453" t="s">
        <v>52</v>
      </c>
      <c r="AM453" t="s">
        <v>52</v>
      </c>
      <c r="AN453">
        <v>0</v>
      </c>
      <c r="AO453">
        <v>0</v>
      </c>
      <c r="AP453" t="s">
        <v>52</v>
      </c>
      <c r="AQ453" t="s">
        <v>52</v>
      </c>
      <c r="AR453" t="s">
        <v>62</v>
      </c>
      <c r="AS453" t="s">
        <v>52</v>
      </c>
      <c r="AT453" t="s">
        <v>74</v>
      </c>
      <c r="AU453" t="s">
        <v>64</v>
      </c>
      <c r="AV453" t="s">
        <v>62</v>
      </c>
      <c r="AW453" t="s">
        <v>65</v>
      </c>
      <c r="AX453" t="s">
        <v>66</v>
      </c>
      <c r="AY453" t="s">
        <v>67</v>
      </c>
    </row>
    <row r="454" spans="1:51" hidden="1" x14ac:dyDescent="0.25">
      <c r="A454">
        <v>202660</v>
      </c>
      <c r="B454" t="s">
        <v>1793</v>
      </c>
      <c r="C454" t="e">
        <f>VLOOKUP(A454,[1]Customer_payment_journal_line!$AL:$BO,30,0)</f>
        <v>#N/A</v>
      </c>
      <c r="D454" t="s">
        <v>159</v>
      </c>
      <c r="E454" t="s">
        <v>1794</v>
      </c>
      <c r="F454" t="s">
        <v>1795</v>
      </c>
      <c r="G454" t="s">
        <v>1609</v>
      </c>
      <c r="H454" t="s">
        <v>80</v>
      </c>
      <c r="I454" t="s">
        <v>816</v>
      </c>
      <c r="J454" t="s">
        <v>1796</v>
      </c>
      <c r="K454" t="s">
        <v>1797</v>
      </c>
      <c r="L454" t="s">
        <v>52</v>
      </c>
      <c r="M454">
        <v>1985</v>
      </c>
      <c r="N454">
        <v>0</v>
      </c>
      <c r="O454" t="s">
        <v>178</v>
      </c>
      <c r="P454">
        <v>5085</v>
      </c>
      <c r="Q454" t="s">
        <v>52</v>
      </c>
      <c r="R454" t="s">
        <v>52</v>
      </c>
      <c r="S454" t="s">
        <v>52</v>
      </c>
      <c r="T454" t="s">
        <v>52</v>
      </c>
      <c r="U454" t="s">
        <v>52</v>
      </c>
      <c r="V454" t="s">
        <v>62</v>
      </c>
      <c r="W454" t="s">
        <v>52</v>
      </c>
      <c r="Y454" t="s">
        <v>52</v>
      </c>
      <c r="AB454" t="s">
        <v>52</v>
      </c>
      <c r="AE454" t="s">
        <v>52</v>
      </c>
      <c r="AF454" t="s">
        <v>52</v>
      </c>
      <c r="AH454">
        <v>0</v>
      </c>
      <c r="AI454">
        <v>0</v>
      </c>
      <c r="AJ454" t="s">
        <v>52</v>
      </c>
      <c r="AK454">
        <v>0</v>
      </c>
      <c r="AL454" t="s">
        <v>52</v>
      </c>
      <c r="AM454" t="s">
        <v>52</v>
      </c>
      <c r="AN454">
        <v>0</v>
      </c>
      <c r="AO454">
        <v>0</v>
      </c>
      <c r="AP454" t="s">
        <v>52</v>
      </c>
      <c r="AQ454" t="s">
        <v>52</v>
      </c>
      <c r="AR454" t="s">
        <v>62</v>
      </c>
      <c r="AS454" t="s">
        <v>52</v>
      </c>
      <c r="AT454" t="s">
        <v>52</v>
      </c>
      <c r="AU454" t="s">
        <v>64</v>
      </c>
      <c r="AV454" t="s">
        <v>62</v>
      </c>
      <c r="AW454" t="s">
        <v>65</v>
      </c>
      <c r="AX454" t="s">
        <v>66</v>
      </c>
      <c r="AY454" t="s">
        <v>165</v>
      </c>
    </row>
    <row r="455" spans="1:51" hidden="1" x14ac:dyDescent="0.25">
      <c r="A455">
        <v>202660</v>
      </c>
      <c r="B455" t="s">
        <v>1798</v>
      </c>
      <c r="C455" t="e">
        <f>VLOOKUP(A455,[1]Customer_payment_journal_line!$AL:$BO,30,0)</f>
        <v>#N/A</v>
      </c>
      <c r="D455" t="s">
        <v>159</v>
      </c>
      <c r="E455" t="s">
        <v>1794</v>
      </c>
      <c r="F455" t="s">
        <v>1795</v>
      </c>
      <c r="G455" t="s">
        <v>1609</v>
      </c>
      <c r="H455" t="s">
        <v>69</v>
      </c>
      <c r="I455" t="s">
        <v>737</v>
      </c>
      <c r="J455" t="s">
        <v>1796</v>
      </c>
      <c r="K455" t="s">
        <v>1797</v>
      </c>
      <c r="L455" t="s">
        <v>52</v>
      </c>
      <c r="M455">
        <v>0</v>
      </c>
      <c r="N455">
        <v>1985</v>
      </c>
      <c r="O455" t="s">
        <v>178</v>
      </c>
      <c r="P455">
        <v>5085</v>
      </c>
      <c r="Q455" t="s">
        <v>52</v>
      </c>
      <c r="R455" t="s">
        <v>52</v>
      </c>
      <c r="S455" t="s">
        <v>52</v>
      </c>
      <c r="T455" t="s">
        <v>52</v>
      </c>
      <c r="U455" t="s">
        <v>52</v>
      </c>
      <c r="V455" t="s">
        <v>62</v>
      </c>
      <c r="W455" t="s">
        <v>52</v>
      </c>
      <c r="Y455" t="s">
        <v>738</v>
      </c>
      <c r="Z455" t="s">
        <v>62</v>
      </c>
      <c r="AB455" t="s">
        <v>1799</v>
      </c>
      <c r="AE455" t="s">
        <v>1800</v>
      </c>
      <c r="AF455" t="s">
        <v>52</v>
      </c>
      <c r="AH455">
        <v>0</v>
      </c>
      <c r="AI455">
        <v>0</v>
      </c>
      <c r="AJ455" t="s">
        <v>52</v>
      </c>
      <c r="AK455">
        <v>0</v>
      </c>
      <c r="AL455" t="s">
        <v>52</v>
      </c>
      <c r="AM455" t="s">
        <v>52</v>
      </c>
      <c r="AN455">
        <v>0</v>
      </c>
      <c r="AO455">
        <v>0</v>
      </c>
      <c r="AP455" t="s">
        <v>52</v>
      </c>
      <c r="AQ455" t="s">
        <v>52</v>
      </c>
      <c r="AR455" t="s">
        <v>62</v>
      </c>
      <c r="AS455" t="s">
        <v>52</v>
      </c>
      <c r="AT455" t="s">
        <v>74</v>
      </c>
      <c r="AU455" t="s">
        <v>64</v>
      </c>
      <c r="AV455" t="s">
        <v>62</v>
      </c>
      <c r="AW455" t="s">
        <v>65</v>
      </c>
      <c r="AX455" t="s">
        <v>66</v>
      </c>
      <c r="AY455" t="s">
        <v>165</v>
      </c>
    </row>
    <row r="456" spans="1:51" hidden="1" x14ac:dyDescent="0.25">
      <c r="A456">
        <v>202684</v>
      </c>
      <c r="B456" t="s">
        <v>1801</v>
      </c>
      <c r="C456" t="e">
        <f>VLOOKUP(A456,[1]Customer_payment_journal_line!$AL:$BO,30,0)</f>
        <v>#N/A</v>
      </c>
      <c r="D456" t="s">
        <v>644</v>
      </c>
      <c r="E456" t="s">
        <v>1802</v>
      </c>
      <c r="F456" t="s">
        <v>1803</v>
      </c>
      <c r="G456" t="s">
        <v>1804</v>
      </c>
      <c r="H456" t="s">
        <v>210</v>
      </c>
      <c r="I456" t="s">
        <v>1805</v>
      </c>
      <c r="K456" t="s">
        <v>1806</v>
      </c>
      <c r="L456" t="s">
        <v>52</v>
      </c>
      <c r="M456">
        <v>150</v>
      </c>
      <c r="N456">
        <v>0</v>
      </c>
      <c r="O456" t="s">
        <v>126</v>
      </c>
      <c r="P456">
        <v>5285</v>
      </c>
      <c r="Q456" t="s">
        <v>52</v>
      </c>
      <c r="R456" t="s">
        <v>52</v>
      </c>
      <c r="S456" t="s">
        <v>52</v>
      </c>
      <c r="T456" t="s">
        <v>52</v>
      </c>
      <c r="U456" t="s">
        <v>52</v>
      </c>
      <c r="V456" t="s">
        <v>62</v>
      </c>
      <c r="W456" t="s">
        <v>63</v>
      </c>
      <c r="Y456" t="s">
        <v>52</v>
      </c>
      <c r="AB456" t="s">
        <v>1807</v>
      </c>
      <c r="AE456" t="s">
        <v>1808</v>
      </c>
      <c r="AF456" t="s">
        <v>1278</v>
      </c>
      <c r="AG456" t="s">
        <v>1809</v>
      </c>
      <c r="AH456">
        <v>0</v>
      </c>
      <c r="AI456">
        <v>0</v>
      </c>
      <c r="AJ456" t="s">
        <v>52</v>
      </c>
      <c r="AK456">
        <v>0</v>
      </c>
      <c r="AL456" t="s">
        <v>52</v>
      </c>
      <c r="AM456" t="s">
        <v>52</v>
      </c>
      <c r="AN456">
        <v>0</v>
      </c>
      <c r="AO456">
        <v>0</v>
      </c>
      <c r="AP456" t="s">
        <v>52</v>
      </c>
      <c r="AQ456" t="s">
        <v>52</v>
      </c>
      <c r="AR456" t="s">
        <v>62</v>
      </c>
      <c r="AS456" t="s">
        <v>52</v>
      </c>
      <c r="AT456" t="s">
        <v>52</v>
      </c>
      <c r="AU456" t="s">
        <v>64</v>
      </c>
      <c r="AV456" t="s">
        <v>62</v>
      </c>
      <c r="AW456" t="s">
        <v>65</v>
      </c>
      <c r="AX456" t="s">
        <v>66</v>
      </c>
      <c r="AY456" t="s">
        <v>654</v>
      </c>
    </row>
    <row r="457" spans="1:51" hidden="1" x14ac:dyDescent="0.25">
      <c r="A457">
        <v>202684</v>
      </c>
      <c r="B457" t="s">
        <v>1810</v>
      </c>
      <c r="C457" t="e">
        <f>VLOOKUP(A457,[1]Customer_payment_journal_line!$AL:$BO,30,0)</f>
        <v>#N/A</v>
      </c>
      <c r="D457" t="s">
        <v>644</v>
      </c>
      <c r="E457" t="s">
        <v>1802</v>
      </c>
      <c r="F457" t="s">
        <v>1803</v>
      </c>
      <c r="G457" t="s">
        <v>1804</v>
      </c>
      <c r="H457" t="s">
        <v>69</v>
      </c>
      <c r="I457" t="s">
        <v>1811</v>
      </c>
      <c r="J457" t="s">
        <v>1812</v>
      </c>
      <c r="K457" t="s">
        <v>1806</v>
      </c>
      <c r="L457" t="s">
        <v>52</v>
      </c>
      <c r="M457">
        <v>0</v>
      </c>
      <c r="N457">
        <v>150</v>
      </c>
      <c r="O457" t="s">
        <v>126</v>
      </c>
      <c r="P457">
        <v>5285</v>
      </c>
      <c r="Q457" t="s">
        <v>52</v>
      </c>
      <c r="R457" t="s">
        <v>52</v>
      </c>
      <c r="S457" t="s">
        <v>52</v>
      </c>
      <c r="T457" t="s">
        <v>52</v>
      </c>
      <c r="U457" t="s">
        <v>52</v>
      </c>
      <c r="V457" t="s">
        <v>62</v>
      </c>
      <c r="W457" t="s">
        <v>52</v>
      </c>
      <c r="Y457" t="s">
        <v>1813</v>
      </c>
      <c r="Z457" t="s">
        <v>62</v>
      </c>
      <c r="AB457" t="s">
        <v>1807</v>
      </c>
      <c r="AE457" t="s">
        <v>1808</v>
      </c>
      <c r="AF457" t="s">
        <v>1278</v>
      </c>
      <c r="AG457" t="s">
        <v>1809</v>
      </c>
      <c r="AH457">
        <v>0</v>
      </c>
      <c r="AI457">
        <v>0</v>
      </c>
      <c r="AJ457" t="s">
        <v>52</v>
      </c>
      <c r="AK457">
        <v>0</v>
      </c>
      <c r="AL457" t="s">
        <v>52</v>
      </c>
      <c r="AM457" t="s">
        <v>52</v>
      </c>
      <c r="AN457">
        <v>0</v>
      </c>
      <c r="AO457">
        <v>0</v>
      </c>
      <c r="AP457" t="s">
        <v>52</v>
      </c>
      <c r="AQ457" t="s">
        <v>52</v>
      </c>
      <c r="AR457" t="s">
        <v>62</v>
      </c>
      <c r="AS457" t="s">
        <v>52</v>
      </c>
      <c r="AT457" t="s">
        <v>74</v>
      </c>
      <c r="AU457" t="s">
        <v>64</v>
      </c>
      <c r="AV457" t="s">
        <v>62</v>
      </c>
      <c r="AW457" t="s">
        <v>65</v>
      </c>
      <c r="AX457" t="s">
        <v>66</v>
      </c>
      <c r="AY457" t="s">
        <v>654</v>
      </c>
    </row>
    <row r="458" spans="1:51" hidden="1" x14ac:dyDescent="0.25">
      <c r="A458">
        <v>202691</v>
      </c>
      <c r="B458" t="s">
        <v>1814</v>
      </c>
      <c r="C458" t="str">
        <f>VLOOKUP(A458,[1]Customer_payment_journal_line!$AL:$BO,30,0)</f>
        <v>CPay-000000039</v>
      </c>
      <c r="D458" t="s">
        <v>53</v>
      </c>
      <c r="E458" t="s">
        <v>1815</v>
      </c>
      <c r="F458" t="s">
        <v>1816</v>
      </c>
      <c r="G458" t="s">
        <v>1804</v>
      </c>
      <c r="H458" t="s">
        <v>57</v>
      </c>
      <c r="I458" t="s">
        <v>95</v>
      </c>
      <c r="J458" t="s">
        <v>726</v>
      </c>
      <c r="K458" t="s">
        <v>1817</v>
      </c>
      <c r="L458">
        <f>VLOOKUP(A458,[1]Customer_payment_journal_line!$B:$L,11,0)</f>
        <v>1653</v>
      </c>
      <c r="M458" s="1">
        <v>1653</v>
      </c>
      <c r="N458" s="2">
        <f>L458-M458</f>
        <v>0</v>
      </c>
      <c r="O458" t="s">
        <v>61</v>
      </c>
      <c r="P458">
        <v>100</v>
      </c>
      <c r="Q458" t="s">
        <v>52</v>
      </c>
      <c r="R458" t="s">
        <v>52</v>
      </c>
      <c r="S458" t="s">
        <v>52</v>
      </c>
      <c r="T458" t="s">
        <v>52</v>
      </c>
      <c r="U458" t="s">
        <v>52</v>
      </c>
      <c r="V458" t="s">
        <v>62</v>
      </c>
      <c r="W458" t="s">
        <v>63</v>
      </c>
      <c r="Y458" t="s">
        <v>52</v>
      </c>
      <c r="AB458" t="s">
        <v>52</v>
      </c>
      <c r="AE458" t="s">
        <v>52</v>
      </c>
      <c r="AF458" t="s">
        <v>52</v>
      </c>
      <c r="AH458">
        <v>0</v>
      </c>
      <c r="AI458">
        <v>0</v>
      </c>
      <c r="AJ458" t="s">
        <v>52</v>
      </c>
      <c r="AK458">
        <v>0</v>
      </c>
      <c r="AL458" t="s">
        <v>52</v>
      </c>
      <c r="AM458" t="s">
        <v>52</v>
      </c>
      <c r="AN458">
        <v>0</v>
      </c>
      <c r="AO458">
        <v>0</v>
      </c>
      <c r="AP458" t="s">
        <v>52</v>
      </c>
      <c r="AQ458" t="s">
        <v>52</v>
      </c>
      <c r="AR458" t="s">
        <v>62</v>
      </c>
      <c r="AS458" t="s">
        <v>52</v>
      </c>
      <c r="AT458" t="s">
        <v>52</v>
      </c>
      <c r="AU458" t="s">
        <v>64</v>
      </c>
      <c r="AV458" t="s">
        <v>62</v>
      </c>
      <c r="AW458" t="s">
        <v>65</v>
      </c>
      <c r="AX458" t="s">
        <v>66</v>
      </c>
      <c r="AY458" t="s">
        <v>67</v>
      </c>
    </row>
    <row r="459" spans="1:51" hidden="1" x14ac:dyDescent="0.25">
      <c r="A459">
        <v>202691</v>
      </c>
      <c r="B459" t="s">
        <v>1818</v>
      </c>
      <c r="C459" t="str">
        <f>VLOOKUP(A459,[1]Customer_payment_journal_line!$AL:$BO,30,0)</f>
        <v>CPay-000000039</v>
      </c>
      <c r="D459" t="s">
        <v>53</v>
      </c>
      <c r="E459" t="s">
        <v>1815</v>
      </c>
      <c r="F459" t="s">
        <v>1816</v>
      </c>
      <c r="G459" t="s">
        <v>1804</v>
      </c>
      <c r="H459" t="s">
        <v>69</v>
      </c>
      <c r="I459" t="s">
        <v>719</v>
      </c>
      <c r="J459" t="s">
        <v>726</v>
      </c>
      <c r="K459" t="s">
        <v>1817</v>
      </c>
      <c r="L459">
        <f>VLOOKUP(A459,[1]Customer_payment_journal_line!$B:$L,11,0)</f>
        <v>1653</v>
      </c>
      <c r="M459" s="1">
        <v>0</v>
      </c>
      <c r="N459">
        <v>1653</v>
      </c>
      <c r="O459" t="s">
        <v>61</v>
      </c>
      <c r="P459">
        <v>100</v>
      </c>
      <c r="Q459" t="s">
        <v>52</v>
      </c>
      <c r="R459" t="s">
        <v>52</v>
      </c>
      <c r="S459" t="s">
        <v>52</v>
      </c>
      <c r="T459" t="s">
        <v>52</v>
      </c>
      <c r="U459" t="s">
        <v>52</v>
      </c>
      <c r="V459" t="s">
        <v>62</v>
      </c>
      <c r="W459" t="s">
        <v>52</v>
      </c>
      <c r="Y459" t="s">
        <v>720</v>
      </c>
      <c r="Z459" t="s">
        <v>62</v>
      </c>
      <c r="AB459" t="s">
        <v>1819</v>
      </c>
      <c r="AE459" t="s">
        <v>1820</v>
      </c>
      <c r="AF459" t="s">
        <v>52</v>
      </c>
      <c r="AH459">
        <v>0</v>
      </c>
      <c r="AI459">
        <v>0</v>
      </c>
      <c r="AJ459" t="s">
        <v>52</v>
      </c>
      <c r="AK459">
        <v>0</v>
      </c>
      <c r="AL459" t="s">
        <v>52</v>
      </c>
      <c r="AM459" t="s">
        <v>52</v>
      </c>
      <c r="AN459">
        <v>0</v>
      </c>
      <c r="AO459">
        <v>0</v>
      </c>
      <c r="AP459" t="s">
        <v>52</v>
      </c>
      <c r="AQ459" t="s">
        <v>52</v>
      </c>
      <c r="AR459" t="s">
        <v>62</v>
      </c>
      <c r="AS459" t="s">
        <v>52</v>
      </c>
      <c r="AT459" t="s">
        <v>74</v>
      </c>
      <c r="AU459" t="s">
        <v>64</v>
      </c>
      <c r="AV459" t="s">
        <v>62</v>
      </c>
      <c r="AW459" t="s">
        <v>65</v>
      </c>
      <c r="AX459" t="s">
        <v>66</v>
      </c>
      <c r="AY459" t="s">
        <v>67</v>
      </c>
    </row>
    <row r="460" spans="1:51" hidden="1" x14ac:dyDescent="0.25">
      <c r="A460">
        <v>202692</v>
      </c>
      <c r="B460" t="s">
        <v>1821</v>
      </c>
      <c r="C460" t="str">
        <f>VLOOKUP(A460,[1]Customer_payment_journal_line!$AL:$BO,30,0)</f>
        <v>CPay-000000040</v>
      </c>
      <c r="D460" t="s">
        <v>53</v>
      </c>
      <c r="E460" t="s">
        <v>1822</v>
      </c>
      <c r="F460" t="s">
        <v>1823</v>
      </c>
      <c r="G460" t="s">
        <v>1804</v>
      </c>
      <c r="H460" t="s">
        <v>57</v>
      </c>
      <c r="I460" t="s">
        <v>95</v>
      </c>
      <c r="J460" t="s">
        <v>716</v>
      </c>
      <c r="K460" t="s">
        <v>1824</v>
      </c>
      <c r="L460">
        <f>VLOOKUP(A460,[1]Customer_payment_journal_line!$B:$L,11,0)</f>
        <v>199.5</v>
      </c>
      <c r="M460" s="1">
        <v>199.5</v>
      </c>
      <c r="N460" s="2">
        <f>L460-M460</f>
        <v>0</v>
      </c>
      <c r="O460" t="s">
        <v>61</v>
      </c>
      <c r="P460">
        <v>100</v>
      </c>
      <c r="Q460" t="s">
        <v>52</v>
      </c>
      <c r="R460" t="s">
        <v>52</v>
      </c>
      <c r="S460" t="s">
        <v>52</v>
      </c>
      <c r="T460" t="s">
        <v>52</v>
      </c>
      <c r="U460" t="s">
        <v>52</v>
      </c>
      <c r="V460" t="s">
        <v>62</v>
      </c>
      <c r="W460" t="s">
        <v>63</v>
      </c>
      <c r="Y460" t="s">
        <v>52</v>
      </c>
      <c r="AB460" t="s">
        <v>52</v>
      </c>
      <c r="AE460" t="s">
        <v>52</v>
      </c>
      <c r="AF460" t="s">
        <v>52</v>
      </c>
      <c r="AH460">
        <v>0</v>
      </c>
      <c r="AI460">
        <v>0</v>
      </c>
      <c r="AJ460" t="s">
        <v>52</v>
      </c>
      <c r="AK460">
        <v>0</v>
      </c>
      <c r="AL460" t="s">
        <v>52</v>
      </c>
      <c r="AM460" t="s">
        <v>52</v>
      </c>
      <c r="AN460">
        <v>0</v>
      </c>
      <c r="AO460">
        <v>0</v>
      </c>
      <c r="AP460" t="s">
        <v>52</v>
      </c>
      <c r="AQ460" t="s">
        <v>52</v>
      </c>
      <c r="AR460" t="s">
        <v>62</v>
      </c>
      <c r="AS460" t="s">
        <v>52</v>
      </c>
      <c r="AT460" t="s">
        <v>52</v>
      </c>
      <c r="AU460" t="s">
        <v>64</v>
      </c>
      <c r="AV460" t="s">
        <v>62</v>
      </c>
      <c r="AW460" t="s">
        <v>65</v>
      </c>
      <c r="AX460" t="s">
        <v>66</v>
      </c>
      <c r="AY460" t="s">
        <v>67</v>
      </c>
    </row>
    <row r="461" spans="1:51" hidden="1" x14ac:dyDescent="0.25">
      <c r="A461">
        <v>202692</v>
      </c>
      <c r="B461" t="s">
        <v>1825</v>
      </c>
      <c r="C461" t="str">
        <f>VLOOKUP(A461,[1]Customer_payment_journal_line!$AL:$BO,30,0)</f>
        <v>CPay-000000040</v>
      </c>
      <c r="D461" t="s">
        <v>53</v>
      </c>
      <c r="E461" t="s">
        <v>1822</v>
      </c>
      <c r="F461" t="s">
        <v>1823</v>
      </c>
      <c r="G461" t="s">
        <v>1804</v>
      </c>
      <c r="H461" t="s">
        <v>69</v>
      </c>
      <c r="I461" t="s">
        <v>719</v>
      </c>
      <c r="J461" t="s">
        <v>716</v>
      </c>
      <c r="K461" t="s">
        <v>1824</v>
      </c>
      <c r="L461">
        <f>VLOOKUP(A461,[1]Customer_payment_journal_line!$B:$L,11,0)</f>
        <v>199.5</v>
      </c>
      <c r="M461" s="1">
        <v>0</v>
      </c>
      <c r="N461">
        <v>199.5</v>
      </c>
      <c r="O461" t="s">
        <v>61</v>
      </c>
      <c r="P461">
        <v>100</v>
      </c>
      <c r="Q461" t="s">
        <v>52</v>
      </c>
      <c r="R461" t="s">
        <v>52</v>
      </c>
      <c r="S461" t="s">
        <v>52</v>
      </c>
      <c r="T461" t="s">
        <v>52</v>
      </c>
      <c r="U461" t="s">
        <v>52</v>
      </c>
      <c r="V461" t="s">
        <v>62</v>
      </c>
      <c r="W461" t="s">
        <v>52</v>
      </c>
      <c r="Y461" t="s">
        <v>720</v>
      </c>
      <c r="Z461" t="s">
        <v>62</v>
      </c>
      <c r="AB461" t="s">
        <v>1826</v>
      </c>
      <c r="AE461" t="s">
        <v>1827</v>
      </c>
      <c r="AF461" t="s">
        <v>52</v>
      </c>
      <c r="AH461">
        <v>0</v>
      </c>
      <c r="AI461">
        <v>0</v>
      </c>
      <c r="AJ461" t="s">
        <v>52</v>
      </c>
      <c r="AK461">
        <v>0</v>
      </c>
      <c r="AL461" t="s">
        <v>52</v>
      </c>
      <c r="AM461" t="s">
        <v>52</v>
      </c>
      <c r="AN461">
        <v>0</v>
      </c>
      <c r="AO461">
        <v>0</v>
      </c>
      <c r="AP461" t="s">
        <v>52</v>
      </c>
      <c r="AQ461" t="s">
        <v>52</v>
      </c>
      <c r="AR461" t="s">
        <v>62</v>
      </c>
      <c r="AS461" t="s">
        <v>52</v>
      </c>
      <c r="AT461" t="s">
        <v>74</v>
      </c>
      <c r="AU461" t="s">
        <v>64</v>
      </c>
      <c r="AV461" t="s">
        <v>62</v>
      </c>
      <c r="AW461" t="s">
        <v>65</v>
      </c>
      <c r="AX461" t="s">
        <v>66</v>
      </c>
      <c r="AY461" t="s">
        <v>67</v>
      </c>
    </row>
    <row r="462" spans="1:51" hidden="1" x14ac:dyDescent="0.25">
      <c r="A462">
        <v>202717</v>
      </c>
      <c r="B462" t="s">
        <v>1828</v>
      </c>
      <c r="C462" t="str">
        <f>VLOOKUP(A462,[1]Customer_payment_journal_line!$AL:$BO,30,0)</f>
        <v>CPay-000000041</v>
      </c>
      <c r="D462" t="s">
        <v>53</v>
      </c>
      <c r="E462" t="s">
        <v>1829</v>
      </c>
      <c r="F462" t="s">
        <v>1830</v>
      </c>
      <c r="G462" t="s">
        <v>1804</v>
      </c>
      <c r="H462" t="s">
        <v>57</v>
      </c>
      <c r="I462" t="s">
        <v>95</v>
      </c>
      <c r="J462" t="s">
        <v>1831</v>
      </c>
      <c r="K462" t="s">
        <v>1832</v>
      </c>
      <c r="L462">
        <f>VLOOKUP(A462,[1]Customer_payment_journal_line!$B:$L,11,0)</f>
        <v>285</v>
      </c>
      <c r="M462" s="1">
        <v>285</v>
      </c>
      <c r="N462" s="2">
        <f>L462-M462</f>
        <v>0</v>
      </c>
      <c r="O462" t="s">
        <v>61</v>
      </c>
      <c r="P462">
        <v>100</v>
      </c>
      <c r="Q462" t="s">
        <v>52</v>
      </c>
      <c r="R462" t="s">
        <v>52</v>
      </c>
      <c r="S462" t="s">
        <v>52</v>
      </c>
      <c r="T462" t="s">
        <v>52</v>
      </c>
      <c r="U462" t="s">
        <v>52</v>
      </c>
      <c r="V462" t="s">
        <v>62</v>
      </c>
      <c r="W462" t="s">
        <v>63</v>
      </c>
      <c r="Y462" t="s">
        <v>52</v>
      </c>
      <c r="AB462" t="s">
        <v>52</v>
      </c>
      <c r="AE462" t="s">
        <v>52</v>
      </c>
      <c r="AF462" t="s">
        <v>52</v>
      </c>
      <c r="AH462">
        <v>0</v>
      </c>
      <c r="AI462">
        <v>0</v>
      </c>
      <c r="AJ462" t="s">
        <v>52</v>
      </c>
      <c r="AK462">
        <v>0</v>
      </c>
      <c r="AL462" t="s">
        <v>52</v>
      </c>
      <c r="AM462" t="s">
        <v>52</v>
      </c>
      <c r="AN462">
        <v>0</v>
      </c>
      <c r="AO462">
        <v>0</v>
      </c>
      <c r="AP462" t="s">
        <v>52</v>
      </c>
      <c r="AQ462" t="s">
        <v>52</v>
      </c>
      <c r="AR462" t="s">
        <v>62</v>
      </c>
      <c r="AS462" t="s">
        <v>52</v>
      </c>
      <c r="AT462" t="s">
        <v>52</v>
      </c>
      <c r="AU462" t="s">
        <v>64</v>
      </c>
      <c r="AV462" t="s">
        <v>62</v>
      </c>
      <c r="AW462" t="s">
        <v>65</v>
      </c>
      <c r="AX462" t="s">
        <v>66</v>
      </c>
      <c r="AY462" t="s">
        <v>67</v>
      </c>
    </row>
    <row r="463" spans="1:51" hidden="1" x14ac:dyDescent="0.25">
      <c r="A463">
        <v>202717</v>
      </c>
      <c r="B463" t="s">
        <v>1833</v>
      </c>
      <c r="C463" t="str">
        <f>VLOOKUP(A463,[1]Customer_payment_journal_line!$AL:$BO,30,0)</f>
        <v>CPay-000000041</v>
      </c>
      <c r="D463" t="s">
        <v>53</v>
      </c>
      <c r="E463" t="s">
        <v>1829</v>
      </c>
      <c r="F463" t="s">
        <v>1830</v>
      </c>
      <c r="G463" t="s">
        <v>1804</v>
      </c>
      <c r="H463" t="s">
        <v>69</v>
      </c>
      <c r="I463" t="s">
        <v>685</v>
      </c>
      <c r="J463" t="s">
        <v>1831</v>
      </c>
      <c r="K463" t="s">
        <v>1832</v>
      </c>
      <c r="L463">
        <f>VLOOKUP(A463,[1]Customer_payment_journal_line!$B:$L,11,0)</f>
        <v>285</v>
      </c>
      <c r="M463" s="1">
        <v>0</v>
      </c>
      <c r="N463">
        <v>285</v>
      </c>
      <c r="O463" t="s">
        <v>61</v>
      </c>
      <c r="P463">
        <v>100</v>
      </c>
      <c r="Q463" t="s">
        <v>52</v>
      </c>
      <c r="R463" t="s">
        <v>52</v>
      </c>
      <c r="S463" t="s">
        <v>52</v>
      </c>
      <c r="T463" t="s">
        <v>52</v>
      </c>
      <c r="U463" t="s">
        <v>52</v>
      </c>
      <c r="V463" t="s">
        <v>62</v>
      </c>
      <c r="W463" t="s">
        <v>52</v>
      </c>
      <c r="Y463" t="s">
        <v>686</v>
      </c>
      <c r="Z463" t="s">
        <v>62</v>
      </c>
      <c r="AB463" t="s">
        <v>1834</v>
      </c>
      <c r="AE463" t="s">
        <v>1835</v>
      </c>
      <c r="AF463" t="s">
        <v>52</v>
      </c>
      <c r="AH463">
        <v>0</v>
      </c>
      <c r="AI463">
        <v>0</v>
      </c>
      <c r="AJ463" t="s">
        <v>52</v>
      </c>
      <c r="AK463">
        <v>0</v>
      </c>
      <c r="AL463" t="s">
        <v>52</v>
      </c>
      <c r="AM463" t="s">
        <v>52</v>
      </c>
      <c r="AN463">
        <v>0</v>
      </c>
      <c r="AO463">
        <v>0</v>
      </c>
      <c r="AP463" t="s">
        <v>52</v>
      </c>
      <c r="AQ463" t="s">
        <v>52</v>
      </c>
      <c r="AR463" t="s">
        <v>62</v>
      </c>
      <c r="AS463" t="s">
        <v>52</v>
      </c>
      <c r="AT463" t="s">
        <v>74</v>
      </c>
      <c r="AU463" t="s">
        <v>64</v>
      </c>
      <c r="AV463" t="s">
        <v>62</v>
      </c>
      <c r="AW463" t="s">
        <v>65</v>
      </c>
      <c r="AX463" t="s">
        <v>66</v>
      </c>
      <c r="AY463" t="s">
        <v>67</v>
      </c>
    </row>
    <row r="464" spans="1:51" hidden="1" x14ac:dyDescent="0.25">
      <c r="A464">
        <v>202718</v>
      </c>
      <c r="B464" t="s">
        <v>1836</v>
      </c>
      <c r="C464" t="str">
        <f>VLOOKUP(A464,[1]Customer_payment_journal_line!$AL:$BO,30,0)</f>
        <v>CPay-000000042</v>
      </c>
      <c r="D464" t="s">
        <v>53</v>
      </c>
      <c r="E464" t="s">
        <v>1837</v>
      </c>
      <c r="F464" t="s">
        <v>1838</v>
      </c>
      <c r="G464" t="s">
        <v>1804</v>
      </c>
      <c r="H464" t="s">
        <v>57</v>
      </c>
      <c r="I464" t="s">
        <v>95</v>
      </c>
      <c r="J464" t="s">
        <v>1831</v>
      </c>
      <c r="K464" t="s">
        <v>1832</v>
      </c>
      <c r="L464">
        <f>VLOOKUP(A464,[1]Customer_payment_journal_line!$B:$L,11,0)</f>
        <v>1653</v>
      </c>
      <c r="M464" s="1">
        <v>1653</v>
      </c>
      <c r="N464" s="2">
        <f>L464-M464</f>
        <v>0</v>
      </c>
      <c r="O464" t="s">
        <v>61</v>
      </c>
      <c r="P464">
        <v>100</v>
      </c>
      <c r="Q464" t="s">
        <v>52</v>
      </c>
      <c r="R464" t="s">
        <v>52</v>
      </c>
      <c r="S464" t="s">
        <v>52</v>
      </c>
      <c r="T464" t="s">
        <v>52</v>
      </c>
      <c r="U464" t="s">
        <v>52</v>
      </c>
      <c r="V464" t="s">
        <v>62</v>
      </c>
      <c r="W464" t="s">
        <v>63</v>
      </c>
      <c r="Y464" t="s">
        <v>52</v>
      </c>
      <c r="AB464" t="s">
        <v>52</v>
      </c>
      <c r="AE464" t="s">
        <v>52</v>
      </c>
      <c r="AF464" t="s">
        <v>52</v>
      </c>
      <c r="AH464">
        <v>0</v>
      </c>
      <c r="AI464">
        <v>0</v>
      </c>
      <c r="AJ464" t="s">
        <v>52</v>
      </c>
      <c r="AK464">
        <v>0</v>
      </c>
      <c r="AL464" t="s">
        <v>52</v>
      </c>
      <c r="AM464" t="s">
        <v>52</v>
      </c>
      <c r="AN464">
        <v>0</v>
      </c>
      <c r="AO464">
        <v>0</v>
      </c>
      <c r="AP464" t="s">
        <v>52</v>
      </c>
      <c r="AQ464" t="s">
        <v>52</v>
      </c>
      <c r="AR464" t="s">
        <v>62</v>
      </c>
      <c r="AS464" t="s">
        <v>52</v>
      </c>
      <c r="AT464" t="s">
        <v>52</v>
      </c>
      <c r="AU464" t="s">
        <v>64</v>
      </c>
      <c r="AV464" t="s">
        <v>62</v>
      </c>
      <c r="AW464" t="s">
        <v>65</v>
      </c>
      <c r="AX464" t="s">
        <v>66</v>
      </c>
      <c r="AY464" t="s">
        <v>67</v>
      </c>
    </row>
    <row r="465" spans="1:51" hidden="1" x14ac:dyDescent="0.25">
      <c r="A465">
        <v>202718</v>
      </c>
      <c r="B465" t="s">
        <v>1839</v>
      </c>
      <c r="C465" t="str">
        <f>VLOOKUP(A465,[1]Customer_payment_journal_line!$AL:$BO,30,0)</f>
        <v>CPay-000000042</v>
      </c>
      <c r="D465" t="s">
        <v>53</v>
      </c>
      <c r="E465" t="s">
        <v>1837</v>
      </c>
      <c r="F465" t="s">
        <v>1838</v>
      </c>
      <c r="G465" t="s">
        <v>1804</v>
      </c>
      <c r="H465" t="s">
        <v>69</v>
      </c>
      <c r="I465" t="s">
        <v>685</v>
      </c>
      <c r="J465" t="s">
        <v>1831</v>
      </c>
      <c r="K465" t="s">
        <v>1832</v>
      </c>
      <c r="L465">
        <f>VLOOKUP(A465,[1]Customer_payment_journal_line!$B:$L,11,0)</f>
        <v>1653</v>
      </c>
      <c r="M465" s="1">
        <v>0</v>
      </c>
      <c r="N465">
        <v>1653</v>
      </c>
      <c r="O465" t="s">
        <v>61</v>
      </c>
      <c r="P465">
        <v>100</v>
      </c>
      <c r="Q465" t="s">
        <v>52</v>
      </c>
      <c r="R465" t="s">
        <v>52</v>
      </c>
      <c r="S465" t="s">
        <v>52</v>
      </c>
      <c r="T465" t="s">
        <v>52</v>
      </c>
      <c r="U465" t="s">
        <v>52</v>
      </c>
      <c r="V465" t="s">
        <v>62</v>
      </c>
      <c r="W465" t="s">
        <v>52</v>
      </c>
      <c r="Y465" t="s">
        <v>686</v>
      </c>
      <c r="Z465" t="s">
        <v>62</v>
      </c>
      <c r="AB465" t="s">
        <v>1840</v>
      </c>
      <c r="AE465" t="s">
        <v>1841</v>
      </c>
      <c r="AF465" t="s">
        <v>52</v>
      </c>
      <c r="AH465">
        <v>0</v>
      </c>
      <c r="AI465">
        <v>0</v>
      </c>
      <c r="AJ465" t="s">
        <v>52</v>
      </c>
      <c r="AK465">
        <v>0</v>
      </c>
      <c r="AL465" t="s">
        <v>52</v>
      </c>
      <c r="AM465" t="s">
        <v>52</v>
      </c>
      <c r="AN465">
        <v>0</v>
      </c>
      <c r="AO465">
        <v>0</v>
      </c>
      <c r="AP465" t="s">
        <v>52</v>
      </c>
      <c r="AQ465" t="s">
        <v>52</v>
      </c>
      <c r="AR465" t="s">
        <v>62</v>
      </c>
      <c r="AS465" t="s">
        <v>52</v>
      </c>
      <c r="AT465" t="s">
        <v>74</v>
      </c>
      <c r="AU465" t="s">
        <v>64</v>
      </c>
      <c r="AV465" t="s">
        <v>62</v>
      </c>
      <c r="AW465" t="s">
        <v>65</v>
      </c>
      <c r="AX465" t="s">
        <v>66</v>
      </c>
      <c r="AY465" t="s">
        <v>67</v>
      </c>
    </row>
    <row r="466" spans="1:51" hidden="1" x14ac:dyDescent="0.25">
      <c r="A466">
        <v>202719</v>
      </c>
      <c r="B466" t="s">
        <v>1842</v>
      </c>
      <c r="C466" t="str">
        <f>VLOOKUP(A466,[1]Customer_payment_journal_line!$AL:$BO,30,0)</f>
        <v>CPay-000000043</v>
      </c>
      <c r="D466" t="s">
        <v>53</v>
      </c>
      <c r="E466" t="s">
        <v>1843</v>
      </c>
      <c r="F466" t="s">
        <v>1844</v>
      </c>
      <c r="G466" t="s">
        <v>1804</v>
      </c>
      <c r="H466" t="s">
        <v>57</v>
      </c>
      <c r="I466" t="s">
        <v>95</v>
      </c>
      <c r="J466" t="s">
        <v>1845</v>
      </c>
      <c r="K466" t="s">
        <v>1846</v>
      </c>
      <c r="L466">
        <f>VLOOKUP(A466,[1]Customer_payment_journal_line!$B:$L,11,0)</f>
        <v>370.5</v>
      </c>
      <c r="M466" s="1">
        <v>370.5</v>
      </c>
      <c r="N466" s="2">
        <f>L466-M466</f>
        <v>0</v>
      </c>
      <c r="O466" t="s">
        <v>61</v>
      </c>
      <c r="P466">
        <v>100</v>
      </c>
      <c r="Q466" t="s">
        <v>52</v>
      </c>
      <c r="R466" t="s">
        <v>52</v>
      </c>
      <c r="S466" t="s">
        <v>52</v>
      </c>
      <c r="T466" t="s">
        <v>52</v>
      </c>
      <c r="U466" t="s">
        <v>52</v>
      </c>
      <c r="V466" t="s">
        <v>62</v>
      </c>
      <c r="W466" t="s">
        <v>63</v>
      </c>
      <c r="Y466" t="s">
        <v>52</v>
      </c>
      <c r="AB466" t="s">
        <v>52</v>
      </c>
      <c r="AE466" t="s">
        <v>52</v>
      </c>
      <c r="AF466" t="s">
        <v>52</v>
      </c>
      <c r="AH466">
        <v>0</v>
      </c>
      <c r="AI466">
        <v>0</v>
      </c>
      <c r="AJ466" t="s">
        <v>52</v>
      </c>
      <c r="AK466">
        <v>0</v>
      </c>
      <c r="AL466" t="s">
        <v>52</v>
      </c>
      <c r="AM466" t="s">
        <v>52</v>
      </c>
      <c r="AN466">
        <v>0</v>
      </c>
      <c r="AO466">
        <v>0</v>
      </c>
      <c r="AP466" t="s">
        <v>52</v>
      </c>
      <c r="AQ466" t="s">
        <v>52</v>
      </c>
      <c r="AR466" t="s">
        <v>62</v>
      </c>
      <c r="AS466" t="s">
        <v>52</v>
      </c>
      <c r="AT466" t="s">
        <v>52</v>
      </c>
      <c r="AU466" t="s">
        <v>64</v>
      </c>
      <c r="AV466" t="s">
        <v>62</v>
      </c>
      <c r="AW466" t="s">
        <v>65</v>
      </c>
      <c r="AX466" t="s">
        <v>66</v>
      </c>
      <c r="AY466" t="s">
        <v>67</v>
      </c>
    </row>
    <row r="467" spans="1:51" hidden="1" x14ac:dyDescent="0.25">
      <c r="A467">
        <v>202719</v>
      </c>
      <c r="B467" t="s">
        <v>1847</v>
      </c>
      <c r="C467" t="str">
        <f>VLOOKUP(A467,[1]Customer_payment_journal_line!$AL:$BO,30,0)</f>
        <v>CPay-000000043</v>
      </c>
      <c r="D467" t="s">
        <v>53</v>
      </c>
      <c r="E467" t="s">
        <v>1843</v>
      </c>
      <c r="F467" t="s">
        <v>1844</v>
      </c>
      <c r="G467" t="s">
        <v>1804</v>
      </c>
      <c r="H467" t="s">
        <v>69</v>
      </c>
      <c r="I467" t="s">
        <v>685</v>
      </c>
      <c r="J467" t="s">
        <v>1845</v>
      </c>
      <c r="K467" t="s">
        <v>1846</v>
      </c>
      <c r="L467">
        <f>VLOOKUP(A467,[1]Customer_payment_journal_line!$B:$L,11,0)</f>
        <v>370.5</v>
      </c>
      <c r="M467" s="1">
        <v>0</v>
      </c>
      <c r="N467">
        <v>370.5</v>
      </c>
      <c r="O467" t="s">
        <v>61</v>
      </c>
      <c r="P467">
        <v>100</v>
      </c>
      <c r="Q467" t="s">
        <v>52</v>
      </c>
      <c r="R467" t="s">
        <v>52</v>
      </c>
      <c r="S467" t="s">
        <v>52</v>
      </c>
      <c r="T467" t="s">
        <v>52</v>
      </c>
      <c r="U467" t="s">
        <v>52</v>
      </c>
      <c r="V467" t="s">
        <v>62</v>
      </c>
      <c r="W467" t="s">
        <v>52</v>
      </c>
      <c r="Y467" t="s">
        <v>686</v>
      </c>
      <c r="Z467" t="s">
        <v>62</v>
      </c>
      <c r="AB467" t="s">
        <v>1848</v>
      </c>
      <c r="AE467" t="s">
        <v>1849</v>
      </c>
      <c r="AF467" t="s">
        <v>52</v>
      </c>
      <c r="AH467">
        <v>0</v>
      </c>
      <c r="AI467">
        <v>0</v>
      </c>
      <c r="AJ467" t="s">
        <v>52</v>
      </c>
      <c r="AK467">
        <v>0</v>
      </c>
      <c r="AL467" t="s">
        <v>52</v>
      </c>
      <c r="AM467" t="s">
        <v>52</v>
      </c>
      <c r="AN467">
        <v>0</v>
      </c>
      <c r="AO467">
        <v>0</v>
      </c>
      <c r="AP467" t="s">
        <v>52</v>
      </c>
      <c r="AQ467" t="s">
        <v>52</v>
      </c>
      <c r="AR467" t="s">
        <v>62</v>
      </c>
      <c r="AS467" t="s">
        <v>52</v>
      </c>
      <c r="AT467" t="s">
        <v>74</v>
      </c>
      <c r="AU467" t="s">
        <v>64</v>
      </c>
      <c r="AV467" t="s">
        <v>62</v>
      </c>
      <c r="AW467" t="s">
        <v>65</v>
      </c>
      <c r="AX467" t="s">
        <v>66</v>
      </c>
      <c r="AY467" t="s">
        <v>67</v>
      </c>
    </row>
    <row r="468" spans="1:51" hidden="1" x14ac:dyDescent="0.25">
      <c r="A468">
        <v>202720</v>
      </c>
      <c r="B468" t="s">
        <v>1850</v>
      </c>
      <c r="C468" t="str">
        <f>VLOOKUP(A468,[1]Customer_payment_journal_line!$AL:$BO,30,0)</f>
        <v>CPay-000000044</v>
      </c>
      <c r="D468" t="s">
        <v>53</v>
      </c>
      <c r="E468" t="s">
        <v>1851</v>
      </c>
      <c r="F468" t="s">
        <v>1852</v>
      </c>
      <c r="G468" t="s">
        <v>1804</v>
      </c>
      <c r="H468" t="s">
        <v>57</v>
      </c>
      <c r="I468" t="s">
        <v>95</v>
      </c>
      <c r="J468" t="s">
        <v>1845</v>
      </c>
      <c r="K468" t="s">
        <v>1846</v>
      </c>
      <c r="L468">
        <f>VLOOKUP(A468,[1]Customer_payment_journal_line!$B:$L,11,0)</f>
        <v>1653</v>
      </c>
      <c r="M468" s="1">
        <v>1653</v>
      </c>
      <c r="N468" s="2">
        <f>L468-M468</f>
        <v>0</v>
      </c>
      <c r="O468" t="s">
        <v>61</v>
      </c>
      <c r="P468">
        <v>100</v>
      </c>
      <c r="Q468" t="s">
        <v>52</v>
      </c>
      <c r="R468" t="s">
        <v>52</v>
      </c>
      <c r="S468" t="s">
        <v>52</v>
      </c>
      <c r="T468" t="s">
        <v>52</v>
      </c>
      <c r="U468" t="s">
        <v>52</v>
      </c>
      <c r="V468" t="s">
        <v>62</v>
      </c>
      <c r="W468" t="s">
        <v>63</v>
      </c>
      <c r="Y468" t="s">
        <v>52</v>
      </c>
      <c r="AB468" t="s">
        <v>52</v>
      </c>
      <c r="AE468" t="s">
        <v>52</v>
      </c>
      <c r="AF468" t="s">
        <v>52</v>
      </c>
      <c r="AH468">
        <v>0</v>
      </c>
      <c r="AI468">
        <v>0</v>
      </c>
      <c r="AJ468" t="s">
        <v>52</v>
      </c>
      <c r="AK468">
        <v>0</v>
      </c>
      <c r="AL468" t="s">
        <v>52</v>
      </c>
      <c r="AM468" t="s">
        <v>52</v>
      </c>
      <c r="AN468">
        <v>0</v>
      </c>
      <c r="AO468">
        <v>0</v>
      </c>
      <c r="AP468" t="s">
        <v>52</v>
      </c>
      <c r="AQ468" t="s">
        <v>52</v>
      </c>
      <c r="AR468" t="s">
        <v>62</v>
      </c>
      <c r="AS468" t="s">
        <v>52</v>
      </c>
      <c r="AT468" t="s">
        <v>52</v>
      </c>
      <c r="AU468" t="s">
        <v>64</v>
      </c>
      <c r="AV468" t="s">
        <v>62</v>
      </c>
      <c r="AW468" t="s">
        <v>65</v>
      </c>
      <c r="AX468" t="s">
        <v>66</v>
      </c>
      <c r="AY468" t="s">
        <v>67</v>
      </c>
    </row>
    <row r="469" spans="1:51" hidden="1" x14ac:dyDescent="0.25">
      <c r="A469">
        <v>202720</v>
      </c>
      <c r="B469" t="s">
        <v>1853</v>
      </c>
      <c r="C469" t="str">
        <f>VLOOKUP(A469,[1]Customer_payment_journal_line!$AL:$BO,30,0)</f>
        <v>CPay-000000044</v>
      </c>
      <c r="D469" t="s">
        <v>53</v>
      </c>
      <c r="E469" t="s">
        <v>1851</v>
      </c>
      <c r="F469" t="s">
        <v>1852</v>
      </c>
      <c r="G469" t="s">
        <v>1804</v>
      </c>
      <c r="H469" t="s">
        <v>69</v>
      </c>
      <c r="I469" t="s">
        <v>685</v>
      </c>
      <c r="J469" t="s">
        <v>1845</v>
      </c>
      <c r="K469" t="s">
        <v>1846</v>
      </c>
      <c r="L469">
        <f>VLOOKUP(A469,[1]Customer_payment_journal_line!$B:$L,11,0)</f>
        <v>1653</v>
      </c>
      <c r="M469" s="1">
        <v>0</v>
      </c>
      <c r="N469">
        <v>1653</v>
      </c>
      <c r="O469" t="s">
        <v>61</v>
      </c>
      <c r="P469">
        <v>100</v>
      </c>
      <c r="Q469" t="s">
        <v>52</v>
      </c>
      <c r="R469" t="s">
        <v>52</v>
      </c>
      <c r="S469" t="s">
        <v>52</v>
      </c>
      <c r="T469" t="s">
        <v>52</v>
      </c>
      <c r="U469" t="s">
        <v>52</v>
      </c>
      <c r="V469" t="s">
        <v>62</v>
      </c>
      <c r="W469" t="s">
        <v>52</v>
      </c>
      <c r="Y469" t="s">
        <v>686</v>
      </c>
      <c r="Z469" t="s">
        <v>62</v>
      </c>
      <c r="AB469" t="s">
        <v>1854</v>
      </c>
      <c r="AE469" t="s">
        <v>1855</v>
      </c>
      <c r="AF469" t="s">
        <v>52</v>
      </c>
      <c r="AH469">
        <v>0</v>
      </c>
      <c r="AI469">
        <v>0</v>
      </c>
      <c r="AJ469" t="s">
        <v>52</v>
      </c>
      <c r="AK469">
        <v>0</v>
      </c>
      <c r="AL469" t="s">
        <v>52</v>
      </c>
      <c r="AM469" t="s">
        <v>52</v>
      </c>
      <c r="AN469">
        <v>0</v>
      </c>
      <c r="AO469">
        <v>0</v>
      </c>
      <c r="AP469" t="s">
        <v>52</v>
      </c>
      <c r="AQ469" t="s">
        <v>52</v>
      </c>
      <c r="AR469" t="s">
        <v>62</v>
      </c>
      <c r="AS469" t="s">
        <v>52</v>
      </c>
      <c r="AT469" t="s">
        <v>74</v>
      </c>
      <c r="AU469" t="s">
        <v>64</v>
      </c>
      <c r="AV469" t="s">
        <v>62</v>
      </c>
      <c r="AW469" t="s">
        <v>65</v>
      </c>
      <c r="AX469" t="s">
        <v>66</v>
      </c>
      <c r="AY469" t="s">
        <v>67</v>
      </c>
    </row>
    <row r="470" spans="1:51" hidden="1" x14ac:dyDescent="0.25">
      <c r="A470">
        <v>202729</v>
      </c>
      <c r="B470" t="s">
        <v>1856</v>
      </c>
      <c r="C470" t="e">
        <f>VLOOKUP(A470,[1]Customer_payment_journal_line!$AL:$BO,30,0)</f>
        <v>#N/A</v>
      </c>
      <c r="D470" t="s">
        <v>159</v>
      </c>
      <c r="E470" t="s">
        <v>1857</v>
      </c>
      <c r="F470" t="s">
        <v>1858</v>
      </c>
      <c r="G470" t="s">
        <v>1804</v>
      </c>
      <c r="H470" t="s">
        <v>80</v>
      </c>
      <c r="I470" t="s">
        <v>162</v>
      </c>
      <c r="J470" t="s">
        <v>1859</v>
      </c>
      <c r="K470" t="s">
        <v>795</v>
      </c>
      <c r="L470" t="s">
        <v>52</v>
      </c>
      <c r="M470">
        <v>25245.3</v>
      </c>
      <c r="N470">
        <v>0</v>
      </c>
      <c r="O470" t="s">
        <v>61</v>
      </c>
      <c r="P470">
        <v>100</v>
      </c>
      <c r="Q470" t="s">
        <v>52</v>
      </c>
      <c r="R470" t="s">
        <v>52</v>
      </c>
      <c r="S470" t="s">
        <v>52</v>
      </c>
      <c r="T470" t="s">
        <v>52</v>
      </c>
      <c r="U470" t="s">
        <v>52</v>
      </c>
      <c r="V470" t="s">
        <v>62</v>
      </c>
      <c r="W470" t="s">
        <v>52</v>
      </c>
      <c r="Y470" t="s">
        <v>52</v>
      </c>
      <c r="AB470" t="s">
        <v>52</v>
      </c>
      <c r="AE470" t="s">
        <v>52</v>
      </c>
      <c r="AF470" t="s">
        <v>52</v>
      </c>
      <c r="AH470">
        <v>0</v>
      </c>
      <c r="AI470">
        <v>0</v>
      </c>
      <c r="AJ470" t="s">
        <v>52</v>
      </c>
      <c r="AK470">
        <v>0</v>
      </c>
      <c r="AL470" t="s">
        <v>52</v>
      </c>
      <c r="AM470" t="s">
        <v>52</v>
      </c>
      <c r="AN470">
        <v>0</v>
      </c>
      <c r="AO470">
        <v>0</v>
      </c>
      <c r="AP470" t="s">
        <v>52</v>
      </c>
      <c r="AQ470" t="s">
        <v>52</v>
      </c>
      <c r="AR470" t="s">
        <v>62</v>
      </c>
      <c r="AS470" t="s">
        <v>52</v>
      </c>
      <c r="AT470" t="s">
        <v>52</v>
      </c>
      <c r="AU470" t="s">
        <v>64</v>
      </c>
      <c r="AV470" t="s">
        <v>62</v>
      </c>
      <c r="AW470" t="s">
        <v>65</v>
      </c>
      <c r="AX470" t="s">
        <v>66</v>
      </c>
      <c r="AY470" t="s">
        <v>165</v>
      </c>
    </row>
    <row r="471" spans="1:51" hidden="1" x14ac:dyDescent="0.25">
      <c r="A471">
        <v>202729</v>
      </c>
      <c r="B471" t="s">
        <v>1860</v>
      </c>
      <c r="C471" t="e">
        <f>VLOOKUP(A471,[1]Customer_payment_journal_line!$AL:$BO,30,0)</f>
        <v>#N/A</v>
      </c>
      <c r="D471" t="s">
        <v>159</v>
      </c>
      <c r="E471" t="s">
        <v>1857</v>
      </c>
      <c r="F471" t="s">
        <v>1858</v>
      </c>
      <c r="G471" t="s">
        <v>1804</v>
      </c>
      <c r="H471" t="s">
        <v>69</v>
      </c>
      <c r="I471" t="s">
        <v>1861</v>
      </c>
      <c r="J471" t="s">
        <v>1859</v>
      </c>
      <c r="K471" t="s">
        <v>795</v>
      </c>
      <c r="L471" t="s">
        <v>52</v>
      </c>
      <c r="M471">
        <v>0</v>
      </c>
      <c r="N471">
        <v>855</v>
      </c>
      <c r="O471" t="s">
        <v>61</v>
      </c>
      <c r="P471">
        <v>100</v>
      </c>
      <c r="Q471" t="s">
        <v>52</v>
      </c>
      <c r="R471" t="s">
        <v>52</v>
      </c>
      <c r="S471" t="s">
        <v>52</v>
      </c>
      <c r="T471" t="s">
        <v>52</v>
      </c>
      <c r="U471" t="s">
        <v>52</v>
      </c>
      <c r="V471" t="s">
        <v>62</v>
      </c>
      <c r="W471" t="s">
        <v>52</v>
      </c>
      <c r="Y471" t="s">
        <v>1862</v>
      </c>
      <c r="Z471" t="s">
        <v>62</v>
      </c>
      <c r="AB471" t="s">
        <v>1863</v>
      </c>
      <c r="AE471" t="s">
        <v>1864</v>
      </c>
      <c r="AF471" t="s">
        <v>52</v>
      </c>
      <c r="AH471">
        <v>0</v>
      </c>
      <c r="AI471">
        <v>0</v>
      </c>
      <c r="AJ471" t="s">
        <v>52</v>
      </c>
      <c r="AK471">
        <v>0</v>
      </c>
      <c r="AL471" t="s">
        <v>52</v>
      </c>
      <c r="AM471" t="s">
        <v>52</v>
      </c>
      <c r="AN471">
        <v>0</v>
      </c>
      <c r="AO471">
        <v>0</v>
      </c>
      <c r="AP471" t="s">
        <v>52</v>
      </c>
      <c r="AQ471" t="s">
        <v>52</v>
      </c>
      <c r="AR471" t="s">
        <v>62</v>
      </c>
      <c r="AS471" t="s">
        <v>52</v>
      </c>
      <c r="AT471" t="s">
        <v>74</v>
      </c>
      <c r="AU471" t="s">
        <v>64</v>
      </c>
      <c r="AV471" t="s">
        <v>62</v>
      </c>
      <c r="AW471" t="s">
        <v>65</v>
      </c>
      <c r="AX471" t="s">
        <v>66</v>
      </c>
      <c r="AY471" t="s">
        <v>165</v>
      </c>
    </row>
    <row r="472" spans="1:51" hidden="1" x14ac:dyDescent="0.25">
      <c r="A472">
        <v>202729</v>
      </c>
      <c r="B472" t="s">
        <v>1865</v>
      </c>
      <c r="C472" t="e">
        <f>VLOOKUP(A472,[1]Customer_payment_journal_line!$AL:$BO,30,0)</f>
        <v>#N/A</v>
      </c>
      <c r="D472" t="s">
        <v>159</v>
      </c>
      <c r="E472" t="s">
        <v>1857</v>
      </c>
      <c r="F472" t="s">
        <v>1858</v>
      </c>
      <c r="G472" t="s">
        <v>1804</v>
      </c>
      <c r="H472" t="s">
        <v>69</v>
      </c>
      <c r="I472" t="s">
        <v>1861</v>
      </c>
      <c r="J472" t="s">
        <v>1859</v>
      </c>
      <c r="K472" t="s">
        <v>795</v>
      </c>
      <c r="L472" t="s">
        <v>52</v>
      </c>
      <c r="M472">
        <v>0</v>
      </c>
      <c r="N472">
        <v>24390.3</v>
      </c>
      <c r="O472" t="s">
        <v>61</v>
      </c>
      <c r="P472">
        <v>100</v>
      </c>
      <c r="Q472" t="s">
        <v>52</v>
      </c>
      <c r="R472" t="s">
        <v>52</v>
      </c>
      <c r="S472" t="s">
        <v>52</v>
      </c>
      <c r="T472" t="s">
        <v>52</v>
      </c>
      <c r="U472" t="s">
        <v>52</v>
      </c>
      <c r="V472" t="s">
        <v>62</v>
      </c>
      <c r="W472" t="s">
        <v>52</v>
      </c>
      <c r="Y472" t="s">
        <v>1862</v>
      </c>
      <c r="Z472" t="s">
        <v>62</v>
      </c>
      <c r="AB472" t="s">
        <v>1866</v>
      </c>
      <c r="AE472" t="s">
        <v>1867</v>
      </c>
      <c r="AF472" t="s">
        <v>52</v>
      </c>
      <c r="AH472">
        <v>0</v>
      </c>
      <c r="AI472">
        <v>0</v>
      </c>
      <c r="AJ472" t="s">
        <v>52</v>
      </c>
      <c r="AK472">
        <v>0</v>
      </c>
      <c r="AL472" t="s">
        <v>52</v>
      </c>
      <c r="AM472" t="s">
        <v>52</v>
      </c>
      <c r="AN472">
        <v>0</v>
      </c>
      <c r="AO472">
        <v>0</v>
      </c>
      <c r="AP472" t="s">
        <v>52</v>
      </c>
      <c r="AQ472" t="s">
        <v>52</v>
      </c>
      <c r="AR472" t="s">
        <v>62</v>
      </c>
      <c r="AS472" t="s">
        <v>52</v>
      </c>
      <c r="AT472" t="s">
        <v>74</v>
      </c>
      <c r="AU472" t="s">
        <v>64</v>
      </c>
      <c r="AV472" t="s">
        <v>62</v>
      </c>
      <c r="AW472" t="s">
        <v>65</v>
      </c>
      <c r="AX472" t="s">
        <v>66</v>
      </c>
      <c r="AY472" t="s">
        <v>165</v>
      </c>
    </row>
    <row r="473" spans="1:51" hidden="1" x14ac:dyDescent="0.25">
      <c r="A473">
        <v>202730</v>
      </c>
      <c r="B473" t="s">
        <v>1868</v>
      </c>
      <c r="C473" t="e">
        <f>VLOOKUP(A473,[1]Customer_payment_journal_line!$AL:$BO,30,0)</f>
        <v>#N/A</v>
      </c>
      <c r="D473" t="s">
        <v>159</v>
      </c>
      <c r="E473" t="s">
        <v>1869</v>
      </c>
      <c r="F473" t="s">
        <v>1870</v>
      </c>
      <c r="G473" t="s">
        <v>1804</v>
      </c>
      <c r="H473" t="s">
        <v>80</v>
      </c>
      <c r="I473" t="s">
        <v>177</v>
      </c>
      <c r="J473" t="s">
        <v>1859</v>
      </c>
      <c r="K473" t="s">
        <v>795</v>
      </c>
      <c r="L473" t="s">
        <v>52</v>
      </c>
      <c r="M473">
        <v>384</v>
      </c>
      <c r="N473">
        <v>0</v>
      </c>
      <c r="O473" t="s">
        <v>178</v>
      </c>
      <c r="P473">
        <v>5085</v>
      </c>
      <c r="Q473" t="s">
        <v>52</v>
      </c>
      <c r="R473" t="s">
        <v>52</v>
      </c>
      <c r="S473" t="s">
        <v>52</v>
      </c>
      <c r="T473" t="s">
        <v>52</v>
      </c>
      <c r="U473" t="s">
        <v>52</v>
      </c>
      <c r="V473" t="s">
        <v>62</v>
      </c>
      <c r="W473" t="s">
        <v>52</v>
      </c>
      <c r="Y473" t="s">
        <v>52</v>
      </c>
      <c r="AB473" t="s">
        <v>52</v>
      </c>
      <c r="AE473" t="s">
        <v>52</v>
      </c>
      <c r="AF473" t="s">
        <v>52</v>
      </c>
      <c r="AH473">
        <v>0</v>
      </c>
      <c r="AI473">
        <v>0</v>
      </c>
      <c r="AJ473" t="s">
        <v>52</v>
      </c>
      <c r="AK473">
        <v>0</v>
      </c>
      <c r="AL473" t="s">
        <v>52</v>
      </c>
      <c r="AM473" t="s">
        <v>52</v>
      </c>
      <c r="AN473">
        <v>0</v>
      </c>
      <c r="AO473">
        <v>0</v>
      </c>
      <c r="AP473" t="s">
        <v>52</v>
      </c>
      <c r="AQ473" t="s">
        <v>52</v>
      </c>
      <c r="AR473" t="s">
        <v>62</v>
      </c>
      <c r="AS473" t="s">
        <v>52</v>
      </c>
      <c r="AT473" t="s">
        <v>52</v>
      </c>
      <c r="AU473" t="s">
        <v>64</v>
      </c>
      <c r="AV473" t="s">
        <v>62</v>
      </c>
      <c r="AW473" t="s">
        <v>65</v>
      </c>
      <c r="AX473" t="s">
        <v>66</v>
      </c>
      <c r="AY473" t="s">
        <v>165</v>
      </c>
    </row>
    <row r="474" spans="1:51" hidden="1" x14ac:dyDescent="0.25">
      <c r="A474">
        <v>202730</v>
      </c>
      <c r="B474" t="s">
        <v>1871</v>
      </c>
      <c r="C474" t="e">
        <f>VLOOKUP(A474,[1]Customer_payment_journal_line!$AL:$BO,30,0)</f>
        <v>#N/A</v>
      </c>
      <c r="D474" t="s">
        <v>159</v>
      </c>
      <c r="E474" t="s">
        <v>1869</v>
      </c>
      <c r="F474" t="s">
        <v>1870</v>
      </c>
      <c r="G474" t="s">
        <v>1804</v>
      </c>
      <c r="H474" t="s">
        <v>69</v>
      </c>
      <c r="I474" t="s">
        <v>1861</v>
      </c>
      <c r="J474" t="s">
        <v>1859</v>
      </c>
      <c r="K474" t="s">
        <v>795</v>
      </c>
      <c r="L474" t="s">
        <v>52</v>
      </c>
      <c r="M474">
        <v>0</v>
      </c>
      <c r="N474">
        <v>384</v>
      </c>
      <c r="O474" t="s">
        <v>178</v>
      </c>
      <c r="P474">
        <v>5085</v>
      </c>
      <c r="Q474" t="s">
        <v>52</v>
      </c>
      <c r="R474" t="s">
        <v>52</v>
      </c>
      <c r="S474" t="s">
        <v>52</v>
      </c>
      <c r="T474" t="s">
        <v>52</v>
      </c>
      <c r="U474" t="s">
        <v>52</v>
      </c>
      <c r="V474" t="s">
        <v>62</v>
      </c>
      <c r="W474" t="s">
        <v>52</v>
      </c>
      <c r="Y474" t="s">
        <v>1862</v>
      </c>
      <c r="Z474" t="s">
        <v>62</v>
      </c>
      <c r="AB474" t="s">
        <v>1872</v>
      </c>
      <c r="AE474" t="s">
        <v>1873</v>
      </c>
      <c r="AF474" t="s">
        <v>52</v>
      </c>
      <c r="AH474">
        <v>0</v>
      </c>
      <c r="AI474">
        <v>0</v>
      </c>
      <c r="AJ474" t="s">
        <v>52</v>
      </c>
      <c r="AK474">
        <v>0</v>
      </c>
      <c r="AL474" t="s">
        <v>52</v>
      </c>
      <c r="AM474" t="s">
        <v>52</v>
      </c>
      <c r="AN474">
        <v>0</v>
      </c>
      <c r="AO474">
        <v>0</v>
      </c>
      <c r="AP474" t="s">
        <v>52</v>
      </c>
      <c r="AQ474" t="s">
        <v>52</v>
      </c>
      <c r="AR474" t="s">
        <v>62</v>
      </c>
      <c r="AS474" t="s">
        <v>52</v>
      </c>
      <c r="AT474" t="s">
        <v>74</v>
      </c>
      <c r="AU474" t="s">
        <v>64</v>
      </c>
      <c r="AV474" t="s">
        <v>62</v>
      </c>
      <c r="AW474" t="s">
        <v>65</v>
      </c>
      <c r="AX474" t="s">
        <v>66</v>
      </c>
      <c r="AY474" t="s">
        <v>165</v>
      </c>
    </row>
    <row r="475" spans="1:51" hidden="1" x14ac:dyDescent="0.25">
      <c r="A475">
        <v>202736</v>
      </c>
      <c r="B475" t="s">
        <v>1874</v>
      </c>
      <c r="C475" t="e">
        <f>VLOOKUP(A475,[1]Customer_payment_journal_line!$AL:$BO,30,0)</f>
        <v>#N/A</v>
      </c>
      <c r="D475" t="s">
        <v>76</v>
      </c>
      <c r="E475" t="s">
        <v>1875</v>
      </c>
      <c r="F475" t="s">
        <v>1876</v>
      </c>
      <c r="G475" t="s">
        <v>1804</v>
      </c>
      <c r="H475" t="s">
        <v>80</v>
      </c>
      <c r="I475" t="s">
        <v>81</v>
      </c>
      <c r="J475" t="s">
        <v>1877</v>
      </c>
      <c r="K475" t="s">
        <v>1878</v>
      </c>
      <c r="L475" t="s">
        <v>52</v>
      </c>
      <c r="M475">
        <v>2565</v>
      </c>
      <c r="N475">
        <v>0</v>
      </c>
      <c r="O475" t="s">
        <v>61</v>
      </c>
      <c r="P475">
        <v>100</v>
      </c>
      <c r="Q475" t="s">
        <v>52</v>
      </c>
      <c r="R475" t="s">
        <v>52</v>
      </c>
      <c r="S475" t="s">
        <v>52</v>
      </c>
      <c r="T475" t="s">
        <v>52</v>
      </c>
      <c r="U475" t="s">
        <v>52</v>
      </c>
      <c r="V475" t="s">
        <v>62</v>
      </c>
      <c r="W475" t="s">
        <v>52</v>
      </c>
      <c r="Y475" t="s">
        <v>52</v>
      </c>
      <c r="AB475" t="s">
        <v>52</v>
      </c>
      <c r="AE475" t="s">
        <v>52</v>
      </c>
      <c r="AF475" t="s">
        <v>52</v>
      </c>
      <c r="AH475">
        <v>0</v>
      </c>
      <c r="AI475">
        <v>0</v>
      </c>
      <c r="AJ475" t="s">
        <v>52</v>
      </c>
      <c r="AK475">
        <v>0</v>
      </c>
      <c r="AL475" t="s">
        <v>52</v>
      </c>
      <c r="AM475" t="s">
        <v>52</v>
      </c>
      <c r="AN475">
        <v>0</v>
      </c>
      <c r="AO475">
        <v>0</v>
      </c>
      <c r="AP475" t="s">
        <v>52</v>
      </c>
      <c r="AQ475" t="s">
        <v>52</v>
      </c>
      <c r="AR475" t="s">
        <v>62</v>
      </c>
      <c r="AS475" t="s">
        <v>52</v>
      </c>
      <c r="AT475" t="s">
        <v>52</v>
      </c>
      <c r="AU475" t="s">
        <v>64</v>
      </c>
      <c r="AV475" t="s">
        <v>62</v>
      </c>
      <c r="AW475" t="s">
        <v>65</v>
      </c>
      <c r="AX475" t="s">
        <v>66</v>
      </c>
      <c r="AY475" t="s">
        <v>76</v>
      </c>
    </row>
    <row r="476" spans="1:51" hidden="1" x14ac:dyDescent="0.25">
      <c r="A476">
        <v>202736</v>
      </c>
      <c r="B476" t="s">
        <v>1879</v>
      </c>
      <c r="C476" t="e">
        <f>VLOOKUP(A476,[1]Customer_payment_journal_line!$AL:$BO,30,0)</f>
        <v>#N/A</v>
      </c>
      <c r="D476" t="s">
        <v>76</v>
      </c>
      <c r="E476" t="s">
        <v>1875</v>
      </c>
      <c r="F476" t="s">
        <v>1876</v>
      </c>
      <c r="G476" t="s">
        <v>1804</v>
      </c>
      <c r="H476" t="s">
        <v>69</v>
      </c>
      <c r="I476" t="s">
        <v>1880</v>
      </c>
      <c r="J476" t="s">
        <v>1877</v>
      </c>
      <c r="K476" t="s">
        <v>1878</v>
      </c>
      <c r="L476" t="s">
        <v>52</v>
      </c>
      <c r="M476">
        <v>0</v>
      </c>
      <c r="N476">
        <v>855</v>
      </c>
      <c r="O476" t="s">
        <v>61</v>
      </c>
      <c r="P476">
        <v>100</v>
      </c>
      <c r="Q476" t="s">
        <v>52</v>
      </c>
      <c r="R476" t="s">
        <v>52</v>
      </c>
      <c r="S476" t="s">
        <v>52</v>
      </c>
      <c r="T476" t="s">
        <v>52</v>
      </c>
      <c r="U476" t="s">
        <v>52</v>
      </c>
      <c r="V476" t="s">
        <v>62</v>
      </c>
      <c r="W476" t="s">
        <v>52</v>
      </c>
      <c r="Y476" t="s">
        <v>1881</v>
      </c>
      <c r="Z476" t="s">
        <v>62</v>
      </c>
      <c r="AB476" t="s">
        <v>1882</v>
      </c>
      <c r="AE476" t="s">
        <v>1883</v>
      </c>
      <c r="AF476" t="s">
        <v>52</v>
      </c>
      <c r="AH476">
        <v>0</v>
      </c>
      <c r="AI476">
        <v>0</v>
      </c>
      <c r="AJ476" t="s">
        <v>52</v>
      </c>
      <c r="AK476">
        <v>0</v>
      </c>
      <c r="AL476" t="s">
        <v>52</v>
      </c>
      <c r="AM476" t="s">
        <v>52</v>
      </c>
      <c r="AN476">
        <v>0</v>
      </c>
      <c r="AO476">
        <v>0</v>
      </c>
      <c r="AP476" t="s">
        <v>52</v>
      </c>
      <c r="AQ476" t="s">
        <v>52</v>
      </c>
      <c r="AR476" t="s">
        <v>62</v>
      </c>
      <c r="AS476" t="s">
        <v>52</v>
      </c>
      <c r="AT476" t="s">
        <v>74</v>
      </c>
      <c r="AU476" t="s">
        <v>64</v>
      </c>
      <c r="AV476" t="s">
        <v>62</v>
      </c>
      <c r="AW476" t="s">
        <v>65</v>
      </c>
      <c r="AX476" t="s">
        <v>66</v>
      </c>
      <c r="AY476" t="s">
        <v>76</v>
      </c>
    </row>
    <row r="477" spans="1:51" hidden="1" x14ac:dyDescent="0.25">
      <c r="A477">
        <v>202736</v>
      </c>
      <c r="B477" t="s">
        <v>1884</v>
      </c>
      <c r="C477" t="e">
        <f>VLOOKUP(A477,[1]Customer_payment_journal_line!$AL:$BO,30,0)</f>
        <v>#N/A</v>
      </c>
      <c r="D477" t="s">
        <v>76</v>
      </c>
      <c r="E477" t="s">
        <v>1875</v>
      </c>
      <c r="F477" t="s">
        <v>1876</v>
      </c>
      <c r="G477" t="s">
        <v>1804</v>
      </c>
      <c r="H477" t="s">
        <v>69</v>
      </c>
      <c r="I477" t="s">
        <v>1880</v>
      </c>
      <c r="J477" t="s">
        <v>1877</v>
      </c>
      <c r="K477" t="s">
        <v>1878</v>
      </c>
      <c r="L477" t="s">
        <v>52</v>
      </c>
      <c r="M477">
        <v>0</v>
      </c>
      <c r="N477">
        <v>1710</v>
      </c>
      <c r="O477" t="s">
        <v>61</v>
      </c>
      <c r="P477">
        <v>100</v>
      </c>
      <c r="Q477" t="s">
        <v>52</v>
      </c>
      <c r="R477" t="s">
        <v>52</v>
      </c>
      <c r="S477" t="s">
        <v>52</v>
      </c>
      <c r="T477" t="s">
        <v>52</v>
      </c>
      <c r="U477" t="s">
        <v>52</v>
      </c>
      <c r="V477" t="s">
        <v>62</v>
      </c>
      <c r="W477" t="s">
        <v>52</v>
      </c>
      <c r="Y477" t="s">
        <v>1881</v>
      </c>
      <c r="Z477" t="s">
        <v>62</v>
      </c>
      <c r="AB477" t="s">
        <v>1885</v>
      </c>
      <c r="AE477" t="s">
        <v>1886</v>
      </c>
      <c r="AF477" t="s">
        <v>52</v>
      </c>
      <c r="AH477">
        <v>0</v>
      </c>
      <c r="AI477">
        <v>0</v>
      </c>
      <c r="AJ477" t="s">
        <v>52</v>
      </c>
      <c r="AK477">
        <v>0</v>
      </c>
      <c r="AL477" t="s">
        <v>52</v>
      </c>
      <c r="AM477" t="s">
        <v>52</v>
      </c>
      <c r="AN477">
        <v>0</v>
      </c>
      <c r="AO477">
        <v>0</v>
      </c>
      <c r="AP477" t="s">
        <v>52</v>
      </c>
      <c r="AQ477" t="s">
        <v>52</v>
      </c>
      <c r="AR477" t="s">
        <v>62</v>
      </c>
      <c r="AS477" t="s">
        <v>52</v>
      </c>
      <c r="AT477" t="s">
        <v>74</v>
      </c>
      <c r="AU477" t="s">
        <v>64</v>
      </c>
      <c r="AV477" t="s">
        <v>62</v>
      </c>
      <c r="AW477" t="s">
        <v>65</v>
      </c>
      <c r="AX477" t="s">
        <v>66</v>
      </c>
      <c r="AY477" t="s">
        <v>76</v>
      </c>
    </row>
    <row r="478" spans="1:51" hidden="1" x14ac:dyDescent="0.25">
      <c r="A478">
        <v>202739</v>
      </c>
      <c r="B478" t="s">
        <v>1887</v>
      </c>
      <c r="C478" t="str">
        <f>VLOOKUP(A478,[1]Customer_payment_journal_line!$AL:$BO,30,0)</f>
        <v>CPay-000000045</v>
      </c>
      <c r="D478" t="s">
        <v>53</v>
      </c>
      <c r="E478" t="s">
        <v>1888</v>
      </c>
      <c r="F478" t="s">
        <v>1889</v>
      </c>
      <c r="G478" t="s">
        <v>1804</v>
      </c>
      <c r="H478" t="s">
        <v>57</v>
      </c>
      <c r="I478" t="s">
        <v>95</v>
      </c>
      <c r="J478" t="s">
        <v>1890</v>
      </c>
      <c r="K478" t="s">
        <v>1891</v>
      </c>
      <c r="L478">
        <f>VLOOKUP(A478,[1]Customer_payment_journal_line!$B:$L,11,0)</f>
        <v>1653</v>
      </c>
      <c r="M478" s="1">
        <v>1653</v>
      </c>
      <c r="N478" s="2">
        <f>L478-M478</f>
        <v>0</v>
      </c>
      <c r="O478" t="s">
        <v>61</v>
      </c>
      <c r="P478">
        <v>100</v>
      </c>
      <c r="Q478" t="s">
        <v>52</v>
      </c>
      <c r="R478" t="s">
        <v>52</v>
      </c>
      <c r="S478" t="s">
        <v>52</v>
      </c>
      <c r="T478" t="s">
        <v>52</v>
      </c>
      <c r="U478" t="s">
        <v>52</v>
      </c>
      <c r="V478" t="s">
        <v>62</v>
      </c>
      <c r="W478" t="s">
        <v>63</v>
      </c>
      <c r="Y478" t="s">
        <v>52</v>
      </c>
      <c r="AB478" t="s">
        <v>52</v>
      </c>
      <c r="AE478" t="s">
        <v>52</v>
      </c>
      <c r="AF478" t="s">
        <v>52</v>
      </c>
      <c r="AH478">
        <v>0</v>
      </c>
      <c r="AI478">
        <v>0</v>
      </c>
      <c r="AJ478" t="s">
        <v>52</v>
      </c>
      <c r="AK478">
        <v>0</v>
      </c>
      <c r="AL478" t="s">
        <v>52</v>
      </c>
      <c r="AM478" t="s">
        <v>52</v>
      </c>
      <c r="AN478">
        <v>0</v>
      </c>
      <c r="AO478">
        <v>0</v>
      </c>
      <c r="AP478" t="s">
        <v>52</v>
      </c>
      <c r="AQ478" t="s">
        <v>52</v>
      </c>
      <c r="AR478" t="s">
        <v>62</v>
      </c>
      <c r="AS478" t="s">
        <v>52</v>
      </c>
      <c r="AT478" t="s">
        <v>52</v>
      </c>
      <c r="AU478" t="s">
        <v>64</v>
      </c>
      <c r="AV478" t="s">
        <v>62</v>
      </c>
      <c r="AW478" t="s">
        <v>65</v>
      </c>
      <c r="AX478" t="s">
        <v>66</v>
      </c>
      <c r="AY478" t="s">
        <v>67</v>
      </c>
    </row>
    <row r="479" spans="1:51" hidden="1" x14ac:dyDescent="0.25">
      <c r="A479">
        <v>202739</v>
      </c>
      <c r="B479" t="s">
        <v>1892</v>
      </c>
      <c r="C479" t="str">
        <f>VLOOKUP(A479,[1]Customer_payment_journal_line!$AL:$BO,30,0)</f>
        <v>CPay-000000045</v>
      </c>
      <c r="D479" t="s">
        <v>53</v>
      </c>
      <c r="E479" t="s">
        <v>1888</v>
      </c>
      <c r="F479" t="s">
        <v>1889</v>
      </c>
      <c r="G479" t="s">
        <v>1804</v>
      </c>
      <c r="H479" t="s">
        <v>69</v>
      </c>
      <c r="I479" t="s">
        <v>1893</v>
      </c>
      <c r="J479" t="s">
        <v>1890</v>
      </c>
      <c r="K479" t="s">
        <v>1891</v>
      </c>
      <c r="L479">
        <f>VLOOKUP(A479,[1]Customer_payment_journal_line!$B:$L,11,0)</f>
        <v>1653</v>
      </c>
      <c r="M479" s="1">
        <v>0</v>
      </c>
      <c r="N479">
        <v>1653</v>
      </c>
      <c r="O479" t="s">
        <v>61</v>
      </c>
      <c r="P479">
        <v>100</v>
      </c>
      <c r="Q479" t="s">
        <v>52</v>
      </c>
      <c r="R479" t="s">
        <v>52</v>
      </c>
      <c r="S479" t="s">
        <v>52</v>
      </c>
      <c r="T479" t="s">
        <v>52</v>
      </c>
      <c r="U479" t="s">
        <v>52</v>
      </c>
      <c r="V479" t="s">
        <v>62</v>
      </c>
      <c r="W479" t="s">
        <v>52</v>
      </c>
      <c r="Y479" t="s">
        <v>1894</v>
      </c>
      <c r="Z479" t="s">
        <v>62</v>
      </c>
      <c r="AB479" t="s">
        <v>1895</v>
      </c>
      <c r="AE479" t="s">
        <v>1896</v>
      </c>
      <c r="AF479" t="s">
        <v>52</v>
      </c>
      <c r="AH479">
        <v>0</v>
      </c>
      <c r="AI479">
        <v>0</v>
      </c>
      <c r="AJ479" t="s">
        <v>52</v>
      </c>
      <c r="AK479">
        <v>0</v>
      </c>
      <c r="AL479" t="s">
        <v>52</v>
      </c>
      <c r="AM479" t="s">
        <v>52</v>
      </c>
      <c r="AN479">
        <v>0</v>
      </c>
      <c r="AO479">
        <v>0</v>
      </c>
      <c r="AP479" t="s">
        <v>52</v>
      </c>
      <c r="AQ479" t="s">
        <v>52</v>
      </c>
      <c r="AR479" t="s">
        <v>62</v>
      </c>
      <c r="AS479" t="s">
        <v>52</v>
      </c>
      <c r="AT479" t="s">
        <v>74</v>
      </c>
      <c r="AU479" t="s">
        <v>64</v>
      </c>
      <c r="AV479" t="s">
        <v>62</v>
      </c>
      <c r="AW479" t="s">
        <v>65</v>
      </c>
      <c r="AX479" t="s">
        <v>66</v>
      </c>
      <c r="AY479" t="s">
        <v>67</v>
      </c>
    </row>
    <row r="480" spans="1:51" hidden="1" x14ac:dyDescent="0.25">
      <c r="A480">
        <v>202740</v>
      </c>
      <c r="B480" t="s">
        <v>1897</v>
      </c>
      <c r="C480" t="str">
        <f>VLOOKUP(A480,[1]Customer_payment_journal_line!$AL:$BO,30,0)</f>
        <v>CPay-000000046</v>
      </c>
      <c r="D480" t="s">
        <v>53</v>
      </c>
      <c r="E480" t="s">
        <v>1898</v>
      </c>
      <c r="F480" t="s">
        <v>1899</v>
      </c>
      <c r="G480" t="s">
        <v>1804</v>
      </c>
      <c r="H480" t="s">
        <v>57</v>
      </c>
      <c r="I480" t="s">
        <v>95</v>
      </c>
      <c r="J480" t="s">
        <v>1890</v>
      </c>
      <c r="K480" t="s">
        <v>1891</v>
      </c>
      <c r="L480">
        <f>VLOOKUP(A480,[1]Customer_payment_journal_line!$B:$L,11,0)</f>
        <v>1140</v>
      </c>
      <c r="M480" s="1">
        <v>1140</v>
      </c>
      <c r="N480" s="2">
        <f>L480-M480</f>
        <v>0</v>
      </c>
      <c r="O480" t="s">
        <v>61</v>
      </c>
      <c r="P480">
        <v>100</v>
      </c>
      <c r="Q480" t="s">
        <v>52</v>
      </c>
      <c r="R480" t="s">
        <v>52</v>
      </c>
      <c r="S480" t="s">
        <v>52</v>
      </c>
      <c r="T480" t="s">
        <v>52</v>
      </c>
      <c r="U480" t="s">
        <v>52</v>
      </c>
      <c r="V480" t="s">
        <v>62</v>
      </c>
      <c r="W480" t="s">
        <v>63</v>
      </c>
      <c r="Y480" t="s">
        <v>52</v>
      </c>
      <c r="AB480" t="s">
        <v>52</v>
      </c>
      <c r="AE480" t="s">
        <v>52</v>
      </c>
      <c r="AF480" t="s">
        <v>52</v>
      </c>
      <c r="AH480">
        <v>0</v>
      </c>
      <c r="AI480">
        <v>0</v>
      </c>
      <c r="AJ480" t="s">
        <v>52</v>
      </c>
      <c r="AK480">
        <v>0</v>
      </c>
      <c r="AL480" t="s">
        <v>52</v>
      </c>
      <c r="AM480" t="s">
        <v>52</v>
      </c>
      <c r="AN480">
        <v>0</v>
      </c>
      <c r="AO480">
        <v>0</v>
      </c>
      <c r="AP480" t="s">
        <v>52</v>
      </c>
      <c r="AQ480" t="s">
        <v>52</v>
      </c>
      <c r="AR480" t="s">
        <v>62</v>
      </c>
      <c r="AS480" t="s">
        <v>52</v>
      </c>
      <c r="AT480" t="s">
        <v>52</v>
      </c>
      <c r="AU480" t="s">
        <v>64</v>
      </c>
      <c r="AV480" t="s">
        <v>62</v>
      </c>
      <c r="AW480" t="s">
        <v>65</v>
      </c>
      <c r="AX480" t="s">
        <v>66</v>
      </c>
      <c r="AY480" t="s">
        <v>67</v>
      </c>
    </row>
    <row r="481" spans="1:51" hidden="1" x14ac:dyDescent="0.25">
      <c r="A481">
        <v>202740</v>
      </c>
      <c r="B481" t="s">
        <v>1900</v>
      </c>
      <c r="C481" t="str">
        <f>VLOOKUP(A481,[1]Customer_payment_journal_line!$AL:$BO,30,0)</f>
        <v>CPay-000000046</v>
      </c>
      <c r="D481" t="s">
        <v>53</v>
      </c>
      <c r="E481" t="s">
        <v>1898</v>
      </c>
      <c r="F481" t="s">
        <v>1899</v>
      </c>
      <c r="G481" t="s">
        <v>1804</v>
      </c>
      <c r="H481" t="s">
        <v>69</v>
      </c>
      <c r="I481" t="s">
        <v>1893</v>
      </c>
      <c r="J481" t="s">
        <v>1890</v>
      </c>
      <c r="K481" t="s">
        <v>1891</v>
      </c>
      <c r="L481">
        <f>VLOOKUP(A481,[1]Customer_payment_journal_line!$B:$L,11,0)</f>
        <v>1140</v>
      </c>
      <c r="M481" s="1">
        <v>0</v>
      </c>
      <c r="N481">
        <v>1140</v>
      </c>
      <c r="O481" t="s">
        <v>61</v>
      </c>
      <c r="P481">
        <v>100</v>
      </c>
      <c r="Q481" t="s">
        <v>52</v>
      </c>
      <c r="R481" t="s">
        <v>52</v>
      </c>
      <c r="S481" t="s">
        <v>52</v>
      </c>
      <c r="T481" t="s">
        <v>52</v>
      </c>
      <c r="U481" t="s">
        <v>52</v>
      </c>
      <c r="V481" t="s">
        <v>62</v>
      </c>
      <c r="W481" t="s">
        <v>52</v>
      </c>
      <c r="Y481" t="s">
        <v>1894</v>
      </c>
      <c r="Z481" t="s">
        <v>62</v>
      </c>
      <c r="AB481" t="s">
        <v>1901</v>
      </c>
      <c r="AE481" t="s">
        <v>1902</v>
      </c>
      <c r="AF481" t="s">
        <v>52</v>
      </c>
      <c r="AH481">
        <v>0</v>
      </c>
      <c r="AI481">
        <v>0</v>
      </c>
      <c r="AJ481" t="s">
        <v>52</v>
      </c>
      <c r="AK481">
        <v>0</v>
      </c>
      <c r="AL481" t="s">
        <v>52</v>
      </c>
      <c r="AM481" t="s">
        <v>52</v>
      </c>
      <c r="AN481">
        <v>0</v>
      </c>
      <c r="AO481">
        <v>0</v>
      </c>
      <c r="AP481" t="s">
        <v>52</v>
      </c>
      <c r="AQ481" t="s">
        <v>52</v>
      </c>
      <c r="AR481" t="s">
        <v>62</v>
      </c>
      <c r="AS481" t="s">
        <v>52</v>
      </c>
      <c r="AT481" t="s">
        <v>74</v>
      </c>
      <c r="AU481" t="s">
        <v>64</v>
      </c>
      <c r="AV481" t="s">
        <v>62</v>
      </c>
      <c r="AW481" t="s">
        <v>65</v>
      </c>
      <c r="AX481" t="s">
        <v>66</v>
      </c>
      <c r="AY481" t="s">
        <v>67</v>
      </c>
    </row>
    <row r="482" spans="1:51" hidden="1" x14ac:dyDescent="0.25">
      <c r="A482">
        <v>202743</v>
      </c>
      <c r="B482" t="s">
        <v>1903</v>
      </c>
      <c r="C482" t="e">
        <f>VLOOKUP(A482,[1]Customer_payment_journal_line!$AL:$BO,30,0)</f>
        <v>#N/A</v>
      </c>
      <c r="D482" t="s">
        <v>76</v>
      </c>
      <c r="E482" t="s">
        <v>1904</v>
      </c>
      <c r="F482" t="s">
        <v>1905</v>
      </c>
      <c r="G482" t="s">
        <v>1804</v>
      </c>
      <c r="H482" t="s">
        <v>80</v>
      </c>
      <c r="I482" t="s">
        <v>81</v>
      </c>
      <c r="J482" t="s">
        <v>1906</v>
      </c>
      <c r="K482" t="s">
        <v>1907</v>
      </c>
      <c r="L482" t="s">
        <v>52</v>
      </c>
      <c r="M482">
        <v>11255</v>
      </c>
      <c r="N482">
        <v>0</v>
      </c>
      <c r="O482" t="s">
        <v>61</v>
      </c>
      <c r="P482">
        <v>100</v>
      </c>
      <c r="Q482" t="s">
        <v>52</v>
      </c>
      <c r="R482" t="s">
        <v>52</v>
      </c>
      <c r="S482" t="s">
        <v>52</v>
      </c>
      <c r="T482" t="s">
        <v>52</v>
      </c>
      <c r="U482" t="s">
        <v>52</v>
      </c>
      <c r="V482" t="s">
        <v>62</v>
      </c>
      <c r="W482" t="s">
        <v>52</v>
      </c>
      <c r="Y482" t="s">
        <v>52</v>
      </c>
      <c r="AB482" t="s">
        <v>52</v>
      </c>
      <c r="AE482" t="s">
        <v>52</v>
      </c>
      <c r="AF482" t="s">
        <v>52</v>
      </c>
      <c r="AH482">
        <v>0</v>
      </c>
      <c r="AI482">
        <v>0</v>
      </c>
      <c r="AJ482" t="s">
        <v>52</v>
      </c>
      <c r="AK482">
        <v>0</v>
      </c>
      <c r="AL482" t="s">
        <v>52</v>
      </c>
      <c r="AM482" t="s">
        <v>52</v>
      </c>
      <c r="AN482">
        <v>0</v>
      </c>
      <c r="AO482">
        <v>0</v>
      </c>
      <c r="AP482" t="s">
        <v>52</v>
      </c>
      <c r="AQ482" t="s">
        <v>52</v>
      </c>
      <c r="AR482" t="s">
        <v>62</v>
      </c>
      <c r="AS482" t="s">
        <v>52</v>
      </c>
      <c r="AT482" t="s">
        <v>52</v>
      </c>
      <c r="AU482" t="s">
        <v>64</v>
      </c>
      <c r="AV482" t="s">
        <v>62</v>
      </c>
      <c r="AW482" t="s">
        <v>65</v>
      </c>
      <c r="AX482" t="s">
        <v>66</v>
      </c>
      <c r="AY482" t="s">
        <v>76</v>
      </c>
    </row>
    <row r="483" spans="1:51" hidden="1" x14ac:dyDescent="0.25">
      <c r="A483">
        <v>202743</v>
      </c>
      <c r="B483" t="s">
        <v>1908</v>
      </c>
      <c r="C483" t="e">
        <f>VLOOKUP(A483,[1]Customer_payment_journal_line!$AL:$BO,30,0)</f>
        <v>#N/A</v>
      </c>
      <c r="D483" t="s">
        <v>76</v>
      </c>
      <c r="E483" t="s">
        <v>1904</v>
      </c>
      <c r="F483" t="s">
        <v>1905</v>
      </c>
      <c r="G483" t="s">
        <v>1804</v>
      </c>
      <c r="H483" t="s">
        <v>69</v>
      </c>
      <c r="I483" t="s">
        <v>1909</v>
      </c>
      <c r="J483" t="s">
        <v>1906</v>
      </c>
      <c r="K483" t="s">
        <v>1907</v>
      </c>
      <c r="L483" t="s">
        <v>52</v>
      </c>
      <c r="M483">
        <v>0</v>
      </c>
      <c r="N483">
        <v>10400</v>
      </c>
      <c r="O483" t="s">
        <v>61</v>
      </c>
      <c r="P483">
        <v>100</v>
      </c>
      <c r="Q483" t="s">
        <v>52</v>
      </c>
      <c r="R483" t="s">
        <v>52</v>
      </c>
      <c r="S483" t="s">
        <v>52</v>
      </c>
      <c r="T483" t="s">
        <v>52</v>
      </c>
      <c r="U483" t="s">
        <v>52</v>
      </c>
      <c r="V483" t="s">
        <v>62</v>
      </c>
      <c r="W483" t="s">
        <v>52</v>
      </c>
      <c r="Y483" t="s">
        <v>1910</v>
      </c>
      <c r="Z483" t="s">
        <v>62</v>
      </c>
      <c r="AB483" t="s">
        <v>1911</v>
      </c>
      <c r="AE483" t="s">
        <v>1912</v>
      </c>
      <c r="AF483" t="s">
        <v>52</v>
      </c>
      <c r="AH483">
        <v>0</v>
      </c>
      <c r="AI483">
        <v>0</v>
      </c>
      <c r="AJ483" t="s">
        <v>52</v>
      </c>
      <c r="AK483">
        <v>0</v>
      </c>
      <c r="AL483" t="s">
        <v>52</v>
      </c>
      <c r="AM483" t="s">
        <v>52</v>
      </c>
      <c r="AN483">
        <v>0</v>
      </c>
      <c r="AO483">
        <v>0</v>
      </c>
      <c r="AP483" t="s">
        <v>52</v>
      </c>
      <c r="AQ483" t="s">
        <v>52</v>
      </c>
      <c r="AR483" t="s">
        <v>62</v>
      </c>
      <c r="AS483" t="s">
        <v>52</v>
      </c>
      <c r="AT483" t="s">
        <v>74</v>
      </c>
      <c r="AU483" t="s">
        <v>64</v>
      </c>
      <c r="AV483" t="s">
        <v>62</v>
      </c>
      <c r="AW483" t="s">
        <v>65</v>
      </c>
      <c r="AX483" t="s">
        <v>66</v>
      </c>
      <c r="AY483" t="s">
        <v>76</v>
      </c>
    </row>
    <row r="484" spans="1:51" hidden="1" x14ac:dyDescent="0.25">
      <c r="A484">
        <v>202743</v>
      </c>
      <c r="B484" t="s">
        <v>1913</v>
      </c>
      <c r="C484" t="e">
        <f>VLOOKUP(A484,[1]Customer_payment_journal_line!$AL:$BO,30,0)</f>
        <v>#N/A</v>
      </c>
      <c r="D484" t="s">
        <v>76</v>
      </c>
      <c r="E484" t="s">
        <v>1904</v>
      </c>
      <c r="F484" t="s">
        <v>1905</v>
      </c>
      <c r="G484" t="s">
        <v>1804</v>
      </c>
      <c r="H484" t="s">
        <v>69</v>
      </c>
      <c r="I484" t="s">
        <v>1909</v>
      </c>
      <c r="J484" t="s">
        <v>1906</v>
      </c>
      <c r="K484" t="s">
        <v>1907</v>
      </c>
      <c r="L484" t="s">
        <v>52</v>
      </c>
      <c r="M484">
        <v>0</v>
      </c>
      <c r="N484">
        <v>855</v>
      </c>
      <c r="O484" t="s">
        <v>61</v>
      </c>
      <c r="P484">
        <v>100</v>
      </c>
      <c r="Q484" t="s">
        <v>52</v>
      </c>
      <c r="R484" t="s">
        <v>52</v>
      </c>
      <c r="S484" t="s">
        <v>52</v>
      </c>
      <c r="T484" t="s">
        <v>52</v>
      </c>
      <c r="U484" t="s">
        <v>52</v>
      </c>
      <c r="V484" t="s">
        <v>62</v>
      </c>
      <c r="W484" t="s">
        <v>52</v>
      </c>
      <c r="Y484" t="s">
        <v>1910</v>
      </c>
      <c r="Z484" t="s">
        <v>62</v>
      </c>
      <c r="AB484" t="s">
        <v>1914</v>
      </c>
      <c r="AE484" t="s">
        <v>1915</v>
      </c>
      <c r="AF484" t="s">
        <v>52</v>
      </c>
      <c r="AH484">
        <v>0</v>
      </c>
      <c r="AI484">
        <v>0</v>
      </c>
      <c r="AJ484" t="s">
        <v>52</v>
      </c>
      <c r="AK484">
        <v>0</v>
      </c>
      <c r="AL484" t="s">
        <v>52</v>
      </c>
      <c r="AM484" t="s">
        <v>52</v>
      </c>
      <c r="AN484">
        <v>0</v>
      </c>
      <c r="AO484">
        <v>0</v>
      </c>
      <c r="AP484" t="s">
        <v>52</v>
      </c>
      <c r="AQ484" t="s">
        <v>52</v>
      </c>
      <c r="AR484" t="s">
        <v>62</v>
      </c>
      <c r="AS484" t="s">
        <v>52</v>
      </c>
      <c r="AT484" t="s">
        <v>74</v>
      </c>
      <c r="AU484" t="s">
        <v>64</v>
      </c>
      <c r="AV484" t="s">
        <v>62</v>
      </c>
      <c r="AW484" t="s">
        <v>65</v>
      </c>
      <c r="AX484" t="s">
        <v>66</v>
      </c>
      <c r="AY484" t="s">
        <v>76</v>
      </c>
    </row>
    <row r="485" spans="1:51" hidden="1" x14ac:dyDescent="0.25">
      <c r="A485">
        <v>202744</v>
      </c>
      <c r="B485" t="s">
        <v>1916</v>
      </c>
      <c r="C485" t="e">
        <f>VLOOKUP(A485,[1]Customer_payment_journal_line!$AL:$BO,30,0)</f>
        <v>#N/A</v>
      </c>
      <c r="D485" t="s">
        <v>159</v>
      </c>
      <c r="E485" t="s">
        <v>1917</v>
      </c>
      <c r="F485" t="s">
        <v>1918</v>
      </c>
      <c r="G485" t="s">
        <v>1804</v>
      </c>
      <c r="H485" t="s">
        <v>80</v>
      </c>
      <c r="I485" t="s">
        <v>1919</v>
      </c>
      <c r="J485" t="s">
        <v>1920</v>
      </c>
      <c r="K485" t="s">
        <v>1921</v>
      </c>
      <c r="L485" t="s">
        <v>52</v>
      </c>
      <c r="M485">
        <v>7125</v>
      </c>
      <c r="N485">
        <v>0</v>
      </c>
      <c r="O485" t="s">
        <v>61</v>
      </c>
      <c r="P485">
        <v>100</v>
      </c>
      <c r="Q485" t="s">
        <v>52</v>
      </c>
      <c r="R485" t="s">
        <v>52</v>
      </c>
      <c r="S485" t="s">
        <v>52</v>
      </c>
      <c r="T485" t="s">
        <v>52</v>
      </c>
      <c r="U485" t="s">
        <v>52</v>
      </c>
      <c r="V485" t="s">
        <v>62</v>
      </c>
      <c r="W485" t="s">
        <v>52</v>
      </c>
      <c r="Y485" t="s">
        <v>52</v>
      </c>
      <c r="AB485" t="s">
        <v>52</v>
      </c>
      <c r="AE485" t="s">
        <v>52</v>
      </c>
      <c r="AF485" t="s">
        <v>52</v>
      </c>
      <c r="AH485">
        <v>0</v>
      </c>
      <c r="AI485">
        <v>0</v>
      </c>
      <c r="AJ485" t="s">
        <v>52</v>
      </c>
      <c r="AK485">
        <v>0</v>
      </c>
      <c r="AL485" t="s">
        <v>52</v>
      </c>
      <c r="AM485" t="s">
        <v>52</v>
      </c>
      <c r="AN485">
        <v>0</v>
      </c>
      <c r="AO485">
        <v>0</v>
      </c>
      <c r="AP485" t="s">
        <v>52</v>
      </c>
      <c r="AQ485" t="s">
        <v>52</v>
      </c>
      <c r="AR485" t="s">
        <v>62</v>
      </c>
      <c r="AS485" t="s">
        <v>52</v>
      </c>
      <c r="AT485" t="s">
        <v>52</v>
      </c>
      <c r="AU485" t="s">
        <v>64</v>
      </c>
      <c r="AV485" t="s">
        <v>62</v>
      </c>
      <c r="AW485" t="s">
        <v>65</v>
      </c>
      <c r="AX485" t="s">
        <v>66</v>
      </c>
      <c r="AY485" t="s">
        <v>165</v>
      </c>
    </row>
    <row r="486" spans="1:51" hidden="1" x14ac:dyDescent="0.25">
      <c r="A486">
        <v>202744</v>
      </c>
      <c r="B486" t="s">
        <v>1922</v>
      </c>
      <c r="C486" t="e">
        <f>VLOOKUP(A486,[1]Customer_payment_journal_line!$AL:$BO,30,0)</f>
        <v>#N/A</v>
      </c>
      <c r="D486" t="s">
        <v>159</v>
      </c>
      <c r="E486" t="s">
        <v>1917</v>
      </c>
      <c r="F486" t="s">
        <v>1918</v>
      </c>
      <c r="G486" t="s">
        <v>1804</v>
      </c>
      <c r="H486" t="s">
        <v>69</v>
      </c>
      <c r="I486" t="s">
        <v>1923</v>
      </c>
      <c r="J486" t="s">
        <v>1920</v>
      </c>
      <c r="K486" t="s">
        <v>1921</v>
      </c>
      <c r="L486" t="s">
        <v>52</v>
      </c>
      <c r="M486">
        <v>0</v>
      </c>
      <c r="N486">
        <v>855</v>
      </c>
      <c r="O486" t="s">
        <v>61</v>
      </c>
      <c r="P486">
        <v>100</v>
      </c>
      <c r="Q486" t="s">
        <v>52</v>
      </c>
      <c r="R486" t="s">
        <v>52</v>
      </c>
      <c r="S486" t="s">
        <v>52</v>
      </c>
      <c r="T486" t="s">
        <v>52</v>
      </c>
      <c r="U486" t="s">
        <v>52</v>
      </c>
      <c r="V486" t="s">
        <v>62</v>
      </c>
      <c r="W486" t="s">
        <v>52</v>
      </c>
      <c r="Y486" t="s">
        <v>1924</v>
      </c>
      <c r="Z486" t="s">
        <v>62</v>
      </c>
      <c r="AB486" t="s">
        <v>1925</v>
      </c>
      <c r="AE486" t="s">
        <v>1926</v>
      </c>
      <c r="AF486" t="s">
        <v>52</v>
      </c>
      <c r="AH486">
        <v>0</v>
      </c>
      <c r="AI486">
        <v>0</v>
      </c>
      <c r="AJ486" t="s">
        <v>52</v>
      </c>
      <c r="AK486">
        <v>0</v>
      </c>
      <c r="AL486" t="s">
        <v>52</v>
      </c>
      <c r="AM486" t="s">
        <v>52</v>
      </c>
      <c r="AN486">
        <v>0</v>
      </c>
      <c r="AO486">
        <v>0</v>
      </c>
      <c r="AP486" t="s">
        <v>52</v>
      </c>
      <c r="AQ486" t="s">
        <v>52</v>
      </c>
      <c r="AR486" t="s">
        <v>62</v>
      </c>
      <c r="AS486" t="s">
        <v>52</v>
      </c>
      <c r="AT486" t="s">
        <v>74</v>
      </c>
      <c r="AU486" t="s">
        <v>64</v>
      </c>
      <c r="AV486" t="s">
        <v>62</v>
      </c>
      <c r="AW486" t="s">
        <v>65</v>
      </c>
      <c r="AX486" t="s">
        <v>66</v>
      </c>
      <c r="AY486" t="s">
        <v>165</v>
      </c>
    </row>
    <row r="487" spans="1:51" hidden="1" x14ac:dyDescent="0.25">
      <c r="A487">
        <v>202744</v>
      </c>
      <c r="B487" t="s">
        <v>1927</v>
      </c>
      <c r="C487" t="e">
        <f>VLOOKUP(A487,[1]Customer_payment_journal_line!$AL:$BO,30,0)</f>
        <v>#N/A</v>
      </c>
      <c r="D487" t="s">
        <v>159</v>
      </c>
      <c r="E487" t="s">
        <v>1917</v>
      </c>
      <c r="F487" t="s">
        <v>1918</v>
      </c>
      <c r="G487" t="s">
        <v>1804</v>
      </c>
      <c r="H487" t="s">
        <v>69</v>
      </c>
      <c r="I487" t="s">
        <v>1923</v>
      </c>
      <c r="J487" t="s">
        <v>1920</v>
      </c>
      <c r="K487" t="s">
        <v>1921</v>
      </c>
      <c r="L487" t="s">
        <v>52</v>
      </c>
      <c r="M487">
        <v>0</v>
      </c>
      <c r="N487">
        <v>6270</v>
      </c>
      <c r="O487" t="s">
        <v>61</v>
      </c>
      <c r="P487">
        <v>100</v>
      </c>
      <c r="Q487" t="s">
        <v>52</v>
      </c>
      <c r="R487" t="s">
        <v>52</v>
      </c>
      <c r="S487" t="s">
        <v>52</v>
      </c>
      <c r="T487" t="s">
        <v>52</v>
      </c>
      <c r="U487" t="s">
        <v>52</v>
      </c>
      <c r="V487" t="s">
        <v>62</v>
      </c>
      <c r="W487" t="s">
        <v>52</v>
      </c>
      <c r="Y487" t="s">
        <v>1924</v>
      </c>
      <c r="Z487" t="s">
        <v>62</v>
      </c>
      <c r="AB487" t="s">
        <v>1928</v>
      </c>
      <c r="AE487" t="s">
        <v>1929</v>
      </c>
      <c r="AF487" t="s">
        <v>52</v>
      </c>
      <c r="AH487">
        <v>0</v>
      </c>
      <c r="AI487">
        <v>0</v>
      </c>
      <c r="AJ487" t="s">
        <v>52</v>
      </c>
      <c r="AK487">
        <v>0</v>
      </c>
      <c r="AL487" t="s">
        <v>52</v>
      </c>
      <c r="AM487" t="s">
        <v>52</v>
      </c>
      <c r="AN487">
        <v>0</v>
      </c>
      <c r="AO487">
        <v>0</v>
      </c>
      <c r="AP487" t="s">
        <v>52</v>
      </c>
      <c r="AQ487" t="s">
        <v>52</v>
      </c>
      <c r="AR487" t="s">
        <v>62</v>
      </c>
      <c r="AS487" t="s">
        <v>52</v>
      </c>
      <c r="AT487" t="s">
        <v>74</v>
      </c>
      <c r="AU487" t="s">
        <v>64</v>
      </c>
      <c r="AV487" t="s">
        <v>62</v>
      </c>
      <c r="AW487" t="s">
        <v>65</v>
      </c>
      <c r="AX487" t="s">
        <v>66</v>
      </c>
      <c r="AY487" t="s">
        <v>165</v>
      </c>
    </row>
    <row r="488" spans="1:51" hidden="1" x14ac:dyDescent="0.25">
      <c r="A488">
        <v>202745</v>
      </c>
      <c r="B488" t="s">
        <v>1930</v>
      </c>
      <c r="C488" t="e">
        <f>VLOOKUP(A488,[1]Customer_payment_journal_line!$AL:$BO,30,0)</f>
        <v>#N/A</v>
      </c>
      <c r="D488" t="s">
        <v>159</v>
      </c>
      <c r="E488" t="s">
        <v>1931</v>
      </c>
      <c r="F488" t="s">
        <v>1932</v>
      </c>
      <c r="G488" t="s">
        <v>1804</v>
      </c>
      <c r="H488" t="s">
        <v>80</v>
      </c>
      <c r="I488" t="s">
        <v>1933</v>
      </c>
      <c r="J488" t="s">
        <v>1920</v>
      </c>
      <c r="K488" t="s">
        <v>1921</v>
      </c>
      <c r="L488" t="s">
        <v>52</v>
      </c>
      <c r="M488">
        <v>300</v>
      </c>
      <c r="N488">
        <v>0</v>
      </c>
      <c r="O488" t="s">
        <v>126</v>
      </c>
      <c r="P488">
        <v>5285</v>
      </c>
      <c r="Q488" t="s">
        <v>52</v>
      </c>
      <c r="R488" t="s">
        <v>52</v>
      </c>
      <c r="S488" t="s">
        <v>52</v>
      </c>
      <c r="T488" t="s">
        <v>52</v>
      </c>
      <c r="U488" t="s">
        <v>52</v>
      </c>
      <c r="V488" t="s">
        <v>62</v>
      </c>
      <c r="W488" t="s">
        <v>52</v>
      </c>
      <c r="Y488" t="s">
        <v>52</v>
      </c>
      <c r="AB488" t="s">
        <v>52</v>
      </c>
      <c r="AE488" t="s">
        <v>52</v>
      </c>
      <c r="AF488" t="s">
        <v>52</v>
      </c>
      <c r="AH488">
        <v>0</v>
      </c>
      <c r="AI488">
        <v>0</v>
      </c>
      <c r="AJ488" t="s">
        <v>52</v>
      </c>
      <c r="AK488">
        <v>0</v>
      </c>
      <c r="AL488" t="s">
        <v>52</v>
      </c>
      <c r="AM488" t="s">
        <v>52</v>
      </c>
      <c r="AN488">
        <v>0</v>
      </c>
      <c r="AO488">
        <v>0</v>
      </c>
      <c r="AP488" t="s">
        <v>52</v>
      </c>
      <c r="AQ488" t="s">
        <v>52</v>
      </c>
      <c r="AR488" t="s">
        <v>62</v>
      </c>
      <c r="AS488" t="s">
        <v>52</v>
      </c>
      <c r="AT488" t="s">
        <v>52</v>
      </c>
      <c r="AU488" t="s">
        <v>64</v>
      </c>
      <c r="AV488" t="s">
        <v>62</v>
      </c>
      <c r="AW488" t="s">
        <v>65</v>
      </c>
      <c r="AX488" t="s">
        <v>66</v>
      </c>
      <c r="AY488" t="s">
        <v>165</v>
      </c>
    </row>
    <row r="489" spans="1:51" hidden="1" x14ac:dyDescent="0.25">
      <c r="A489">
        <v>202745</v>
      </c>
      <c r="B489" t="s">
        <v>1934</v>
      </c>
      <c r="C489" t="e">
        <f>VLOOKUP(A489,[1]Customer_payment_journal_line!$AL:$BO,30,0)</f>
        <v>#N/A</v>
      </c>
      <c r="D489" t="s">
        <v>159</v>
      </c>
      <c r="E489" t="s">
        <v>1931</v>
      </c>
      <c r="F489" t="s">
        <v>1932</v>
      </c>
      <c r="G489" t="s">
        <v>1804</v>
      </c>
      <c r="H489" t="s">
        <v>69</v>
      </c>
      <c r="I489" t="s">
        <v>1923</v>
      </c>
      <c r="J489" t="s">
        <v>1920</v>
      </c>
      <c r="K489" t="s">
        <v>1921</v>
      </c>
      <c r="L489" t="s">
        <v>52</v>
      </c>
      <c r="M489">
        <v>0</v>
      </c>
      <c r="N489">
        <v>300</v>
      </c>
      <c r="O489" t="s">
        <v>126</v>
      </c>
      <c r="P489">
        <v>5285</v>
      </c>
      <c r="Q489" t="s">
        <v>52</v>
      </c>
      <c r="R489" t="s">
        <v>52</v>
      </c>
      <c r="S489" t="s">
        <v>52</v>
      </c>
      <c r="T489" t="s">
        <v>52</v>
      </c>
      <c r="U489" t="s">
        <v>52</v>
      </c>
      <c r="V489" t="s">
        <v>62</v>
      </c>
      <c r="W489" t="s">
        <v>52</v>
      </c>
      <c r="Y489" t="s">
        <v>1924</v>
      </c>
      <c r="Z489" t="s">
        <v>62</v>
      </c>
      <c r="AB489" t="s">
        <v>1935</v>
      </c>
      <c r="AE489" t="s">
        <v>1936</v>
      </c>
      <c r="AF489" t="s">
        <v>52</v>
      </c>
      <c r="AH489">
        <v>0</v>
      </c>
      <c r="AI489">
        <v>0</v>
      </c>
      <c r="AJ489" t="s">
        <v>52</v>
      </c>
      <c r="AK489">
        <v>0</v>
      </c>
      <c r="AL489" t="s">
        <v>52</v>
      </c>
      <c r="AM489" t="s">
        <v>52</v>
      </c>
      <c r="AN489">
        <v>0</v>
      </c>
      <c r="AO489">
        <v>0</v>
      </c>
      <c r="AP489" t="s">
        <v>52</v>
      </c>
      <c r="AQ489" t="s">
        <v>52</v>
      </c>
      <c r="AR489" t="s">
        <v>62</v>
      </c>
      <c r="AS489" t="s">
        <v>52</v>
      </c>
      <c r="AT489" t="s">
        <v>74</v>
      </c>
      <c r="AU489" t="s">
        <v>64</v>
      </c>
      <c r="AV489" t="s">
        <v>62</v>
      </c>
      <c r="AW489" t="s">
        <v>65</v>
      </c>
      <c r="AX489" t="s">
        <v>66</v>
      </c>
      <c r="AY489" t="s">
        <v>165</v>
      </c>
    </row>
    <row r="490" spans="1:51" hidden="1" x14ac:dyDescent="0.25">
      <c r="A490">
        <v>202746</v>
      </c>
      <c r="B490" t="s">
        <v>1937</v>
      </c>
      <c r="C490" t="e">
        <f>VLOOKUP(A490,[1]Customer_payment_journal_line!$AL:$BO,30,0)</f>
        <v>#N/A</v>
      </c>
      <c r="D490" t="s">
        <v>159</v>
      </c>
      <c r="E490" t="s">
        <v>1938</v>
      </c>
      <c r="F490" t="s">
        <v>1939</v>
      </c>
      <c r="G490" t="s">
        <v>1804</v>
      </c>
      <c r="H490" t="s">
        <v>80</v>
      </c>
      <c r="I490" t="s">
        <v>1940</v>
      </c>
      <c r="J490" t="s">
        <v>1906</v>
      </c>
      <c r="K490" t="s">
        <v>1907</v>
      </c>
      <c r="L490" t="s">
        <v>52</v>
      </c>
      <c r="M490">
        <v>130</v>
      </c>
      <c r="N490">
        <v>0</v>
      </c>
      <c r="O490" t="s">
        <v>126</v>
      </c>
      <c r="P490">
        <v>5285</v>
      </c>
      <c r="Q490" t="s">
        <v>52</v>
      </c>
      <c r="R490" t="s">
        <v>52</v>
      </c>
      <c r="S490" t="s">
        <v>52</v>
      </c>
      <c r="T490" t="s">
        <v>52</v>
      </c>
      <c r="U490" t="s">
        <v>52</v>
      </c>
      <c r="V490" t="s">
        <v>62</v>
      </c>
      <c r="W490" t="s">
        <v>52</v>
      </c>
      <c r="Y490" t="s">
        <v>52</v>
      </c>
      <c r="AB490" t="s">
        <v>52</v>
      </c>
      <c r="AE490" t="s">
        <v>52</v>
      </c>
      <c r="AF490" t="s">
        <v>52</v>
      </c>
      <c r="AH490">
        <v>0</v>
      </c>
      <c r="AI490">
        <v>0</v>
      </c>
      <c r="AJ490" t="s">
        <v>52</v>
      </c>
      <c r="AK490">
        <v>0</v>
      </c>
      <c r="AL490" t="s">
        <v>52</v>
      </c>
      <c r="AM490" t="s">
        <v>52</v>
      </c>
      <c r="AN490">
        <v>0</v>
      </c>
      <c r="AO490">
        <v>0</v>
      </c>
      <c r="AP490" t="s">
        <v>52</v>
      </c>
      <c r="AQ490" t="s">
        <v>52</v>
      </c>
      <c r="AR490" t="s">
        <v>62</v>
      </c>
      <c r="AS490" t="s">
        <v>52</v>
      </c>
      <c r="AT490" t="s">
        <v>52</v>
      </c>
      <c r="AU490" t="s">
        <v>64</v>
      </c>
      <c r="AV490" t="s">
        <v>62</v>
      </c>
      <c r="AW490" t="s">
        <v>65</v>
      </c>
      <c r="AX490" t="s">
        <v>66</v>
      </c>
      <c r="AY490" t="s">
        <v>165</v>
      </c>
    </row>
    <row r="491" spans="1:51" hidden="1" x14ac:dyDescent="0.25">
      <c r="A491">
        <v>202746</v>
      </c>
      <c r="B491" t="s">
        <v>1941</v>
      </c>
      <c r="C491" t="e">
        <f>VLOOKUP(A491,[1]Customer_payment_journal_line!$AL:$BO,30,0)</f>
        <v>#N/A</v>
      </c>
      <c r="D491" t="s">
        <v>159</v>
      </c>
      <c r="E491" t="s">
        <v>1938</v>
      </c>
      <c r="F491" t="s">
        <v>1939</v>
      </c>
      <c r="G491" t="s">
        <v>1804</v>
      </c>
      <c r="H491" t="s">
        <v>69</v>
      </c>
      <c r="I491" t="s">
        <v>1909</v>
      </c>
      <c r="J491" t="s">
        <v>1906</v>
      </c>
      <c r="K491" t="s">
        <v>1907</v>
      </c>
      <c r="L491" t="s">
        <v>52</v>
      </c>
      <c r="M491">
        <v>0</v>
      </c>
      <c r="N491">
        <v>130</v>
      </c>
      <c r="O491" t="s">
        <v>126</v>
      </c>
      <c r="P491">
        <v>5285</v>
      </c>
      <c r="Q491" t="s">
        <v>52</v>
      </c>
      <c r="R491" t="s">
        <v>52</v>
      </c>
      <c r="S491" t="s">
        <v>52</v>
      </c>
      <c r="T491" t="s">
        <v>52</v>
      </c>
      <c r="U491" t="s">
        <v>52</v>
      </c>
      <c r="V491" t="s">
        <v>62</v>
      </c>
      <c r="W491" t="s">
        <v>52</v>
      </c>
      <c r="Y491" t="s">
        <v>1910</v>
      </c>
      <c r="Z491" t="s">
        <v>62</v>
      </c>
      <c r="AB491" t="s">
        <v>1942</v>
      </c>
      <c r="AE491" t="s">
        <v>1943</v>
      </c>
      <c r="AF491" t="s">
        <v>52</v>
      </c>
      <c r="AH491">
        <v>0</v>
      </c>
      <c r="AI491">
        <v>0</v>
      </c>
      <c r="AJ491" t="s">
        <v>52</v>
      </c>
      <c r="AK491">
        <v>0</v>
      </c>
      <c r="AL491" t="s">
        <v>52</v>
      </c>
      <c r="AM491" t="s">
        <v>52</v>
      </c>
      <c r="AN491">
        <v>0</v>
      </c>
      <c r="AO491">
        <v>0</v>
      </c>
      <c r="AP491" t="s">
        <v>52</v>
      </c>
      <c r="AQ491" t="s">
        <v>52</v>
      </c>
      <c r="AR491" t="s">
        <v>62</v>
      </c>
      <c r="AS491" t="s">
        <v>52</v>
      </c>
      <c r="AT491" t="s">
        <v>74</v>
      </c>
      <c r="AU491" t="s">
        <v>64</v>
      </c>
      <c r="AV491" t="s">
        <v>62</v>
      </c>
      <c r="AW491" t="s">
        <v>65</v>
      </c>
      <c r="AX491" t="s">
        <v>66</v>
      </c>
      <c r="AY491" t="s">
        <v>165</v>
      </c>
    </row>
    <row r="492" spans="1:51" hidden="1" x14ac:dyDescent="0.25">
      <c r="A492">
        <v>202752</v>
      </c>
      <c r="B492" t="s">
        <v>1944</v>
      </c>
      <c r="C492" t="e">
        <f>VLOOKUP(A492,[1]Customer_payment_journal_line!$AL:$BO,30,0)</f>
        <v>#N/A</v>
      </c>
      <c r="D492" t="s">
        <v>53</v>
      </c>
      <c r="E492" t="s">
        <v>1945</v>
      </c>
      <c r="F492" t="s">
        <v>1946</v>
      </c>
      <c r="G492" t="s">
        <v>1804</v>
      </c>
      <c r="H492" t="s">
        <v>201</v>
      </c>
      <c r="I492" t="s">
        <v>319</v>
      </c>
      <c r="J492" t="s">
        <v>1947</v>
      </c>
      <c r="K492" t="s">
        <v>1948</v>
      </c>
      <c r="L492" t="s">
        <v>52</v>
      </c>
      <c r="M492">
        <v>8</v>
      </c>
      <c r="N492">
        <v>0</v>
      </c>
      <c r="O492" t="s">
        <v>61</v>
      </c>
      <c r="P492">
        <v>100</v>
      </c>
      <c r="Q492" t="s">
        <v>52</v>
      </c>
      <c r="R492" t="s">
        <v>52</v>
      </c>
      <c r="S492" t="s">
        <v>52</v>
      </c>
      <c r="T492" t="s">
        <v>52</v>
      </c>
      <c r="U492" t="s">
        <v>52</v>
      </c>
      <c r="V492" t="s">
        <v>62</v>
      </c>
      <c r="W492" t="s">
        <v>63</v>
      </c>
      <c r="Y492" t="s">
        <v>52</v>
      </c>
      <c r="AB492" t="s">
        <v>1949</v>
      </c>
      <c r="AC492" t="s">
        <v>1609</v>
      </c>
      <c r="AD492" t="s">
        <v>1609</v>
      </c>
      <c r="AF492" t="s">
        <v>52</v>
      </c>
      <c r="AH492">
        <v>0</v>
      </c>
      <c r="AI492">
        <v>0</v>
      </c>
      <c r="AJ492" t="s">
        <v>52</v>
      </c>
      <c r="AK492">
        <v>0</v>
      </c>
      <c r="AL492" t="s">
        <v>52</v>
      </c>
      <c r="AM492" t="s">
        <v>52</v>
      </c>
      <c r="AN492">
        <v>0</v>
      </c>
      <c r="AO492">
        <v>0</v>
      </c>
      <c r="AP492" t="s">
        <v>52</v>
      </c>
      <c r="AQ492" t="s">
        <v>52</v>
      </c>
      <c r="AR492" t="s">
        <v>62</v>
      </c>
      <c r="AS492" t="s">
        <v>52</v>
      </c>
      <c r="AT492" t="s">
        <v>52</v>
      </c>
      <c r="AU492" t="s">
        <v>64</v>
      </c>
      <c r="AV492" t="s">
        <v>62</v>
      </c>
      <c r="AW492" t="s">
        <v>65</v>
      </c>
      <c r="AX492" t="s">
        <v>702</v>
      </c>
      <c r="AY492" t="s">
        <v>67</v>
      </c>
    </row>
    <row r="493" spans="1:51" hidden="1" x14ac:dyDescent="0.25">
      <c r="A493">
        <v>202752</v>
      </c>
      <c r="B493" t="s">
        <v>1950</v>
      </c>
      <c r="C493" t="e">
        <f>VLOOKUP(A493,[1]Customer_payment_journal_line!$AL:$BO,30,0)</f>
        <v>#N/A</v>
      </c>
      <c r="D493" t="s">
        <v>53</v>
      </c>
      <c r="E493" t="s">
        <v>1945</v>
      </c>
      <c r="F493" t="s">
        <v>1946</v>
      </c>
      <c r="G493" t="s">
        <v>1804</v>
      </c>
      <c r="H493" t="s">
        <v>704</v>
      </c>
      <c r="I493" t="s">
        <v>1951</v>
      </c>
      <c r="J493" t="s">
        <v>1952</v>
      </c>
      <c r="K493" t="s">
        <v>1948</v>
      </c>
      <c r="L493" t="s">
        <v>1953</v>
      </c>
      <c r="M493">
        <v>342</v>
      </c>
      <c r="N493">
        <v>0</v>
      </c>
      <c r="O493" t="s">
        <v>61</v>
      </c>
      <c r="P493">
        <v>100</v>
      </c>
      <c r="Q493" t="s">
        <v>52</v>
      </c>
      <c r="R493" t="s">
        <v>52</v>
      </c>
      <c r="S493" t="s">
        <v>52</v>
      </c>
      <c r="T493" t="s">
        <v>52</v>
      </c>
      <c r="U493" t="s">
        <v>52</v>
      </c>
      <c r="V493" t="s">
        <v>62</v>
      </c>
      <c r="W493" t="s">
        <v>52</v>
      </c>
      <c r="Y493" t="s">
        <v>1954</v>
      </c>
      <c r="Z493" t="s">
        <v>62</v>
      </c>
      <c r="AB493" t="s">
        <v>1949</v>
      </c>
      <c r="AC493" t="s">
        <v>1609</v>
      </c>
      <c r="AD493" t="s">
        <v>1609</v>
      </c>
      <c r="AE493" t="s">
        <v>1955</v>
      </c>
      <c r="AF493" t="s">
        <v>52</v>
      </c>
      <c r="AH493">
        <v>0</v>
      </c>
      <c r="AI493">
        <v>0</v>
      </c>
      <c r="AJ493" t="s">
        <v>52</v>
      </c>
      <c r="AK493">
        <v>0</v>
      </c>
      <c r="AL493" t="s">
        <v>52</v>
      </c>
      <c r="AM493" t="s">
        <v>52</v>
      </c>
      <c r="AN493">
        <v>0</v>
      </c>
      <c r="AO493">
        <v>0</v>
      </c>
      <c r="AP493" t="s">
        <v>52</v>
      </c>
      <c r="AQ493" t="s">
        <v>52</v>
      </c>
      <c r="AR493" t="s">
        <v>62</v>
      </c>
      <c r="AS493" t="s">
        <v>52</v>
      </c>
      <c r="AT493" t="s">
        <v>710</v>
      </c>
      <c r="AU493" t="s">
        <v>64</v>
      </c>
      <c r="AV493" t="s">
        <v>62</v>
      </c>
      <c r="AW493" t="s">
        <v>65</v>
      </c>
      <c r="AX493" t="s">
        <v>702</v>
      </c>
      <c r="AY493" t="s">
        <v>67</v>
      </c>
    </row>
    <row r="494" spans="1:51" hidden="1" x14ac:dyDescent="0.25">
      <c r="A494">
        <v>202752</v>
      </c>
      <c r="B494" t="s">
        <v>1956</v>
      </c>
      <c r="C494" t="e">
        <f>VLOOKUP(A494,[1]Customer_payment_journal_line!$AL:$BO,30,0)</f>
        <v>#N/A</v>
      </c>
      <c r="D494" t="s">
        <v>53</v>
      </c>
      <c r="E494" t="s">
        <v>1945</v>
      </c>
      <c r="F494" t="s">
        <v>1946</v>
      </c>
      <c r="G494" t="s">
        <v>1804</v>
      </c>
      <c r="H494" t="s">
        <v>704</v>
      </c>
      <c r="I494" t="s">
        <v>712</v>
      </c>
      <c r="J494" t="s">
        <v>1947</v>
      </c>
      <c r="K494" t="s">
        <v>1948</v>
      </c>
      <c r="L494" t="s">
        <v>1953</v>
      </c>
      <c r="M494">
        <v>0</v>
      </c>
      <c r="N494">
        <v>350</v>
      </c>
      <c r="O494" t="s">
        <v>61</v>
      </c>
      <c r="P494">
        <v>100</v>
      </c>
      <c r="Q494" t="s">
        <v>52</v>
      </c>
      <c r="R494" t="s">
        <v>52</v>
      </c>
      <c r="S494" t="s">
        <v>52</v>
      </c>
      <c r="T494" t="s">
        <v>52</v>
      </c>
      <c r="U494" t="s">
        <v>52</v>
      </c>
      <c r="V494" t="s">
        <v>62</v>
      </c>
      <c r="W494" t="s">
        <v>52</v>
      </c>
      <c r="Y494" t="s">
        <v>1954</v>
      </c>
      <c r="Z494" t="s">
        <v>62</v>
      </c>
      <c r="AB494" t="s">
        <v>1949</v>
      </c>
      <c r="AC494" t="s">
        <v>1609</v>
      </c>
      <c r="AD494" t="s">
        <v>1609</v>
      </c>
      <c r="AE494" t="s">
        <v>1955</v>
      </c>
      <c r="AF494" t="s">
        <v>52</v>
      </c>
      <c r="AH494">
        <v>0</v>
      </c>
      <c r="AI494">
        <v>0</v>
      </c>
      <c r="AJ494" t="s">
        <v>52</v>
      </c>
      <c r="AK494">
        <v>0</v>
      </c>
      <c r="AL494" t="s">
        <v>52</v>
      </c>
      <c r="AM494" t="s">
        <v>52</v>
      </c>
      <c r="AN494">
        <v>0</v>
      </c>
      <c r="AO494">
        <v>0</v>
      </c>
      <c r="AP494" t="s">
        <v>52</v>
      </c>
      <c r="AQ494" t="s">
        <v>52</v>
      </c>
      <c r="AR494" t="s">
        <v>62</v>
      </c>
      <c r="AS494" t="s">
        <v>52</v>
      </c>
      <c r="AT494" t="s">
        <v>710</v>
      </c>
      <c r="AU494" t="s">
        <v>64</v>
      </c>
      <c r="AV494" t="s">
        <v>62</v>
      </c>
      <c r="AW494" t="s">
        <v>65</v>
      </c>
      <c r="AX494" t="s">
        <v>702</v>
      </c>
      <c r="AY494" t="s">
        <v>67</v>
      </c>
    </row>
    <row r="495" spans="1:51" hidden="1" x14ac:dyDescent="0.25">
      <c r="A495">
        <v>405971</v>
      </c>
      <c r="B495" t="s">
        <v>1957</v>
      </c>
      <c r="C495" t="e">
        <f>VLOOKUP(A495,[1]Customer_payment_journal_line!$AL:$BO,30,0)</f>
        <v>#N/A</v>
      </c>
      <c r="D495" t="s">
        <v>644</v>
      </c>
      <c r="E495" t="s">
        <v>1958</v>
      </c>
      <c r="F495" t="s">
        <v>1959</v>
      </c>
      <c r="G495" t="s">
        <v>1804</v>
      </c>
      <c r="H495" t="s">
        <v>69</v>
      </c>
      <c r="I495" t="s">
        <v>1960</v>
      </c>
      <c r="J495" t="s">
        <v>1961</v>
      </c>
      <c r="K495" t="s">
        <v>1962</v>
      </c>
      <c r="L495" t="s">
        <v>52</v>
      </c>
      <c r="M495">
        <v>0</v>
      </c>
      <c r="N495">
        <v>855</v>
      </c>
      <c r="O495" t="s">
        <v>61</v>
      </c>
      <c r="P495">
        <v>100</v>
      </c>
      <c r="Q495" t="s">
        <v>52</v>
      </c>
      <c r="R495" t="s">
        <v>52</v>
      </c>
      <c r="S495" t="s">
        <v>52</v>
      </c>
      <c r="T495" t="s">
        <v>52</v>
      </c>
      <c r="U495" t="s">
        <v>52</v>
      </c>
      <c r="V495" t="s">
        <v>62</v>
      </c>
      <c r="W495" t="s">
        <v>52</v>
      </c>
      <c r="Y495" t="s">
        <v>1963</v>
      </c>
      <c r="Z495" t="s">
        <v>62</v>
      </c>
      <c r="AB495" t="s">
        <v>1964</v>
      </c>
      <c r="AE495" t="s">
        <v>1965</v>
      </c>
      <c r="AF495" t="s">
        <v>632</v>
      </c>
      <c r="AG495" t="s">
        <v>1966</v>
      </c>
      <c r="AH495">
        <v>0</v>
      </c>
      <c r="AI495">
        <v>0</v>
      </c>
      <c r="AJ495" t="s">
        <v>52</v>
      </c>
      <c r="AK495">
        <v>0</v>
      </c>
      <c r="AL495" t="s">
        <v>52</v>
      </c>
      <c r="AM495" t="s">
        <v>52</v>
      </c>
      <c r="AN495">
        <v>0</v>
      </c>
      <c r="AO495">
        <v>0</v>
      </c>
      <c r="AP495" t="s">
        <v>52</v>
      </c>
      <c r="AQ495" t="s">
        <v>52</v>
      </c>
      <c r="AR495" t="s">
        <v>62</v>
      </c>
      <c r="AS495" t="s">
        <v>52</v>
      </c>
      <c r="AT495" t="s">
        <v>74</v>
      </c>
      <c r="AU495" t="s">
        <v>64</v>
      </c>
      <c r="AV495" t="s">
        <v>62</v>
      </c>
      <c r="AW495" t="s">
        <v>65</v>
      </c>
      <c r="AX495" t="s">
        <v>66</v>
      </c>
      <c r="AY495" t="s">
        <v>654</v>
      </c>
    </row>
    <row r="496" spans="1:51" hidden="1" x14ac:dyDescent="0.25">
      <c r="A496">
        <v>405971</v>
      </c>
      <c r="B496" t="s">
        <v>1967</v>
      </c>
      <c r="C496" t="e">
        <f>VLOOKUP(A496,[1]Customer_payment_journal_line!$AL:$BO,30,0)</f>
        <v>#N/A</v>
      </c>
      <c r="D496" t="s">
        <v>644</v>
      </c>
      <c r="E496" t="s">
        <v>1958</v>
      </c>
      <c r="F496" t="s">
        <v>1959</v>
      </c>
      <c r="G496" t="s">
        <v>1804</v>
      </c>
      <c r="H496" t="s">
        <v>210</v>
      </c>
      <c r="I496" t="s">
        <v>1968</v>
      </c>
      <c r="K496" t="s">
        <v>1962</v>
      </c>
      <c r="L496" t="s">
        <v>52</v>
      </c>
      <c r="M496">
        <v>32775</v>
      </c>
      <c r="N496">
        <v>0</v>
      </c>
      <c r="O496" t="s">
        <v>61</v>
      </c>
      <c r="P496">
        <v>100</v>
      </c>
      <c r="Q496" t="s">
        <v>52</v>
      </c>
      <c r="R496" t="s">
        <v>52</v>
      </c>
      <c r="S496" t="s">
        <v>52</v>
      </c>
      <c r="T496" t="s">
        <v>52</v>
      </c>
      <c r="U496" t="s">
        <v>52</v>
      </c>
      <c r="V496" t="s">
        <v>62</v>
      </c>
      <c r="W496" t="s">
        <v>63</v>
      </c>
      <c r="Y496" t="s">
        <v>52</v>
      </c>
      <c r="AB496" t="s">
        <v>1969</v>
      </c>
      <c r="AE496" t="s">
        <v>1970</v>
      </c>
      <c r="AF496" t="s">
        <v>632</v>
      </c>
      <c r="AG496" t="s">
        <v>1966</v>
      </c>
      <c r="AH496">
        <v>0</v>
      </c>
      <c r="AI496">
        <v>0</v>
      </c>
      <c r="AJ496" t="s">
        <v>52</v>
      </c>
      <c r="AK496">
        <v>0</v>
      </c>
      <c r="AL496" t="s">
        <v>52</v>
      </c>
      <c r="AM496" t="s">
        <v>52</v>
      </c>
      <c r="AN496">
        <v>0</v>
      </c>
      <c r="AO496">
        <v>0</v>
      </c>
      <c r="AP496" t="s">
        <v>52</v>
      </c>
      <c r="AQ496" t="s">
        <v>52</v>
      </c>
      <c r="AR496" t="s">
        <v>62</v>
      </c>
      <c r="AS496" t="s">
        <v>52</v>
      </c>
      <c r="AT496" t="s">
        <v>52</v>
      </c>
      <c r="AU496" t="s">
        <v>64</v>
      </c>
      <c r="AV496" t="s">
        <v>62</v>
      </c>
      <c r="AW496" t="s">
        <v>65</v>
      </c>
      <c r="AX496" t="s">
        <v>66</v>
      </c>
      <c r="AY496" t="s">
        <v>654</v>
      </c>
    </row>
    <row r="497" spans="1:51" hidden="1" x14ac:dyDescent="0.25">
      <c r="A497">
        <v>405971</v>
      </c>
      <c r="B497" t="s">
        <v>1971</v>
      </c>
      <c r="C497" t="e">
        <f>VLOOKUP(A497,[1]Customer_payment_journal_line!$AL:$BO,30,0)</f>
        <v>#N/A</v>
      </c>
      <c r="D497" t="s">
        <v>644</v>
      </c>
      <c r="E497" t="s">
        <v>1958</v>
      </c>
      <c r="F497" t="s">
        <v>1959</v>
      </c>
      <c r="G497" t="s">
        <v>1804</v>
      </c>
      <c r="H497" t="s">
        <v>69</v>
      </c>
      <c r="I497" t="s">
        <v>1960</v>
      </c>
      <c r="J497" t="s">
        <v>1961</v>
      </c>
      <c r="K497" t="s">
        <v>1962</v>
      </c>
      <c r="L497" t="s">
        <v>52</v>
      </c>
      <c r="M497">
        <v>0</v>
      </c>
      <c r="N497">
        <v>31920</v>
      </c>
      <c r="O497" t="s">
        <v>61</v>
      </c>
      <c r="P497">
        <v>100</v>
      </c>
      <c r="Q497" t="s">
        <v>52</v>
      </c>
      <c r="R497" t="s">
        <v>52</v>
      </c>
      <c r="S497" t="s">
        <v>52</v>
      </c>
      <c r="T497" t="s">
        <v>52</v>
      </c>
      <c r="U497" t="s">
        <v>52</v>
      </c>
      <c r="V497" t="s">
        <v>62</v>
      </c>
      <c r="W497" t="s">
        <v>52</v>
      </c>
      <c r="Y497" t="s">
        <v>1963</v>
      </c>
      <c r="Z497" t="s">
        <v>62</v>
      </c>
      <c r="AB497" t="s">
        <v>1969</v>
      </c>
      <c r="AE497" t="s">
        <v>1970</v>
      </c>
      <c r="AF497" t="s">
        <v>632</v>
      </c>
      <c r="AG497" t="s">
        <v>1966</v>
      </c>
      <c r="AH497">
        <v>0</v>
      </c>
      <c r="AI497">
        <v>0</v>
      </c>
      <c r="AJ497" t="s">
        <v>52</v>
      </c>
      <c r="AK497">
        <v>0</v>
      </c>
      <c r="AL497" t="s">
        <v>52</v>
      </c>
      <c r="AM497" t="s">
        <v>52</v>
      </c>
      <c r="AN497">
        <v>0</v>
      </c>
      <c r="AO497">
        <v>0</v>
      </c>
      <c r="AP497" t="s">
        <v>52</v>
      </c>
      <c r="AQ497" t="s">
        <v>52</v>
      </c>
      <c r="AR497" t="s">
        <v>62</v>
      </c>
      <c r="AS497" t="s">
        <v>52</v>
      </c>
      <c r="AT497" t="s">
        <v>74</v>
      </c>
      <c r="AU497" t="s">
        <v>64</v>
      </c>
      <c r="AV497" t="s">
        <v>62</v>
      </c>
      <c r="AW497" t="s">
        <v>65</v>
      </c>
      <c r="AX497" t="s">
        <v>66</v>
      </c>
      <c r="AY497" t="s">
        <v>654</v>
      </c>
    </row>
    <row r="498" spans="1:51" hidden="1" x14ac:dyDescent="0.25">
      <c r="A498">
        <v>405972</v>
      </c>
      <c r="B498" t="s">
        <v>1972</v>
      </c>
      <c r="C498" t="e">
        <f>VLOOKUP(A498,[1]Customer_payment_journal_line!$AL:$BO,30,0)</f>
        <v>#N/A</v>
      </c>
      <c r="D498" t="s">
        <v>76</v>
      </c>
      <c r="E498" t="s">
        <v>1973</v>
      </c>
      <c r="F498" t="s">
        <v>1974</v>
      </c>
      <c r="G498" t="s">
        <v>1804</v>
      </c>
      <c r="H498" t="s">
        <v>80</v>
      </c>
      <c r="I498" t="s">
        <v>81</v>
      </c>
      <c r="J498" t="s">
        <v>1975</v>
      </c>
      <c r="K498" t="s">
        <v>1976</v>
      </c>
      <c r="L498" t="s">
        <v>52</v>
      </c>
      <c r="M498">
        <v>7695</v>
      </c>
      <c r="N498">
        <v>0</v>
      </c>
      <c r="O498" t="s">
        <v>61</v>
      </c>
      <c r="P498">
        <v>100</v>
      </c>
      <c r="Q498" t="s">
        <v>52</v>
      </c>
      <c r="R498" t="s">
        <v>52</v>
      </c>
      <c r="S498" t="s">
        <v>52</v>
      </c>
      <c r="T498" t="s">
        <v>52</v>
      </c>
      <c r="U498" t="s">
        <v>52</v>
      </c>
      <c r="V498" t="s">
        <v>62</v>
      </c>
      <c r="W498" t="s">
        <v>52</v>
      </c>
      <c r="Y498" t="s">
        <v>52</v>
      </c>
      <c r="AB498" t="s">
        <v>52</v>
      </c>
      <c r="AE498" t="s">
        <v>52</v>
      </c>
      <c r="AF498" t="s">
        <v>52</v>
      </c>
      <c r="AH498">
        <v>0</v>
      </c>
      <c r="AI498">
        <v>0</v>
      </c>
      <c r="AJ498" t="s">
        <v>52</v>
      </c>
      <c r="AK498">
        <v>0</v>
      </c>
      <c r="AL498" t="s">
        <v>52</v>
      </c>
      <c r="AM498" t="s">
        <v>52</v>
      </c>
      <c r="AN498">
        <v>0</v>
      </c>
      <c r="AO498">
        <v>0</v>
      </c>
      <c r="AP498" t="s">
        <v>52</v>
      </c>
      <c r="AQ498" t="s">
        <v>52</v>
      </c>
      <c r="AR498" t="s">
        <v>62</v>
      </c>
      <c r="AS498" t="s">
        <v>52</v>
      </c>
      <c r="AT498" t="s">
        <v>52</v>
      </c>
      <c r="AU498" t="s">
        <v>64</v>
      </c>
      <c r="AV498" t="s">
        <v>62</v>
      </c>
      <c r="AW498" t="s">
        <v>65</v>
      </c>
      <c r="AX498" t="s">
        <v>66</v>
      </c>
      <c r="AY498" t="s">
        <v>76</v>
      </c>
    </row>
    <row r="499" spans="1:51" hidden="1" x14ac:dyDescent="0.25">
      <c r="A499">
        <v>405972</v>
      </c>
      <c r="B499" t="s">
        <v>1977</v>
      </c>
      <c r="C499" t="e">
        <f>VLOOKUP(A499,[1]Customer_payment_journal_line!$AL:$BO,30,0)</f>
        <v>#N/A</v>
      </c>
      <c r="D499" t="s">
        <v>76</v>
      </c>
      <c r="E499" t="s">
        <v>1973</v>
      </c>
      <c r="F499" t="s">
        <v>1974</v>
      </c>
      <c r="G499" t="s">
        <v>1804</v>
      </c>
      <c r="H499" t="s">
        <v>69</v>
      </c>
      <c r="I499" t="s">
        <v>1978</v>
      </c>
      <c r="J499" t="s">
        <v>1975</v>
      </c>
      <c r="K499" t="s">
        <v>1976</v>
      </c>
      <c r="L499" t="s">
        <v>52</v>
      </c>
      <c r="M499">
        <v>0</v>
      </c>
      <c r="N499">
        <v>6840</v>
      </c>
      <c r="O499" t="s">
        <v>61</v>
      </c>
      <c r="P499">
        <v>100</v>
      </c>
      <c r="Q499" t="s">
        <v>52</v>
      </c>
      <c r="R499" t="s">
        <v>52</v>
      </c>
      <c r="S499" t="s">
        <v>52</v>
      </c>
      <c r="T499" t="s">
        <v>52</v>
      </c>
      <c r="U499" t="s">
        <v>52</v>
      </c>
      <c r="V499" t="s">
        <v>62</v>
      </c>
      <c r="W499" t="s">
        <v>52</v>
      </c>
      <c r="Y499" t="s">
        <v>1979</v>
      </c>
      <c r="Z499" t="s">
        <v>62</v>
      </c>
      <c r="AB499" t="s">
        <v>1980</v>
      </c>
      <c r="AE499" t="s">
        <v>1981</v>
      </c>
      <c r="AF499" t="s">
        <v>52</v>
      </c>
      <c r="AH499">
        <v>0</v>
      </c>
      <c r="AI499">
        <v>0</v>
      </c>
      <c r="AJ499" t="s">
        <v>52</v>
      </c>
      <c r="AK499">
        <v>0</v>
      </c>
      <c r="AL499" t="s">
        <v>52</v>
      </c>
      <c r="AM499" t="s">
        <v>52</v>
      </c>
      <c r="AN499">
        <v>0</v>
      </c>
      <c r="AO499">
        <v>0</v>
      </c>
      <c r="AP499" t="s">
        <v>52</v>
      </c>
      <c r="AQ499" t="s">
        <v>52</v>
      </c>
      <c r="AR499" t="s">
        <v>62</v>
      </c>
      <c r="AS499" t="s">
        <v>52</v>
      </c>
      <c r="AT499" t="s">
        <v>74</v>
      </c>
      <c r="AU499" t="s">
        <v>64</v>
      </c>
      <c r="AV499" t="s">
        <v>62</v>
      </c>
      <c r="AW499" t="s">
        <v>65</v>
      </c>
      <c r="AX499" t="s">
        <v>66</v>
      </c>
      <c r="AY499" t="s">
        <v>76</v>
      </c>
    </row>
    <row r="500" spans="1:51" hidden="1" x14ac:dyDescent="0.25">
      <c r="A500">
        <v>405972</v>
      </c>
      <c r="B500" t="s">
        <v>1982</v>
      </c>
      <c r="C500" t="e">
        <f>VLOOKUP(A500,[1]Customer_payment_journal_line!$AL:$BO,30,0)</f>
        <v>#N/A</v>
      </c>
      <c r="D500" t="s">
        <v>76</v>
      </c>
      <c r="E500" t="s">
        <v>1973</v>
      </c>
      <c r="F500" t="s">
        <v>1974</v>
      </c>
      <c r="G500" t="s">
        <v>1804</v>
      </c>
      <c r="H500" t="s">
        <v>69</v>
      </c>
      <c r="I500" t="s">
        <v>1978</v>
      </c>
      <c r="J500" t="s">
        <v>1975</v>
      </c>
      <c r="K500" t="s">
        <v>1976</v>
      </c>
      <c r="L500" t="s">
        <v>52</v>
      </c>
      <c r="M500">
        <v>0</v>
      </c>
      <c r="N500">
        <v>855</v>
      </c>
      <c r="O500" t="s">
        <v>61</v>
      </c>
      <c r="P500">
        <v>100</v>
      </c>
      <c r="Q500" t="s">
        <v>52</v>
      </c>
      <c r="R500" t="s">
        <v>52</v>
      </c>
      <c r="S500" t="s">
        <v>52</v>
      </c>
      <c r="T500" t="s">
        <v>52</v>
      </c>
      <c r="U500" t="s">
        <v>52</v>
      </c>
      <c r="V500" t="s">
        <v>62</v>
      </c>
      <c r="W500" t="s">
        <v>52</v>
      </c>
      <c r="Y500" t="s">
        <v>1979</v>
      </c>
      <c r="Z500" t="s">
        <v>62</v>
      </c>
      <c r="AB500" t="s">
        <v>1983</v>
      </c>
      <c r="AE500" t="s">
        <v>1984</v>
      </c>
      <c r="AF500" t="s">
        <v>52</v>
      </c>
      <c r="AH500">
        <v>0</v>
      </c>
      <c r="AI500">
        <v>0</v>
      </c>
      <c r="AJ500" t="s">
        <v>52</v>
      </c>
      <c r="AK500">
        <v>0</v>
      </c>
      <c r="AL500" t="s">
        <v>52</v>
      </c>
      <c r="AM500" t="s">
        <v>52</v>
      </c>
      <c r="AN500">
        <v>0</v>
      </c>
      <c r="AO500">
        <v>0</v>
      </c>
      <c r="AP500" t="s">
        <v>52</v>
      </c>
      <c r="AQ500" t="s">
        <v>52</v>
      </c>
      <c r="AR500" t="s">
        <v>62</v>
      </c>
      <c r="AS500" t="s">
        <v>52</v>
      </c>
      <c r="AT500" t="s">
        <v>74</v>
      </c>
      <c r="AU500" t="s">
        <v>64</v>
      </c>
      <c r="AV500" t="s">
        <v>62</v>
      </c>
      <c r="AW500" t="s">
        <v>65</v>
      </c>
      <c r="AX500" t="s">
        <v>66</v>
      </c>
      <c r="AY500" t="s">
        <v>76</v>
      </c>
    </row>
    <row r="501" spans="1:51" hidden="1" x14ac:dyDescent="0.25">
      <c r="A501">
        <v>405973</v>
      </c>
      <c r="B501" t="s">
        <v>1985</v>
      </c>
      <c r="C501" t="str">
        <f>VLOOKUP(A501,[1]Customer_payment_journal_line!$AL:$BO,30,0)</f>
        <v>CPay-000000047</v>
      </c>
      <c r="D501" t="s">
        <v>53</v>
      </c>
      <c r="E501" t="s">
        <v>1986</v>
      </c>
      <c r="F501" t="s">
        <v>1987</v>
      </c>
      <c r="G501" t="s">
        <v>1804</v>
      </c>
      <c r="H501" t="s">
        <v>57</v>
      </c>
      <c r="I501" t="s">
        <v>95</v>
      </c>
      <c r="J501" t="s">
        <v>1988</v>
      </c>
      <c r="K501" t="s">
        <v>1989</v>
      </c>
      <c r="L501">
        <f>VLOOKUP(A501,[1]Customer_payment_journal_line!$B:$L,11,0)</f>
        <v>2500</v>
      </c>
      <c r="M501" s="1">
        <v>2500</v>
      </c>
      <c r="N501" s="2">
        <f>L501-M501</f>
        <v>0</v>
      </c>
      <c r="O501" t="s">
        <v>61</v>
      </c>
      <c r="P501">
        <v>100</v>
      </c>
      <c r="Q501" t="s">
        <v>52</v>
      </c>
      <c r="R501" t="s">
        <v>52</v>
      </c>
      <c r="S501" t="s">
        <v>52</v>
      </c>
      <c r="T501" t="s">
        <v>52</v>
      </c>
      <c r="U501" t="s">
        <v>52</v>
      </c>
      <c r="V501" t="s">
        <v>62</v>
      </c>
      <c r="W501" t="s">
        <v>63</v>
      </c>
      <c r="Y501" t="s">
        <v>52</v>
      </c>
      <c r="AB501" t="s">
        <v>52</v>
      </c>
      <c r="AE501" t="s">
        <v>52</v>
      </c>
      <c r="AF501" t="s">
        <v>52</v>
      </c>
      <c r="AH501">
        <v>0</v>
      </c>
      <c r="AI501">
        <v>0</v>
      </c>
      <c r="AJ501" t="s">
        <v>52</v>
      </c>
      <c r="AK501">
        <v>0</v>
      </c>
      <c r="AL501" t="s">
        <v>52</v>
      </c>
      <c r="AM501" t="s">
        <v>52</v>
      </c>
      <c r="AN501">
        <v>0</v>
      </c>
      <c r="AO501">
        <v>0</v>
      </c>
      <c r="AP501" t="s">
        <v>52</v>
      </c>
      <c r="AQ501" t="s">
        <v>52</v>
      </c>
      <c r="AR501" t="s">
        <v>62</v>
      </c>
      <c r="AS501" t="s">
        <v>52</v>
      </c>
      <c r="AT501" t="s">
        <v>52</v>
      </c>
      <c r="AU501" t="s">
        <v>64</v>
      </c>
      <c r="AV501" t="s">
        <v>62</v>
      </c>
      <c r="AW501" t="s">
        <v>65</v>
      </c>
      <c r="AX501" t="s">
        <v>66</v>
      </c>
      <c r="AY501" t="s">
        <v>67</v>
      </c>
    </row>
    <row r="502" spans="1:51" hidden="1" x14ac:dyDescent="0.25">
      <c r="A502">
        <v>405973</v>
      </c>
      <c r="B502" t="s">
        <v>1990</v>
      </c>
      <c r="C502" t="str">
        <f>VLOOKUP(A502,[1]Customer_payment_journal_line!$AL:$BO,30,0)</f>
        <v>CPay-000000047</v>
      </c>
      <c r="D502" t="s">
        <v>53</v>
      </c>
      <c r="E502" t="s">
        <v>1986</v>
      </c>
      <c r="F502" t="s">
        <v>1987</v>
      </c>
      <c r="G502" t="s">
        <v>1804</v>
      </c>
      <c r="H502" t="s">
        <v>69</v>
      </c>
      <c r="I502" t="s">
        <v>1991</v>
      </c>
      <c r="J502" t="s">
        <v>1988</v>
      </c>
      <c r="K502" t="s">
        <v>1989</v>
      </c>
      <c r="L502">
        <f>VLOOKUP(A502,[1]Customer_payment_journal_line!$B:$L,11,0)</f>
        <v>2500</v>
      </c>
      <c r="M502" s="1">
        <v>0</v>
      </c>
      <c r="N502">
        <v>2500</v>
      </c>
      <c r="O502" t="s">
        <v>61</v>
      </c>
      <c r="P502">
        <v>100</v>
      </c>
      <c r="Q502" t="s">
        <v>52</v>
      </c>
      <c r="R502" t="s">
        <v>52</v>
      </c>
      <c r="S502" t="s">
        <v>52</v>
      </c>
      <c r="T502" t="s">
        <v>52</v>
      </c>
      <c r="U502" t="s">
        <v>52</v>
      </c>
      <c r="V502" t="s">
        <v>62</v>
      </c>
      <c r="W502" t="s">
        <v>52</v>
      </c>
      <c r="Y502" t="s">
        <v>1992</v>
      </c>
      <c r="Z502" t="s">
        <v>62</v>
      </c>
      <c r="AB502" t="s">
        <v>1993</v>
      </c>
      <c r="AE502" t="s">
        <v>1994</v>
      </c>
      <c r="AF502" t="s">
        <v>52</v>
      </c>
      <c r="AH502">
        <v>0</v>
      </c>
      <c r="AI502">
        <v>0</v>
      </c>
      <c r="AJ502" t="s">
        <v>52</v>
      </c>
      <c r="AK502">
        <v>0</v>
      </c>
      <c r="AL502" t="s">
        <v>52</v>
      </c>
      <c r="AM502" t="s">
        <v>52</v>
      </c>
      <c r="AN502">
        <v>0</v>
      </c>
      <c r="AO502">
        <v>0</v>
      </c>
      <c r="AP502" t="s">
        <v>52</v>
      </c>
      <c r="AQ502" t="s">
        <v>52</v>
      </c>
      <c r="AR502" t="s">
        <v>62</v>
      </c>
      <c r="AS502" t="s">
        <v>52</v>
      </c>
      <c r="AT502" t="s">
        <v>74</v>
      </c>
      <c r="AU502" t="s">
        <v>64</v>
      </c>
      <c r="AV502" t="s">
        <v>62</v>
      </c>
      <c r="AW502" t="s">
        <v>65</v>
      </c>
      <c r="AX502" t="s">
        <v>66</v>
      </c>
      <c r="AY502" t="s">
        <v>67</v>
      </c>
    </row>
    <row r="503" spans="1:51" hidden="1" x14ac:dyDescent="0.25">
      <c r="A503">
        <v>405974</v>
      </c>
      <c r="B503" t="s">
        <v>1995</v>
      </c>
      <c r="C503" t="str">
        <f>VLOOKUP(A503,[1]Customer_payment_journal_line!$AL:$BO,30,0)</f>
        <v>CPay-000000048</v>
      </c>
      <c r="D503" t="s">
        <v>53</v>
      </c>
      <c r="E503" t="s">
        <v>1996</v>
      </c>
      <c r="F503" t="s">
        <v>1997</v>
      </c>
      <c r="G503" t="s">
        <v>1804</v>
      </c>
      <c r="H503" t="s">
        <v>57</v>
      </c>
      <c r="I503" t="s">
        <v>95</v>
      </c>
      <c r="J503" t="s">
        <v>1988</v>
      </c>
      <c r="K503" t="s">
        <v>1989</v>
      </c>
      <c r="L503">
        <f>VLOOKUP(A503,[1]Customer_payment_journal_line!$B:$L,11,0)</f>
        <v>855</v>
      </c>
      <c r="M503" s="1">
        <v>855</v>
      </c>
      <c r="N503" s="2">
        <f>L503-M503</f>
        <v>0</v>
      </c>
      <c r="O503" t="s">
        <v>61</v>
      </c>
      <c r="P503">
        <v>100</v>
      </c>
      <c r="Q503" t="s">
        <v>52</v>
      </c>
      <c r="R503" t="s">
        <v>52</v>
      </c>
      <c r="S503" t="s">
        <v>52</v>
      </c>
      <c r="T503" t="s">
        <v>52</v>
      </c>
      <c r="U503" t="s">
        <v>52</v>
      </c>
      <c r="V503" t="s">
        <v>62</v>
      </c>
      <c r="W503" t="s">
        <v>63</v>
      </c>
      <c r="Y503" t="s">
        <v>52</v>
      </c>
      <c r="AB503" t="s">
        <v>52</v>
      </c>
      <c r="AE503" t="s">
        <v>52</v>
      </c>
      <c r="AF503" t="s">
        <v>52</v>
      </c>
      <c r="AH503">
        <v>0</v>
      </c>
      <c r="AI503">
        <v>0</v>
      </c>
      <c r="AJ503" t="s">
        <v>52</v>
      </c>
      <c r="AK503">
        <v>0</v>
      </c>
      <c r="AL503" t="s">
        <v>52</v>
      </c>
      <c r="AM503" t="s">
        <v>52</v>
      </c>
      <c r="AN503">
        <v>0</v>
      </c>
      <c r="AO503">
        <v>0</v>
      </c>
      <c r="AP503" t="s">
        <v>52</v>
      </c>
      <c r="AQ503" t="s">
        <v>52</v>
      </c>
      <c r="AR503" t="s">
        <v>62</v>
      </c>
      <c r="AS503" t="s">
        <v>52</v>
      </c>
      <c r="AT503" t="s">
        <v>52</v>
      </c>
      <c r="AU503" t="s">
        <v>64</v>
      </c>
      <c r="AV503" t="s">
        <v>62</v>
      </c>
      <c r="AW503" t="s">
        <v>65</v>
      </c>
      <c r="AX503" t="s">
        <v>66</v>
      </c>
      <c r="AY503" t="s">
        <v>67</v>
      </c>
    </row>
    <row r="504" spans="1:51" hidden="1" x14ac:dyDescent="0.25">
      <c r="A504">
        <v>405974</v>
      </c>
      <c r="B504" t="s">
        <v>1998</v>
      </c>
      <c r="C504" t="str">
        <f>VLOOKUP(A504,[1]Customer_payment_journal_line!$AL:$BO,30,0)</f>
        <v>CPay-000000048</v>
      </c>
      <c r="D504" t="s">
        <v>53</v>
      </c>
      <c r="E504" t="s">
        <v>1996</v>
      </c>
      <c r="F504" t="s">
        <v>1997</v>
      </c>
      <c r="G504" t="s">
        <v>1804</v>
      </c>
      <c r="H504" t="s">
        <v>69</v>
      </c>
      <c r="I504" t="s">
        <v>1991</v>
      </c>
      <c r="J504" t="s">
        <v>1988</v>
      </c>
      <c r="K504" t="s">
        <v>1989</v>
      </c>
      <c r="L504">
        <f>VLOOKUP(A504,[1]Customer_payment_journal_line!$B:$L,11,0)</f>
        <v>855</v>
      </c>
      <c r="M504" s="1">
        <v>0</v>
      </c>
      <c r="N504">
        <v>855</v>
      </c>
      <c r="O504" t="s">
        <v>61</v>
      </c>
      <c r="P504">
        <v>100</v>
      </c>
      <c r="Q504" t="s">
        <v>52</v>
      </c>
      <c r="R504" t="s">
        <v>52</v>
      </c>
      <c r="S504" t="s">
        <v>52</v>
      </c>
      <c r="T504" t="s">
        <v>52</v>
      </c>
      <c r="U504" t="s">
        <v>52</v>
      </c>
      <c r="V504" t="s">
        <v>62</v>
      </c>
      <c r="W504" t="s">
        <v>52</v>
      </c>
      <c r="Y504" t="s">
        <v>1992</v>
      </c>
      <c r="Z504" t="s">
        <v>62</v>
      </c>
      <c r="AB504" t="s">
        <v>1999</v>
      </c>
      <c r="AE504" t="s">
        <v>2000</v>
      </c>
      <c r="AF504" t="s">
        <v>52</v>
      </c>
      <c r="AH504">
        <v>0</v>
      </c>
      <c r="AI504">
        <v>0</v>
      </c>
      <c r="AJ504" t="s">
        <v>52</v>
      </c>
      <c r="AK504">
        <v>0</v>
      </c>
      <c r="AL504" t="s">
        <v>52</v>
      </c>
      <c r="AM504" t="s">
        <v>52</v>
      </c>
      <c r="AN504">
        <v>0</v>
      </c>
      <c r="AO504">
        <v>0</v>
      </c>
      <c r="AP504" t="s">
        <v>52</v>
      </c>
      <c r="AQ504" t="s">
        <v>52</v>
      </c>
      <c r="AR504" t="s">
        <v>62</v>
      </c>
      <c r="AS504" t="s">
        <v>52</v>
      </c>
      <c r="AT504" t="s">
        <v>74</v>
      </c>
      <c r="AU504" t="s">
        <v>64</v>
      </c>
      <c r="AV504" t="s">
        <v>62</v>
      </c>
      <c r="AW504" t="s">
        <v>65</v>
      </c>
      <c r="AX504" t="s">
        <v>66</v>
      </c>
      <c r="AY504" t="s">
        <v>67</v>
      </c>
    </row>
    <row r="505" spans="1:51" hidden="1" x14ac:dyDescent="0.25">
      <c r="A505">
        <v>405975</v>
      </c>
      <c r="B505" t="s">
        <v>2001</v>
      </c>
      <c r="C505" t="e">
        <f>VLOOKUP(A505,[1]Customer_payment_journal_line!$AL:$BO,30,0)</f>
        <v>#N/A</v>
      </c>
      <c r="D505" t="s">
        <v>159</v>
      </c>
      <c r="E505" t="s">
        <v>2002</v>
      </c>
      <c r="F505" t="s">
        <v>2003</v>
      </c>
      <c r="G505" t="s">
        <v>1804</v>
      </c>
      <c r="H505" t="s">
        <v>80</v>
      </c>
      <c r="I505" t="s">
        <v>766</v>
      </c>
      <c r="J505" t="s">
        <v>1988</v>
      </c>
      <c r="K505" t="s">
        <v>1989</v>
      </c>
      <c r="L505" t="s">
        <v>52</v>
      </c>
      <c r="M505">
        <v>50</v>
      </c>
      <c r="N505">
        <v>0</v>
      </c>
      <c r="O505" t="s">
        <v>126</v>
      </c>
      <c r="P505">
        <v>5285</v>
      </c>
      <c r="Q505" t="s">
        <v>52</v>
      </c>
      <c r="R505" t="s">
        <v>52</v>
      </c>
      <c r="S505" t="s">
        <v>52</v>
      </c>
      <c r="T505" t="s">
        <v>52</v>
      </c>
      <c r="U505" t="s">
        <v>52</v>
      </c>
      <c r="V505" t="s">
        <v>62</v>
      </c>
      <c r="W505" t="s">
        <v>52</v>
      </c>
      <c r="Y505" t="s">
        <v>52</v>
      </c>
      <c r="AB505" t="s">
        <v>52</v>
      </c>
      <c r="AE505" t="s">
        <v>52</v>
      </c>
      <c r="AF505" t="s">
        <v>52</v>
      </c>
      <c r="AH505">
        <v>0</v>
      </c>
      <c r="AI505">
        <v>0</v>
      </c>
      <c r="AJ505" t="s">
        <v>52</v>
      </c>
      <c r="AK505">
        <v>0</v>
      </c>
      <c r="AL505" t="s">
        <v>52</v>
      </c>
      <c r="AM505" t="s">
        <v>52</v>
      </c>
      <c r="AN505">
        <v>0</v>
      </c>
      <c r="AO505">
        <v>0</v>
      </c>
      <c r="AP505" t="s">
        <v>52</v>
      </c>
      <c r="AQ505" t="s">
        <v>52</v>
      </c>
      <c r="AR505" t="s">
        <v>62</v>
      </c>
      <c r="AS505" t="s">
        <v>52</v>
      </c>
      <c r="AT505" t="s">
        <v>52</v>
      </c>
      <c r="AU505" t="s">
        <v>64</v>
      </c>
      <c r="AV505" t="s">
        <v>62</v>
      </c>
      <c r="AW505" t="s">
        <v>65</v>
      </c>
      <c r="AX505" t="s">
        <v>66</v>
      </c>
      <c r="AY505" t="s">
        <v>165</v>
      </c>
    </row>
    <row r="506" spans="1:51" hidden="1" x14ac:dyDescent="0.25">
      <c r="A506">
        <v>405975</v>
      </c>
      <c r="B506" t="s">
        <v>2004</v>
      </c>
      <c r="C506" t="e">
        <f>VLOOKUP(A506,[1]Customer_payment_journal_line!$AL:$BO,30,0)</f>
        <v>#N/A</v>
      </c>
      <c r="D506" t="s">
        <v>159</v>
      </c>
      <c r="E506" t="s">
        <v>2002</v>
      </c>
      <c r="F506" t="s">
        <v>2003</v>
      </c>
      <c r="G506" t="s">
        <v>1804</v>
      </c>
      <c r="H506" t="s">
        <v>69</v>
      </c>
      <c r="I506" t="s">
        <v>1991</v>
      </c>
      <c r="J506" t="s">
        <v>1988</v>
      </c>
      <c r="K506" t="s">
        <v>1989</v>
      </c>
      <c r="L506" t="s">
        <v>52</v>
      </c>
      <c r="M506">
        <v>0</v>
      </c>
      <c r="N506">
        <v>50</v>
      </c>
      <c r="O506" t="s">
        <v>126</v>
      </c>
      <c r="P506">
        <v>5285</v>
      </c>
      <c r="Q506" t="s">
        <v>52</v>
      </c>
      <c r="R506" t="s">
        <v>52</v>
      </c>
      <c r="S506" t="s">
        <v>52</v>
      </c>
      <c r="T506" t="s">
        <v>52</v>
      </c>
      <c r="U506" t="s">
        <v>52</v>
      </c>
      <c r="V506" t="s">
        <v>62</v>
      </c>
      <c r="W506" t="s">
        <v>52</v>
      </c>
      <c r="Y506" t="s">
        <v>1992</v>
      </c>
      <c r="Z506" t="s">
        <v>62</v>
      </c>
      <c r="AB506" t="s">
        <v>2005</v>
      </c>
      <c r="AE506" t="s">
        <v>2006</v>
      </c>
      <c r="AF506" t="s">
        <v>52</v>
      </c>
      <c r="AH506">
        <v>0</v>
      </c>
      <c r="AI506">
        <v>0</v>
      </c>
      <c r="AJ506" t="s">
        <v>52</v>
      </c>
      <c r="AK506">
        <v>0</v>
      </c>
      <c r="AL506" t="s">
        <v>52</v>
      </c>
      <c r="AM506" t="s">
        <v>52</v>
      </c>
      <c r="AN506">
        <v>0</v>
      </c>
      <c r="AO506">
        <v>0</v>
      </c>
      <c r="AP506" t="s">
        <v>52</v>
      </c>
      <c r="AQ506" t="s">
        <v>52</v>
      </c>
      <c r="AR506" t="s">
        <v>62</v>
      </c>
      <c r="AS506" t="s">
        <v>52</v>
      </c>
      <c r="AT506" t="s">
        <v>74</v>
      </c>
      <c r="AU506" t="s">
        <v>64</v>
      </c>
      <c r="AV506" t="s">
        <v>62</v>
      </c>
      <c r="AW506" t="s">
        <v>65</v>
      </c>
      <c r="AX506" t="s">
        <v>66</v>
      </c>
      <c r="AY506" t="s">
        <v>165</v>
      </c>
    </row>
    <row r="507" spans="1:51" hidden="1" x14ac:dyDescent="0.25">
      <c r="A507">
        <v>405980</v>
      </c>
      <c r="B507" t="s">
        <v>2007</v>
      </c>
      <c r="C507" t="e">
        <f>VLOOKUP(A507,[1]Customer_payment_journal_line!$AL:$BO,30,0)</f>
        <v>#N/A</v>
      </c>
      <c r="D507" t="s">
        <v>159</v>
      </c>
      <c r="E507" t="s">
        <v>2008</v>
      </c>
      <c r="F507" t="s">
        <v>2009</v>
      </c>
      <c r="G507" t="s">
        <v>1804</v>
      </c>
      <c r="H507" t="s">
        <v>80</v>
      </c>
      <c r="I507" t="s">
        <v>269</v>
      </c>
      <c r="J507" t="s">
        <v>2010</v>
      </c>
      <c r="K507" t="s">
        <v>2011</v>
      </c>
      <c r="L507" t="s">
        <v>52</v>
      </c>
      <c r="M507">
        <v>80</v>
      </c>
      <c r="N507">
        <v>0</v>
      </c>
      <c r="O507" t="s">
        <v>178</v>
      </c>
      <c r="P507">
        <v>5085</v>
      </c>
      <c r="Q507" t="s">
        <v>52</v>
      </c>
      <c r="R507" t="s">
        <v>52</v>
      </c>
      <c r="S507" t="s">
        <v>52</v>
      </c>
      <c r="T507" t="s">
        <v>52</v>
      </c>
      <c r="U507" t="s">
        <v>52</v>
      </c>
      <c r="V507" t="s">
        <v>62</v>
      </c>
      <c r="W507" t="s">
        <v>52</v>
      </c>
      <c r="Y507" t="s">
        <v>52</v>
      </c>
      <c r="AB507" t="s">
        <v>52</v>
      </c>
      <c r="AE507" t="s">
        <v>52</v>
      </c>
      <c r="AF507" t="s">
        <v>52</v>
      </c>
      <c r="AH507">
        <v>0</v>
      </c>
      <c r="AI507">
        <v>0</v>
      </c>
      <c r="AJ507" t="s">
        <v>52</v>
      </c>
      <c r="AK507">
        <v>0</v>
      </c>
      <c r="AL507" t="s">
        <v>52</v>
      </c>
      <c r="AM507" t="s">
        <v>52</v>
      </c>
      <c r="AN507">
        <v>0</v>
      </c>
      <c r="AO507">
        <v>0</v>
      </c>
      <c r="AP507" t="s">
        <v>52</v>
      </c>
      <c r="AQ507" t="s">
        <v>52</v>
      </c>
      <c r="AR507" t="s">
        <v>62</v>
      </c>
      <c r="AS507" t="s">
        <v>52</v>
      </c>
      <c r="AT507" t="s">
        <v>52</v>
      </c>
      <c r="AU507" t="s">
        <v>64</v>
      </c>
      <c r="AV507" t="s">
        <v>62</v>
      </c>
      <c r="AW507" t="s">
        <v>65</v>
      </c>
      <c r="AX507" t="s">
        <v>66</v>
      </c>
      <c r="AY507" t="s">
        <v>165</v>
      </c>
    </row>
    <row r="508" spans="1:51" hidden="1" x14ac:dyDescent="0.25">
      <c r="A508">
        <v>405980</v>
      </c>
      <c r="B508" t="s">
        <v>2012</v>
      </c>
      <c r="C508" t="e">
        <f>VLOOKUP(A508,[1]Customer_payment_journal_line!$AL:$BO,30,0)</f>
        <v>#N/A</v>
      </c>
      <c r="D508" t="s">
        <v>159</v>
      </c>
      <c r="E508" t="s">
        <v>2008</v>
      </c>
      <c r="F508" t="s">
        <v>2009</v>
      </c>
      <c r="G508" t="s">
        <v>1804</v>
      </c>
      <c r="H508" t="s">
        <v>69</v>
      </c>
      <c r="I508" t="s">
        <v>2013</v>
      </c>
      <c r="J508" t="s">
        <v>2010</v>
      </c>
      <c r="K508" t="s">
        <v>2011</v>
      </c>
      <c r="L508" t="s">
        <v>52</v>
      </c>
      <c r="M508">
        <v>0</v>
      </c>
      <c r="N508">
        <v>80</v>
      </c>
      <c r="O508" t="s">
        <v>178</v>
      </c>
      <c r="P508">
        <v>5085</v>
      </c>
      <c r="Q508" t="s">
        <v>52</v>
      </c>
      <c r="R508" t="s">
        <v>52</v>
      </c>
      <c r="S508" t="s">
        <v>52</v>
      </c>
      <c r="T508" t="s">
        <v>52</v>
      </c>
      <c r="U508" t="s">
        <v>52</v>
      </c>
      <c r="V508" t="s">
        <v>62</v>
      </c>
      <c r="W508" t="s">
        <v>52</v>
      </c>
      <c r="Y508" t="s">
        <v>2014</v>
      </c>
      <c r="Z508" t="s">
        <v>62</v>
      </c>
      <c r="AB508" t="s">
        <v>2015</v>
      </c>
      <c r="AE508" t="s">
        <v>2016</v>
      </c>
      <c r="AF508" t="s">
        <v>52</v>
      </c>
      <c r="AH508">
        <v>0</v>
      </c>
      <c r="AI508">
        <v>0</v>
      </c>
      <c r="AJ508" t="s">
        <v>52</v>
      </c>
      <c r="AK508">
        <v>0</v>
      </c>
      <c r="AL508" t="s">
        <v>52</v>
      </c>
      <c r="AM508" t="s">
        <v>52</v>
      </c>
      <c r="AN508">
        <v>0</v>
      </c>
      <c r="AO508">
        <v>0</v>
      </c>
      <c r="AP508" t="s">
        <v>52</v>
      </c>
      <c r="AQ508" t="s">
        <v>52</v>
      </c>
      <c r="AR508" t="s">
        <v>62</v>
      </c>
      <c r="AS508" t="s">
        <v>52</v>
      </c>
      <c r="AT508" t="s">
        <v>74</v>
      </c>
      <c r="AU508" t="s">
        <v>64</v>
      </c>
      <c r="AV508" t="s">
        <v>62</v>
      </c>
      <c r="AW508" t="s">
        <v>65</v>
      </c>
      <c r="AX508" t="s">
        <v>66</v>
      </c>
      <c r="AY508" t="s">
        <v>165</v>
      </c>
    </row>
    <row r="509" spans="1:51" hidden="1" x14ac:dyDescent="0.25">
      <c r="A509">
        <v>405968</v>
      </c>
      <c r="B509" t="s">
        <v>2017</v>
      </c>
      <c r="C509" t="e">
        <f>VLOOKUP(A509,[1]Customer_payment_journal_line!$AL:$BO,30,0)</f>
        <v>#N/A</v>
      </c>
      <c r="D509" t="s">
        <v>53</v>
      </c>
      <c r="E509" t="s">
        <v>2018</v>
      </c>
      <c r="F509" t="s">
        <v>2019</v>
      </c>
      <c r="G509" t="s">
        <v>1804</v>
      </c>
      <c r="H509" t="s">
        <v>201</v>
      </c>
      <c r="I509" t="s">
        <v>58</v>
      </c>
      <c r="J509" t="s">
        <v>202</v>
      </c>
      <c r="K509" t="s">
        <v>2020</v>
      </c>
      <c r="L509" t="s">
        <v>52</v>
      </c>
      <c r="M509">
        <v>285</v>
      </c>
      <c r="N509">
        <v>0</v>
      </c>
      <c r="O509" t="s">
        <v>61</v>
      </c>
      <c r="P509">
        <v>100</v>
      </c>
      <c r="Q509" t="s">
        <v>52</v>
      </c>
      <c r="R509" t="s">
        <v>52</v>
      </c>
      <c r="S509" t="s">
        <v>52</v>
      </c>
      <c r="T509" t="s">
        <v>52</v>
      </c>
      <c r="U509" t="s">
        <v>52</v>
      </c>
      <c r="V509" t="s">
        <v>62</v>
      </c>
      <c r="W509" t="s">
        <v>63</v>
      </c>
      <c r="Y509" t="s">
        <v>52</v>
      </c>
      <c r="AB509" t="s">
        <v>2021</v>
      </c>
      <c r="AE509" t="s">
        <v>2021</v>
      </c>
      <c r="AF509" t="s">
        <v>52</v>
      </c>
      <c r="AH509">
        <v>0</v>
      </c>
      <c r="AI509">
        <v>0</v>
      </c>
      <c r="AJ509" t="s">
        <v>52</v>
      </c>
      <c r="AK509">
        <v>0</v>
      </c>
      <c r="AL509" t="s">
        <v>52</v>
      </c>
      <c r="AM509" t="s">
        <v>52</v>
      </c>
      <c r="AN509">
        <v>0</v>
      </c>
      <c r="AO509">
        <v>0</v>
      </c>
      <c r="AP509" t="s">
        <v>52</v>
      </c>
      <c r="AQ509" t="s">
        <v>52</v>
      </c>
      <c r="AR509" t="s">
        <v>62</v>
      </c>
      <c r="AS509" t="s">
        <v>52</v>
      </c>
      <c r="AT509" t="s">
        <v>52</v>
      </c>
      <c r="AU509" t="s">
        <v>64</v>
      </c>
      <c r="AV509" t="s">
        <v>62</v>
      </c>
      <c r="AW509" t="s">
        <v>65</v>
      </c>
      <c r="AX509" t="s">
        <v>66</v>
      </c>
      <c r="AY509" t="s">
        <v>67</v>
      </c>
    </row>
    <row r="510" spans="1:51" hidden="1" x14ac:dyDescent="0.25">
      <c r="A510">
        <v>405968</v>
      </c>
      <c r="B510" t="s">
        <v>2022</v>
      </c>
      <c r="C510" t="e">
        <f>VLOOKUP(A510,[1]Customer_payment_journal_line!$AL:$BO,30,0)</f>
        <v>#N/A</v>
      </c>
      <c r="D510" t="s">
        <v>53</v>
      </c>
      <c r="E510" t="s">
        <v>2018</v>
      </c>
      <c r="F510" t="s">
        <v>2019</v>
      </c>
      <c r="G510" t="s">
        <v>1804</v>
      </c>
      <c r="H510" t="s">
        <v>69</v>
      </c>
      <c r="I510" t="s">
        <v>2023</v>
      </c>
      <c r="J510" t="s">
        <v>2024</v>
      </c>
      <c r="K510" t="s">
        <v>2020</v>
      </c>
      <c r="L510" t="s">
        <v>52</v>
      </c>
      <c r="M510">
        <v>0</v>
      </c>
      <c r="N510">
        <v>5</v>
      </c>
      <c r="O510" t="s">
        <v>126</v>
      </c>
      <c r="P510">
        <v>5285</v>
      </c>
      <c r="Q510" t="s">
        <v>52</v>
      </c>
      <c r="R510" t="s">
        <v>52</v>
      </c>
      <c r="S510" t="s">
        <v>52</v>
      </c>
      <c r="T510" t="s">
        <v>52</v>
      </c>
      <c r="U510" t="s">
        <v>52</v>
      </c>
      <c r="V510" t="s">
        <v>62</v>
      </c>
      <c r="W510" t="s">
        <v>52</v>
      </c>
      <c r="Y510" t="s">
        <v>2025</v>
      </c>
      <c r="Z510" t="s">
        <v>62</v>
      </c>
      <c r="AB510" t="s">
        <v>2021</v>
      </c>
      <c r="AE510" t="s">
        <v>2021</v>
      </c>
      <c r="AF510" t="s">
        <v>52</v>
      </c>
      <c r="AH510">
        <v>0</v>
      </c>
      <c r="AI510">
        <v>0</v>
      </c>
      <c r="AJ510" t="s">
        <v>52</v>
      </c>
      <c r="AK510">
        <v>0</v>
      </c>
      <c r="AL510" t="s">
        <v>52</v>
      </c>
      <c r="AM510" t="s">
        <v>52</v>
      </c>
      <c r="AN510">
        <v>0</v>
      </c>
      <c r="AO510">
        <v>0</v>
      </c>
      <c r="AP510" t="s">
        <v>52</v>
      </c>
      <c r="AQ510" t="s">
        <v>52</v>
      </c>
      <c r="AR510" t="s">
        <v>62</v>
      </c>
      <c r="AS510" t="s">
        <v>52</v>
      </c>
      <c r="AT510" t="s">
        <v>74</v>
      </c>
      <c r="AU510" t="s">
        <v>64</v>
      </c>
      <c r="AV510" t="s">
        <v>62</v>
      </c>
      <c r="AW510" t="s">
        <v>65</v>
      </c>
      <c r="AX510" t="s">
        <v>66</v>
      </c>
      <c r="AY510" t="s">
        <v>67</v>
      </c>
    </row>
    <row r="511" spans="1:51" hidden="1" x14ac:dyDescent="0.25">
      <c r="A511">
        <v>405968</v>
      </c>
      <c r="B511" t="s">
        <v>2026</v>
      </c>
      <c r="C511" t="e">
        <f>VLOOKUP(A511,[1]Customer_payment_journal_line!$AL:$BO,30,0)</f>
        <v>#N/A</v>
      </c>
      <c r="D511" t="s">
        <v>53</v>
      </c>
      <c r="E511" t="s">
        <v>2018</v>
      </c>
      <c r="F511" t="s">
        <v>2019</v>
      </c>
      <c r="G511" t="s">
        <v>1804</v>
      </c>
      <c r="H511" t="s">
        <v>210</v>
      </c>
      <c r="I511" t="s">
        <v>2027</v>
      </c>
      <c r="J511" t="s">
        <v>52</v>
      </c>
      <c r="K511" t="s">
        <v>2020</v>
      </c>
      <c r="L511" t="s">
        <v>52</v>
      </c>
      <c r="M511">
        <v>0</v>
      </c>
      <c r="N511">
        <v>20.75</v>
      </c>
      <c r="O511" t="s">
        <v>61</v>
      </c>
      <c r="P511">
        <v>100</v>
      </c>
      <c r="Q511" t="s">
        <v>52</v>
      </c>
      <c r="R511" t="s">
        <v>52</v>
      </c>
      <c r="S511" t="s">
        <v>52</v>
      </c>
      <c r="T511" t="s">
        <v>52</v>
      </c>
      <c r="U511" t="s">
        <v>52</v>
      </c>
      <c r="V511" t="s">
        <v>62</v>
      </c>
      <c r="W511" t="s">
        <v>63</v>
      </c>
      <c r="Y511" t="s">
        <v>2025</v>
      </c>
      <c r="AB511" t="s">
        <v>2021</v>
      </c>
      <c r="AE511" t="s">
        <v>2021</v>
      </c>
      <c r="AF511" t="s">
        <v>52</v>
      </c>
      <c r="AH511">
        <v>0</v>
      </c>
      <c r="AI511">
        <v>0</v>
      </c>
      <c r="AJ511" t="s">
        <v>52</v>
      </c>
      <c r="AK511">
        <v>0</v>
      </c>
      <c r="AL511" t="s">
        <v>52</v>
      </c>
      <c r="AM511" t="s">
        <v>52</v>
      </c>
      <c r="AN511">
        <v>0</v>
      </c>
      <c r="AO511">
        <v>0</v>
      </c>
      <c r="AP511" t="s">
        <v>52</v>
      </c>
      <c r="AQ511" t="s">
        <v>52</v>
      </c>
      <c r="AR511" t="s">
        <v>62</v>
      </c>
      <c r="AS511" t="s">
        <v>52</v>
      </c>
      <c r="AT511" t="s">
        <v>52</v>
      </c>
      <c r="AU511" t="s">
        <v>64</v>
      </c>
      <c r="AV511" t="s">
        <v>62</v>
      </c>
      <c r="AW511" t="s">
        <v>65</v>
      </c>
      <c r="AX511" t="s">
        <v>66</v>
      </c>
      <c r="AY511" t="s">
        <v>67</v>
      </c>
    </row>
    <row r="512" spans="1:51" hidden="1" x14ac:dyDescent="0.25">
      <c r="A512">
        <v>405969</v>
      </c>
      <c r="B512" t="s">
        <v>2028</v>
      </c>
      <c r="C512" t="e">
        <f>VLOOKUP(A512,[1]Customer_payment_journal_line!$AL:$BO,30,0)</f>
        <v>#N/A</v>
      </c>
      <c r="D512" t="s">
        <v>53</v>
      </c>
      <c r="E512" t="s">
        <v>2029</v>
      </c>
      <c r="F512" t="s">
        <v>2030</v>
      </c>
      <c r="G512" t="s">
        <v>1804</v>
      </c>
      <c r="H512" t="s">
        <v>57</v>
      </c>
      <c r="I512" t="s">
        <v>58</v>
      </c>
      <c r="J512" t="s">
        <v>2031</v>
      </c>
      <c r="K512" t="s">
        <v>2020</v>
      </c>
      <c r="L512" t="s">
        <v>52</v>
      </c>
      <c r="M512">
        <v>855</v>
      </c>
      <c r="N512">
        <v>0</v>
      </c>
      <c r="O512" t="s">
        <v>61</v>
      </c>
      <c r="P512">
        <v>100</v>
      </c>
      <c r="Q512" t="s">
        <v>52</v>
      </c>
      <c r="R512" t="s">
        <v>52</v>
      </c>
      <c r="S512" t="s">
        <v>52</v>
      </c>
      <c r="T512" t="s">
        <v>52</v>
      </c>
      <c r="U512" t="s">
        <v>52</v>
      </c>
      <c r="V512" t="s">
        <v>62</v>
      </c>
      <c r="W512" t="s">
        <v>63</v>
      </c>
      <c r="Y512" t="s">
        <v>52</v>
      </c>
      <c r="AB512" t="s">
        <v>52</v>
      </c>
      <c r="AE512" t="s">
        <v>52</v>
      </c>
      <c r="AF512" t="s">
        <v>52</v>
      </c>
      <c r="AH512">
        <v>0</v>
      </c>
      <c r="AI512">
        <v>0</v>
      </c>
      <c r="AJ512" t="s">
        <v>52</v>
      </c>
      <c r="AK512">
        <v>0</v>
      </c>
      <c r="AL512" t="s">
        <v>52</v>
      </c>
      <c r="AM512" t="s">
        <v>52</v>
      </c>
      <c r="AN512">
        <v>0</v>
      </c>
      <c r="AO512">
        <v>0</v>
      </c>
      <c r="AP512" t="s">
        <v>52</v>
      </c>
      <c r="AQ512" t="s">
        <v>52</v>
      </c>
      <c r="AR512" t="s">
        <v>62</v>
      </c>
      <c r="AS512" t="s">
        <v>52</v>
      </c>
      <c r="AT512" t="s">
        <v>52</v>
      </c>
      <c r="AU512" t="s">
        <v>64</v>
      </c>
      <c r="AV512" t="s">
        <v>62</v>
      </c>
      <c r="AW512" t="s">
        <v>65</v>
      </c>
      <c r="AX512" t="s">
        <v>66</v>
      </c>
      <c r="AY512" t="s">
        <v>67</v>
      </c>
    </row>
    <row r="513" spans="1:51" hidden="1" x14ac:dyDescent="0.25">
      <c r="A513">
        <v>405969</v>
      </c>
      <c r="B513" t="s">
        <v>2032</v>
      </c>
      <c r="C513" t="e">
        <f>VLOOKUP(A513,[1]Customer_payment_journal_line!$AL:$BO,30,0)</f>
        <v>#N/A</v>
      </c>
      <c r="D513" t="s">
        <v>53</v>
      </c>
      <c r="E513" t="s">
        <v>2029</v>
      </c>
      <c r="F513" t="s">
        <v>2030</v>
      </c>
      <c r="G513" t="s">
        <v>1804</v>
      </c>
      <c r="H513" t="s">
        <v>69</v>
      </c>
      <c r="I513" t="s">
        <v>2023</v>
      </c>
      <c r="J513" t="s">
        <v>2031</v>
      </c>
      <c r="K513" t="s">
        <v>2020</v>
      </c>
      <c r="L513" t="s">
        <v>52</v>
      </c>
      <c r="M513">
        <v>0</v>
      </c>
      <c r="N513">
        <v>855</v>
      </c>
      <c r="O513" t="s">
        <v>61</v>
      </c>
      <c r="P513">
        <v>100</v>
      </c>
      <c r="Q513" t="s">
        <v>52</v>
      </c>
      <c r="R513" t="s">
        <v>52</v>
      </c>
      <c r="S513" t="s">
        <v>52</v>
      </c>
      <c r="T513" t="s">
        <v>52</v>
      </c>
      <c r="U513" t="s">
        <v>52</v>
      </c>
      <c r="V513" t="s">
        <v>62</v>
      </c>
      <c r="W513" t="s">
        <v>52</v>
      </c>
      <c r="Y513" t="s">
        <v>2025</v>
      </c>
      <c r="Z513" t="s">
        <v>62</v>
      </c>
      <c r="AB513" t="s">
        <v>2033</v>
      </c>
      <c r="AE513" t="s">
        <v>2034</v>
      </c>
      <c r="AF513" t="s">
        <v>52</v>
      </c>
      <c r="AH513">
        <v>0</v>
      </c>
      <c r="AI513">
        <v>0</v>
      </c>
      <c r="AJ513" t="s">
        <v>52</v>
      </c>
      <c r="AK513">
        <v>0</v>
      </c>
      <c r="AL513" t="s">
        <v>52</v>
      </c>
      <c r="AM513" t="s">
        <v>52</v>
      </c>
      <c r="AN513">
        <v>0</v>
      </c>
      <c r="AO513">
        <v>0</v>
      </c>
      <c r="AP513" t="s">
        <v>52</v>
      </c>
      <c r="AQ513" t="s">
        <v>52</v>
      </c>
      <c r="AR513" t="s">
        <v>62</v>
      </c>
      <c r="AS513" t="s">
        <v>52</v>
      </c>
      <c r="AT513" t="s">
        <v>74</v>
      </c>
      <c r="AU513" t="s">
        <v>64</v>
      </c>
      <c r="AV513" t="s">
        <v>62</v>
      </c>
      <c r="AW513" t="s">
        <v>65</v>
      </c>
      <c r="AX513" t="s">
        <v>66</v>
      </c>
      <c r="AY513" t="s">
        <v>67</v>
      </c>
    </row>
    <row r="514" spans="1:51" hidden="1" x14ac:dyDescent="0.25">
      <c r="A514">
        <v>405970</v>
      </c>
      <c r="B514" t="s">
        <v>2035</v>
      </c>
      <c r="C514" t="e">
        <f>VLOOKUP(A514,[1]Customer_payment_journal_line!$AL:$BO,30,0)</f>
        <v>#N/A</v>
      </c>
      <c r="D514" t="s">
        <v>53</v>
      </c>
      <c r="E514" t="s">
        <v>2036</v>
      </c>
      <c r="F514" t="s">
        <v>2037</v>
      </c>
      <c r="G514" t="s">
        <v>1804</v>
      </c>
      <c r="H514" t="s">
        <v>57</v>
      </c>
      <c r="I514" t="s">
        <v>58</v>
      </c>
      <c r="J514" t="s">
        <v>2031</v>
      </c>
      <c r="K514" t="s">
        <v>2020</v>
      </c>
      <c r="L514" t="s">
        <v>52</v>
      </c>
      <c r="M514">
        <v>684</v>
      </c>
      <c r="N514">
        <v>0</v>
      </c>
      <c r="O514" t="s">
        <v>61</v>
      </c>
      <c r="P514">
        <v>100</v>
      </c>
      <c r="Q514" t="s">
        <v>52</v>
      </c>
      <c r="R514" t="s">
        <v>52</v>
      </c>
      <c r="S514" t="s">
        <v>52</v>
      </c>
      <c r="T514" t="s">
        <v>52</v>
      </c>
      <c r="U514" t="s">
        <v>52</v>
      </c>
      <c r="V514" t="s">
        <v>62</v>
      </c>
      <c r="W514" t="s">
        <v>63</v>
      </c>
      <c r="Y514" t="s">
        <v>52</v>
      </c>
      <c r="AB514" t="s">
        <v>52</v>
      </c>
      <c r="AE514" t="s">
        <v>52</v>
      </c>
      <c r="AF514" t="s">
        <v>52</v>
      </c>
      <c r="AH514">
        <v>0</v>
      </c>
      <c r="AI514">
        <v>0</v>
      </c>
      <c r="AJ514" t="s">
        <v>52</v>
      </c>
      <c r="AK514">
        <v>0</v>
      </c>
      <c r="AL514" t="s">
        <v>52</v>
      </c>
      <c r="AM514" t="s">
        <v>52</v>
      </c>
      <c r="AN514">
        <v>0</v>
      </c>
      <c r="AO514">
        <v>0</v>
      </c>
      <c r="AP514" t="s">
        <v>52</v>
      </c>
      <c r="AQ514" t="s">
        <v>52</v>
      </c>
      <c r="AR514" t="s">
        <v>62</v>
      </c>
      <c r="AS514" t="s">
        <v>52</v>
      </c>
      <c r="AT514" t="s">
        <v>52</v>
      </c>
      <c r="AU514" t="s">
        <v>64</v>
      </c>
      <c r="AV514" t="s">
        <v>62</v>
      </c>
      <c r="AW514" t="s">
        <v>65</v>
      </c>
      <c r="AX514" t="s">
        <v>66</v>
      </c>
      <c r="AY514" t="s">
        <v>67</v>
      </c>
    </row>
    <row r="515" spans="1:51" hidden="1" x14ac:dyDescent="0.25">
      <c r="A515">
        <v>405970</v>
      </c>
      <c r="B515" t="s">
        <v>2038</v>
      </c>
      <c r="C515" t="e">
        <f>VLOOKUP(A515,[1]Customer_payment_journal_line!$AL:$BO,30,0)</f>
        <v>#N/A</v>
      </c>
      <c r="D515" t="s">
        <v>53</v>
      </c>
      <c r="E515" t="s">
        <v>2036</v>
      </c>
      <c r="F515" t="s">
        <v>2037</v>
      </c>
      <c r="G515" t="s">
        <v>1804</v>
      </c>
      <c r="H515" t="s">
        <v>69</v>
      </c>
      <c r="I515" t="s">
        <v>2023</v>
      </c>
      <c r="J515" t="s">
        <v>2031</v>
      </c>
      <c r="K515" t="s">
        <v>2020</v>
      </c>
      <c r="L515" t="s">
        <v>52</v>
      </c>
      <c r="M515">
        <v>0</v>
      </c>
      <c r="N515">
        <v>684</v>
      </c>
      <c r="O515" t="s">
        <v>61</v>
      </c>
      <c r="P515">
        <v>100</v>
      </c>
      <c r="Q515" t="s">
        <v>52</v>
      </c>
      <c r="R515" t="s">
        <v>52</v>
      </c>
      <c r="S515" t="s">
        <v>52</v>
      </c>
      <c r="T515" t="s">
        <v>52</v>
      </c>
      <c r="U515" t="s">
        <v>52</v>
      </c>
      <c r="V515" t="s">
        <v>62</v>
      </c>
      <c r="W515" t="s">
        <v>52</v>
      </c>
      <c r="Y515" t="s">
        <v>2025</v>
      </c>
      <c r="Z515" t="s">
        <v>62</v>
      </c>
      <c r="AB515" t="s">
        <v>2039</v>
      </c>
      <c r="AE515" t="s">
        <v>2040</v>
      </c>
      <c r="AF515" t="s">
        <v>52</v>
      </c>
      <c r="AH515">
        <v>0</v>
      </c>
      <c r="AI515">
        <v>0</v>
      </c>
      <c r="AJ515" t="s">
        <v>52</v>
      </c>
      <c r="AK515">
        <v>0</v>
      </c>
      <c r="AL515" t="s">
        <v>52</v>
      </c>
      <c r="AM515" t="s">
        <v>52</v>
      </c>
      <c r="AN515">
        <v>0</v>
      </c>
      <c r="AO515">
        <v>0</v>
      </c>
      <c r="AP515" t="s">
        <v>52</v>
      </c>
      <c r="AQ515" t="s">
        <v>52</v>
      </c>
      <c r="AR515" t="s">
        <v>62</v>
      </c>
      <c r="AS515" t="s">
        <v>52</v>
      </c>
      <c r="AT515" t="s">
        <v>74</v>
      </c>
      <c r="AU515" t="s">
        <v>64</v>
      </c>
      <c r="AV515" t="s">
        <v>62</v>
      </c>
      <c r="AW515" t="s">
        <v>65</v>
      </c>
      <c r="AX515" t="s">
        <v>66</v>
      </c>
      <c r="AY515" t="s">
        <v>67</v>
      </c>
    </row>
    <row r="516" spans="1:51" hidden="1" x14ac:dyDescent="0.25">
      <c r="A516">
        <v>202681</v>
      </c>
      <c r="B516" t="s">
        <v>2041</v>
      </c>
      <c r="C516" t="e">
        <f>VLOOKUP(A516,[1]Customer_payment_journal_line!$AL:$BO,30,0)</f>
        <v>#N/A</v>
      </c>
      <c r="D516" t="s">
        <v>53</v>
      </c>
      <c r="E516" t="s">
        <v>2042</v>
      </c>
      <c r="F516" t="s">
        <v>2043</v>
      </c>
      <c r="G516" t="s">
        <v>1804</v>
      </c>
      <c r="H516" t="s">
        <v>57</v>
      </c>
      <c r="I516" t="s">
        <v>58</v>
      </c>
      <c r="J516" t="s">
        <v>2044</v>
      </c>
      <c r="K516" t="s">
        <v>2045</v>
      </c>
      <c r="L516" t="s">
        <v>52</v>
      </c>
      <c r="M516">
        <v>2850</v>
      </c>
      <c r="N516">
        <v>0</v>
      </c>
      <c r="O516" t="s">
        <v>61</v>
      </c>
      <c r="P516">
        <v>100</v>
      </c>
      <c r="Q516" t="s">
        <v>52</v>
      </c>
      <c r="R516" t="s">
        <v>52</v>
      </c>
      <c r="S516" t="s">
        <v>52</v>
      </c>
      <c r="T516" t="s">
        <v>52</v>
      </c>
      <c r="U516" t="s">
        <v>52</v>
      </c>
      <c r="V516" t="s">
        <v>62</v>
      </c>
      <c r="W516" t="s">
        <v>63</v>
      </c>
      <c r="Y516" t="s">
        <v>52</v>
      </c>
      <c r="AB516" t="s">
        <v>52</v>
      </c>
      <c r="AE516" t="s">
        <v>52</v>
      </c>
      <c r="AF516" t="s">
        <v>52</v>
      </c>
      <c r="AH516">
        <v>0</v>
      </c>
      <c r="AI516">
        <v>0</v>
      </c>
      <c r="AJ516" t="s">
        <v>52</v>
      </c>
      <c r="AK516">
        <v>0</v>
      </c>
      <c r="AL516" t="s">
        <v>52</v>
      </c>
      <c r="AM516" t="s">
        <v>52</v>
      </c>
      <c r="AN516">
        <v>0</v>
      </c>
      <c r="AO516">
        <v>0</v>
      </c>
      <c r="AP516" t="s">
        <v>52</v>
      </c>
      <c r="AQ516" t="s">
        <v>52</v>
      </c>
      <c r="AR516" t="s">
        <v>62</v>
      </c>
      <c r="AS516" t="s">
        <v>52</v>
      </c>
      <c r="AT516" t="s">
        <v>52</v>
      </c>
      <c r="AU516" t="s">
        <v>64</v>
      </c>
      <c r="AV516" t="s">
        <v>62</v>
      </c>
      <c r="AW516" t="s">
        <v>65</v>
      </c>
      <c r="AX516" t="s">
        <v>66</v>
      </c>
      <c r="AY516" t="s">
        <v>67</v>
      </c>
    </row>
    <row r="517" spans="1:51" hidden="1" x14ac:dyDescent="0.25">
      <c r="A517">
        <v>202681</v>
      </c>
      <c r="B517" t="s">
        <v>2046</v>
      </c>
      <c r="C517" t="e">
        <f>VLOOKUP(A517,[1]Customer_payment_journal_line!$AL:$BO,30,0)</f>
        <v>#N/A</v>
      </c>
      <c r="D517" t="s">
        <v>53</v>
      </c>
      <c r="E517" t="s">
        <v>2042</v>
      </c>
      <c r="F517" t="s">
        <v>2043</v>
      </c>
      <c r="G517" t="s">
        <v>1804</v>
      </c>
      <c r="H517" t="s">
        <v>69</v>
      </c>
      <c r="I517" t="s">
        <v>2047</v>
      </c>
      <c r="J517" t="s">
        <v>2044</v>
      </c>
      <c r="K517" t="s">
        <v>2045</v>
      </c>
      <c r="L517" t="s">
        <v>52</v>
      </c>
      <c r="M517">
        <v>0</v>
      </c>
      <c r="N517">
        <v>2850</v>
      </c>
      <c r="O517" t="s">
        <v>61</v>
      </c>
      <c r="P517">
        <v>100</v>
      </c>
      <c r="Q517" t="s">
        <v>52</v>
      </c>
      <c r="R517" t="s">
        <v>52</v>
      </c>
      <c r="S517" t="s">
        <v>52</v>
      </c>
      <c r="T517" t="s">
        <v>52</v>
      </c>
      <c r="U517" t="s">
        <v>52</v>
      </c>
      <c r="V517" t="s">
        <v>62</v>
      </c>
      <c r="W517" t="s">
        <v>52</v>
      </c>
      <c r="Y517" t="s">
        <v>2048</v>
      </c>
      <c r="Z517" t="s">
        <v>62</v>
      </c>
      <c r="AB517" t="s">
        <v>2049</v>
      </c>
      <c r="AE517" t="s">
        <v>2050</v>
      </c>
      <c r="AF517" t="s">
        <v>52</v>
      </c>
      <c r="AH517">
        <v>0</v>
      </c>
      <c r="AI517">
        <v>0</v>
      </c>
      <c r="AJ517" t="s">
        <v>52</v>
      </c>
      <c r="AK517">
        <v>0</v>
      </c>
      <c r="AL517" t="s">
        <v>52</v>
      </c>
      <c r="AM517" t="s">
        <v>52</v>
      </c>
      <c r="AN517">
        <v>0</v>
      </c>
      <c r="AO517">
        <v>0</v>
      </c>
      <c r="AP517" t="s">
        <v>52</v>
      </c>
      <c r="AQ517" t="s">
        <v>52</v>
      </c>
      <c r="AR517" t="s">
        <v>62</v>
      </c>
      <c r="AS517" t="s">
        <v>52</v>
      </c>
      <c r="AT517" t="s">
        <v>74</v>
      </c>
      <c r="AU517" t="s">
        <v>64</v>
      </c>
      <c r="AV517" t="s">
        <v>62</v>
      </c>
      <c r="AW517" t="s">
        <v>65</v>
      </c>
      <c r="AX517" t="s">
        <v>66</v>
      </c>
      <c r="AY517" t="s">
        <v>67</v>
      </c>
    </row>
    <row r="518" spans="1:51" hidden="1" x14ac:dyDescent="0.25">
      <c r="A518">
        <v>202685</v>
      </c>
      <c r="B518" t="s">
        <v>2051</v>
      </c>
      <c r="C518" t="e">
        <f>VLOOKUP(A518,[1]Customer_payment_journal_line!$AL:$BO,30,0)</f>
        <v>#N/A</v>
      </c>
      <c r="D518" t="s">
        <v>53</v>
      </c>
      <c r="E518" t="s">
        <v>2052</v>
      </c>
      <c r="F518" t="s">
        <v>2053</v>
      </c>
      <c r="G518" t="s">
        <v>1804</v>
      </c>
      <c r="H518" t="s">
        <v>57</v>
      </c>
      <c r="I518" t="s">
        <v>319</v>
      </c>
      <c r="J518" t="s">
        <v>1312</v>
      </c>
      <c r="K518" t="s">
        <v>1297</v>
      </c>
      <c r="L518" t="s">
        <v>52</v>
      </c>
      <c r="M518">
        <v>410.4</v>
      </c>
      <c r="N518">
        <v>0</v>
      </c>
      <c r="O518" t="s">
        <v>61</v>
      </c>
      <c r="P518">
        <v>100</v>
      </c>
      <c r="Q518" t="s">
        <v>52</v>
      </c>
      <c r="R518" t="s">
        <v>52</v>
      </c>
      <c r="S518" t="s">
        <v>52</v>
      </c>
      <c r="T518" t="s">
        <v>52</v>
      </c>
      <c r="U518" t="s">
        <v>52</v>
      </c>
      <c r="V518" t="s">
        <v>62</v>
      </c>
      <c r="W518" t="s">
        <v>63</v>
      </c>
      <c r="Y518" t="s">
        <v>52</v>
      </c>
      <c r="AB518" t="s">
        <v>52</v>
      </c>
      <c r="AE518" t="s">
        <v>52</v>
      </c>
      <c r="AF518" t="s">
        <v>52</v>
      </c>
      <c r="AH518">
        <v>0</v>
      </c>
      <c r="AI518">
        <v>0</v>
      </c>
      <c r="AJ518" t="s">
        <v>52</v>
      </c>
      <c r="AK518">
        <v>0</v>
      </c>
      <c r="AL518" t="s">
        <v>52</v>
      </c>
      <c r="AM518" t="s">
        <v>52</v>
      </c>
      <c r="AN518">
        <v>0</v>
      </c>
      <c r="AO518">
        <v>0</v>
      </c>
      <c r="AP518" t="s">
        <v>52</v>
      </c>
      <c r="AQ518" t="s">
        <v>52</v>
      </c>
      <c r="AR518" t="s">
        <v>62</v>
      </c>
      <c r="AS518" t="s">
        <v>52</v>
      </c>
      <c r="AT518" t="s">
        <v>52</v>
      </c>
      <c r="AU518" t="s">
        <v>64</v>
      </c>
      <c r="AV518" t="s">
        <v>62</v>
      </c>
      <c r="AW518" t="s">
        <v>65</v>
      </c>
      <c r="AX518" t="s">
        <v>66</v>
      </c>
      <c r="AY518" t="s">
        <v>67</v>
      </c>
    </row>
    <row r="519" spans="1:51" hidden="1" x14ac:dyDescent="0.25">
      <c r="A519">
        <v>202685</v>
      </c>
      <c r="B519" t="s">
        <v>2054</v>
      </c>
      <c r="C519" t="e">
        <f>VLOOKUP(A519,[1]Customer_payment_journal_line!$AL:$BO,30,0)</f>
        <v>#N/A</v>
      </c>
      <c r="D519" t="s">
        <v>53</v>
      </c>
      <c r="E519" t="s">
        <v>2052</v>
      </c>
      <c r="F519" t="s">
        <v>2053</v>
      </c>
      <c r="G519" t="s">
        <v>1804</v>
      </c>
      <c r="H519" t="s">
        <v>69</v>
      </c>
      <c r="I519" t="s">
        <v>1299</v>
      </c>
      <c r="J519" t="s">
        <v>1312</v>
      </c>
      <c r="K519" t="s">
        <v>1297</v>
      </c>
      <c r="L519" t="s">
        <v>52</v>
      </c>
      <c r="M519">
        <v>0</v>
      </c>
      <c r="N519">
        <v>410.4</v>
      </c>
      <c r="O519" t="s">
        <v>61</v>
      </c>
      <c r="P519">
        <v>100</v>
      </c>
      <c r="Q519" t="s">
        <v>52</v>
      </c>
      <c r="R519" t="s">
        <v>52</v>
      </c>
      <c r="S519" t="s">
        <v>52</v>
      </c>
      <c r="T519" t="s">
        <v>52</v>
      </c>
      <c r="U519" t="s">
        <v>52</v>
      </c>
      <c r="V519" t="s">
        <v>62</v>
      </c>
      <c r="W519" t="s">
        <v>52</v>
      </c>
      <c r="Y519" t="s">
        <v>1300</v>
      </c>
      <c r="Z519" t="s">
        <v>62</v>
      </c>
      <c r="AB519" t="s">
        <v>2055</v>
      </c>
      <c r="AE519" t="s">
        <v>2056</v>
      </c>
      <c r="AF519" t="s">
        <v>52</v>
      </c>
      <c r="AH519">
        <v>0</v>
      </c>
      <c r="AI519">
        <v>0</v>
      </c>
      <c r="AJ519" t="s">
        <v>52</v>
      </c>
      <c r="AK519">
        <v>0</v>
      </c>
      <c r="AL519" t="s">
        <v>52</v>
      </c>
      <c r="AM519" t="s">
        <v>52</v>
      </c>
      <c r="AN519">
        <v>0</v>
      </c>
      <c r="AO519">
        <v>0</v>
      </c>
      <c r="AP519" t="s">
        <v>52</v>
      </c>
      <c r="AQ519" t="s">
        <v>52</v>
      </c>
      <c r="AR519" t="s">
        <v>62</v>
      </c>
      <c r="AS519" t="s">
        <v>52</v>
      </c>
      <c r="AT519" t="s">
        <v>74</v>
      </c>
      <c r="AU519" t="s">
        <v>64</v>
      </c>
      <c r="AV519" t="s">
        <v>62</v>
      </c>
      <c r="AW519" t="s">
        <v>65</v>
      </c>
      <c r="AX519" t="s">
        <v>66</v>
      </c>
      <c r="AY519" t="s">
        <v>67</v>
      </c>
    </row>
    <row r="520" spans="1:51" hidden="1" x14ac:dyDescent="0.25">
      <c r="A520">
        <v>202688</v>
      </c>
      <c r="B520" t="s">
        <v>2057</v>
      </c>
      <c r="C520" t="e">
        <f>VLOOKUP(A520,[1]Customer_payment_journal_line!$AL:$BO,30,0)</f>
        <v>#N/A</v>
      </c>
      <c r="D520" t="s">
        <v>53</v>
      </c>
      <c r="E520" t="s">
        <v>2058</v>
      </c>
      <c r="F520" t="s">
        <v>2059</v>
      </c>
      <c r="G520" t="s">
        <v>1804</v>
      </c>
      <c r="H520" t="s">
        <v>57</v>
      </c>
      <c r="I520" t="s">
        <v>319</v>
      </c>
      <c r="J520" t="s">
        <v>2060</v>
      </c>
      <c r="K520" t="s">
        <v>2061</v>
      </c>
      <c r="L520" t="s">
        <v>52</v>
      </c>
      <c r="M520">
        <v>900</v>
      </c>
      <c r="N520">
        <v>0</v>
      </c>
      <c r="O520" t="s">
        <v>61</v>
      </c>
      <c r="P520">
        <v>100</v>
      </c>
      <c r="Q520" t="s">
        <v>52</v>
      </c>
      <c r="R520" t="s">
        <v>52</v>
      </c>
      <c r="S520" t="s">
        <v>52</v>
      </c>
      <c r="T520" t="s">
        <v>52</v>
      </c>
      <c r="U520" t="s">
        <v>52</v>
      </c>
      <c r="V520" t="s">
        <v>62</v>
      </c>
      <c r="W520" t="s">
        <v>63</v>
      </c>
      <c r="Y520" t="s">
        <v>52</v>
      </c>
      <c r="AB520" t="s">
        <v>52</v>
      </c>
      <c r="AE520" t="s">
        <v>52</v>
      </c>
      <c r="AF520" t="s">
        <v>52</v>
      </c>
      <c r="AH520">
        <v>0</v>
      </c>
      <c r="AI520">
        <v>0</v>
      </c>
      <c r="AJ520" t="s">
        <v>52</v>
      </c>
      <c r="AK520">
        <v>0</v>
      </c>
      <c r="AL520" t="s">
        <v>52</v>
      </c>
      <c r="AM520" t="s">
        <v>52</v>
      </c>
      <c r="AN520">
        <v>0</v>
      </c>
      <c r="AO520">
        <v>0</v>
      </c>
      <c r="AP520" t="s">
        <v>52</v>
      </c>
      <c r="AQ520" t="s">
        <v>52</v>
      </c>
      <c r="AR520" t="s">
        <v>62</v>
      </c>
      <c r="AS520" t="s">
        <v>52</v>
      </c>
      <c r="AT520" t="s">
        <v>52</v>
      </c>
      <c r="AU520" t="s">
        <v>64</v>
      </c>
      <c r="AV520" t="s">
        <v>62</v>
      </c>
      <c r="AW520" t="s">
        <v>65</v>
      </c>
      <c r="AX520" t="s">
        <v>66</v>
      </c>
      <c r="AY520" t="s">
        <v>67</v>
      </c>
    </row>
    <row r="521" spans="1:51" hidden="1" x14ac:dyDescent="0.25">
      <c r="A521">
        <v>202688</v>
      </c>
      <c r="B521" t="s">
        <v>2062</v>
      </c>
      <c r="C521" t="e">
        <f>VLOOKUP(A521,[1]Customer_payment_journal_line!$AL:$BO,30,0)</f>
        <v>#N/A</v>
      </c>
      <c r="D521" t="s">
        <v>53</v>
      </c>
      <c r="E521" t="s">
        <v>2058</v>
      </c>
      <c r="F521" t="s">
        <v>2059</v>
      </c>
      <c r="G521" t="s">
        <v>1804</v>
      </c>
      <c r="H521" t="s">
        <v>69</v>
      </c>
      <c r="I521" t="s">
        <v>2063</v>
      </c>
      <c r="J521" t="s">
        <v>2060</v>
      </c>
      <c r="K521" t="s">
        <v>2061</v>
      </c>
      <c r="L521" t="s">
        <v>52</v>
      </c>
      <c r="M521">
        <v>0</v>
      </c>
      <c r="N521">
        <v>900</v>
      </c>
      <c r="O521" t="s">
        <v>61</v>
      </c>
      <c r="P521">
        <v>100</v>
      </c>
      <c r="Q521" t="s">
        <v>52</v>
      </c>
      <c r="R521" t="s">
        <v>52</v>
      </c>
      <c r="S521" t="s">
        <v>52</v>
      </c>
      <c r="T521" t="s">
        <v>52</v>
      </c>
      <c r="U521" t="s">
        <v>52</v>
      </c>
      <c r="V521" t="s">
        <v>62</v>
      </c>
      <c r="W521" t="s">
        <v>52</v>
      </c>
      <c r="Y521" t="s">
        <v>2064</v>
      </c>
      <c r="Z521" t="s">
        <v>62</v>
      </c>
      <c r="AB521" t="s">
        <v>2065</v>
      </c>
      <c r="AE521" t="s">
        <v>2066</v>
      </c>
      <c r="AF521" t="s">
        <v>52</v>
      </c>
      <c r="AH521">
        <v>0</v>
      </c>
      <c r="AI521">
        <v>0</v>
      </c>
      <c r="AJ521" t="s">
        <v>52</v>
      </c>
      <c r="AK521">
        <v>0</v>
      </c>
      <c r="AL521" t="s">
        <v>52</v>
      </c>
      <c r="AM521" t="s">
        <v>52</v>
      </c>
      <c r="AN521">
        <v>0</v>
      </c>
      <c r="AO521">
        <v>0</v>
      </c>
      <c r="AP521" t="s">
        <v>52</v>
      </c>
      <c r="AQ521" t="s">
        <v>52</v>
      </c>
      <c r="AR521" t="s">
        <v>62</v>
      </c>
      <c r="AS521" t="s">
        <v>52</v>
      </c>
      <c r="AT521" t="s">
        <v>74</v>
      </c>
      <c r="AU521" t="s">
        <v>64</v>
      </c>
      <c r="AV521" t="s">
        <v>62</v>
      </c>
      <c r="AW521" t="s">
        <v>65</v>
      </c>
      <c r="AX521" t="s">
        <v>66</v>
      </c>
      <c r="AY521" t="s">
        <v>67</v>
      </c>
    </row>
    <row r="522" spans="1:51" hidden="1" x14ac:dyDescent="0.25">
      <c r="A522">
        <v>202689</v>
      </c>
      <c r="B522" t="s">
        <v>2067</v>
      </c>
      <c r="C522" t="e">
        <f>VLOOKUP(A522,[1]Customer_payment_journal_line!$AL:$BO,30,0)</f>
        <v>#N/A</v>
      </c>
      <c r="D522" t="s">
        <v>53</v>
      </c>
      <c r="E522" t="s">
        <v>2068</v>
      </c>
      <c r="F522" t="s">
        <v>2069</v>
      </c>
      <c r="G522" t="s">
        <v>1804</v>
      </c>
      <c r="H522" t="s">
        <v>57</v>
      </c>
      <c r="I522" t="s">
        <v>319</v>
      </c>
      <c r="J522" t="s">
        <v>2060</v>
      </c>
      <c r="K522" t="s">
        <v>2061</v>
      </c>
      <c r="L522" t="s">
        <v>52</v>
      </c>
      <c r="M522">
        <v>750</v>
      </c>
      <c r="N522">
        <v>0</v>
      </c>
      <c r="O522" t="s">
        <v>61</v>
      </c>
      <c r="P522">
        <v>100</v>
      </c>
      <c r="Q522" t="s">
        <v>52</v>
      </c>
      <c r="R522" t="s">
        <v>52</v>
      </c>
      <c r="S522" t="s">
        <v>52</v>
      </c>
      <c r="T522" t="s">
        <v>52</v>
      </c>
      <c r="U522" t="s">
        <v>52</v>
      </c>
      <c r="V522" t="s">
        <v>62</v>
      </c>
      <c r="W522" t="s">
        <v>63</v>
      </c>
      <c r="Y522" t="s">
        <v>52</v>
      </c>
      <c r="AB522" t="s">
        <v>52</v>
      </c>
      <c r="AE522" t="s">
        <v>52</v>
      </c>
      <c r="AF522" t="s">
        <v>52</v>
      </c>
      <c r="AH522">
        <v>0</v>
      </c>
      <c r="AI522">
        <v>0</v>
      </c>
      <c r="AJ522" t="s">
        <v>52</v>
      </c>
      <c r="AK522">
        <v>0</v>
      </c>
      <c r="AL522" t="s">
        <v>52</v>
      </c>
      <c r="AM522" t="s">
        <v>52</v>
      </c>
      <c r="AN522">
        <v>0</v>
      </c>
      <c r="AO522">
        <v>0</v>
      </c>
      <c r="AP522" t="s">
        <v>52</v>
      </c>
      <c r="AQ522" t="s">
        <v>52</v>
      </c>
      <c r="AR522" t="s">
        <v>62</v>
      </c>
      <c r="AS522" t="s">
        <v>52</v>
      </c>
      <c r="AT522" t="s">
        <v>52</v>
      </c>
      <c r="AU522" t="s">
        <v>64</v>
      </c>
      <c r="AV522" t="s">
        <v>62</v>
      </c>
      <c r="AW522" t="s">
        <v>65</v>
      </c>
      <c r="AX522" t="s">
        <v>66</v>
      </c>
      <c r="AY522" t="s">
        <v>67</v>
      </c>
    </row>
    <row r="523" spans="1:51" hidden="1" x14ac:dyDescent="0.25">
      <c r="A523">
        <v>202689</v>
      </c>
      <c r="B523" t="s">
        <v>2070</v>
      </c>
      <c r="C523" t="e">
        <f>VLOOKUP(A523,[1]Customer_payment_journal_line!$AL:$BO,30,0)</f>
        <v>#N/A</v>
      </c>
      <c r="D523" t="s">
        <v>53</v>
      </c>
      <c r="E523" t="s">
        <v>2068</v>
      </c>
      <c r="F523" t="s">
        <v>2069</v>
      </c>
      <c r="G523" t="s">
        <v>1804</v>
      </c>
      <c r="H523" t="s">
        <v>69</v>
      </c>
      <c r="I523" t="s">
        <v>2063</v>
      </c>
      <c r="J523" t="s">
        <v>2060</v>
      </c>
      <c r="K523" t="s">
        <v>2061</v>
      </c>
      <c r="L523" t="s">
        <v>52</v>
      </c>
      <c r="M523">
        <v>0</v>
      </c>
      <c r="N523">
        <v>750</v>
      </c>
      <c r="O523" t="s">
        <v>61</v>
      </c>
      <c r="P523">
        <v>100</v>
      </c>
      <c r="Q523" t="s">
        <v>52</v>
      </c>
      <c r="R523" t="s">
        <v>52</v>
      </c>
      <c r="S523" t="s">
        <v>52</v>
      </c>
      <c r="T523" t="s">
        <v>52</v>
      </c>
      <c r="U523" t="s">
        <v>52</v>
      </c>
      <c r="V523" t="s">
        <v>62</v>
      </c>
      <c r="W523" t="s">
        <v>52</v>
      </c>
      <c r="Y523" t="s">
        <v>2064</v>
      </c>
      <c r="Z523" t="s">
        <v>62</v>
      </c>
      <c r="AB523" t="s">
        <v>2071</v>
      </c>
      <c r="AE523" t="s">
        <v>2072</v>
      </c>
      <c r="AF523" t="s">
        <v>52</v>
      </c>
      <c r="AH523">
        <v>0</v>
      </c>
      <c r="AI523">
        <v>0</v>
      </c>
      <c r="AJ523" t="s">
        <v>52</v>
      </c>
      <c r="AK523">
        <v>0</v>
      </c>
      <c r="AL523" t="s">
        <v>52</v>
      </c>
      <c r="AM523" t="s">
        <v>52</v>
      </c>
      <c r="AN523">
        <v>0</v>
      </c>
      <c r="AO523">
        <v>0</v>
      </c>
      <c r="AP523" t="s">
        <v>52</v>
      </c>
      <c r="AQ523" t="s">
        <v>52</v>
      </c>
      <c r="AR523" t="s">
        <v>62</v>
      </c>
      <c r="AS523" t="s">
        <v>52</v>
      </c>
      <c r="AT523" t="s">
        <v>74</v>
      </c>
      <c r="AU523" t="s">
        <v>64</v>
      </c>
      <c r="AV523" t="s">
        <v>62</v>
      </c>
      <c r="AW523" t="s">
        <v>65</v>
      </c>
      <c r="AX523" t="s">
        <v>66</v>
      </c>
      <c r="AY523" t="s">
        <v>67</v>
      </c>
    </row>
    <row r="524" spans="1:51" hidden="1" x14ac:dyDescent="0.25">
      <c r="A524">
        <v>202693</v>
      </c>
      <c r="B524" t="s">
        <v>2073</v>
      </c>
      <c r="C524" t="e">
        <f>VLOOKUP(A524,[1]Customer_payment_journal_line!$AL:$BO,30,0)</f>
        <v>#N/A</v>
      </c>
      <c r="D524" t="s">
        <v>53</v>
      </c>
      <c r="E524" t="s">
        <v>2074</v>
      </c>
      <c r="F524" t="s">
        <v>2075</v>
      </c>
      <c r="G524" t="s">
        <v>1804</v>
      </c>
      <c r="H524" t="s">
        <v>57</v>
      </c>
      <c r="I524" t="s">
        <v>319</v>
      </c>
      <c r="J524" t="s">
        <v>2076</v>
      </c>
      <c r="K524" t="s">
        <v>2077</v>
      </c>
      <c r="L524" t="s">
        <v>52</v>
      </c>
      <c r="M524">
        <v>2850</v>
      </c>
      <c r="N524">
        <v>0</v>
      </c>
      <c r="O524" t="s">
        <v>61</v>
      </c>
      <c r="P524">
        <v>100</v>
      </c>
      <c r="Q524" t="s">
        <v>52</v>
      </c>
      <c r="R524" t="s">
        <v>52</v>
      </c>
      <c r="S524" t="s">
        <v>52</v>
      </c>
      <c r="T524" t="s">
        <v>52</v>
      </c>
      <c r="U524" t="s">
        <v>52</v>
      </c>
      <c r="V524" t="s">
        <v>62</v>
      </c>
      <c r="W524" t="s">
        <v>63</v>
      </c>
      <c r="Y524" t="s">
        <v>52</v>
      </c>
      <c r="AB524" t="s">
        <v>52</v>
      </c>
      <c r="AE524" t="s">
        <v>52</v>
      </c>
      <c r="AF524" t="s">
        <v>52</v>
      </c>
      <c r="AH524">
        <v>0</v>
      </c>
      <c r="AI524">
        <v>0</v>
      </c>
      <c r="AJ524" t="s">
        <v>52</v>
      </c>
      <c r="AK524">
        <v>0</v>
      </c>
      <c r="AL524" t="s">
        <v>52</v>
      </c>
      <c r="AM524" t="s">
        <v>52</v>
      </c>
      <c r="AN524">
        <v>0</v>
      </c>
      <c r="AO524">
        <v>0</v>
      </c>
      <c r="AP524" t="s">
        <v>52</v>
      </c>
      <c r="AQ524" t="s">
        <v>52</v>
      </c>
      <c r="AR524" t="s">
        <v>62</v>
      </c>
      <c r="AS524" t="s">
        <v>52</v>
      </c>
      <c r="AT524" t="s">
        <v>52</v>
      </c>
      <c r="AU524" t="s">
        <v>64</v>
      </c>
      <c r="AV524" t="s">
        <v>62</v>
      </c>
      <c r="AW524" t="s">
        <v>65</v>
      </c>
      <c r="AX524" t="s">
        <v>66</v>
      </c>
      <c r="AY524" t="s">
        <v>67</v>
      </c>
    </row>
    <row r="525" spans="1:51" hidden="1" x14ac:dyDescent="0.25">
      <c r="A525">
        <v>202693</v>
      </c>
      <c r="B525" t="s">
        <v>2078</v>
      </c>
      <c r="C525" t="e">
        <f>VLOOKUP(A525,[1]Customer_payment_journal_line!$AL:$BO,30,0)</f>
        <v>#N/A</v>
      </c>
      <c r="D525" t="s">
        <v>53</v>
      </c>
      <c r="E525" t="s">
        <v>2074</v>
      </c>
      <c r="F525" t="s">
        <v>2075</v>
      </c>
      <c r="G525" t="s">
        <v>1804</v>
      </c>
      <c r="H525" t="s">
        <v>69</v>
      </c>
      <c r="I525" t="s">
        <v>2079</v>
      </c>
      <c r="J525" t="s">
        <v>2076</v>
      </c>
      <c r="K525" t="s">
        <v>2077</v>
      </c>
      <c r="L525" t="s">
        <v>52</v>
      </c>
      <c r="M525">
        <v>0</v>
      </c>
      <c r="N525">
        <v>2850</v>
      </c>
      <c r="O525" t="s">
        <v>61</v>
      </c>
      <c r="P525">
        <v>100</v>
      </c>
      <c r="Q525" t="s">
        <v>52</v>
      </c>
      <c r="R525" t="s">
        <v>52</v>
      </c>
      <c r="S525" t="s">
        <v>52</v>
      </c>
      <c r="T525" t="s">
        <v>52</v>
      </c>
      <c r="U525" t="s">
        <v>52</v>
      </c>
      <c r="V525" t="s">
        <v>62</v>
      </c>
      <c r="W525" t="s">
        <v>52</v>
      </c>
      <c r="Y525" t="s">
        <v>2080</v>
      </c>
      <c r="Z525" t="s">
        <v>62</v>
      </c>
      <c r="AB525" t="s">
        <v>2081</v>
      </c>
      <c r="AE525" t="s">
        <v>2082</v>
      </c>
      <c r="AF525" t="s">
        <v>52</v>
      </c>
      <c r="AH525">
        <v>0</v>
      </c>
      <c r="AI525">
        <v>0</v>
      </c>
      <c r="AJ525" t="s">
        <v>52</v>
      </c>
      <c r="AK525">
        <v>0</v>
      </c>
      <c r="AL525" t="s">
        <v>52</v>
      </c>
      <c r="AM525" t="s">
        <v>52</v>
      </c>
      <c r="AN525">
        <v>0</v>
      </c>
      <c r="AO525">
        <v>0</v>
      </c>
      <c r="AP525" t="s">
        <v>52</v>
      </c>
      <c r="AQ525" t="s">
        <v>52</v>
      </c>
      <c r="AR525" t="s">
        <v>62</v>
      </c>
      <c r="AS525" t="s">
        <v>52</v>
      </c>
      <c r="AT525" t="s">
        <v>74</v>
      </c>
      <c r="AU525" t="s">
        <v>64</v>
      </c>
      <c r="AV525" t="s">
        <v>62</v>
      </c>
      <c r="AW525" t="s">
        <v>65</v>
      </c>
      <c r="AX525" t="s">
        <v>66</v>
      </c>
      <c r="AY525" t="s">
        <v>67</v>
      </c>
    </row>
    <row r="526" spans="1:51" hidden="1" x14ac:dyDescent="0.25">
      <c r="A526">
        <v>202694</v>
      </c>
      <c r="B526" t="s">
        <v>2083</v>
      </c>
      <c r="C526" t="e">
        <f>VLOOKUP(A526,[1]Customer_payment_journal_line!$AL:$BO,30,0)</f>
        <v>#N/A</v>
      </c>
      <c r="D526" t="s">
        <v>53</v>
      </c>
      <c r="E526" t="s">
        <v>2084</v>
      </c>
      <c r="F526" t="s">
        <v>2085</v>
      </c>
      <c r="G526" t="s">
        <v>1804</v>
      </c>
      <c r="H526" t="s">
        <v>57</v>
      </c>
      <c r="I526" t="s">
        <v>58</v>
      </c>
      <c r="J526" t="s">
        <v>2086</v>
      </c>
      <c r="K526" t="s">
        <v>2087</v>
      </c>
      <c r="L526" t="s">
        <v>52</v>
      </c>
      <c r="M526">
        <v>1430.7</v>
      </c>
      <c r="N526">
        <v>0</v>
      </c>
      <c r="O526" t="s">
        <v>61</v>
      </c>
      <c r="P526">
        <v>100</v>
      </c>
      <c r="Q526" t="s">
        <v>52</v>
      </c>
      <c r="R526" t="s">
        <v>52</v>
      </c>
      <c r="S526" t="s">
        <v>52</v>
      </c>
      <c r="T526" t="s">
        <v>52</v>
      </c>
      <c r="U526" t="s">
        <v>52</v>
      </c>
      <c r="V526" t="s">
        <v>62</v>
      </c>
      <c r="W526" t="s">
        <v>63</v>
      </c>
      <c r="Y526" t="s">
        <v>52</v>
      </c>
      <c r="AB526" t="s">
        <v>52</v>
      </c>
      <c r="AE526" t="s">
        <v>52</v>
      </c>
      <c r="AF526" t="s">
        <v>52</v>
      </c>
      <c r="AH526">
        <v>0</v>
      </c>
      <c r="AI526">
        <v>0</v>
      </c>
      <c r="AJ526" t="s">
        <v>52</v>
      </c>
      <c r="AK526">
        <v>0</v>
      </c>
      <c r="AL526" t="s">
        <v>52</v>
      </c>
      <c r="AM526" t="s">
        <v>52</v>
      </c>
      <c r="AN526">
        <v>0</v>
      </c>
      <c r="AO526">
        <v>0</v>
      </c>
      <c r="AP526" t="s">
        <v>52</v>
      </c>
      <c r="AQ526" t="s">
        <v>52</v>
      </c>
      <c r="AR526" t="s">
        <v>62</v>
      </c>
      <c r="AS526" t="s">
        <v>52</v>
      </c>
      <c r="AT526" t="s">
        <v>52</v>
      </c>
      <c r="AU526" t="s">
        <v>64</v>
      </c>
      <c r="AV526" t="s">
        <v>62</v>
      </c>
      <c r="AW526" t="s">
        <v>65</v>
      </c>
      <c r="AX526" t="s">
        <v>66</v>
      </c>
      <c r="AY526" t="s">
        <v>67</v>
      </c>
    </row>
    <row r="527" spans="1:51" hidden="1" x14ac:dyDescent="0.25">
      <c r="A527">
        <v>202694</v>
      </c>
      <c r="B527" t="s">
        <v>2088</v>
      </c>
      <c r="C527" t="e">
        <f>VLOOKUP(A527,[1]Customer_payment_journal_line!$AL:$BO,30,0)</f>
        <v>#N/A</v>
      </c>
      <c r="D527" t="s">
        <v>53</v>
      </c>
      <c r="E527" t="s">
        <v>2084</v>
      </c>
      <c r="F527" t="s">
        <v>2085</v>
      </c>
      <c r="G527" t="s">
        <v>1804</v>
      </c>
      <c r="H527" t="s">
        <v>69</v>
      </c>
      <c r="I527" t="s">
        <v>2089</v>
      </c>
      <c r="J527" t="s">
        <v>2086</v>
      </c>
      <c r="K527" t="s">
        <v>2087</v>
      </c>
      <c r="L527" t="s">
        <v>52</v>
      </c>
      <c r="M527">
        <v>0</v>
      </c>
      <c r="N527">
        <v>1430.7</v>
      </c>
      <c r="O527" t="s">
        <v>61</v>
      </c>
      <c r="P527">
        <v>100</v>
      </c>
      <c r="Q527" t="s">
        <v>52</v>
      </c>
      <c r="R527" t="s">
        <v>52</v>
      </c>
      <c r="S527" t="s">
        <v>52</v>
      </c>
      <c r="T527" t="s">
        <v>52</v>
      </c>
      <c r="U527" t="s">
        <v>52</v>
      </c>
      <c r="V527" t="s">
        <v>62</v>
      </c>
      <c r="W527" t="s">
        <v>52</v>
      </c>
      <c r="Y527" t="s">
        <v>2090</v>
      </c>
      <c r="Z527" t="s">
        <v>62</v>
      </c>
      <c r="AB527" t="s">
        <v>2091</v>
      </c>
      <c r="AE527" t="s">
        <v>2092</v>
      </c>
      <c r="AF527" t="s">
        <v>52</v>
      </c>
      <c r="AH527">
        <v>0</v>
      </c>
      <c r="AI527">
        <v>0</v>
      </c>
      <c r="AJ527" t="s">
        <v>52</v>
      </c>
      <c r="AK527">
        <v>0</v>
      </c>
      <c r="AL527" t="s">
        <v>52</v>
      </c>
      <c r="AM527" t="s">
        <v>52</v>
      </c>
      <c r="AN527">
        <v>0</v>
      </c>
      <c r="AO527">
        <v>0</v>
      </c>
      <c r="AP527" t="s">
        <v>52</v>
      </c>
      <c r="AQ527" t="s">
        <v>52</v>
      </c>
      <c r="AR527" t="s">
        <v>62</v>
      </c>
      <c r="AS527" t="s">
        <v>52</v>
      </c>
      <c r="AT527" t="s">
        <v>74</v>
      </c>
      <c r="AU527" t="s">
        <v>64</v>
      </c>
      <c r="AV527" t="s">
        <v>62</v>
      </c>
      <c r="AW527" t="s">
        <v>65</v>
      </c>
      <c r="AX527" t="s">
        <v>66</v>
      </c>
      <c r="AY527" t="s">
        <v>67</v>
      </c>
    </row>
    <row r="528" spans="1:51" hidden="1" x14ac:dyDescent="0.25">
      <c r="A528">
        <v>202695</v>
      </c>
      <c r="B528" t="s">
        <v>2093</v>
      </c>
      <c r="C528" t="e">
        <f>VLOOKUP(A528,[1]Customer_payment_journal_line!$AL:$BO,30,0)</f>
        <v>#N/A</v>
      </c>
      <c r="D528" t="s">
        <v>53</v>
      </c>
      <c r="E528" t="s">
        <v>2094</v>
      </c>
      <c r="F528" t="s">
        <v>2095</v>
      </c>
      <c r="G528" t="s">
        <v>1804</v>
      </c>
      <c r="H528" t="s">
        <v>57</v>
      </c>
      <c r="I528" t="s">
        <v>58</v>
      </c>
      <c r="J528" t="s">
        <v>2086</v>
      </c>
      <c r="K528" t="s">
        <v>2087</v>
      </c>
      <c r="L528" t="s">
        <v>52</v>
      </c>
      <c r="M528">
        <v>855</v>
      </c>
      <c r="N528">
        <v>0</v>
      </c>
      <c r="O528" t="s">
        <v>61</v>
      </c>
      <c r="P528">
        <v>100</v>
      </c>
      <c r="Q528" t="s">
        <v>52</v>
      </c>
      <c r="R528" t="s">
        <v>52</v>
      </c>
      <c r="S528" t="s">
        <v>52</v>
      </c>
      <c r="T528" t="s">
        <v>52</v>
      </c>
      <c r="U528" t="s">
        <v>52</v>
      </c>
      <c r="V528" t="s">
        <v>62</v>
      </c>
      <c r="W528" t="s">
        <v>63</v>
      </c>
      <c r="Y528" t="s">
        <v>52</v>
      </c>
      <c r="AB528" t="s">
        <v>52</v>
      </c>
      <c r="AE528" t="s">
        <v>52</v>
      </c>
      <c r="AF528" t="s">
        <v>52</v>
      </c>
      <c r="AH528">
        <v>0</v>
      </c>
      <c r="AI528">
        <v>0</v>
      </c>
      <c r="AJ528" t="s">
        <v>52</v>
      </c>
      <c r="AK528">
        <v>0</v>
      </c>
      <c r="AL528" t="s">
        <v>52</v>
      </c>
      <c r="AM528" t="s">
        <v>52</v>
      </c>
      <c r="AN528">
        <v>0</v>
      </c>
      <c r="AO528">
        <v>0</v>
      </c>
      <c r="AP528" t="s">
        <v>52</v>
      </c>
      <c r="AQ528" t="s">
        <v>52</v>
      </c>
      <c r="AR528" t="s">
        <v>62</v>
      </c>
      <c r="AS528" t="s">
        <v>52</v>
      </c>
      <c r="AT528" t="s">
        <v>52</v>
      </c>
      <c r="AU528" t="s">
        <v>64</v>
      </c>
      <c r="AV528" t="s">
        <v>62</v>
      </c>
      <c r="AW528" t="s">
        <v>65</v>
      </c>
      <c r="AX528" t="s">
        <v>66</v>
      </c>
      <c r="AY528" t="s">
        <v>67</v>
      </c>
    </row>
    <row r="529" spans="1:51" hidden="1" x14ac:dyDescent="0.25">
      <c r="A529">
        <v>202695</v>
      </c>
      <c r="B529" t="s">
        <v>2096</v>
      </c>
      <c r="C529" t="e">
        <f>VLOOKUP(A529,[1]Customer_payment_journal_line!$AL:$BO,30,0)</f>
        <v>#N/A</v>
      </c>
      <c r="D529" t="s">
        <v>53</v>
      </c>
      <c r="E529" t="s">
        <v>2094</v>
      </c>
      <c r="F529" t="s">
        <v>2095</v>
      </c>
      <c r="G529" t="s">
        <v>1804</v>
      </c>
      <c r="H529" t="s">
        <v>69</v>
      </c>
      <c r="I529" t="s">
        <v>2089</v>
      </c>
      <c r="J529" t="s">
        <v>2086</v>
      </c>
      <c r="K529" t="s">
        <v>2087</v>
      </c>
      <c r="L529" t="s">
        <v>52</v>
      </c>
      <c r="M529">
        <v>0</v>
      </c>
      <c r="N529">
        <v>855</v>
      </c>
      <c r="O529" t="s">
        <v>61</v>
      </c>
      <c r="P529">
        <v>100</v>
      </c>
      <c r="Q529" t="s">
        <v>52</v>
      </c>
      <c r="R529" t="s">
        <v>52</v>
      </c>
      <c r="S529" t="s">
        <v>52</v>
      </c>
      <c r="T529" t="s">
        <v>52</v>
      </c>
      <c r="U529" t="s">
        <v>52</v>
      </c>
      <c r="V529" t="s">
        <v>62</v>
      </c>
      <c r="W529" t="s">
        <v>52</v>
      </c>
      <c r="Y529" t="s">
        <v>2090</v>
      </c>
      <c r="Z529" t="s">
        <v>62</v>
      </c>
      <c r="AB529" t="s">
        <v>2097</v>
      </c>
      <c r="AE529" t="s">
        <v>2098</v>
      </c>
      <c r="AF529" t="s">
        <v>52</v>
      </c>
      <c r="AH529">
        <v>0</v>
      </c>
      <c r="AI529">
        <v>0</v>
      </c>
      <c r="AJ529" t="s">
        <v>52</v>
      </c>
      <c r="AK529">
        <v>0</v>
      </c>
      <c r="AL529" t="s">
        <v>52</v>
      </c>
      <c r="AM529" t="s">
        <v>52</v>
      </c>
      <c r="AN529">
        <v>0</v>
      </c>
      <c r="AO529">
        <v>0</v>
      </c>
      <c r="AP529" t="s">
        <v>52</v>
      </c>
      <c r="AQ529" t="s">
        <v>52</v>
      </c>
      <c r="AR529" t="s">
        <v>62</v>
      </c>
      <c r="AS529" t="s">
        <v>52</v>
      </c>
      <c r="AT529" t="s">
        <v>74</v>
      </c>
      <c r="AU529" t="s">
        <v>64</v>
      </c>
      <c r="AV529" t="s">
        <v>62</v>
      </c>
      <c r="AW529" t="s">
        <v>65</v>
      </c>
      <c r="AX529" t="s">
        <v>66</v>
      </c>
      <c r="AY529" t="s">
        <v>67</v>
      </c>
    </row>
    <row r="530" spans="1:51" hidden="1" x14ac:dyDescent="0.25">
      <c r="A530">
        <v>202696</v>
      </c>
      <c r="B530" t="s">
        <v>2099</v>
      </c>
      <c r="C530" t="e">
        <f>VLOOKUP(A530,[1]Customer_payment_journal_line!$AL:$BO,30,0)</f>
        <v>#N/A</v>
      </c>
      <c r="D530" t="s">
        <v>53</v>
      </c>
      <c r="E530" t="s">
        <v>2100</v>
      </c>
      <c r="F530" t="s">
        <v>2101</v>
      </c>
      <c r="G530" t="s">
        <v>1804</v>
      </c>
      <c r="H530" t="s">
        <v>57</v>
      </c>
      <c r="I530" t="s">
        <v>319</v>
      </c>
      <c r="J530" t="s">
        <v>2076</v>
      </c>
      <c r="K530" t="s">
        <v>2077</v>
      </c>
      <c r="L530" t="s">
        <v>52</v>
      </c>
      <c r="M530">
        <v>855</v>
      </c>
      <c r="N530">
        <v>0</v>
      </c>
      <c r="O530" t="s">
        <v>61</v>
      </c>
      <c r="P530">
        <v>100</v>
      </c>
      <c r="Q530" t="s">
        <v>52</v>
      </c>
      <c r="R530" t="s">
        <v>52</v>
      </c>
      <c r="S530" t="s">
        <v>52</v>
      </c>
      <c r="T530" t="s">
        <v>52</v>
      </c>
      <c r="U530" t="s">
        <v>52</v>
      </c>
      <c r="V530" t="s">
        <v>62</v>
      </c>
      <c r="W530" t="s">
        <v>63</v>
      </c>
      <c r="Y530" t="s">
        <v>52</v>
      </c>
      <c r="AB530" t="s">
        <v>52</v>
      </c>
      <c r="AE530" t="s">
        <v>52</v>
      </c>
      <c r="AF530" t="s">
        <v>52</v>
      </c>
      <c r="AH530">
        <v>0</v>
      </c>
      <c r="AI530">
        <v>0</v>
      </c>
      <c r="AJ530" t="s">
        <v>52</v>
      </c>
      <c r="AK530">
        <v>0</v>
      </c>
      <c r="AL530" t="s">
        <v>52</v>
      </c>
      <c r="AM530" t="s">
        <v>52</v>
      </c>
      <c r="AN530">
        <v>0</v>
      </c>
      <c r="AO530">
        <v>0</v>
      </c>
      <c r="AP530" t="s">
        <v>52</v>
      </c>
      <c r="AQ530" t="s">
        <v>52</v>
      </c>
      <c r="AR530" t="s">
        <v>62</v>
      </c>
      <c r="AS530" t="s">
        <v>52</v>
      </c>
      <c r="AT530" t="s">
        <v>52</v>
      </c>
      <c r="AU530" t="s">
        <v>64</v>
      </c>
      <c r="AV530" t="s">
        <v>62</v>
      </c>
      <c r="AW530" t="s">
        <v>65</v>
      </c>
      <c r="AX530" t="s">
        <v>66</v>
      </c>
      <c r="AY530" t="s">
        <v>67</v>
      </c>
    </row>
    <row r="531" spans="1:51" hidden="1" x14ac:dyDescent="0.25">
      <c r="A531">
        <v>202696</v>
      </c>
      <c r="B531" t="s">
        <v>2102</v>
      </c>
      <c r="C531" t="e">
        <f>VLOOKUP(A531,[1]Customer_payment_journal_line!$AL:$BO,30,0)</f>
        <v>#N/A</v>
      </c>
      <c r="D531" t="s">
        <v>53</v>
      </c>
      <c r="E531" t="s">
        <v>2100</v>
      </c>
      <c r="F531" t="s">
        <v>2101</v>
      </c>
      <c r="G531" t="s">
        <v>1804</v>
      </c>
      <c r="H531" t="s">
        <v>69</v>
      </c>
      <c r="I531" t="s">
        <v>2079</v>
      </c>
      <c r="J531" t="s">
        <v>2076</v>
      </c>
      <c r="K531" t="s">
        <v>2077</v>
      </c>
      <c r="L531" t="s">
        <v>52</v>
      </c>
      <c r="M531">
        <v>0</v>
      </c>
      <c r="N531">
        <v>855</v>
      </c>
      <c r="O531" t="s">
        <v>61</v>
      </c>
      <c r="P531">
        <v>100</v>
      </c>
      <c r="Q531" t="s">
        <v>52</v>
      </c>
      <c r="R531" t="s">
        <v>52</v>
      </c>
      <c r="S531" t="s">
        <v>52</v>
      </c>
      <c r="T531" t="s">
        <v>52</v>
      </c>
      <c r="U531" t="s">
        <v>52</v>
      </c>
      <c r="V531" t="s">
        <v>62</v>
      </c>
      <c r="W531" t="s">
        <v>52</v>
      </c>
      <c r="Y531" t="s">
        <v>2080</v>
      </c>
      <c r="Z531" t="s">
        <v>62</v>
      </c>
      <c r="AB531" t="s">
        <v>2103</v>
      </c>
      <c r="AE531" t="s">
        <v>2104</v>
      </c>
      <c r="AF531" t="s">
        <v>52</v>
      </c>
      <c r="AH531">
        <v>0</v>
      </c>
      <c r="AI531">
        <v>0</v>
      </c>
      <c r="AJ531" t="s">
        <v>52</v>
      </c>
      <c r="AK531">
        <v>0</v>
      </c>
      <c r="AL531" t="s">
        <v>52</v>
      </c>
      <c r="AM531" t="s">
        <v>52</v>
      </c>
      <c r="AN531">
        <v>0</v>
      </c>
      <c r="AO531">
        <v>0</v>
      </c>
      <c r="AP531" t="s">
        <v>52</v>
      </c>
      <c r="AQ531" t="s">
        <v>52</v>
      </c>
      <c r="AR531" t="s">
        <v>62</v>
      </c>
      <c r="AS531" t="s">
        <v>52</v>
      </c>
      <c r="AT531" t="s">
        <v>74</v>
      </c>
      <c r="AU531" t="s">
        <v>64</v>
      </c>
      <c r="AV531" t="s">
        <v>62</v>
      </c>
      <c r="AW531" t="s">
        <v>65</v>
      </c>
      <c r="AX531" t="s">
        <v>66</v>
      </c>
      <c r="AY531" t="s">
        <v>67</v>
      </c>
    </row>
    <row r="532" spans="1:51" hidden="1" x14ac:dyDescent="0.25">
      <c r="A532">
        <v>202697</v>
      </c>
      <c r="B532" t="s">
        <v>2105</v>
      </c>
      <c r="C532" t="e">
        <f>VLOOKUP(A532,[1]Customer_payment_journal_line!$AL:$BO,30,0)</f>
        <v>#N/A</v>
      </c>
      <c r="D532" t="s">
        <v>53</v>
      </c>
      <c r="E532" t="s">
        <v>2106</v>
      </c>
      <c r="F532" t="s">
        <v>2107</v>
      </c>
      <c r="G532" t="s">
        <v>1804</v>
      </c>
      <c r="H532" t="s">
        <v>57</v>
      </c>
      <c r="I532" t="s">
        <v>319</v>
      </c>
      <c r="J532" t="s">
        <v>2108</v>
      </c>
      <c r="K532" t="s">
        <v>2109</v>
      </c>
      <c r="L532" t="s">
        <v>52</v>
      </c>
      <c r="M532">
        <v>4104</v>
      </c>
      <c r="N532">
        <v>0</v>
      </c>
      <c r="O532" t="s">
        <v>61</v>
      </c>
      <c r="P532">
        <v>100</v>
      </c>
      <c r="Q532" t="s">
        <v>52</v>
      </c>
      <c r="R532" t="s">
        <v>52</v>
      </c>
      <c r="S532" t="s">
        <v>52</v>
      </c>
      <c r="T532" t="s">
        <v>52</v>
      </c>
      <c r="U532" t="s">
        <v>52</v>
      </c>
      <c r="V532" t="s">
        <v>62</v>
      </c>
      <c r="W532" t="s">
        <v>63</v>
      </c>
      <c r="Y532" t="s">
        <v>52</v>
      </c>
      <c r="AB532" t="s">
        <v>52</v>
      </c>
      <c r="AE532" t="s">
        <v>52</v>
      </c>
      <c r="AF532" t="s">
        <v>52</v>
      </c>
      <c r="AH532">
        <v>0</v>
      </c>
      <c r="AI532">
        <v>0</v>
      </c>
      <c r="AJ532" t="s">
        <v>52</v>
      </c>
      <c r="AK532">
        <v>0</v>
      </c>
      <c r="AL532" t="s">
        <v>52</v>
      </c>
      <c r="AM532" t="s">
        <v>52</v>
      </c>
      <c r="AN532">
        <v>0</v>
      </c>
      <c r="AO532">
        <v>0</v>
      </c>
      <c r="AP532" t="s">
        <v>52</v>
      </c>
      <c r="AQ532" t="s">
        <v>52</v>
      </c>
      <c r="AR532" t="s">
        <v>62</v>
      </c>
      <c r="AS532" t="s">
        <v>52</v>
      </c>
      <c r="AT532" t="s">
        <v>52</v>
      </c>
      <c r="AU532" t="s">
        <v>64</v>
      </c>
      <c r="AV532" t="s">
        <v>62</v>
      </c>
      <c r="AW532" t="s">
        <v>65</v>
      </c>
      <c r="AX532" t="s">
        <v>66</v>
      </c>
      <c r="AY532" t="s">
        <v>67</v>
      </c>
    </row>
    <row r="533" spans="1:51" hidden="1" x14ac:dyDescent="0.25">
      <c r="A533">
        <v>202697</v>
      </c>
      <c r="B533" t="s">
        <v>2110</v>
      </c>
      <c r="C533" t="e">
        <f>VLOOKUP(A533,[1]Customer_payment_journal_line!$AL:$BO,30,0)</f>
        <v>#N/A</v>
      </c>
      <c r="D533" t="s">
        <v>53</v>
      </c>
      <c r="E533" t="s">
        <v>2106</v>
      </c>
      <c r="F533" t="s">
        <v>2107</v>
      </c>
      <c r="G533" t="s">
        <v>1804</v>
      </c>
      <c r="H533" t="s">
        <v>69</v>
      </c>
      <c r="I533" t="s">
        <v>2111</v>
      </c>
      <c r="J533" t="s">
        <v>2108</v>
      </c>
      <c r="K533" t="s">
        <v>2109</v>
      </c>
      <c r="L533" t="s">
        <v>52</v>
      </c>
      <c r="M533">
        <v>0</v>
      </c>
      <c r="N533">
        <v>4104</v>
      </c>
      <c r="O533" t="s">
        <v>61</v>
      </c>
      <c r="P533">
        <v>100</v>
      </c>
      <c r="Q533" t="s">
        <v>52</v>
      </c>
      <c r="R533" t="s">
        <v>52</v>
      </c>
      <c r="S533" t="s">
        <v>52</v>
      </c>
      <c r="T533" t="s">
        <v>52</v>
      </c>
      <c r="U533" t="s">
        <v>52</v>
      </c>
      <c r="V533" t="s">
        <v>62</v>
      </c>
      <c r="W533" t="s">
        <v>52</v>
      </c>
      <c r="Y533" t="s">
        <v>2112</v>
      </c>
      <c r="Z533" t="s">
        <v>62</v>
      </c>
      <c r="AB533" t="s">
        <v>2113</v>
      </c>
      <c r="AE533" t="s">
        <v>2114</v>
      </c>
      <c r="AF533" t="s">
        <v>52</v>
      </c>
      <c r="AH533">
        <v>0</v>
      </c>
      <c r="AI533">
        <v>0</v>
      </c>
      <c r="AJ533" t="s">
        <v>52</v>
      </c>
      <c r="AK533">
        <v>0</v>
      </c>
      <c r="AL533" t="s">
        <v>52</v>
      </c>
      <c r="AM533" t="s">
        <v>52</v>
      </c>
      <c r="AN533">
        <v>0</v>
      </c>
      <c r="AO533">
        <v>0</v>
      </c>
      <c r="AP533" t="s">
        <v>52</v>
      </c>
      <c r="AQ533" t="s">
        <v>52</v>
      </c>
      <c r="AR533" t="s">
        <v>62</v>
      </c>
      <c r="AS533" t="s">
        <v>52</v>
      </c>
      <c r="AT533" t="s">
        <v>74</v>
      </c>
      <c r="AU533" t="s">
        <v>64</v>
      </c>
      <c r="AV533" t="s">
        <v>62</v>
      </c>
      <c r="AW533" t="s">
        <v>65</v>
      </c>
      <c r="AX533" t="s">
        <v>66</v>
      </c>
      <c r="AY533" t="s">
        <v>67</v>
      </c>
    </row>
    <row r="534" spans="1:51" hidden="1" x14ac:dyDescent="0.25">
      <c r="A534">
        <v>202698</v>
      </c>
      <c r="B534" t="s">
        <v>2115</v>
      </c>
      <c r="C534" t="e">
        <f>VLOOKUP(A534,[1]Customer_payment_journal_line!$AL:$BO,30,0)</f>
        <v>#N/A</v>
      </c>
      <c r="D534" t="s">
        <v>53</v>
      </c>
      <c r="E534" t="s">
        <v>2116</v>
      </c>
      <c r="F534" t="s">
        <v>2117</v>
      </c>
      <c r="G534" t="s">
        <v>1804</v>
      </c>
      <c r="H534" t="s">
        <v>57</v>
      </c>
      <c r="I534" t="s">
        <v>58</v>
      </c>
      <c r="J534" t="s">
        <v>2086</v>
      </c>
      <c r="K534" t="s">
        <v>2118</v>
      </c>
      <c r="L534" t="s">
        <v>52</v>
      </c>
      <c r="M534">
        <v>4440.3</v>
      </c>
      <c r="N534">
        <v>0</v>
      </c>
      <c r="O534" t="s">
        <v>61</v>
      </c>
      <c r="P534">
        <v>100</v>
      </c>
      <c r="Q534" t="s">
        <v>52</v>
      </c>
      <c r="R534" t="s">
        <v>52</v>
      </c>
      <c r="S534" t="s">
        <v>52</v>
      </c>
      <c r="T534" t="s">
        <v>52</v>
      </c>
      <c r="U534" t="s">
        <v>52</v>
      </c>
      <c r="V534" t="s">
        <v>62</v>
      </c>
      <c r="W534" t="s">
        <v>63</v>
      </c>
      <c r="Y534" t="s">
        <v>52</v>
      </c>
      <c r="AB534" t="s">
        <v>52</v>
      </c>
      <c r="AE534" t="s">
        <v>52</v>
      </c>
      <c r="AF534" t="s">
        <v>52</v>
      </c>
      <c r="AH534">
        <v>0</v>
      </c>
      <c r="AI534">
        <v>0</v>
      </c>
      <c r="AJ534" t="s">
        <v>52</v>
      </c>
      <c r="AK534">
        <v>0</v>
      </c>
      <c r="AL534" t="s">
        <v>52</v>
      </c>
      <c r="AM534" t="s">
        <v>52</v>
      </c>
      <c r="AN534">
        <v>0</v>
      </c>
      <c r="AO534">
        <v>0</v>
      </c>
      <c r="AP534" t="s">
        <v>52</v>
      </c>
      <c r="AQ534" t="s">
        <v>52</v>
      </c>
      <c r="AR534" t="s">
        <v>62</v>
      </c>
      <c r="AS534" t="s">
        <v>52</v>
      </c>
      <c r="AT534" t="s">
        <v>52</v>
      </c>
      <c r="AU534" t="s">
        <v>64</v>
      </c>
      <c r="AV534" t="s">
        <v>62</v>
      </c>
      <c r="AW534" t="s">
        <v>65</v>
      </c>
      <c r="AX534" t="s">
        <v>66</v>
      </c>
      <c r="AY534" t="s">
        <v>67</v>
      </c>
    </row>
    <row r="535" spans="1:51" hidden="1" x14ac:dyDescent="0.25">
      <c r="A535">
        <v>202698</v>
      </c>
      <c r="B535" t="s">
        <v>2119</v>
      </c>
      <c r="C535" t="e">
        <f>VLOOKUP(A535,[1]Customer_payment_journal_line!$AL:$BO,30,0)</f>
        <v>#N/A</v>
      </c>
      <c r="D535" t="s">
        <v>53</v>
      </c>
      <c r="E535" t="s">
        <v>2116</v>
      </c>
      <c r="F535" t="s">
        <v>2117</v>
      </c>
      <c r="G535" t="s">
        <v>1804</v>
      </c>
      <c r="H535" t="s">
        <v>69</v>
      </c>
      <c r="I535" t="s">
        <v>2089</v>
      </c>
      <c r="J535" t="s">
        <v>2086</v>
      </c>
      <c r="K535" t="s">
        <v>2118</v>
      </c>
      <c r="L535" t="s">
        <v>52</v>
      </c>
      <c r="M535">
        <v>0</v>
      </c>
      <c r="N535">
        <v>4440.3</v>
      </c>
      <c r="O535" t="s">
        <v>61</v>
      </c>
      <c r="P535">
        <v>100</v>
      </c>
      <c r="Q535" t="s">
        <v>52</v>
      </c>
      <c r="R535" t="s">
        <v>52</v>
      </c>
      <c r="S535" t="s">
        <v>52</v>
      </c>
      <c r="T535" t="s">
        <v>52</v>
      </c>
      <c r="U535" t="s">
        <v>52</v>
      </c>
      <c r="V535" t="s">
        <v>62</v>
      </c>
      <c r="W535" t="s">
        <v>52</v>
      </c>
      <c r="Y535" t="s">
        <v>2090</v>
      </c>
      <c r="Z535" t="s">
        <v>62</v>
      </c>
      <c r="AB535" t="s">
        <v>2120</v>
      </c>
      <c r="AE535" t="s">
        <v>2121</v>
      </c>
      <c r="AF535" t="s">
        <v>52</v>
      </c>
      <c r="AH535">
        <v>0</v>
      </c>
      <c r="AI535">
        <v>0</v>
      </c>
      <c r="AJ535" t="s">
        <v>52</v>
      </c>
      <c r="AK535">
        <v>0</v>
      </c>
      <c r="AL535" t="s">
        <v>52</v>
      </c>
      <c r="AM535" t="s">
        <v>52</v>
      </c>
      <c r="AN535">
        <v>0</v>
      </c>
      <c r="AO535">
        <v>0</v>
      </c>
      <c r="AP535" t="s">
        <v>52</v>
      </c>
      <c r="AQ535" t="s">
        <v>52</v>
      </c>
      <c r="AR535" t="s">
        <v>62</v>
      </c>
      <c r="AS535" t="s">
        <v>52</v>
      </c>
      <c r="AT535" t="s">
        <v>74</v>
      </c>
      <c r="AU535" t="s">
        <v>64</v>
      </c>
      <c r="AV535" t="s">
        <v>62</v>
      </c>
      <c r="AW535" t="s">
        <v>65</v>
      </c>
      <c r="AX535" t="s">
        <v>66</v>
      </c>
      <c r="AY535" t="s">
        <v>67</v>
      </c>
    </row>
    <row r="536" spans="1:51" hidden="1" x14ac:dyDescent="0.25">
      <c r="A536">
        <v>202699</v>
      </c>
      <c r="B536" t="s">
        <v>2122</v>
      </c>
      <c r="C536" t="e">
        <f>VLOOKUP(A536,[1]Customer_payment_journal_line!$AL:$BO,30,0)</f>
        <v>#N/A</v>
      </c>
      <c r="D536" t="s">
        <v>53</v>
      </c>
      <c r="E536" t="s">
        <v>2123</v>
      </c>
      <c r="F536" t="s">
        <v>2124</v>
      </c>
      <c r="G536" t="s">
        <v>1804</v>
      </c>
      <c r="H536" t="s">
        <v>57</v>
      </c>
      <c r="I536" t="s">
        <v>319</v>
      </c>
      <c r="J536" t="s">
        <v>2108</v>
      </c>
      <c r="K536" t="s">
        <v>2109</v>
      </c>
      <c r="L536" t="s">
        <v>52</v>
      </c>
      <c r="M536">
        <v>855</v>
      </c>
      <c r="N536">
        <v>0</v>
      </c>
      <c r="O536" t="s">
        <v>61</v>
      </c>
      <c r="P536">
        <v>100</v>
      </c>
      <c r="Q536" t="s">
        <v>52</v>
      </c>
      <c r="R536" t="s">
        <v>52</v>
      </c>
      <c r="S536" t="s">
        <v>52</v>
      </c>
      <c r="T536" t="s">
        <v>52</v>
      </c>
      <c r="U536" t="s">
        <v>52</v>
      </c>
      <c r="V536" t="s">
        <v>62</v>
      </c>
      <c r="W536" t="s">
        <v>63</v>
      </c>
      <c r="Y536" t="s">
        <v>52</v>
      </c>
      <c r="AB536" t="s">
        <v>52</v>
      </c>
      <c r="AE536" t="s">
        <v>52</v>
      </c>
      <c r="AF536" t="s">
        <v>52</v>
      </c>
      <c r="AH536">
        <v>0</v>
      </c>
      <c r="AI536">
        <v>0</v>
      </c>
      <c r="AJ536" t="s">
        <v>52</v>
      </c>
      <c r="AK536">
        <v>0</v>
      </c>
      <c r="AL536" t="s">
        <v>52</v>
      </c>
      <c r="AM536" t="s">
        <v>52</v>
      </c>
      <c r="AN536">
        <v>0</v>
      </c>
      <c r="AO536">
        <v>0</v>
      </c>
      <c r="AP536" t="s">
        <v>52</v>
      </c>
      <c r="AQ536" t="s">
        <v>52</v>
      </c>
      <c r="AR536" t="s">
        <v>62</v>
      </c>
      <c r="AS536" t="s">
        <v>52</v>
      </c>
      <c r="AT536" t="s">
        <v>52</v>
      </c>
      <c r="AU536" t="s">
        <v>64</v>
      </c>
      <c r="AV536" t="s">
        <v>62</v>
      </c>
      <c r="AW536" t="s">
        <v>65</v>
      </c>
      <c r="AX536" t="s">
        <v>66</v>
      </c>
      <c r="AY536" t="s">
        <v>67</v>
      </c>
    </row>
    <row r="537" spans="1:51" hidden="1" x14ac:dyDescent="0.25">
      <c r="A537">
        <v>202699</v>
      </c>
      <c r="B537" t="s">
        <v>2125</v>
      </c>
      <c r="C537" t="e">
        <f>VLOOKUP(A537,[1]Customer_payment_journal_line!$AL:$BO,30,0)</f>
        <v>#N/A</v>
      </c>
      <c r="D537" t="s">
        <v>53</v>
      </c>
      <c r="E537" t="s">
        <v>2123</v>
      </c>
      <c r="F537" t="s">
        <v>2124</v>
      </c>
      <c r="G537" t="s">
        <v>1804</v>
      </c>
      <c r="H537" t="s">
        <v>69</v>
      </c>
      <c r="I537" t="s">
        <v>2111</v>
      </c>
      <c r="J537" t="s">
        <v>2108</v>
      </c>
      <c r="K537" t="s">
        <v>2109</v>
      </c>
      <c r="L537" t="s">
        <v>52</v>
      </c>
      <c r="M537">
        <v>0</v>
      </c>
      <c r="N537">
        <v>855</v>
      </c>
      <c r="O537" t="s">
        <v>61</v>
      </c>
      <c r="P537">
        <v>100</v>
      </c>
      <c r="Q537" t="s">
        <v>52</v>
      </c>
      <c r="R537" t="s">
        <v>52</v>
      </c>
      <c r="S537" t="s">
        <v>52</v>
      </c>
      <c r="T537" t="s">
        <v>52</v>
      </c>
      <c r="U537" t="s">
        <v>52</v>
      </c>
      <c r="V537" t="s">
        <v>62</v>
      </c>
      <c r="W537" t="s">
        <v>52</v>
      </c>
      <c r="Y537" t="s">
        <v>2112</v>
      </c>
      <c r="Z537" t="s">
        <v>62</v>
      </c>
      <c r="AB537" t="s">
        <v>2126</v>
      </c>
      <c r="AE537" t="s">
        <v>2127</v>
      </c>
      <c r="AF537" t="s">
        <v>52</v>
      </c>
      <c r="AH537">
        <v>0</v>
      </c>
      <c r="AI537">
        <v>0</v>
      </c>
      <c r="AJ537" t="s">
        <v>52</v>
      </c>
      <c r="AK537">
        <v>0</v>
      </c>
      <c r="AL537" t="s">
        <v>52</v>
      </c>
      <c r="AM537" t="s">
        <v>52</v>
      </c>
      <c r="AN537">
        <v>0</v>
      </c>
      <c r="AO537">
        <v>0</v>
      </c>
      <c r="AP537" t="s">
        <v>52</v>
      </c>
      <c r="AQ537" t="s">
        <v>52</v>
      </c>
      <c r="AR537" t="s">
        <v>62</v>
      </c>
      <c r="AS537" t="s">
        <v>52</v>
      </c>
      <c r="AT537" t="s">
        <v>74</v>
      </c>
      <c r="AU537" t="s">
        <v>64</v>
      </c>
      <c r="AV537" t="s">
        <v>62</v>
      </c>
      <c r="AW537" t="s">
        <v>65</v>
      </c>
      <c r="AX537" t="s">
        <v>66</v>
      </c>
      <c r="AY537" t="s">
        <v>67</v>
      </c>
    </row>
    <row r="538" spans="1:51" hidden="1" x14ac:dyDescent="0.25">
      <c r="A538">
        <v>202700</v>
      </c>
      <c r="B538" t="s">
        <v>2128</v>
      </c>
      <c r="C538" t="e">
        <f>VLOOKUP(A538,[1]Customer_payment_journal_line!$AL:$BO,30,0)</f>
        <v>#N/A</v>
      </c>
      <c r="D538" t="s">
        <v>53</v>
      </c>
      <c r="E538" t="s">
        <v>2129</v>
      </c>
      <c r="F538" t="s">
        <v>2130</v>
      </c>
      <c r="G538" t="s">
        <v>1804</v>
      </c>
      <c r="H538" t="s">
        <v>57</v>
      </c>
      <c r="I538" t="s">
        <v>58</v>
      </c>
      <c r="J538" t="s">
        <v>2086</v>
      </c>
      <c r="K538" t="s">
        <v>2118</v>
      </c>
      <c r="L538" t="s">
        <v>52</v>
      </c>
      <c r="M538">
        <v>855</v>
      </c>
      <c r="N538">
        <v>0</v>
      </c>
      <c r="O538" t="s">
        <v>61</v>
      </c>
      <c r="P538">
        <v>100</v>
      </c>
      <c r="Q538" t="s">
        <v>52</v>
      </c>
      <c r="R538" t="s">
        <v>52</v>
      </c>
      <c r="S538" t="s">
        <v>52</v>
      </c>
      <c r="T538" t="s">
        <v>52</v>
      </c>
      <c r="U538" t="s">
        <v>52</v>
      </c>
      <c r="V538" t="s">
        <v>62</v>
      </c>
      <c r="W538" t="s">
        <v>63</v>
      </c>
      <c r="Y538" t="s">
        <v>52</v>
      </c>
      <c r="AB538" t="s">
        <v>52</v>
      </c>
      <c r="AE538" t="s">
        <v>52</v>
      </c>
      <c r="AF538" t="s">
        <v>52</v>
      </c>
      <c r="AH538">
        <v>0</v>
      </c>
      <c r="AI538">
        <v>0</v>
      </c>
      <c r="AJ538" t="s">
        <v>52</v>
      </c>
      <c r="AK538">
        <v>0</v>
      </c>
      <c r="AL538" t="s">
        <v>52</v>
      </c>
      <c r="AM538" t="s">
        <v>52</v>
      </c>
      <c r="AN538">
        <v>0</v>
      </c>
      <c r="AO538">
        <v>0</v>
      </c>
      <c r="AP538" t="s">
        <v>52</v>
      </c>
      <c r="AQ538" t="s">
        <v>52</v>
      </c>
      <c r="AR538" t="s">
        <v>62</v>
      </c>
      <c r="AS538" t="s">
        <v>52</v>
      </c>
      <c r="AT538" t="s">
        <v>52</v>
      </c>
      <c r="AU538" t="s">
        <v>64</v>
      </c>
      <c r="AV538" t="s">
        <v>62</v>
      </c>
      <c r="AW538" t="s">
        <v>65</v>
      </c>
      <c r="AX538" t="s">
        <v>66</v>
      </c>
      <c r="AY538" t="s">
        <v>67</v>
      </c>
    </row>
    <row r="539" spans="1:51" hidden="1" x14ac:dyDescent="0.25">
      <c r="A539">
        <v>202700</v>
      </c>
      <c r="B539" t="s">
        <v>2131</v>
      </c>
      <c r="C539" t="e">
        <f>VLOOKUP(A539,[1]Customer_payment_journal_line!$AL:$BO,30,0)</f>
        <v>#N/A</v>
      </c>
      <c r="D539" t="s">
        <v>53</v>
      </c>
      <c r="E539" t="s">
        <v>2129</v>
      </c>
      <c r="F539" t="s">
        <v>2130</v>
      </c>
      <c r="G539" t="s">
        <v>1804</v>
      </c>
      <c r="H539" t="s">
        <v>69</v>
      </c>
      <c r="I539" t="s">
        <v>2089</v>
      </c>
      <c r="J539" t="s">
        <v>2086</v>
      </c>
      <c r="K539" t="s">
        <v>2118</v>
      </c>
      <c r="L539" t="s">
        <v>52</v>
      </c>
      <c r="M539">
        <v>0</v>
      </c>
      <c r="N539">
        <v>855</v>
      </c>
      <c r="O539" t="s">
        <v>61</v>
      </c>
      <c r="P539">
        <v>100</v>
      </c>
      <c r="Q539" t="s">
        <v>52</v>
      </c>
      <c r="R539" t="s">
        <v>52</v>
      </c>
      <c r="S539" t="s">
        <v>52</v>
      </c>
      <c r="T539" t="s">
        <v>52</v>
      </c>
      <c r="U539" t="s">
        <v>52</v>
      </c>
      <c r="V539" t="s">
        <v>62</v>
      </c>
      <c r="W539" t="s">
        <v>52</v>
      </c>
      <c r="Y539" t="s">
        <v>2090</v>
      </c>
      <c r="Z539" t="s">
        <v>62</v>
      </c>
      <c r="AB539" t="s">
        <v>2132</v>
      </c>
      <c r="AE539" t="s">
        <v>2133</v>
      </c>
      <c r="AF539" t="s">
        <v>52</v>
      </c>
      <c r="AH539">
        <v>0</v>
      </c>
      <c r="AI539">
        <v>0</v>
      </c>
      <c r="AJ539" t="s">
        <v>52</v>
      </c>
      <c r="AK539">
        <v>0</v>
      </c>
      <c r="AL539" t="s">
        <v>52</v>
      </c>
      <c r="AM539" t="s">
        <v>52</v>
      </c>
      <c r="AN539">
        <v>0</v>
      </c>
      <c r="AO539">
        <v>0</v>
      </c>
      <c r="AP539" t="s">
        <v>52</v>
      </c>
      <c r="AQ539" t="s">
        <v>52</v>
      </c>
      <c r="AR539" t="s">
        <v>62</v>
      </c>
      <c r="AS539" t="s">
        <v>52</v>
      </c>
      <c r="AT539" t="s">
        <v>74</v>
      </c>
      <c r="AU539" t="s">
        <v>64</v>
      </c>
      <c r="AV539" t="s">
        <v>62</v>
      </c>
      <c r="AW539" t="s">
        <v>65</v>
      </c>
      <c r="AX539" t="s">
        <v>66</v>
      </c>
      <c r="AY539" t="s">
        <v>67</v>
      </c>
    </row>
    <row r="540" spans="1:51" hidden="1" x14ac:dyDescent="0.25">
      <c r="A540">
        <v>202701</v>
      </c>
      <c r="B540" t="s">
        <v>2134</v>
      </c>
      <c r="C540" t="e">
        <f>VLOOKUP(A540,[1]Customer_payment_journal_line!$AL:$BO,30,0)</f>
        <v>#N/A</v>
      </c>
      <c r="D540" t="s">
        <v>53</v>
      </c>
      <c r="E540" t="s">
        <v>2135</v>
      </c>
      <c r="F540" t="s">
        <v>2136</v>
      </c>
      <c r="G540" t="s">
        <v>1804</v>
      </c>
      <c r="H540" t="s">
        <v>57</v>
      </c>
      <c r="I540" t="s">
        <v>58</v>
      </c>
      <c r="J540" t="s">
        <v>2086</v>
      </c>
      <c r="K540" t="s">
        <v>2137</v>
      </c>
      <c r="L540" t="s">
        <v>52</v>
      </c>
      <c r="M540">
        <v>8453.1</v>
      </c>
      <c r="N540">
        <v>0</v>
      </c>
      <c r="O540" t="s">
        <v>61</v>
      </c>
      <c r="P540">
        <v>100</v>
      </c>
      <c r="Q540" t="s">
        <v>52</v>
      </c>
      <c r="R540" t="s">
        <v>52</v>
      </c>
      <c r="S540" t="s">
        <v>52</v>
      </c>
      <c r="T540" t="s">
        <v>52</v>
      </c>
      <c r="U540" t="s">
        <v>52</v>
      </c>
      <c r="V540" t="s">
        <v>62</v>
      </c>
      <c r="W540" t="s">
        <v>63</v>
      </c>
      <c r="Y540" t="s">
        <v>52</v>
      </c>
      <c r="AB540" t="s">
        <v>52</v>
      </c>
      <c r="AE540" t="s">
        <v>52</v>
      </c>
      <c r="AF540" t="s">
        <v>52</v>
      </c>
      <c r="AH540">
        <v>0</v>
      </c>
      <c r="AI540">
        <v>0</v>
      </c>
      <c r="AJ540" t="s">
        <v>52</v>
      </c>
      <c r="AK540">
        <v>0</v>
      </c>
      <c r="AL540" t="s">
        <v>52</v>
      </c>
      <c r="AM540" t="s">
        <v>52</v>
      </c>
      <c r="AN540">
        <v>0</v>
      </c>
      <c r="AO540">
        <v>0</v>
      </c>
      <c r="AP540" t="s">
        <v>52</v>
      </c>
      <c r="AQ540" t="s">
        <v>52</v>
      </c>
      <c r="AR540" t="s">
        <v>62</v>
      </c>
      <c r="AS540" t="s">
        <v>52</v>
      </c>
      <c r="AT540" t="s">
        <v>52</v>
      </c>
      <c r="AU540" t="s">
        <v>64</v>
      </c>
      <c r="AV540" t="s">
        <v>62</v>
      </c>
      <c r="AW540" t="s">
        <v>65</v>
      </c>
      <c r="AX540" t="s">
        <v>66</v>
      </c>
      <c r="AY540" t="s">
        <v>67</v>
      </c>
    </row>
    <row r="541" spans="1:51" hidden="1" x14ac:dyDescent="0.25">
      <c r="A541">
        <v>202701</v>
      </c>
      <c r="B541" t="s">
        <v>2138</v>
      </c>
      <c r="C541" t="e">
        <f>VLOOKUP(A541,[1]Customer_payment_journal_line!$AL:$BO,30,0)</f>
        <v>#N/A</v>
      </c>
      <c r="D541" t="s">
        <v>53</v>
      </c>
      <c r="E541" t="s">
        <v>2135</v>
      </c>
      <c r="F541" t="s">
        <v>2136</v>
      </c>
      <c r="G541" t="s">
        <v>1804</v>
      </c>
      <c r="H541" t="s">
        <v>69</v>
      </c>
      <c r="I541" t="s">
        <v>2089</v>
      </c>
      <c r="J541" t="s">
        <v>2086</v>
      </c>
      <c r="K541" t="s">
        <v>2137</v>
      </c>
      <c r="L541" t="s">
        <v>52</v>
      </c>
      <c r="M541">
        <v>0</v>
      </c>
      <c r="N541">
        <v>8453.1</v>
      </c>
      <c r="O541" t="s">
        <v>61</v>
      </c>
      <c r="P541">
        <v>100</v>
      </c>
      <c r="Q541" t="s">
        <v>52</v>
      </c>
      <c r="R541" t="s">
        <v>52</v>
      </c>
      <c r="S541" t="s">
        <v>52</v>
      </c>
      <c r="T541" t="s">
        <v>52</v>
      </c>
      <c r="U541" t="s">
        <v>52</v>
      </c>
      <c r="V541" t="s">
        <v>62</v>
      </c>
      <c r="W541" t="s">
        <v>52</v>
      </c>
      <c r="Y541" t="s">
        <v>2090</v>
      </c>
      <c r="Z541" t="s">
        <v>62</v>
      </c>
      <c r="AB541" t="s">
        <v>2139</v>
      </c>
      <c r="AE541" t="s">
        <v>2140</v>
      </c>
      <c r="AF541" t="s">
        <v>52</v>
      </c>
      <c r="AH541">
        <v>0</v>
      </c>
      <c r="AI541">
        <v>0</v>
      </c>
      <c r="AJ541" t="s">
        <v>52</v>
      </c>
      <c r="AK541">
        <v>0</v>
      </c>
      <c r="AL541" t="s">
        <v>52</v>
      </c>
      <c r="AM541" t="s">
        <v>52</v>
      </c>
      <c r="AN541">
        <v>0</v>
      </c>
      <c r="AO541">
        <v>0</v>
      </c>
      <c r="AP541" t="s">
        <v>52</v>
      </c>
      <c r="AQ541" t="s">
        <v>52</v>
      </c>
      <c r="AR541" t="s">
        <v>62</v>
      </c>
      <c r="AS541" t="s">
        <v>52</v>
      </c>
      <c r="AT541" t="s">
        <v>74</v>
      </c>
      <c r="AU541" t="s">
        <v>64</v>
      </c>
      <c r="AV541" t="s">
        <v>62</v>
      </c>
      <c r="AW541" t="s">
        <v>65</v>
      </c>
      <c r="AX541" t="s">
        <v>66</v>
      </c>
      <c r="AY541" t="s">
        <v>67</v>
      </c>
    </row>
    <row r="542" spans="1:51" hidden="1" x14ac:dyDescent="0.25">
      <c r="A542">
        <v>202702</v>
      </c>
      <c r="B542" t="s">
        <v>2141</v>
      </c>
      <c r="C542" t="e">
        <f>VLOOKUP(A542,[1]Customer_payment_journal_line!$AL:$BO,30,0)</f>
        <v>#N/A</v>
      </c>
      <c r="D542" t="s">
        <v>53</v>
      </c>
      <c r="E542" t="s">
        <v>2142</v>
      </c>
      <c r="F542" t="s">
        <v>2143</v>
      </c>
      <c r="G542" t="s">
        <v>1804</v>
      </c>
      <c r="H542" t="s">
        <v>57</v>
      </c>
      <c r="I542" t="s">
        <v>58</v>
      </c>
      <c r="J542" t="s">
        <v>2086</v>
      </c>
      <c r="K542" t="s">
        <v>2137</v>
      </c>
      <c r="L542" t="s">
        <v>52</v>
      </c>
      <c r="M542">
        <v>855</v>
      </c>
      <c r="N542">
        <v>0</v>
      </c>
      <c r="O542" t="s">
        <v>61</v>
      </c>
      <c r="P542">
        <v>100</v>
      </c>
      <c r="Q542" t="s">
        <v>52</v>
      </c>
      <c r="R542" t="s">
        <v>52</v>
      </c>
      <c r="S542" t="s">
        <v>52</v>
      </c>
      <c r="T542" t="s">
        <v>52</v>
      </c>
      <c r="U542" t="s">
        <v>52</v>
      </c>
      <c r="V542" t="s">
        <v>62</v>
      </c>
      <c r="W542" t="s">
        <v>63</v>
      </c>
      <c r="Y542" t="s">
        <v>52</v>
      </c>
      <c r="AB542" t="s">
        <v>52</v>
      </c>
      <c r="AE542" t="s">
        <v>52</v>
      </c>
      <c r="AF542" t="s">
        <v>52</v>
      </c>
      <c r="AH542">
        <v>0</v>
      </c>
      <c r="AI542">
        <v>0</v>
      </c>
      <c r="AJ542" t="s">
        <v>52</v>
      </c>
      <c r="AK542">
        <v>0</v>
      </c>
      <c r="AL542" t="s">
        <v>52</v>
      </c>
      <c r="AM542" t="s">
        <v>52</v>
      </c>
      <c r="AN542">
        <v>0</v>
      </c>
      <c r="AO542">
        <v>0</v>
      </c>
      <c r="AP542" t="s">
        <v>52</v>
      </c>
      <c r="AQ542" t="s">
        <v>52</v>
      </c>
      <c r="AR542" t="s">
        <v>62</v>
      </c>
      <c r="AS542" t="s">
        <v>52</v>
      </c>
      <c r="AT542" t="s">
        <v>52</v>
      </c>
      <c r="AU542" t="s">
        <v>64</v>
      </c>
      <c r="AV542" t="s">
        <v>62</v>
      </c>
      <c r="AW542" t="s">
        <v>65</v>
      </c>
      <c r="AX542" t="s">
        <v>66</v>
      </c>
      <c r="AY542" t="s">
        <v>67</v>
      </c>
    </row>
    <row r="543" spans="1:51" hidden="1" x14ac:dyDescent="0.25">
      <c r="A543">
        <v>202702</v>
      </c>
      <c r="B543" t="s">
        <v>2144</v>
      </c>
      <c r="C543" t="e">
        <f>VLOOKUP(A543,[1]Customer_payment_journal_line!$AL:$BO,30,0)</f>
        <v>#N/A</v>
      </c>
      <c r="D543" t="s">
        <v>53</v>
      </c>
      <c r="E543" t="s">
        <v>2142</v>
      </c>
      <c r="F543" t="s">
        <v>2143</v>
      </c>
      <c r="G543" t="s">
        <v>1804</v>
      </c>
      <c r="H543" t="s">
        <v>69</v>
      </c>
      <c r="I543" t="s">
        <v>2089</v>
      </c>
      <c r="J543" t="s">
        <v>2086</v>
      </c>
      <c r="K543" t="s">
        <v>2137</v>
      </c>
      <c r="L543" t="s">
        <v>52</v>
      </c>
      <c r="M543">
        <v>0</v>
      </c>
      <c r="N543">
        <v>855</v>
      </c>
      <c r="O543" t="s">
        <v>61</v>
      </c>
      <c r="P543">
        <v>100</v>
      </c>
      <c r="Q543" t="s">
        <v>52</v>
      </c>
      <c r="R543" t="s">
        <v>52</v>
      </c>
      <c r="S543" t="s">
        <v>52</v>
      </c>
      <c r="T543" t="s">
        <v>52</v>
      </c>
      <c r="U543" t="s">
        <v>52</v>
      </c>
      <c r="V543" t="s">
        <v>62</v>
      </c>
      <c r="W543" t="s">
        <v>52</v>
      </c>
      <c r="Y543" t="s">
        <v>2090</v>
      </c>
      <c r="Z543" t="s">
        <v>62</v>
      </c>
      <c r="AB543" t="s">
        <v>2145</v>
      </c>
      <c r="AE543" t="s">
        <v>2146</v>
      </c>
      <c r="AF543" t="s">
        <v>52</v>
      </c>
      <c r="AH543">
        <v>0</v>
      </c>
      <c r="AI543">
        <v>0</v>
      </c>
      <c r="AJ543" t="s">
        <v>52</v>
      </c>
      <c r="AK543">
        <v>0</v>
      </c>
      <c r="AL543" t="s">
        <v>52</v>
      </c>
      <c r="AM543" t="s">
        <v>52</v>
      </c>
      <c r="AN543">
        <v>0</v>
      </c>
      <c r="AO543">
        <v>0</v>
      </c>
      <c r="AP543" t="s">
        <v>52</v>
      </c>
      <c r="AQ543" t="s">
        <v>52</v>
      </c>
      <c r="AR543" t="s">
        <v>62</v>
      </c>
      <c r="AS543" t="s">
        <v>52</v>
      </c>
      <c r="AT543" t="s">
        <v>74</v>
      </c>
      <c r="AU543" t="s">
        <v>64</v>
      </c>
      <c r="AV543" t="s">
        <v>62</v>
      </c>
      <c r="AW543" t="s">
        <v>65</v>
      </c>
      <c r="AX543" t="s">
        <v>66</v>
      </c>
      <c r="AY543" t="s">
        <v>67</v>
      </c>
    </row>
    <row r="544" spans="1:51" hidden="1" x14ac:dyDescent="0.25">
      <c r="A544">
        <v>317139</v>
      </c>
      <c r="B544" t="s">
        <v>2147</v>
      </c>
      <c r="C544" t="e">
        <f>VLOOKUP(A544,[1]Customer_payment_journal_line!$AL:$BO,30,0)</f>
        <v>#N/A</v>
      </c>
      <c r="D544" t="s">
        <v>53</v>
      </c>
      <c r="E544" t="s">
        <v>2148</v>
      </c>
      <c r="F544" t="s">
        <v>2149</v>
      </c>
      <c r="G544" t="s">
        <v>1804</v>
      </c>
      <c r="H544" t="s">
        <v>201</v>
      </c>
      <c r="I544" t="s">
        <v>58</v>
      </c>
      <c r="J544" t="s">
        <v>202</v>
      </c>
      <c r="K544" t="s">
        <v>2150</v>
      </c>
      <c r="L544" t="s">
        <v>52</v>
      </c>
      <c r="M544">
        <v>2850</v>
      </c>
      <c r="N544">
        <v>0</v>
      </c>
      <c r="O544" t="s">
        <v>61</v>
      </c>
      <c r="P544">
        <v>100</v>
      </c>
      <c r="Q544" t="s">
        <v>52</v>
      </c>
      <c r="R544" t="s">
        <v>52</v>
      </c>
      <c r="S544" t="s">
        <v>52</v>
      </c>
      <c r="T544" t="s">
        <v>52</v>
      </c>
      <c r="U544" t="s">
        <v>52</v>
      </c>
      <c r="V544" t="s">
        <v>62</v>
      </c>
      <c r="W544" t="s">
        <v>63</v>
      </c>
      <c r="Y544" t="s">
        <v>52</v>
      </c>
      <c r="AB544" t="s">
        <v>2151</v>
      </c>
      <c r="AE544" t="s">
        <v>2151</v>
      </c>
      <c r="AF544" t="s">
        <v>52</v>
      </c>
      <c r="AH544">
        <v>0</v>
      </c>
      <c r="AI544">
        <v>0</v>
      </c>
      <c r="AJ544" t="s">
        <v>52</v>
      </c>
      <c r="AK544">
        <v>0</v>
      </c>
      <c r="AL544" t="s">
        <v>52</v>
      </c>
      <c r="AM544" t="s">
        <v>52</v>
      </c>
      <c r="AN544">
        <v>0</v>
      </c>
      <c r="AO544">
        <v>0</v>
      </c>
      <c r="AP544" t="s">
        <v>52</v>
      </c>
      <c r="AQ544" t="s">
        <v>52</v>
      </c>
      <c r="AR544" t="s">
        <v>62</v>
      </c>
      <c r="AS544" t="s">
        <v>52</v>
      </c>
      <c r="AT544" t="s">
        <v>52</v>
      </c>
      <c r="AU544" t="s">
        <v>64</v>
      </c>
      <c r="AV544" t="s">
        <v>62</v>
      </c>
      <c r="AW544" t="s">
        <v>65</v>
      </c>
      <c r="AX544" t="s">
        <v>66</v>
      </c>
      <c r="AY544" t="s">
        <v>67</v>
      </c>
    </row>
    <row r="545" spans="1:51" hidden="1" x14ac:dyDescent="0.25">
      <c r="A545">
        <v>317139</v>
      </c>
      <c r="B545" t="s">
        <v>2152</v>
      </c>
      <c r="C545" t="e">
        <f>VLOOKUP(A545,[1]Customer_payment_journal_line!$AL:$BO,30,0)</f>
        <v>#N/A</v>
      </c>
      <c r="D545" t="s">
        <v>53</v>
      </c>
      <c r="E545" t="s">
        <v>2148</v>
      </c>
      <c r="F545" t="s">
        <v>2149</v>
      </c>
      <c r="G545" t="s">
        <v>1804</v>
      </c>
      <c r="H545" t="s">
        <v>69</v>
      </c>
      <c r="I545" t="s">
        <v>2153</v>
      </c>
      <c r="J545" t="s">
        <v>2154</v>
      </c>
      <c r="K545" t="s">
        <v>2150</v>
      </c>
      <c r="L545" t="s">
        <v>52</v>
      </c>
      <c r="M545">
        <v>0</v>
      </c>
      <c r="N545">
        <v>50</v>
      </c>
      <c r="O545" t="s">
        <v>126</v>
      </c>
      <c r="P545">
        <v>5285</v>
      </c>
      <c r="Q545" t="s">
        <v>52</v>
      </c>
      <c r="R545" t="s">
        <v>52</v>
      </c>
      <c r="S545" t="s">
        <v>52</v>
      </c>
      <c r="T545" t="s">
        <v>52</v>
      </c>
      <c r="U545" t="s">
        <v>52</v>
      </c>
      <c r="V545" t="s">
        <v>62</v>
      </c>
      <c r="W545" t="s">
        <v>52</v>
      </c>
      <c r="Y545" t="s">
        <v>2155</v>
      </c>
      <c r="Z545" t="s">
        <v>62</v>
      </c>
      <c r="AB545" t="s">
        <v>2151</v>
      </c>
      <c r="AE545" t="s">
        <v>2151</v>
      </c>
      <c r="AF545" t="s">
        <v>52</v>
      </c>
      <c r="AH545">
        <v>0</v>
      </c>
      <c r="AI545">
        <v>0</v>
      </c>
      <c r="AJ545" t="s">
        <v>52</v>
      </c>
      <c r="AK545">
        <v>0</v>
      </c>
      <c r="AL545" t="s">
        <v>52</v>
      </c>
      <c r="AM545" t="s">
        <v>52</v>
      </c>
      <c r="AN545">
        <v>0</v>
      </c>
      <c r="AO545">
        <v>0</v>
      </c>
      <c r="AP545" t="s">
        <v>52</v>
      </c>
      <c r="AQ545" t="s">
        <v>52</v>
      </c>
      <c r="AR545" t="s">
        <v>62</v>
      </c>
      <c r="AS545" t="s">
        <v>52</v>
      </c>
      <c r="AT545" t="s">
        <v>74</v>
      </c>
      <c r="AU545" t="s">
        <v>64</v>
      </c>
      <c r="AV545" t="s">
        <v>62</v>
      </c>
      <c r="AW545" t="s">
        <v>65</v>
      </c>
      <c r="AX545" t="s">
        <v>66</v>
      </c>
      <c r="AY545" t="s">
        <v>67</v>
      </c>
    </row>
    <row r="546" spans="1:51" hidden="1" x14ac:dyDescent="0.25">
      <c r="A546">
        <v>317139</v>
      </c>
      <c r="B546" t="s">
        <v>2156</v>
      </c>
      <c r="C546" t="e">
        <f>VLOOKUP(A546,[1]Customer_payment_journal_line!$AL:$BO,30,0)</f>
        <v>#N/A</v>
      </c>
      <c r="D546" t="s">
        <v>53</v>
      </c>
      <c r="E546" t="s">
        <v>2148</v>
      </c>
      <c r="F546" t="s">
        <v>2149</v>
      </c>
      <c r="G546" t="s">
        <v>1804</v>
      </c>
      <c r="H546" t="s">
        <v>210</v>
      </c>
      <c r="I546" t="s">
        <v>2157</v>
      </c>
      <c r="J546" t="s">
        <v>52</v>
      </c>
      <c r="K546" t="s">
        <v>2150</v>
      </c>
      <c r="L546" t="s">
        <v>52</v>
      </c>
      <c r="M546">
        <v>0</v>
      </c>
      <c r="N546">
        <v>207.5</v>
      </c>
      <c r="O546" t="s">
        <v>61</v>
      </c>
      <c r="P546">
        <v>100</v>
      </c>
      <c r="Q546" t="s">
        <v>52</v>
      </c>
      <c r="R546" t="s">
        <v>52</v>
      </c>
      <c r="S546" t="s">
        <v>52</v>
      </c>
      <c r="T546" t="s">
        <v>52</v>
      </c>
      <c r="U546" t="s">
        <v>52</v>
      </c>
      <c r="V546" t="s">
        <v>62</v>
      </c>
      <c r="W546" t="s">
        <v>63</v>
      </c>
      <c r="Y546" t="s">
        <v>2155</v>
      </c>
      <c r="AB546" t="s">
        <v>2151</v>
      </c>
      <c r="AE546" t="s">
        <v>2151</v>
      </c>
      <c r="AF546" t="s">
        <v>52</v>
      </c>
      <c r="AH546">
        <v>0</v>
      </c>
      <c r="AI546">
        <v>0</v>
      </c>
      <c r="AJ546" t="s">
        <v>52</v>
      </c>
      <c r="AK546">
        <v>0</v>
      </c>
      <c r="AL546" t="s">
        <v>52</v>
      </c>
      <c r="AM546" t="s">
        <v>52</v>
      </c>
      <c r="AN546">
        <v>0</v>
      </c>
      <c r="AO546">
        <v>0</v>
      </c>
      <c r="AP546" t="s">
        <v>52</v>
      </c>
      <c r="AQ546" t="s">
        <v>52</v>
      </c>
      <c r="AR546" t="s">
        <v>62</v>
      </c>
      <c r="AS546" t="s">
        <v>52</v>
      </c>
      <c r="AT546" t="s">
        <v>52</v>
      </c>
      <c r="AU546" t="s">
        <v>64</v>
      </c>
      <c r="AV546" t="s">
        <v>62</v>
      </c>
      <c r="AW546" t="s">
        <v>65</v>
      </c>
      <c r="AX546" t="s">
        <v>66</v>
      </c>
      <c r="AY546" t="s">
        <v>67</v>
      </c>
    </row>
    <row r="547" spans="1:51" hidden="1" x14ac:dyDescent="0.25">
      <c r="A547">
        <v>202715</v>
      </c>
      <c r="B547" t="s">
        <v>2158</v>
      </c>
      <c r="C547" t="e">
        <f>VLOOKUP(A547,[1]Customer_payment_journal_line!$AL:$BO,30,0)</f>
        <v>#N/A</v>
      </c>
      <c r="D547" t="s">
        <v>53</v>
      </c>
      <c r="E547" t="s">
        <v>2159</v>
      </c>
      <c r="F547" t="s">
        <v>2160</v>
      </c>
      <c r="G547" t="s">
        <v>1804</v>
      </c>
      <c r="H547" t="s">
        <v>57</v>
      </c>
      <c r="I547" t="s">
        <v>58</v>
      </c>
      <c r="J547" t="s">
        <v>2161</v>
      </c>
      <c r="K547" t="s">
        <v>2150</v>
      </c>
      <c r="L547" t="s">
        <v>52</v>
      </c>
      <c r="M547">
        <v>855</v>
      </c>
      <c r="N547">
        <v>0</v>
      </c>
      <c r="O547" t="s">
        <v>61</v>
      </c>
      <c r="P547">
        <v>100</v>
      </c>
      <c r="Q547" t="s">
        <v>52</v>
      </c>
      <c r="R547" t="s">
        <v>52</v>
      </c>
      <c r="S547" t="s">
        <v>52</v>
      </c>
      <c r="T547" t="s">
        <v>52</v>
      </c>
      <c r="U547" t="s">
        <v>52</v>
      </c>
      <c r="V547" t="s">
        <v>62</v>
      </c>
      <c r="W547" t="s">
        <v>63</v>
      </c>
      <c r="Y547" t="s">
        <v>52</v>
      </c>
      <c r="AB547" t="s">
        <v>52</v>
      </c>
      <c r="AE547" t="s">
        <v>52</v>
      </c>
      <c r="AF547" t="s">
        <v>52</v>
      </c>
      <c r="AH547">
        <v>0</v>
      </c>
      <c r="AI547">
        <v>0</v>
      </c>
      <c r="AJ547" t="s">
        <v>52</v>
      </c>
      <c r="AK547">
        <v>0</v>
      </c>
      <c r="AL547" t="s">
        <v>52</v>
      </c>
      <c r="AM547" t="s">
        <v>52</v>
      </c>
      <c r="AN547">
        <v>0</v>
      </c>
      <c r="AO547">
        <v>0</v>
      </c>
      <c r="AP547" t="s">
        <v>52</v>
      </c>
      <c r="AQ547" t="s">
        <v>52</v>
      </c>
      <c r="AR547" t="s">
        <v>62</v>
      </c>
      <c r="AS547" t="s">
        <v>52</v>
      </c>
      <c r="AT547" t="s">
        <v>52</v>
      </c>
      <c r="AU547" t="s">
        <v>64</v>
      </c>
      <c r="AV547" t="s">
        <v>62</v>
      </c>
      <c r="AW547" t="s">
        <v>65</v>
      </c>
      <c r="AX547" t="s">
        <v>66</v>
      </c>
      <c r="AY547" t="s">
        <v>67</v>
      </c>
    </row>
    <row r="548" spans="1:51" hidden="1" x14ac:dyDescent="0.25">
      <c r="A548">
        <v>202715</v>
      </c>
      <c r="B548" t="s">
        <v>2162</v>
      </c>
      <c r="C548" t="e">
        <f>VLOOKUP(A548,[1]Customer_payment_journal_line!$AL:$BO,30,0)</f>
        <v>#N/A</v>
      </c>
      <c r="D548" t="s">
        <v>53</v>
      </c>
      <c r="E548" t="s">
        <v>2159</v>
      </c>
      <c r="F548" t="s">
        <v>2160</v>
      </c>
      <c r="G548" t="s">
        <v>1804</v>
      </c>
      <c r="H548" t="s">
        <v>69</v>
      </c>
      <c r="I548" t="s">
        <v>2153</v>
      </c>
      <c r="J548" t="s">
        <v>2161</v>
      </c>
      <c r="K548" t="s">
        <v>2150</v>
      </c>
      <c r="L548" t="s">
        <v>52</v>
      </c>
      <c r="M548">
        <v>0</v>
      </c>
      <c r="N548">
        <v>855</v>
      </c>
      <c r="O548" t="s">
        <v>61</v>
      </c>
      <c r="P548">
        <v>100</v>
      </c>
      <c r="Q548" t="s">
        <v>52</v>
      </c>
      <c r="R548" t="s">
        <v>52</v>
      </c>
      <c r="S548" t="s">
        <v>52</v>
      </c>
      <c r="T548" t="s">
        <v>52</v>
      </c>
      <c r="U548" t="s">
        <v>52</v>
      </c>
      <c r="V548" t="s">
        <v>62</v>
      </c>
      <c r="W548" t="s">
        <v>52</v>
      </c>
      <c r="Y548" t="s">
        <v>2155</v>
      </c>
      <c r="Z548" t="s">
        <v>62</v>
      </c>
      <c r="AB548" t="s">
        <v>2163</v>
      </c>
      <c r="AE548" t="s">
        <v>2164</v>
      </c>
      <c r="AF548" t="s">
        <v>52</v>
      </c>
      <c r="AH548">
        <v>0</v>
      </c>
      <c r="AI548">
        <v>0</v>
      </c>
      <c r="AJ548" t="s">
        <v>52</v>
      </c>
      <c r="AK548">
        <v>0</v>
      </c>
      <c r="AL548" t="s">
        <v>52</v>
      </c>
      <c r="AM548" t="s">
        <v>52</v>
      </c>
      <c r="AN548">
        <v>0</v>
      </c>
      <c r="AO548">
        <v>0</v>
      </c>
      <c r="AP548" t="s">
        <v>52</v>
      </c>
      <c r="AQ548" t="s">
        <v>52</v>
      </c>
      <c r="AR548" t="s">
        <v>62</v>
      </c>
      <c r="AS548" t="s">
        <v>52</v>
      </c>
      <c r="AT548" t="s">
        <v>74</v>
      </c>
      <c r="AU548" t="s">
        <v>64</v>
      </c>
      <c r="AV548" t="s">
        <v>62</v>
      </c>
      <c r="AW548" t="s">
        <v>65</v>
      </c>
      <c r="AX548" t="s">
        <v>66</v>
      </c>
      <c r="AY548" t="s">
        <v>67</v>
      </c>
    </row>
    <row r="549" spans="1:51" hidden="1" x14ac:dyDescent="0.25">
      <c r="A549">
        <v>202716</v>
      </c>
      <c r="B549" t="s">
        <v>2165</v>
      </c>
      <c r="C549" t="e">
        <f>VLOOKUP(A549,[1]Customer_payment_journal_line!$AL:$BO,30,0)</f>
        <v>#N/A</v>
      </c>
      <c r="D549" t="s">
        <v>53</v>
      </c>
      <c r="E549" t="s">
        <v>2166</v>
      </c>
      <c r="F549" t="s">
        <v>2167</v>
      </c>
      <c r="G549" t="s">
        <v>1804</v>
      </c>
      <c r="H549" t="s">
        <v>57</v>
      </c>
      <c r="I549" t="s">
        <v>58</v>
      </c>
      <c r="J549" t="s">
        <v>2161</v>
      </c>
      <c r="K549" t="s">
        <v>2150</v>
      </c>
      <c r="L549" t="s">
        <v>52</v>
      </c>
      <c r="M549">
        <v>4560</v>
      </c>
      <c r="N549">
        <v>0</v>
      </c>
      <c r="O549" t="s">
        <v>61</v>
      </c>
      <c r="P549">
        <v>100</v>
      </c>
      <c r="Q549" t="s">
        <v>52</v>
      </c>
      <c r="R549" t="s">
        <v>52</v>
      </c>
      <c r="S549" t="s">
        <v>52</v>
      </c>
      <c r="T549" t="s">
        <v>52</v>
      </c>
      <c r="U549" t="s">
        <v>52</v>
      </c>
      <c r="V549" t="s">
        <v>62</v>
      </c>
      <c r="W549" t="s">
        <v>63</v>
      </c>
      <c r="Y549" t="s">
        <v>52</v>
      </c>
      <c r="AB549" t="s">
        <v>52</v>
      </c>
      <c r="AE549" t="s">
        <v>52</v>
      </c>
      <c r="AF549" t="s">
        <v>52</v>
      </c>
      <c r="AH549">
        <v>0</v>
      </c>
      <c r="AI549">
        <v>0</v>
      </c>
      <c r="AJ549" t="s">
        <v>52</v>
      </c>
      <c r="AK549">
        <v>0</v>
      </c>
      <c r="AL549" t="s">
        <v>52</v>
      </c>
      <c r="AM549" t="s">
        <v>52</v>
      </c>
      <c r="AN549">
        <v>0</v>
      </c>
      <c r="AO549">
        <v>0</v>
      </c>
      <c r="AP549" t="s">
        <v>52</v>
      </c>
      <c r="AQ549" t="s">
        <v>52</v>
      </c>
      <c r="AR549" t="s">
        <v>62</v>
      </c>
      <c r="AS549" t="s">
        <v>52</v>
      </c>
      <c r="AT549" t="s">
        <v>52</v>
      </c>
      <c r="AU549" t="s">
        <v>64</v>
      </c>
      <c r="AV549" t="s">
        <v>62</v>
      </c>
      <c r="AW549" t="s">
        <v>65</v>
      </c>
      <c r="AX549" t="s">
        <v>66</v>
      </c>
      <c r="AY549" t="s">
        <v>67</v>
      </c>
    </row>
    <row r="550" spans="1:51" hidden="1" x14ac:dyDescent="0.25">
      <c r="A550">
        <v>202716</v>
      </c>
      <c r="B550" t="s">
        <v>2168</v>
      </c>
      <c r="C550" t="e">
        <f>VLOOKUP(A550,[1]Customer_payment_journal_line!$AL:$BO,30,0)</f>
        <v>#N/A</v>
      </c>
      <c r="D550" t="s">
        <v>53</v>
      </c>
      <c r="E550" t="s">
        <v>2166</v>
      </c>
      <c r="F550" t="s">
        <v>2167</v>
      </c>
      <c r="G550" t="s">
        <v>1804</v>
      </c>
      <c r="H550" t="s">
        <v>69</v>
      </c>
      <c r="I550" t="s">
        <v>2153</v>
      </c>
      <c r="J550" t="s">
        <v>2161</v>
      </c>
      <c r="K550" t="s">
        <v>2150</v>
      </c>
      <c r="L550" t="s">
        <v>52</v>
      </c>
      <c r="M550">
        <v>0</v>
      </c>
      <c r="N550">
        <v>4560</v>
      </c>
      <c r="O550" t="s">
        <v>61</v>
      </c>
      <c r="P550">
        <v>100</v>
      </c>
      <c r="Q550" t="s">
        <v>52</v>
      </c>
      <c r="R550" t="s">
        <v>52</v>
      </c>
      <c r="S550" t="s">
        <v>52</v>
      </c>
      <c r="T550" t="s">
        <v>52</v>
      </c>
      <c r="U550" t="s">
        <v>52</v>
      </c>
      <c r="V550" t="s">
        <v>62</v>
      </c>
      <c r="W550" t="s">
        <v>52</v>
      </c>
      <c r="Y550" t="s">
        <v>2155</v>
      </c>
      <c r="Z550" t="s">
        <v>62</v>
      </c>
      <c r="AB550" t="s">
        <v>2169</v>
      </c>
      <c r="AE550" t="s">
        <v>2170</v>
      </c>
      <c r="AF550" t="s">
        <v>52</v>
      </c>
      <c r="AH550">
        <v>0</v>
      </c>
      <c r="AI550">
        <v>0</v>
      </c>
      <c r="AJ550" t="s">
        <v>52</v>
      </c>
      <c r="AK550">
        <v>0</v>
      </c>
      <c r="AL550" t="s">
        <v>52</v>
      </c>
      <c r="AM550" t="s">
        <v>52</v>
      </c>
      <c r="AN550">
        <v>0</v>
      </c>
      <c r="AO550">
        <v>0</v>
      </c>
      <c r="AP550" t="s">
        <v>52</v>
      </c>
      <c r="AQ550" t="s">
        <v>52</v>
      </c>
      <c r="AR550" t="s">
        <v>62</v>
      </c>
      <c r="AS550" t="s">
        <v>52</v>
      </c>
      <c r="AT550" t="s">
        <v>74</v>
      </c>
      <c r="AU550" t="s">
        <v>64</v>
      </c>
      <c r="AV550" t="s">
        <v>62</v>
      </c>
      <c r="AW550" t="s">
        <v>65</v>
      </c>
      <c r="AX550" t="s">
        <v>66</v>
      </c>
      <c r="AY550" t="s">
        <v>67</v>
      </c>
    </row>
    <row r="551" spans="1:51" hidden="1" x14ac:dyDescent="0.25">
      <c r="A551">
        <v>202731</v>
      </c>
      <c r="B551" t="s">
        <v>2171</v>
      </c>
      <c r="C551" t="e">
        <f>VLOOKUP(A551,[1]Customer_payment_journal_line!$AL:$BO,30,0)</f>
        <v>#N/A</v>
      </c>
      <c r="D551" t="s">
        <v>53</v>
      </c>
      <c r="E551" t="s">
        <v>2172</v>
      </c>
      <c r="F551" t="s">
        <v>2173</v>
      </c>
      <c r="G551" t="s">
        <v>1804</v>
      </c>
      <c r="H551" t="s">
        <v>57</v>
      </c>
      <c r="I551" t="s">
        <v>58</v>
      </c>
      <c r="J551" t="s">
        <v>2174</v>
      </c>
      <c r="K551" t="s">
        <v>2175</v>
      </c>
      <c r="L551" t="s">
        <v>52</v>
      </c>
      <c r="M551">
        <v>1368</v>
      </c>
      <c r="N551">
        <v>0</v>
      </c>
      <c r="O551" t="s">
        <v>61</v>
      </c>
      <c r="P551">
        <v>100</v>
      </c>
      <c r="Q551" t="s">
        <v>52</v>
      </c>
      <c r="R551" t="s">
        <v>52</v>
      </c>
      <c r="S551" t="s">
        <v>52</v>
      </c>
      <c r="T551" t="s">
        <v>52</v>
      </c>
      <c r="U551" t="s">
        <v>52</v>
      </c>
      <c r="V551" t="s">
        <v>62</v>
      </c>
      <c r="W551" t="s">
        <v>63</v>
      </c>
      <c r="Y551" t="s">
        <v>52</v>
      </c>
      <c r="AB551" t="s">
        <v>52</v>
      </c>
      <c r="AE551" t="s">
        <v>52</v>
      </c>
      <c r="AF551" t="s">
        <v>52</v>
      </c>
      <c r="AH551">
        <v>0</v>
      </c>
      <c r="AI551">
        <v>0</v>
      </c>
      <c r="AJ551" t="s">
        <v>52</v>
      </c>
      <c r="AK551">
        <v>0</v>
      </c>
      <c r="AL551" t="s">
        <v>52</v>
      </c>
      <c r="AM551" t="s">
        <v>52</v>
      </c>
      <c r="AN551">
        <v>0</v>
      </c>
      <c r="AO551">
        <v>0</v>
      </c>
      <c r="AP551" t="s">
        <v>52</v>
      </c>
      <c r="AQ551" t="s">
        <v>52</v>
      </c>
      <c r="AR551" t="s">
        <v>62</v>
      </c>
      <c r="AS551" t="s">
        <v>52</v>
      </c>
      <c r="AT551" t="s">
        <v>52</v>
      </c>
      <c r="AU551" t="s">
        <v>64</v>
      </c>
      <c r="AV551" t="s">
        <v>62</v>
      </c>
      <c r="AW551" t="s">
        <v>65</v>
      </c>
      <c r="AX551" t="s">
        <v>66</v>
      </c>
      <c r="AY551" t="s">
        <v>67</v>
      </c>
    </row>
    <row r="552" spans="1:51" hidden="1" x14ac:dyDescent="0.25">
      <c r="A552">
        <v>202731</v>
      </c>
      <c r="B552" t="s">
        <v>2176</v>
      </c>
      <c r="C552" t="e">
        <f>VLOOKUP(A552,[1]Customer_payment_journal_line!$AL:$BO,30,0)</f>
        <v>#N/A</v>
      </c>
      <c r="D552" t="s">
        <v>53</v>
      </c>
      <c r="E552" t="s">
        <v>2172</v>
      </c>
      <c r="F552" t="s">
        <v>2173</v>
      </c>
      <c r="G552" t="s">
        <v>1804</v>
      </c>
      <c r="H552" t="s">
        <v>69</v>
      </c>
      <c r="I552" t="s">
        <v>2177</v>
      </c>
      <c r="J552" t="s">
        <v>2174</v>
      </c>
      <c r="K552" t="s">
        <v>2175</v>
      </c>
      <c r="L552" t="s">
        <v>52</v>
      </c>
      <c r="M552">
        <v>0</v>
      </c>
      <c r="N552">
        <v>1368</v>
      </c>
      <c r="O552" t="s">
        <v>61</v>
      </c>
      <c r="P552">
        <v>100</v>
      </c>
      <c r="Q552" t="s">
        <v>52</v>
      </c>
      <c r="R552" t="s">
        <v>52</v>
      </c>
      <c r="S552" t="s">
        <v>52</v>
      </c>
      <c r="T552" t="s">
        <v>52</v>
      </c>
      <c r="U552" t="s">
        <v>52</v>
      </c>
      <c r="V552" t="s">
        <v>62</v>
      </c>
      <c r="W552" t="s">
        <v>52</v>
      </c>
      <c r="Y552" t="s">
        <v>2178</v>
      </c>
      <c r="Z552" t="s">
        <v>62</v>
      </c>
      <c r="AB552" t="s">
        <v>2179</v>
      </c>
      <c r="AE552" t="s">
        <v>2180</v>
      </c>
      <c r="AF552" t="s">
        <v>52</v>
      </c>
      <c r="AH552">
        <v>0</v>
      </c>
      <c r="AI552">
        <v>0</v>
      </c>
      <c r="AJ552" t="s">
        <v>52</v>
      </c>
      <c r="AK552">
        <v>0</v>
      </c>
      <c r="AL552" t="s">
        <v>52</v>
      </c>
      <c r="AM552" t="s">
        <v>52</v>
      </c>
      <c r="AN552">
        <v>0</v>
      </c>
      <c r="AO552">
        <v>0</v>
      </c>
      <c r="AP552" t="s">
        <v>52</v>
      </c>
      <c r="AQ552" t="s">
        <v>52</v>
      </c>
      <c r="AR552" t="s">
        <v>62</v>
      </c>
      <c r="AS552" t="s">
        <v>52</v>
      </c>
      <c r="AT552" t="s">
        <v>74</v>
      </c>
      <c r="AU552" t="s">
        <v>64</v>
      </c>
      <c r="AV552" t="s">
        <v>62</v>
      </c>
      <c r="AW552" t="s">
        <v>65</v>
      </c>
      <c r="AX552" t="s">
        <v>66</v>
      </c>
      <c r="AY552" t="s">
        <v>67</v>
      </c>
    </row>
    <row r="553" spans="1:51" hidden="1" x14ac:dyDescent="0.25">
      <c r="A553">
        <v>202732</v>
      </c>
      <c r="B553" t="s">
        <v>2181</v>
      </c>
      <c r="C553" t="e">
        <f>VLOOKUP(A553,[1]Customer_payment_journal_line!$AL:$BO,30,0)</f>
        <v>#N/A</v>
      </c>
      <c r="D553" t="s">
        <v>53</v>
      </c>
      <c r="E553" t="s">
        <v>2182</v>
      </c>
      <c r="F553" t="s">
        <v>2183</v>
      </c>
      <c r="G553" t="s">
        <v>1804</v>
      </c>
      <c r="H553" t="s">
        <v>57</v>
      </c>
      <c r="I553" t="s">
        <v>319</v>
      </c>
      <c r="J553" t="s">
        <v>2184</v>
      </c>
      <c r="K553" t="s">
        <v>795</v>
      </c>
      <c r="L553" t="s">
        <v>52</v>
      </c>
      <c r="M553">
        <v>3420</v>
      </c>
      <c r="N553">
        <v>0</v>
      </c>
      <c r="O553" t="s">
        <v>61</v>
      </c>
      <c r="P553">
        <v>100</v>
      </c>
      <c r="Q553" t="s">
        <v>52</v>
      </c>
      <c r="R553" t="s">
        <v>52</v>
      </c>
      <c r="S553" t="s">
        <v>52</v>
      </c>
      <c r="T553" t="s">
        <v>52</v>
      </c>
      <c r="U553" t="s">
        <v>52</v>
      </c>
      <c r="V553" t="s">
        <v>62</v>
      </c>
      <c r="W553" t="s">
        <v>63</v>
      </c>
      <c r="Y553" t="s">
        <v>52</v>
      </c>
      <c r="AB553" t="s">
        <v>52</v>
      </c>
      <c r="AE553" t="s">
        <v>52</v>
      </c>
      <c r="AF553" t="s">
        <v>52</v>
      </c>
      <c r="AH553">
        <v>0</v>
      </c>
      <c r="AI553">
        <v>0</v>
      </c>
      <c r="AJ553" t="s">
        <v>52</v>
      </c>
      <c r="AK553">
        <v>0</v>
      </c>
      <c r="AL553" t="s">
        <v>52</v>
      </c>
      <c r="AM553" t="s">
        <v>52</v>
      </c>
      <c r="AN553">
        <v>0</v>
      </c>
      <c r="AO553">
        <v>0</v>
      </c>
      <c r="AP553" t="s">
        <v>52</v>
      </c>
      <c r="AQ553" t="s">
        <v>52</v>
      </c>
      <c r="AR553" t="s">
        <v>62</v>
      </c>
      <c r="AS553" t="s">
        <v>52</v>
      </c>
      <c r="AT553" t="s">
        <v>52</v>
      </c>
      <c r="AU553" t="s">
        <v>64</v>
      </c>
      <c r="AV553" t="s">
        <v>62</v>
      </c>
      <c r="AW553" t="s">
        <v>65</v>
      </c>
      <c r="AX553" t="s">
        <v>66</v>
      </c>
      <c r="AY553" t="s">
        <v>67</v>
      </c>
    </row>
    <row r="554" spans="1:51" hidden="1" x14ac:dyDescent="0.25">
      <c r="A554">
        <v>202732</v>
      </c>
      <c r="B554" t="s">
        <v>2185</v>
      </c>
      <c r="C554" t="e">
        <f>VLOOKUP(A554,[1]Customer_payment_journal_line!$AL:$BO,30,0)</f>
        <v>#N/A</v>
      </c>
      <c r="D554" t="s">
        <v>53</v>
      </c>
      <c r="E554" t="s">
        <v>2182</v>
      </c>
      <c r="F554" t="s">
        <v>2183</v>
      </c>
      <c r="G554" t="s">
        <v>1804</v>
      </c>
      <c r="H554" t="s">
        <v>69</v>
      </c>
      <c r="I554" t="s">
        <v>797</v>
      </c>
      <c r="J554" t="s">
        <v>2184</v>
      </c>
      <c r="K554" t="s">
        <v>795</v>
      </c>
      <c r="L554" t="s">
        <v>52</v>
      </c>
      <c r="M554">
        <v>0</v>
      </c>
      <c r="N554">
        <v>3420</v>
      </c>
      <c r="O554" t="s">
        <v>61</v>
      </c>
      <c r="P554">
        <v>100</v>
      </c>
      <c r="Q554" t="s">
        <v>52</v>
      </c>
      <c r="R554" t="s">
        <v>52</v>
      </c>
      <c r="S554" t="s">
        <v>52</v>
      </c>
      <c r="T554" t="s">
        <v>52</v>
      </c>
      <c r="U554" t="s">
        <v>52</v>
      </c>
      <c r="V554" t="s">
        <v>62</v>
      </c>
      <c r="W554" t="s">
        <v>52</v>
      </c>
      <c r="Y554" t="s">
        <v>798</v>
      </c>
      <c r="Z554" t="s">
        <v>62</v>
      </c>
      <c r="AB554" t="s">
        <v>2186</v>
      </c>
      <c r="AE554" t="s">
        <v>2187</v>
      </c>
      <c r="AF554" t="s">
        <v>52</v>
      </c>
      <c r="AH554">
        <v>0</v>
      </c>
      <c r="AI554">
        <v>0</v>
      </c>
      <c r="AJ554" t="s">
        <v>52</v>
      </c>
      <c r="AK554">
        <v>0</v>
      </c>
      <c r="AL554" t="s">
        <v>52</v>
      </c>
      <c r="AM554" t="s">
        <v>52</v>
      </c>
      <c r="AN554">
        <v>0</v>
      </c>
      <c r="AO554">
        <v>0</v>
      </c>
      <c r="AP554" t="s">
        <v>52</v>
      </c>
      <c r="AQ554" t="s">
        <v>52</v>
      </c>
      <c r="AR554" t="s">
        <v>62</v>
      </c>
      <c r="AS554" t="s">
        <v>52</v>
      </c>
      <c r="AT554" t="s">
        <v>74</v>
      </c>
      <c r="AU554" t="s">
        <v>64</v>
      </c>
      <c r="AV554" t="s">
        <v>62</v>
      </c>
      <c r="AW554" t="s">
        <v>65</v>
      </c>
      <c r="AX554" t="s">
        <v>66</v>
      </c>
      <c r="AY554" t="s">
        <v>67</v>
      </c>
    </row>
    <row r="555" spans="1:51" hidden="1" x14ac:dyDescent="0.25">
      <c r="A555">
        <v>202733</v>
      </c>
      <c r="B555" t="s">
        <v>2188</v>
      </c>
      <c r="C555" t="e">
        <f>VLOOKUP(A555,[1]Customer_payment_journal_line!$AL:$BO,30,0)</f>
        <v>#N/A</v>
      </c>
      <c r="D555" t="s">
        <v>53</v>
      </c>
      <c r="E555" t="s">
        <v>2189</v>
      </c>
      <c r="F555" t="s">
        <v>2190</v>
      </c>
      <c r="G555" t="s">
        <v>1804</v>
      </c>
      <c r="H555" t="s">
        <v>57</v>
      </c>
      <c r="I555" t="s">
        <v>58</v>
      </c>
      <c r="J555" t="s">
        <v>2174</v>
      </c>
      <c r="K555" t="s">
        <v>2175</v>
      </c>
      <c r="L555" t="s">
        <v>52</v>
      </c>
      <c r="M555">
        <v>855</v>
      </c>
      <c r="N555">
        <v>0</v>
      </c>
      <c r="O555" t="s">
        <v>61</v>
      </c>
      <c r="P555">
        <v>100</v>
      </c>
      <c r="Q555" t="s">
        <v>52</v>
      </c>
      <c r="R555" t="s">
        <v>52</v>
      </c>
      <c r="S555" t="s">
        <v>52</v>
      </c>
      <c r="T555" t="s">
        <v>52</v>
      </c>
      <c r="U555" t="s">
        <v>52</v>
      </c>
      <c r="V555" t="s">
        <v>62</v>
      </c>
      <c r="W555" t="s">
        <v>63</v>
      </c>
      <c r="Y555" t="s">
        <v>52</v>
      </c>
      <c r="AB555" t="s">
        <v>52</v>
      </c>
      <c r="AE555" t="s">
        <v>52</v>
      </c>
      <c r="AF555" t="s">
        <v>52</v>
      </c>
      <c r="AH555">
        <v>0</v>
      </c>
      <c r="AI555">
        <v>0</v>
      </c>
      <c r="AJ555" t="s">
        <v>52</v>
      </c>
      <c r="AK555">
        <v>0</v>
      </c>
      <c r="AL555" t="s">
        <v>52</v>
      </c>
      <c r="AM555" t="s">
        <v>52</v>
      </c>
      <c r="AN555">
        <v>0</v>
      </c>
      <c r="AO555">
        <v>0</v>
      </c>
      <c r="AP555" t="s">
        <v>52</v>
      </c>
      <c r="AQ555" t="s">
        <v>52</v>
      </c>
      <c r="AR555" t="s">
        <v>62</v>
      </c>
      <c r="AS555" t="s">
        <v>52</v>
      </c>
      <c r="AT555" t="s">
        <v>52</v>
      </c>
      <c r="AU555" t="s">
        <v>64</v>
      </c>
      <c r="AV555" t="s">
        <v>62</v>
      </c>
      <c r="AW555" t="s">
        <v>65</v>
      </c>
      <c r="AX555" t="s">
        <v>66</v>
      </c>
      <c r="AY555" t="s">
        <v>67</v>
      </c>
    </row>
    <row r="556" spans="1:51" hidden="1" x14ac:dyDescent="0.25">
      <c r="A556">
        <v>202733</v>
      </c>
      <c r="B556" t="s">
        <v>2191</v>
      </c>
      <c r="C556" t="e">
        <f>VLOOKUP(A556,[1]Customer_payment_journal_line!$AL:$BO,30,0)</f>
        <v>#N/A</v>
      </c>
      <c r="D556" t="s">
        <v>53</v>
      </c>
      <c r="E556" t="s">
        <v>2189</v>
      </c>
      <c r="F556" t="s">
        <v>2190</v>
      </c>
      <c r="G556" t="s">
        <v>1804</v>
      </c>
      <c r="H556" t="s">
        <v>69</v>
      </c>
      <c r="I556" t="s">
        <v>2177</v>
      </c>
      <c r="J556" t="s">
        <v>2174</v>
      </c>
      <c r="K556" t="s">
        <v>2175</v>
      </c>
      <c r="L556" t="s">
        <v>52</v>
      </c>
      <c r="M556">
        <v>0</v>
      </c>
      <c r="N556">
        <v>855</v>
      </c>
      <c r="O556" t="s">
        <v>61</v>
      </c>
      <c r="P556">
        <v>100</v>
      </c>
      <c r="Q556" t="s">
        <v>52</v>
      </c>
      <c r="R556" t="s">
        <v>52</v>
      </c>
      <c r="S556" t="s">
        <v>52</v>
      </c>
      <c r="T556" t="s">
        <v>52</v>
      </c>
      <c r="U556" t="s">
        <v>52</v>
      </c>
      <c r="V556" t="s">
        <v>62</v>
      </c>
      <c r="W556" t="s">
        <v>52</v>
      </c>
      <c r="Y556" t="s">
        <v>2178</v>
      </c>
      <c r="Z556" t="s">
        <v>62</v>
      </c>
      <c r="AB556" t="s">
        <v>2192</v>
      </c>
      <c r="AE556" t="s">
        <v>2193</v>
      </c>
      <c r="AF556" t="s">
        <v>52</v>
      </c>
      <c r="AH556">
        <v>0</v>
      </c>
      <c r="AI556">
        <v>0</v>
      </c>
      <c r="AJ556" t="s">
        <v>52</v>
      </c>
      <c r="AK556">
        <v>0</v>
      </c>
      <c r="AL556" t="s">
        <v>52</v>
      </c>
      <c r="AM556" t="s">
        <v>52</v>
      </c>
      <c r="AN556">
        <v>0</v>
      </c>
      <c r="AO556">
        <v>0</v>
      </c>
      <c r="AP556" t="s">
        <v>52</v>
      </c>
      <c r="AQ556" t="s">
        <v>52</v>
      </c>
      <c r="AR556" t="s">
        <v>62</v>
      </c>
      <c r="AS556" t="s">
        <v>52</v>
      </c>
      <c r="AT556" t="s">
        <v>74</v>
      </c>
      <c r="AU556" t="s">
        <v>64</v>
      </c>
      <c r="AV556" t="s">
        <v>62</v>
      </c>
      <c r="AW556" t="s">
        <v>65</v>
      </c>
      <c r="AX556" t="s">
        <v>66</v>
      </c>
      <c r="AY556" t="s">
        <v>67</v>
      </c>
    </row>
    <row r="557" spans="1:51" hidden="1" x14ac:dyDescent="0.25">
      <c r="A557">
        <v>202734</v>
      </c>
      <c r="B557" t="s">
        <v>2194</v>
      </c>
      <c r="C557" t="e">
        <f>VLOOKUP(A557,[1]Customer_payment_journal_line!$AL:$BO,30,0)</f>
        <v>#N/A</v>
      </c>
      <c r="D557" t="s">
        <v>53</v>
      </c>
      <c r="E557" t="s">
        <v>2195</v>
      </c>
      <c r="F557" t="s">
        <v>2196</v>
      </c>
      <c r="G557" t="s">
        <v>1804</v>
      </c>
      <c r="H557" t="s">
        <v>57</v>
      </c>
      <c r="I557" t="s">
        <v>319</v>
      </c>
      <c r="J557" t="s">
        <v>2184</v>
      </c>
      <c r="K557" t="s">
        <v>795</v>
      </c>
      <c r="L557" t="s">
        <v>52</v>
      </c>
      <c r="M557">
        <v>5118.6000000000004</v>
      </c>
      <c r="N557">
        <v>0</v>
      </c>
      <c r="O557" t="s">
        <v>61</v>
      </c>
      <c r="P557">
        <v>100</v>
      </c>
      <c r="Q557" t="s">
        <v>52</v>
      </c>
      <c r="R557" t="s">
        <v>52</v>
      </c>
      <c r="S557" t="s">
        <v>52</v>
      </c>
      <c r="T557" t="s">
        <v>52</v>
      </c>
      <c r="U557" t="s">
        <v>52</v>
      </c>
      <c r="V557" t="s">
        <v>62</v>
      </c>
      <c r="W557" t="s">
        <v>63</v>
      </c>
      <c r="Y557" t="s">
        <v>52</v>
      </c>
      <c r="AB557" t="s">
        <v>52</v>
      </c>
      <c r="AE557" t="s">
        <v>52</v>
      </c>
      <c r="AF557" t="s">
        <v>52</v>
      </c>
      <c r="AH557">
        <v>0</v>
      </c>
      <c r="AI557">
        <v>0</v>
      </c>
      <c r="AJ557" t="s">
        <v>52</v>
      </c>
      <c r="AK557">
        <v>0</v>
      </c>
      <c r="AL557" t="s">
        <v>52</v>
      </c>
      <c r="AM557" t="s">
        <v>52</v>
      </c>
      <c r="AN557">
        <v>0</v>
      </c>
      <c r="AO557">
        <v>0</v>
      </c>
      <c r="AP557" t="s">
        <v>52</v>
      </c>
      <c r="AQ557" t="s">
        <v>52</v>
      </c>
      <c r="AR557" t="s">
        <v>62</v>
      </c>
      <c r="AS557" t="s">
        <v>52</v>
      </c>
      <c r="AT557" t="s">
        <v>52</v>
      </c>
      <c r="AU557" t="s">
        <v>64</v>
      </c>
      <c r="AV557" t="s">
        <v>62</v>
      </c>
      <c r="AW557" t="s">
        <v>65</v>
      </c>
      <c r="AX557" t="s">
        <v>66</v>
      </c>
      <c r="AY557" t="s">
        <v>67</v>
      </c>
    </row>
    <row r="558" spans="1:51" hidden="1" x14ac:dyDescent="0.25">
      <c r="A558">
        <v>202734</v>
      </c>
      <c r="B558" t="s">
        <v>2197</v>
      </c>
      <c r="C558" t="e">
        <f>VLOOKUP(A558,[1]Customer_payment_journal_line!$AL:$BO,30,0)</f>
        <v>#N/A</v>
      </c>
      <c r="D558" t="s">
        <v>53</v>
      </c>
      <c r="E558" t="s">
        <v>2195</v>
      </c>
      <c r="F558" t="s">
        <v>2196</v>
      </c>
      <c r="G558" t="s">
        <v>1804</v>
      </c>
      <c r="H558" t="s">
        <v>69</v>
      </c>
      <c r="I558" t="s">
        <v>797</v>
      </c>
      <c r="J558" t="s">
        <v>2184</v>
      </c>
      <c r="K558" t="s">
        <v>795</v>
      </c>
      <c r="L558" t="s">
        <v>52</v>
      </c>
      <c r="M558">
        <v>0</v>
      </c>
      <c r="N558">
        <v>5118.6000000000004</v>
      </c>
      <c r="O558" t="s">
        <v>61</v>
      </c>
      <c r="P558">
        <v>100</v>
      </c>
      <c r="Q558" t="s">
        <v>52</v>
      </c>
      <c r="R558" t="s">
        <v>52</v>
      </c>
      <c r="S558" t="s">
        <v>52</v>
      </c>
      <c r="T558" t="s">
        <v>52</v>
      </c>
      <c r="U558" t="s">
        <v>52</v>
      </c>
      <c r="V558" t="s">
        <v>62</v>
      </c>
      <c r="W558" t="s">
        <v>52</v>
      </c>
      <c r="Y558" t="s">
        <v>798</v>
      </c>
      <c r="Z558" t="s">
        <v>62</v>
      </c>
      <c r="AB558" t="s">
        <v>2198</v>
      </c>
      <c r="AE558" t="s">
        <v>2199</v>
      </c>
      <c r="AF558" t="s">
        <v>52</v>
      </c>
      <c r="AH558">
        <v>0</v>
      </c>
      <c r="AI558">
        <v>0</v>
      </c>
      <c r="AJ558" t="s">
        <v>52</v>
      </c>
      <c r="AK558">
        <v>0</v>
      </c>
      <c r="AL558" t="s">
        <v>52</v>
      </c>
      <c r="AM558" t="s">
        <v>52</v>
      </c>
      <c r="AN558">
        <v>0</v>
      </c>
      <c r="AO558">
        <v>0</v>
      </c>
      <c r="AP558" t="s">
        <v>52</v>
      </c>
      <c r="AQ558" t="s">
        <v>52</v>
      </c>
      <c r="AR558" t="s">
        <v>62</v>
      </c>
      <c r="AS558" t="s">
        <v>52</v>
      </c>
      <c r="AT558" t="s">
        <v>74</v>
      </c>
      <c r="AU558" t="s">
        <v>64</v>
      </c>
      <c r="AV558" t="s">
        <v>62</v>
      </c>
      <c r="AW558" t="s">
        <v>65</v>
      </c>
      <c r="AX558" t="s">
        <v>66</v>
      </c>
      <c r="AY558" t="s">
        <v>67</v>
      </c>
    </row>
    <row r="559" spans="1:51" hidden="1" x14ac:dyDescent="0.25">
      <c r="A559">
        <v>202735</v>
      </c>
      <c r="B559" t="s">
        <v>2200</v>
      </c>
      <c r="C559" t="e">
        <f>VLOOKUP(A559,[1]Customer_payment_journal_line!$AL:$BO,30,0)</f>
        <v>#N/A</v>
      </c>
      <c r="D559" t="s">
        <v>53</v>
      </c>
      <c r="E559" t="s">
        <v>2201</v>
      </c>
      <c r="F559" t="s">
        <v>2202</v>
      </c>
      <c r="G559" t="s">
        <v>1804</v>
      </c>
      <c r="H559" t="s">
        <v>57</v>
      </c>
      <c r="I559" t="s">
        <v>319</v>
      </c>
      <c r="J559" t="s">
        <v>2203</v>
      </c>
      <c r="K559" t="s">
        <v>795</v>
      </c>
      <c r="L559" t="s">
        <v>52</v>
      </c>
      <c r="M559">
        <v>19311.599999999999</v>
      </c>
      <c r="N559">
        <v>0</v>
      </c>
      <c r="O559" t="s">
        <v>61</v>
      </c>
      <c r="P559">
        <v>100</v>
      </c>
      <c r="Q559" t="s">
        <v>52</v>
      </c>
      <c r="R559" t="s">
        <v>52</v>
      </c>
      <c r="S559" t="s">
        <v>52</v>
      </c>
      <c r="T559" t="s">
        <v>52</v>
      </c>
      <c r="U559" t="s">
        <v>52</v>
      </c>
      <c r="V559" t="s">
        <v>62</v>
      </c>
      <c r="W559" t="s">
        <v>63</v>
      </c>
      <c r="Y559" t="s">
        <v>52</v>
      </c>
      <c r="AB559" t="s">
        <v>52</v>
      </c>
      <c r="AE559" t="s">
        <v>52</v>
      </c>
      <c r="AF559" t="s">
        <v>52</v>
      </c>
      <c r="AH559">
        <v>0</v>
      </c>
      <c r="AI559">
        <v>0</v>
      </c>
      <c r="AJ559" t="s">
        <v>52</v>
      </c>
      <c r="AK559">
        <v>0</v>
      </c>
      <c r="AL559" t="s">
        <v>52</v>
      </c>
      <c r="AM559" t="s">
        <v>52</v>
      </c>
      <c r="AN559">
        <v>0</v>
      </c>
      <c r="AO559">
        <v>0</v>
      </c>
      <c r="AP559" t="s">
        <v>52</v>
      </c>
      <c r="AQ559" t="s">
        <v>52</v>
      </c>
      <c r="AR559" t="s">
        <v>62</v>
      </c>
      <c r="AS559" t="s">
        <v>52</v>
      </c>
      <c r="AT559" t="s">
        <v>52</v>
      </c>
      <c r="AU559" t="s">
        <v>64</v>
      </c>
      <c r="AV559" t="s">
        <v>62</v>
      </c>
      <c r="AW559" t="s">
        <v>65</v>
      </c>
      <c r="AX559" t="s">
        <v>66</v>
      </c>
      <c r="AY559" t="s">
        <v>67</v>
      </c>
    </row>
    <row r="560" spans="1:51" hidden="1" x14ac:dyDescent="0.25">
      <c r="A560">
        <v>202735</v>
      </c>
      <c r="B560" t="s">
        <v>2204</v>
      </c>
      <c r="C560" t="e">
        <f>VLOOKUP(A560,[1]Customer_payment_journal_line!$AL:$BO,30,0)</f>
        <v>#N/A</v>
      </c>
      <c r="D560" t="s">
        <v>53</v>
      </c>
      <c r="E560" t="s">
        <v>2201</v>
      </c>
      <c r="F560" t="s">
        <v>2202</v>
      </c>
      <c r="G560" t="s">
        <v>1804</v>
      </c>
      <c r="H560" t="s">
        <v>69</v>
      </c>
      <c r="I560" t="s">
        <v>797</v>
      </c>
      <c r="J560" t="s">
        <v>2203</v>
      </c>
      <c r="K560" t="s">
        <v>795</v>
      </c>
      <c r="L560" t="s">
        <v>52</v>
      </c>
      <c r="M560">
        <v>0</v>
      </c>
      <c r="N560">
        <v>19311.599999999999</v>
      </c>
      <c r="O560" t="s">
        <v>61</v>
      </c>
      <c r="P560">
        <v>100</v>
      </c>
      <c r="Q560" t="s">
        <v>52</v>
      </c>
      <c r="R560" t="s">
        <v>52</v>
      </c>
      <c r="S560" t="s">
        <v>52</v>
      </c>
      <c r="T560" t="s">
        <v>52</v>
      </c>
      <c r="U560" t="s">
        <v>52</v>
      </c>
      <c r="V560" t="s">
        <v>62</v>
      </c>
      <c r="W560" t="s">
        <v>52</v>
      </c>
      <c r="Y560" t="s">
        <v>798</v>
      </c>
      <c r="Z560" t="s">
        <v>62</v>
      </c>
      <c r="AB560" t="s">
        <v>2205</v>
      </c>
      <c r="AE560" t="s">
        <v>2206</v>
      </c>
      <c r="AF560" t="s">
        <v>52</v>
      </c>
      <c r="AH560">
        <v>0</v>
      </c>
      <c r="AI560">
        <v>0</v>
      </c>
      <c r="AJ560" t="s">
        <v>52</v>
      </c>
      <c r="AK560">
        <v>0</v>
      </c>
      <c r="AL560" t="s">
        <v>52</v>
      </c>
      <c r="AM560" t="s">
        <v>52</v>
      </c>
      <c r="AN560">
        <v>0</v>
      </c>
      <c r="AO560">
        <v>0</v>
      </c>
      <c r="AP560" t="s">
        <v>52</v>
      </c>
      <c r="AQ560" t="s">
        <v>52</v>
      </c>
      <c r="AR560" t="s">
        <v>62</v>
      </c>
      <c r="AS560" t="s">
        <v>52</v>
      </c>
      <c r="AT560" t="s">
        <v>74</v>
      </c>
      <c r="AU560" t="s">
        <v>64</v>
      </c>
      <c r="AV560" t="s">
        <v>62</v>
      </c>
      <c r="AW560" t="s">
        <v>65</v>
      </c>
      <c r="AX560" t="s">
        <v>66</v>
      </c>
      <c r="AY560" t="s">
        <v>67</v>
      </c>
    </row>
    <row r="561" spans="1:51" hidden="1" x14ac:dyDescent="0.25">
      <c r="A561">
        <v>202737</v>
      </c>
      <c r="B561" t="s">
        <v>2207</v>
      </c>
      <c r="C561" t="e">
        <f>VLOOKUP(A561,[1]Customer_payment_journal_line!$AL:$BO,30,0)</f>
        <v>#N/A</v>
      </c>
      <c r="D561" t="s">
        <v>53</v>
      </c>
      <c r="E561" t="s">
        <v>2208</v>
      </c>
      <c r="F561" t="s">
        <v>2209</v>
      </c>
      <c r="G561" t="s">
        <v>1804</v>
      </c>
      <c r="H561" t="s">
        <v>57</v>
      </c>
      <c r="I561" t="s">
        <v>58</v>
      </c>
      <c r="J561" t="s">
        <v>2210</v>
      </c>
      <c r="K561" t="s">
        <v>1806</v>
      </c>
      <c r="L561" t="s">
        <v>52</v>
      </c>
      <c r="M561">
        <v>6270</v>
      </c>
      <c r="N561">
        <v>0</v>
      </c>
      <c r="O561" t="s">
        <v>61</v>
      </c>
      <c r="P561">
        <v>100</v>
      </c>
      <c r="Q561" t="s">
        <v>52</v>
      </c>
      <c r="R561" t="s">
        <v>52</v>
      </c>
      <c r="S561" t="s">
        <v>52</v>
      </c>
      <c r="T561" t="s">
        <v>52</v>
      </c>
      <c r="U561" t="s">
        <v>52</v>
      </c>
      <c r="V561" t="s">
        <v>62</v>
      </c>
      <c r="W561" t="s">
        <v>63</v>
      </c>
      <c r="Y561" t="s">
        <v>52</v>
      </c>
      <c r="AB561" t="s">
        <v>52</v>
      </c>
      <c r="AE561" t="s">
        <v>52</v>
      </c>
      <c r="AF561" t="s">
        <v>52</v>
      </c>
      <c r="AH561">
        <v>0</v>
      </c>
      <c r="AI561">
        <v>0</v>
      </c>
      <c r="AJ561" t="s">
        <v>52</v>
      </c>
      <c r="AK561">
        <v>0</v>
      </c>
      <c r="AL561" t="s">
        <v>52</v>
      </c>
      <c r="AM561" t="s">
        <v>52</v>
      </c>
      <c r="AN561">
        <v>0</v>
      </c>
      <c r="AO561">
        <v>0</v>
      </c>
      <c r="AP561" t="s">
        <v>52</v>
      </c>
      <c r="AQ561" t="s">
        <v>52</v>
      </c>
      <c r="AR561" t="s">
        <v>62</v>
      </c>
      <c r="AS561" t="s">
        <v>52</v>
      </c>
      <c r="AT561" t="s">
        <v>52</v>
      </c>
      <c r="AU561" t="s">
        <v>64</v>
      </c>
      <c r="AV561" t="s">
        <v>62</v>
      </c>
      <c r="AW561" t="s">
        <v>65</v>
      </c>
      <c r="AX561" t="s">
        <v>66</v>
      </c>
      <c r="AY561" t="s">
        <v>67</v>
      </c>
    </row>
    <row r="562" spans="1:51" hidden="1" x14ac:dyDescent="0.25">
      <c r="A562">
        <v>202737</v>
      </c>
      <c r="B562" t="s">
        <v>2211</v>
      </c>
      <c r="C562" t="e">
        <f>VLOOKUP(A562,[1]Customer_payment_journal_line!$AL:$BO,30,0)</f>
        <v>#N/A</v>
      </c>
      <c r="D562" t="s">
        <v>53</v>
      </c>
      <c r="E562" t="s">
        <v>2208</v>
      </c>
      <c r="F562" t="s">
        <v>2209</v>
      </c>
      <c r="G562" t="s">
        <v>1804</v>
      </c>
      <c r="H562" t="s">
        <v>69</v>
      </c>
      <c r="I562" t="s">
        <v>2212</v>
      </c>
      <c r="J562" t="s">
        <v>2210</v>
      </c>
      <c r="K562" t="s">
        <v>1806</v>
      </c>
      <c r="L562" t="s">
        <v>52</v>
      </c>
      <c r="M562">
        <v>0</v>
      </c>
      <c r="N562">
        <v>6270</v>
      </c>
      <c r="O562" t="s">
        <v>61</v>
      </c>
      <c r="P562">
        <v>100</v>
      </c>
      <c r="Q562" t="s">
        <v>52</v>
      </c>
      <c r="R562" t="s">
        <v>52</v>
      </c>
      <c r="S562" t="s">
        <v>52</v>
      </c>
      <c r="T562" t="s">
        <v>52</v>
      </c>
      <c r="U562" t="s">
        <v>52</v>
      </c>
      <c r="V562" t="s">
        <v>62</v>
      </c>
      <c r="W562" t="s">
        <v>52</v>
      </c>
      <c r="Y562" t="s">
        <v>2213</v>
      </c>
      <c r="Z562" t="s">
        <v>62</v>
      </c>
      <c r="AB562" t="s">
        <v>2214</v>
      </c>
      <c r="AE562" t="s">
        <v>2215</v>
      </c>
      <c r="AF562" t="s">
        <v>52</v>
      </c>
      <c r="AH562">
        <v>0</v>
      </c>
      <c r="AI562">
        <v>0</v>
      </c>
      <c r="AJ562" t="s">
        <v>52</v>
      </c>
      <c r="AK562">
        <v>0</v>
      </c>
      <c r="AL562" t="s">
        <v>52</v>
      </c>
      <c r="AM562" t="s">
        <v>52</v>
      </c>
      <c r="AN562">
        <v>0</v>
      </c>
      <c r="AO562">
        <v>0</v>
      </c>
      <c r="AP562" t="s">
        <v>52</v>
      </c>
      <c r="AQ562" t="s">
        <v>52</v>
      </c>
      <c r="AR562" t="s">
        <v>62</v>
      </c>
      <c r="AS562" t="s">
        <v>52</v>
      </c>
      <c r="AT562" t="s">
        <v>74</v>
      </c>
      <c r="AU562" t="s">
        <v>64</v>
      </c>
      <c r="AV562" t="s">
        <v>62</v>
      </c>
      <c r="AW562" t="s">
        <v>65</v>
      </c>
      <c r="AX562" t="s">
        <v>66</v>
      </c>
      <c r="AY562" t="s">
        <v>67</v>
      </c>
    </row>
    <row r="563" spans="1:51" hidden="1" x14ac:dyDescent="0.25">
      <c r="A563">
        <v>202738</v>
      </c>
      <c r="B563" t="s">
        <v>2216</v>
      </c>
      <c r="C563" t="e">
        <f>VLOOKUP(A563,[1]Customer_payment_journal_line!$AL:$BO,30,0)</f>
        <v>#N/A</v>
      </c>
      <c r="D563" t="s">
        <v>53</v>
      </c>
      <c r="E563" t="s">
        <v>2217</v>
      </c>
      <c r="F563" t="s">
        <v>2218</v>
      </c>
      <c r="G563" t="s">
        <v>1804</v>
      </c>
      <c r="H563" t="s">
        <v>57</v>
      </c>
      <c r="I563" t="s">
        <v>58</v>
      </c>
      <c r="J563" t="s">
        <v>2210</v>
      </c>
      <c r="K563" t="s">
        <v>1806</v>
      </c>
      <c r="L563" t="s">
        <v>52</v>
      </c>
      <c r="M563">
        <v>855</v>
      </c>
      <c r="N563">
        <v>0</v>
      </c>
      <c r="O563" t="s">
        <v>61</v>
      </c>
      <c r="P563">
        <v>100</v>
      </c>
      <c r="Q563" t="s">
        <v>52</v>
      </c>
      <c r="R563" t="s">
        <v>52</v>
      </c>
      <c r="S563" t="s">
        <v>52</v>
      </c>
      <c r="T563" t="s">
        <v>52</v>
      </c>
      <c r="U563" t="s">
        <v>52</v>
      </c>
      <c r="V563" t="s">
        <v>62</v>
      </c>
      <c r="W563" t="s">
        <v>63</v>
      </c>
      <c r="Y563" t="s">
        <v>52</v>
      </c>
      <c r="AB563" t="s">
        <v>52</v>
      </c>
      <c r="AE563" t="s">
        <v>52</v>
      </c>
      <c r="AF563" t="s">
        <v>52</v>
      </c>
      <c r="AH563">
        <v>0</v>
      </c>
      <c r="AI563">
        <v>0</v>
      </c>
      <c r="AJ563" t="s">
        <v>52</v>
      </c>
      <c r="AK563">
        <v>0</v>
      </c>
      <c r="AL563" t="s">
        <v>52</v>
      </c>
      <c r="AM563" t="s">
        <v>52</v>
      </c>
      <c r="AN563">
        <v>0</v>
      </c>
      <c r="AO563">
        <v>0</v>
      </c>
      <c r="AP563" t="s">
        <v>52</v>
      </c>
      <c r="AQ563" t="s">
        <v>52</v>
      </c>
      <c r="AR563" t="s">
        <v>62</v>
      </c>
      <c r="AS563" t="s">
        <v>52</v>
      </c>
      <c r="AT563" t="s">
        <v>52</v>
      </c>
      <c r="AU563" t="s">
        <v>64</v>
      </c>
      <c r="AV563" t="s">
        <v>62</v>
      </c>
      <c r="AW563" t="s">
        <v>65</v>
      </c>
      <c r="AX563" t="s">
        <v>66</v>
      </c>
      <c r="AY563" t="s">
        <v>67</v>
      </c>
    </row>
    <row r="564" spans="1:51" hidden="1" x14ac:dyDescent="0.25">
      <c r="A564">
        <v>202738</v>
      </c>
      <c r="B564" t="s">
        <v>2219</v>
      </c>
      <c r="C564" t="e">
        <f>VLOOKUP(A564,[1]Customer_payment_journal_line!$AL:$BO,30,0)</f>
        <v>#N/A</v>
      </c>
      <c r="D564" t="s">
        <v>53</v>
      </c>
      <c r="E564" t="s">
        <v>2217</v>
      </c>
      <c r="F564" t="s">
        <v>2218</v>
      </c>
      <c r="G564" t="s">
        <v>1804</v>
      </c>
      <c r="H564" t="s">
        <v>69</v>
      </c>
      <c r="I564" t="s">
        <v>2212</v>
      </c>
      <c r="J564" t="s">
        <v>2210</v>
      </c>
      <c r="K564" t="s">
        <v>1806</v>
      </c>
      <c r="L564" t="s">
        <v>52</v>
      </c>
      <c r="M564">
        <v>0</v>
      </c>
      <c r="N564">
        <v>855</v>
      </c>
      <c r="O564" t="s">
        <v>61</v>
      </c>
      <c r="P564">
        <v>100</v>
      </c>
      <c r="Q564" t="s">
        <v>52</v>
      </c>
      <c r="R564" t="s">
        <v>52</v>
      </c>
      <c r="S564" t="s">
        <v>52</v>
      </c>
      <c r="T564" t="s">
        <v>52</v>
      </c>
      <c r="U564" t="s">
        <v>52</v>
      </c>
      <c r="V564" t="s">
        <v>62</v>
      </c>
      <c r="W564" t="s">
        <v>52</v>
      </c>
      <c r="Y564" t="s">
        <v>2213</v>
      </c>
      <c r="Z564" t="s">
        <v>62</v>
      </c>
      <c r="AB564" t="s">
        <v>2220</v>
      </c>
      <c r="AE564" t="s">
        <v>2221</v>
      </c>
      <c r="AF564" t="s">
        <v>52</v>
      </c>
      <c r="AH564">
        <v>0</v>
      </c>
      <c r="AI564">
        <v>0</v>
      </c>
      <c r="AJ564" t="s">
        <v>52</v>
      </c>
      <c r="AK564">
        <v>0</v>
      </c>
      <c r="AL564" t="s">
        <v>52</v>
      </c>
      <c r="AM564" t="s">
        <v>52</v>
      </c>
      <c r="AN564">
        <v>0</v>
      </c>
      <c r="AO564">
        <v>0</v>
      </c>
      <c r="AP564" t="s">
        <v>52</v>
      </c>
      <c r="AQ564" t="s">
        <v>52</v>
      </c>
      <c r="AR564" t="s">
        <v>62</v>
      </c>
      <c r="AS564" t="s">
        <v>52</v>
      </c>
      <c r="AT564" t="s">
        <v>74</v>
      </c>
      <c r="AU564" t="s">
        <v>64</v>
      </c>
      <c r="AV564" t="s">
        <v>62</v>
      </c>
      <c r="AW564" t="s">
        <v>65</v>
      </c>
      <c r="AX564" t="s">
        <v>66</v>
      </c>
      <c r="AY564" t="s">
        <v>67</v>
      </c>
    </row>
    <row r="565" spans="1:51" hidden="1" x14ac:dyDescent="0.25">
      <c r="A565">
        <v>202741</v>
      </c>
      <c r="B565" t="s">
        <v>2222</v>
      </c>
      <c r="C565" t="e">
        <f>VLOOKUP(A565,[1]Customer_payment_journal_line!$AL:$BO,30,0)</f>
        <v>#N/A</v>
      </c>
      <c r="D565" t="s">
        <v>53</v>
      </c>
      <c r="E565" t="s">
        <v>2223</v>
      </c>
      <c r="F565" t="s">
        <v>2224</v>
      </c>
      <c r="G565" t="s">
        <v>1804</v>
      </c>
      <c r="H565" t="s">
        <v>57</v>
      </c>
      <c r="I565" t="s">
        <v>319</v>
      </c>
      <c r="J565" t="s">
        <v>2225</v>
      </c>
      <c r="K565" t="s">
        <v>1008</v>
      </c>
      <c r="L565" t="s">
        <v>52</v>
      </c>
      <c r="M565">
        <v>14079</v>
      </c>
      <c r="N565">
        <v>0</v>
      </c>
      <c r="O565" t="s">
        <v>61</v>
      </c>
      <c r="P565">
        <v>100</v>
      </c>
      <c r="Q565" t="s">
        <v>52</v>
      </c>
      <c r="R565" t="s">
        <v>52</v>
      </c>
      <c r="S565" t="s">
        <v>52</v>
      </c>
      <c r="T565" t="s">
        <v>52</v>
      </c>
      <c r="U565" t="s">
        <v>52</v>
      </c>
      <c r="V565" t="s">
        <v>62</v>
      </c>
      <c r="W565" t="s">
        <v>63</v>
      </c>
      <c r="Y565" t="s">
        <v>52</v>
      </c>
      <c r="AB565" t="s">
        <v>52</v>
      </c>
      <c r="AE565" t="s">
        <v>52</v>
      </c>
      <c r="AF565" t="s">
        <v>52</v>
      </c>
      <c r="AH565">
        <v>0</v>
      </c>
      <c r="AI565">
        <v>0</v>
      </c>
      <c r="AJ565" t="s">
        <v>52</v>
      </c>
      <c r="AK565">
        <v>0</v>
      </c>
      <c r="AL565" t="s">
        <v>52</v>
      </c>
      <c r="AM565" t="s">
        <v>52</v>
      </c>
      <c r="AN565">
        <v>0</v>
      </c>
      <c r="AO565">
        <v>0</v>
      </c>
      <c r="AP565" t="s">
        <v>52</v>
      </c>
      <c r="AQ565" t="s">
        <v>52</v>
      </c>
      <c r="AR565" t="s">
        <v>62</v>
      </c>
      <c r="AS565" t="s">
        <v>52</v>
      </c>
      <c r="AT565" t="s">
        <v>52</v>
      </c>
      <c r="AU565" t="s">
        <v>64</v>
      </c>
      <c r="AV565" t="s">
        <v>62</v>
      </c>
      <c r="AW565" t="s">
        <v>65</v>
      </c>
      <c r="AX565" t="s">
        <v>66</v>
      </c>
      <c r="AY565" t="s">
        <v>67</v>
      </c>
    </row>
    <row r="566" spans="1:51" hidden="1" x14ac:dyDescent="0.25">
      <c r="A566">
        <v>202741</v>
      </c>
      <c r="B566" t="s">
        <v>2226</v>
      </c>
      <c r="C566" t="e">
        <f>VLOOKUP(A566,[1]Customer_payment_journal_line!$AL:$BO,30,0)</f>
        <v>#N/A</v>
      </c>
      <c r="D566" t="s">
        <v>53</v>
      </c>
      <c r="E566" t="s">
        <v>2223</v>
      </c>
      <c r="F566" t="s">
        <v>2224</v>
      </c>
      <c r="G566" t="s">
        <v>1804</v>
      </c>
      <c r="H566" t="s">
        <v>69</v>
      </c>
      <c r="I566" t="s">
        <v>1010</v>
      </c>
      <c r="J566" t="s">
        <v>2225</v>
      </c>
      <c r="K566" t="s">
        <v>1008</v>
      </c>
      <c r="L566" t="s">
        <v>52</v>
      </c>
      <c r="M566">
        <v>0</v>
      </c>
      <c r="N566">
        <v>14079</v>
      </c>
      <c r="O566" t="s">
        <v>61</v>
      </c>
      <c r="P566">
        <v>100</v>
      </c>
      <c r="Q566" t="s">
        <v>52</v>
      </c>
      <c r="R566" t="s">
        <v>52</v>
      </c>
      <c r="S566" t="s">
        <v>52</v>
      </c>
      <c r="T566" t="s">
        <v>52</v>
      </c>
      <c r="U566" t="s">
        <v>52</v>
      </c>
      <c r="V566" t="s">
        <v>62</v>
      </c>
      <c r="W566" t="s">
        <v>52</v>
      </c>
      <c r="Y566" t="s">
        <v>1011</v>
      </c>
      <c r="Z566" t="s">
        <v>62</v>
      </c>
      <c r="AB566" t="s">
        <v>2227</v>
      </c>
      <c r="AE566" t="s">
        <v>2228</v>
      </c>
      <c r="AF566" t="s">
        <v>52</v>
      </c>
      <c r="AH566">
        <v>0</v>
      </c>
      <c r="AI566">
        <v>0</v>
      </c>
      <c r="AJ566" t="s">
        <v>52</v>
      </c>
      <c r="AK566">
        <v>0</v>
      </c>
      <c r="AL566" t="s">
        <v>52</v>
      </c>
      <c r="AM566" t="s">
        <v>52</v>
      </c>
      <c r="AN566">
        <v>0</v>
      </c>
      <c r="AO566">
        <v>0</v>
      </c>
      <c r="AP566" t="s">
        <v>52</v>
      </c>
      <c r="AQ566" t="s">
        <v>52</v>
      </c>
      <c r="AR566" t="s">
        <v>62</v>
      </c>
      <c r="AS566" t="s">
        <v>52</v>
      </c>
      <c r="AT566" t="s">
        <v>74</v>
      </c>
      <c r="AU566" t="s">
        <v>64</v>
      </c>
      <c r="AV566" t="s">
        <v>62</v>
      </c>
      <c r="AW566" t="s">
        <v>65</v>
      </c>
      <c r="AX566" t="s">
        <v>66</v>
      </c>
      <c r="AY566" t="s">
        <v>67</v>
      </c>
    </row>
    <row r="567" spans="1:51" hidden="1" x14ac:dyDescent="0.25">
      <c r="A567">
        <v>202742</v>
      </c>
      <c r="B567" t="s">
        <v>2229</v>
      </c>
      <c r="C567" t="e">
        <f>VLOOKUP(A567,[1]Customer_payment_journal_line!$AL:$BO,30,0)</f>
        <v>#N/A</v>
      </c>
      <c r="D567" t="s">
        <v>53</v>
      </c>
      <c r="E567" t="s">
        <v>2230</v>
      </c>
      <c r="F567" t="s">
        <v>2231</v>
      </c>
      <c r="G567" t="s">
        <v>1804</v>
      </c>
      <c r="H567" t="s">
        <v>57</v>
      </c>
      <c r="I567" t="s">
        <v>319</v>
      </c>
      <c r="J567" t="s">
        <v>2232</v>
      </c>
      <c r="K567" t="s">
        <v>1008</v>
      </c>
      <c r="L567" t="s">
        <v>52</v>
      </c>
      <c r="M567">
        <v>5118.6000000000004</v>
      </c>
      <c r="N567">
        <v>0</v>
      </c>
      <c r="O567" t="s">
        <v>61</v>
      </c>
      <c r="P567">
        <v>100</v>
      </c>
      <c r="Q567" t="s">
        <v>52</v>
      </c>
      <c r="R567" t="s">
        <v>52</v>
      </c>
      <c r="S567" t="s">
        <v>52</v>
      </c>
      <c r="T567" t="s">
        <v>52</v>
      </c>
      <c r="U567" t="s">
        <v>52</v>
      </c>
      <c r="V567" t="s">
        <v>62</v>
      </c>
      <c r="W567" t="s">
        <v>63</v>
      </c>
      <c r="Y567" t="s">
        <v>52</v>
      </c>
      <c r="AB567" t="s">
        <v>52</v>
      </c>
      <c r="AE567" t="s">
        <v>52</v>
      </c>
      <c r="AF567" t="s">
        <v>52</v>
      </c>
      <c r="AH567">
        <v>0</v>
      </c>
      <c r="AI567">
        <v>0</v>
      </c>
      <c r="AJ567" t="s">
        <v>52</v>
      </c>
      <c r="AK567">
        <v>0</v>
      </c>
      <c r="AL567" t="s">
        <v>52</v>
      </c>
      <c r="AM567" t="s">
        <v>52</v>
      </c>
      <c r="AN567">
        <v>0</v>
      </c>
      <c r="AO567">
        <v>0</v>
      </c>
      <c r="AP567" t="s">
        <v>52</v>
      </c>
      <c r="AQ567" t="s">
        <v>52</v>
      </c>
      <c r="AR567" t="s">
        <v>62</v>
      </c>
      <c r="AS567" t="s">
        <v>52</v>
      </c>
      <c r="AT567" t="s">
        <v>52</v>
      </c>
      <c r="AU567" t="s">
        <v>64</v>
      </c>
      <c r="AV567" t="s">
        <v>62</v>
      </c>
      <c r="AW567" t="s">
        <v>65</v>
      </c>
      <c r="AX567" t="s">
        <v>66</v>
      </c>
      <c r="AY567" t="s">
        <v>67</v>
      </c>
    </row>
    <row r="568" spans="1:51" hidden="1" x14ac:dyDescent="0.25">
      <c r="A568">
        <v>202742</v>
      </c>
      <c r="B568" t="s">
        <v>2233</v>
      </c>
      <c r="C568" t="e">
        <f>VLOOKUP(A568,[1]Customer_payment_journal_line!$AL:$BO,30,0)</f>
        <v>#N/A</v>
      </c>
      <c r="D568" t="s">
        <v>53</v>
      </c>
      <c r="E568" t="s">
        <v>2230</v>
      </c>
      <c r="F568" t="s">
        <v>2231</v>
      </c>
      <c r="G568" t="s">
        <v>1804</v>
      </c>
      <c r="H568" t="s">
        <v>69</v>
      </c>
      <c r="I568" t="s">
        <v>1010</v>
      </c>
      <c r="J568" t="s">
        <v>2232</v>
      </c>
      <c r="K568" t="s">
        <v>1008</v>
      </c>
      <c r="L568" t="s">
        <v>52</v>
      </c>
      <c r="M568">
        <v>0</v>
      </c>
      <c r="N568">
        <v>5118.6000000000004</v>
      </c>
      <c r="O568" t="s">
        <v>61</v>
      </c>
      <c r="P568">
        <v>100</v>
      </c>
      <c r="Q568" t="s">
        <v>52</v>
      </c>
      <c r="R568" t="s">
        <v>52</v>
      </c>
      <c r="S568" t="s">
        <v>52</v>
      </c>
      <c r="T568" t="s">
        <v>52</v>
      </c>
      <c r="U568" t="s">
        <v>52</v>
      </c>
      <c r="V568" t="s">
        <v>62</v>
      </c>
      <c r="W568" t="s">
        <v>52</v>
      </c>
      <c r="Y568" t="s">
        <v>1011</v>
      </c>
      <c r="Z568" t="s">
        <v>62</v>
      </c>
      <c r="AB568" t="s">
        <v>2234</v>
      </c>
      <c r="AE568" t="s">
        <v>2235</v>
      </c>
      <c r="AF568" t="s">
        <v>52</v>
      </c>
      <c r="AH568">
        <v>0</v>
      </c>
      <c r="AI568">
        <v>0</v>
      </c>
      <c r="AJ568" t="s">
        <v>52</v>
      </c>
      <c r="AK568">
        <v>0</v>
      </c>
      <c r="AL568" t="s">
        <v>52</v>
      </c>
      <c r="AM568" t="s">
        <v>52</v>
      </c>
      <c r="AN568">
        <v>0</v>
      </c>
      <c r="AO568">
        <v>0</v>
      </c>
      <c r="AP568" t="s">
        <v>52</v>
      </c>
      <c r="AQ568" t="s">
        <v>52</v>
      </c>
      <c r="AR568" t="s">
        <v>62</v>
      </c>
      <c r="AS568" t="s">
        <v>52</v>
      </c>
      <c r="AT568" t="s">
        <v>74</v>
      </c>
      <c r="AU568" t="s">
        <v>64</v>
      </c>
      <c r="AV568" t="s">
        <v>62</v>
      </c>
      <c r="AW568" t="s">
        <v>65</v>
      </c>
      <c r="AX568" t="s">
        <v>66</v>
      </c>
      <c r="AY568" t="s">
        <v>67</v>
      </c>
    </row>
    <row r="569" spans="1:51" hidden="1" x14ac:dyDescent="0.25">
      <c r="A569">
        <v>202747</v>
      </c>
      <c r="B569" t="s">
        <v>2236</v>
      </c>
      <c r="C569" t="e">
        <f>VLOOKUP(A569,[1]Customer_payment_journal_line!$AL:$BO,30,0)</f>
        <v>#N/A</v>
      </c>
      <c r="D569" t="s">
        <v>53</v>
      </c>
      <c r="E569" t="s">
        <v>2237</v>
      </c>
      <c r="F569" t="s">
        <v>2238</v>
      </c>
      <c r="G569" t="s">
        <v>1804</v>
      </c>
      <c r="H569" t="s">
        <v>57</v>
      </c>
      <c r="I569" t="s">
        <v>905</v>
      </c>
      <c r="J569" t="s">
        <v>2239</v>
      </c>
      <c r="K569" t="s">
        <v>2240</v>
      </c>
      <c r="L569" t="s">
        <v>52</v>
      </c>
      <c r="M569">
        <v>2142</v>
      </c>
      <c r="N569">
        <v>0</v>
      </c>
      <c r="O569" t="s">
        <v>178</v>
      </c>
      <c r="P569">
        <v>5085</v>
      </c>
      <c r="Q569" t="s">
        <v>52</v>
      </c>
      <c r="R569" t="s">
        <v>52</v>
      </c>
      <c r="S569" t="s">
        <v>52</v>
      </c>
      <c r="T569" t="s">
        <v>52</v>
      </c>
      <c r="U569" t="s">
        <v>52</v>
      </c>
      <c r="V569" t="s">
        <v>62</v>
      </c>
      <c r="W569" t="s">
        <v>63</v>
      </c>
      <c r="Y569" t="s">
        <v>52</v>
      </c>
      <c r="AB569" t="s">
        <v>52</v>
      </c>
      <c r="AE569" t="s">
        <v>52</v>
      </c>
      <c r="AF569" t="s">
        <v>52</v>
      </c>
      <c r="AH569">
        <v>0</v>
      </c>
      <c r="AI569">
        <v>0</v>
      </c>
      <c r="AJ569" t="s">
        <v>52</v>
      </c>
      <c r="AK569">
        <v>0</v>
      </c>
      <c r="AL569" t="s">
        <v>52</v>
      </c>
      <c r="AM569" t="s">
        <v>52</v>
      </c>
      <c r="AN569">
        <v>0</v>
      </c>
      <c r="AO569">
        <v>0</v>
      </c>
      <c r="AP569" t="s">
        <v>52</v>
      </c>
      <c r="AQ569" t="s">
        <v>52</v>
      </c>
      <c r="AR569" t="s">
        <v>62</v>
      </c>
      <c r="AS569" t="s">
        <v>52</v>
      </c>
      <c r="AT569" t="s">
        <v>52</v>
      </c>
      <c r="AU569" t="s">
        <v>64</v>
      </c>
      <c r="AV569" t="s">
        <v>62</v>
      </c>
      <c r="AW569" t="s">
        <v>65</v>
      </c>
      <c r="AX569" t="s">
        <v>66</v>
      </c>
      <c r="AY569" t="s">
        <v>67</v>
      </c>
    </row>
    <row r="570" spans="1:51" hidden="1" x14ac:dyDescent="0.25">
      <c r="A570">
        <v>202747</v>
      </c>
      <c r="B570" t="s">
        <v>2241</v>
      </c>
      <c r="C570" t="e">
        <f>VLOOKUP(A570,[1]Customer_payment_journal_line!$AL:$BO,30,0)</f>
        <v>#N/A</v>
      </c>
      <c r="D570" t="s">
        <v>53</v>
      </c>
      <c r="E570" t="s">
        <v>2237</v>
      </c>
      <c r="F570" t="s">
        <v>2238</v>
      </c>
      <c r="G570" t="s">
        <v>1804</v>
      </c>
      <c r="H570" t="s">
        <v>69</v>
      </c>
      <c r="I570" t="s">
        <v>2242</v>
      </c>
      <c r="J570" t="s">
        <v>2239</v>
      </c>
      <c r="K570" t="s">
        <v>2240</v>
      </c>
      <c r="L570" t="s">
        <v>52</v>
      </c>
      <c r="M570">
        <v>0</v>
      </c>
      <c r="N570">
        <v>2142</v>
      </c>
      <c r="O570" t="s">
        <v>178</v>
      </c>
      <c r="P570">
        <v>5085</v>
      </c>
      <c r="Q570" t="s">
        <v>52</v>
      </c>
      <c r="R570" t="s">
        <v>52</v>
      </c>
      <c r="S570" t="s">
        <v>52</v>
      </c>
      <c r="T570" t="s">
        <v>52</v>
      </c>
      <c r="U570" t="s">
        <v>52</v>
      </c>
      <c r="V570" t="s">
        <v>62</v>
      </c>
      <c r="W570" t="s">
        <v>52</v>
      </c>
      <c r="Y570" t="s">
        <v>2243</v>
      </c>
      <c r="Z570" t="s">
        <v>62</v>
      </c>
      <c r="AB570" t="s">
        <v>2244</v>
      </c>
      <c r="AE570" t="s">
        <v>2245</v>
      </c>
      <c r="AF570" t="s">
        <v>52</v>
      </c>
      <c r="AH570">
        <v>0</v>
      </c>
      <c r="AI570">
        <v>0</v>
      </c>
      <c r="AJ570" t="s">
        <v>52</v>
      </c>
      <c r="AK570">
        <v>0</v>
      </c>
      <c r="AL570" t="s">
        <v>52</v>
      </c>
      <c r="AM570" t="s">
        <v>52</v>
      </c>
      <c r="AN570">
        <v>0</v>
      </c>
      <c r="AO570">
        <v>0</v>
      </c>
      <c r="AP570" t="s">
        <v>52</v>
      </c>
      <c r="AQ570" t="s">
        <v>52</v>
      </c>
      <c r="AR570" t="s">
        <v>62</v>
      </c>
      <c r="AS570" t="s">
        <v>52</v>
      </c>
      <c r="AT570" t="s">
        <v>74</v>
      </c>
      <c r="AU570" t="s">
        <v>64</v>
      </c>
      <c r="AV570" t="s">
        <v>62</v>
      </c>
      <c r="AW570" t="s">
        <v>65</v>
      </c>
      <c r="AX570" t="s">
        <v>66</v>
      </c>
      <c r="AY570" t="s">
        <v>67</v>
      </c>
    </row>
    <row r="571" spans="1:51" hidden="1" x14ac:dyDescent="0.25">
      <c r="A571">
        <v>202753</v>
      </c>
      <c r="B571" t="s">
        <v>2246</v>
      </c>
      <c r="C571" t="e">
        <f>VLOOKUP(A571,[1]Customer_payment_journal_line!$AL:$BO,30,0)</f>
        <v>#N/A</v>
      </c>
      <c r="D571" t="s">
        <v>53</v>
      </c>
      <c r="E571" t="s">
        <v>2247</v>
      </c>
      <c r="F571" t="s">
        <v>2248</v>
      </c>
      <c r="G571" t="s">
        <v>1804</v>
      </c>
      <c r="H571" t="s">
        <v>57</v>
      </c>
      <c r="I571" t="s">
        <v>58</v>
      </c>
      <c r="J571" t="s">
        <v>2249</v>
      </c>
      <c r="K571" t="s">
        <v>2250</v>
      </c>
      <c r="L571" t="s">
        <v>52</v>
      </c>
      <c r="M571">
        <v>2850</v>
      </c>
      <c r="N571">
        <v>0</v>
      </c>
      <c r="O571" t="s">
        <v>61</v>
      </c>
      <c r="P571">
        <v>100</v>
      </c>
      <c r="Q571" t="s">
        <v>52</v>
      </c>
      <c r="R571" t="s">
        <v>52</v>
      </c>
      <c r="S571" t="s">
        <v>52</v>
      </c>
      <c r="T571" t="s">
        <v>52</v>
      </c>
      <c r="U571" t="s">
        <v>52</v>
      </c>
      <c r="V571" t="s">
        <v>62</v>
      </c>
      <c r="W571" t="s">
        <v>63</v>
      </c>
      <c r="Y571" t="s">
        <v>52</v>
      </c>
      <c r="AB571" t="s">
        <v>52</v>
      </c>
      <c r="AE571" t="s">
        <v>52</v>
      </c>
      <c r="AF571" t="s">
        <v>52</v>
      </c>
      <c r="AH571">
        <v>0</v>
      </c>
      <c r="AI571">
        <v>0</v>
      </c>
      <c r="AJ571" t="s">
        <v>52</v>
      </c>
      <c r="AK571">
        <v>0</v>
      </c>
      <c r="AL571" t="s">
        <v>52</v>
      </c>
      <c r="AM571" t="s">
        <v>52</v>
      </c>
      <c r="AN571">
        <v>0</v>
      </c>
      <c r="AO571">
        <v>0</v>
      </c>
      <c r="AP571" t="s">
        <v>52</v>
      </c>
      <c r="AQ571" t="s">
        <v>52</v>
      </c>
      <c r="AR571" t="s">
        <v>62</v>
      </c>
      <c r="AS571" t="s">
        <v>52</v>
      </c>
      <c r="AT571" t="s">
        <v>52</v>
      </c>
      <c r="AU571" t="s">
        <v>64</v>
      </c>
      <c r="AV571" t="s">
        <v>62</v>
      </c>
      <c r="AW571" t="s">
        <v>65</v>
      </c>
      <c r="AX571" t="s">
        <v>66</v>
      </c>
      <c r="AY571" t="s">
        <v>67</v>
      </c>
    </row>
    <row r="572" spans="1:51" hidden="1" x14ac:dyDescent="0.25">
      <c r="A572">
        <v>202753</v>
      </c>
      <c r="B572" t="s">
        <v>2251</v>
      </c>
      <c r="C572" t="e">
        <f>VLOOKUP(A572,[1]Customer_payment_journal_line!$AL:$BO,30,0)</f>
        <v>#N/A</v>
      </c>
      <c r="D572" t="s">
        <v>53</v>
      </c>
      <c r="E572" t="s">
        <v>2247</v>
      </c>
      <c r="F572" t="s">
        <v>2248</v>
      </c>
      <c r="G572" t="s">
        <v>1804</v>
      </c>
      <c r="H572" t="s">
        <v>69</v>
      </c>
      <c r="I572" t="s">
        <v>2252</v>
      </c>
      <c r="J572" t="s">
        <v>2249</v>
      </c>
      <c r="K572" t="s">
        <v>2250</v>
      </c>
      <c r="L572" t="s">
        <v>52</v>
      </c>
      <c r="M572">
        <v>0</v>
      </c>
      <c r="N572">
        <v>2850</v>
      </c>
      <c r="O572" t="s">
        <v>61</v>
      </c>
      <c r="P572">
        <v>100</v>
      </c>
      <c r="Q572" t="s">
        <v>52</v>
      </c>
      <c r="R572" t="s">
        <v>52</v>
      </c>
      <c r="S572" t="s">
        <v>52</v>
      </c>
      <c r="T572" t="s">
        <v>52</v>
      </c>
      <c r="U572" t="s">
        <v>52</v>
      </c>
      <c r="V572" t="s">
        <v>62</v>
      </c>
      <c r="W572" t="s">
        <v>52</v>
      </c>
      <c r="Y572" t="s">
        <v>2253</v>
      </c>
      <c r="Z572" t="s">
        <v>62</v>
      </c>
      <c r="AB572" t="s">
        <v>2254</v>
      </c>
      <c r="AE572" t="s">
        <v>2255</v>
      </c>
      <c r="AF572" t="s">
        <v>52</v>
      </c>
      <c r="AH572">
        <v>0</v>
      </c>
      <c r="AI572">
        <v>0</v>
      </c>
      <c r="AJ572" t="s">
        <v>52</v>
      </c>
      <c r="AK572">
        <v>0</v>
      </c>
      <c r="AL572" t="s">
        <v>52</v>
      </c>
      <c r="AM572" t="s">
        <v>52</v>
      </c>
      <c r="AN572">
        <v>0</v>
      </c>
      <c r="AO572">
        <v>0</v>
      </c>
      <c r="AP572" t="s">
        <v>52</v>
      </c>
      <c r="AQ572" t="s">
        <v>52</v>
      </c>
      <c r="AR572" t="s">
        <v>62</v>
      </c>
      <c r="AS572" t="s">
        <v>52</v>
      </c>
      <c r="AT572" t="s">
        <v>74</v>
      </c>
      <c r="AU572" t="s">
        <v>64</v>
      </c>
      <c r="AV572" t="s">
        <v>62</v>
      </c>
      <c r="AW572" t="s">
        <v>65</v>
      </c>
      <c r="AX572" t="s">
        <v>66</v>
      </c>
      <c r="AY572" t="s">
        <v>67</v>
      </c>
    </row>
    <row r="573" spans="1:51" hidden="1" x14ac:dyDescent="0.25">
      <c r="A573">
        <v>317140</v>
      </c>
      <c r="B573" t="s">
        <v>2256</v>
      </c>
      <c r="C573" t="e">
        <f>VLOOKUP(A573,[1]Customer_payment_journal_line!$AL:$BO,30,0)</f>
        <v>#N/A</v>
      </c>
      <c r="D573" t="s">
        <v>159</v>
      </c>
      <c r="E573" t="s">
        <v>2257</v>
      </c>
      <c r="F573" t="s">
        <v>2258</v>
      </c>
      <c r="G573" t="s">
        <v>1804</v>
      </c>
      <c r="H573" t="s">
        <v>80</v>
      </c>
      <c r="I573" t="s">
        <v>2259</v>
      </c>
      <c r="J573" t="s">
        <v>202</v>
      </c>
      <c r="K573" t="s">
        <v>1878</v>
      </c>
      <c r="L573" t="s">
        <v>52</v>
      </c>
      <c r="M573">
        <v>27</v>
      </c>
      <c r="N573">
        <v>0</v>
      </c>
      <c r="O573" t="s">
        <v>178</v>
      </c>
      <c r="P573">
        <v>5085</v>
      </c>
      <c r="Q573" t="s">
        <v>52</v>
      </c>
      <c r="R573" t="s">
        <v>52</v>
      </c>
      <c r="S573" t="s">
        <v>52</v>
      </c>
      <c r="T573" t="s">
        <v>52</v>
      </c>
      <c r="U573" t="s">
        <v>52</v>
      </c>
      <c r="V573" t="s">
        <v>62</v>
      </c>
      <c r="W573" t="s">
        <v>52</v>
      </c>
      <c r="Y573" t="s">
        <v>52</v>
      </c>
      <c r="AB573" t="s">
        <v>2260</v>
      </c>
      <c r="AE573" t="s">
        <v>2260</v>
      </c>
      <c r="AF573" t="s">
        <v>52</v>
      </c>
      <c r="AH573">
        <v>0</v>
      </c>
      <c r="AI573">
        <v>0</v>
      </c>
      <c r="AJ573" t="s">
        <v>52</v>
      </c>
      <c r="AK573">
        <v>0</v>
      </c>
      <c r="AL573" t="s">
        <v>52</v>
      </c>
      <c r="AM573" t="s">
        <v>52</v>
      </c>
      <c r="AN573">
        <v>0</v>
      </c>
      <c r="AO573">
        <v>0</v>
      </c>
      <c r="AP573" t="s">
        <v>52</v>
      </c>
      <c r="AQ573" t="s">
        <v>52</v>
      </c>
      <c r="AR573" t="s">
        <v>62</v>
      </c>
      <c r="AS573" t="s">
        <v>52</v>
      </c>
      <c r="AT573" t="s">
        <v>52</v>
      </c>
      <c r="AU573" t="s">
        <v>64</v>
      </c>
      <c r="AV573" t="s">
        <v>62</v>
      </c>
      <c r="AW573" t="s">
        <v>65</v>
      </c>
      <c r="AX573" t="s">
        <v>66</v>
      </c>
      <c r="AY573" t="s">
        <v>165</v>
      </c>
    </row>
    <row r="574" spans="1:51" hidden="1" x14ac:dyDescent="0.25">
      <c r="A574">
        <v>317140</v>
      </c>
      <c r="B574" t="s">
        <v>2261</v>
      </c>
      <c r="C574" t="e">
        <f>VLOOKUP(A574,[1]Customer_payment_journal_line!$AL:$BO,30,0)</f>
        <v>#N/A</v>
      </c>
      <c r="D574" t="s">
        <v>159</v>
      </c>
      <c r="E574" t="s">
        <v>2257</v>
      </c>
      <c r="F574" t="s">
        <v>2258</v>
      </c>
      <c r="G574" t="s">
        <v>1804</v>
      </c>
      <c r="H574" t="s">
        <v>69</v>
      </c>
      <c r="I574" t="s">
        <v>1880</v>
      </c>
      <c r="J574" t="s">
        <v>2262</v>
      </c>
      <c r="K574" t="s">
        <v>1878</v>
      </c>
      <c r="L574" t="s">
        <v>52</v>
      </c>
      <c r="M574">
        <v>0</v>
      </c>
      <c r="N574">
        <v>25</v>
      </c>
      <c r="O574" t="s">
        <v>126</v>
      </c>
      <c r="P574">
        <v>5285</v>
      </c>
      <c r="Q574" t="s">
        <v>52</v>
      </c>
      <c r="R574" t="s">
        <v>52</v>
      </c>
      <c r="S574" t="s">
        <v>52</v>
      </c>
      <c r="T574" t="s">
        <v>52</v>
      </c>
      <c r="U574" t="s">
        <v>52</v>
      </c>
      <c r="V574" t="s">
        <v>62</v>
      </c>
      <c r="W574" t="s">
        <v>52</v>
      </c>
      <c r="Y574" t="s">
        <v>1881</v>
      </c>
      <c r="Z574" t="s">
        <v>62</v>
      </c>
      <c r="AB574" t="s">
        <v>2260</v>
      </c>
      <c r="AE574" t="s">
        <v>2260</v>
      </c>
      <c r="AF574" t="s">
        <v>52</v>
      </c>
      <c r="AH574">
        <v>0</v>
      </c>
      <c r="AI574">
        <v>0</v>
      </c>
      <c r="AJ574" t="s">
        <v>52</v>
      </c>
      <c r="AK574">
        <v>0</v>
      </c>
      <c r="AL574" t="s">
        <v>52</v>
      </c>
      <c r="AM574" t="s">
        <v>52</v>
      </c>
      <c r="AN574">
        <v>0</v>
      </c>
      <c r="AO574">
        <v>0</v>
      </c>
      <c r="AP574" t="s">
        <v>52</v>
      </c>
      <c r="AQ574" t="s">
        <v>52</v>
      </c>
      <c r="AR574" t="s">
        <v>62</v>
      </c>
      <c r="AS574" t="s">
        <v>52</v>
      </c>
      <c r="AT574" t="s">
        <v>74</v>
      </c>
      <c r="AU574" t="s">
        <v>64</v>
      </c>
      <c r="AV574" t="s">
        <v>62</v>
      </c>
      <c r="AW574" t="s">
        <v>65</v>
      </c>
      <c r="AX574" t="s">
        <v>66</v>
      </c>
      <c r="AY574" t="s">
        <v>165</v>
      </c>
    </row>
    <row r="575" spans="1:51" hidden="1" x14ac:dyDescent="0.25">
      <c r="A575">
        <v>317140</v>
      </c>
      <c r="B575" t="s">
        <v>2263</v>
      </c>
      <c r="C575" t="e">
        <f>VLOOKUP(A575,[1]Customer_payment_journal_line!$AL:$BO,30,0)</f>
        <v>#N/A</v>
      </c>
      <c r="D575" t="s">
        <v>159</v>
      </c>
      <c r="E575" t="s">
        <v>2257</v>
      </c>
      <c r="F575" t="s">
        <v>2258</v>
      </c>
      <c r="G575" t="s">
        <v>1804</v>
      </c>
      <c r="H575" t="s">
        <v>210</v>
      </c>
      <c r="I575" t="s">
        <v>2264</v>
      </c>
      <c r="J575" t="s">
        <v>52</v>
      </c>
      <c r="K575" t="s">
        <v>1878</v>
      </c>
      <c r="L575" t="s">
        <v>52</v>
      </c>
      <c r="M575">
        <v>0</v>
      </c>
      <c r="N575">
        <v>51.7</v>
      </c>
      <c r="O575" t="s">
        <v>61</v>
      </c>
      <c r="P575">
        <v>100</v>
      </c>
      <c r="Q575" t="s">
        <v>52</v>
      </c>
      <c r="R575" t="s">
        <v>52</v>
      </c>
      <c r="S575" t="s">
        <v>52</v>
      </c>
      <c r="T575" t="s">
        <v>52</v>
      </c>
      <c r="U575" t="s">
        <v>52</v>
      </c>
      <c r="V575" t="s">
        <v>62</v>
      </c>
      <c r="W575" t="s">
        <v>63</v>
      </c>
      <c r="Y575" t="s">
        <v>1881</v>
      </c>
      <c r="AB575" t="s">
        <v>2260</v>
      </c>
      <c r="AE575" t="s">
        <v>2260</v>
      </c>
      <c r="AF575" t="s">
        <v>52</v>
      </c>
      <c r="AH575">
        <v>0</v>
      </c>
      <c r="AI575">
        <v>0</v>
      </c>
      <c r="AJ575" t="s">
        <v>52</v>
      </c>
      <c r="AK575">
        <v>0</v>
      </c>
      <c r="AL575" t="s">
        <v>52</v>
      </c>
      <c r="AM575" t="s">
        <v>52</v>
      </c>
      <c r="AN575">
        <v>0</v>
      </c>
      <c r="AO575">
        <v>0</v>
      </c>
      <c r="AP575" t="s">
        <v>52</v>
      </c>
      <c r="AQ575" t="s">
        <v>52</v>
      </c>
      <c r="AR575" t="s">
        <v>62</v>
      </c>
      <c r="AS575" t="s">
        <v>52</v>
      </c>
      <c r="AT575" t="s">
        <v>52</v>
      </c>
      <c r="AU575" t="s">
        <v>64</v>
      </c>
      <c r="AV575" t="s">
        <v>62</v>
      </c>
      <c r="AW575" t="s">
        <v>65</v>
      </c>
      <c r="AX575" t="s">
        <v>66</v>
      </c>
      <c r="AY575" t="s">
        <v>165</v>
      </c>
    </row>
    <row r="576" spans="1:51" hidden="1" x14ac:dyDescent="0.25">
      <c r="A576">
        <v>202760</v>
      </c>
      <c r="B576" t="s">
        <v>2265</v>
      </c>
      <c r="C576" t="e">
        <f>VLOOKUP(A576,[1]Customer_payment_journal_line!$AL:$BO,30,0)</f>
        <v>#N/A</v>
      </c>
      <c r="D576" t="s">
        <v>53</v>
      </c>
      <c r="E576" t="s">
        <v>2266</v>
      </c>
      <c r="F576" t="s">
        <v>2267</v>
      </c>
      <c r="G576" t="s">
        <v>1804</v>
      </c>
      <c r="H576" t="s">
        <v>57</v>
      </c>
      <c r="I576" t="s">
        <v>319</v>
      </c>
      <c r="J576" t="s">
        <v>863</v>
      </c>
      <c r="K576" t="s">
        <v>2268</v>
      </c>
      <c r="L576" t="s">
        <v>52</v>
      </c>
      <c r="M576">
        <v>3078</v>
      </c>
      <c r="N576">
        <v>0</v>
      </c>
      <c r="O576" t="s">
        <v>61</v>
      </c>
      <c r="P576">
        <v>100</v>
      </c>
      <c r="Q576" t="s">
        <v>52</v>
      </c>
      <c r="R576" t="s">
        <v>52</v>
      </c>
      <c r="S576" t="s">
        <v>52</v>
      </c>
      <c r="T576" t="s">
        <v>52</v>
      </c>
      <c r="U576" t="s">
        <v>52</v>
      </c>
      <c r="V576" t="s">
        <v>62</v>
      </c>
      <c r="W576" t="s">
        <v>63</v>
      </c>
      <c r="Y576" t="s">
        <v>52</v>
      </c>
      <c r="AB576" t="s">
        <v>52</v>
      </c>
      <c r="AE576" t="s">
        <v>52</v>
      </c>
      <c r="AF576" t="s">
        <v>52</v>
      </c>
      <c r="AH576">
        <v>0</v>
      </c>
      <c r="AI576">
        <v>0</v>
      </c>
      <c r="AJ576" t="s">
        <v>52</v>
      </c>
      <c r="AK576">
        <v>0</v>
      </c>
      <c r="AL576" t="s">
        <v>52</v>
      </c>
      <c r="AM576" t="s">
        <v>52</v>
      </c>
      <c r="AN576">
        <v>0</v>
      </c>
      <c r="AO576">
        <v>0</v>
      </c>
      <c r="AP576" t="s">
        <v>52</v>
      </c>
      <c r="AQ576" t="s">
        <v>52</v>
      </c>
      <c r="AR576" t="s">
        <v>62</v>
      </c>
      <c r="AS576" t="s">
        <v>52</v>
      </c>
      <c r="AT576" t="s">
        <v>52</v>
      </c>
      <c r="AU576" t="s">
        <v>64</v>
      </c>
      <c r="AV576" t="s">
        <v>62</v>
      </c>
      <c r="AW576" t="s">
        <v>65</v>
      </c>
      <c r="AX576" t="s">
        <v>66</v>
      </c>
      <c r="AY576" t="s">
        <v>67</v>
      </c>
    </row>
    <row r="577" spans="1:51" hidden="1" x14ac:dyDescent="0.25">
      <c r="A577">
        <v>202760</v>
      </c>
      <c r="B577" t="s">
        <v>2269</v>
      </c>
      <c r="C577" t="e">
        <f>VLOOKUP(A577,[1]Customer_payment_journal_line!$AL:$BO,30,0)</f>
        <v>#N/A</v>
      </c>
      <c r="D577" t="s">
        <v>53</v>
      </c>
      <c r="E577" t="s">
        <v>2266</v>
      </c>
      <c r="F577" t="s">
        <v>2267</v>
      </c>
      <c r="G577" t="s">
        <v>1804</v>
      </c>
      <c r="H577" t="s">
        <v>69</v>
      </c>
      <c r="I577" t="s">
        <v>866</v>
      </c>
      <c r="J577" t="s">
        <v>863</v>
      </c>
      <c r="K577" t="s">
        <v>2268</v>
      </c>
      <c r="L577" t="s">
        <v>52</v>
      </c>
      <c r="M577">
        <v>0</v>
      </c>
      <c r="N577">
        <v>3078</v>
      </c>
      <c r="O577" t="s">
        <v>61</v>
      </c>
      <c r="P577">
        <v>100</v>
      </c>
      <c r="Q577" t="s">
        <v>52</v>
      </c>
      <c r="R577" t="s">
        <v>52</v>
      </c>
      <c r="S577" t="s">
        <v>52</v>
      </c>
      <c r="T577" t="s">
        <v>52</v>
      </c>
      <c r="U577" t="s">
        <v>52</v>
      </c>
      <c r="V577" t="s">
        <v>62</v>
      </c>
      <c r="W577" t="s">
        <v>52</v>
      </c>
      <c r="Y577" t="s">
        <v>867</v>
      </c>
      <c r="Z577" t="s">
        <v>62</v>
      </c>
      <c r="AB577" t="s">
        <v>2270</v>
      </c>
      <c r="AE577" t="s">
        <v>2271</v>
      </c>
      <c r="AF577" t="s">
        <v>52</v>
      </c>
      <c r="AH577">
        <v>0</v>
      </c>
      <c r="AI577">
        <v>0</v>
      </c>
      <c r="AJ577" t="s">
        <v>52</v>
      </c>
      <c r="AK577">
        <v>0</v>
      </c>
      <c r="AL577" t="s">
        <v>52</v>
      </c>
      <c r="AM577" t="s">
        <v>52</v>
      </c>
      <c r="AN577">
        <v>0</v>
      </c>
      <c r="AO577">
        <v>0</v>
      </c>
      <c r="AP577" t="s">
        <v>52</v>
      </c>
      <c r="AQ577" t="s">
        <v>52</v>
      </c>
      <c r="AR577" t="s">
        <v>62</v>
      </c>
      <c r="AS577" t="s">
        <v>52</v>
      </c>
      <c r="AT577" t="s">
        <v>74</v>
      </c>
      <c r="AU577" t="s">
        <v>64</v>
      </c>
      <c r="AV577" t="s">
        <v>62</v>
      </c>
      <c r="AW577" t="s">
        <v>65</v>
      </c>
      <c r="AX577" t="s">
        <v>66</v>
      </c>
      <c r="AY577" t="s">
        <v>67</v>
      </c>
    </row>
    <row r="578" spans="1:51" hidden="1" x14ac:dyDescent="0.25">
      <c r="A578">
        <v>202761</v>
      </c>
      <c r="B578" t="s">
        <v>2272</v>
      </c>
      <c r="C578" t="e">
        <f>VLOOKUP(A578,[1]Customer_payment_journal_line!$AL:$BO,30,0)</f>
        <v>#N/A</v>
      </c>
      <c r="D578" t="s">
        <v>53</v>
      </c>
      <c r="E578" t="s">
        <v>2273</v>
      </c>
      <c r="F578" t="s">
        <v>2274</v>
      </c>
      <c r="G578" t="s">
        <v>1804</v>
      </c>
      <c r="H578" t="s">
        <v>57</v>
      </c>
      <c r="I578" t="s">
        <v>319</v>
      </c>
      <c r="J578" t="s">
        <v>863</v>
      </c>
      <c r="K578" t="s">
        <v>2268</v>
      </c>
      <c r="L578" t="s">
        <v>52</v>
      </c>
      <c r="M578">
        <v>855</v>
      </c>
      <c r="N578">
        <v>0</v>
      </c>
      <c r="O578" t="s">
        <v>61</v>
      </c>
      <c r="P578">
        <v>100</v>
      </c>
      <c r="Q578" t="s">
        <v>52</v>
      </c>
      <c r="R578" t="s">
        <v>52</v>
      </c>
      <c r="S578" t="s">
        <v>52</v>
      </c>
      <c r="T578" t="s">
        <v>52</v>
      </c>
      <c r="U578" t="s">
        <v>52</v>
      </c>
      <c r="V578" t="s">
        <v>62</v>
      </c>
      <c r="W578" t="s">
        <v>63</v>
      </c>
      <c r="Y578" t="s">
        <v>52</v>
      </c>
      <c r="AB578" t="s">
        <v>52</v>
      </c>
      <c r="AE578" t="s">
        <v>52</v>
      </c>
      <c r="AF578" t="s">
        <v>52</v>
      </c>
      <c r="AH578">
        <v>0</v>
      </c>
      <c r="AI578">
        <v>0</v>
      </c>
      <c r="AJ578" t="s">
        <v>52</v>
      </c>
      <c r="AK578">
        <v>0</v>
      </c>
      <c r="AL578" t="s">
        <v>52</v>
      </c>
      <c r="AM578" t="s">
        <v>52</v>
      </c>
      <c r="AN578">
        <v>0</v>
      </c>
      <c r="AO578">
        <v>0</v>
      </c>
      <c r="AP578" t="s">
        <v>52</v>
      </c>
      <c r="AQ578" t="s">
        <v>52</v>
      </c>
      <c r="AR578" t="s">
        <v>62</v>
      </c>
      <c r="AS578" t="s">
        <v>52</v>
      </c>
      <c r="AT578" t="s">
        <v>52</v>
      </c>
      <c r="AU578" t="s">
        <v>64</v>
      </c>
      <c r="AV578" t="s">
        <v>62</v>
      </c>
      <c r="AW578" t="s">
        <v>65</v>
      </c>
      <c r="AX578" t="s">
        <v>66</v>
      </c>
      <c r="AY578" t="s">
        <v>67</v>
      </c>
    </row>
    <row r="579" spans="1:51" hidden="1" x14ac:dyDescent="0.25">
      <c r="A579">
        <v>202761</v>
      </c>
      <c r="B579" t="s">
        <v>2275</v>
      </c>
      <c r="C579" t="e">
        <f>VLOOKUP(A579,[1]Customer_payment_journal_line!$AL:$BO,30,0)</f>
        <v>#N/A</v>
      </c>
      <c r="D579" t="s">
        <v>53</v>
      </c>
      <c r="E579" t="s">
        <v>2273</v>
      </c>
      <c r="F579" t="s">
        <v>2274</v>
      </c>
      <c r="G579" t="s">
        <v>1804</v>
      </c>
      <c r="H579" t="s">
        <v>69</v>
      </c>
      <c r="I579" t="s">
        <v>866</v>
      </c>
      <c r="J579" t="s">
        <v>863</v>
      </c>
      <c r="K579" t="s">
        <v>2268</v>
      </c>
      <c r="L579" t="s">
        <v>52</v>
      </c>
      <c r="M579">
        <v>0</v>
      </c>
      <c r="N579">
        <v>855</v>
      </c>
      <c r="O579" t="s">
        <v>61</v>
      </c>
      <c r="P579">
        <v>100</v>
      </c>
      <c r="Q579" t="s">
        <v>52</v>
      </c>
      <c r="R579" t="s">
        <v>52</v>
      </c>
      <c r="S579" t="s">
        <v>52</v>
      </c>
      <c r="T579" t="s">
        <v>52</v>
      </c>
      <c r="U579" t="s">
        <v>52</v>
      </c>
      <c r="V579" t="s">
        <v>62</v>
      </c>
      <c r="W579" t="s">
        <v>52</v>
      </c>
      <c r="Y579" t="s">
        <v>867</v>
      </c>
      <c r="Z579" t="s">
        <v>62</v>
      </c>
      <c r="AB579" t="s">
        <v>2276</v>
      </c>
      <c r="AE579" t="s">
        <v>2277</v>
      </c>
      <c r="AF579" t="s">
        <v>52</v>
      </c>
      <c r="AH579">
        <v>0</v>
      </c>
      <c r="AI579">
        <v>0</v>
      </c>
      <c r="AJ579" t="s">
        <v>52</v>
      </c>
      <c r="AK579">
        <v>0</v>
      </c>
      <c r="AL579" t="s">
        <v>52</v>
      </c>
      <c r="AM579" t="s">
        <v>52</v>
      </c>
      <c r="AN579">
        <v>0</v>
      </c>
      <c r="AO579">
        <v>0</v>
      </c>
      <c r="AP579" t="s">
        <v>52</v>
      </c>
      <c r="AQ579" t="s">
        <v>52</v>
      </c>
      <c r="AR579" t="s">
        <v>62</v>
      </c>
      <c r="AS579" t="s">
        <v>52</v>
      </c>
      <c r="AT579" t="s">
        <v>74</v>
      </c>
      <c r="AU579" t="s">
        <v>64</v>
      </c>
      <c r="AV579" t="s">
        <v>62</v>
      </c>
      <c r="AW579" t="s">
        <v>65</v>
      </c>
      <c r="AX579" t="s">
        <v>66</v>
      </c>
      <c r="AY579" t="s">
        <v>67</v>
      </c>
    </row>
    <row r="580" spans="1:51" hidden="1" x14ac:dyDescent="0.25">
      <c r="A580">
        <v>405976</v>
      </c>
      <c r="B580" t="s">
        <v>2278</v>
      </c>
      <c r="C580" t="e">
        <f>VLOOKUP(A580,[1]Customer_payment_journal_line!$AL:$BO,30,0)</f>
        <v>#N/A</v>
      </c>
      <c r="D580" t="s">
        <v>53</v>
      </c>
      <c r="E580" t="s">
        <v>2279</v>
      </c>
      <c r="F580" t="s">
        <v>2280</v>
      </c>
      <c r="G580" t="s">
        <v>1804</v>
      </c>
      <c r="H580" t="s">
        <v>57</v>
      </c>
      <c r="I580" t="s">
        <v>58</v>
      </c>
      <c r="J580" t="s">
        <v>616</v>
      </c>
      <c r="K580" t="s">
        <v>2281</v>
      </c>
      <c r="L580" t="s">
        <v>52</v>
      </c>
      <c r="M580">
        <v>570</v>
      </c>
      <c r="N580">
        <v>0</v>
      </c>
      <c r="O580" t="s">
        <v>61</v>
      </c>
      <c r="P580">
        <v>100</v>
      </c>
      <c r="Q580" t="s">
        <v>52</v>
      </c>
      <c r="R580" t="s">
        <v>52</v>
      </c>
      <c r="S580" t="s">
        <v>52</v>
      </c>
      <c r="T580" t="s">
        <v>52</v>
      </c>
      <c r="U580" t="s">
        <v>52</v>
      </c>
      <c r="V580" t="s">
        <v>62</v>
      </c>
      <c r="W580" t="s">
        <v>63</v>
      </c>
      <c r="Y580" t="s">
        <v>52</v>
      </c>
      <c r="AB580" t="s">
        <v>52</v>
      </c>
      <c r="AE580" t="s">
        <v>52</v>
      </c>
      <c r="AF580" t="s">
        <v>52</v>
      </c>
      <c r="AH580">
        <v>0</v>
      </c>
      <c r="AI580">
        <v>0</v>
      </c>
      <c r="AJ580" t="s">
        <v>52</v>
      </c>
      <c r="AK580">
        <v>0</v>
      </c>
      <c r="AL580" t="s">
        <v>52</v>
      </c>
      <c r="AM580" t="s">
        <v>52</v>
      </c>
      <c r="AN580">
        <v>0</v>
      </c>
      <c r="AO580">
        <v>0</v>
      </c>
      <c r="AP580" t="s">
        <v>52</v>
      </c>
      <c r="AQ580" t="s">
        <v>52</v>
      </c>
      <c r="AR580" t="s">
        <v>62</v>
      </c>
      <c r="AS580" t="s">
        <v>52</v>
      </c>
      <c r="AT580" t="s">
        <v>52</v>
      </c>
      <c r="AU580" t="s">
        <v>64</v>
      </c>
      <c r="AV580" t="s">
        <v>62</v>
      </c>
      <c r="AW580" t="s">
        <v>65</v>
      </c>
      <c r="AX580" t="s">
        <v>66</v>
      </c>
      <c r="AY580" t="s">
        <v>67</v>
      </c>
    </row>
    <row r="581" spans="1:51" hidden="1" x14ac:dyDescent="0.25">
      <c r="A581">
        <v>405976</v>
      </c>
      <c r="B581" t="s">
        <v>2282</v>
      </c>
      <c r="C581" t="e">
        <f>VLOOKUP(A581,[1]Customer_payment_journal_line!$AL:$BO,30,0)</f>
        <v>#N/A</v>
      </c>
      <c r="D581" t="s">
        <v>53</v>
      </c>
      <c r="E581" t="s">
        <v>2279</v>
      </c>
      <c r="F581" t="s">
        <v>2280</v>
      </c>
      <c r="G581" t="s">
        <v>1804</v>
      </c>
      <c r="H581" t="s">
        <v>69</v>
      </c>
      <c r="I581" t="s">
        <v>355</v>
      </c>
      <c r="J581" t="s">
        <v>616</v>
      </c>
      <c r="K581" t="s">
        <v>2281</v>
      </c>
      <c r="L581" t="s">
        <v>52</v>
      </c>
      <c r="M581">
        <v>0</v>
      </c>
      <c r="N581">
        <v>570</v>
      </c>
      <c r="O581" t="s">
        <v>61</v>
      </c>
      <c r="P581">
        <v>100</v>
      </c>
      <c r="Q581" t="s">
        <v>52</v>
      </c>
      <c r="R581" t="s">
        <v>52</v>
      </c>
      <c r="S581" t="s">
        <v>52</v>
      </c>
      <c r="T581" t="s">
        <v>52</v>
      </c>
      <c r="U581" t="s">
        <v>52</v>
      </c>
      <c r="V581" t="s">
        <v>62</v>
      </c>
      <c r="W581" t="s">
        <v>52</v>
      </c>
      <c r="Y581" t="s">
        <v>356</v>
      </c>
      <c r="Z581" t="s">
        <v>62</v>
      </c>
      <c r="AB581" t="s">
        <v>2283</v>
      </c>
      <c r="AE581" t="s">
        <v>2284</v>
      </c>
      <c r="AF581" t="s">
        <v>52</v>
      </c>
      <c r="AH581">
        <v>0</v>
      </c>
      <c r="AI581">
        <v>0</v>
      </c>
      <c r="AJ581" t="s">
        <v>52</v>
      </c>
      <c r="AK581">
        <v>0</v>
      </c>
      <c r="AL581" t="s">
        <v>52</v>
      </c>
      <c r="AM581" t="s">
        <v>52</v>
      </c>
      <c r="AN581">
        <v>0</v>
      </c>
      <c r="AO581">
        <v>0</v>
      </c>
      <c r="AP581" t="s">
        <v>52</v>
      </c>
      <c r="AQ581" t="s">
        <v>52</v>
      </c>
      <c r="AR581" t="s">
        <v>62</v>
      </c>
      <c r="AS581" t="s">
        <v>52</v>
      </c>
      <c r="AT581" t="s">
        <v>74</v>
      </c>
      <c r="AU581" t="s">
        <v>64</v>
      </c>
      <c r="AV581" t="s">
        <v>62</v>
      </c>
      <c r="AW581" t="s">
        <v>65</v>
      </c>
      <c r="AX581" t="s">
        <v>66</v>
      </c>
      <c r="AY581" t="s">
        <v>67</v>
      </c>
    </row>
    <row r="582" spans="1:51" hidden="1" x14ac:dyDescent="0.25">
      <c r="A582">
        <v>405977</v>
      </c>
      <c r="B582" t="s">
        <v>2285</v>
      </c>
      <c r="C582" t="e">
        <f>VLOOKUP(A582,[1]Customer_payment_journal_line!$AL:$BO,30,0)</f>
        <v>#N/A</v>
      </c>
      <c r="D582" t="s">
        <v>53</v>
      </c>
      <c r="E582" t="s">
        <v>2286</v>
      </c>
      <c r="F582" t="s">
        <v>2287</v>
      </c>
      <c r="G582" t="s">
        <v>1804</v>
      </c>
      <c r="H582" t="s">
        <v>57</v>
      </c>
      <c r="I582" t="s">
        <v>58</v>
      </c>
      <c r="J582" t="s">
        <v>616</v>
      </c>
      <c r="K582" t="s">
        <v>2288</v>
      </c>
      <c r="L582" t="s">
        <v>52</v>
      </c>
      <c r="M582">
        <v>570</v>
      </c>
      <c r="N582">
        <v>0</v>
      </c>
      <c r="O582" t="s">
        <v>61</v>
      </c>
      <c r="P582">
        <v>100</v>
      </c>
      <c r="Q582" t="s">
        <v>52</v>
      </c>
      <c r="R582" t="s">
        <v>52</v>
      </c>
      <c r="S582" t="s">
        <v>52</v>
      </c>
      <c r="T582" t="s">
        <v>52</v>
      </c>
      <c r="U582" t="s">
        <v>52</v>
      </c>
      <c r="V582" t="s">
        <v>62</v>
      </c>
      <c r="W582" t="s">
        <v>63</v>
      </c>
      <c r="Y582" t="s">
        <v>52</v>
      </c>
      <c r="AB582" t="s">
        <v>52</v>
      </c>
      <c r="AE582" t="s">
        <v>52</v>
      </c>
      <c r="AF582" t="s">
        <v>52</v>
      </c>
      <c r="AH582">
        <v>0</v>
      </c>
      <c r="AI582">
        <v>0</v>
      </c>
      <c r="AJ582" t="s">
        <v>52</v>
      </c>
      <c r="AK582">
        <v>0</v>
      </c>
      <c r="AL582" t="s">
        <v>52</v>
      </c>
      <c r="AM582" t="s">
        <v>52</v>
      </c>
      <c r="AN582">
        <v>0</v>
      </c>
      <c r="AO582">
        <v>0</v>
      </c>
      <c r="AP582" t="s">
        <v>52</v>
      </c>
      <c r="AQ582" t="s">
        <v>52</v>
      </c>
      <c r="AR582" t="s">
        <v>62</v>
      </c>
      <c r="AS582" t="s">
        <v>52</v>
      </c>
      <c r="AT582" t="s">
        <v>52</v>
      </c>
      <c r="AU582" t="s">
        <v>64</v>
      </c>
      <c r="AV582" t="s">
        <v>62</v>
      </c>
      <c r="AW582" t="s">
        <v>65</v>
      </c>
      <c r="AX582" t="s">
        <v>66</v>
      </c>
      <c r="AY582" t="s">
        <v>67</v>
      </c>
    </row>
    <row r="583" spans="1:51" hidden="1" x14ac:dyDescent="0.25">
      <c r="A583">
        <v>405977</v>
      </c>
      <c r="B583" t="s">
        <v>2289</v>
      </c>
      <c r="C583" t="e">
        <f>VLOOKUP(A583,[1]Customer_payment_journal_line!$AL:$BO,30,0)</f>
        <v>#N/A</v>
      </c>
      <c r="D583" t="s">
        <v>53</v>
      </c>
      <c r="E583" t="s">
        <v>2286</v>
      </c>
      <c r="F583" t="s">
        <v>2287</v>
      </c>
      <c r="G583" t="s">
        <v>1804</v>
      </c>
      <c r="H583" t="s">
        <v>69</v>
      </c>
      <c r="I583" t="s">
        <v>355</v>
      </c>
      <c r="J583" t="s">
        <v>616</v>
      </c>
      <c r="K583" t="s">
        <v>2288</v>
      </c>
      <c r="L583" t="s">
        <v>52</v>
      </c>
      <c r="M583">
        <v>0</v>
      </c>
      <c r="N583">
        <v>570</v>
      </c>
      <c r="O583" t="s">
        <v>61</v>
      </c>
      <c r="P583">
        <v>100</v>
      </c>
      <c r="Q583" t="s">
        <v>52</v>
      </c>
      <c r="R583" t="s">
        <v>52</v>
      </c>
      <c r="S583" t="s">
        <v>52</v>
      </c>
      <c r="T583" t="s">
        <v>52</v>
      </c>
      <c r="U583" t="s">
        <v>52</v>
      </c>
      <c r="V583" t="s">
        <v>62</v>
      </c>
      <c r="W583" t="s">
        <v>52</v>
      </c>
      <c r="Y583" t="s">
        <v>356</v>
      </c>
      <c r="Z583" t="s">
        <v>62</v>
      </c>
      <c r="AB583" t="s">
        <v>2290</v>
      </c>
      <c r="AE583" t="s">
        <v>2291</v>
      </c>
      <c r="AF583" t="s">
        <v>52</v>
      </c>
      <c r="AH583">
        <v>0</v>
      </c>
      <c r="AI583">
        <v>0</v>
      </c>
      <c r="AJ583" t="s">
        <v>52</v>
      </c>
      <c r="AK583">
        <v>0</v>
      </c>
      <c r="AL583" t="s">
        <v>52</v>
      </c>
      <c r="AM583" t="s">
        <v>52</v>
      </c>
      <c r="AN583">
        <v>0</v>
      </c>
      <c r="AO583">
        <v>0</v>
      </c>
      <c r="AP583" t="s">
        <v>52</v>
      </c>
      <c r="AQ583" t="s">
        <v>52</v>
      </c>
      <c r="AR583" t="s">
        <v>62</v>
      </c>
      <c r="AS583" t="s">
        <v>52</v>
      </c>
      <c r="AT583" t="s">
        <v>74</v>
      </c>
      <c r="AU583" t="s">
        <v>64</v>
      </c>
      <c r="AV583" t="s">
        <v>62</v>
      </c>
      <c r="AW583" t="s">
        <v>65</v>
      </c>
      <c r="AX583" t="s">
        <v>66</v>
      </c>
      <c r="AY583" t="s">
        <v>67</v>
      </c>
    </row>
    <row r="584" spans="1:51" hidden="1" x14ac:dyDescent="0.25">
      <c r="A584">
        <v>202764</v>
      </c>
      <c r="B584" t="s">
        <v>2292</v>
      </c>
      <c r="C584" t="e">
        <f>VLOOKUP(A584,[1]Customer_payment_journal_line!$AL:$BO,30,0)</f>
        <v>#N/A</v>
      </c>
      <c r="D584" t="s">
        <v>53</v>
      </c>
      <c r="E584" t="s">
        <v>2293</v>
      </c>
      <c r="F584" t="s">
        <v>2294</v>
      </c>
      <c r="G584" t="s">
        <v>1804</v>
      </c>
      <c r="H584" t="s">
        <v>57</v>
      </c>
      <c r="I584" t="s">
        <v>319</v>
      </c>
      <c r="J584" t="s">
        <v>2295</v>
      </c>
      <c r="K584" t="s">
        <v>2296</v>
      </c>
      <c r="L584" t="s">
        <v>52</v>
      </c>
      <c r="M584">
        <v>3078</v>
      </c>
      <c r="N584">
        <v>0</v>
      </c>
      <c r="O584" t="s">
        <v>61</v>
      </c>
      <c r="P584">
        <v>100</v>
      </c>
      <c r="Q584" t="s">
        <v>52</v>
      </c>
      <c r="R584" t="s">
        <v>52</v>
      </c>
      <c r="S584" t="s">
        <v>52</v>
      </c>
      <c r="T584" t="s">
        <v>52</v>
      </c>
      <c r="U584" t="s">
        <v>52</v>
      </c>
      <c r="V584" t="s">
        <v>62</v>
      </c>
      <c r="W584" t="s">
        <v>63</v>
      </c>
      <c r="Y584" t="s">
        <v>52</v>
      </c>
      <c r="AB584" t="s">
        <v>52</v>
      </c>
      <c r="AE584" t="s">
        <v>52</v>
      </c>
      <c r="AF584" t="s">
        <v>52</v>
      </c>
      <c r="AH584">
        <v>0</v>
      </c>
      <c r="AI584">
        <v>0</v>
      </c>
      <c r="AJ584" t="s">
        <v>52</v>
      </c>
      <c r="AK584">
        <v>0</v>
      </c>
      <c r="AL584" t="s">
        <v>52</v>
      </c>
      <c r="AM584" t="s">
        <v>52</v>
      </c>
      <c r="AN584">
        <v>0</v>
      </c>
      <c r="AO584">
        <v>0</v>
      </c>
      <c r="AP584" t="s">
        <v>52</v>
      </c>
      <c r="AQ584" t="s">
        <v>52</v>
      </c>
      <c r="AR584" t="s">
        <v>62</v>
      </c>
      <c r="AS584" t="s">
        <v>52</v>
      </c>
      <c r="AT584" t="s">
        <v>52</v>
      </c>
      <c r="AU584" t="s">
        <v>64</v>
      </c>
      <c r="AV584" t="s">
        <v>62</v>
      </c>
      <c r="AW584" t="s">
        <v>65</v>
      </c>
      <c r="AX584" t="s">
        <v>66</v>
      </c>
      <c r="AY584" t="s">
        <v>67</v>
      </c>
    </row>
    <row r="585" spans="1:51" hidden="1" x14ac:dyDescent="0.25">
      <c r="A585">
        <v>202764</v>
      </c>
      <c r="B585" t="s">
        <v>2297</v>
      </c>
      <c r="C585" t="e">
        <f>VLOOKUP(A585,[1]Customer_payment_journal_line!$AL:$BO,30,0)</f>
        <v>#N/A</v>
      </c>
      <c r="D585" t="s">
        <v>53</v>
      </c>
      <c r="E585" t="s">
        <v>2293</v>
      </c>
      <c r="F585" t="s">
        <v>2294</v>
      </c>
      <c r="G585" t="s">
        <v>1804</v>
      </c>
      <c r="H585" t="s">
        <v>69</v>
      </c>
      <c r="I585" t="s">
        <v>2298</v>
      </c>
      <c r="J585" t="s">
        <v>2295</v>
      </c>
      <c r="K585" t="s">
        <v>2296</v>
      </c>
      <c r="L585" t="s">
        <v>52</v>
      </c>
      <c r="M585">
        <v>0</v>
      </c>
      <c r="N585">
        <v>3078</v>
      </c>
      <c r="O585" t="s">
        <v>61</v>
      </c>
      <c r="P585">
        <v>100</v>
      </c>
      <c r="Q585" t="s">
        <v>52</v>
      </c>
      <c r="R585" t="s">
        <v>52</v>
      </c>
      <c r="S585" t="s">
        <v>52</v>
      </c>
      <c r="T585" t="s">
        <v>52</v>
      </c>
      <c r="U585" t="s">
        <v>52</v>
      </c>
      <c r="V585" t="s">
        <v>62</v>
      </c>
      <c r="W585" t="s">
        <v>52</v>
      </c>
      <c r="Y585" t="s">
        <v>2299</v>
      </c>
      <c r="Z585" t="s">
        <v>62</v>
      </c>
      <c r="AB585" t="s">
        <v>2300</v>
      </c>
      <c r="AE585" t="s">
        <v>2301</v>
      </c>
      <c r="AF585" t="s">
        <v>52</v>
      </c>
      <c r="AH585">
        <v>0</v>
      </c>
      <c r="AI585">
        <v>0</v>
      </c>
      <c r="AJ585" t="s">
        <v>52</v>
      </c>
      <c r="AK585">
        <v>0</v>
      </c>
      <c r="AL585" t="s">
        <v>52</v>
      </c>
      <c r="AM585" t="s">
        <v>52</v>
      </c>
      <c r="AN585">
        <v>0</v>
      </c>
      <c r="AO585">
        <v>0</v>
      </c>
      <c r="AP585" t="s">
        <v>52</v>
      </c>
      <c r="AQ585" t="s">
        <v>52</v>
      </c>
      <c r="AR585" t="s">
        <v>62</v>
      </c>
      <c r="AS585" t="s">
        <v>52</v>
      </c>
      <c r="AT585" t="s">
        <v>74</v>
      </c>
      <c r="AU585" t="s">
        <v>64</v>
      </c>
      <c r="AV585" t="s">
        <v>62</v>
      </c>
      <c r="AW585" t="s">
        <v>65</v>
      </c>
      <c r="AX585" t="s">
        <v>66</v>
      </c>
      <c r="AY585" t="s">
        <v>67</v>
      </c>
    </row>
    <row r="586" spans="1:51" hidden="1" x14ac:dyDescent="0.25">
      <c r="A586">
        <v>202765</v>
      </c>
      <c r="B586" t="s">
        <v>2302</v>
      </c>
      <c r="C586" t="e">
        <f>VLOOKUP(A586,[1]Customer_payment_journal_line!$AL:$BO,30,0)</f>
        <v>#N/A</v>
      </c>
      <c r="D586" t="s">
        <v>53</v>
      </c>
      <c r="E586" t="s">
        <v>2303</v>
      </c>
      <c r="F586" t="s">
        <v>2304</v>
      </c>
      <c r="G586" t="s">
        <v>1804</v>
      </c>
      <c r="H586" t="s">
        <v>57</v>
      </c>
      <c r="I586" t="s">
        <v>319</v>
      </c>
      <c r="J586" t="s">
        <v>2295</v>
      </c>
      <c r="K586" t="s">
        <v>2296</v>
      </c>
      <c r="L586" t="s">
        <v>52</v>
      </c>
      <c r="M586">
        <v>855</v>
      </c>
      <c r="N586">
        <v>0</v>
      </c>
      <c r="O586" t="s">
        <v>61</v>
      </c>
      <c r="P586">
        <v>100</v>
      </c>
      <c r="Q586" t="s">
        <v>52</v>
      </c>
      <c r="R586" t="s">
        <v>52</v>
      </c>
      <c r="S586" t="s">
        <v>52</v>
      </c>
      <c r="T586" t="s">
        <v>52</v>
      </c>
      <c r="U586" t="s">
        <v>52</v>
      </c>
      <c r="V586" t="s">
        <v>62</v>
      </c>
      <c r="W586" t="s">
        <v>63</v>
      </c>
      <c r="Y586" t="s">
        <v>52</v>
      </c>
      <c r="AB586" t="s">
        <v>52</v>
      </c>
      <c r="AE586" t="s">
        <v>52</v>
      </c>
      <c r="AF586" t="s">
        <v>52</v>
      </c>
      <c r="AH586">
        <v>0</v>
      </c>
      <c r="AI586">
        <v>0</v>
      </c>
      <c r="AJ586" t="s">
        <v>52</v>
      </c>
      <c r="AK586">
        <v>0</v>
      </c>
      <c r="AL586" t="s">
        <v>52</v>
      </c>
      <c r="AM586" t="s">
        <v>52</v>
      </c>
      <c r="AN586">
        <v>0</v>
      </c>
      <c r="AO586">
        <v>0</v>
      </c>
      <c r="AP586" t="s">
        <v>52</v>
      </c>
      <c r="AQ586" t="s">
        <v>52</v>
      </c>
      <c r="AR586" t="s">
        <v>62</v>
      </c>
      <c r="AS586" t="s">
        <v>52</v>
      </c>
      <c r="AT586" t="s">
        <v>52</v>
      </c>
      <c r="AU586" t="s">
        <v>64</v>
      </c>
      <c r="AV586" t="s">
        <v>62</v>
      </c>
      <c r="AW586" t="s">
        <v>65</v>
      </c>
      <c r="AX586" t="s">
        <v>66</v>
      </c>
      <c r="AY586" t="s">
        <v>67</v>
      </c>
    </row>
    <row r="587" spans="1:51" hidden="1" x14ac:dyDescent="0.25">
      <c r="A587">
        <v>202765</v>
      </c>
      <c r="B587" t="s">
        <v>2305</v>
      </c>
      <c r="C587" t="e">
        <f>VLOOKUP(A587,[1]Customer_payment_journal_line!$AL:$BO,30,0)</f>
        <v>#N/A</v>
      </c>
      <c r="D587" t="s">
        <v>53</v>
      </c>
      <c r="E587" t="s">
        <v>2303</v>
      </c>
      <c r="F587" t="s">
        <v>2304</v>
      </c>
      <c r="G587" t="s">
        <v>1804</v>
      </c>
      <c r="H587" t="s">
        <v>69</v>
      </c>
      <c r="I587" t="s">
        <v>2298</v>
      </c>
      <c r="J587" t="s">
        <v>2295</v>
      </c>
      <c r="K587" t="s">
        <v>2296</v>
      </c>
      <c r="L587" t="s">
        <v>52</v>
      </c>
      <c r="M587">
        <v>0</v>
      </c>
      <c r="N587">
        <v>855</v>
      </c>
      <c r="O587" t="s">
        <v>61</v>
      </c>
      <c r="P587">
        <v>100</v>
      </c>
      <c r="Q587" t="s">
        <v>52</v>
      </c>
      <c r="R587" t="s">
        <v>52</v>
      </c>
      <c r="S587" t="s">
        <v>52</v>
      </c>
      <c r="T587" t="s">
        <v>52</v>
      </c>
      <c r="U587" t="s">
        <v>52</v>
      </c>
      <c r="V587" t="s">
        <v>62</v>
      </c>
      <c r="W587" t="s">
        <v>52</v>
      </c>
      <c r="Y587" t="s">
        <v>2299</v>
      </c>
      <c r="Z587" t="s">
        <v>62</v>
      </c>
      <c r="AB587" t="s">
        <v>2306</v>
      </c>
      <c r="AE587" t="s">
        <v>2307</v>
      </c>
      <c r="AF587" t="s">
        <v>52</v>
      </c>
      <c r="AH587">
        <v>0</v>
      </c>
      <c r="AI587">
        <v>0</v>
      </c>
      <c r="AJ587" t="s">
        <v>52</v>
      </c>
      <c r="AK587">
        <v>0</v>
      </c>
      <c r="AL587" t="s">
        <v>52</v>
      </c>
      <c r="AM587" t="s">
        <v>52</v>
      </c>
      <c r="AN587">
        <v>0</v>
      </c>
      <c r="AO587">
        <v>0</v>
      </c>
      <c r="AP587" t="s">
        <v>52</v>
      </c>
      <c r="AQ587" t="s">
        <v>52</v>
      </c>
      <c r="AR587" t="s">
        <v>62</v>
      </c>
      <c r="AS587" t="s">
        <v>52</v>
      </c>
      <c r="AT587" t="s">
        <v>74</v>
      </c>
      <c r="AU587" t="s">
        <v>64</v>
      </c>
      <c r="AV587" t="s">
        <v>62</v>
      </c>
      <c r="AW587" t="s">
        <v>65</v>
      </c>
      <c r="AX587" t="s">
        <v>66</v>
      </c>
      <c r="AY587" t="s">
        <v>67</v>
      </c>
    </row>
    <row r="588" spans="1:51" hidden="1" x14ac:dyDescent="0.25">
      <c r="A588">
        <v>403300</v>
      </c>
      <c r="B588" t="s">
        <v>2308</v>
      </c>
      <c r="C588" t="e">
        <f>VLOOKUP(A588,[1]Customer_payment_journal_line!$AL:$BO,30,0)</f>
        <v>#N/A</v>
      </c>
      <c r="D588" t="s">
        <v>53</v>
      </c>
      <c r="E588" t="s">
        <v>2309</v>
      </c>
      <c r="F588" t="s">
        <v>2310</v>
      </c>
      <c r="G588" t="s">
        <v>1804</v>
      </c>
      <c r="H588" t="s">
        <v>57</v>
      </c>
      <c r="I588" t="s">
        <v>1349</v>
      </c>
      <c r="J588" t="s">
        <v>2311</v>
      </c>
      <c r="K588" t="s">
        <v>281</v>
      </c>
      <c r="L588" t="s">
        <v>52</v>
      </c>
      <c r="M588">
        <v>3192</v>
      </c>
      <c r="N588">
        <v>0</v>
      </c>
      <c r="O588" t="s">
        <v>61</v>
      </c>
      <c r="P588">
        <v>100</v>
      </c>
      <c r="Q588" t="s">
        <v>52</v>
      </c>
      <c r="R588" t="s">
        <v>52</v>
      </c>
      <c r="S588" t="s">
        <v>52</v>
      </c>
      <c r="T588" t="s">
        <v>52</v>
      </c>
      <c r="U588" t="s">
        <v>52</v>
      </c>
      <c r="V588" t="s">
        <v>62</v>
      </c>
      <c r="W588" t="s">
        <v>63</v>
      </c>
      <c r="Y588" t="s">
        <v>52</v>
      </c>
      <c r="AB588" t="s">
        <v>52</v>
      </c>
      <c r="AE588" t="s">
        <v>52</v>
      </c>
      <c r="AF588" t="s">
        <v>52</v>
      </c>
      <c r="AH588">
        <v>0</v>
      </c>
      <c r="AI588">
        <v>0</v>
      </c>
      <c r="AJ588" t="s">
        <v>52</v>
      </c>
      <c r="AK588">
        <v>0</v>
      </c>
      <c r="AL588" t="s">
        <v>52</v>
      </c>
      <c r="AM588" t="s">
        <v>52</v>
      </c>
      <c r="AN588">
        <v>0</v>
      </c>
      <c r="AO588">
        <v>0</v>
      </c>
      <c r="AP588" t="s">
        <v>52</v>
      </c>
      <c r="AQ588" t="s">
        <v>52</v>
      </c>
      <c r="AR588" t="s">
        <v>62</v>
      </c>
      <c r="AS588" t="s">
        <v>52</v>
      </c>
      <c r="AT588" t="s">
        <v>52</v>
      </c>
      <c r="AU588" t="s">
        <v>64</v>
      </c>
      <c r="AV588" t="s">
        <v>62</v>
      </c>
      <c r="AW588" t="s">
        <v>65</v>
      </c>
      <c r="AX588" t="s">
        <v>66</v>
      </c>
      <c r="AY588" t="s">
        <v>67</v>
      </c>
    </row>
    <row r="589" spans="1:51" hidden="1" x14ac:dyDescent="0.25">
      <c r="A589">
        <v>403300</v>
      </c>
      <c r="B589" t="s">
        <v>2312</v>
      </c>
      <c r="C589" t="e">
        <f>VLOOKUP(A589,[1]Customer_payment_journal_line!$AL:$BO,30,0)</f>
        <v>#N/A</v>
      </c>
      <c r="D589" t="s">
        <v>53</v>
      </c>
      <c r="E589" t="s">
        <v>2309</v>
      </c>
      <c r="F589" t="s">
        <v>2310</v>
      </c>
      <c r="G589" t="s">
        <v>1804</v>
      </c>
      <c r="H589" t="s">
        <v>69</v>
      </c>
      <c r="I589" t="s">
        <v>283</v>
      </c>
      <c r="J589" t="s">
        <v>2311</v>
      </c>
      <c r="K589" t="s">
        <v>281</v>
      </c>
      <c r="L589" t="s">
        <v>52</v>
      </c>
      <c r="M589">
        <v>0</v>
      </c>
      <c r="N589">
        <v>3192</v>
      </c>
      <c r="O589" t="s">
        <v>61</v>
      </c>
      <c r="P589">
        <v>100</v>
      </c>
      <c r="Q589" t="s">
        <v>52</v>
      </c>
      <c r="R589" t="s">
        <v>52</v>
      </c>
      <c r="S589" t="s">
        <v>52</v>
      </c>
      <c r="T589" t="s">
        <v>52</v>
      </c>
      <c r="U589" t="s">
        <v>52</v>
      </c>
      <c r="V589" t="s">
        <v>62</v>
      </c>
      <c r="W589" t="s">
        <v>52</v>
      </c>
      <c r="Y589" t="s">
        <v>284</v>
      </c>
      <c r="Z589" t="s">
        <v>62</v>
      </c>
      <c r="AB589" t="s">
        <v>2313</v>
      </c>
      <c r="AE589" t="s">
        <v>2314</v>
      </c>
      <c r="AF589" t="s">
        <v>52</v>
      </c>
      <c r="AH589">
        <v>0</v>
      </c>
      <c r="AI589">
        <v>0</v>
      </c>
      <c r="AJ589" t="s">
        <v>52</v>
      </c>
      <c r="AK589">
        <v>0</v>
      </c>
      <c r="AL589" t="s">
        <v>52</v>
      </c>
      <c r="AM589" t="s">
        <v>52</v>
      </c>
      <c r="AN589">
        <v>0</v>
      </c>
      <c r="AO589">
        <v>0</v>
      </c>
      <c r="AP589" t="s">
        <v>52</v>
      </c>
      <c r="AQ589" t="s">
        <v>52</v>
      </c>
      <c r="AR589" t="s">
        <v>62</v>
      </c>
      <c r="AS589" t="s">
        <v>52</v>
      </c>
      <c r="AT589" t="s">
        <v>74</v>
      </c>
      <c r="AU589" t="s">
        <v>64</v>
      </c>
      <c r="AV589" t="s">
        <v>62</v>
      </c>
      <c r="AW589" t="s">
        <v>65</v>
      </c>
      <c r="AX589" t="s">
        <v>66</v>
      </c>
      <c r="AY589" t="s">
        <v>67</v>
      </c>
    </row>
    <row r="590" spans="1:51" hidden="1" x14ac:dyDescent="0.25">
      <c r="A590">
        <v>202769</v>
      </c>
      <c r="B590" t="s">
        <v>2315</v>
      </c>
      <c r="C590" t="e">
        <f>VLOOKUP(A590,[1]Customer_payment_journal_line!$AL:$BO,30,0)</f>
        <v>#N/A</v>
      </c>
      <c r="D590" t="s">
        <v>76</v>
      </c>
      <c r="E590" t="s">
        <v>2316</v>
      </c>
      <c r="F590" t="s">
        <v>2317</v>
      </c>
      <c r="G590" t="s">
        <v>1804</v>
      </c>
      <c r="H590" t="s">
        <v>80</v>
      </c>
      <c r="I590" t="s">
        <v>81</v>
      </c>
      <c r="J590" t="s">
        <v>2318</v>
      </c>
      <c r="K590" t="s">
        <v>2319</v>
      </c>
      <c r="L590" t="s">
        <v>52</v>
      </c>
      <c r="M590">
        <v>1368</v>
      </c>
      <c r="N590">
        <v>0</v>
      </c>
      <c r="O590" t="s">
        <v>61</v>
      </c>
      <c r="P590">
        <v>100</v>
      </c>
      <c r="Q590" t="s">
        <v>52</v>
      </c>
      <c r="R590" t="s">
        <v>52</v>
      </c>
      <c r="S590" t="s">
        <v>52</v>
      </c>
      <c r="T590" t="s">
        <v>52</v>
      </c>
      <c r="U590" t="s">
        <v>52</v>
      </c>
      <c r="V590" t="s">
        <v>62</v>
      </c>
      <c r="W590" t="s">
        <v>52</v>
      </c>
      <c r="Y590" t="s">
        <v>52</v>
      </c>
      <c r="AB590" t="s">
        <v>52</v>
      </c>
      <c r="AE590" t="s">
        <v>52</v>
      </c>
      <c r="AF590" t="s">
        <v>52</v>
      </c>
      <c r="AG590" t="s">
        <v>2320</v>
      </c>
      <c r="AH590">
        <v>0</v>
      </c>
      <c r="AI590">
        <v>0</v>
      </c>
      <c r="AJ590" t="s">
        <v>52</v>
      </c>
      <c r="AK590">
        <v>0</v>
      </c>
      <c r="AL590" t="s">
        <v>52</v>
      </c>
      <c r="AM590" t="s">
        <v>52</v>
      </c>
      <c r="AN590">
        <v>0</v>
      </c>
      <c r="AO590">
        <v>0</v>
      </c>
      <c r="AP590" t="s">
        <v>52</v>
      </c>
      <c r="AQ590" t="s">
        <v>52</v>
      </c>
      <c r="AR590" t="s">
        <v>62</v>
      </c>
      <c r="AS590" t="s">
        <v>52</v>
      </c>
      <c r="AT590" t="s">
        <v>52</v>
      </c>
      <c r="AU590" t="s">
        <v>64</v>
      </c>
      <c r="AV590" t="s">
        <v>62</v>
      </c>
      <c r="AW590" t="s">
        <v>65</v>
      </c>
      <c r="AX590" t="s">
        <v>66</v>
      </c>
      <c r="AY590" t="s">
        <v>76</v>
      </c>
    </row>
    <row r="591" spans="1:51" hidden="1" x14ac:dyDescent="0.25">
      <c r="A591">
        <v>202769</v>
      </c>
      <c r="B591" t="s">
        <v>2321</v>
      </c>
      <c r="C591" t="e">
        <f>VLOOKUP(A591,[1]Customer_payment_journal_line!$AL:$BO,30,0)</f>
        <v>#N/A</v>
      </c>
      <c r="D591" t="s">
        <v>76</v>
      </c>
      <c r="E591" t="s">
        <v>2316</v>
      </c>
      <c r="F591" t="s">
        <v>2317</v>
      </c>
      <c r="G591" t="s">
        <v>1804</v>
      </c>
      <c r="H591" t="s">
        <v>69</v>
      </c>
      <c r="I591" t="s">
        <v>2322</v>
      </c>
      <c r="J591" t="s">
        <v>2318</v>
      </c>
      <c r="K591" t="s">
        <v>2319</v>
      </c>
      <c r="L591" t="s">
        <v>52</v>
      </c>
      <c r="M591">
        <v>0</v>
      </c>
      <c r="N591">
        <v>1368</v>
      </c>
      <c r="O591" t="s">
        <v>61</v>
      </c>
      <c r="P591">
        <v>100</v>
      </c>
      <c r="Q591" t="s">
        <v>52</v>
      </c>
      <c r="R591" t="s">
        <v>52</v>
      </c>
      <c r="S591" t="s">
        <v>52</v>
      </c>
      <c r="T591" t="s">
        <v>52</v>
      </c>
      <c r="U591" t="s">
        <v>52</v>
      </c>
      <c r="V591" t="s">
        <v>62</v>
      </c>
      <c r="W591" t="s">
        <v>52</v>
      </c>
      <c r="Y591" t="s">
        <v>2323</v>
      </c>
      <c r="Z591" t="s">
        <v>62</v>
      </c>
      <c r="AB591" t="s">
        <v>2324</v>
      </c>
      <c r="AE591" t="s">
        <v>2325</v>
      </c>
      <c r="AF591" t="s">
        <v>52</v>
      </c>
      <c r="AG591" t="s">
        <v>2320</v>
      </c>
      <c r="AH591">
        <v>0</v>
      </c>
      <c r="AI591">
        <v>0</v>
      </c>
      <c r="AJ591" t="s">
        <v>52</v>
      </c>
      <c r="AK591">
        <v>0</v>
      </c>
      <c r="AL591" t="s">
        <v>52</v>
      </c>
      <c r="AM591" t="s">
        <v>52</v>
      </c>
      <c r="AN591">
        <v>0</v>
      </c>
      <c r="AO591">
        <v>0</v>
      </c>
      <c r="AP591" t="s">
        <v>52</v>
      </c>
      <c r="AQ591" t="s">
        <v>52</v>
      </c>
      <c r="AR591" t="s">
        <v>62</v>
      </c>
      <c r="AS591" t="s">
        <v>52</v>
      </c>
      <c r="AT591" t="s">
        <v>74</v>
      </c>
      <c r="AU591" t="s">
        <v>64</v>
      </c>
      <c r="AV591" t="s">
        <v>62</v>
      </c>
      <c r="AW591" t="s">
        <v>65</v>
      </c>
      <c r="AX591" t="s">
        <v>66</v>
      </c>
      <c r="AY591" t="s">
        <v>76</v>
      </c>
    </row>
    <row r="592" spans="1:51" hidden="1" x14ac:dyDescent="0.25">
      <c r="A592">
        <v>202770</v>
      </c>
      <c r="B592" t="s">
        <v>2326</v>
      </c>
      <c r="C592" t="e">
        <f>VLOOKUP(A592,[1]Customer_payment_journal_line!$AL:$BO,30,0)</f>
        <v>#N/A</v>
      </c>
      <c r="D592" t="s">
        <v>76</v>
      </c>
      <c r="E592" t="s">
        <v>2327</v>
      </c>
      <c r="F592" t="s">
        <v>2328</v>
      </c>
      <c r="G592" t="s">
        <v>1804</v>
      </c>
      <c r="H592" t="s">
        <v>80</v>
      </c>
      <c r="I592" t="s">
        <v>81</v>
      </c>
      <c r="J592" t="s">
        <v>2318</v>
      </c>
      <c r="K592" t="s">
        <v>2319</v>
      </c>
      <c r="L592" t="s">
        <v>52</v>
      </c>
      <c r="M592">
        <v>855</v>
      </c>
      <c r="N592">
        <v>0</v>
      </c>
      <c r="O592" t="s">
        <v>61</v>
      </c>
      <c r="P592">
        <v>100</v>
      </c>
      <c r="Q592" t="s">
        <v>52</v>
      </c>
      <c r="R592" t="s">
        <v>52</v>
      </c>
      <c r="S592" t="s">
        <v>52</v>
      </c>
      <c r="T592" t="s">
        <v>52</v>
      </c>
      <c r="U592" t="s">
        <v>52</v>
      </c>
      <c r="V592" t="s">
        <v>62</v>
      </c>
      <c r="W592" t="s">
        <v>52</v>
      </c>
      <c r="Y592" t="s">
        <v>52</v>
      </c>
      <c r="AB592" t="s">
        <v>52</v>
      </c>
      <c r="AE592" t="s">
        <v>52</v>
      </c>
      <c r="AF592" t="s">
        <v>52</v>
      </c>
      <c r="AG592" t="s">
        <v>2329</v>
      </c>
      <c r="AH592">
        <v>0</v>
      </c>
      <c r="AI592">
        <v>0</v>
      </c>
      <c r="AJ592" t="s">
        <v>52</v>
      </c>
      <c r="AK592">
        <v>0</v>
      </c>
      <c r="AL592" t="s">
        <v>52</v>
      </c>
      <c r="AM592" t="s">
        <v>52</v>
      </c>
      <c r="AN592">
        <v>0</v>
      </c>
      <c r="AO592">
        <v>0</v>
      </c>
      <c r="AP592" t="s">
        <v>52</v>
      </c>
      <c r="AQ592" t="s">
        <v>52</v>
      </c>
      <c r="AR592" t="s">
        <v>62</v>
      </c>
      <c r="AS592" t="s">
        <v>52</v>
      </c>
      <c r="AT592" t="s">
        <v>52</v>
      </c>
      <c r="AU592" t="s">
        <v>64</v>
      </c>
      <c r="AV592" t="s">
        <v>62</v>
      </c>
      <c r="AW592" t="s">
        <v>65</v>
      </c>
      <c r="AX592" t="s">
        <v>66</v>
      </c>
      <c r="AY592" t="s">
        <v>76</v>
      </c>
    </row>
    <row r="593" spans="1:51" hidden="1" x14ac:dyDescent="0.25">
      <c r="A593">
        <v>202770</v>
      </c>
      <c r="B593" t="s">
        <v>2330</v>
      </c>
      <c r="C593" t="e">
        <f>VLOOKUP(A593,[1]Customer_payment_journal_line!$AL:$BO,30,0)</f>
        <v>#N/A</v>
      </c>
      <c r="D593" t="s">
        <v>76</v>
      </c>
      <c r="E593" t="s">
        <v>2327</v>
      </c>
      <c r="F593" t="s">
        <v>2328</v>
      </c>
      <c r="G593" t="s">
        <v>1804</v>
      </c>
      <c r="H593" t="s">
        <v>69</v>
      </c>
      <c r="I593" t="s">
        <v>2322</v>
      </c>
      <c r="J593" t="s">
        <v>2318</v>
      </c>
      <c r="K593" t="s">
        <v>2319</v>
      </c>
      <c r="L593" t="s">
        <v>52</v>
      </c>
      <c r="M593">
        <v>0</v>
      </c>
      <c r="N593">
        <v>855</v>
      </c>
      <c r="O593" t="s">
        <v>61</v>
      </c>
      <c r="P593">
        <v>100</v>
      </c>
      <c r="Q593" t="s">
        <v>52</v>
      </c>
      <c r="R593" t="s">
        <v>52</v>
      </c>
      <c r="S593" t="s">
        <v>52</v>
      </c>
      <c r="T593" t="s">
        <v>52</v>
      </c>
      <c r="U593" t="s">
        <v>52</v>
      </c>
      <c r="V593" t="s">
        <v>62</v>
      </c>
      <c r="W593" t="s">
        <v>52</v>
      </c>
      <c r="Y593" t="s">
        <v>2323</v>
      </c>
      <c r="Z593" t="s">
        <v>62</v>
      </c>
      <c r="AB593" t="s">
        <v>2331</v>
      </c>
      <c r="AE593" t="s">
        <v>2332</v>
      </c>
      <c r="AF593" t="s">
        <v>52</v>
      </c>
      <c r="AG593" t="s">
        <v>2329</v>
      </c>
      <c r="AH593">
        <v>0</v>
      </c>
      <c r="AI593">
        <v>0</v>
      </c>
      <c r="AJ593" t="s">
        <v>52</v>
      </c>
      <c r="AK593">
        <v>0</v>
      </c>
      <c r="AL593" t="s">
        <v>52</v>
      </c>
      <c r="AM593" t="s">
        <v>52</v>
      </c>
      <c r="AN593">
        <v>0</v>
      </c>
      <c r="AO593">
        <v>0</v>
      </c>
      <c r="AP593" t="s">
        <v>52</v>
      </c>
      <c r="AQ593" t="s">
        <v>52</v>
      </c>
      <c r="AR593" t="s">
        <v>62</v>
      </c>
      <c r="AS593" t="s">
        <v>52</v>
      </c>
      <c r="AT593" t="s">
        <v>74</v>
      </c>
      <c r="AU593" t="s">
        <v>64</v>
      </c>
      <c r="AV593" t="s">
        <v>62</v>
      </c>
      <c r="AW593" t="s">
        <v>65</v>
      </c>
      <c r="AX593" t="s">
        <v>66</v>
      </c>
      <c r="AY593" t="s">
        <v>76</v>
      </c>
    </row>
    <row r="594" spans="1:51" hidden="1" x14ac:dyDescent="0.25">
      <c r="A594">
        <v>317141</v>
      </c>
      <c r="B594" t="s">
        <v>2333</v>
      </c>
      <c r="C594" t="e">
        <f>VLOOKUP(A594,[1]Customer_payment_journal_line!$AL:$BO,30,0)</f>
        <v>#N/A</v>
      </c>
      <c r="D594" t="s">
        <v>76</v>
      </c>
      <c r="E594" t="s">
        <v>2334</v>
      </c>
      <c r="F594" t="s">
        <v>2335</v>
      </c>
      <c r="G594" t="s">
        <v>1804</v>
      </c>
      <c r="H594" t="s">
        <v>80</v>
      </c>
      <c r="I594" t="s">
        <v>81</v>
      </c>
      <c r="J594" t="s">
        <v>202</v>
      </c>
      <c r="K594" t="s">
        <v>2319</v>
      </c>
      <c r="L594" t="s">
        <v>52</v>
      </c>
      <c r="M594">
        <v>1710</v>
      </c>
      <c r="N594">
        <v>0</v>
      </c>
      <c r="O594" t="s">
        <v>61</v>
      </c>
      <c r="P594">
        <v>100</v>
      </c>
      <c r="Q594" t="s">
        <v>52</v>
      </c>
      <c r="R594" t="s">
        <v>52</v>
      </c>
      <c r="S594" t="s">
        <v>52</v>
      </c>
      <c r="T594" t="s">
        <v>52</v>
      </c>
      <c r="U594" t="s">
        <v>52</v>
      </c>
      <c r="V594" t="s">
        <v>62</v>
      </c>
      <c r="W594" t="s">
        <v>52</v>
      </c>
      <c r="Y594" t="s">
        <v>52</v>
      </c>
      <c r="AB594" t="s">
        <v>2336</v>
      </c>
      <c r="AE594" t="s">
        <v>2336</v>
      </c>
      <c r="AF594" t="s">
        <v>52</v>
      </c>
      <c r="AH594">
        <v>0</v>
      </c>
      <c r="AI594">
        <v>0</v>
      </c>
      <c r="AJ594" t="s">
        <v>52</v>
      </c>
      <c r="AK594">
        <v>0</v>
      </c>
      <c r="AL594" t="s">
        <v>52</v>
      </c>
      <c r="AM594" t="s">
        <v>52</v>
      </c>
      <c r="AN594">
        <v>0</v>
      </c>
      <c r="AO594">
        <v>0</v>
      </c>
      <c r="AP594" t="s">
        <v>52</v>
      </c>
      <c r="AQ594" t="s">
        <v>52</v>
      </c>
      <c r="AR594" t="s">
        <v>62</v>
      </c>
      <c r="AS594" t="s">
        <v>52</v>
      </c>
      <c r="AT594" t="s">
        <v>52</v>
      </c>
      <c r="AU594" t="s">
        <v>64</v>
      </c>
      <c r="AV594" t="s">
        <v>62</v>
      </c>
      <c r="AW594" t="s">
        <v>65</v>
      </c>
      <c r="AX594" t="s">
        <v>66</v>
      </c>
      <c r="AY594" t="s">
        <v>76</v>
      </c>
    </row>
    <row r="595" spans="1:51" hidden="1" x14ac:dyDescent="0.25">
      <c r="A595">
        <v>317141</v>
      </c>
      <c r="B595" t="s">
        <v>2337</v>
      </c>
      <c r="C595" t="e">
        <f>VLOOKUP(A595,[1]Customer_payment_journal_line!$AL:$BO,30,0)</f>
        <v>#N/A</v>
      </c>
      <c r="D595" t="s">
        <v>76</v>
      </c>
      <c r="E595" t="s">
        <v>2334</v>
      </c>
      <c r="F595" t="s">
        <v>2335</v>
      </c>
      <c r="G595" t="s">
        <v>1804</v>
      </c>
      <c r="H595" t="s">
        <v>69</v>
      </c>
      <c r="I595" t="s">
        <v>2322</v>
      </c>
      <c r="J595" t="s">
        <v>2338</v>
      </c>
      <c r="K595" t="s">
        <v>2319</v>
      </c>
      <c r="L595" t="s">
        <v>52</v>
      </c>
      <c r="M595">
        <v>0</v>
      </c>
      <c r="N595">
        <v>30</v>
      </c>
      <c r="O595" t="s">
        <v>126</v>
      </c>
      <c r="P595">
        <v>5285</v>
      </c>
      <c r="Q595" t="s">
        <v>52</v>
      </c>
      <c r="R595" t="s">
        <v>52</v>
      </c>
      <c r="S595" t="s">
        <v>52</v>
      </c>
      <c r="T595" t="s">
        <v>52</v>
      </c>
      <c r="U595" t="s">
        <v>52</v>
      </c>
      <c r="V595" t="s">
        <v>62</v>
      </c>
      <c r="W595" t="s">
        <v>52</v>
      </c>
      <c r="Y595" t="s">
        <v>2323</v>
      </c>
      <c r="Z595" t="s">
        <v>62</v>
      </c>
      <c r="AB595" t="s">
        <v>2336</v>
      </c>
      <c r="AE595" t="s">
        <v>2336</v>
      </c>
      <c r="AF595" t="s">
        <v>52</v>
      </c>
      <c r="AH595">
        <v>0</v>
      </c>
      <c r="AI595">
        <v>0</v>
      </c>
      <c r="AJ595" t="s">
        <v>52</v>
      </c>
      <c r="AK595">
        <v>0</v>
      </c>
      <c r="AL595" t="s">
        <v>52</v>
      </c>
      <c r="AM595" t="s">
        <v>52</v>
      </c>
      <c r="AN595">
        <v>0</v>
      </c>
      <c r="AO595">
        <v>0</v>
      </c>
      <c r="AP595" t="s">
        <v>52</v>
      </c>
      <c r="AQ595" t="s">
        <v>52</v>
      </c>
      <c r="AR595" t="s">
        <v>62</v>
      </c>
      <c r="AS595" t="s">
        <v>52</v>
      </c>
      <c r="AT595" t="s">
        <v>74</v>
      </c>
      <c r="AU595" t="s">
        <v>64</v>
      </c>
      <c r="AV595" t="s">
        <v>62</v>
      </c>
      <c r="AW595" t="s">
        <v>65</v>
      </c>
      <c r="AX595" t="s">
        <v>66</v>
      </c>
      <c r="AY595" t="s">
        <v>76</v>
      </c>
    </row>
    <row r="596" spans="1:51" hidden="1" x14ac:dyDescent="0.25">
      <c r="A596">
        <v>317141</v>
      </c>
      <c r="B596" t="s">
        <v>2339</v>
      </c>
      <c r="C596" t="e">
        <f>VLOOKUP(A596,[1]Customer_payment_journal_line!$AL:$BO,30,0)</f>
        <v>#N/A</v>
      </c>
      <c r="D596" t="s">
        <v>76</v>
      </c>
      <c r="E596" t="s">
        <v>2334</v>
      </c>
      <c r="F596" t="s">
        <v>2335</v>
      </c>
      <c r="G596" t="s">
        <v>1804</v>
      </c>
      <c r="H596" t="s">
        <v>210</v>
      </c>
      <c r="I596" t="s">
        <v>2340</v>
      </c>
      <c r="J596" t="s">
        <v>52</v>
      </c>
      <c r="K596" t="s">
        <v>2319</v>
      </c>
      <c r="L596" t="s">
        <v>52</v>
      </c>
      <c r="M596">
        <v>0</v>
      </c>
      <c r="N596">
        <v>124.5</v>
      </c>
      <c r="O596" t="s">
        <v>61</v>
      </c>
      <c r="P596">
        <v>100</v>
      </c>
      <c r="Q596" t="s">
        <v>52</v>
      </c>
      <c r="R596" t="s">
        <v>52</v>
      </c>
      <c r="S596" t="s">
        <v>52</v>
      </c>
      <c r="T596" t="s">
        <v>52</v>
      </c>
      <c r="U596" t="s">
        <v>52</v>
      </c>
      <c r="V596" t="s">
        <v>62</v>
      </c>
      <c r="W596" t="s">
        <v>63</v>
      </c>
      <c r="Y596" t="s">
        <v>2323</v>
      </c>
      <c r="AB596" t="s">
        <v>2336</v>
      </c>
      <c r="AE596" t="s">
        <v>2336</v>
      </c>
      <c r="AF596" t="s">
        <v>52</v>
      </c>
      <c r="AH596">
        <v>0</v>
      </c>
      <c r="AI596">
        <v>0</v>
      </c>
      <c r="AJ596" t="s">
        <v>52</v>
      </c>
      <c r="AK596">
        <v>0</v>
      </c>
      <c r="AL596" t="s">
        <v>52</v>
      </c>
      <c r="AM596" t="s">
        <v>52</v>
      </c>
      <c r="AN596">
        <v>0</v>
      </c>
      <c r="AO596">
        <v>0</v>
      </c>
      <c r="AP596" t="s">
        <v>52</v>
      </c>
      <c r="AQ596" t="s">
        <v>52</v>
      </c>
      <c r="AR596" t="s">
        <v>62</v>
      </c>
      <c r="AS596" t="s">
        <v>52</v>
      </c>
      <c r="AT596" t="s">
        <v>52</v>
      </c>
      <c r="AU596" t="s">
        <v>64</v>
      </c>
      <c r="AV596" t="s">
        <v>62</v>
      </c>
      <c r="AW596" t="s">
        <v>65</v>
      </c>
      <c r="AX596" t="s">
        <v>66</v>
      </c>
      <c r="AY596" t="s">
        <v>76</v>
      </c>
    </row>
    <row r="597" spans="1:51" hidden="1" x14ac:dyDescent="0.25">
      <c r="A597">
        <v>405978</v>
      </c>
      <c r="B597" t="s">
        <v>2341</v>
      </c>
      <c r="C597" t="e">
        <f>VLOOKUP(A597,[1]Customer_payment_journal_line!$AL:$BO,30,0)</f>
        <v>#N/A</v>
      </c>
      <c r="D597" t="s">
        <v>53</v>
      </c>
      <c r="E597" t="s">
        <v>2342</v>
      </c>
      <c r="F597" t="s">
        <v>2343</v>
      </c>
      <c r="G597" t="s">
        <v>1804</v>
      </c>
      <c r="H597" t="s">
        <v>57</v>
      </c>
      <c r="I597" t="s">
        <v>58</v>
      </c>
      <c r="J597" t="s">
        <v>2010</v>
      </c>
      <c r="K597" t="s">
        <v>2011</v>
      </c>
      <c r="L597" t="s">
        <v>52</v>
      </c>
      <c r="M597">
        <v>1000</v>
      </c>
      <c r="N597">
        <v>0</v>
      </c>
      <c r="O597" t="s">
        <v>61</v>
      </c>
      <c r="P597">
        <v>100</v>
      </c>
      <c r="Q597" t="s">
        <v>52</v>
      </c>
      <c r="R597" t="s">
        <v>52</v>
      </c>
      <c r="S597" t="s">
        <v>52</v>
      </c>
      <c r="T597" t="s">
        <v>52</v>
      </c>
      <c r="U597" t="s">
        <v>52</v>
      </c>
      <c r="V597" t="s">
        <v>62</v>
      </c>
      <c r="W597" t="s">
        <v>63</v>
      </c>
      <c r="Y597" t="s">
        <v>52</v>
      </c>
      <c r="AB597" t="s">
        <v>52</v>
      </c>
      <c r="AE597" t="s">
        <v>52</v>
      </c>
      <c r="AF597" t="s">
        <v>52</v>
      </c>
      <c r="AH597">
        <v>0</v>
      </c>
      <c r="AI597">
        <v>0</v>
      </c>
      <c r="AJ597" t="s">
        <v>52</v>
      </c>
      <c r="AK597">
        <v>0</v>
      </c>
      <c r="AL597" t="s">
        <v>52</v>
      </c>
      <c r="AM597" t="s">
        <v>52</v>
      </c>
      <c r="AN597">
        <v>0</v>
      </c>
      <c r="AO597">
        <v>0</v>
      </c>
      <c r="AP597" t="s">
        <v>52</v>
      </c>
      <c r="AQ597" t="s">
        <v>52</v>
      </c>
      <c r="AR597" t="s">
        <v>62</v>
      </c>
      <c r="AS597" t="s">
        <v>52</v>
      </c>
      <c r="AT597" t="s">
        <v>52</v>
      </c>
      <c r="AU597" t="s">
        <v>64</v>
      </c>
      <c r="AV597" t="s">
        <v>62</v>
      </c>
      <c r="AW597" t="s">
        <v>65</v>
      </c>
      <c r="AX597" t="s">
        <v>66</v>
      </c>
      <c r="AY597" t="s">
        <v>67</v>
      </c>
    </row>
    <row r="598" spans="1:51" hidden="1" x14ac:dyDescent="0.25">
      <c r="A598">
        <v>405978</v>
      </c>
      <c r="B598" t="s">
        <v>2344</v>
      </c>
      <c r="C598" t="e">
        <f>VLOOKUP(A598,[1]Customer_payment_journal_line!$AL:$BO,30,0)</f>
        <v>#N/A</v>
      </c>
      <c r="D598" t="s">
        <v>53</v>
      </c>
      <c r="E598" t="s">
        <v>2342</v>
      </c>
      <c r="F598" t="s">
        <v>2343</v>
      </c>
      <c r="G598" t="s">
        <v>1804</v>
      </c>
      <c r="H598" t="s">
        <v>69</v>
      </c>
      <c r="I598" t="s">
        <v>2013</v>
      </c>
      <c r="J598" t="s">
        <v>2010</v>
      </c>
      <c r="K598" t="s">
        <v>2011</v>
      </c>
      <c r="L598" t="s">
        <v>52</v>
      </c>
      <c r="M598">
        <v>0</v>
      </c>
      <c r="N598">
        <v>1000</v>
      </c>
      <c r="O598" t="s">
        <v>61</v>
      </c>
      <c r="P598">
        <v>100</v>
      </c>
      <c r="Q598" t="s">
        <v>52</v>
      </c>
      <c r="R598" t="s">
        <v>52</v>
      </c>
      <c r="S598" t="s">
        <v>52</v>
      </c>
      <c r="T598" t="s">
        <v>52</v>
      </c>
      <c r="U598" t="s">
        <v>52</v>
      </c>
      <c r="V598" t="s">
        <v>62</v>
      </c>
      <c r="W598" t="s">
        <v>52</v>
      </c>
      <c r="Y598" t="s">
        <v>2014</v>
      </c>
      <c r="Z598" t="s">
        <v>62</v>
      </c>
      <c r="AB598" t="s">
        <v>2345</v>
      </c>
      <c r="AE598" t="s">
        <v>2346</v>
      </c>
      <c r="AF598" t="s">
        <v>52</v>
      </c>
      <c r="AH598">
        <v>0</v>
      </c>
      <c r="AI598">
        <v>0</v>
      </c>
      <c r="AJ598" t="s">
        <v>52</v>
      </c>
      <c r="AK598">
        <v>0</v>
      </c>
      <c r="AL598" t="s">
        <v>52</v>
      </c>
      <c r="AM598" t="s">
        <v>52</v>
      </c>
      <c r="AN598">
        <v>0</v>
      </c>
      <c r="AO598">
        <v>0</v>
      </c>
      <c r="AP598" t="s">
        <v>52</v>
      </c>
      <c r="AQ598" t="s">
        <v>52</v>
      </c>
      <c r="AR598" t="s">
        <v>62</v>
      </c>
      <c r="AS598" t="s">
        <v>52</v>
      </c>
      <c r="AT598" t="s">
        <v>74</v>
      </c>
      <c r="AU598" t="s">
        <v>64</v>
      </c>
      <c r="AV598" t="s">
        <v>62</v>
      </c>
      <c r="AW598" t="s">
        <v>65</v>
      </c>
      <c r="AX598" t="s">
        <v>66</v>
      </c>
      <c r="AY598" t="s">
        <v>67</v>
      </c>
    </row>
    <row r="599" spans="1:51" hidden="1" x14ac:dyDescent="0.25">
      <c r="A599">
        <v>405979</v>
      </c>
      <c r="B599" t="s">
        <v>2347</v>
      </c>
      <c r="C599" t="e">
        <f>VLOOKUP(A599,[1]Customer_payment_journal_line!$AL:$BO,30,0)</f>
        <v>#N/A</v>
      </c>
      <c r="D599" t="s">
        <v>53</v>
      </c>
      <c r="E599" t="s">
        <v>2348</v>
      </c>
      <c r="F599" t="s">
        <v>2349</v>
      </c>
      <c r="G599" t="s">
        <v>1804</v>
      </c>
      <c r="H599" t="s">
        <v>57</v>
      </c>
      <c r="I599" t="s">
        <v>58</v>
      </c>
      <c r="J599" t="s">
        <v>2010</v>
      </c>
      <c r="K599" t="s">
        <v>2011</v>
      </c>
      <c r="L599" t="s">
        <v>52</v>
      </c>
      <c r="M599">
        <v>855</v>
      </c>
      <c r="N599">
        <v>0</v>
      </c>
      <c r="O599" t="s">
        <v>61</v>
      </c>
      <c r="P599">
        <v>100</v>
      </c>
      <c r="Q599" t="s">
        <v>52</v>
      </c>
      <c r="R599" t="s">
        <v>52</v>
      </c>
      <c r="S599" t="s">
        <v>52</v>
      </c>
      <c r="T599" t="s">
        <v>52</v>
      </c>
      <c r="U599" t="s">
        <v>52</v>
      </c>
      <c r="V599" t="s">
        <v>62</v>
      </c>
      <c r="W599" t="s">
        <v>63</v>
      </c>
      <c r="Y599" t="s">
        <v>52</v>
      </c>
      <c r="AB599" t="s">
        <v>52</v>
      </c>
      <c r="AE599" t="s">
        <v>52</v>
      </c>
      <c r="AF599" t="s">
        <v>52</v>
      </c>
      <c r="AH599">
        <v>0</v>
      </c>
      <c r="AI599">
        <v>0</v>
      </c>
      <c r="AJ599" t="s">
        <v>52</v>
      </c>
      <c r="AK599">
        <v>0</v>
      </c>
      <c r="AL599" t="s">
        <v>52</v>
      </c>
      <c r="AM599" t="s">
        <v>52</v>
      </c>
      <c r="AN599">
        <v>0</v>
      </c>
      <c r="AO599">
        <v>0</v>
      </c>
      <c r="AP599" t="s">
        <v>52</v>
      </c>
      <c r="AQ599" t="s">
        <v>52</v>
      </c>
      <c r="AR599" t="s">
        <v>62</v>
      </c>
      <c r="AS599" t="s">
        <v>52</v>
      </c>
      <c r="AT599" t="s">
        <v>52</v>
      </c>
      <c r="AU599" t="s">
        <v>64</v>
      </c>
      <c r="AV599" t="s">
        <v>62</v>
      </c>
      <c r="AW599" t="s">
        <v>65</v>
      </c>
      <c r="AX599" t="s">
        <v>66</v>
      </c>
      <c r="AY599" t="s">
        <v>67</v>
      </c>
    </row>
    <row r="600" spans="1:51" hidden="1" x14ac:dyDescent="0.25">
      <c r="A600">
        <v>405979</v>
      </c>
      <c r="B600" t="s">
        <v>2350</v>
      </c>
      <c r="C600" t="e">
        <f>VLOOKUP(A600,[1]Customer_payment_journal_line!$AL:$BO,30,0)</f>
        <v>#N/A</v>
      </c>
      <c r="D600" t="s">
        <v>53</v>
      </c>
      <c r="E600" t="s">
        <v>2348</v>
      </c>
      <c r="F600" t="s">
        <v>2349</v>
      </c>
      <c r="G600" t="s">
        <v>1804</v>
      </c>
      <c r="H600" t="s">
        <v>69</v>
      </c>
      <c r="I600" t="s">
        <v>2013</v>
      </c>
      <c r="J600" t="s">
        <v>2010</v>
      </c>
      <c r="K600" t="s">
        <v>2011</v>
      </c>
      <c r="L600" t="s">
        <v>52</v>
      </c>
      <c r="M600">
        <v>0</v>
      </c>
      <c r="N600">
        <v>855</v>
      </c>
      <c r="O600" t="s">
        <v>61</v>
      </c>
      <c r="P600">
        <v>100</v>
      </c>
      <c r="Q600" t="s">
        <v>52</v>
      </c>
      <c r="R600" t="s">
        <v>52</v>
      </c>
      <c r="S600" t="s">
        <v>52</v>
      </c>
      <c r="T600" t="s">
        <v>52</v>
      </c>
      <c r="U600" t="s">
        <v>52</v>
      </c>
      <c r="V600" t="s">
        <v>62</v>
      </c>
      <c r="W600" t="s">
        <v>52</v>
      </c>
      <c r="Y600" t="s">
        <v>2014</v>
      </c>
      <c r="Z600" t="s">
        <v>62</v>
      </c>
      <c r="AB600" t="s">
        <v>2351</v>
      </c>
      <c r="AE600" t="s">
        <v>2352</v>
      </c>
      <c r="AF600" t="s">
        <v>52</v>
      </c>
      <c r="AH600">
        <v>0</v>
      </c>
      <c r="AI600">
        <v>0</v>
      </c>
      <c r="AJ600" t="s">
        <v>52</v>
      </c>
      <c r="AK600">
        <v>0</v>
      </c>
      <c r="AL600" t="s">
        <v>52</v>
      </c>
      <c r="AM600" t="s">
        <v>52</v>
      </c>
      <c r="AN600">
        <v>0</v>
      </c>
      <c r="AO600">
        <v>0</v>
      </c>
      <c r="AP600" t="s">
        <v>52</v>
      </c>
      <c r="AQ600" t="s">
        <v>52</v>
      </c>
      <c r="AR600" t="s">
        <v>62</v>
      </c>
      <c r="AS600" t="s">
        <v>52</v>
      </c>
      <c r="AT600" t="s">
        <v>74</v>
      </c>
      <c r="AU600" t="s">
        <v>64</v>
      </c>
      <c r="AV600" t="s">
        <v>62</v>
      </c>
      <c r="AW600" t="s">
        <v>65</v>
      </c>
      <c r="AX600" t="s">
        <v>66</v>
      </c>
      <c r="AY600" t="s">
        <v>67</v>
      </c>
    </row>
    <row r="601" spans="1:51" hidden="1" x14ac:dyDescent="0.25">
      <c r="A601">
        <v>202796</v>
      </c>
      <c r="B601" t="s">
        <v>2353</v>
      </c>
      <c r="C601" t="e">
        <f>VLOOKUP(A601,[1]Customer_payment_journal_line!$AL:$BO,30,0)</f>
        <v>#N/A</v>
      </c>
      <c r="D601" t="s">
        <v>76</v>
      </c>
      <c r="E601" t="s">
        <v>2354</v>
      </c>
      <c r="F601" t="s">
        <v>2355</v>
      </c>
      <c r="G601" t="s">
        <v>2356</v>
      </c>
      <c r="H601" t="s">
        <v>80</v>
      </c>
      <c r="I601" t="s">
        <v>81</v>
      </c>
      <c r="J601" t="s">
        <v>2357</v>
      </c>
      <c r="K601" t="s">
        <v>2358</v>
      </c>
      <c r="L601" t="s">
        <v>52</v>
      </c>
      <c r="M601">
        <v>3405</v>
      </c>
      <c r="N601">
        <v>0</v>
      </c>
      <c r="O601" t="s">
        <v>61</v>
      </c>
      <c r="P601">
        <v>100</v>
      </c>
      <c r="Q601" t="s">
        <v>52</v>
      </c>
      <c r="R601" t="s">
        <v>52</v>
      </c>
      <c r="S601" t="s">
        <v>52</v>
      </c>
      <c r="T601" t="s">
        <v>52</v>
      </c>
      <c r="U601" t="s">
        <v>52</v>
      </c>
      <c r="V601" t="s">
        <v>62</v>
      </c>
      <c r="W601" t="s">
        <v>52</v>
      </c>
      <c r="Y601" t="s">
        <v>52</v>
      </c>
      <c r="AB601" t="s">
        <v>52</v>
      </c>
      <c r="AE601" t="s">
        <v>52</v>
      </c>
      <c r="AF601" t="s">
        <v>52</v>
      </c>
      <c r="AH601">
        <v>0</v>
      </c>
      <c r="AI601">
        <v>0</v>
      </c>
      <c r="AJ601" t="s">
        <v>52</v>
      </c>
      <c r="AK601">
        <v>0</v>
      </c>
      <c r="AL601" t="s">
        <v>52</v>
      </c>
      <c r="AM601" t="s">
        <v>52</v>
      </c>
      <c r="AN601">
        <v>0</v>
      </c>
      <c r="AO601">
        <v>0</v>
      </c>
      <c r="AP601" t="s">
        <v>52</v>
      </c>
      <c r="AQ601" t="s">
        <v>52</v>
      </c>
      <c r="AR601" t="s">
        <v>62</v>
      </c>
      <c r="AS601" t="s">
        <v>52</v>
      </c>
      <c r="AT601" t="s">
        <v>52</v>
      </c>
      <c r="AU601" t="s">
        <v>64</v>
      </c>
      <c r="AV601" t="s">
        <v>62</v>
      </c>
      <c r="AW601" t="s">
        <v>65</v>
      </c>
      <c r="AX601" t="s">
        <v>66</v>
      </c>
      <c r="AY601" t="s">
        <v>76</v>
      </c>
    </row>
    <row r="602" spans="1:51" hidden="1" x14ac:dyDescent="0.25">
      <c r="A602">
        <v>202796</v>
      </c>
      <c r="B602" t="s">
        <v>2359</v>
      </c>
      <c r="C602" t="e">
        <f>VLOOKUP(A602,[1]Customer_payment_journal_line!$AL:$BO,30,0)</f>
        <v>#N/A</v>
      </c>
      <c r="D602" t="s">
        <v>76</v>
      </c>
      <c r="E602" t="s">
        <v>2354</v>
      </c>
      <c r="F602" t="s">
        <v>2355</v>
      </c>
      <c r="G602" t="s">
        <v>2356</v>
      </c>
      <c r="H602" t="s">
        <v>69</v>
      </c>
      <c r="I602" t="s">
        <v>1299</v>
      </c>
      <c r="J602" t="s">
        <v>2357</v>
      </c>
      <c r="K602" t="s">
        <v>2358</v>
      </c>
      <c r="L602" t="s">
        <v>52</v>
      </c>
      <c r="M602">
        <v>0</v>
      </c>
      <c r="N602">
        <v>855</v>
      </c>
      <c r="O602" t="s">
        <v>61</v>
      </c>
      <c r="P602">
        <v>100</v>
      </c>
      <c r="Q602" t="s">
        <v>52</v>
      </c>
      <c r="R602" t="s">
        <v>52</v>
      </c>
      <c r="S602" t="s">
        <v>52</v>
      </c>
      <c r="T602" t="s">
        <v>52</v>
      </c>
      <c r="U602" t="s">
        <v>52</v>
      </c>
      <c r="V602" t="s">
        <v>62</v>
      </c>
      <c r="W602" t="s">
        <v>52</v>
      </c>
      <c r="Y602" t="s">
        <v>1300</v>
      </c>
      <c r="Z602" t="s">
        <v>62</v>
      </c>
      <c r="AB602" t="s">
        <v>2360</v>
      </c>
      <c r="AE602" t="s">
        <v>2361</v>
      </c>
      <c r="AF602" t="s">
        <v>52</v>
      </c>
      <c r="AH602">
        <v>0</v>
      </c>
      <c r="AI602">
        <v>0</v>
      </c>
      <c r="AJ602" t="s">
        <v>52</v>
      </c>
      <c r="AK602">
        <v>0</v>
      </c>
      <c r="AL602" t="s">
        <v>52</v>
      </c>
      <c r="AM602" t="s">
        <v>52</v>
      </c>
      <c r="AN602">
        <v>0</v>
      </c>
      <c r="AO602">
        <v>0</v>
      </c>
      <c r="AP602" t="s">
        <v>52</v>
      </c>
      <c r="AQ602" t="s">
        <v>52</v>
      </c>
      <c r="AR602" t="s">
        <v>62</v>
      </c>
      <c r="AS602" t="s">
        <v>52</v>
      </c>
      <c r="AT602" t="s">
        <v>74</v>
      </c>
      <c r="AU602" t="s">
        <v>64</v>
      </c>
      <c r="AV602" t="s">
        <v>62</v>
      </c>
      <c r="AW602" t="s">
        <v>65</v>
      </c>
      <c r="AX602" t="s">
        <v>66</v>
      </c>
      <c r="AY602" t="s">
        <v>76</v>
      </c>
    </row>
    <row r="603" spans="1:51" hidden="1" x14ac:dyDescent="0.25">
      <c r="A603">
        <v>202796</v>
      </c>
      <c r="B603" t="s">
        <v>2362</v>
      </c>
      <c r="C603" t="e">
        <f>VLOOKUP(A603,[1]Customer_payment_journal_line!$AL:$BO,30,0)</f>
        <v>#N/A</v>
      </c>
      <c r="D603" t="s">
        <v>76</v>
      </c>
      <c r="E603" t="s">
        <v>2354</v>
      </c>
      <c r="F603" t="s">
        <v>2355</v>
      </c>
      <c r="G603" t="s">
        <v>2356</v>
      </c>
      <c r="H603" t="s">
        <v>69</v>
      </c>
      <c r="I603" t="s">
        <v>1299</v>
      </c>
      <c r="J603" t="s">
        <v>2357</v>
      </c>
      <c r="K603" t="s">
        <v>2358</v>
      </c>
      <c r="L603" t="s">
        <v>52</v>
      </c>
      <c r="M603">
        <v>0</v>
      </c>
      <c r="N603">
        <v>2550</v>
      </c>
      <c r="O603" t="s">
        <v>61</v>
      </c>
      <c r="P603">
        <v>100</v>
      </c>
      <c r="Q603" t="s">
        <v>52</v>
      </c>
      <c r="R603" t="s">
        <v>52</v>
      </c>
      <c r="S603" t="s">
        <v>52</v>
      </c>
      <c r="T603" t="s">
        <v>52</v>
      </c>
      <c r="U603" t="s">
        <v>52</v>
      </c>
      <c r="V603" t="s">
        <v>62</v>
      </c>
      <c r="W603" t="s">
        <v>52</v>
      </c>
      <c r="Y603" t="s">
        <v>1300</v>
      </c>
      <c r="Z603" t="s">
        <v>62</v>
      </c>
      <c r="AB603" t="s">
        <v>2363</v>
      </c>
      <c r="AE603" t="s">
        <v>2364</v>
      </c>
      <c r="AF603" t="s">
        <v>52</v>
      </c>
      <c r="AH603">
        <v>0</v>
      </c>
      <c r="AI603">
        <v>0</v>
      </c>
      <c r="AJ603" t="s">
        <v>52</v>
      </c>
      <c r="AK603">
        <v>0</v>
      </c>
      <c r="AL603" t="s">
        <v>52</v>
      </c>
      <c r="AM603" t="s">
        <v>52</v>
      </c>
      <c r="AN603">
        <v>0</v>
      </c>
      <c r="AO603">
        <v>0</v>
      </c>
      <c r="AP603" t="s">
        <v>52</v>
      </c>
      <c r="AQ603" t="s">
        <v>52</v>
      </c>
      <c r="AR603" t="s">
        <v>62</v>
      </c>
      <c r="AS603" t="s">
        <v>52</v>
      </c>
      <c r="AT603" t="s">
        <v>74</v>
      </c>
      <c r="AU603" t="s">
        <v>64</v>
      </c>
      <c r="AV603" t="s">
        <v>62</v>
      </c>
      <c r="AW603" t="s">
        <v>65</v>
      </c>
      <c r="AX603" t="s">
        <v>66</v>
      </c>
      <c r="AY603" t="s">
        <v>76</v>
      </c>
    </row>
    <row r="604" spans="1:51" hidden="1" x14ac:dyDescent="0.25">
      <c r="A604">
        <v>202805</v>
      </c>
      <c r="B604" t="s">
        <v>2365</v>
      </c>
      <c r="C604" t="str">
        <f>VLOOKUP(A604,[1]Customer_payment_journal_line!$AL:$BO,30,0)</f>
        <v>CPay-000000049</v>
      </c>
      <c r="D604" t="s">
        <v>53</v>
      </c>
      <c r="E604" t="s">
        <v>2366</v>
      </c>
      <c r="F604" t="s">
        <v>2367</v>
      </c>
      <c r="G604" t="s">
        <v>2356</v>
      </c>
      <c r="H604" t="s">
        <v>57</v>
      </c>
      <c r="I604" t="s">
        <v>95</v>
      </c>
      <c r="J604" t="s">
        <v>2368</v>
      </c>
      <c r="K604" t="s">
        <v>2369</v>
      </c>
      <c r="L604">
        <f>VLOOKUP(A604,[1]Customer_payment_journal_line!$B:$L,11,0)</f>
        <v>1653</v>
      </c>
      <c r="M604" s="1">
        <v>1653</v>
      </c>
      <c r="N604" s="2">
        <f>L604-M604</f>
        <v>0</v>
      </c>
      <c r="O604" t="s">
        <v>61</v>
      </c>
      <c r="P604">
        <v>100</v>
      </c>
      <c r="Q604" t="s">
        <v>52</v>
      </c>
      <c r="R604" t="s">
        <v>52</v>
      </c>
      <c r="S604" t="s">
        <v>52</v>
      </c>
      <c r="T604" t="s">
        <v>52</v>
      </c>
      <c r="U604" t="s">
        <v>52</v>
      </c>
      <c r="V604" t="s">
        <v>62</v>
      </c>
      <c r="W604" t="s">
        <v>63</v>
      </c>
      <c r="Y604" t="s">
        <v>52</v>
      </c>
      <c r="AB604" t="s">
        <v>52</v>
      </c>
      <c r="AE604" t="s">
        <v>52</v>
      </c>
      <c r="AF604" t="s">
        <v>52</v>
      </c>
      <c r="AH604">
        <v>0</v>
      </c>
      <c r="AI604">
        <v>0</v>
      </c>
      <c r="AJ604" t="s">
        <v>52</v>
      </c>
      <c r="AK604">
        <v>0</v>
      </c>
      <c r="AL604" t="s">
        <v>52</v>
      </c>
      <c r="AM604" t="s">
        <v>52</v>
      </c>
      <c r="AN604">
        <v>0</v>
      </c>
      <c r="AO604">
        <v>0</v>
      </c>
      <c r="AP604" t="s">
        <v>52</v>
      </c>
      <c r="AQ604" t="s">
        <v>52</v>
      </c>
      <c r="AR604" t="s">
        <v>62</v>
      </c>
      <c r="AS604" t="s">
        <v>52</v>
      </c>
      <c r="AT604" t="s">
        <v>52</v>
      </c>
      <c r="AU604" t="s">
        <v>64</v>
      </c>
      <c r="AV604" t="s">
        <v>62</v>
      </c>
      <c r="AW604" t="s">
        <v>65</v>
      </c>
      <c r="AX604" t="s">
        <v>66</v>
      </c>
      <c r="AY604" t="s">
        <v>67</v>
      </c>
    </row>
    <row r="605" spans="1:51" hidden="1" x14ac:dyDescent="0.25">
      <c r="A605">
        <v>202805</v>
      </c>
      <c r="B605" t="s">
        <v>2370</v>
      </c>
      <c r="C605" t="str">
        <f>VLOOKUP(A605,[1]Customer_payment_journal_line!$AL:$BO,30,0)</f>
        <v>CPay-000000049</v>
      </c>
      <c r="D605" t="s">
        <v>53</v>
      </c>
      <c r="E605" t="s">
        <v>2366</v>
      </c>
      <c r="F605" t="s">
        <v>2367</v>
      </c>
      <c r="G605" t="s">
        <v>2356</v>
      </c>
      <c r="H605" t="s">
        <v>69</v>
      </c>
      <c r="I605" t="s">
        <v>2371</v>
      </c>
      <c r="J605" t="s">
        <v>2368</v>
      </c>
      <c r="K605" t="s">
        <v>2369</v>
      </c>
      <c r="L605">
        <f>VLOOKUP(A605,[1]Customer_payment_journal_line!$B:$L,11,0)</f>
        <v>1653</v>
      </c>
      <c r="M605" s="1">
        <v>0</v>
      </c>
      <c r="N605">
        <v>1653</v>
      </c>
      <c r="O605" t="s">
        <v>61</v>
      </c>
      <c r="P605">
        <v>100</v>
      </c>
      <c r="Q605" t="s">
        <v>52</v>
      </c>
      <c r="R605" t="s">
        <v>52</v>
      </c>
      <c r="S605" t="s">
        <v>52</v>
      </c>
      <c r="T605" t="s">
        <v>52</v>
      </c>
      <c r="U605" t="s">
        <v>52</v>
      </c>
      <c r="V605" t="s">
        <v>62</v>
      </c>
      <c r="W605" t="s">
        <v>52</v>
      </c>
      <c r="Y605" t="s">
        <v>2372</v>
      </c>
      <c r="Z605" t="s">
        <v>62</v>
      </c>
      <c r="AB605" t="s">
        <v>2373</v>
      </c>
      <c r="AE605" t="s">
        <v>2374</v>
      </c>
      <c r="AF605" t="s">
        <v>52</v>
      </c>
      <c r="AH605">
        <v>0</v>
      </c>
      <c r="AI605">
        <v>0</v>
      </c>
      <c r="AJ605" t="s">
        <v>52</v>
      </c>
      <c r="AK605">
        <v>0</v>
      </c>
      <c r="AL605" t="s">
        <v>52</v>
      </c>
      <c r="AM605" t="s">
        <v>52</v>
      </c>
      <c r="AN605">
        <v>0</v>
      </c>
      <c r="AO605">
        <v>0</v>
      </c>
      <c r="AP605" t="s">
        <v>52</v>
      </c>
      <c r="AQ605" t="s">
        <v>52</v>
      </c>
      <c r="AR605" t="s">
        <v>62</v>
      </c>
      <c r="AS605" t="s">
        <v>52</v>
      </c>
      <c r="AT605" t="s">
        <v>74</v>
      </c>
      <c r="AU605" t="s">
        <v>64</v>
      </c>
      <c r="AV605" t="s">
        <v>62</v>
      </c>
      <c r="AW605" t="s">
        <v>65</v>
      </c>
      <c r="AX605" t="s">
        <v>66</v>
      </c>
      <c r="AY605" t="s">
        <v>67</v>
      </c>
    </row>
    <row r="606" spans="1:51" hidden="1" x14ac:dyDescent="0.25">
      <c r="A606">
        <v>202806</v>
      </c>
      <c r="B606" t="s">
        <v>2375</v>
      </c>
      <c r="C606" t="str">
        <f>VLOOKUP(A606,[1]Customer_payment_journal_line!$AL:$BO,30,0)</f>
        <v>CPay-000000050</v>
      </c>
      <c r="D606" t="s">
        <v>53</v>
      </c>
      <c r="E606" t="s">
        <v>2376</v>
      </c>
      <c r="F606" t="s">
        <v>2377</v>
      </c>
      <c r="G606" t="s">
        <v>2356</v>
      </c>
      <c r="H606" t="s">
        <v>57</v>
      </c>
      <c r="I606" t="s">
        <v>95</v>
      </c>
      <c r="J606" t="s">
        <v>2378</v>
      </c>
      <c r="K606" t="s">
        <v>2379</v>
      </c>
      <c r="L606">
        <f>VLOOKUP(A606,[1]Customer_payment_journal_line!$B:$L,11,0)</f>
        <v>597.82000000000005</v>
      </c>
      <c r="M606" s="1">
        <v>597.82000000000005</v>
      </c>
      <c r="N606" s="2">
        <f>L606-M606</f>
        <v>0</v>
      </c>
      <c r="O606" t="s">
        <v>61</v>
      </c>
      <c r="P606">
        <v>100</v>
      </c>
      <c r="Q606" t="s">
        <v>52</v>
      </c>
      <c r="R606" t="s">
        <v>52</v>
      </c>
      <c r="S606" t="s">
        <v>52</v>
      </c>
      <c r="T606" t="s">
        <v>52</v>
      </c>
      <c r="U606" t="s">
        <v>52</v>
      </c>
      <c r="V606" t="s">
        <v>62</v>
      </c>
      <c r="W606" t="s">
        <v>63</v>
      </c>
      <c r="Y606" t="s">
        <v>52</v>
      </c>
      <c r="AB606" t="s">
        <v>52</v>
      </c>
      <c r="AE606" t="s">
        <v>52</v>
      </c>
      <c r="AF606" t="s">
        <v>52</v>
      </c>
      <c r="AH606">
        <v>0</v>
      </c>
      <c r="AI606">
        <v>0</v>
      </c>
      <c r="AJ606" t="s">
        <v>52</v>
      </c>
      <c r="AK606">
        <v>0</v>
      </c>
      <c r="AL606" t="s">
        <v>52</v>
      </c>
      <c r="AM606" t="s">
        <v>52</v>
      </c>
      <c r="AN606">
        <v>0</v>
      </c>
      <c r="AO606">
        <v>0</v>
      </c>
      <c r="AP606" t="s">
        <v>52</v>
      </c>
      <c r="AQ606" t="s">
        <v>52</v>
      </c>
      <c r="AR606" t="s">
        <v>62</v>
      </c>
      <c r="AS606" t="s">
        <v>52</v>
      </c>
      <c r="AT606" t="s">
        <v>52</v>
      </c>
      <c r="AU606" t="s">
        <v>64</v>
      </c>
      <c r="AV606" t="s">
        <v>62</v>
      </c>
      <c r="AW606" t="s">
        <v>65</v>
      </c>
      <c r="AX606" t="s">
        <v>66</v>
      </c>
      <c r="AY606" t="s">
        <v>67</v>
      </c>
    </row>
    <row r="607" spans="1:51" hidden="1" x14ac:dyDescent="0.25">
      <c r="A607">
        <v>202806</v>
      </c>
      <c r="B607" t="s">
        <v>2380</v>
      </c>
      <c r="C607" t="str">
        <f>VLOOKUP(A607,[1]Customer_payment_journal_line!$AL:$BO,30,0)</f>
        <v>CPay-000000050</v>
      </c>
      <c r="D607" t="s">
        <v>53</v>
      </c>
      <c r="E607" t="s">
        <v>2376</v>
      </c>
      <c r="F607" t="s">
        <v>2377</v>
      </c>
      <c r="G607" t="s">
        <v>2356</v>
      </c>
      <c r="H607" t="s">
        <v>69</v>
      </c>
      <c r="I607" t="s">
        <v>2371</v>
      </c>
      <c r="J607" t="s">
        <v>2378</v>
      </c>
      <c r="K607" t="s">
        <v>2379</v>
      </c>
      <c r="L607">
        <f>VLOOKUP(A607,[1]Customer_payment_journal_line!$B:$L,11,0)</f>
        <v>597.82000000000005</v>
      </c>
      <c r="M607" s="1">
        <v>0</v>
      </c>
      <c r="N607">
        <v>597.82000000000005</v>
      </c>
      <c r="O607" t="s">
        <v>61</v>
      </c>
      <c r="P607">
        <v>100</v>
      </c>
      <c r="Q607" t="s">
        <v>52</v>
      </c>
      <c r="R607" t="s">
        <v>52</v>
      </c>
      <c r="S607" t="s">
        <v>52</v>
      </c>
      <c r="T607" t="s">
        <v>52</v>
      </c>
      <c r="U607" t="s">
        <v>52</v>
      </c>
      <c r="V607" t="s">
        <v>62</v>
      </c>
      <c r="W607" t="s">
        <v>52</v>
      </c>
      <c r="Y607" t="s">
        <v>2372</v>
      </c>
      <c r="Z607" t="s">
        <v>62</v>
      </c>
      <c r="AB607" t="s">
        <v>2381</v>
      </c>
      <c r="AE607" t="s">
        <v>2382</v>
      </c>
      <c r="AF607" t="s">
        <v>52</v>
      </c>
      <c r="AH607">
        <v>0</v>
      </c>
      <c r="AI607">
        <v>0</v>
      </c>
      <c r="AJ607" t="s">
        <v>52</v>
      </c>
      <c r="AK607">
        <v>0</v>
      </c>
      <c r="AL607" t="s">
        <v>52</v>
      </c>
      <c r="AM607" t="s">
        <v>52</v>
      </c>
      <c r="AN607">
        <v>0</v>
      </c>
      <c r="AO607">
        <v>0</v>
      </c>
      <c r="AP607" t="s">
        <v>52</v>
      </c>
      <c r="AQ607" t="s">
        <v>52</v>
      </c>
      <c r="AR607" t="s">
        <v>62</v>
      </c>
      <c r="AS607" t="s">
        <v>52</v>
      </c>
      <c r="AT607" t="s">
        <v>74</v>
      </c>
      <c r="AU607" t="s">
        <v>64</v>
      </c>
      <c r="AV607" t="s">
        <v>62</v>
      </c>
      <c r="AW607" t="s">
        <v>65</v>
      </c>
      <c r="AX607" t="s">
        <v>66</v>
      </c>
      <c r="AY607" t="s">
        <v>67</v>
      </c>
    </row>
    <row r="608" spans="1:51" hidden="1" x14ac:dyDescent="0.25">
      <c r="A608">
        <v>202811</v>
      </c>
      <c r="B608" t="s">
        <v>2383</v>
      </c>
      <c r="C608" t="str">
        <f>VLOOKUP(A608,[1]Customer_payment_journal_line!$AL:$BO,30,0)</f>
        <v>CPay-000000051</v>
      </c>
      <c r="D608" t="s">
        <v>53</v>
      </c>
      <c r="E608" t="s">
        <v>2384</v>
      </c>
      <c r="F608" t="s">
        <v>2385</v>
      </c>
      <c r="G608" t="s">
        <v>2356</v>
      </c>
      <c r="H608" t="s">
        <v>57</v>
      </c>
      <c r="I608" t="s">
        <v>95</v>
      </c>
      <c r="J608" t="s">
        <v>1082</v>
      </c>
      <c r="K608" t="s">
        <v>2386</v>
      </c>
      <c r="L608">
        <f>VLOOKUP(A608,[1]Customer_payment_journal_line!$B:$L,11,0)</f>
        <v>2502.3000000000002</v>
      </c>
      <c r="M608" s="1">
        <v>2502.3000000000002</v>
      </c>
      <c r="N608" s="2">
        <f>L608-M608</f>
        <v>0</v>
      </c>
      <c r="O608" t="s">
        <v>61</v>
      </c>
      <c r="P608">
        <v>100</v>
      </c>
      <c r="Q608" t="s">
        <v>52</v>
      </c>
      <c r="R608" t="s">
        <v>52</v>
      </c>
      <c r="S608" t="s">
        <v>52</v>
      </c>
      <c r="T608" t="s">
        <v>52</v>
      </c>
      <c r="U608" t="s">
        <v>52</v>
      </c>
      <c r="V608" t="s">
        <v>62</v>
      </c>
      <c r="W608" t="s">
        <v>63</v>
      </c>
      <c r="Y608" t="s">
        <v>52</v>
      </c>
      <c r="AB608" t="s">
        <v>52</v>
      </c>
      <c r="AE608" t="s">
        <v>52</v>
      </c>
      <c r="AF608" t="s">
        <v>52</v>
      </c>
      <c r="AH608">
        <v>0</v>
      </c>
      <c r="AI608">
        <v>0</v>
      </c>
      <c r="AJ608" t="s">
        <v>52</v>
      </c>
      <c r="AK608">
        <v>0</v>
      </c>
      <c r="AL608" t="s">
        <v>52</v>
      </c>
      <c r="AM608" t="s">
        <v>52</v>
      </c>
      <c r="AN608">
        <v>0</v>
      </c>
      <c r="AO608">
        <v>0</v>
      </c>
      <c r="AP608" t="s">
        <v>52</v>
      </c>
      <c r="AQ608" t="s">
        <v>52</v>
      </c>
      <c r="AR608" t="s">
        <v>62</v>
      </c>
      <c r="AS608" t="s">
        <v>52</v>
      </c>
      <c r="AT608" t="s">
        <v>52</v>
      </c>
      <c r="AU608" t="s">
        <v>64</v>
      </c>
      <c r="AV608" t="s">
        <v>62</v>
      </c>
      <c r="AW608" t="s">
        <v>65</v>
      </c>
      <c r="AX608" t="s">
        <v>66</v>
      </c>
      <c r="AY608" t="s">
        <v>67</v>
      </c>
    </row>
    <row r="609" spans="1:51" hidden="1" x14ac:dyDescent="0.25">
      <c r="A609">
        <v>202811</v>
      </c>
      <c r="B609" t="s">
        <v>2387</v>
      </c>
      <c r="C609" t="str">
        <f>VLOOKUP(A609,[1]Customer_payment_journal_line!$AL:$BO,30,0)</f>
        <v>CPay-000000051</v>
      </c>
      <c r="D609" t="s">
        <v>53</v>
      </c>
      <c r="E609" t="s">
        <v>2384</v>
      </c>
      <c r="F609" t="s">
        <v>2385</v>
      </c>
      <c r="G609" t="s">
        <v>2356</v>
      </c>
      <c r="H609" t="s">
        <v>69</v>
      </c>
      <c r="I609" t="s">
        <v>1085</v>
      </c>
      <c r="J609" t="s">
        <v>1082</v>
      </c>
      <c r="K609" t="s">
        <v>2386</v>
      </c>
      <c r="L609">
        <f>VLOOKUP(A609,[1]Customer_payment_journal_line!$B:$L,11,0)</f>
        <v>2502.3000000000002</v>
      </c>
      <c r="M609" s="1">
        <v>0</v>
      </c>
      <c r="N609">
        <v>2502.3000000000002</v>
      </c>
      <c r="O609" t="s">
        <v>61</v>
      </c>
      <c r="P609">
        <v>100</v>
      </c>
      <c r="Q609" t="s">
        <v>52</v>
      </c>
      <c r="R609" t="s">
        <v>52</v>
      </c>
      <c r="S609" t="s">
        <v>52</v>
      </c>
      <c r="T609" t="s">
        <v>52</v>
      </c>
      <c r="U609" t="s">
        <v>52</v>
      </c>
      <c r="V609" t="s">
        <v>62</v>
      </c>
      <c r="W609" t="s">
        <v>52</v>
      </c>
      <c r="Y609" t="s">
        <v>1086</v>
      </c>
      <c r="Z609" t="s">
        <v>62</v>
      </c>
      <c r="AB609" t="s">
        <v>2388</v>
      </c>
      <c r="AE609" t="s">
        <v>2389</v>
      </c>
      <c r="AF609" t="s">
        <v>52</v>
      </c>
      <c r="AH609">
        <v>0</v>
      </c>
      <c r="AI609">
        <v>0</v>
      </c>
      <c r="AJ609" t="s">
        <v>52</v>
      </c>
      <c r="AK609">
        <v>0</v>
      </c>
      <c r="AL609" t="s">
        <v>52</v>
      </c>
      <c r="AM609" t="s">
        <v>52</v>
      </c>
      <c r="AN609">
        <v>0</v>
      </c>
      <c r="AO609">
        <v>0</v>
      </c>
      <c r="AP609" t="s">
        <v>52</v>
      </c>
      <c r="AQ609" t="s">
        <v>52</v>
      </c>
      <c r="AR609" t="s">
        <v>62</v>
      </c>
      <c r="AS609" t="s">
        <v>52</v>
      </c>
      <c r="AT609" t="s">
        <v>74</v>
      </c>
      <c r="AU609" t="s">
        <v>64</v>
      </c>
      <c r="AV609" t="s">
        <v>62</v>
      </c>
      <c r="AW609" t="s">
        <v>65</v>
      </c>
      <c r="AX609" t="s">
        <v>66</v>
      </c>
      <c r="AY609" t="s">
        <v>67</v>
      </c>
    </row>
    <row r="610" spans="1:51" hidden="1" x14ac:dyDescent="0.25">
      <c r="A610">
        <v>202812</v>
      </c>
      <c r="B610" t="s">
        <v>2390</v>
      </c>
      <c r="C610" t="str">
        <f>VLOOKUP(A610,[1]Customer_payment_journal_line!$AL:$BO,30,0)</f>
        <v>CPay-000000052</v>
      </c>
      <c r="D610" t="s">
        <v>53</v>
      </c>
      <c r="E610" t="s">
        <v>2391</v>
      </c>
      <c r="F610" t="s">
        <v>2392</v>
      </c>
      <c r="G610" t="s">
        <v>2356</v>
      </c>
      <c r="H610" t="s">
        <v>57</v>
      </c>
      <c r="I610" t="s">
        <v>95</v>
      </c>
      <c r="J610" t="s">
        <v>1082</v>
      </c>
      <c r="K610" t="s">
        <v>2386</v>
      </c>
      <c r="L610">
        <f>VLOOKUP(A610,[1]Customer_payment_journal_line!$B:$L,11,0)</f>
        <v>1653</v>
      </c>
      <c r="M610" s="1">
        <v>1653</v>
      </c>
      <c r="N610" s="2">
        <f>L610-M610</f>
        <v>0</v>
      </c>
      <c r="O610" t="s">
        <v>61</v>
      </c>
      <c r="P610">
        <v>100</v>
      </c>
      <c r="Q610" t="s">
        <v>52</v>
      </c>
      <c r="R610" t="s">
        <v>52</v>
      </c>
      <c r="S610" t="s">
        <v>52</v>
      </c>
      <c r="T610" t="s">
        <v>52</v>
      </c>
      <c r="U610" t="s">
        <v>52</v>
      </c>
      <c r="V610" t="s">
        <v>62</v>
      </c>
      <c r="W610" t="s">
        <v>63</v>
      </c>
      <c r="Y610" t="s">
        <v>52</v>
      </c>
      <c r="AB610" t="s">
        <v>52</v>
      </c>
      <c r="AE610" t="s">
        <v>52</v>
      </c>
      <c r="AF610" t="s">
        <v>52</v>
      </c>
      <c r="AH610">
        <v>0</v>
      </c>
      <c r="AI610">
        <v>0</v>
      </c>
      <c r="AJ610" t="s">
        <v>52</v>
      </c>
      <c r="AK610">
        <v>0</v>
      </c>
      <c r="AL610" t="s">
        <v>52</v>
      </c>
      <c r="AM610" t="s">
        <v>52</v>
      </c>
      <c r="AN610">
        <v>0</v>
      </c>
      <c r="AO610">
        <v>0</v>
      </c>
      <c r="AP610" t="s">
        <v>52</v>
      </c>
      <c r="AQ610" t="s">
        <v>52</v>
      </c>
      <c r="AR610" t="s">
        <v>62</v>
      </c>
      <c r="AS610" t="s">
        <v>52</v>
      </c>
      <c r="AT610" t="s">
        <v>52</v>
      </c>
      <c r="AU610" t="s">
        <v>64</v>
      </c>
      <c r="AV610" t="s">
        <v>62</v>
      </c>
      <c r="AW610" t="s">
        <v>65</v>
      </c>
      <c r="AX610" t="s">
        <v>66</v>
      </c>
      <c r="AY610" t="s">
        <v>67</v>
      </c>
    </row>
    <row r="611" spans="1:51" hidden="1" x14ac:dyDescent="0.25">
      <c r="A611">
        <v>202812</v>
      </c>
      <c r="B611" t="s">
        <v>2393</v>
      </c>
      <c r="C611" t="str">
        <f>VLOOKUP(A611,[1]Customer_payment_journal_line!$AL:$BO,30,0)</f>
        <v>CPay-000000052</v>
      </c>
      <c r="D611" t="s">
        <v>53</v>
      </c>
      <c r="E611" t="s">
        <v>2391</v>
      </c>
      <c r="F611" t="s">
        <v>2392</v>
      </c>
      <c r="G611" t="s">
        <v>2356</v>
      </c>
      <c r="H611" t="s">
        <v>69</v>
      </c>
      <c r="I611" t="s">
        <v>1085</v>
      </c>
      <c r="J611" t="s">
        <v>1082</v>
      </c>
      <c r="K611" t="s">
        <v>2386</v>
      </c>
      <c r="L611">
        <f>VLOOKUP(A611,[1]Customer_payment_journal_line!$B:$L,11,0)</f>
        <v>1653</v>
      </c>
      <c r="M611" s="1">
        <v>0</v>
      </c>
      <c r="N611">
        <v>1653</v>
      </c>
      <c r="O611" t="s">
        <v>61</v>
      </c>
      <c r="P611">
        <v>100</v>
      </c>
      <c r="Q611" t="s">
        <v>52</v>
      </c>
      <c r="R611" t="s">
        <v>52</v>
      </c>
      <c r="S611" t="s">
        <v>52</v>
      </c>
      <c r="T611" t="s">
        <v>52</v>
      </c>
      <c r="U611" t="s">
        <v>52</v>
      </c>
      <c r="V611" t="s">
        <v>62</v>
      </c>
      <c r="W611" t="s">
        <v>52</v>
      </c>
      <c r="Y611" t="s">
        <v>1086</v>
      </c>
      <c r="Z611" t="s">
        <v>62</v>
      </c>
      <c r="AB611" t="s">
        <v>2394</v>
      </c>
      <c r="AE611" t="s">
        <v>2395</v>
      </c>
      <c r="AF611" t="s">
        <v>52</v>
      </c>
      <c r="AH611">
        <v>0</v>
      </c>
      <c r="AI611">
        <v>0</v>
      </c>
      <c r="AJ611" t="s">
        <v>52</v>
      </c>
      <c r="AK611">
        <v>0</v>
      </c>
      <c r="AL611" t="s">
        <v>52</v>
      </c>
      <c r="AM611" t="s">
        <v>52</v>
      </c>
      <c r="AN611">
        <v>0</v>
      </c>
      <c r="AO611">
        <v>0</v>
      </c>
      <c r="AP611" t="s">
        <v>52</v>
      </c>
      <c r="AQ611" t="s">
        <v>52</v>
      </c>
      <c r="AR611" t="s">
        <v>62</v>
      </c>
      <c r="AS611" t="s">
        <v>52</v>
      </c>
      <c r="AT611" t="s">
        <v>74</v>
      </c>
      <c r="AU611" t="s">
        <v>64</v>
      </c>
      <c r="AV611" t="s">
        <v>62</v>
      </c>
      <c r="AW611" t="s">
        <v>65</v>
      </c>
      <c r="AX611" t="s">
        <v>66</v>
      </c>
      <c r="AY611" t="s">
        <v>67</v>
      </c>
    </row>
    <row r="612" spans="1:51" hidden="1" x14ac:dyDescent="0.25">
      <c r="A612">
        <v>202817</v>
      </c>
      <c r="B612" t="s">
        <v>2396</v>
      </c>
      <c r="C612" t="e">
        <f>VLOOKUP(A612,[1]Customer_payment_journal_line!$AL:$BO,30,0)</f>
        <v>#N/A</v>
      </c>
      <c r="D612" t="s">
        <v>76</v>
      </c>
      <c r="E612" t="s">
        <v>2397</v>
      </c>
      <c r="F612" t="s">
        <v>2398</v>
      </c>
      <c r="G612" t="s">
        <v>2356</v>
      </c>
      <c r="H612" t="s">
        <v>80</v>
      </c>
      <c r="I612" t="s">
        <v>81</v>
      </c>
      <c r="J612" t="s">
        <v>2399</v>
      </c>
      <c r="K612" t="s">
        <v>203</v>
      </c>
      <c r="L612" t="s">
        <v>52</v>
      </c>
      <c r="M612">
        <v>2770.2</v>
      </c>
      <c r="N612">
        <v>0</v>
      </c>
      <c r="O612" t="s">
        <v>61</v>
      </c>
      <c r="P612">
        <v>100</v>
      </c>
      <c r="Q612" t="s">
        <v>52</v>
      </c>
      <c r="R612" t="s">
        <v>52</v>
      </c>
      <c r="S612" t="s">
        <v>52</v>
      </c>
      <c r="T612" t="s">
        <v>52</v>
      </c>
      <c r="U612" t="s">
        <v>52</v>
      </c>
      <c r="V612" t="s">
        <v>62</v>
      </c>
      <c r="W612" t="s">
        <v>52</v>
      </c>
      <c r="Y612" t="s">
        <v>52</v>
      </c>
      <c r="AB612" t="s">
        <v>52</v>
      </c>
      <c r="AE612" t="s">
        <v>52</v>
      </c>
      <c r="AF612" t="s">
        <v>52</v>
      </c>
      <c r="AH612">
        <v>0</v>
      </c>
      <c r="AI612">
        <v>0</v>
      </c>
      <c r="AJ612" t="s">
        <v>52</v>
      </c>
      <c r="AK612">
        <v>0</v>
      </c>
      <c r="AL612" t="s">
        <v>52</v>
      </c>
      <c r="AM612" t="s">
        <v>52</v>
      </c>
      <c r="AN612">
        <v>0</v>
      </c>
      <c r="AO612">
        <v>0</v>
      </c>
      <c r="AP612" t="s">
        <v>52</v>
      </c>
      <c r="AQ612" t="s">
        <v>52</v>
      </c>
      <c r="AR612" t="s">
        <v>62</v>
      </c>
      <c r="AS612" t="s">
        <v>52</v>
      </c>
      <c r="AT612" t="s">
        <v>52</v>
      </c>
      <c r="AU612" t="s">
        <v>64</v>
      </c>
      <c r="AV612" t="s">
        <v>62</v>
      </c>
      <c r="AW612" t="s">
        <v>65</v>
      </c>
      <c r="AX612" t="s">
        <v>66</v>
      </c>
      <c r="AY612" t="s">
        <v>76</v>
      </c>
    </row>
    <row r="613" spans="1:51" hidden="1" x14ac:dyDescent="0.25">
      <c r="A613">
        <v>202817</v>
      </c>
      <c r="B613" t="s">
        <v>2400</v>
      </c>
      <c r="C613" t="e">
        <f>VLOOKUP(A613,[1]Customer_payment_journal_line!$AL:$BO,30,0)</f>
        <v>#N/A</v>
      </c>
      <c r="D613" t="s">
        <v>76</v>
      </c>
      <c r="E613" t="s">
        <v>2397</v>
      </c>
      <c r="F613" t="s">
        <v>2398</v>
      </c>
      <c r="G613" t="s">
        <v>2356</v>
      </c>
      <c r="H613" t="s">
        <v>69</v>
      </c>
      <c r="I613" t="s">
        <v>206</v>
      </c>
      <c r="J613" t="s">
        <v>2399</v>
      </c>
      <c r="K613" t="s">
        <v>203</v>
      </c>
      <c r="L613" t="s">
        <v>52</v>
      </c>
      <c r="M613">
        <v>0</v>
      </c>
      <c r="N613">
        <v>2770.2</v>
      </c>
      <c r="O613" t="s">
        <v>61</v>
      </c>
      <c r="P613">
        <v>100</v>
      </c>
      <c r="Q613" t="s">
        <v>52</v>
      </c>
      <c r="R613" t="s">
        <v>52</v>
      </c>
      <c r="S613" t="s">
        <v>52</v>
      </c>
      <c r="T613" t="s">
        <v>52</v>
      </c>
      <c r="U613" t="s">
        <v>52</v>
      </c>
      <c r="V613" t="s">
        <v>62</v>
      </c>
      <c r="W613" t="s">
        <v>52</v>
      </c>
      <c r="Y613" t="s">
        <v>208</v>
      </c>
      <c r="Z613" t="s">
        <v>62</v>
      </c>
      <c r="AB613" t="s">
        <v>2401</v>
      </c>
      <c r="AE613" t="s">
        <v>2402</v>
      </c>
      <c r="AF613" t="s">
        <v>52</v>
      </c>
      <c r="AH613">
        <v>0</v>
      </c>
      <c r="AI613">
        <v>0</v>
      </c>
      <c r="AJ613" t="s">
        <v>52</v>
      </c>
      <c r="AK613">
        <v>0</v>
      </c>
      <c r="AL613" t="s">
        <v>52</v>
      </c>
      <c r="AM613" t="s">
        <v>52</v>
      </c>
      <c r="AN613">
        <v>0</v>
      </c>
      <c r="AO613">
        <v>0</v>
      </c>
      <c r="AP613" t="s">
        <v>52</v>
      </c>
      <c r="AQ613" t="s">
        <v>52</v>
      </c>
      <c r="AR613" t="s">
        <v>62</v>
      </c>
      <c r="AS613" t="s">
        <v>52</v>
      </c>
      <c r="AT613" t="s">
        <v>74</v>
      </c>
      <c r="AU613" t="s">
        <v>64</v>
      </c>
      <c r="AV613" t="s">
        <v>62</v>
      </c>
      <c r="AW613" t="s">
        <v>65</v>
      </c>
      <c r="AX613" t="s">
        <v>66</v>
      </c>
      <c r="AY613" t="s">
        <v>76</v>
      </c>
    </row>
    <row r="614" spans="1:51" hidden="1" x14ac:dyDescent="0.25">
      <c r="A614">
        <v>405981</v>
      </c>
      <c r="B614" t="s">
        <v>2403</v>
      </c>
      <c r="C614" t="e">
        <f>VLOOKUP(A614,[1]Customer_payment_journal_line!$AL:$BO,30,0)</f>
        <v>#N/A</v>
      </c>
      <c r="D614" t="s">
        <v>76</v>
      </c>
      <c r="E614" t="s">
        <v>2404</v>
      </c>
      <c r="F614" t="s">
        <v>2405</v>
      </c>
      <c r="G614" t="s">
        <v>2356</v>
      </c>
      <c r="H614" t="s">
        <v>80</v>
      </c>
      <c r="I614" t="s">
        <v>81</v>
      </c>
      <c r="J614" t="s">
        <v>2406</v>
      </c>
      <c r="K614" t="s">
        <v>2407</v>
      </c>
      <c r="L614" t="s">
        <v>52</v>
      </c>
      <c r="M614">
        <v>3592.14</v>
      </c>
      <c r="N614">
        <v>0</v>
      </c>
      <c r="O614" t="s">
        <v>61</v>
      </c>
      <c r="P614">
        <v>100</v>
      </c>
      <c r="Q614" t="s">
        <v>52</v>
      </c>
      <c r="R614" t="s">
        <v>52</v>
      </c>
      <c r="S614" t="s">
        <v>52</v>
      </c>
      <c r="T614" t="s">
        <v>52</v>
      </c>
      <c r="U614" t="s">
        <v>52</v>
      </c>
      <c r="V614" t="s">
        <v>62</v>
      </c>
      <c r="W614" t="s">
        <v>52</v>
      </c>
      <c r="Y614" t="s">
        <v>52</v>
      </c>
      <c r="AB614" t="s">
        <v>52</v>
      </c>
      <c r="AE614" t="s">
        <v>52</v>
      </c>
      <c r="AF614" t="s">
        <v>52</v>
      </c>
      <c r="AH614">
        <v>0</v>
      </c>
      <c r="AI614">
        <v>0</v>
      </c>
      <c r="AJ614" t="s">
        <v>52</v>
      </c>
      <c r="AK614">
        <v>0</v>
      </c>
      <c r="AL614" t="s">
        <v>52</v>
      </c>
      <c r="AM614" t="s">
        <v>52</v>
      </c>
      <c r="AN614">
        <v>0</v>
      </c>
      <c r="AO614">
        <v>0</v>
      </c>
      <c r="AP614" t="s">
        <v>52</v>
      </c>
      <c r="AQ614" t="s">
        <v>52</v>
      </c>
      <c r="AR614" t="s">
        <v>62</v>
      </c>
      <c r="AS614" t="s">
        <v>52</v>
      </c>
      <c r="AT614" t="s">
        <v>52</v>
      </c>
      <c r="AU614" t="s">
        <v>64</v>
      </c>
      <c r="AV614" t="s">
        <v>62</v>
      </c>
      <c r="AW614" t="s">
        <v>65</v>
      </c>
      <c r="AX614" t="s">
        <v>66</v>
      </c>
      <c r="AY614" t="s">
        <v>76</v>
      </c>
    </row>
    <row r="615" spans="1:51" hidden="1" x14ac:dyDescent="0.25">
      <c r="A615">
        <v>405981</v>
      </c>
      <c r="B615" t="s">
        <v>2408</v>
      </c>
      <c r="C615" t="e">
        <f>VLOOKUP(A615,[1]Customer_payment_journal_line!$AL:$BO,30,0)</f>
        <v>#N/A</v>
      </c>
      <c r="D615" t="s">
        <v>76</v>
      </c>
      <c r="E615" t="s">
        <v>2404</v>
      </c>
      <c r="F615" t="s">
        <v>2405</v>
      </c>
      <c r="G615" t="s">
        <v>2356</v>
      </c>
      <c r="H615" t="s">
        <v>69</v>
      </c>
      <c r="I615" t="s">
        <v>2409</v>
      </c>
      <c r="J615" t="s">
        <v>2406</v>
      </c>
      <c r="K615" t="s">
        <v>2407</v>
      </c>
      <c r="L615" t="s">
        <v>52</v>
      </c>
      <c r="M615">
        <v>0</v>
      </c>
      <c r="N615">
        <v>856.14</v>
      </c>
      <c r="O615" t="s">
        <v>61</v>
      </c>
      <c r="P615">
        <v>100</v>
      </c>
      <c r="Q615" t="s">
        <v>52</v>
      </c>
      <c r="R615" t="s">
        <v>52</v>
      </c>
      <c r="S615" t="s">
        <v>52</v>
      </c>
      <c r="T615" t="s">
        <v>52</v>
      </c>
      <c r="U615" t="s">
        <v>52</v>
      </c>
      <c r="V615" t="s">
        <v>62</v>
      </c>
      <c r="W615" t="s">
        <v>52</v>
      </c>
      <c r="Y615" t="s">
        <v>2410</v>
      </c>
      <c r="Z615" t="s">
        <v>62</v>
      </c>
      <c r="AB615" t="s">
        <v>2411</v>
      </c>
      <c r="AE615" t="s">
        <v>2412</v>
      </c>
      <c r="AF615" t="s">
        <v>52</v>
      </c>
      <c r="AH615">
        <v>0</v>
      </c>
      <c r="AI615">
        <v>0</v>
      </c>
      <c r="AJ615" t="s">
        <v>52</v>
      </c>
      <c r="AK615">
        <v>0</v>
      </c>
      <c r="AL615" t="s">
        <v>52</v>
      </c>
      <c r="AM615" t="s">
        <v>52</v>
      </c>
      <c r="AN615">
        <v>0</v>
      </c>
      <c r="AO615">
        <v>0</v>
      </c>
      <c r="AP615" t="s">
        <v>52</v>
      </c>
      <c r="AQ615" t="s">
        <v>52</v>
      </c>
      <c r="AR615" t="s">
        <v>62</v>
      </c>
      <c r="AS615" t="s">
        <v>52</v>
      </c>
      <c r="AT615" t="s">
        <v>74</v>
      </c>
      <c r="AU615" t="s">
        <v>64</v>
      </c>
      <c r="AV615" t="s">
        <v>62</v>
      </c>
      <c r="AW615" t="s">
        <v>65</v>
      </c>
      <c r="AX615" t="s">
        <v>66</v>
      </c>
      <c r="AY615" t="s">
        <v>76</v>
      </c>
    </row>
    <row r="616" spans="1:51" hidden="1" x14ac:dyDescent="0.25">
      <c r="A616">
        <v>405981</v>
      </c>
      <c r="B616" t="s">
        <v>2413</v>
      </c>
      <c r="C616" t="e">
        <f>VLOOKUP(A616,[1]Customer_payment_journal_line!$AL:$BO,30,0)</f>
        <v>#N/A</v>
      </c>
      <c r="D616" t="s">
        <v>76</v>
      </c>
      <c r="E616" t="s">
        <v>2404</v>
      </c>
      <c r="F616" t="s">
        <v>2405</v>
      </c>
      <c r="G616" t="s">
        <v>2356</v>
      </c>
      <c r="H616" t="s">
        <v>69</v>
      </c>
      <c r="I616" t="s">
        <v>2409</v>
      </c>
      <c r="J616" t="s">
        <v>2406</v>
      </c>
      <c r="K616" t="s">
        <v>2407</v>
      </c>
      <c r="L616" t="s">
        <v>52</v>
      </c>
      <c r="M616">
        <v>0</v>
      </c>
      <c r="N616">
        <v>2736</v>
      </c>
      <c r="O616" t="s">
        <v>61</v>
      </c>
      <c r="P616">
        <v>100</v>
      </c>
      <c r="Q616" t="s">
        <v>52</v>
      </c>
      <c r="R616" t="s">
        <v>52</v>
      </c>
      <c r="S616" t="s">
        <v>52</v>
      </c>
      <c r="T616" t="s">
        <v>52</v>
      </c>
      <c r="U616" t="s">
        <v>52</v>
      </c>
      <c r="V616" t="s">
        <v>62</v>
      </c>
      <c r="W616" t="s">
        <v>52</v>
      </c>
      <c r="Y616" t="s">
        <v>2410</v>
      </c>
      <c r="Z616" t="s">
        <v>62</v>
      </c>
      <c r="AB616" t="s">
        <v>2414</v>
      </c>
      <c r="AE616" t="s">
        <v>2415</v>
      </c>
      <c r="AF616" t="s">
        <v>52</v>
      </c>
      <c r="AH616">
        <v>0</v>
      </c>
      <c r="AI616">
        <v>0</v>
      </c>
      <c r="AJ616" t="s">
        <v>52</v>
      </c>
      <c r="AK616">
        <v>0</v>
      </c>
      <c r="AL616" t="s">
        <v>52</v>
      </c>
      <c r="AM616" t="s">
        <v>52</v>
      </c>
      <c r="AN616">
        <v>0</v>
      </c>
      <c r="AO616">
        <v>0</v>
      </c>
      <c r="AP616" t="s">
        <v>52</v>
      </c>
      <c r="AQ616" t="s">
        <v>52</v>
      </c>
      <c r="AR616" t="s">
        <v>62</v>
      </c>
      <c r="AS616" t="s">
        <v>52</v>
      </c>
      <c r="AT616" t="s">
        <v>74</v>
      </c>
      <c r="AU616" t="s">
        <v>64</v>
      </c>
      <c r="AV616" t="s">
        <v>62</v>
      </c>
      <c r="AW616" t="s">
        <v>65</v>
      </c>
      <c r="AX616" t="s">
        <v>66</v>
      </c>
      <c r="AY616" t="s">
        <v>76</v>
      </c>
    </row>
    <row r="617" spans="1:51" hidden="1" x14ac:dyDescent="0.25">
      <c r="A617">
        <v>405982</v>
      </c>
      <c r="B617" t="s">
        <v>2416</v>
      </c>
      <c r="C617" t="e">
        <f>VLOOKUP(A617,[1]Customer_payment_journal_line!$AL:$BO,30,0)</f>
        <v>#N/A</v>
      </c>
      <c r="D617" t="s">
        <v>76</v>
      </c>
      <c r="E617" t="s">
        <v>2417</v>
      </c>
      <c r="F617" t="s">
        <v>2418</v>
      </c>
      <c r="G617" t="s">
        <v>2356</v>
      </c>
      <c r="H617" t="s">
        <v>80</v>
      </c>
      <c r="I617" t="s">
        <v>81</v>
      </c>
      <c r="J617" t="s">
        <v>2419</v>
      </c>
      <c r="K617" t="s">
        <v>2420</v>
      </c>
      <c r="L617" t="s">
        <v>52</v>
      </c>
      <c r="M617">
        <v>3855</v>
      </c>
      <c r="N617">
        <v>0</v>
      </c>
      <c r="O617" t="s">
        <v>61</v>
      </c>
      <c r="P617">
        <v>100</v>
      </c>
      <c r="Q617" t="s">
        <v>52</v>
      </c>
      <c r="R617" t="s">
        <v>52</v>
      </c>
      <c r="S617" t="s">
        <v>52</v>
      </c>
      <c r="T617" t="s">
        <v>52</v>
      </c>
      <c r="U617" t="s">
        <v>52</v>
      </c>
      <c r="V617" t="s">
        <v>62</v>
      </c>
      <c r="W617" t="s">
        <v>52</v>
      </c>
      <c r="Y617" t="s">
        <v>52</v>
      </c>
      <c r="AB617" t="s">
        <v>52</v>
      </c>
      <c r="AE617" t="s">
        <v>52</v>
      </c>
      <c r="AF617" t="s">
        <v>52</v>
      </c>
      <c r="AH617">
        <v>0</v>
      </c>
      <c r="AI617">
        <v>0</v>
      </c>
      <c r="AJ617" t="s">
        <v>52</v>
      </c>
      <c r="AK617">
        <v>0</v>
      </c>
      <c r="AL617" t="s">
        <v>52</v>
      </c>
      <c r="AM617" t="s">
        <v>52</v>
      </c>
      <c r="AN617">
        <v>0</v>
      </c>
      <c r="AO617">
        <v>0</v>
      </c>
      <c r="AP617" t="s">
        <v>52</v>
      </c>
      <c r="AQ617" t="s">
        <v>52</v>
      </c>
      <c r="AR617" t="s">
        <v>62</v>
      </c>
      <c r="AS617" t="s">
        <v>52</v>
      </c>
      <c r="AT617" t="s">
        <v>52</v>
      </c>
      <c r="AU617" t="s">
        <v>64</v>
      </c>
      <c r="AV617" t="s">
        <v>62</v>
      </c>
      <c r="AW617" t="s">
        <v>65</v>
      </c>
      <c r="AX617" t="s">
        <v>66</v>
      </c>
      <c r="AY617" t="s">
        <v>76</v>
      </c>
    </row>
    <row r="618" spans="1:51" hidden="1" x14ac:dyDescent="0.25">
      <c r="A618">
        <v>405982</v>
      </c>
      <c r="B618" t="s">
        <v>2421</v>
      </c>
      <c r="C618" t="e">
        <f>VLOOKUP(A618,[1]Customer_payment_journal_line!$AL:$BO,30,0)</f>
        <v>#N/A</v>
      </c>
      <c r="D618" t="s">
        <v>76</v>
      </c>
      <c r="E618" t="s">
        <v>2417</v>
      </c>
      <c r="F618" t="s">
        <v>2418</v>
      </c>
      <c r="G618" t="s">
        <v>2356</v>
      </c>
      <c r="H618" t="s">
        <v>69</v>
      </c>
      <c r="I618" t="s">
        <v>2422</v>
      </c>
      <c r="J618" t="s">
        <v>2419</v>
      </c>
      <c r="K618" t="s">
        <v>2420</v>
      </c>
      <c r="L618" t="s">
        <v>52</v>
      </c>
      <c r="M618">
        <v>0</v>
      </c>
      <c r="N618">
        <v>855</v>
      </c>
      <c r="O618" t="s">
        <v>61</v>
      </c>
      <c r="P618">
        <v>100</v>
      </c>
      <c r="Q618" t="s">
        <v>52</v>
      </c>
      <c r="R618" t="s">
        <v>52</v>
      </c>
      <c r="S618" t="s">
        <v>52</v>
      </c>
      <c r="T618" t="s">
        <v>52</v>
      </c>
      <c r="U618" t="s">
        <v>52</v>
      </c>
      <c r="V618" t="s">
        <v>62</v>
      </c>
      <c r="W618" t="s">
        <v>52</v>
      </c>
      <c r="Y618" t="s">
        <v>2423</v>
      </c>
      <c r="Z618" t="s">
        <v>62</v>
      </c>
      <c r="AB618" t="s">
        <v>2424</v>
      </c>
      <c r="AE618" t="s">
        <v>2425</v>
      </c>
      <c r="AF618" t="s">
        <v>52</v>
      </c>
      <c r="AH618">
        <v>0</v>
      </c>
      <c r="AI618">
        <v>0</v>
      </c>
      <c r="AJ618" t="s">
        <v>52</v>
      </c>
      <c r="AK618">
        <v>0</v>
      </c>
      <c r="AL618" t="s">
        <v>52</v>
      </c>
      <c r="AM618" t="s">
        <v>52</v>
      </c>
      <c r="AN618">
        <v>0</v>
      </c>
      <c r="AO618">
        <v>0</v>
      </c>
      <c r="AP618" t="s">
        <v>52</v>
      </c>
      <c r="AQ618" t="s">
        <v>52</v>
      </c>
      <c r="AR618" t="s">
        <v>62</v>
      </c>
      <c r="AS618" t="s">
        <v>52</v>
      </c>
      <c r="AT618" t="s">
        <v>74</v>
      </c>
      <c r="AU618" t="s">
        <v>64</v>
      </c>
      <c r="AV618" t="s">
        <v>62</v>
      </c>
      <c r="AW618" t="s">
        <v>65</v>
      </c>
      <c r="AX618" t="s">
        <v>66</v>
      </c>
      <c r="AY618" t="s">
        <v>76</v>
      </c>
    </row>
    <row r="619" spans="1:51" hidden="1" x14ac:dyDescent="0.25">
      <c r="A619">
        <v>405982</v>
      </c>
      <c r="B619" t="s">
        <v>2426</v>
      </c>
      <c r="C619" t="e">
        <f>VLOOKUP(A619,[1]Customer_payment_journal_line!$AL:$BO,30,0)</f>
        <v>#N/A</v>
      </c>
      <c r="D619" t="s">
        <v>76</v>
      </c>
      <c r="E619" t="s">
        <v>2417</v>
      </c>
      <c r="F619" t="s">
        <v>2418</v>
      </c>
      <c r="G619" t="s">
        <v>2356</v>
      </c>
      <c r="H619" t="s">
        <v>69</v>
      </c>
      <c r="I619" t="s">
        <v>2422</v>
      </c>
      <c r="J619" t="s">
        <v>2419</v>
      </c>
      <c r="K619" t="s">
        <v>2420</v>
      </c>
      <c r="L619" t="s">
        <v>52</v>
      </c>
      <c r="M619">
        <v>0</v>
      </c>
      <c r="N619">
        <v>3000</v>
      </c>
      <c r="O619" t="s">
        <v>61</v>
      </c>
      <c r="P619">
        <v>100</v>
      </c>
      <c r="Q619" t="s">
        <v>52</v>
      </c>
      <c r="R619" t="s">
        <v>52</v>
      </c>
      <c r="S619" t="s">
        <v>52</v>
      </c>
      <c r="T619" t="s">
        <v>52</v>
      </c>
      <c r="U619" t="s">
        <v>52</v>
      </c>
      <c r="V619" t="s">
        <v>62</v>
      </c>
      <c r="W619" t="s">
        <v>52</v>
      </c>
      <c r="Y619" t="s">
        <v>2423</v>
      </c>
      <c r="Z619" t="s">
        <v>62</v>
      </c>
      <c r="AB619" t="s">
        <v>2427</v>
      </c>
      <c r="AE619" t="s">
        <v>2428</v>
      </c>
      <c r="AF619" t="s">
        <v>52</v>
      </c>
      <c r="AH619">
        <v>0</v>
      </c>
      <c r="AI619">
        <v>0</v>
      </c>
      <c r="AJ619" t="s">
        <v>52</v>
      </c>
      <c r="AK619">
        <v>0</v>
      </c>
      <c r="AL619" t="s">
        <v>52</v>
      </c>
      <c r="AM619" t="s">
        <v>52</v>
      </c>
      <c r="AN619">
        <v>0</v>
      </c>
      <c r="AO619">
        <v>0</v>
      </c>
      <c r="AP619" t="s">
        <v>52</v>
      </c>
      <c r="AQ619" t="s">
        <v>52</v>
      </c>
      <c r="AR619" t="s">
        <v>62</v>
      </c>
      <c r="AS619" t="s">
        <v>52</v>
      </c>
      <c r="AT619" t="s">
        <v>74</v>
      </c>
      <c r="AU619" t="s">
        <v>64</v>
      </c>
      <c r="AV619" t="s">
        <v>62</v>
      </c>
      <c r="AW619" t="s">
        <v>65</v>
      </c>
      <c r="AX619" t="s">
        <v>66</v>
      </c>
      <c r="AY619" t="s">
        <v>76</v>
      </c>
    </row>
    <row r="620" spans="1:51" hidden="1" x14ac:dyDescent="0.25">
      <c r="A620">
        <v>317142</v>
      </c>
      <c r="B620" t="s">
        <v>2429</v>
      </c>
      <c r="C620" t="e">
        <f>VLOOKUP(A620,[1]Customer_payment_journal_line!$AL:$BO,30,0)</f>
        <v>#N/A</v>
      </c>
      <c r="D620" t="s">
        <v>53</v>
      </c>
      <c r="E620" t="s">
        <v>2430</v>
      </c>
      <c r="F620" t="s">
        <v>2431</v>
      </c>
      <c r="G620" t="s">
        <v>2356</v>
      </c>
      <c r="H620" t="s">
        <v>201</v>
      </c>
      <c r="I620" t="s">
        <v>58</v>
      </c>
      <c r="J620" t="s">
        <v>202</v>
      </c>
      <c r="K620" t="s">
        <v>2432</v>
      </c>
      <c r="L620" t="s">
        <v>52</v>
      </c>
      <c r="M620">
        <v>570</v>
      </c>
      <c r="N620">
        <v>0</v>
      </c>
      <c r="O620" t="s">
        <v>61</v>
      </c>
      <c r="P620">
        <v>100</v>
      </c>
      <c r="Q620" t="s">
        <v>52</v>
      </c>
      <c r="R620" t="s">
        <v>52</v>
      </c>
      <c r="S620" t="s">
        <v>52</v>
      </c>
      <c r="T620" t="s">
        <v>52</v>
      </c>
      <c r="U620" t="s">
        <v>52</v>
      </c>
      <c r="V620" t="s">
        <v>62</v>
      </c>
      <c r="W620" t="s">
        <v>63</v>
      </c>
      <c r="Y620" t="s">
        <v>52</v>
      </c>
      <c r="AB620" t="s">
        <v>2433</v>
      </c>
      <c r="AE620" t="s">
        <v>2433</v>
      </c>
      <c r="AF620" t="s">
        <v>52</v>
      </c>
      <c r="AH620">
        <v>0</v>
      </c>
      <c r="AI620">
        <v>0</v>
      </c>
      <c r="AJ620" t="s">
        <v>52</v>
      </c>
      <c r="AK620">
        <v>0</v>
      </c>
      <c r="AL620" t="s">
        <v>52</v>
      </c>
      <c r="AM620" t="s">
        <v>52</v>
      </c>
      <c r="AN620">
        <v>0</v>
      </c>
      <c r="AO620">
        <v>0</v>
      </c>
      <c r="AP620" t="s">
        <v>52</v>
      </c>
      <c r="AQ620" t="s">
        <v>52</v>
      </c>
      <c r="AR620" t="s">
        <v>62</v>
      </c>
      <c r="AS620" t="s">
        <v>52</v>
      </c>
      <c r="AT620" t="s">
        <v>52</v>
      </c>
      <c r="AU620" t="s">
        <v>64</v>
      </c>
      <c r="AV620" t="s">
        <v>62</v>
      </c>
      <c r="AW620" t="s">
        <v>65</v>
      </c>
      <c r="AX620" t="s">
        <v>66</v>
      </c>
      <c r="AY620" t="s">
        <v>67</v>
      </c>
    </row>
    <row r="621" spans="1:51" hidden="1" x14ac:dyDescent="0.25">
      <c r="A621">
        <v>317142</v>
      </c>
      <c r="B621" t="s">
        <v>2434</v>
      </c>
      <c r="C621" t="e">
        <f>VLOOKUP(A621,[1]Customer_payment_journal_line!$AL:$BO,30,0)</f>
        <v>#N/A</v>
      </c>
      <c r="D621" t="s">
        <v>53</v>
      </c>
      <c r="E621" t="s">
        <v>2430</v>
      </c>
      <c r="F621" t="s">
        <v>2431</v>
      </c>
      <c r="G621" t="s">
        <v>2356</v>
      </c>
      <c r="H621" t="s">
        <v>69</v>
      </c>
      <c r="I621" t="s">
        <v>2435</v>
      </c>
      <c r="J621" t="s">
        <v>2436</v>
      </c>
      <c r="K621" t="s">
        <v>2432</v>
      </c>
      <c r="L621" t="s">
        <v>52</v>
      </c>
      <c r="M621">
        <v>0</v>
      </c>
      <c r="N621">
        <v>10</v>
      </c>
      <c r="O621" t="s">
        <v>126</v>
      </c>
      <c r="P621">
        <v>5285</v>
      </c>
      <c r="Q621" t="s">
        <v>52</v>
      </c>
      <c r="R621" t="s">
        <v>52</v>
      </c>
      <c r="S621" t="s">
        <v>52</v>
      </c>
      <c r="T621" t="s">
        <v>52</v>
      </c>
      <c r="U621" t="s">
        <v>52</v>
      </c>
      <c r="V621" t="s">
        <v>62</v>
      </c>
      <c r="W621" t="s">
        <v>52</v>
      </c>
      <c r="Y621" t="s">
        <v>2437</v>
      </c>
      <c r="Z621" t="s">
        <v>62</v>
      </c>
      <c r="AB621" t="s">
        <v>2433</v>
      </c>
      <c r="AE621" t="s">
        <v>2433</v>
      </c>
      <c r="AF621" t="s">
        <v>52</v>
      </c>
      <c r="AH621">
        <v>0</v>
      </c>
      <c r="AI621">
        <v>0</v>
      </c>
      <c r="AJ621" t="s">
        <v>52</v>
      </c>
      <c r="AK621">
        <v>0</v>
      </c>
      <c r="AL621" t="s">
        <v>52</v>
      </c>
      <c r="AM621" t="s">
        <v>52</v>
      </c>
      <c r="AN621">
        <v>0</v>
      </c>
      <c r="AO621">
        <v>0</v>
      </c>
      <c r="AP621" t="s">
        <v>52</v>
      </c>
      <c r="AQ621" t="s">
        <v>52</v>
      </c>
      <c r="AR621" t="s">
        <v>62</v>
      </c>
      <c r="AS621" t="s">
        <v>52</v>
      </c>
      <c r="AT621" t="s">
        <v>74</v>
      </c>
      <c r="AU621" t="s">
        <v>64</v>
      </c>
      <c r="AV621" t="s">
        <v>62</v>
      </c>
      <c r="AW621" t="s">
        <v>65</v>
      </c>
      <c r="AX621" t="s">
        <v>66</v>
      </c>
      <c r="AY621" t="s">
        <v>67</v>
      </c>
    </row>
    <row r="622" spans="1:51" hidden="1" x14ac:dyDescent="0.25">
      <c r="A622">
        <v>317142</v>
      </c>
      <c r="B622" t="s">
        <v>2438</v>
      </c>
      <c r="C622" t="e">
        <f>VLOOKUP(A622,[1]Customer_payment_journal_line!$AL:$BO,30,0)</f>
        <v>#N/A</v>
      </c>
      <c r="D622" t="s">
        <v>53</v>
      </c>
      <c r="E622" t="s">
        <v>2430</v>
      </c>
      <c r="F622" t="s">
        <v>2431</v>
      </c>
      <c r="G622" t="s">
        <v>2356</v>
      </c>
      <c r="H622" t="s">
        <v>210</v>
      </c>
      <c r="I622" t="s">
        <v>2439</v>
      </c>
      <c r="J622" t="s">
        <v>52</v>
      </c>
      <c r="K622" t="s">
        <v>2432</v>
      </c>
      <c r="L622" t="s">
        <v>52</v>
      </c>
      <c r="M622">
        <v>0</v>
      </c>
      <c r="N622">
        <v>41.5</v>
      </c>
      <c r="O622" t="s">
        <v>61</v>
      </c>
      <c r="P622">
        <v>100</v>
      </c>
      <c r="Q622" t="s">
        <v>52</v>
      </c>
      <c r="R622" t="s">
        <v>52</v>
      </c>
      <c r="S622" t="s">
        <v>52</v>
      </c>
      <c r="T622" t="s">
        <v>52</v>
      </c>
      <c r="U622" t="s">
        <v>52</v>
      </c>
      <c r="V622" t="s">
        <v>62</v>
      </c>
      <c r="W622" t="s">
        <v>63</v>
      </c>
      <c r="Y622" t="s">
        <v>2437</v>
      </c>
      <c r="AB622" t="s">
        <v>2433</v>
      </c>
      <c r="AE622" t="s">
        <v>2433</v>
      </c>
      <c r="AF622" t="s">
        <v>52</v>
      </c>
      <c r="AH622">
        <v>0</v>
      </c>
      <c r="AI622">
        <v>0</v>
      </c>
      <c r="AJ622" t="s">
        <v>52</v>
      </c>
      <c r="AK622">
        <v>0</v>
      </c>
      <c r="AL622" t="s">
        <v>52</v>
      </c>
      <c r="AM622" t="s">
        <v>52</v>
      </c>
      <c r="AN622">
        <v>0</v>
      </c>
      <c r="AO622">
        <v>0</v>
      </c>
      <c r="AP622" t="s">
        <v>52</v>
      </c>
      <c r="AQ622" t="s">
        <v>52</v>
      </c>
      <c r="AR622" t="s">
        <v>62</v>
      </c>
      <c r="AS622" t="s">
        <v>52</v>
      </c>
      <c r="AT622" t="s">
        <v>52</v>
      </c>
      <c r="AU622" t="s">
        <v>64</v>
      </c>
      <c r="AV622" t="s">
        <v>62</v>
      </c>
      <c r="AW622" t="s">
        <v>65</v>
      </c>
      <c r="AX622" t="s">
        <v>66</v>
      </c>
      <c r="AY622" t="s">
        <v>67</v>
      </c>
    </row>
    <row r="623" spans="1:51" hidden="1" x14ac:dyDescent="0.25">
      <c r="A623">
        <v>202790</v>
      </c>
      <c r="B623" t="s">
        <v>2440</v>
      </c>
      <c r="C623" t="e">
        <f>VLOOKUP(A623,[1]Customer_payment_journal_line!$AL:$BO,30,0)</f>
        <v>#N/A</v>
      </c>
      <c r="D623" t="s">
        <v>53</v>
      </c>
      <c r="E623" t="s">
        <v>2441</v>
      </c>
      <c r="F623" t="s">
        <v>2442</v>
      </c>
      <c r="G623" t="s">
        <v>2356</v>
      </c>
      <c r="H623" t="s">
        <v>57</v>
      </c>
      <c r="I623" t="s">
        <v>58</v>
      </c>
      <c r="J623" t="s">
        <v>2443</v>
      </c>
      <c r="K623" t="s">
        <v>2432</v>
      </c>
      <c r="L623" t="s">
        <v>52</v>
      </c>
      <c r="M623">
        <v>855</v>
      </c>
      <c r="N623">
        <v>0</v>
      </c>
      <c r="O623" t="s">
        <v>61</v>
      </c>
      <c r="P623">
        <v>100</v>
      </c>
      <c r="Q623" t="s">
        <v>52</v>
      </c>
      <c r="R623" t="s">
        <v>52</v>
      </c>
      <c r="S623" t="s">
        <v>52</v>
      </c>
      <c r="T623" t="s">
        <v>52</v>
      </c>
      <c r="U623" t="s">
        <v>52</v>
      </c>
      <c r="V623" t="s">
        <v>62</v>
      </c>
      <c r="W623" t="s">
        <v>63</v>
      </c>
      <c r="Y623" t="s">
        <v>52</v>
      </c>
      <c r="AB623" t="s">
        <v>52</v>
      </c>
      <c r="AE623" t="s">
        <v>52</v>
      </c>
      <c r="AF623" t="s">
        <v>52</v>
      </c>
      <c r="AH623">
        <v>0</v>
      </c>
      <c r="AI623">
        <v>0</v>
      </c>
      <c r="AJ623" t="s">
        <v>52</v>
      </c>
      <c r="AK623">
        <v>0</v>
      </c>
      <c r="AL623" t="s">
        <v>52</v>
      </c>
      <c r="AM623" t="s">
        <v>52</v>
      </c>
      <c r="AN623">
        <v>0</v>
      </c>
      <c r="AO623">
        <v>0</v>
      </c>
      <c r="AP623" t="s">
        <v>52</v>
      </c>
      <c r="AQ623" t="s">
        <v>52</v>
      </c>
      <c r="AR623" t="s">
        <v>62</v>
      </c>
      <c r="AS623" t="s">
        <v>52</v>
      </c>
      <c r="AT623" t="s">
        <v>52</v>
      </c>
      <c r="AU623" t="s">
        <v>64</v>
      </c>
      <c r="AV623" t="s">
        <v>62</v>
      </c>
      <c r="AW623" t="s">
        <v>65</v>
      </c>
      <c r="AX623" t="s">
        <v>66</v>
      </c>
      <c r="AY623" t="s">
        <v>67</v>
      </c>
    </row>
    <row r="624" spans="1:51" hidden="1" x14ac:dyDescent="0.25">
      <c r="A624">
        <v>202790</v>
      </c>
      <c r="B624" t="s">
        <v>2444</v>
      </c>
      <c r="C624" t="e">
        <f>VLOOKUP(A624,[1]Customer_payment_journal_line!$AL:$BO,30,0)</f>
        <v>#N/A</v>
      </c>
      <c r="D624" t="s">
        <v>53</v>
      </c>
      <c r="E624" t="s">
        <v>2441</v>
      </c>
      <c r="F624" t="s">
        <v>2442</v>
      </c>
      <c r="G624" t="s">
        <v>2356</v>
      </c>
      <c r="H624" t="s">
        <v>69</v>
      </c>
      <c r="I624" t="s">
        <v>2435</v>
      </c>
      <c r="J624" t="s">
        <v>2443</v>
      </c>
      <c r="K624" t="s">
        <v>2432</v>
      </c>
      <c r="L624" t="s">
        <v>52</v>
      </c>
      <c r="M624">
        <v>0</v>
      </c>
      <c r="N624">
        <v>855</v>
      </c>
      <c r="O624" t="s">
        <v>61</v>
      </c>
      <c r="P624">
        <v>100</v>
      </c>
      <c r="Q624" t="s">
        <v>52</v>
      </c>
      <c r="R624" t="s">
        <v>52</v>
      </c>
      <c r="S624" t="s">
        <v>52</v>
      </c>
      <c r="T624" t="s">
        <v>52</v>
      </c>
      <c r="U624" t="s">
        <v>52</v>
      </c>
      <c r="V624" t="s">
        <v>62</v>
      </c>
      <c r="W624" t="s">
        <v>52</v>
      </c>
      <c r="Y624" t="s">
        <v>2437</v>
      </c>
      <c r="Z624" t="s">
        <v>62</v>
      </c>
      <c r="AB624" t="s">
        <v>2445</v>
      </c>
      <c r="AE624" t="s">
        <v>2446</v>
      </c>
      <c r="AF624" t="s">
        <v>52</v>
      </c>
      <c r="AH624">
        <v>0</v>
      </c>
      <c r="AI624">
        <v>0</v>
      </c>
      <c r="AJ624" t="s">
        <v>52</v>
      </c>
      <c r="AK624">
        <v>0</v>
      </c>
      <c r="AL624" t="s">
        <v>52</v>
      </c>
      <c r="AM624" t="s">
        <v>52</v>
      </c>
      <c r="AN624">
        <v>0</v>
      </c>
      <c r="AO624">
        <v>0</v>
      </c>
      <c r="AP624" t="s">
        <v>52</v>
      </c>
      <c r="AQ624" t="s">
        <v>52</v>
      </c>
      <c r="AR624" t="s">
        <v>62</v>
      </c>
      <c r="AS624" t="s">
        <v>52</v>
      </c>
      <c r="AT624" t="s">
        <v>74</v>
      </c>
      <c r="AU624" t="s">
        <v>64</v>
      </c>
      <c r="AV624" t="s">
        <v>62</v>
      </c>
      <c r="AW624" t="s">
        <v>65</v>
      </c>
      <c r="AX624" t="s">
        <v>66</v>
      </c>
      <c r="AY624" t="s">
        <v>67</v>
      </c>
    </row>
    <row r="625" spans="1:51" hidden="1" x14ac:dyDescent="0.25">
      <c r="A625">
        <v>202791</v>
      </c>
      <c r="B625" t="s">
        <v>2447</v>
      </c>
      <c r="C625" t="e">
        <f>VLOOKUP(A625,[1]Customer_payment_journal_line!$AL:$BO,30,0)</f>
        <v>#N/A</v>
      </c>
      <c r="D625" t="s">
        <v>53</v>
      </c>
      <c r="E625" t="s">
        <v>2448</v>
      </c>
      <c r="F625" t="s">
        <v>2449</v>
      </c>
      <c r="G625" t="s">
        <v>2356</v>
      </c>
      <c r="H625" t="s">
        <v>57</v>
      </c>
      <c r="I625" t="s">
        <v>58</v>
      </c>
      <c r="J625" t="s">
        <v>2443</v>
      </c>
      <c r="K625" t="s">
        <v>2432</v>
      </c>
      <c r="L625" t="s">
        <v>52</v>
      </c>
      <c r="M625">
        <v>1140</v>
      </c>
      <c r="N625">
        <v>0</v>
      </c>
      <c r="O625" t="s">
        <v>61</v>
      </c>
      <c r="P625">
        <v>100</v>
      </c>
      <c r="Q625" t="s">
        <v>52</v>
      </c>
      <c r="R625" t="s">
        <v>52</v>
      </c>
      <c r="S625" t="s">
        <v>52</v>
      </c>
      <c r="T625" t="s">
        <v>52</v>
      </c>
      <c r="U625" t="s">
        <v>52</v>
      </c>
      <c r="V625" t="s">
        <v>62</v>
      </c>
      <c r="W625" t="s">
        <v>63</v>
      </c>
      <c r="Y625" t="s">
        <v>52</v>
      </c>
      <c r="AB625" t="s">
        <v>52</v>
      </c>
      <c r="AE625" t="s">
        <v>52</v>
      </c>
      <c r="AF625" t="s">
        <v>52</v>
      </c>
      <c r="AH625">
        <v>0</v>
      </c>
      <c r="AI625">
        <v>0</v>
      </c>
      <c r="AJ625" t="s">
        <v>52</v>
      </c>
      <c r="AK625">
        <v>0</v>
      </c>
      <c r="AL625" t="s">
        <v>52</v>
      </c>
      <c r="AM625" t="s">
        <v>52</v>
      </c>
      <c r="AN625">
        <v>0</v>
      </c>
      <c r="AO625">
        <v>0</v>
      </c>
      <c r="AP625" t="s">
        <v>52</v>
      </c>
      <c r="AQ625" t="s">
        <v>52</v>
      </c>
      <c r="AR625" t="s">
        <v>62</v>
      </c>
      <c r="AS625" t="s">
        <v>52</v>
      </c>
      <c r="AT625" t="s">
        <v>52</v>
      </c>
      <c r="AU625" t="s">
        <v>64</v>
      </c>
      <c r="AV625" t="s">
        <v>62</v>
      </c>
      <c r="AW625" t="s">
        <v>65</v>
      </c>
      <c r="AX625" t="s">
        <v>66</v>
      </c>
      <c r="AY625" t="s">
        <v>67</v>
      </c>
    </row>
    <row r="626" spans="1:51" hidden="1" x14ac:dyDescent="0.25">
      <c r="A626">
        <v>202791</v>
      </c>
      <c r="B626" t="s">
        <v>2450</v>
      </c>
      <c r="C626" t="e">
        <f>VLOOKUP(A626,[1]Customer_payment_journal_line!$AL:$BO,30,0)</f>
        <v>#N/A</v>
      </c>
      <c r="D626" t="s">
        <v>53</v>
      </c>
      <c r="E626" t="s">
        <v>2448</v>
      </c>
      <c r="F626" t="s">
        <v>2449</v>
      </c>
      <c r="G626" t="s">
        <v>2356</v>
      </c>
      <c r="H626" t="s">
        <v>69</v>
      </c>
      <c r="I626" t="s">
        <v>2435</v>
      </c>
      <c r="J626" t="s">
        <v>2443</v>
      </c>
      <c r="K626" t="s">
        <v>2432</v>
      </c>
      <c r="L626" t="s">
        <v>52</v>
      </c>
      <c r="M626">
        <v>0</v>
      </c>
      <c r="N626">
        <v>1140</v>
      </c>
      <c r="O626" t="s">
        <v>61</v>
      </c>
      <c r="P626">
        <v>100</v>
      </c>
      <c r="Q626" t="s">
        <v>52</v>
      </c>
      <c r="R626" t="s">
        <v>52</v>
      </c>
      <c r="S626" t="s">
        <v>52</v>
      </c>
      <c r="T626" t="s">
        <v>52</v>
      </c>
      <c r="U626" t="s">
        <v>52</v>
      </c>
      <c r="V626" t="s">
        <v>62</v>
      </c>
      <c r="W626" t="s">
        <v>52</v>
      </c>
      <c r="Y626" t="s">
        <v>2437</v>
      </c>
      <c r="Z626" t="s">
        <v>62</v>
      </c>
      <c r="AB626" t="s">
        <v>2451</v>
      </c>
      <c r="AE626" t="s">
        <v>2452</v>
      </c>
      <c r="AF626" t="s">
        <v>52</v>
      </c>
      <c r="AH626">
        <v>0</v>
      </c>
      <c r="AI626">
        <v>0</v>
      </c>
      <c r="AJ626" t="s">
        <v>52</v>
      </c>
      <c r="AK626">
        <v>0</v>
      </c>
      <c r="AL626" t="s">
        <v>52</v>
      </c>
      <c r="AM626" t="s">
        <v>52</v>
      </c>
      <c r="AN626">
        <v>0</v>
      </c>
      <c r="AO626">
        <v>0</v>
      </c>
      <c r="AP626" t="s">
        <v>52</v>
      </c>
      <c r="AQ626" t="s">
        <v>52</v>
      </c>
      <c r="AR626" t="s">
        <v>62</v>
      </c>
      <c r="AS626" t="s">
        <v>52</v>
      </c>
      <c r="AT626" t="s">
        <v>74</v>
      </c>
      <c r="AU626" t="s">
        <v>64</v>
      </c>
      <c r="AV626" t="s">
        <v>62</v>
      </c>
      <c r="AW626" t="s">
        <v>65</v>
      </c>
      <c r="AX626" t="s">
        <v>66</v>
      </c>
      <c r="AY626" t="s">
        <v>67</v>
      </c>
    </row>
    <row r="627" spans="1:51" hidden="1" x14ac:dyDescent="0.25">
      <c r="A627">
        <v>202797</v>
      </c>
      <c r="B627" t="s">
        <v>2453</v>
      </c>
      <c r="C627" t="e">
        <f>VLOOKUP(A627,[1]Customer_payment_journal_line!$AL:$BO,30,0)</f>
        <v>#N/A</v>
      </c>
      <c r="D627" t="s">
        <v>53</v>
      </c>
      <c r="E627" t="s">
        <v>2454</v>
      </c>
      <c r="F627" t="s">
        <v>2455</v>
      </c>
      <c r="G627" t="s">
        <v>2356</v>
      </c>
      <c r="H627" t="s">
        <v>57</v>
      </c>
      <c r="I627" t="s">
        <v>319</v>
      </c>
      <c r="J627" t="s">
        <v>2456</v>
      </c>
      <c r="K627" t="s">
        <v>2457</v>
      </c>
      <c r="L627" t="s">
        <v>52</v>
      </c>
      <c r="M627">
        <v>13953.6</v>
      </c>
      <c r="N627">
        <v>0</v>
      </c>
      <c r="O627" t="s">
        <v>61</v>
      </c>
      <c r="P627">
        <v>100</v>
      </c>
      <c r="Q627" t="s">
        <v>52</v>
      </c>
      <c r="R627" t="s">
        <v>52</v>
      </c>
      <c r="S627" t="s">
        <v>52</v>
      </c>
      <c r="T627" t="s">
        <v>52</v>
      </c>
      <c r="U627" t="s">
        <v>52</v>
      </c>
      <c r="V627" t="s">
        <v>62</v>
      </c>
      <c r="W627" t="s">
        <v>63</v>
      </c>
      <c r="Y627" t="s">
        <v>52</v>
      </c>
      <c r="AB627" t="s">
        <v>52</v>
      </c>
      <c r="AE627" t="s">
        <v>52</v>
      </c>
      <c r="AF627" t="s">
        <v>52</v>
      </c>
      <c r="AH627">
        <v>0</v>
      </c>
      <c r="AI627">
        <v>0</v>
      </c>
      <c r="AJ627" t="s">
        <v>52</v>
      </c>
      <c r="AK627">
        <v>0</v>
      </c>
      <c r="AL627" t="s">
        <v>52</v>
      </c>
      <c r="AM627" t="s">
        <v>52</v>
      </c>
      <c r="AN627">
        <v>0</v>
      </c>
      <c r="AO627">
        <v>0</v>
      </c>
      <c r="AP627" t="s">
        <v>52</v>
      </c>
      <c r="AQ627" t="s">
        <v>52</v>
      </c>
      <c r="AR627" t="s">
        <v>62</v>
      </c>
      <c r="AS627" t="s">
        <v>52</v>
      </c>
      <c r="AT627" t="s">
        <v>52</v>
      </c>
      <c r="AU627" t="s">
        <v>64</v>
      </c>
      <c r="AV627" t="s">
        <v>62</v>
      </c>
      <c r="AW627" t="s">
        <v>65</v>
      </c>
      <c r="AX627" t="s">
        <v>66</v>
      </c>
      <c r="AY627" t="s">
        <v>67</v>
      </c>
    </row>
    <row r="628" spans="1:51" hidden="1" x14ac:dyDescent="0.25">
      <c r="A628">
        <v>202797</v>
      </c>
      <c r="B628" t="s">
        <v>2458</v>
      </c>
      <c r="C628" t="e">
        <f>VLOOKUP(A628,[1]Customer_payment_journal_line!$AL:$BO,30,0)</f>
        <v>#N/A</v>
      </c>
      <c r="D628" t="s">
        <v>53</v>
      </c>
      <c r="E628" t="s">
        <v>2454</v>
      </c>
      <c r="F628" t="s">
        <v>2455</v>
      </c>
      <c r="G628" t="s">
        <v>2356</v>
      </c>
      <c r="H628" t="s">
        <v>69</v>
      </c>
      <c r="I628" t="s">
        <v>2459</v>
      </c>
      <c r="J628" t="s">
        <v>2456</v>
      </c>
      <c r="K628" t="s">
        <v>2457</v>
      </c>
      <c r="L628" t="s">
        <v>52</v>
      </c>
      <c r="M628">
        <v>0</v>
      </c>
      <c r="N628">
        <v>13953.6</v>
      </c>
      <c r="O628" t="s">
        <v>61</v>
      </c>
      <c r="P628">
        <v>100</v>
      </c>
      <c r="Q628" t="s">
        <v>52</v>
      </c>
      <c r="R628" t="s">
        <v>52</v>
      </c>
      <c r="S628" t="s">
        <v>52</v>
      </c>
      <c r="T628" t="s">
        <v>52</v>
      </c>
      <c r="U628" t="s">
        <v>52</v>
      </c>
      <c r="V628" t="s">
        <v>62</v>
      </c>
      <c r="W628" t="s">
        <v>52</v>
      </c>
      <c r="Y628" t="s">
        <v>2460</v>
      </c>
      <c r="Z628" t="s">
        <v>62</v>
      </c>
      <c r="AB628" t="s">
        <v>2461</v>
      </c>
      <c r="AE628" t="s">
        <v>2462</v>
      </c>
      <c r="AF628" t="s">
        <v>52</v>
      </c>
      <c r="AH628">
        <v>0</v>
      </c>
      <c r="AI628">
        <v>0</v>
      </c>
      <c r="AJ628" t="s">
        <v>52</v>
      </c>
      <c r="AK628">
        <v>0</v>
      </c>
      <c r="AL628" t="s">
        <v>52</v>
      </c>
      <c r="AM628" t="s">
        <v>52</v>
      </c>
      <c r="AN628">
        <v>0</v>
      </c>
      <c r="AO628">
        <v>0</v>
      </c>
      <c r="AP628" t="s">
        <v>52</v>
      </c>
      <c r="AQ628" t="s">
        <v>52</v>
      </c>
      <c r="AR628" t="s">
        <v>62</v>
      </c>
      <c r="AS628" t="s">
        <v>52</v>
      </c>
      <c r="AT628" t="s">
        <v>74</v>
      </c>
      <c r="AU628" t="s">
        <v>64</v>
      </c>
      <c r="AV628" t="s">
        <v>62</v>
      </c>
      <c r="AW628" t="s">
        <v>65</v>
      </c>
      <c r="AX628" t="s">
        <v>66</v>
      </c>
      <c r="AY628" t="s">
        <v>67</v>
      </c>
    </row>
    <row r="629" spans="1:51" hidden="1" x14ac:dyDescent="0.25">
      <c r="A629">
        <v>202798</v>
      </c>
      <c r="B629" t="s">
        <v>2463</v>
      </c>
      <c r="C629" t="e">
        <f>VLOOKUP(A629,[1]Customer_payment_journal_line!$AL:$BO,30,0)</f>
        <v>#N/A</v>
      </c>
      <c r="D629" t="s">
        <v>53</v>
      </c>
      <c r="E629" t="s">
        <v>2464</v>
      </c>
      <c r="F629" t="s">
        <v>2465</v>
      </c>
      <c r="G629" t="s">
        <v>2356</v>
      </c>
      <c r="H629" t="s">
        <v>57</v>
      </c>
      <c r="I629" t="s">
        <v>319</v>
      </c>
      <c r="J629" t="s">
        <v>2456</v>
      </c>
      <c r="K629" t="s">
        <v>2457</v>
      </c>
      <c r="L629" t="s">
        <v>52</v>
      </c>
      <c r="M629">
        <v>855</v>
      </c>
      <c r="N629">
        <v>0</v>
      </c>
      <c r="O629" t="s">
        <v>61</v>
      </c>
      <c r="P629">
        <v>100</v>
      </c>
      <c r="Q629" t="s">
        <v>52</v>
      </c>
      <c r="R629" t="s">
        <v>52</v>
      </c>
      <c r="S629" t="s">
        <v>52</v>
      </c>
      <c r="T629" t="s">
        <v>52</v>
      </c>
      <c r="U629" t="s">
        <v>52</v>
      </c>
      <c r="V629" t="s">
        <v>62</v>
      </c>
      <c r="W629" t="s">
        <v>63</v>
      </c>
      <c r="Y629" t="s">
        <v>52</v>
      </c>
      <c r="AB629" t="s">
        <v>52</v>
      </c>
      <c r="AE629" t="s">
        <v>52</v>
      </c>
      <c r="AF629" t="s">
        <v>52</v>
      </c>
      <c r="AH629">
        <v>0</v>
      </c>
      <c r="AI629">
        <v>0</v>
      </c>
      <c r="AJ629" t="s">
        <v>52</v>
      </c>
      <c r="AK629">
        <v>0</v>
      </c>
      <c r="AL629" t="s">
        <v>52</v>
      </c>
      <c r="AM629" t="s">
        <v>52</v>
      </c>
      <c r="AN629">
        <v>0</v>
      </c>
      <c r="AO629">
        <v>0</v>
      </c>
      <c r="AP629" t="s">
        <v>52</v>
      </c>
      <c r="AQ629" t="s">
        <v>52</v>
      </c>
      <c r="AR629" t="s">
        <v>62</v>
      </c>
      <c r="AS629" t="s">
        <v>52</v>
      </c>
      <c r="AT629" t="s">
        <v>52</v>
      </c>
      <c r="AU629" t="s">
        <v>64</v>
      </c>
      <c r="AV629" t="s">
        <v>62</v>
      </c>
      <c r="AW629" t="s">
        <v>65</v>
      </c>
      <c r="AX629" t="s">
        <v>66</v>
      </c>
      <c r="AY629" t="s">
        <v>67</v>
      </c>
    </row>
    <row r="630" spans="1:51" hidden="1" x14ac:dyDescent="0.25">
      <c r="A630">
        <v>202798</v>
      </c>
      <c r="B630" t="s">
        <v>2466</v>
      </c>
      <c r="C630" t="e">
        <f>VLOOKUP(A630,[1]Customer_payment_journal_line!$AL:$BO,30,0)</f>
        <v>#N/A</v>
      </c>
      <c r="D630" t="s">
        <v>53</v>
      </c>
      <c r="E630" t="s">
        <v>2464</v>
      </c>
      <c r="F630" t="s">
        <v>2465</v>
      </c>
      <c r="G630" t="s">
        <v>2356</v>
      </c>
      <c r="H630" t="s">
        <v>69</v>
      </c>
      <c r="I630" t="s">
        <v>2459</v>
      </c>
      <c r="J630" t="s">
        <v>2456</v>
      </c>
      <c r="K630" t="s">
        <v>2457</v>
      </c>
      <c r="L630" t="s">
        <v>52</v>
      </c>
      <c r="M630">
        <v>0</v>
      </c>
      <c r="N630">
        <v>855</v>
      </c>
      <c r="O630" t="s">
        <v>61</v>
      </c>
      <c r="P630">
        <v>100</v>
      </c>
      <c r="Q630" t="s">
        <v>52</v>
      </c>
      <c r="R630" t="s">
        <v>52</v>
      </c>
      <c r="S630" t="s">
        <v>52</v>
      </c>
      <c r="T630" t="s">
        <v>52</v>
      </c>
      <c r="U630" t="s">
        <v>52</v>
      </c>
      <c r="V630" t="s">
        <v>62</v>
      </c>
      <c r="W630" t="s">
        <v>52</v>
      </c>
      <c r="Y630" t="s">
        <v>2460</v>
      </c>
      <c r="Z630" t="s">
        <v>62</v>
      </c>
      <c r="AB630" t="s">
        <v>2467</v>
      </c>
      <c r="AE630" t="s">
        <v>2468</v>
      </c>
      <c r="AF630" t="s">
        <v>52</v>
      </c>
      <c r="AH630">
        <v>0</v>
      </c>
      <c r="AI630">
        <v>0</v>
      </c>
      <c r="AJ630" t="s">
        <v>52</v>
      </c>
      <c r="AK630">
        <v>0</v>
      </c>
      <c r="AL630" t="s">
        <v>52</v>
      </c>
      <c r="AM630" t="s">
        <v>52</v>
      </c>
      <c r="AN630">
        <v>0</v>
      </c>
      <c r="AO630">
        <v>0</v>
      </c>
      <c r="AP630" t="s">
        <v>52</v>
      </c>
      <c r="AQ630" t="s">
        <v>52</v>
      </c>
      <c r="AR630" t="s">
        <v>62</v>
      </c>
      <c r="AS630" t="s">
        <v>52</v>
      </c>
      <c r="AT630" t="s">
        <v>74</v>
      </c>
      <c r="AU630" t="s">
        <v>64</v>
      </c>
      <c r="AV630" t="s">
        <v>62</v>
      </c>
      <c r="AW630" t="s">
        <v>65</v>
      </c>
      <c r="AX630" t="s">
        <v>66</v>
      </c>
      <c r="AY630" t="s">
        <v>67</v>
      </c>
    </row>
    <row r="631" spans="1:51" hidden="1" x14ac:dyDescent="0.25">
      <c r="A631">
        <v>202799</v>
      </c>
      <c r="B631" t="s">
        <v>2469</v>
      </c>
      <c r="C631" t="e">
        <f>VLOOKUP(A631,[1]Customer_payment_journal_line!$AL:$BO,30,0)</f>
        <v>#N/A</v>
      </c>
      <c r="D631" t="s">
        <v>53</v>
      </c>
      <c r="E631" t="s">
        <v>2470</v>
      </c>
      <c r="F631" t="s">
        <v>2471</v>
      </c>
      <c r="G631" t="s">
        <v>2356</v>
      </c>
      <c r="H631" t="s">
        <v>57</v>
      </c>
      <c r="I631" t="s">
        <v>58</v>
      </c>
      <c r="J631" t="s">
        <v>2472</v>
      </c>
      <c r="K631" t="s">
        <v>2473</v>
      </c>
      <c r="L631" t="s">
        <v>52</v>
      </c>
      <c r="M631">
        <v>1710</v>
      </c>
      <c r="N631">
        <v>0</v>
      </c>
      <c r="O631" t="s">
        <v>61</v>
      </c>
      <c r="P631">
        <v>100</v>
      </c>
      <c r="Q631" t="s">
        <v>52</v>
      </c>
      <c r="R631" t="s">
        <v>52</v>
      </c>
      <c r="S631" t="s">
        <v>52</v>
      </c>
      <c r="T631" t="s">
        <v>52</v>
      </c>
      <c r="U631" t="s">
        <v>52</v>
      </c>
      <c r="V631" t="s">
        <v>62</v>
      </c>
      <c r="W631" t="s">
        <v>63</v>
      </c>
      <c r="Y631" t="s">
        <v>52</v>
      </c>
      <c r="AB631" t="s">
        <v>52</v>
      </c>
      <c r="AE631" t="s">
        <v>52</v>
      </c>
      <c r="AF631" t="s">
        <v>52</v>
      </c>
      <c r="AH631">
        <v>0</v>
      </c>
      <c r="AI631">
        <v>0</v>
      </c>
      <c r="AJ631" t="s">
        <v>52</v>
      </c>
      <c r="AK631">
        <v>0</v>
      </c>
      <c r="AL631" t="s">
        <v>52</v>
      </c>
      <c r="AM631" t="s">
        <v>52</v>
      </c>
      <c r="AN631">
        <v>0</v>
      </c>
      <c r="AO631">
        <v>0</v>
      </c>
      <c r="AP631" t="s">
        <v>52</v>
      </c>
      <c r="AQ631" t="s">
        <v>52</v>
      </c>
      <c r="AR631" t="s">
        <v>62</v>
      </c>
      <c r="AS631" t="s">
        <v>52</v>
      </c>
      <c r="AT631" t="s">
        <v>52</v>
      </c>
      <c r="AU631" t="s">
        <v>64</v>
      </c>
      <c r="AV631" t="s">
        <v>62</v>
      </c>
      <c r="AW631" t="s">
        <v>65</v>
      </c>
      <c r="AX631" t="s">
        <v>66</v>
      </c>
      <c r="AY631" t="s">
        <v>67</v>
      </c>
    </row>
    <row r="632" spans="1:51" hidden="1" x14ac:dyDescent="0.25">
      <c r="A632">
        <v>202799</v>
      </c>
      <c r="B632" t="s">
        <v>2474</v>
      </c>
      <c r="C632" t="e">
        <f>VLOOKUP(A632,[1]Customer_payment_journal_line!$AL:$BO,30,0)</f>
        <v>#N/A</v>
      </c>
      <c r="D632" t="s">
        <v>53</v>
      </c>
      <c r="E632" t="s">
        <v>2470</v>
      </c>
      <c r="F632" t="s">
        <v>2471</v>
      </c>
      <c r="G632" t="s">
        <v>2356</v>
      </c>
      <c r="H632" t="s">
        <v>69</v>
      </c>
      <c r="I632" t="s">
        <v>2475</v>
      </c>
      <c r="J632" t="s">
        <v>2472</v>
      </c>
      <c r="K632" t="s">
        <v>2473</v>
      </c>
      <c r="L632" t="s">
        <v>52</v>
      </c>
      <c r="M632">
        <v>0</v>
      </c>
      <c r="N632">
        <v>1710</v>
      </c>
      <c r="O632" t="s">
        <v>61</v>
      </c>
      <c r="P632">
        <v>100</v>
      </c>
      <c r="Q632" t="s">
        <v>52</v>
      </c>
      <c r="R632" t="s">
        <v>52</v>
      </c>
      <c r="S632" t="s">
        <v>52</v>
      </c>
      <c r="T632" t="s">
        <v>52</v>
      </c>
      <c r="U632" t="s">
        <v>52</v>
      </c>
      <c r="V632" t="s">
        <v>62</v>
      </c>
      <c r="W632" t="s">
        <v>52</v>
      </c>
      <c r="Y632" t="s">
        <v>2476</v>
      </c>
      <c r="Z632" t="s">
        <v>62</v>
      </c>
      <c r="AB632" t="s">
        <v>2477</v>
      </c>
      <c r="AE632" t="s">
        <v>2478</v>
      </c>
      <c r="AF632" t="s">
        <v>52</v>
      </c>
      <c r="AH632">
        <v>0</v>
      </c>
      <c r="AI632">
        <v>0</v>
      </c>
      <c r="AJ632" t="s">
        <v>52</v>
      </c>
      <c r="AK632">
        <v>0</v>
      </c>
      <c r="AL632" t="s">
        <v>52</v>
      </c>
      <c r="AM632" t="s">
        <v>52</v>
      </c>
      <c r="AN632">
        <v>0</v>
      </c>
      <c r="AO632">
        <v>0</v>
      </c>
      <c r="AP632" t="s">
        <v>52</v>
      </c>
      <c r="AQ632" t="s">
        <v>52</v>
      </c>
      <c r="AR632" t="s">
        <v>62</v>
      </c>
      <c r="AS632" t="s">
        <v>52</v>
      </c>
      <c r="AT632" t="s">
        <v>74</v>
      </c>
      <c r="AU632" t="s">
        <v>64</v>
      </c>
      <c r="AV632" t="s">
        <v>62</v>
      </c>
      <c r="AW632" t="s">
        <v>65</v>
      </c>
      <c r="AX632" t="s">
        <v>66</v>
      </c>
      <c r="AY632" t="s">
        <v>67</v>
      </c>
    </row>
    <row r="633" spans="1:51" hidden="1" x14ac:dyDescent="0.25">
      <c r="A633">
        <v>405983</v>
      </c>
      <c r="B633" t="s">
        <v>2479</v>
      </c>
      <c r="C633" t="e">
        <f>VLOOKUP(A633,[1]Customer_payment_journal_line!$AL:$BO,30,0)</f>
        <v>#N/A</v>
      </c>
      <c r="D633" t="s">
        <v>53</v>
      </c>
      <c r="E633" t="s">
        <v>2480</v>
      </c>
      <c r="F633" t="s">
        <v>2481</v>
      </c>
      <c r="G633" t="s">
        <v>2356</v>
      </c>
      <c r="H633" t="s">
        <v>57</v>
      </c>
      <c r="I633" t="s">
        <v>58</v>
      </c>
      <c r="J633" t="s">
        <v>428</v>
      </c>
      <c r="K633" t="s">
        <v>2482</v>
      </c>
      <c r="L633" t="s">
        <v>52</v>
      </c>
      <c r="M633">
        <v>1710</v>
      </c>
      <c r="N633">
        <v>0</v>
      </c>
      <c r="O633" t="s">
        <v>61</v>
      </c>
      <c r="P633">
        <v>100</v>
      </c>
      <c r="Q633" t="s">
        <v>52</v>
      </c>
      <c r="R633" t="s">
        <v>52</v>
      </c>
      <c r="S633" t="s">
        <v>52</v>
      </c>
      <c r="T633" t="s">
        <v>52</v>
      </c>
      <c r="U633" t="s">
        <v>52</v>
      </c>
      <c r="V633" t="s">
        <v>62</v>
      </c>
      <c r="W633" t="s">
        <v>63</v>
      </c>
      <c r="Y633" t="s">
        <v>52</v>
      </c>
      <c r="AB633" t="s">
        <v>52</v>
      </c>
      <c r="AE633" t="s">
        <v>52</v>
      </c>
      <c r="AF633" t="s">
        <v>52</v>
      </c>
      <c r="AH633">
        <v>0</v>
      </c>
      <c r="AI633">
        <v>0</v>
      </c>
      <c r="AJ633" t="s">
        <v>52</v>
      </c>
      <c r="AK633">
        <v>0</v>
      </c>
      <c r="AL633" t="s">
        <v>52</v>
      </c>
      <c r="AM633" t="s">
        <v>52</v>
      </c>
      <c r="AN633">
        <v>0</v>
      </c>
      <c r="AO633">
        <v>0</v>
      </c>
      <c r="AP633" t="s">
        <v>52</v>
      </c>
      <c r="AQ633" t="s">
        <v>52</v>
      </c>
      <c r="AR633" t="s">
        <v>62</v>
      </c>
      <c r="AS633" t="s">
        <v>52</v>
      </c>
      <c r="AT633" t="s">
        <v>52</v>
      </c>
      <c r="AU633" t="s">
        <v>64</v>
      </c>
      <c r="AV633" t="s">
        <v>62</v>
      </c>
      <c r="AW633" t="s">
        <v>65</v>
      </c>
      <c r="AX633" t="s">
        <v>66</v>
      </c>
      <c r="AY633" t="s">
        <v>67</v>
      </c>
    </row>
    <row r="634" spans="1:51" hidden="1" x14ac:dyDescent="0.25">
      <c r="A634">
        <v>405983</v>
      </c>
      <c r="B634" t="s">
        <v>2483</v>
      </c>
      <c r="C634" t="e">
        <f>VLOOKUP(A634,[1]Customer_payment_journal_line!$AL:$BO,30,0)</f>
        <v>#N/A</v>
      </c>
      <c r="D634" t="s">
        <v>53</v>
      </c>
      <c r="E634" t="s">
        <v>2480</v>
      </c>
      <c r="F634" t="s">
        <v>2481</v>
      </c>
      <c r="G634" t="s">
        <v>2356</v>
      </c>
      <c r="H634" t="s">
        <v>69</v>
      </c>
      <c r="I634" t="s">
        <v>431</v>
      </c>
      <c r="J634" t="s">
        <v>428</v>
      </c>
      <c r="K634" t="s">
        <v>2482</v>
      </c>
      <c r="L634" t="s">
        <v>52</v>
      </c>
      <c r="M634">
        <v>0</v>
      </c>
      <c r="N634">
        <v>1710</v>
      </c>
      <c r="O634" t="s">
        <v>61</v>
      </c>
      <c r="P634">
        <v>100</v>
      </c>
      <c r="Q634" t="s">
        <v>52</v>
      </c>
      <c r="R634" t="s">
        <v>52</v>
      </c>
      <c r="S634" t="s">
        <v>52</v>
      </c>
      <c r="T634" t="s">
        <v>52</v>
      </c>
      <c r="U634" t="s">
        <v>52</v>
      </c>
      <c r="V634" t="s">
        <v>62</v>
      </c>
      <c r="W634" t="s">
        <v>52</v>
      </c>
      <c r="Y634" t="s">
        <v>432</v>
      </c>
      <c r="Z634" t="s">
        <v>62</v>
      </c>
      <c r="AB634" t="s">
        <v>2484</v>
      </c>
      <c r="AE634" t="s">
        <v>2485</v>
      </c>
      <c r="AF634" t="s">
        <v>52</v>
      </c>
      <c r="AH634">
        <v>0</v>
      </c>
      <c r="AI634">
        <v>0</v>
      </c>
      <c r="AJ634" t="s">
        <v>52</v>
      </c>
      <c r="AK634">
        <v>0</v>
      </c>
      <c r="AL634" t="s">
        <v>52</v>
      </c>
      <c r="AM634" t="s">
        <v>52</v>
      </c>
      <c r="AN634">
        <v>0</v>
      </c>
      <c r="AO634">
        <v>0</v>
      </c>
      <c r="AP634" t="s">
        <v>52</v>
      </c>
      <c r="AQ634" t="s">
        <v>52</v>
      </c>
      <c r="AR634" t="s">
        <v>62</v>
      </c>
      <c r="AS634" t="s">
        <v>52</v>
      </c>
      <c r="AT634" t="s">
        <v>74</v>
      </c>
      <c r="AU634" t="s">
        <v>64</v>
      </c>
      <c r="AV634" t="s">
        <v>62</v>
      </c>
      <c r="AW634" t="s">
        <v>65</v>
      </c>
      <c r="AX634" t="s">
        <v>66</v>
      </c>
      <c r="AY634" t="s">
        <v>67</v>
      </c>
    </row>
    <row r="635" spans="1:51" hidden="1" x14ac:dyDescent="0.25">
      <c r="A635">
        <v>405984</v>
      </c>
      <c r="B635" t="s">
        <v>2486</v>
      </c>
      <c r="C635" t="e">
        <f>VLOOKUP(A635,[1]Customer_payment_journal_line!$AL:$BO,30,0)</f>
        <v>#N/A</v>
      </c>
      <c r="D635" t="s">
        <v>53</v>
      </c>
      <c r="E635" t="s">
        <v>2487</v>
      </c>
      <c r="F635" t="s">
        <v>2488</v>
      </c>
      <c r="G635" t="s">
        <v>2356</v>
      </c>
      <c r="H635" t="s">
        <v>57</v>
      </c>
      <c r="I635" t="s">
        <v>58</v>
      </c>
      <c r="J635" t="s">
        <v>428</v>
      </c>
      <c r="K635" t="s">
        <v>2482</v>
      </c>
      <c r="L635" t="s">
        <v>52</v>
      </c>
      <c r="M635">
        <v>855</v>
      </c>
      <c r="N635">
        <v>0</v>
      </c>
      <c r="O635" t="s">
        <v>61</v>
      </c>
      <c r="P635">
        <v>100</v>
      </c>
      <c r="Q635" t="s">
        <v>52</v>
      </c>
      <c r="R635" t="s">
        <v>52</v>
      </c>
      <c r="S635" t="s">
        <v>52</v>
      </c>
      <c r="T635" t="s">
        <v>52</v>
      </c>
      <c r="U635" t="s">
        <v>52</v>
      </c>
      <c r="V635" t="s">
        <v>62</v>
      </c>
      <c r="W635" t="s">
        <v>63</v>
      </c>
      <c r="Y635" t="s">
        <v>52</v>
      </c>
      <c r="AB635" t="s">
        <v>52</v>
      </c>
      <c r="AE635" t="s">
        <v>52</v>
      </c>
      <c r="AF635" t="s">
        <v>52</v>
      </c>
      <c r="AH635">
        <v>0</v>
      </c>
      <c r="AI635">
        <v>0</v>
      </c>
      <c r="AJ635" t="s">
        <v>52</v>
      </c>
      <c r="AK635">
        <v>0</v>
      </c>
      <c r="AL635" t="s">
        <v>52</v>
      </c>
      <c r="AM635" t="s">
        <v>52</v>
      </c>
      <c r="AN635">
        <v>0</v>
      </c>
      <c r="AO635">
        <v>0</v>
      </c>
      <c r="AP635" t="s">
        <v>52</v>
      </c>
      <c r="AQ635" t="s">
        <v>52</v>
      </c>
      <c r="AR635" t="s">
        <v>62</v>
      </c>
      <c r="AS635" t="s">
        <v>52</v>
      </c>
      <c r="AT635" t="s">
        <v>52</v>
      </c>
      <c r="AU635" t="s">
        <v>64</v>
      </c>
      <c r="AV635" t="s">
        <v>62</v>
      </c>
      <c r="AW635" t="s">
        <v>65</v>
      </c>
      <c r="AX635" t="s">
        <v>66</v>
      </c>
      <c r="AY635" t="s">
        <v>67</v>
      </c>
    </row>
    <row r="636" spans="1:51" hidden="1" x14ac:dyDescent="0.25">
      <c r="A636">
        <v>405984</v>
      </c>
      <c r="B636" t="s">
        <v>2489</v>
      </c>
      <c r="C636" t="e">
        <f>VLOOKUP(A636,[1]Customer_payment_journal_line!$AL:$BO,30,0)</f>
        <v>#N/A</v>
      </c>
      <c r="D636" t="s">
        <v>53</v>
      </c>
      <c r="E636" t="s">
        <v>2487</v>
      </c>
      <c r="F636" t="s">
        <v>2488</v>
      </c>
      <c r="G636" t="s">
        <v>2356</v>
      </c>
      <c r="H636" t="s">
        <v>69</v>
      </c>
      <c r="I636" t="s">
        <v>431</v>
      </c>
      <c r="J636" t="s">
        <v>428</v>
      </c>
      <c r="K636" t="s">
        <v>2482</v>
      </c>
      <c r="L636" t="s">
        <v>52</v>
      </c>
      <c r="M636">
        <v>0</v>
      </c>
      <c r="N636">
        <v>855</v>
      </c>
      <c r="O636" t="s">
        <v>61</v>
      </c>
      <c r="P636">
        <v>100</v>
      </c>
      <c r="Q636" t="s">
        <v>52</v>
      </c>
      <c r="R636" t="s">
        <v>52</v>
      </c>
      <c r="S636" t="s">
        <v>52</v>
      </c>
      <c r="T636" t="s">
        <v>52</v>
      </c>
      <c r="U636" t="s">
        <v>52</v>
      </c>
      <c r="V636" t="s">
        <v>62</v>
      </c>
      <c r="W636" t="s">
        <v>52</v>
      </c>
      <c r="Y636" t="s">
        <v>432</v>
      </c>
      <c r="Z636" t="s">
        <v>62</v>
      </c>
      <c r="AB636" t="s">
        <v>2490</v>
      </c>
      <c r="AE636" t="s">
        <v>2491</v>
      </c>
      <c r="AF636" t="s">
        <v>52</v>
      </c>
      <c r="AH636">
        <v>0</v>
      </c>
      <c r="AI636">
        <v>0</v>
      </c>
      <c r="AJ636" t="s">
        <v>52</v>
      </c>
      <c r="AK636">
        <v>0</v>
      </c>
      <c r="AL636" t="s">
        <v>52</v>
      </c>
      <c r="AM636" t="s">
        <v>52</v>
      </c>
      <c r="AN636">
        <v>0</v>
      </c>
      <c r="AO636">
        <v>0</v>
      </c>
      <c r="AP636" t="s">
        <v>52</v>
      </c>
      <c r="AQ636" t="s">
        <v>52</v>
      </c>
      <c r="AR636" t="s">
        <v>62</v>
      </c>
      <c r="AS636" t="s">
        <v>52</v>
      </c>
      <c r="AT636" t="s">
        <v>74</v>
      </c>
      <c r="AU636" t="s">
        <v>64</v>
      </c>
      <c r="AV636" t="s">
        <v>62</v>
      </c>
      <c r="AW636" t="s">
        <v>65</v>
      </c>
      <c r="AX636" t="s">
        <v>66</v>
      </c>
      <c r="AY636" t="s">
        <v>67</v>
      </c>
    </row>
    <row r="637" spans="1:51" hidden="1" x14ac:dyDescent="0.25">
      <c r="A637">
        <v>202803</v>
      </c>
      <c r="B637" t="s">
        <v>2492</v>
      </c>
      <c r="C637" t="e">
        <f>VLOOKUP(A637,[1]Customer_payment_journal_line!$AL:$BO,30,0)</f>
        <v>#N/A</v>
      </c>
      <c r="D637" t="s">
        <v>53</v>
      </c>
      <c r="E637" t="s">
        <v>2493</v>
      </c>
      <c r="F637" t="s">
        <v>2494</v>
      </c>
      <c r="G637" t="s">
        <v>2356</v>
      </c>
      <c r="H637" t="s">
        <v>57</v>
      </c>
      <c r="I637" t="s">
        <v>58</v>
      </c>
      <c r="J637" t="s">
        <v>2495</v>
      </c>
      <c r="K637" t="s">
        <v>2496</v>
      </c>
      <c r="L637" t="s">
        <v>52</v>
      </c>
      <c r="M637">
        <v>1710</v>
      </c>
      <c r="N637">
        <v>0</v>
      </c>
      <c r="O637" t="s">
        <v>61</v>
      </c>
      <c r="P637">
        <v>100</v>
      </c>
      <c r="Q637" t="s">
        <v>52</v>
      </c>
      <c r="R637" t="s">
        <v>52</v>
      </c>
      <c r="S637" t="s">
        <v>52</v>
      </c>
      <c r="T637" t="s">
        <v>52</v>
      </c>
      <c r="U637" t="s">
        <v>52</v>
      </c>
      <c r="V637" t="s">
        <v>62</v>
      </c>
      <c r="W637" t="s">
        <v>63</v>
      </c>
      <c r="Y637" t="s">
        <v>52</v>
      </c>
      <c r="AB637" t="s">
        <v>52</v>
      </c>
      <c r="AE637" t="s">
        <v>52</v>
      </c>
      <c r="AF637" t="s">
        <v>52</v>
      </c>
      <c r="AH637">
        <v>0</v>
      </c>
      <c r="AI637">
        <v>0</v>
      </c>
      <c r="AJ637" t="s">
        <v>52</v>
      </c>
      <c r="AK637">
        <v>0</v>
      </c>
      <c r="AL637" t="s">
        <v>52</v>
      </c>
      <c r="AM637" t="s">
        <v>52</v>
      </c>
      <c r="AN637">
        <v>0</v>
      </c>
      <c r="AO637">
        <v>0</v>
      </c>
      <c r="AP637" t="s">
        <v>52</v>
      </c>
      <c r="AQ637" t="s">
        <v>52</v>
      </c>
      <c r="AR637" t="s">
        <v>62</v>
      </c>
      <c r="AS637" t="s">
        <v>52</v>
      </c>
      <c r="AT637" t="s">
        <v>52</v>
      </c>
      <c r="AU637" t="s">
        <v>64</v>
      </c>
      <c r="AV637" t="s">
        <v>62</v>
      </c>
      <c r="AW637" t="s">
        <v>65</v>
      </c>
      <c r="AX637" t="s">
        <v>66</v>
      </c>
      <c r="AY637" t="s">
        <v>67</v>
      </c>
    </row>
    <row r="638" spans="1:51" hidden="1" x14ac:dyDescent="0.25">
      <c r="A638">
        <v>202803</v>
      </c>
      <c r="B638" t="s">
        <v>2497</v>
      </c>
      <c r="C638" t="e">
        <f>VLOOKUP(A638,[1]Customer_payment_journal_line!$AL:$BO,30,0)</f>
        <v>#N/A</v>
      </c>
      <c r="D638" t="s">
        <v>53</v>
      </c>
      <c r="E638" t="s">
        <v>2493</v>
      </c>
      <c r="F638" t="s">
        <v>2494</v>
      </c>
      <c r="G638" t="s">
        <v>2356</v>
      </c>
      <c r="H638" t="s">
        <v>69</v>
      </c>
      <c r="I638" t="s">
        <v>431</v>
      </c>
      <c r="J638" t="s">
        <v>2495</v>
      </c>
      <c r="K638" t="s">
        <v>2496</v>
      </c>
      <c r="L638" t="s">
        <v>52</v>
      </c>
      <c r="M638">
        <v>0</v>
      </c>
      <c r="N638">
        <v>1710</v>
      </c>
      <c r="O638" t="s">
        <v>61</v>
      </c>
      <c r="P638">
        <v>100</v>
      </c>
      <c r="Q638" t="s">
        <v>52</v>
      </c>
      <c r="R638" t="s">
        <v>52</v>
      </c>
      <c r="S638" t="s">
        <v>52</v>
      </c>
      <c r="T638" t="s">
        <v>52</v>
      </c>
      <c r="U638" t="s">
        <v>52</v>
      </c>
      <c r="V638" t="s">
        <v>62</v>
      </c>
      <c r="W638" t="s">
        <v>52</v>
      </c>
      <c r="Y638" t="s">
        <v>432</v>
      </c>
      <c r="Z638" t="s">
        <v>62</v>
      </c>
      <c r="AB638" t="s">
        <v>2498</v>
      </c>
      <c r="AE638" t="s">
        <v>2499</v>
      </c>
      <c r="AF638" t="s">
        <v>52</v>
      </c>
      <c r="AH638">
        <v>0</v>
      </c>
      <c r="AI638">
        <v>0</v>
      </c>
      <c r="AJ638" t="s">
        <v>52</v>
      </c>
      <c r="AK638">
        <v>0</v>
      </c>
      <c r="AL638" t="s">
        <v>52</v>
      </c>
      <c r="AM638" t="s">
        <v>52</v>
      </c>
      <c r="AN638">
        <v>0</v>
      </c>
      <c r="AO638">
        <v>0</v>
      </c>
      <c r="AP638" t="s">
        <v>52</v>
      </c>
      <c r="AQ638" t="s">
        <v>52</v>
      </c>
      <c r="AR638" t="s">
        <v>62</v>
      </c>
      <c r="AS638" t="s">
        <v>52</v>
      </c>
      <c r="AT638" t="s">
        <v>74</v>
      </c>
      <c r="AU638" t="s">
        <v>64</v>
      </c>
      <c r="AV638" t="s">
        <v>62</v>
      </c>
      <c r="AW638" t="s">
        <v>65</v>
      </c>
      <c r="AX638" t="s">
        <v>66</v>
      </c>
      <c r="AY638" t="s">
        <v>67</v>
      </c>
    </row>
    <row r="639" spans="1:51" hidden="1" x14ac:dyDescent="0.25">
      <c r="A639">
        <v>202804</v>
      </c>
      <c r="B639" t="s">
        <v>2500</v>
      </c>
      <c r="C639" t="e">
        <f>VLOOKUP(A639,[1]Customer_payment_journal_line!$AL:$BO,30,0)</f>
        <v>#N/A</v>
      </c>
      <c r="D639" t="s">
        <v>53</v>
      </c>
      <c r="E639" t="s">
        <v>2501</v>
      </c>
      <c r="F639" t="s">
        <v>2502</v>
      </c>
      <c r="G639" t="s">
        <v>2356</v>
      </c>
      <c r="H639" t="s">
        <v>57</v>
      </c>
      <c r="I639" t="s">
        <v>58</v>
      </c>
      <c r="J639" t="s">
        <v>2495</v>
      </c>
      <c r="K639" t="s">
        <v>2496</v>
      </c>
      <c r="L639" t="s">
        <v>52</v>
      </c>
      <c r="M639">
        <v>855</v>
      </c>
      <c r="N639">
        <v>0</v>
      </c>
      <c r="O639" t="s">
        <v>61</v>
      </c>
      <c r="P639">
        <v>100</v>
      </c>
      <c r="Q639" t="s">
        <v>52</v>
      </c>
      <c r="R639" t="s">
        <v>52</v>
      </c>
      <c r="S639" t="s">
        <v>52</v>
      </c>
      <c r="T639" t="s">
        <v>52</v>
      </c>
      <c r="U639" t="s">
        <v>52</v>
      </c>
      <c r="V639" t="s">
        <v>62</v>
      </c>
      <c r="W639" t="s">
        <v>63</v>
      </c>
      <c r="Y639" t="s">
        <v>52</v>
      </c>
      <c r="AB639" t="s">
        <v>52</v>
      </c>
      <c r="AE639" t="s">
        <v>52</v>
      </c>
      <c r="AF639" t="s">
        <v>52</v>
      </c>
      <c r="AH639">
        <v>0</v>
      </c>
      <c r="AI639">
        <v>0</v>
      </c>
      <c r="AJ639" t="s">
        <v>52</v>
      </c>
      <c r="AK639">
        <v>0</v>
      </c>
      <c r="AL639" t="s">
        <v>52</v>
      </c>
      <c r="AM639" t="s">
        <v>52</v>
      </c>
      <c r="AN639">
        <v>0</v>
      </c>
      <c r="AO639">
        <v>0</v>
      </c>
      <c r="AP639" t="s">
        <v>52</v>
      </c>
      <c r="AQ639" t="s">
        <v>52</v>
      </c>
      <c r="AR639" t="s">
        <v>62</v>
      </c>
      <c r="AS639" t="s">
        <v>52</v>
      </c>
      <c r="AT639" t="s">
        <v>52</v>
      </c>
      <c r="AU639" t="s">
        <v>64</v>
      </c>
      <c r="AV639" t="s">
        <v>62</v>
      </c>
      <c r="AW639" t="s">
        <v>65</v>
      </c>
      <c r="AX639" t="s">
        <v>66</v>
      </c>
      <c r="AY639" t="s">
        <v>67</v>
      </c>
    </row>
    <row r="640" spans="1:51" hidden="1" x14ac:dyDescent="0.25">
      <c r="A640">
        <v>202804</v>
      </c>
      <c r="B640" t="s">
        <v>2503</v>
      </c>
      <c r="C640" t="e">
        <f>VLOOKUP(A640,[1]Customer_payment_journal_line!$AL:$BO,30,0)</f>
        <v>#N/A</v>
      </c>
      <c r="D640" t="s">
        <v>53</v>
      </c>
      <c r="E640" t="s">
        <v>2501</v>
      </c>
      <c r="F640" t="s">
        <v>2502</v>
      </c>
      <c r="G640" t="s">
        <v>2356</v>
      </c>
      <c r="H640" t="s">
        <v>69</v>
      </c>
      <c r="I640" t="s">
        <v>431</v>
      </c>
      <c r="J640" t="s">
        <v>2495</v>
      </c>
      <c r="K640" t="s">
        <v>2496</v>
      </c>
      <c r="L640" t="s">
        <v>52</v>
      </c>
      <c r="M640">
        <v>0</v>
      </c>
      <c r="N640">
        <v>855</v>
      </c>
      <c r="O640" t="s">
        <v>61</v>
      </c>
      <c r="P640">
        <v>100</v>
      </c>
      <c r="Q640" t="s">
        <v>52</v>
      </c>
      <c r="R640" t="s">
        <v>52</v>
      </c>
      <c r="S640" t="s">
        <v>52</v>
      </c>
      <c r="T640" t="s">
        <v>52</v>
      </c>
      <c r="U640" t="s">
        <v>52</v>
      </c>
      <c r="V640" t="s">
        <v>62</v>
      </c>
      <c r="W640" t="s">
        <v>52</v>
      </c>
      <c r="Y640" t="s">
        <v>432</v>
      </c>
      <c r="Z640" t="s">
        <v>62</v>
      </c>
      <c r="AB640" t="s">
        <v>2504</v>
      </c>
      <c r="AE640" t="s">
        <v>2505</v>
      </c>
      <c r="AF640" t="s">
        <v>52</v>
      </c>
      <c r="AH640">
        <v>0</v>
      </c>
      <c r="AI640">
        <v>0</v>
      </c>
      <c r="AJ640" t="s">
        <v>52</v>
      </c>
      <c r="AK640">
        <v>0</v>
      </c>
      <c r="AL640" t="s">
        <v>52</v>
      </c>
      <c r="AM640" t="s">
        <v>52</v>
      </c>
      <c r="AN640">
        <v>0</v>
      </c>
      <c r="AO640">
        <v>0</v>
      </c>
      <c r="AP640" t="s">
        <v>52</v>
      </c>
      <c r="AQ640" t="s">
        <v>52</v>
      </c>
      <c r="AR640" t="s">
        <v>62</v>
      </c>
      <c r="AS640" t="s">
        <v>52</v>
      </c>
      <c r="AT640" t="s">
        <v>74</v>
      </c>
      <c r="AU640" t="s">
        <v>64</v>
      </c>
      <c r="AV640" t="s">
        <v>62</v>
      </c>
      <c r="AW640" t="s">
        <v>65</v>
      </c>
      <c r="AX640" t="s">
        <v>66</v>
      </c>
      <c r="AY640" t="s">
        <v>67</v>
      </c>
    </row>
    <row r="641" spans="1:51" hidden="1" x14ac:dyDescent="0.25">
      <c r="A641">
        <v>405985</v>
      </c>
      <c r="B641" t="s">
        <v>2506</v>
      </c>
      <c r="C641" t="e">
        <f>VLOOKUP(A641,[1]Customer_payment_journal_line!$AL:$BO,30,0)</f>
        <v>#N/A</v>
      </c>
      <c r="D641" t="s">
        <v>53</v>
      </c>
      <c r="E641" t="s">
        <v>2507</v>
      </c>
      <c r="F641" t="s">
        <v>2508</v>
      </c>
      <c r="G641" t="s">
        <v>2356</v>
      </c>
      <c r="H641" t="s">
        <v>57</v>
      </c>
      <c r="I641" t="s">
        <v>58</v>
      </c>
      <c r="J641" t="s">
        <v>2509</v>
      </c>
      <c r="K641" t="s">
        <v>2510</v>
      </c>
      <c r="L641" t="s">
        <v>52</v>
      </c>
      <c r="M641">
        <v>6840</v>
      </c>
      <c r="N641">
        <v>0</v>
      </c>
      <c r="O641" t="s">
        <v>61</v>
      </c>
      <c r="P641">
        <v>100</v>
      </c>
      <c r="Q641" t="s">
        <v>52</v>
      </c>
      <c r="R641" t="s">
        <v>52</v>
      </c>
      <c r="S641" t="s">
        <v>52</v>
      </c>
      <c r="T641" t="s">
        <v>52</v>
      </c>
      <c r="U641" t="s">
        <v>52</v>
      </c>
      <c r="V641" t="s">
        <v>62</v>
      </c>
      <c r="W641" t="s">
        <v>63</v>
      </c>
      <c r="Y641" t="s">
        <v>52</v>
      </c>
      <c r="AB641" t="s">
        <v>52</v>
      </c>
      <c r="AE641" t="s">
        <v>52</v>
      </c>
      <c r="AF641" t="s">
        <v>52</v>
      </c>
      <c r="AH641">
        <v>0</v>
      </c>
      <c r="AI641">
        <v>0</v>
      </c>
      <c r="AJ641" t="s">
        <v>52</v>
      </c>
      <c r="AK641">
        <v>0</v>
      </c>
      <c r="AL641" t="s">
        <v>52</v>
      </c>
      <c r="AM641" t="s">
        <v>52</v>
      </c>
      <c r="AN641">
        <v>0</v>
      </c>
      <c r="AO641">
        <v>0</v>
      </c>
      <c r="AP641" t="s">
        <v>52</v>
      </c>
      <c r="AQ641" t="s">
        <v>52</v>
      </c>
      <c r="AR641" t="s">
        <v>62</v>
      </c>
      <c r="AS641" t="s">
        <v>52</v>
      </c>
      <c r="AT641" t="s">
        <v>52</v>
      </c>
      <c r="AU641" t="s">
        <v>64</v>
      </c>
      <c r="AV641" t="s">
        <v>62</v>
      </c>
      <c r="AW641" t="s">
        <v>65</v>
      </c>
      <c r="AX641" t="s">
        <v>66</v>
      </c>
      <c r="AY641" t="s">
        <v>67</v>
      </c>
    </row>
    <row r="642" spans="1:51" hidden="1" x14ac:dyDescent="0.25">
      <c r="A642">
        <v>405985</v>
      </c>
      <c r="B642" t="s">
        <v>2511</v>
      </c>
      <c r="C642" t="e">
        <f>VLOOKUP(A642,[1]Customer_payment_journal_line!$AL:$BO,30,0)</f>
        <v>#N/A</v>
      </c>
      <c r="D642" t="s">
        <v>53</v>
      </c>
      <c r="E642" t="s">
        <v>2507</v>
      </c>
      <c r="F642" t="s">
        <v>2508</v>
      </c>
      <c r="G642" t="s">
        <v>2356</v>
      </c>
      <c r="H642" t="s">
        <v>69</v>
      </c>
      <c r="I642" t="s">
        <v>2512</v>
      </c>
      <c r="J642" t="s">
        <v>2509</v>
      </c>
      <c r="K642" t="s">
        <v>2510</v>
      </c>
      <c r="L642" t="s">
        <v>52</v>
      </c>
      <c r="M642">
        <v>0</v>
      </c>
      <c r="N642">
        <v>6840</v>
      </c>
      <c r="O642" t="s">
        <v>61</v>
      </c>
      <c r="P642">
        <v>100</v>
      </c>
      <c r="Q642" t="s">
        <v>52</v>
      </c>
      <c r="R642" t="s">
        <v>52</v>
      </c>
      <c r="S642" t="s">
        <v>52</v>
      </c>
      <c r="T642" t="s">
        <v>52</v>
      </c>
      <c r="U642" t="s">
        <v>52</v>
      </c>
      <c r="V642" t="s">
        <v>62</v>
      </c>
      <c r="W642" t="s">
        <v>52</v>
      </c>
      <c r="Y642" t="s">
        <v>2513</v>
      </c>
      <c r="Z642" t="s">
        <v>62</v>
      </c>
      <c r="AB642" t="s">
        <v>2514</v>
      </c>
      <c r="AE642" t="s">
        <v>2515</v>
      </c>
      <c r="AF642" t="s">
        <v>52</v>
      </c>
      <c r="AH642">
        <v>0</v>
      </c>
      <c r="AI642">
        <v>0</v>
      </c>
      <c r="AJ642" t="s">
        <v>52</v>
      </c>
      <c r="AK642">
        <v>0</v>
      </c>
      <c r="AL642" t="s">
        <v>52</v>
      </c>
      <c r="AM642" t="s">
        <v>52</v>
      </c>
      <c r="AN642">
        <v>0</v>
      </c>
      <c r="AO642">
        <v>0</v>
      </c>
      <c r="AP642" t="s">
        <v>52</v>
      </c>
      <c r="AQ642" t="s">
        <v>52</v>
      </c>
      <c r="AR642" t="s">
        <v>62</v>
      </c>
      <c r="AS642" t="s">
        <v>52</v>
      </c>
      <c r="AT642" t="s">
        <v>74</v>
      </c>
      <c r="AU642" t="s">
        <v>64</v>
      </c>
      <c r="AV642" t="s">
        <v>62</v>
      </c>
      <c r="AW642" t="s">
        <v>65</v>
      </c>
      <c r="AX642" t="s">
        <v>66</v>
      </c>
      <c r="AY642" t="s">
        <v>67</v>
      </c>
    </row>
    <row r="643" spans="1:51" hidden="1" x14ac:dyDescent="0.25">
      <c r="A643">
        <v>405986</v>
      </c>
      <c r="B643" t="s">
        <v>2516</v>
      </c>
      <c r="C643" t="e">
        <f>VLOOKUP(A643,[1]Customer_payment_journal_line!$AL:$BO,30,0)</f>
        <v>#N/A</v>
      </c>
      <c r="D643" t="s">
        <v>53</v>
      </c>
      <c r="E643" t="s">
        <v>2517</v>
      </c>
      <c r="F643" t="s">
        <v>2518</v>
      </c>
      <c r="G643" t="s">
        <v>2356</v>
      </c>
      <c r="H643" t="s">
        <v>57</v>
      </c>
      <c r="I643" t="s">
        <v>58</v>
      </c>
      <c r="J643" t="s">
        <v>2509</v>
      </c>
      <c r="K643" t="s">
        <v>2510</v>
      </c>
      <c r="L643" t="s">
        <v>52</v>
      </c>
      <c r="M643">
        <v>855</v>
      </c>
      <c r="N643">
        <v>0</v>
      </c>
      <c r="O643" t="s">
        <v>61</v>
      </c>
      <c r="P643">
        <v>100</v>
      </c>
      <c r="Q643" t="s">
        <v>52</v>
      </c>
      <c r="R643" t="s">
        <v>52</v>
      </c>
      <c r="S643" t="s">
        <v>52</v>
      </c>
      <c r="T643" t="s">
        <v>52</v>
      </c>
      <c r="U643" t="s">
        <v>52</v>
      </c>
      <c r="V643" t="s">
        <v>62</v>
      </c>
      <c r="W643" t="s">
        <v>63</v>
      </c>
      <c r="Y643" t="s">
        <v>52</v>
      </c>
      <c r="AB643" t="s">
        <v>52</v>
      </c>
      <c r="AE643" t="s">
        <v>52</v>
      </c>
      <c r="AF643" t="s">
        <v>52</v>
      </c>
      <c r="AH643">
        <v>0</v>
      </c>
      <c r="AI643">
        <v>0</v>
      </c>
      <c r="AJ643" t="s">
        <v>52</v>
      </c>
      <c r="AK643">
        <v>0</v>
      </c>
      <c r="AL643" t="s">
        <v>52</v>
      </c>
      <c r="AM643" t="s">
        <v>52</v>
      </c>
      <c r="AN643">
        <v>0</v>
      </c>
      <c r="AO643">
        <v>0</v>
      </c>
      <c r="AP643" t="s">
        <v>52</v>
      </c>
      <c r="AQ643" t="s">
        <v>52</v>
      </c>
      <c r="AR643" t="s">
        <v>62</v>
      </c>
      <c r="AS643" t="s">
        <v>52</v>
      </c>
      <c r="AT643" t="s">
        <v>52</v>
      </c>
      <c r="AU643" t="s">
        <v>64</v>
      </c>
      <c r="AV643" t="s">
        <v>62</v>
      </c>
      <c r="AW643" t="s">
        <v>65</v>
      </c>
      <c r="AX643" t="s">
        <v>66</v>
      </c>
      <c r="AY643" t="s">
        <v>67</v>
      </c>
    </row>
    <row r="644" spans="1:51" hidden="1" x14ac:dyDescent="0.25">
      <c r="A644">
        <v>405986</v>
      </c>
      <c r="B644" t="s">
        <v>2519</v>
      </c>
      <c r="C644" t="e">
        <f>VLOOKUP(A644,[1]Customer_payment_journal_line!$AL:$BO,30,0)</f>
        <v>#N/A</v>
      </c>
      <c r="D644" t="s">
        <v>53</v>
      </c>
      <c r="E644" t="s">
        <v>2517</v>
      </c>
      <c r="F644" t="s">
        <v>2518</v>
      </c>
      <c r="G644" t="s">
        <v>2356</v>
      </c>
      <c r="H644" t="s">
        <v>69</v>
      </c>
      <c r="I644" t="s">
        <v>2512</v>
      </c>
      <c r="J644" t="s">
        <v>2509</v>
      </c>
      <c r="K644" t="s">
        <v>2510</v>
      </c>
      <c r="L644" t="s">
        <v>52</v>
      </c>
      <c r="M644">
        <v>0</v>
      </c>
      <c r="N644">
        <v>855</v>
      </c>
      <c r="O644" t="s">
        <v>61</v>
      </c>
      <c r="P644">
        <v>100</v>
      </c>
      <c r="Q644" t="s">
        <v>52</v>
      </c>
      <c r="R644" t="s">
        <v>52</v>
      </c>
      <c r="S644" t="s">
        <v>52</v>
      </c>
      <c r="T644" t="s">
        <v>52</v>
      </c>
      <c r="U644" t="s">
        <v>52</v>
      </c>
      <c r="V644" t="s">
        <v>62</v>
      </c>
      <c r="W644" t="s">
        <v>52</v>
      </c>
      <c r="Y644" t="s">
        <v>2513</v>
      </c>
      <c r="Z644" t="s">
        <v>62</v>
      </c>
      <c r="AB644" t="s">
        <v>2520</v>
      </c>
      <c r="AE644" t="s">
        <v>2521</v>
      </c>
      <c r="AF644" t="s">
        <v>52</v>
      </c>
      <c r="AH644">
        <v>0</v>
      </c>
      <c r="AI644">
        <v>0</v>
      </c>
      <c r="AJ644" t="s">
        <v>52</v>
      </c>
      <c r="AK644">
        <v>0</v>
      </c>
      <c r="AL644" t="s">
        <v>52</v>
      </c>
      <c r="AM644" t="s">
        <v>52</v>
      </c>
      <c r="AN644">
        <v>0</v>
      </c>
      <c r="AO644">
        <v>0</v>
      </c>
      <c r="AP644" t="s">
        <v>52</v>
      </c>
      <c r="AQ644" t="s">
        <v>52</v>
      </c>
      <c r="AR644" t="s">
        <v>62</v>
      </c>
      <c r="AS644" t="s">
        <v>52</v>
      </c>
      <c r="AT644" t="s">
        <v>74</v>
      </c>
      <c r="AU644" t="s">
        <v>64</v>
      </c>
      <c r="AV644" t="s">
        <v>62</v>
      </c>
      <c r="AW644" t="s">
        <v>65</v>
      </c>
      <c r="AX644" t="s">
        <v>66</v>
      </c>
      <c r="AY644" t="s">
        <v>67</v>
      </c>
    </row>
    <row r="645" spans="1:51" hidden="1" x14ac:dyDescent="0.25">
      <c r="A645">
        <v>202813</v>
      </c>
      <c r="B645" t="s">
        <v>2522</v>
      </c>
      <c r="C645" t="e">
        <f>VLOOKUP(A645,[1]Customer_payment_journal_line!$AL:$BO,30,0)</f>
        <v>#N/A</v>
      </c>
      <c r="D645" t="s">
        <v>53</v>
      </c>
      <c r="E645" t="s">
        <v>2523</v>
      </c>
      <c r="F645" t="s">
        <v>2524</v>
      </c>
      <c r="G645" t="s">
        <v>2356</v>
      </c>
      <c r="H645" t="s">
        <v>57</v>
      </c>
      <c r="I645" t="s">
        <v>58</v>
      </c>
      <c r="J645" t="s">
        <v>2525</v>
      </c>
      <c r="K645" t="s">
        <v>2526</v>
      </c>
      <c r="L645" t="s">
        <v>52</v>
      </c>
      <c r="M645">
        <v>570</v>
      </c>
      <c r="N645">
        <v>0</v>
      </c>
      <c r="O645" t="s">
        <v>61</v>
      </c>
      <c r="P645">
        <v>100</v>
      </c>
      <c r="Q645" t="s">
        <v>52</v>
      </c>
      <c r="R645" t="s">
        <v>52</v>
      </c>
      <c r="S645" t="s">
        <v>52</v>
      </c>
      <c r="T645" t="s">
        <v>52</v>
      </c>
      <c r="U645" t="s">
        <v>52</v>
      </c>
      <c r="V645" t="s">
        <v>62</v>
      </c>
      <c r="W645" t="s">
        <v>63</v>
      </c>
      <c r="Y645" t="s">
        <v>52</v>
      </c>
      <c r="AB645" t="s">
        <v>52</v>
      </c>
      <c r="AE645" t="s">
        <v>52</v>
      </c>
      <c r="AF645" t="s">
        <v>52</v>
      </c>
      <c r="AH645">
        <v>0</v>
      </c>
      <c r="AI645">
        <v>0</v>
      </c>
      <c r="AJ645" t="s">
        <v>52</v>
      </c>
      <c r="AK645">
        <v>0</v>
      </c>
      <c r="AL645" t="s">
        <v>52</v>
      </c>
      <c r="AM645" t="s">
        <v>52</v>
      </c>
      <c r="AN645">
        <v>0</v>
      </c>
      <c r="AO645">
        <v>0</v>
      </c>
      <c r="AP645" t="s">
        <v>52</v>
      </c>
      <c r="AQ645" t="s">
        <v>52</v>
      </c>
      <c r="AR645" t="s">
        <v>62</v>
      </c>
      <c r="AS645" t="s">
        <v>52</v>
      </c>
      <c r="AT645" t="s">
        <v>52</v>
      </c>
      <c r="AU645" t="s">
        <v>64</v>
      </c>
      <c r="AV645" t="s">
        <v>62</v>
      </c>
      <c r="AW645" t="s">
        <v>65</v>
      </c>
      <c r="AX645" t="s">
        <v>66</v>
      </c>
      <c r="AY645" t="s">
        <v>67</v>
      </c>
    </row>
    <row r="646" spans="1:51" hidden="1" x14ac:dyDescent="0.25">
      <c r="A646">
        <v>202813</v>
      </c>
      <c r="B646" t="s">
        <v>2527</v>
      </c>
      <c r="C646" t="e">
        <f>VLOOKUP(A646,[1]Customer_payment_journal_line!$AL:$BO,30,0)</f>
        <v>#N/A</v>
      </c>
      <c r="D646" t="s">
        <v>53</v>
      </c>
      <c r="E646" t="s">
        <v>2523</v>
      </c>
      <c r="F646" t="s">
        <v>2524</v>
      </c>
      <c r="G646" t="s">
        <v>2356</v>
      </c>
      <c r="H646" t="s">
        <v>69</v>
      </c>
      <c r="I646" t="s">
        <v>339</v>
      </c>
      <c r="J646" t="s">
        <v>2525</v>
      </c>
      <c r="K646" t="s">
        <v>2526</v>
      </c>
      <c r="L646" t="s">
        <v>52</v>
      </c>
      <c r="M646">
        <v>0</v>
      </c>
      <c r="N646">
        <v>570</v>
      </c>
      <c r="O646" t="s">
        <v>61</v>
      </c>
      <c r="P646">
        <v>100</v>
      </c>
      <c r="Q646" t="s">
        <v>52</v>
      </c>
      <c r="R646" t="s">
        <v>52</v>
      </c>
      <c r="S646" t="s">
        <v>52</v>
      </c>
      <c r="T646" t="s">
        <v>52</v>
      </c>
      <c r="U646" t="s">
        <v>52</v>
      </c>
      <c r="V646" t="s">
        <v>62</v>
      </c>
      <c r="W646" t="s">
        <v>52</v>
      </c>
      <c r="Y646" t="s">
        <v>340</v>
      </c>
      <c r="Z646" t="s">
        <v>62</v>
      </c>
      <c r="AB646" t="s">
        <v>2528</v>
      </c>
      <c r="AE646" t="s">
        <v>2529</v>
      </c>
      <c r="AF646" t="s">
        <v>52</v>
      </c>
      <c r="AH646">
        <v>0</v>
      </c>
      <c r="AI646">
        <v>0</v>
      </c>
      <c r="AJ646" t="s">
        <v>52</v>
      </c>
      <c r="AK646">
        <v>0</v>
      </c>
      <c r="AL646" t="s">
        <v>52</v>
      </c>
      <c r="AM646" t="s">
        <v>52</v>
      </c>
      <c r="AN646">
        <v>0</v>
      </c>
      <c r="AO646">
        <v>0</v>
      </c>
      <c r="AP646" t="s">
        <v>52</v>
      </c>
      <c r="AQ646" t="s">
        <v>52</v>
      </c>
      <c r="AR646" t="s">
        <v>62</v>
      </c>
      <c r="AS646" t="s">
        <v>52</v>
      </c>
      <c r="AT646" t="s">
        <v>74</v>
      </c>
      <c r="AU646" t="s">
        <v>64</v>
      </c>
      <c r="AV646" t="s">
        <v>62</v>
      </c>
      <c r="AW646" t="s">
        <v>65</v>
      </c>
      <c r="AX646" t="s">
        <v>66</v>
      </c>
      <c r="AY646" t="s">
        <v>67</v>
      </c>
    </row>
    <row r="647" spans="1:51" hidden="1" x14ac:dyDescent="0.25">
      <c r="A647">
        <v>202814</v>
      </c>
      <c r="B647" t="s">
        <v>2530</v>
      </c>
      <c r="C647" t="e">
        <f>VLOOKUP(A647,[1]Customer_payment_journal_line!$AL:$BO,30,0)</f>
        <v>#N/A</v>
      </c>
      <c r="D647" t="s">
        <v>53</v>
      </c>
      <c r="E647" t="s">
        <v>2531</v>
      </c>
      <c r="F647" t="s">
        <v>2532</v>
      </c>
      <c r="G647" t="s">
        <v>2356</v>
      </c>
      <c r="H647" t="s">
        <v>57</v>
      </c>
      <c r="I647" t="s">
        <v>58</v>
      </c>
      <c r="J647" t="s">
        <v>2525</v>
      </c>
      <c r="K647" t="s">
        <v>2526</v>
      </c>
      <c r="L647" t="s">
        <v>52</v>
      </c>
      <c r="M647">
        <v>855</v>
      </c>
      <c r="N647">
        <v>0</v>
      </c>
      <c r="O647" t="s">
        <v>61</v>
      </c>
      <c r="P647">
        <v>100</v>
      </c>
      <c r="Q647" t="s">
        <v>52</v>
      </c>
      <c r="R647" t="s">
        <v>52</v>
      </c>
      <c r="S647" t="s">
        <v>52</v>
      </c>
      <c r="T647" t="s">
        <v>52</v>
      </c>
      <c r="U647" t="s">
        <v>52</v>
      </c>
      <c r="V647" t="s">
        <v>62</v>
      </c>
      <c r="W647" t="s">
        <v>63</v>
      </c>
      <c r="Y647" t="s">
        <v>52</v>
      </c>
      <c r="AB647" t="s">
        <v>52</v>
      </c>
      <c r="AE647" t="s">
        <v>52</v>
      </c>
      <c r="AF647" t="s">
        <v>52</v>
      </c>
      <c r="AH647">
        <v>0</v>
      </c>
      <c r="AI647">
        <v>0</v>
      </c>
      <c r="AJ647" t="s">
        <v>52</v>
      </c>
      <c r="AK647">
        <v>0</v>
      </c>
      <c r="AL647" t="s">
        <v>52</v>
      </c>
      <c r="AM647" t="s">
        <v>52</v>
      </c>
      <c r="AN647">
        <v>0</v>
      </c>
      <c r="AO647">
        <v>0</v>
      </c>
      <c r="AP647" t="s">
        <v>52</v>
      </c>
      <c r="AQ647" t="s">
        <v>52</v>
      </c>
      <c r="AR647" t="s">
        <v>62</v>
      </c>
      <c r="AS647" t="s">
        <v>52</v>
      </c>
      <c r="AT647" t="s">
        <v>52</v>
      </c>
      <c r="AU647" t="s">
        <v>64</v>
      </c>
      <c r="AV647" t="s">
        <v>62</v>
      </c>
      <c r="AW647" t="s">
        <v>65</v>
      </c>
      <c r="AX647" t="s">
        <v>66</v>
      </c>
      <c r="AY647" t="s">
        <v>67</v>
      </c>
    </row>
    <row r="648" spans="1:51" hidden="1" x14ac:dyDescent="0.25">
      <c r="A648">
        <v>202814</v>
      </c>
      <c r="B648" t="s">
        <v>2533</v>
      </c>
      <c r="C648" t="e">
        <f>VLOOKUP(A648,[1]Customer_payment_journal_line!$AL:$BO,30,0)</f>
        <v>#N/A</v>
      </c>
      <c r="D648" t="s">
        <v>53</v>
      </c>
      <c r="E648" t="s">
        <v>2531</v>
      </c>
      <c r="F648" t="s">
        <v>2532</v>
      </c>
      <c r="G648" t="s">
        <v>2356</v>
      </c>
      <c r="H648" t="s">
        <v>69</v>
      </c>
      <c r="I648" t="s">
        <v>339</v>
      </c>
      <c r="J648" t="s">
        <v>2525</v>
      </c>
      <c r="K648" t="s">
        <v>2526</v>
      </c>
      <c r="L648" t="s">
        <v>52</v>
      </c>
      <c r="M648">
        <v>0</v>
      </c>
      <c r="N648">
        <v>855</v>
      </c>
      <c r="O648" t="s">
        <v>61</v>
      </c>
      <c r="P648">
        <v>100</v>
      </c>
      <c r="Q648" t="s">
        <v>52</v>
      </c>
      <c r="R648" t="s">
        <v>52</v>
      </c>
      <c r="S648" t="s">
        <v>52</v>
      </c>
      <c r="T648" t="s">
        <v>52</v>
      </c>
      <c r="U648" t="s">
        <v>52</v>
      </c>
      <c r="V648" t="s">
        <v>62</v>
      </c>
      <c r="W648" t="s">
        <v>52</v>
      </c>
      <c r="Y648" t="s">
        <v>340</v>
      </c>
      <c r="Z648" t="s">
        <v>62</v>
      </c>
      <c r="AB648" t="s">
        <v>2534</v>
      </c>
      <c r="AE648" t="s">
        <v>2535</v>
      </c>
      <c r="AF648" t="s">
        <v>52</v>
      </c>
      <c r="AH648">
        <v>0</v>
      </c>
      <c r="AI648">
        <v>0</v>
      </c>
      <c r="AJ648" t="s">
        <v>52</v>
      </c>
      <c r="AK648">
        <v>0</v>
      </c>
      <c r="AL648" t="s">
        <v>52</v>
      </c>
      <c r="AM648" t="s">
        <v>52</v>
      </c>
      <c r="AN648">
        <v>0</v>
      </c>
      <c r="AO648">
        <v>0</v>
      </c>
      <c r="AP648" t="s">
        <v>52</v>
      </c>
      <c r="AQ648" t="s">
        <v>52</v>
      </c>
      <c r="AR648" t="s">
        <v>62</v>
      </c>
      <c r="AS648" t="s">
        <v>52</v>
      </c>
      <c r="AT648" t="s">
        <v>74</v>
      </c>
      <c r="AU648" t="s">
        <v>64</v>
      </c>
      <c r="AV648" t="s">
        <v>62</v>
      </c>
      <c r="AW648" t="s">
        <v>65</v>
      </c>
      <c r="AX648" t="s">
        <v>66</v>
      </c>
      <c r="AY648" t="s">
        <v>67</v>
      </c>
    </row>
    <row r="649" spans="1:51" hidden="1" x14ac:dyDescent="0.25">
      <c r="A649">
        <v>405987</v>
      </c>
      <c r="B649" t="s">
        <v>2536</v>
      </c>
      <c r="C649" t="e">
        <f>VLOOKUP(A649,[1]Customer_payment_journal_line!$AL:$BO,30,0)</f>
        <v>#N/A</v>
      </c>
      <c r="D649" t="s">
        <v>53</v>
      </c>
      <c r="E649" t="s">
        <v>2537</v>
      </c>
      <c r="F649" t="s">
        <v>2538</v>
      </c>
      <c r="G649" t="s">
        <v>2356</v>
      </c>
      <c r="H649" t="s">
        <v>57</v>
      </c>
      <c r="I649" t="s">
        <v>58</v>
      </c>
      <c r="J649" t="s">
        <v>336</v>
      </c>
      <c r="K649" t="s">
        <v>2539</v>
      </c>
      <c r="L649" t="s">
        <v>52</v>
      </c>
      <c r="M649">
        <v>798</v>
      </c>
      <c r="N649">
        <v>0</v>
      </c>
      <c r="O649" t="s">
        <v>61</v>
      </c>
      <c r="P649">
        <v>100</v>
      </c>
      <c r="Q649" t="s">
        <v>52</v>
      </c>
      <c r="R649" t="s">
        <v>52</v>
      </c>
      <c r="S649" t="s">
        <v>52</v>
      </c>
      <c r="T649" t="s">
        <v>52</v>
      </c>
      <c r="U649" t="s">
        <v>52</v>
      </c>
      <c r="V649" t="s">
        <v>62</v>
      </c>
      <c r="W649" t="s">
        <v>63</v>
      </c>
      <c r="Y649" t="s">
        <v>52</v>
      </c>
      <c r="AB649" t="s">
        <v>52</v>
      </c>
      <c r="AE649" t="s">
        <v>52</v>
      </c>
      <c r="AF649" t="s">
        <v>52</v>
      </c>
      <c r="AH649">
        <v>0</v>
      </c>
      <c r="AI649">
        <v>0</v>
      </c>
      <c r="AJ649" t="s">
        <v>52</v>
      </c>
      <c r="AK649">
        <v>0</v>
      </c>
      <c r="AL649" t="s">
        <v>52</v>
      </c>
      <c r="AM649" t="s">
        <v>52</v>
      </c>
      <c r="AN649">
        <v>0</v>
      </c>
      <c r="AO649">
        <v>0</v>
      </c>
      <c r="AP649" t="s">
        <v>52</v>
      </c>
      <c r="AQ649" t="s">
        <v>52</v>
      </c>
      <c r="AR649" t="s">
        <v>62</v>
      </c>
      <c r="AS649" t="s">
        <v>52</v>
      </c>
      <c r="AT649" t="s">
        <v>52</v>
      </c>
      <c r="AU649" t="s">
        <v>64</v>
      </c>
      <c r="AV649" t="s">
        <v>62</v>
      </c>
      <c r="AW649" t="s">
        <v>65</v>
      </c>
      <c r="AX649" t="s">
        <v>66</v>
      </c>
      <c r="AY649" t="s">
        <v>67</v>
      </c>
    </row>
    <row r="650" spans="1:51" hidden="1" x14ac:dyDescent="0.25">
      <c r="A650">
        <v>405987</v>
      </c>
      <c r="B650" t="s">
        <v>2540</v>
      </c>
      <c r="C650" t="e">
        <f>VLOOKUP(A650,[1]Customer_payment_journal_line!$AL:$BO,30,0)</f>
        <v>#N/A</v>
      </c>
      <c r="D650" t="s">
        <v>53</v>
      </c>
      <c r="E650" t="s">
        <v>2537</v>
      </c>
      <c r="F650" t="s">
        <v>2538</v>
      </c>
      <c r="G650" t="s">
        <v>2356</v>
      </c>
      <c r="H650" t="s">
        <v>69</v>
      </c>
      <c r="I650" t="s">
        <v>339</v>
      </c>
      <c r="J650" t="s">
        <v>336</v>
      </c>
      <c r="K650" t="s">
        <v>2539</v>
      </c>
      <c r="L650" t="s">
        <v>52</v>
      </c>
      <c r="M650">
        <v>0</v>
      </c>
      <c r="N650">
        <v>798</v>
      </c>
      <c r="O650" t="s">
        <v>61</v>
      </c>
      <c r="P650">
        <v>100</v>
      </c>
      <c r="Q650" t="s">
        <v>52</v>
      </c>
      <c r="R650" t="s">
        <v>52</v>
      </c>
      <c r="S650" t="s">
        <v>52</v>
      </c>
      <c r="T650" t="s">
        <v>52</v>
      </c>
      <c r="U650" t="s">
        <v>52</v>
      </c>
      <c r="V650" t="s">
        <v>62</v>
      </c>
      <c r="W650" t="s">
        <v>52</v>
      </c>
      <c r="Y650" t="s">
        <v>340</v>
      </c>
      <c r="Z650" t="s">
        <v>62</v>
      </c>
      <c r="AB650" t="s">
        <v>2541</v>
      </c>
      <c r="AE650" t="s">
        <v>2542</v>
      </c>
      <c r="AF650" t="s">
        <v>52</v>
      </c>
      <c r="AH650">
        <v>0</v>
      </c>
      <c r="AI650">
        <v>0</v>
      </c>
      <c r="AJ650" t="s">
        <v>52</v>
      </c>
      <c r="AK650">
        <v>0</v>
      </c>
      <c r="AL650" t="s">
        <v>52</v>
      </c>
      <c r="AM650" t="s">
        <v>52</v>
      </c>
      <c r="AN650">
        <v>0</v>
      </c>
      <c r="AO650">
        <v>0</v>
      </c>
      <c r="AP650" t="s">
        <v>52</v>
      </c>
      <c r="AQ650" t="s">
        <v>52</v>
      </c>
      <c r="AR650" t="s">
        <v>62</v>
      </c>
      <c r="AS650" t="s">
        <v>52</v>
      </c>
      <c r="AT650" t="s">
        <v>74</v>
      </c>
      <c r="AU650" t="s">
        <v>64</v>
      </c>
      <c r="AV650" t="s">
        <v>62</v>
      </c>
      <c r="AW650" t="s">
        <v>65</v>
      </c>
      <c r="AX650" t="s">
        <v>66</v>
      </c>
      <c r="AY650" t="s">
        <v>67</v>
      </c>
    </row>
    <row r="651" spans="1:51" hidden="1" x14ac:dyDescent="0.25">
      <c r="A651">
        <v>405988</v>
      </c>
      <c r="B651" t="s">
        <v>2543</v>
      </c>
      <c r="C651" t="e">
        <f>VLOOKUP(A651,[1]Customer_payment_journal_line!$AL:$BO,30,0)</f>
        <v>#N/A</v>
      </c>
      <c r="D651" t="s">
        <v>53</v>
      </c>
      <c r="E651" t="s">
        <v>2544</v>
      </c>
      <c r="F651" t="s">
        <v>2545</v>
      </c>
      <c r="G651" t="s">
        <v>2356</v>
      </c>
      <c r="H651" t="s">
        <v>57</v>
      </c>
      <c r="I651" t="s">
        <v>58</v>
      </c>
      <c r="J651" t="s">
        <v>336</v>
      </c>
      <c r="K651" t="s">
        <v>2539</v>
      </c>
      <c r="L651" t="s">
        <v>52</v>
      </c>
      <c r="M651">
        <v>855</v>
      </c>
      <c r="N651">
        <v>0</v>
      </c>
      <c r="O651" t="s">
        <v>61</v>
      </c>
      <c r="P651">
        <v>100</v>
      </c>
      <c r="Q651" t="s">
        <v>52</v>
      </c>
      <c r="R651" t="s">
        <v>52</v>
      </c>
      <c r="S651" t="s">
        <v>52</v>
      </c>
      <c r="T651" t="s">
        <v>52</v>
      </c>
      <c r="U651" t="s">
        <v>52</v>
      </c>
      <c r="V651" t="s">
        <v>62</v>
      </c>
      <c r="W651" t="s">
        <v>63</v>
      </c>
      <c r="Y651" t="s">
        <v>52</v>
      </c>
      <c r="AB651" t="s">
        <v>52</v>
      </c>
      <c r="AE651" t="s">
        <v>52</v>
      </c>
      <c r="AF651" t="s">
        <v>52</v>
      </c>
      <c r="AH651">
        <v>0</v>
      </c>
      <c r="AI651">
        <v>0</v>
      </c>
      <c r="AJ651" t="s">
        <v>52</v>
      </c>
      <c r="AK651">
        <v>0</v>
      </c>
      <c r="AL651" t="s">
        <v>52</v>
      </c>
      <c r="AM651" t="s">
        <v>52</v>
      </c>
      <c r="AN651">
        <v>0</v>
      </c>
      <c r="AO651">
        <v>0</v>
      </c>
      <c r="AP651" t="s">
        <v>52</v>
      </c>
      <c r="AQ651" t="s">
        <v>52</v>
      </c>
      <c r="AR651" t="s">
        <v>62</v>
      </c>
      <c r="AS651" t="s">
        <v>52</v>
      </c>
      <c r="AT651" t="s">
        <v>52</v>
      </c>
      <c r="AU651" t="s">
        <v>64</v>
      </c>
      <c r="AV651" t="s">
        <v>62</v>
      </c>
      <c r="AW651" t="s">
        <v>65</v>
      </c>
      <c r="AX651" t="s">
        <v>66</v>
      </c>
      <c r="AY651" t="s">
        <v>67</v>
      </c>
    </row>
    <row r="652" spans="1:51" hidden="1" x14ac:dyDescent="0.25">
      <c r="A652">
        <v>405988</v>
      </c>
      <c r="B652" t="s">
        <v>2546</v>
      </c>
      <c r="C652" t="e">
        <f>VLOOKUP(A652,[1]Customer_payment_journal_line!$AL:$BO,30,0)</f>
        <v>#N/A</v>
      </c>
      <c r="D652" t="s">
        <v>53</v>
      </c>
      <c r="E652" t="s">
        <v>2544</v>
      </c>
      <c r="F652" t="s">
        <v>2545</v>
      </c>
      <c r="G652" t="s">
        <v>2356</v>
      </c>
      <c r="H652" t="s">
        <v>69</v>
      </c>
      <c r="I652" t="s">
        <v>339</v>
      </c>
      <c r="J652" t="s">
        <v>336</v>
      </c>
      <c r="K652" t="s">
        <v>2539</v>
      </c>
      <c r="L652" t="s">
        <v>52</v>
      </c>
      <c r="M652">
        <v>0</v>
      </c>
      <c r="N652">
        <v>855</v>
      </c>
      <c r="O652" t="s">
        <v>61</v>
      </c>
      <c r="P652">
        <v>100</v>
      </c>
      <c r="Q652" t="s">
        <v>52</v>
      </c>
      <c r="R652" t="s">
        <v>52</v>
      </c>
      <c r="S652" t="s">
        <v>52</v>
      </c>
      <c r="T652" t="s">
        <v>52</v>
      </c>
      <c r="U652" t="s">
        <v>52</v>
      </c>
      <c r="V652" t="s">
        <v>62</v>
      </c>
      <c r="W652" t="s">
        <v>52</v>
      </c>
      <c r="Y652" t="s">
        <v>340</v>
      </c>
      <c r="Z652" t="s">
        <v>62</v>
      </c>
      <c r="AB652" t="s">
        <v>2547</v>
      </c>
      <c r="AE652" t="s">
        <v>2548</v>
      </c>
      <c r="AF652" t="s">
        <v>52</v>
      </c>
      <c r="AH652">
        <v>0</v>
      </c>
      <c r="AI652">
        <v>0</v>
      </c>
      <c r="AJ652" t="s">
        <v>52</v>
      </c>
      <c r="AK652">
        <v>0</v>
      </c>
      <c r="AL652" t="s">
        <v>52</v>
      </c>
      <c r="AM652" t="s">
        <v>52</v>
      </c>
      <c r="AN652">
        <v>0</v>
      </c>
      <c r="AO652">
        <v>0</v>
      </c>
      <c r="AP652" t="s">
        <v>52</v>
      </c>
      <c r="AQ652" t="s">
        <v>52</v>
      </c>
      <c r="AR652" t="s">
        <v>62</v>
      </c>
      <c r="AS652" t="s">
        <v>52</v>
      </c>
      <c r="AT652" t="s">
        <v>74</v>
      </c>
      <c r="AU652" t="s">
        <v>64</v>
      </c>
      <c r="AV652" t="s">
        <v>62</v>
      </c>
      <c r="AW652" t="s">
        <v>65</v>
      </c>
      <c r="AX652" t="s">
        <v>66</v>
      </c>
      <c r="AY652" t="s">
        <v>67</v>
      </c>
    </row>
    <row r="653" spans="1:51" hidden="1" x14ac:dyDescent="0.25">
      <c r="A653">
        <v>202824</v>
      </c>
      <c r="B653" t="s">
        <v>2549</v>
      </c>
      <c r="C653" t="str">
        <f>VLOOKUP(A653,[1]Customer_payment_journal_line!$AL:$BO,30,0)</f>
        <v>CPay-000000053</v>
      </c>
      <c r="D653" t="s">
        <v>53</v>
      </c>
      <c r="E653" t="s">
        <v>2550</v>
      </c>
      <c r="F653" t="s">
        <v>2551</v>
      </c>
      <c r="G653" t="s">
        <v>2552</v>
      </c>
      <c r="H653" t="s">
        <v>57</v>
      </c>
      <c r="I653" t="s">
        <v>95</v>
      </c>
      <c r="J653" t="s">
        <v>2553</v>
      </c>
      <c r="K653" t="s">
        <v>2554</v>
      </c>
      <c r="L653">
        <f>VLOOKUP(A653,[1]Customer_payment_journal_line!$B:$L,11,0)</f>
        <v>2052</v>
      </c>
      <c r="M653" s="1">
        <v>2052</v>
      </c>
      <c r="N653" s="2">
        <f>L653-M653</f>
        <v>0</v>
      </c>
      <c r="O653" t="s">
        <v>61</v>
      </c>
      <c r="P653">
        <v>100</v>
      </c>
      <c r="Q653" t="s">
        <v>52</v>
      </c>
      <c r="R653" t="s">
        <v>52</v>
      </c>
      <c r="S653" t="s">
        <v>52</v>
      </c>
      <c r="T653" t="s">
        <v>52</v>
      </c>
      <c r="U653" t="s">
        <v>52</v>
      </c>
      <c r="V653" t="s">
        <v>62</v>
      </c>
      <c r="W653" t="s">
        <v>63</v>
      </c>
      <c r="Y653" t="s">
        <v>52</v>
      </c>
      <c r="AB653" t="s">
        <v>52</v>
      </c>
      <c r="AE653" t="s">
        <v>52</v>
      </c>
      <c r="AF653" t="s">
        <v>52</v>
      </c>
      <c r="AH653">
        <v>0</v>
      </c>
      <c r="AI653">
        <v>0</v>
      </c>
      <c r="AJ653" t="s">
        <v>52</v>
      </c>
      <c r="AK653">
        <v>0</v>
      </c>
      <c r="AL653" t="s">
        <v>52</v>
      </c>
      <c r="AM653" t="s">
        <v>52</v>
      </c>
      <c r="AN653">
        <v>0</v>
      </c>
      <c r="AO653">
        <v>0</v>
      </c>
      <c r="AP653" t="s">
        <v>52</v>
      </c>
      <c r="AQ653" t="s">
        <v>52</v>
      </c>
      <c r="AR653" t="s">
        <v>62</v>
      </c>
      <c r="AS653" t="s">
        <v>52</v>
      </c>
      <c r="AT653" t="s">
        <v>52</v>
      </c>
      <c r="AU653" t="s">
        <v>64</v>
      </c>
      <c r="AV653" t="s">
        <v>62</v>
      </c>
      <c r="AW653" t="s">
        <v>65</v>
      </c>
      <c r="AX653" t="s">
        <v>66</v>
      </c>
      <c r="AY653" t="s">
        <v>67</v>
      </c>
    </row>
    <row r="654" spans="1:51" hidden="1" x14ac:dyDescent="0.25">
      <c r="A654">
        <v>202824</v>
      </c>
      <c r="B654" t="s">
        <v>2555</v>
      </c>
      <c r="C654" t="str">
        <f>VLOOKUP(A654,[1]Customer_payment_journal_line!$AL:$BO,30,0)</f>
        <v>CPay-000000053</v>
      </c>
      <c r="D654" t="s">
        <v>53</v>
      </c>
      <c r="E654" t="s">
        <v>2550</v>
      </c>
      <c r="F654" t="s">
        <v>2551</v>
      </c>
      <c r="G654" t="s">
        <v>2552</v>
      </c>
      <c r="H654" t="s">
        <v>69</v>
      </c>
      <c r="I654" t="s">
        <v>242</v>
      </c>
      <c r="J654" t="s">
        <v>2553</v>
      </c>
      <c r="K654" t="s">
        <v>2554</v>
      </c>
      <c r="L654">
        <f>VLOOKUP(A654,[1]Customer_payment_journal_line!$B:$L,11,0)</f>
        <v>2052</v>
      </c>
      <c r="M654" s="1">
        <v>0</v>
      </c>
      <c r="N654">
        <v>2052</v>
      </c>
      <c r="O654" t="s">
        <v>61</v>
      </c>
      <c r="P654">
        <v>100</v>
      </c>
      <c r="Q654" t="s">
        <v>52</v>
      </c>
      <c r="R654" t="s">
        <v>52</v>
      </c>
      <c r="S654" t="s">
        <v>52</v>
      </c>
      <c r="T654" t="s">
        <v>52</v>
      </c>
      <c r="U654" t="s">
        <v>52</v>
      </c>
      <c r="V654" t="s">
        <v>62</v>
      </c>
      <c r="W654" t="s">
        <v>52</v>
      </c>
      <c r="Y654" t="s">
        <v>243</v>
      </c>
      <c r="Z654" t="s">
        <v>62</v>
      </c>
      <c r="AB654" t="s">
        <v>2556</v>
      </c>
      <c r="AE654" t="s">
        <v>2557</v>
      </c>
      <c r="AF654" t="s">
        <v>52</v>
      </c>
      <c r="AH654">
        <v>0</v>
      </c>
      <c r="AI654">
        <v>0</v>
      </c>
      <c r="AJ654" t="s">
        <v>52</v>
      </c>
      <c r="AK654">
        <v>0</v>
      </c>
      <c r="AL654" t="s">
        <v>52</v>
      </c>
      <c r="AM654" t="s">
        <v>52</v>
      </c>
      <c r="AN654">
        <v>0</v>
      </c>
      <c r="AO654">
        <v>0</v>
      </c>
      <c r="AP654" t="s">
        <v>52</v>
      </c>
      <c r="AQ654" t="s">
        <v>52</v>
      </c>
      <c r="AR654" t="s">
        <v>62</v>
      </c>
      <c r="AS654" t="s">
        <v>52</v>
      </c>
      <c r="AT654" t="s">
        <v>74</v>
      </c>
      <c r="AU654" t="s">
        <v>64</v>
      </c>
      <c r="AV654" t="s">
        <v>62</v>
      </c>
      <c r="AW654" t="s">
        <v>65</v>
      </c>
      <c r="AX654" t="s">
        <v>66</v>
      </c>
      <c r="AY654" t="s">
        <v>67</v>
      </c>
    </row>
    <row r="655" spans="1:51" hidden="1" x14ac:dyDescent="0.25">
      <c r="A655">
        <v>202825</v>
      </c>
      <c r="B655" t="s">
        <v>2558</v>
      </c>
      <c r="C655" t="str">
        <f>VLOOKUP(A655,[1]Customer_payment_journal_line!$AL:$BO,30,0)</f>
        <v>CPay-000000054</v>
      </c>
      <c r="D655" t="s">
        <v>53</v>
      </c>
      <c r="E655" t="s">
        <v>2559</v>
      </c>
      <c r="F655" t="s">
        <v>2560</v>
      </c>
      <c r="G655" t="s">
        <v>2552</v>
      </c>
      <c r="H655" t="s">
        <v>57</v>
      </c>
      <c r="I655" t="s">
        <v>95</v>
      </c>
      <c r="J655" t="s">
        <v>2553</v>
      </c>
      <c r="K655" t="s">
        <v>2554</v>
      </c>
      <c r="L655">
        <f>VLOOKUP(A655,[1]Customer_payment_journal_line!$B:$L,11,0)</f>
        <v>751.26</v>
      </c>
      <c r="M655" s="1">
        <v>751.26</v>
      </c>
      <c r="N655" s="2">
        <f>L655-M655</f>
        <v>0</v>
      </c>
      <c r="O655" t="s">
        <v>61</v>
      </c>
      <c r="P655">
        <v>100</v>
      </c>
      <c r="Q655" t="s">
        <v>52</v>
      </c>
      <c r="R655" t="s">
        <v>52</v>
      </c>
      <c r="S655" t="s">
        <v>52</v>
      </c>
      <c r="T655" t="s">
        <v>52</v>
      </c>
      <c r="U655" t="s">
        <v>52</v>
      </c>
      <c r="V655" t="s">
        <v>62</v>
      </c>
      <c r="W655" t="s">
        <v>63</v>
      </c>
      <c r="Y655" t="s">
        <v>52</v>
      </c>
      <c r="AB655" t="s">
        <v>52</v>
      </c>
      <c r="AE655" t="s">
        <v>52</v>
      </c>
      <c r="AF655" t="s">
        <v>52</v>
      </c>
      <c r="AH655">
        <v>0</v>
      </c>
      <c r="AI655">
        <v>0</v>
      </c>
      <c r="AJ655" t="s">
        <v>52</v>
      </c>
      <c r="AK655">
        <v>0</v>
      </c>
      <c r="AL655" t="s">
        <v>52</v>
      </c>
      <c r="AM655" t="s">
        <v>52</v>
      </c>
      <c r="AN655">
        <v>0</v>
      </c>
      <c r="AO655">
        <v>0</v>
      </c>
      <c r="AP655" t="s">
        <v>52</v>
      </c>
      <c r="AQ655" t="s">
        <v>52</v>
      </c>
      <c r="AR655" t="s">
        <v>62</v>
      </c>
      <c r="AS655" t="s">
        <v>52</v>
      </c>
      <c r="AT655" t="s">
        <v>52</v>
      </c>
      <c r="AU655" t="s">
        <v>64</v>
      </c>
      <c r="AV655" t="s">
        <v>62</v>
      </c>
      <c r="AW655" t="s">
        <v>65</v>
      </c>
      <c r="AX655" t="s">
        <v>66</v>
      </c>
      <c r="AY655" t="s">
        <v>67</v>
      </c>
    </row>
    <row r="656" spans="1:51" hidden="1" x14ac:dyDescent="0.25">
      <c r="A656">
        <v>202825</v>
      </c>
      <c r="B656" t="s">
        <v>2561</v>
      </c>
      <c r="C656" t="str">
        <f>VLOOKUP(A656,[1]Customer_payment_journal_line!$AL:$BO,30,0)</f>
        <v>CPay-000000054</v>
      </c>
      <c r="D656" t="s">
        <v>53</v>
      </c>
      <c r="E656" t="s">
        <v>2559</v>
      </c>
      <c r="F656" t="s">
        <v>2560</v>
      </c>
      <c r="G656" t="s">
        <v>2552</v>
      </c>
      <c r="H656" t="s">
        <v>69</v>
      </c>
      <c r="I656" t="s">
        <v>242</v>
      </c>
      <c r="J656" t="s">
        <v>2553</v>
      </c>
      <c r="K656" t="s">
        <v>2554</v>
      </c>
      <c r="L656">
        <f>VLOOKUP(A656,[1]Customer_payment_journal_line!$B:$L,11,0)</f>
        <v>751.26</v>
      </c>
      <c r="M656" s="1">
        <v>0</v>
      </c>
      <c r="N656">
        <v>751.26</v>
      </c>
      <c r="O656" t="s">
        <v>61</v>
      </c>
      <c r="P656">
        <v>100</v>
      </c>
      <c r="Q656" t="s">
        <v>52</v>
      </c>
      <c r="R656" t="s">
        <v>52</v>
      </c>
      <c r="S656" t="s">
        <v>52</v>
      </c>
      <c r="T656" t="s">
        <v>52</v>
      </c>
      <c r="U656" t="s">
        <v>52</v>
      </c>
      <c r="V656" t="s">
        <v>62</v>
      </c>
      <c r="W656" t="s">
        <v>52</v>
      </c>
      <c r="Y656" t="s">
        <v>243</v>
      </c>
      <c r="Z656" t="s">
        <v>62</v>
      </c>
      <c r="AB656" t="s">
        <v>2562</v>
      </c>
      <c r="AE656" t="s">
        <v>2563</v>
      </c>
      <c r="AF656" t="s">
        <v>52</v>
      </c>
      <c r="AH656">
        <v>0</v>
      </c>
      <c r="AI656">
        <v>0</v>
      </c>
      <c r="AJ656" t="s">
        <v>52</v>
      </c>
      <c r="AK656">
        <v>0</v>
      </c>
      <c r="AL656" t="s">
        <v>52</v>
      </c>
      <c r="AM656" t="s">
        <v>52</v>
      </c>
      <c r="AN656">
        <v>0</v>
      </c>
      <c r="AO656">
        <v>0</v>
      </c>
      <c r="AP656" t="s">
        <v>52</v>
      </c>
      <c r="AQ656" t="s">
        <v>52</v>
      </c>
      <c r="AR656" t="s">
        <v>62</v>
      </c>
      <c r="AS656" t="s">
        <v>52</v>
      </c>
      <c r="AT656" t="s">
        <v>74</v>
      </c>
      <c r="AU656" t="s">
        <v>64</v>
      </c>
      <c r="AV656" t="s">
        <v>62</v>
      </c>
      <c r="AW656" t="s">
        <v>65</v>
      </c>
      <c r="AX656" t="s">
        <v>66</v>
      </c>
      <c r="AY656" t="s">
        <v>67</v>
      </c>
    </row>
    <row r="657" spans="1:51" hidden="1" x14ac:dyDescent="0.25">
      <c r="A657">
        <v>202874</v>
      </c>
      <c r="B657" t="s">
        <v>2564</v>
      </c>
      <c r="C657" t="e">
        <f>VLOOKUP(A657,[1]Customer_payment_journal_line!$AL:$BO,30,0)</f>
        <v>#N/A</v>
      </c>
      <c r="D657" t="s">
        <v>53</v>
      </c>
      <c r="E657" t="s">
        <v>2565</v>
      </c>
      <c r="F657" t="s">
        <v>2566</v>
      </c>
      <c r="G657" t="s">
        <v>2552</v>
      </c>
      <c r="H657" t="s">
        <v>210</v>
      </c>
      <c r="I657" t="s">
        <v>2567</v>
      </c>
      <c r="K657" t="s">
        <v>2568</v>
      </c>
      <c r="L657" t="s">
        <v>1450</v>
      </c>
      <c r="M657" s="1">
        <v>620.70000000000005</v>
      </c>
      <c r="N657">
        <v>0</v>
      </c>
      <c r="O657" t="s">
        <v>61</v>
      </c>
      <c r="P657">
        <v>100</v>
      </c>
      <c r="Q657" t="s">
        <v>52</v>
      </c>
      <c r="R657" t="s">
        <v>52</v>
      </c>
      <c r="S657" t="s">
        <v>52</v>
      </c>
      <c r="T657" t="s">
        <v>52</v>
      </c>
      <c r="U657" t="s">
        <v>52</v>
      </c>
      <c r="V657" t="s">
        <v>62</v>
      </c>
      <c r="W657" t="s">
        <v>63</v>
      </c>
      <c r="Y657" t="s">
        <v>52</v>
      </c>
      <c r="Z657" t="s">
        <v>62</v>
      </c>
      <c r="AB657" t="s">
        <v>2569</v>
      </c>
      <c r="AC657" t="s">
        <v>1063</v>
      </c>
      <c r="AD657" t="s">
        <v>1063</v>
      </c>
      <c r="AF657" t="s">
        <v>52</v>
      </c>
      <c r="AH657">
        <v>0</v>
      </c>
      <c r="AI657">
        <v>0</v>
      </c>
      <c r="AJ657" t="s">
        <v>52</v>
      </c>
      <c r="AK657">
        <v>0</v>
      </c>
      <c r="AL657" t="s">
        <v>52</v>
      </c>
      <c r="AM657" t="s">
        <v>52</v>
      </c>
      <c r="AN657">
        <v>0</v>
      </c>
      <c r="AO657">
        <v>0</v>
      </c>
      <c r="AP657" t="s">
        <v>52</v>
      </c>
      <c r="AQ657" t="s">
        <v>52</v>
      </c>
      <c r="AR657" t="s">
        <v>62</v>
      </c>
      <c r="AS657" t="s">
        <v>52</v>
      </c>
      <c r="AT657" t="s">
        <v>52</v>
      </c>
      <c r="AU657" t="s">
        <v>64</v>
      </c>
      <c r="AV657" t="s">
        <v>62</v>
      </c>
      <c r="AW657" t="s">
        <v>65</v>
      </c>
      <c r="AX657" t="s">
        <v>702</v>
      </c>
      <c r="AY657" t="s">
        <v>67</v>
      </c>
    </row>
    <row r="658" spans="1:51" hidden="1" x14ac:dyDescent="0.25">
      <c r="A658">
        <v>202874</v>
      </c>
      <c r="B658" t="s">
        <v>2570</v>
      </c>
      <c r="C658" t="e">
        <f>VLOOKUP(A658,[1]Customer_payment_journal_line!$AL:$BO,30,0)</f>
        <v>#N/A</v>
      </c>
      <c r="D658" t="s">
        <v>53</v>
      </c>
      <c r="E658" t="s">
        <v>2565</v>
      </c>
      <c r="F658" t="s">
        <v>2566</v>
      </c>
      <c r="G658" t="s">
        <v>2552</v>
      </c>
      <c r="H658" t="s">
        <v>210</v>
      </c>
      <c r="I658" t="s">
        <v>2571</v>
      </c>
      <c r="K658" t="s">
        <v>2568</v>
      </c>
      <c r="L658" t="s">
        <v>1450</v>
      </c>
      <c r="M658" s="1">
        <v>1620</v>
      </c>
      <c r="N658">
        <v>0</v>
      </c>
      <c r="O658" t="s">
        <v>61</v>
      </c>
      <c r="P658">
        <v>100</v>
      </c>
      <c r="Q658" t="s">
        <v>52</v>
      </c>
      <c r="R658" t="s">
        <v>52</v>
      </c>
      <c r="S658" t="s">
        <v>52</v>
      </c>
      <c r="T658" t="s">
        <v>52</v>
      </c>
      <c r="U658" t="s">
        <v>52</v>
      </c>
      <c r="V658" t="s">
        <v>62</v>
      </c>
      <c r="W658" t="s">
        <v>63</v>
      </c>
      <c r="Y658" t="s">
        <v>52</v>
      </c>
      <c r="Z658" t="s">
        <v>62</v>
      </c>
      <c r="AB658" t="s">
        <v>2569</v>
      </c>
      <c r="AC658" t="s">
        <v>1063</v>
      </c>
      <c r="AD658" t="s">
        <v>1063</v>
      </c>
      <c r="AF658" t="s">
        <v>52</v>
      </c>
      <c r="AH658">
        <v>0</v>
      </c>
      <c r="AI658">
        <v>0</v>
      </c>
      <c r="AJ658" t="s">
        <v>52</v>
      </c>
      <c r="AK658">
        <v>0</v>
      </c>
      <c r="AL658" t="s">
        <v>52</v>
      </c>
      <c r="AM658" t="s">
        <v>52</v>
      </c>
      <c r="AN658">
        <v>0</v>
      </c>
      <c r="AO658">
        <v>0</v>
      </c>
      <c r="AP658" t="s">
        <v>52</v>
      </c>
      <c r="AQ658" t="s">
        <v>52</v>
      </c>
      <c r="AR658" t="s">
        <v>62</v>
      </c>
      <c r="AS658" t="s">
        <v>52</v>
      </c>
      <c r="AT658" t="s">
        <v>52</v>
      </c>
      <c r="AU658" t="s">
        <v>64</v>
      </c>
      <c r="AV658" t="s">
        <v>62</v>
      </c>
      <c r="AW658" t="s">
        <v>65</v>
      </c>
      <c r="AX658" t="s">
        <v>702</v>
      </c>
      <c r="AY658" t="s">
        <v>67</v>
      </c>
    </row>
    <row r="659" spans="1:51" hidden="1" x14ac:dyDescent="0.25">
      <c r="A659">
        <v>202874</v>
      </c>
      <c r="B659" t="s">
        <v>2572</v>
      </c>
      <c r="C659" t="e">
        <f>VLOOKUP(A659,[1]Customer_payment_journal_line!$AL:$BO,30,0)</f>
        <v>#N/A</v>
      </c>
      <c r="D659" t="s">
        <v>53</v>
      </c>
      <c r="E659" t="s">
        <v>2565</v>
      </c>
      <c r="F659" t="s">
        <v>2566</v>
      </c>
      <c r="G659" t="s">
        <v>2552</v>
      </c>
      <c r="H659" t="s">
        <v>704</v>
      </c>
      <c r="I659" t="s">
        <v>1463</v>
      </c>
      <c r="J659" t="s">
        <v>2573</v>
      </c>
      <c r="K659" t="s">
        <v>2568</v>
      </c>
      <c r="L659" t="s">
        <v>1450</v>
      </c>
      <c r="M659" s="1">
        <v>0</v>
      </c>
      <c r="N659">
        <v>6000</v>
      </c>
      <c r="O659" t="s">
        <v>61</v>
      </c>
      <c r="P659">
        <v>100</v>
      </c>
      <c r="Q659" t="s">
        <v>52</v>
      </c>
      <c r="R659" t="s">
        <v>52</v>
      </c>
      <c r="S659" t="s">
        <v>52</v>
      </c>
      <c r="T659" t="s">
        <v>52</v>
      </c>
      <c r="U659" t="s">
        <v>52</v>
      </c>
      <c r="V659" t="s">
        <v>62</v>
      </c>
      <c r="W659" t="s">
        <v>52</v>
      </c>
      <c r="Z659" t="s">
        <v>62</v>
      </c>
      <c r="AB659" t="s">
        <v>2569</v>
      </c>
      <c r="AC659" t="s">
        <v>1063</v>
      </c>
      <c r="AD659" t="s">
        <v>1063</v>
      </c>
      <c r="AF659" t="s">
        <v>52</v>
      </c>
      <c r="AH659">
        <v>0</v>
      </c>
      <c r="AI659">
        <v>0</v>
      </c>
      <c r="AJ659" t="s">
        <v>52</v>
      </c>
      <c r="AK659">
        <v>0</v>
      </c>
      <c r="AL659" t="s">
        <v>52</v>
      </c>
      <c r="AM659" t="s">
        <v>52</v>
      </c>
      <c r="AN659">
        <v>0</v>
      </c>
      <c r="AO659">
        <v>0</v>
      </c>
      <c r="AP659" t="s">
        <v>52</v>
      </c>
      <c r="AQ659" t="s">
        <v>52</v>
      </c>
      <c r="AR659" t="s">
        <v>62</v>
      </c>
      <c r="AS659" t="s">
        <v>52</v>
      </c>
      <c r="AT659" t="s">
        <v>710</v>
      </c>
      <c r="AU659" t="s">
        <v>64</v>
      </c>
      <c r="AV659" t="s">
        <v>62</v>
      </c>
      <c r="AW659" t="s">
        <v>65</v>
      </c>
      <c r="AX659" t="s">
        <v>702</v>
      </c>
      <c r="AY659" t="s">
        <v>67</v>
      </c>
    </row>
    <row r="660" spans="1:51" hidden="1" x14ac:dyDescent="0.25">
      <c r="A660">
        <v>202874</v>
      </c>
      <c r="B660" t="s">
        <v>2574</v>
      </c>
      <c r="C660" t="e">
        <f>VLOOKUP(A660,[1]Customer_payment_journal_line!$AL:$BO,30,0)</f>
        <v>#N/A</v>
      </c>
      <c r="D660" t="s">
        <v>53</v>
      </c>
      <c r="E660" t="s">
        <v>2565</v>
      </c>
      <c r="F660" t="s">
        <v>2566</v>
      </c>
      <c r="G660" t="s">
        <v>2552</v>
      </c>
      <c r="H660" t="s">
        <v>201</v>
      </c>
      <c r="I660" t="s">
        <v>95</v>
      </c>
      <c r="J660" t="s">
        <v>2573</v>
      </c>
      <c r="K660" t="s">
        <v>2568</v>
      </c>
      <c r="L660" t="s">
        <v>52</v>
      </c>
      <c r="M660" s="1">
        <v>3759.3</v>
      </c>
      <c r="N660">
        <v>0</v>
      </c>
      <c r="O660" t="s">
        <v>61</v>
      </c>
      <c r="P660">
        <v>100</v>
      </c>
      <c r="Q660" t="s">
        <v>52</v>
      </c>
      <c r="R660" t="s">
        <v>52</v>
      </c>
      <c r="S660" t="s">
        <v>52</v>
      </c>
      <c r="T660" t="s">
        <v>52</v>
      </c>
      <c r="U660" t="s">
        <v>52</v>
      </c>
      <c r="V660" t="s">
        <v>62</v>
      </c>
      <c r="W660" t="s">
        <v>63</v>
      </c>
      <c r="Y660" t="s">
        <v>52</v>
      </c>
      <c r="AB660" t="s">
        <v>2569</v>
      </c>
      <c r="AC660" t="s">
        <v>1063</v>
      </c>
      <c r="AD660" t="s">
        <v>1063</v>
      </c>
      <c r="AF660" t="s">
        <v>52</v>
      </c>
      <c r="AH660">
        <v>0</v>
      </c>
      <c r="AI660">
        <v>0</v>
      </c>
      <c r="AJ660" t="s">
        <v>52</v>
      </c>
      <c r="AK660">
        <v>0</v>
      </c>
      <c r="AL660" t="s">
        <v>52</v>
      </c>
      <c r="AM660" t="s">
        <v>52</v>
      </c>
      <c r="AN660">
        <v>0</v>
      </c>
      <c r="AO660">
        <v>0</v>
      </c>
      <c r="AP660" t="s">
        <v>52</v>
      </c>
      <c r="AQ660" t="s">
        <v>52</v>
      </c>
      <c r="AR660" t="s">
        <v>62</v>
      </c>
      <c r="AS660" t="s">
        <v>52</v>
      </c>
      <c r="AT660" t="s">
        <v>52</v>
      </c>
      <c r="AU660" t="s">
        <v>64</v>
      </c>
      <c r="AV660" t="s">
        <v>62</v>
      </c>
      <c r="AW660" t="s">
        <v>65</v>
      </c>
      <c r="AX660" t="s">
        <v>702</v>
      </c>
      <c r="AY660" t="s">
        <v>67</v>
      </c>
    </row>
    <row r="661" spans="1:51" hidden="1" x14ac:dyDescent="0.25">
      <c r="A661">
        <v>202875</v>
      </c>
      <c r="B661" t="s">
        <v>2575</v>
      </c>
      <c r="C661" t="e">
        <f>VLOOKUP(A661,[1]Customer_payment_journal_line!$AL:$BO,30,0)</f>
        <v>#N/A</v>
      </c>
      <c r="D661" t="s">
        <v>53</v>
      </c>
      <c r="E661" t="s">
        <v>2576</v>
      </c>
      <c r="F661" t="s">
        <v>2577</v>
      </c>
      <c r="G661" t="s">
        <v>2552</v>
      </c>
      <c r="H661" t="s">
        <v>210</v>
      </c>
      <c r="I661" t="s">
        <v>2578</v>
      </c>
      <c r="K661" t="s">
        <v>2579</v>
      </c>
      <c r="L661" t="s">
        <v>1450</v>
      </c>
      <c r="M661" s="1">
        <v>50</v>
      </c>
      <c r="N661">
        <v>0</v>
      </c>
      <c r="O661" t="s">
        <v>61</v>
      </c>
      <c r="P661">
        <v>100</v>
      </c>
      <c r="Q661" t="s">
        <v>52</v>
      </c>
      <c r="R661" t="s">
        <v>52</v>
      </c>
      <c r="S661" t="s">
        <v>52</v>
      </c>
      <c r="T661" t="s">
        <v>52</v>
      </c>
      <c r="U661" t="s">
        <v>52</v>
      </c>
      <c r="V661" t="s">
        <v>62</v>
      </c>
      <c r="W661" t="s">
        <v>63</v>
      </c>
      <c r="Y661" t="s">
        <v>52</v>
      </c>
      <c r="Z661" t="s">
        <v>62</v>
      </c>
      <c r="AB661" t="s">
        <v>2580</v>
      </c>
      <c r="AC661" t="s">
        <v>1063</v>
      </c>
      <c r="AD661" t="s">
        <v>1063</v>
      </c>
      <c r="AF661" t="s">
        <v>52</v>
      </c>
      <c r="AH661">
        <v>0</v>
      </c>
      <c r="AI661">
        <v>0</v>
      </c>
      <c r="AJ661" t="s">
        <v>52</v>
      </c>
      <c r="AK661">
        <v>0</v>
      </c>
      <c r="AL661" t="s">
        <v>52</v>
      </c>
      <c r="AM661" t="s">
        <v>52</v>
      </c>
      <c r="AN661">
        <v>0</v>
      </c>
      <c r="AO661">
        <v>0</v>
      </c>
      <c r="AP661" t="s">
        <v>52</v>
      </c>
      <c r="AQ661" t="s">
        <v>52</v>
      </c>
      <c r="AR661" t="s">
        <v>62</v>
      </c>
      <c r="AS661" t="s">
        <v>52</v>
      </c>
      <c r="AT661" t="s">
        <v>52</v>
      </c>
      <c r="AU661" t="s">
        <v>64</v>
      </c>
      <c r="AV661" t="s">
        <v>62</v>
      </c>
      <c r="AW661" t="s">
        <v>65</v>
      </c>
      <c r="AX661" t="s">
        <v>702</v>
      </c>
      <c r="AY661" t="s">
        <v>67</v>
      </c>
    </row>
    <row r="662" spans="1:51" hidden="1" x14ac:dyDescent="0.25">
      <c r="A662">
        <v>202875</v>
      </c>
      <c r="B662" t="s">
        <v>2581</v>
      </c>
      <c r="C662" t="e">
        <f>VLOOKUP(A662,[1]Customer_payment_journal_line!$AL:$BO,30,0)</f>
        <v>#N/A</v>
      </c>
      <c r="D662" t="s">
        <v>53</v>
      </c>
      <c r="E662" t="s">
        <v>2576</v>
      </c>
      <c r="F662" t="s">
        <v>2577</v>
      </c>
      <c r="G662" t="s">
        <v>2552</v>
      </c>
      <c r="H662" t="s">
        <v>210</v>
      </c>
      <c r="I662" t="s">
        <v>2582</v>
      </c>
      <c r="K662" t="s">
        <v>2579</v>
      </c>
      <c r="L662" t="s">
        <v>1450</v>
      </c>
      <c r="M662" s="1">
        <v>75</v>
      </c>
      <c r="N662">
        <v>0</v>
      </c>
      <c r="O662" t="s">
        <v>61</v>
      </c>
      <c r="P662">
        <v>100</v>
      </c>
      <c r="Q662" t="s">
        <v>52</v>
      </c>
      <c r="R662" t="s">
        <v>52</v>
      </c>
      <c r="S662" t="s">
        <v>52</v>
      </c>
      <c r="T662" t="s">
        <v>52</v>
      </c>
      <c r="U662" t="s">
        <v>52</v>
      </c>
      <c r="V662" t="s">
        <v>62</v>
      </c>
      <c r="W662" t="s">
        <v>63</v>
      </c>
      <c r="Y662" t="s">
        <v>52</v>
      </c>
      <c r="Z662" t="s">
        <v>62</v>
      </c>
      <c r="AB662" t="s">
        <v>2580</v>
      </c>
      <c r="AC662" t="s">
        <v>1063</v>
      </c>
      <c r="AD662" t="s">
        <v>1063</v>
      </c>
      <c r="AF662" t="s">
        <v>52</v>
      </c>
      <c r="AH662">
        <v>0</v>
      </c>
      <c r="AI662">
        <v>0</v>
      </c>
      <c r="AJ662" t="s">
        <v>52</v>
      </c>
      <c r="AK662">
        <v>0</v>
      </c>
      <c r="AL662" t="s">
        <v>52</v>
      </c>
      <c r="AM662" t="s">
        <v>52</v>
      </c>
      <c r="AN662">
        <v>0</v>
      </c>
      <c r="AO662">
        <v>0</v>
      </c>
      <c r="AP662" t="s">
        <v>52</v>
      </c>
      <c r="AQ662" t="s">
        <v>52</v>
      </c>
      <c r="AR662" t="s">
        <v>62</v>
      </c>
      <c r="AS662" t="s">
        <v>52</v>
      </c>
      <c r="AT662" t="s">
        <v>52</v>
      </c>
      <c r="AU662" t="s">
        <v>64</v>
      </c>
      <c r="AV662" t="s">
        <v>62</v>
      </c>
      <c r="AW662" t="s">
        <v>65</v>
      </c>
      <c r="AX662" t="s">
        <v>702</v>
      </c>
      <c r="AY662" t="s">
        <v>67</v>
      </c>
    </row>
    <row r="663" spans="1:51" hidden="1" x14ac:dyDescent="0.25">
      <c r="A663">
        <v>202875</v>
      </c>
      <c r="B663" t="s">
        <v>2583</v>
      </c>
      <c r="C663" t="e">
        <f>VLOOKUP(A663,[1]Customer_payment_journal_line!$AL:$BO,30,0)</f>
        <v>#N/A</v>
      </c>
      <c r="D663" t="s">
        <v>53</v>
      </c>
      <c r="E663" t="s">
        <v>2576</v>
      </c>
      <c r="F663" t="s">
        <v>2577</v>
      </c>
      <c r="G663" t="s">
        <v>2552</v>
      </c>
      <c r="H663" t="s">
        <v>210</v>
      </c>
      <c r="I663" t="s">
        <v>2584</v>
      </c>
      <c r="K663" t="s">
        <v>2579</v>
      </c>
      <c r="L663" t="s">
        <v>1450</v>
      </c>
      <c r="M663" s="1">
        <v>100</v>
      </c>
      <c r="N663">
        <v>0</v>
      </c>
      <c r="O663" t="s">
        <v>61</v>
      </c>
      <c r="P663">
        <v>100</v>
      </c>
      <c r="Q663" t="s">
        <v>52</v>
      </c>
      <c r="R663" t="s">
        <v>52</v>
      </c>
      <c r="S663" t="s">
        <v>52</v>
      </c>
      <c r="T663" t="s">
        <v>52</v>
      </c>
      <c r="U663" t="s">
        <v>52</v>
      </c>
      <c r="V663" t="s">
        <v>62</v>
      </c>
      <c r="W663" t="s">
        <v>63</v>
      </c>
      <c r="Y663" t="s">
        <v>52</v>
      </c>
      <c r="Z663" t="s">
        <v>62</v>
      </c>
      <c r="AB663" t="s">
        <v>2580</v>
      </c>
      <c r="AC663" t="s">
        <v>1063</v>
      </c>
      <c r="AD663" t="s">
        <v>1063</v>
      </c>
      <c r="AF663" t="s">
        <v>52</v>
      </c>
      <c r="AH663">
        <v>0</v>
      </c>
      <c r="AI663">
        <v>0</v>
      </c>
      <c r="AJ663" t="s">
        <v>52</v>
      </c>
      <c r="AK663">
        <v>0</v>
      </c>
      <c r="AL663" t="s">
        <v>52</v>
      </c>
      <c r="AM663" t="s">
        <v>52</v>
      </c>
      <c r="AN663">
        <v>0</v>
      </c>
      <c r="AO663">
        <v>0</v>
      </c>
      <c r="AP663" t="s">
        <v>52</v>
      </c>
      <c r="AQ663" t="s">
        <v>52</v>
      </c>
      <c r="AR663" t="s">
        <v>62</v>
      </c>
      <c r="AS663" t="s">
        <v>52</v>
      </c>
      <c r="AT663" t="s">
        <v>52</v>
      </c>
      <c r="AU663" t="s">
        <v>64</v>
      </c>
      <c r="AV663" t="s">
        <v>62</v>
      </c>
      <c r="AW663" t="s">
        <v>65</v>
      </c>
      <c r="AX663" t="s">
        <v>702</v>
      </c>
      <c r="AY663" t="s">
        <v>67</v>
      </c>
    </row>
    <row r="664" spans="1:51" hidden="1" x14ac:dyDescent="0.25">
      <c r="A664">
        <v>202875</v>
      </c>
      <c r="B664" t="s">
        <v>2585</v>
      </c>
      <c r="C664" t="e">
        <f>VLOOKUP(A664,[1]Customer_payment_journal_line!$AL:$BO,30,0)</f>
        <v>#N/A</v>
      </c>
      <c r="D664" t="s">
        <v>53</v>
      </c>
      <c r="E664" t="s">
        <v>2576</v>
      </c>
      <c r="F664" t="s">
        <v>2577</v>
      </c>
      <c r="G664" t="s">
        <v>2552</v>
      </c>
      <c r="H664" t="s">
        <v>210</v>
      </c>
      <c r="I664" t="s">
        <v>2586</v>
      </c>
      <c r="K664" t="s">
        <v>2579</v>
      </c>
      <c r="L664" t="s">
        <v>1450</v>
      </c>
      <c r="M664" s="1">
        <v>225</v>
      </c>
      <c r="N664">
        <v>0</v>
      </c>
      <c r="O664" t="s">
        <v>61</v>
      </c>
      <c r="P664">
        <v>100</v>
      </c>
      <c r="Q664" t="s">
        <v>52</v>
      </c>
      <c r="R664" t="s">
        <v>52</v>
      </c>
      <c r="S664" t="s">
        <v>52</v>
      </c>
      <c r="T664" t="s">
        <v>52</v>
      </c>
      <c r="U664" t="s">
        <v>52</v>
      </c>
      <c r="V664" t="s">
        <v>62</v>
      </c>
      <c r="W664" t="s">
        <v>63</v>
      </c>
      <c r="Y664" t="s">
        <v>52</v>
      </c>
      <c r="Z664" t="s">
        <v>62</v>
      </c>
      <c r="AB664" t="s">
        <v>2580</v>
      </c>
      <c r="AC664" t="s">
        <v>1063</v>
      </c>
      <c r="AD664" t="s">
        <v>1063</v>
      </c>
      <c r="AF664" t="s">
        <v>52</v>
      </c>
      <c r="AH664">
        <v>0</v>
      </c>
      <c r="AI664">
        <v>0</v>
      </c>
      <c r="AJ664" t="s">
        <v>52</v>
      </c>
      <c r="AK664">
        <v>0</v>
      </c>
      <c r="AL664" t="s">
        <v>52</v>
      </c>
      <c r="AM664" t="s">
        <v>52</v>
      </c>
      <c r="AN664">
        <v>0</v>
      </c>
      <c r="AO664">
        <v>0</v>
      </c>
      <c r="AP664" t="s">
        <v>52</v>
      </c>
      <c r="AQ664" t="s">
        <v>52</v>
      </c>
      <c r="AR664" t="s">
        <v>62</v>
      </c>
      <c r="AS664" t="s">
        <v>52</v>
      </c>
      <c r="AT664" t="s">
        <v>52</v>
      </c>
      <c r="AU664" t="s">
        <v>64</v>
      </c>
      <c r="AV664" t="s">
        <v>62</v>
      </c>
      <c r="AW664" t="s">
        <v>65</v>
      </c>
      <c r="AX664" t="s">
        <v>702</v>
      </c>
      <c r="AY664" t="s">
        <v>67</v>
      </c>
    </row>
    <row r="665" spans="1:51" hidden="1" x14ac:dyDescent="0.25">
      <c r="A665">
        <v>202875</v>
      </c>
      <c r="B665" t="s">
        <v>2587</v>
      </c>
      <c r="C665" t="e">
        <f>VLOOKUP(A665,[1]Customer_payment_journal_line!$AL:$BO,30,0)</f>
        <v>#N/A</v>
      </c>
      <c r="D665" t="s">
        <v>53</v>
      </c>
      <c r="E665" t="s">
        <v>2576</v>
      </c>
      <c r="F665" t="s">
        <v>2577</v>
      </c>
      <c r="G665" t="s">
        <v>2552</v>
      </c>
      <c r="H665" t="s">
        <v>210</v>
      </c>
      <c r="I665" t="s">
        <v>2588</v>
      </c>
      <c r="K665" t="s">
        <v>2579</v>
      </c>
      <c r="L665" t="s">
        <v>1450</v>
      </c>
      <c r="M665" s="1">
        <v>1290</v>
      </c>
      <c r="N665">
        <v>0</v>
      </c>
      <c r="O665" t="s">
        <v>61</v>
      </c>
      <c r="P665">
        <v>100</v>
      </c>
      <c r="Q665" t="s">
        <v>52</v>
      </c>
      <c r="R665" t="s">
        <v>52</v>
      </c>
      <c r="S665" t="s">
        <v>52</v>
      </c>
      <c r="T665" t="s">
        <v>52</v>
      </c>
      <c r="U665" t="s">
        <v>52</v>
      </c>
      <c r="V665" t="s">
        <v>62</v>
      </c>
      <c r="W665" t="s">
        <v>63</v>
      </c>
      <c r="Y665" t="s">
        <v>52</v>
      </c>
      <c r="Z665" t="s">
        <v>62</v>
      </c>
      <c r="AB665" t="s">
        <v>2580</v>
      </c>
      <c r="AC665" t="s">
        <v>1063</v>
      </c>
      <c r="AD665" t="s">
        <v>1063</v>
      </c>
      <c r="AF665" t="s">
        <v>52</v>
      </c>
      <c r="AH665">
        <v>0</v>
      </c>
      <c r="AI665">
        <v>0</v>
      </c>
      <c r="AJ665" t="s">
        <v>52</v>
      </c>
      <c r="AK665">
        <v>0</v>
      </c>
      <c r="AL665" t="s">
        <v>52</v>
      </c>
      <c r="AM665" t="s">
        <v>52</v>
      </c>
      <c r="AN665">
        <v>0</v>
      </c>
      <c r="AO665">
        <v>0</v>
      </c>
      <c r="AP665" t="s">
        <v>52</v>
      </c>
      <c r="AQ665" t="s">
        <v>52</v>
      </c>
      <c r="AR665" t="s">
        <v>62</v>
      </c>
      <c r="AS665" t="s">
        <v>52</v>
      </c>
      <c r="AT665" t="s">
        <v>52</v>
      </c>
      <c r="AU665" t="s">
        <v>64</v>
      </c>
      <c r="AV665" t="s">
        <v>62</v>
      </c>
      <c r="AW665" t="s">
        <v>65</v>
      </c>
      <c r="AX665" t="s">
        <v>702</v>
      </c>
      <c r="AY665" t="s">
        <v>67</v>
      </c>
    </row>
    <row r="666" spans="1:51" hidden="1" x14ac:dyDescent="0.25">
      <c r="A666">
        <v>202875</v>
      </c>
      <c r="B666" t="s">
        <v>2589</v>
      </c>
      <c r="C666" t="e">
        <f>VLOOKUP(A666,[1]Customer_payment_journal_line!$AL:$BO,30,0)</f>
        <v>#N/A</v>
      </c>
      <c r="D666" t="s">
        <v>53</v>
      </c>
      <c r="E666" t="s">
        <v>2576</v>
      </c>
      <c r="F666" t="s">
        <v>2577</v>
      </c>
      <c r="G666" t="s">
        <v>2552</v>
      </c>
      <c r="H666" t="s">
        <v>704</v>
      </c>
      <c r="I666" t="s">
        <v>1463</v>
      </c>
      <c r="J666" t="s">
        <v>2590</v>
      </c>
      <c r="K666" t="s">
        <v>2579</v>
      </c>
      <c r="L666" t="s">
        <v>1450</v>
      </c>
      <c r="M666" s="1">
        <v>0</v>
      </c>
      <c r="N666">
        <v>3000</v>
      </c>
      <c r="O666" t="s">
        <v>61</v>
      </c>
      <c r="P666">
        <v>100</v>
      </c>
      <c r="Q666" t="s">
        <v>52</v>
      </c>
      <c r="R666" t="s">
        <v>52</v>
      </c>
      <c r="S666" t="s">
        <v>52</v>
      </c>
      <c r="T666" t="s">
        <v>52</v>
      </c>
      <c r="U666" t="s">
        <v>52</v>
      </c>
      <c r="V666" t="s">
        <v>62</v>
      </c>
      <c r="W666" t="s">
        <v>52</v>
      </c>
      <c r="Z666" t="s">
        <v>62</v>
      </c>
      <c r="AB666" t="s">
        <v>2580</v>
      </c>
      <c r="AC666" t="s">
        <v>1063</v>
      </c>
      <c r="AD666" t="s">
        <v>1063</v>
      </c>
      <c r="AF666" t="s">
        <v>52</v>
      </c>
      <c r="AH666">
        <v>0</v>
      </c>
      <c r="AI666">
        <v>0</v>
      </c>
      <c r="AJ666" t="s">
        <v>52</v>
      </c>
      <c r="AK666">
        <v>0</v>
      </c>
      <c r="AL666" t="s">
        <v>52</v>
      </c>
      <c r="AM666" t="s">
        <v>52</v>
      </c>
      <c r="AN666">
        <v>0</v>
      </c>
      <c r="AO666">
        <v>0</v>
      </c>
      <c r="AP666" t="s">
        <v>52</v>
      </c>
      <c r="AQ666" t="s">
        <v>52</v>
      </c>
      <c r="AR666" t="s">
        <v>62</v>
      </c>
      <c r="AS666" t="s">
        <v>52</v>
      </c>
      <c r="AT666" t="s">
        <v>710</v>
      </c>
      <c r="AU666" t="s">
        <v>64</v>
      </c>
      <c r="AV666" t="s">
        <v>62</v>
      </c>
      <c r="AW666" t="s">
        <v>65</v>
      </c>
      <c r="AX666" t="s">
        <v>702</v>
      </c>
      <c r="AY666" t="s">
        <v>67</v>
      </c>
    </row>
    <row r="667" spans="1:51" hidden="1" x14ac:dyDescent="0.25">
      <c r="A667">
        <v>202875</v>
      </c>
      <c r="B667" t="s">
        <v>2591</v>
      </c>
      <c r="C667" t="e">
        <f>VLOOKUP(A667,[1]Customer_payment_journal_line!$AL:$BO,30,0)</f>
        <v>#N/A</v>
      </c>
      <c r="D667" t="s">
        <v>53</v>
      </c>
      <c r="E667" t="s">
        <v>2576</v>
      </c>
      <c r="F667" t="s">
        <v>2577</v>
      </c>
      <c r="G667" t="s">
        <v>2552</v>
      </c>
      <c r="H667" t="s">
        <v>201</v>
      </c>
      <c r="I667" t="s">
        <v>95</v>
      </c>
      <c r="J667" t="s">
        <v>2590</v>
      </c>
      <c r="K667" t="s">
        <v>2579</v>
      </c>
      <c r="L667" t="s">
        <v>52</v>
      </c>
      <c r="M667" s="1">
        <v>1260</v>
      </c>
      <c r="N667">
        <v>0</v>
      </c>
      <c r="O667" t="s">
        <v>61</v>
      </c>
      <c r="P667">
        <v>100</v>
      </c>
      <c r="Q667" t="s">
        <v>52</v>
      </c>
      <c r="R667" t="s">
        <v>52</v>
      </c>
      <c r="S667" t="s">
        <v>52</v>
      </c>
      <c r="T667" t="s">
        <v>52</v>
      </c>
      <c r="U667" t="s">
        <v>52</v>
      </c>
      <c r="V667" t="s">
        <v>62</v>
      </c>
      <c r="W667" t="s">
        <v>63</v>
      </c>
      <c r="Y667" t="s">
        <v>52</v>
      </c>
      <c r="AB667" t="s">
        <v>2580</v>
      </c>
      <c r="AC667" t="s">
        <v>1063</v>
      </c>
      <c r="AD667" t="s">
        <v>1063</v>
      </c>
      <c r="AF667" t="s">
        <v>52</v>
      </c>
      <c r="AH667">
        <v>0</v>
      </c>
      <c r="AI667">
        <v>0</v>
      </c>
      <c r="AJ667" t="s">
        <v>52</v>
      </c>
      <c r="AK667">
        <v>0</v>
      </c>
      <c r="AL667" t="s">
        <v>52</v>
      </c>
      <c r="AM667" t="s">
        <v>52</v>
      </c>
      <c r="AN667">
        <v>0</v>
      </c>
      <c r="AO667">
        <v>0</v>
      </c>
      <c r="AP667" t="s">
        <v>52</v>
      </c>
      <c r="AQ667" t="s">
        <v>52</v>
      </c>
      <c r="AR667" t="s">
        <v>62</v>
      </c>
      <c r="AS667" t="s">
        <v>52</v>
      </c>
      <c r="AT667" t="s">
        <v>52</v>
      </c>
      <c r="AU667" t="s">
        <v>64</v>
      </c>
      <c r="AV667" t="s">
        <v>62</v>
      </c>
      <c r="AW667" t="s">
        <v>65</v>
      </c>
      <c r="AX667" t="s">
        <v>702</v>
      </c>
      <c r="AY667" t="s">
        <v>67</v>
      </c>
    </row>
    <row r="668" spans="1:51" hidden="1" x14ac:dyDescent="0.25">
      <c r="A668">
        <v>202896</v>
      </c>
      <c r="B668" t="s">
        <v>2592</v>
      </c>
      <c r="C668" t="str">
        <f>VLOOKUP(A668,[1]Customer_payment_journal_line!$AL:$BO,30,0)</f>
        <v>CPay-000000055</v>
      </c>
      <c r="D668" t="s">
        <v>53</v>
      </c>
      <c r="E668" t="s">
        <v>2593</v>
      </c>
      <c r="F668" t="s">
        <v>2594</v>
      </c>
      <c r="G668" t="s">
        <v>2552</v>
      </c>
      <c r="H668" t="s">
        <v>57</v>
      </c>
      <c r="I668" t="s">
        <v>95</v>
      </c>
      <c r="J668" t="s">
        <v>2595</v>
      </c>
      <c r="K668" t="s">
        <v>2596</v>
      </c>
      <c r="L668">
        <f>VLOOKUP(A668,[1]Customer_payment_journal_line!$B:$L,11,0)</f>
        <v>2052</v>
      </c>
      <c r="M668" s="1">
        <v>2052</v>
      </c>
      <c r="N668" s="2">
        <f>L668-M668</f>
        <v>0</v>
      </c>
      <c r="O668" t="s">
        <v>61</v>
      </c>
      <c r="P668">
        <v>100</v>
      </c>
      <c r="Q668" t="s">
        <v>52</v>
      </c>
      <c r="R668" t="s">
        <v>52</v>
      </c>
      <c r="S668" t="s">
        <v>52</v>
      </c>
      <c r="T668" t="s">
        <v>52</v>
      </c>
      <c r="U668" t="s">
        <v>52</v>
      </c>
      <c r="V668" t="s">
        <v>62</v>
      </c>
      <c r="W668" t="s">
        <v>63</v>
      </c>
      <c r="Y668" t="s">
        <v>52</v>
      </c>
      <c r="AB668" t="s">
        <v>52</v>
      </c>
      <c r="AE668" t="s">
        <v>52</v>
      </c>
      <c r="AF668" t="s">
        <v>52</v>
      </c>
      <c r="AH668">
        <v>0</v>
      </c>
      <c r="AI668">
        <v>0</v>
      </c>
      <c r="AJ668" t="s">
        <v>52</v>
      </c>
      <c r="AK668">
        <v>0</v>
      </c>
      <c r="AL668" t="s">
        <v>52</v>
      </c>
      <c r="AM668" t="s">
        <v>52</v>
      </c>
      <c r="AN668">
        <v>0</v>
      </c>
      <c r="AO668">
        <v>0</v>
      </c>
      <c r="AP668" t="s">
        <v>52</v>
      </c>
      <c r="AQ668" t="s">
        <v>52</v>
      </c>
      <c r="AR668" t="s">
        <v>62</v>
      </c>
      <c r="AS668" t="s">
        <v>52</v>
      </c>
      <c r="AT668" t="s">
        <v>52</v>
      </c>
      <c r="AU668" t="s">
        <v>64</v>
      </c>
      <c r="AV668" t="s">
        <v>62</v>
      </c>
      <c r="AW668" t="s">
        <v>65</v>
      </c>
      <c r="AX668" t="s">
        <v>66</v>
      </c>
      <c r="AY668" t="s">
        <v>67</v>
      </c>
    </row>
    <row r="669" spans="1:51" hidden="1" x14ac:dyDescent="0.25">
      <c r="A669">
        <v>202896</v>
      </c>
      <c r="B669" t="s">
        <v>2597</v>
      </c>
      <c r="C669" t="str">
        <f>VLOOKUP(A669,[1]Customer_payment_journal_line!$AL:$BO,30,0)</f>
        <v>CPay-000000055</v>
      </c>
      <c r="D669" t="s">
        <v>53</v>
      </c>
      <c r="E669" t="s">
        <v>2593</v>
      </c>
      <c r="F669" t="s">
        <v>2594</v>
      </c>
      <c r="G669" t="s">
        <v>2552</v>
      </c>
      <c r="H669" t="s">
        <v>69</v>
      </c>
      <c r="I669" t="s">
        <v>2598</v>
      </c>
      <c r="J669" t="s">
        <v>2595</v>
      </c>
      <c r="K669" t="s">
        <v>2596</v>
      </c>
      <c r="L669">
        <f>VLOOKUP(A669,[1]Customer_payment_journal_line!$B:$L,11,0)</f>
        <v>2052</v>
      </c>
      <c r="M669" s="1">
        <v>0</v>
      </c>
      <c r="N669">
        <v>2052</v>
      </c>
      <c r="O669" t="s">
        <v>61</v>
      </c>
      <c r="P669">
        <v>100</v>
      </c>
      <c r="Q669" t="s">
        <v>52</v>
      </c>
      <c r="R669" t="s">
        <v>52</v>
      </c>
      <c r="S669" t="s">
        <v>52</v>
      </c>
      <c r="T669" t="s">
        <v>52</v>
      </c>
      <c r="U669" t="s">
        <v>52</v>
      </c>
      <c r="V669" t="s">
        <v>62</v>
      </c>
      <c r="W669" t="s">
        <v>52</v>
      </c>
      <c r="Y669" t="s">
        <v>2599</v>
      </c>
      <c r="Z669" t="s">
        <v>62</v>
      </c>
      <c r="AB669" t="s">
        <v>2600</v>
      </c>
      <c r="AE669" t="s">
        <v>2601</v>
      </c>
      <c r="AF669" t="s">
        <v>52</v>
      </c>
      <c r="AH669">
        <v>0</v>
      </c>
      <c r="AI669">
        <v>0</v>
      </c>
      <c r="AJ669" t="s">
        <v>52</v>
      </c>
      <c r="AK669">
        <v>0</v>
      </c>
      <c r="AL669" t="s">
        <v>52</v>
      </c>
      <c r="AM669" t="s">
        <v>52</v>
      </c>
      <c r="AN669">
        <v>0</v>
      </c>
      <c r="AO669">
        <v>0</v>
      </c>
      <c r="AP669" t="s">
        <v>52</v>
      </c>
      <c r="AQ669" t="s">
        <v>52</v>
      </c>
      <c r="AR669" t="s">
        <v>62</v>
      </c>
      <c r="AS669" t="s">
        <v>52</v>
      </c>
      <c r="AT669" t="s">
        <v>74</v>
      </c>
      <c r="AU669" t="s">
        <v>64</v>
      </c>
      <c r="AV669" t="s">
        <v>62</v>
      </c>
      <c r="AW669" t="s">
        <v>65</v>
      </c>
      <c r="AX669" t="s">
        <v>66</v>
      </c>
      <c r="AY669" t="s">
        <v>67</v>
      </c>
    </row>
    <row r="670" spans="1:51" hidden="1" x14ac:dyDescent="0.25">
      <c r="A670">
        <v>202897</v>
      </c>
      <c r="B670" t="s">
        <v>2602</v>
      </c>
      <c r="C670" t="str">
        <f>VLOOKUP(A670,[1]Customer_payment_journal_line!$AL:$BO,30,0)</f>
        <v>CPay-000000056</v>
      </c>
      <c r="D670" t="s">
        <v>53</v>
      </c>
      <c r="E670" t="s">
        <v>2603</v>
      </c>
      <c r="F670" t="s">
        <v>2604</v>
      </c>
      <c r="G670" t="s">
        <v>2552</v>
      </c>
      <c r="H670" t="s">
        <v>57</v>
      </c>
      <c r="I670" t="s">
        <v>95</v>
      </c>
      <c r="J670" t="s">
        <v>2595</v>
      </c>
      <c r="K670" t="s">
        <v>2596</v>
      </c>
      <c r="L670">
        <f>VLOOKUP(A670,[1]Customer_payment_journal_line!$B:$L,11,0)</f>
        <v>1659.61</v>
      </c>
      <c r="M670" s="1">
        <v>1659.61</v>
      </c>
      <c r="N670" s="2">
        <f>L670-M670</f>
        <v>0</v>
      </c>
      <c r="O670" t="s">
        <v>61</v>
      </c>
      <c r="P670">
        <v>100</v>
      </c>
      <c r="Q670" t="s">
        <v>52</v>
      </c>
      <c r="R670" t="s">
        <v>52</v>
      </c>
      <c r="S670" t="s">
        <v>52</v>
      </c>
      <c r="T670" t="s">
        <v>52</v>
      </c>
      <c r="U670" t="s">
        <v>52</v>
      </c>
      <c r="V670" t="s">
        <v>62</v>
      </c>
      <c r="W670" t="s">
        <v>63</v>
      </c>
      <c r="Y670" t="s">
        <v>52</v>
      </c>
      <c r="AB670" t="s">
        <v>52</v>
      </c>
      <c r="AE670" t="s">
        <v>52</v>
      </c>
      <c r="AF670" t="s">
        <v>52</v>
      </c>
      <c r="AH670">
        <v>0</v>
      </c>
      <c r="AI670">
        <v>0</v>
      </c>
      <c r="AJ670" t="s">
        <v>52</v>
      </c>
      <c r="AK670">
        <v>0</v>
      </c>
      <c r="AL670" t="s">
        <v>52</v>
      </c>
      <c r="AM670" t="s">
        <v>52</v>
      </c>
      <c r="AN670">
        <v>0</v>
      </c>
      <c r="AO670">
        <v>0</v>
      </c>
      <c r="AP670" t="s">
        <v>52</v>
      </c>
      <c r="AQ670" t="s">
        <v>52</v>
      </c>
      <c r="AR670" t="s">
        <v>62</v>
      </c>
      <c r="AS670" t="s">
        <v>52</v>
      </c>
      <c r="AT670" t="s">
        <v>52</v>
      </c>
      <c r="AU670" t="s">
        <v>64</v>
      </c>
      <c r="AV670" t="s">
        <v>62</v>
      </c>
      <c r="AW670" t="s">
        <v>65</v>
      </c>
      <c r="AX670" t="s">
        <v>66</v>
      </c>
      <c r="AY670" t="s">
        <v>67</v>
      </c>
    </row>
    <row r="671" spans="1:51" hidden="1" x14ac:dyDescent="0.25">
      <c r="A671">
        <v>202897</v>
      </c>
      <c r="B671" t="s">
        <v>2605</v>
      </c>
      <c r="C671" t="str">
        <f>VLOOKUP(A671,[1]Customer_payment_journal_line!$AL:$BO,30,0)</f>
        <v>CPay-000000056</v>
      </c>
      <c r="D671" t="s">
        <v>53</v>
      </c>
      <c r="E671" t="s">
        <v>2603</v>
      </c>
      <c r="F671" t="s">
        <v>2604</v>
      </c>
      <c r="G671" t="s">
        <v>2552</v>
      </c>
      <c r="H671" t="s">
        <v>69</v>
      </c>
      <c r="I671" t="s">
        <v>2598</v>
      </c>
      <c r="J671" t="s">
        <v>2595</v>
      </c>
      <c r="K671" t="s">
        <v>2596</v>
      </c>
      <c r="L671">
        <f>VLOOKUP(A671,[1]Customer_payment_journal_line!$B:$L,11,0)</f>
        <v>1659.61</v>
      </c>
      <c r="M671" s="1">
        <v>0</v>
      </c>
      <c r="N671">
        <v>1659.61</v>
      </c>
      <c r="O671" t="s">
        <v>61</v>
      </c>
      <c r="P671">
        <v>100</v>
      </c>
      <c r="Q671" t="s">
        <v>52</v>
      </c>
      <c r="R671" t="s">
        <v>52</v>
      </c>
      <c r="S671" t="s">
        <v>52</v>
      </c>
      <c r="T671" t="s">
        <v>52</v>
      </c>
      <c r="U671" t="s">
        <v>52</v>
      </c>
      <c r="V671" t="s">
        <v>62</v>
      </c>
      <c r="W671" t="s">
        <v>52</v>
      </c>
      <c r="Y671" t="s">
        <v>2599</v>
      </c>
      <c r="Z671" t="s">
        <v>62</v>
      </c>
      <c r="AB671" t="s">
        <v>2606</v>
      </c>
      <c r="AE671" t="s">
        <v>2607</v>
      </c>
      <c r="AF671" t="s">
        <v>52</v>
      </c>
      <c r="AH671">
        <v>0</v>
      </c>
      <c r="AI671">
        <v>0</v>
      </c>
      <c r="AJ671" t="s">
        <v>52</v>
      </c>
      <c r="AK671">
        <v>0</v>
      </c>
      <c r="AL671" t="s">
        <v>52</v>
      </c>
      <c r="AM671" t="s">
        <v>52</v>
      </c>
      <c r="AN671">
        <v>0</v>
      </c>
      <c r="AO671">
        <v>0</v>
      </c>
      <c r="AP671" t="s">
        <v>52</v>
      </c>
      <c r="AQ671" t="s">
        <v>52</v>
      </c>
      <c r="AR671" t="s">
        <v>62</v>
      </c>
      <c r="AS671" t="s">
        <v>52</v>
      </c>
      <c r="AT671" t="s">
        <v>74</v>
      </c>
      <c r="AU671" t="s">
        <v>64</v>
      </c>
      <c r="AV671" t="s">
        <v>62</v>
      </c>
      <c r="AW671" t="s">
        <v>65</v>
      </c>
      <c r="AX671" t="s">
        <v>66</v>
      </c>
      <c r="AY671" t="s">
        <v>67</v>
      </c>
    </row>
    <row r="672" spans="1:51" hidden="1" x14ac:dyDescent="0.25">
      <c r="A672">
        <v>202901</v>
      </c>
      <c r="B672" t="s">
        <v>2608</v>
      </c>
      <c r="C672" t="str">
        <f>VLOOKUP(A672,[1]Customer_payment_journal_line!$AL:$BO,30,0)</f>
        <v>CPay-000000057</v>
      </c>
      <c r="D672" t="s">
        <v>53</v>
      </c>
      <c r="E672" t="s">
        <v>2609</v>
      </c>
      <c r="F672" t="s">
        <v>2610</v>
      </c>
      <c r="G672" t="s">
        <v>2552</v>
      </c>
      <c r="H672" t="s">
        <v>57</v>
      </c>
      <c r="I672" t="s">
        <v>95</v>
      </c>
      <c r="J672" t="s">
        <v>2611</v>
      </c>
      <c r="K672" t="s">
        <v>2612</v>
      </c>
      <c r="L672">
        <f>VLOOKUP(A672,[1]Customer_payment_journal_line!$B:$L,11,0)</f>
        <v>2052</v>
      </c>
      <c r="M672" s="1">
        <v>2052</v>
      </c>
      <c r="N672" s="2">
        <f>L672-M672</f>
        <v>0</v>
      </c>
      <c r="O672" t="s">
        <v>61</v>
      </c>
      <c r="P672">
        <v>100</v>
      </c>
      <c r="Q672" t="s">
        <v>52</v>
      </c>
      <c r="R672" t="s">
        <v>52</v>
      </c>
      <c r="S672" t="s">
        <v>52</v>
      </c>
      <c r="T672" t="s">
        <v>52</v>
      </c>
      <c r="U672" t="s">
        <v>52</v>
      </c>
      <c r="V672" t="s">
        <v>62</v>
      </c>
      <c r="W672" t="s">
        <v>63</v>
      </c>
      <c r="Y672" t="s">
        <v>52</v>
      </c>
      <c r="AB672" t="s">
        <v>52</v>
      </c>
      <c r="AE672" t="s">
        <v>52</v>
      </c>
      <c r="AF672" t="s">
        <v>52</v>
      </c>
      <c r="AH672">
        <v>0</v>
      </c>
      <c r="AI672">
        <v>0</v>
      </c>
      <c r="AJ672" t="s">
        <v>52</v>
      </c>
      <c r="AK672">
        <v>0</v>
      </c>
      <c r="AL672" t="s">
        <v>52</v>
      </c>
      <c r="AM672" t="s">
        <v>52</v>
      </c>
      <c r="AN672">
        <v>0</v>
      </c>
      <c r="AO672">
        <v>0</v>
      </c>
      <c r="AP672" t="s">
        <v>52</v>
      </c>
      <c r="AQ672" t="s">
        <v>52</v>
      </c>
      <c r="AR672" t="s">
        <v>62</v>
      </c>
      <c r="AS672" t="s">
        <v>52</v>
      </c>
      <c r="AT672" t="s">
        <v>52</v>
      </c>
      <c r="AU672" t="s">
        <v>64</v>
      </c>
      <c r="AV672" t="s">
        <v>62</v>
      </c>
      <c r="AW672" t="s">
        <v>65</v>
      </c>
      <c r="AX672" t="s">
        <v>66</v>
      </c>
      <c r="AY672" t="s">
        <v>67</v>
      </c>
    </row>
    <row r="673" spans="1:51" hidden="1" x14ac:dyDescent="0.25">
      <c r="A673">
        <v>202901</v>
      </c>
      <c r="B673" t="s">
        <v>2613</v>
      </c>
      <c r="C673" t="str">
        <f>VLOOKUP(A673,[1]Customer_payment_journal_line!$AL:$BO,30,0)</f>
        <v>CPay-000000057</v>
      </c>
      <c r="D673" t="s">
        <v>53</v>
      </c>
      <c r="E673" t="s">
        <v>2609</v>
      </c>
      <c r="F673" t="s">
        <v>2610</v>
      </c>
      <c r="G673" t="s">
        <v>2552</v>
      </c>
      <c r="H673" t="s">
        <v>69</v>
      </c>
      <c r="I673" t="s">
        <v>2614</v>
      </c>
      <c r="J673" t="s">
        <v>2611</v>
      </c>
      <c r="K673" t="s">
        <v>2612</v>
      </c>
      <c r="L673">
        <f>VLOOKUP(A673,[1]Customer_payment_journal_line!$B:$L,11,0)</f>
        <v>2052</v>
      </c>
      <c r="M673" s="1">
        <v>0</v>
      </c>
      <c r="N673">
        <v>2052</v>
      </c>
      <c r="O673" t="s">
        <v>61</v>
      </c>
      <c r="P673">
        <v>100</v>
      </c>
      <c r="Q673" t="s">
        <v>52</v>
      </c>
      <c r="R673" t="s">
        <v>52</v>
      </c>
      <c r="S673" t="s">
        <v>52</v>
      </c>
      <c r="T673" t="s">
        <v>52</v>
      </c>
      <c r="U673" t="s">
        <v>52</v>
      </c>
      <c r="V673" t="s">
        <v>62</v>
      </c>
      <c r="W673" t="s">
        <v>52</v>
      </c>
      <c r="Y673" t="s">
        <v>2615</v>
      </c>
      <c r="Z673" t="s">
        <v>62</v>
      </c>
      <c r="AB673" t="s">
        <v>2616</v>
      </c>
      <c r="AE673" t="s">
        <v>2617</v>
      </c>
      <c r="AF673" t="s">
        <v>52</v>
      </c>
      <c r="AH673">
        <v>0</v>
      </c>
      <c r="AI673">
        <v>0</v>
      </c>
      <c r="AJ673" t="s">
        <v>52</v>
      </c>
      <c r="AK673">
        <v>0</v>
      </c>
      <c r="AL673" t="s">
        <v>52</v>
      </c>
      <c r="AM673" t="s">
        <v>52</v>
      </c>
      <c r="AN673">
        <v>0</v>
      </c>
      <c r="AO673">
        <v>0</v>
      </c>
      <c r="AP673" t="s">
        <v>52</v>
      </c>
      <c r="AQ673" t="s">
        <v>52</v>
      </c>
      <c r="AR673" t="s">
        <v>62</v>
      </c>
      <c r="AS673" t="s">
        <v>52</v>
      </c>
      <c r="AT673" t="s">
        <v>74</v>
      </c>
      <c r="AU673" t="s">
        <v>64</v>
      </c>
      <c r="AV673" t="s">
        <v>62</v>
      </c>
      <c r="AW673" t="s">
        <v>65</v>
      </c>
      <c r="AX673" t="s">
        <v>66</v>
      </c>
      <c r="AY673" t="s">
        <v>67</v>
      </c>
    </row>
    <row r="674" spans="1:51" hidden="1" x14ac:dyDescent="0.25">
      <c r="A674">
        <v>202903</v>
      </c>
      <c r="B674" t="s">
        <v>2618</v>
      </c>
      <c r="C674" t="str">
        <f>VLOOKUP(A674,[1]Customer_payment_journal_line!$AL:$BO,30,0)</f>
        <v>CPay-000000058</v>
      </c>
      <c r="D674" t="s">
        <v>53</v>
      </c>
      <c r="E674" t="s">
        <v>2619</v>
      </c>
      <c r="F674" t="s">
        <v>2620</v>
      </c>
      <c r="G674" t="s">
        <v>2552</v>
      </c>
      <c r="H674" t="s">
        <v>57</v>
      </c>
      <c r="I674" t="s">
        <v>95</v>
      </c>
      <c r="J674" t="s">
        <v>2611</v>
      </c>
      <c r="K674" t="s">
        <v>2612</v>
      </c>
      <c r="L674">
        <f>VLOOKUP(A674,[1]Customer_payment_journal_line!$B:$L,11,0)</f>
        <v>262.2</v>
      </c>
      <c r="M674" s="1">
        <v>262.2</v>
      </c>
      <c r="N674" s="2">
        <f>L674-M674</f>
        <v>0</v>
      </c>
      <c r="O674" t="s">
        <v>61</v>
      </c>
      <c r="P674">
        <v>100</v>
      </c>
      <c r="Q674" t="s">
        <v>52</v>
      </c>
      <c r="R674" t="s">
        <v>52</v>
      </c>
      <c r="S674" t="s">
        <v>52</v>
      </c>
      <c r="T674" t="s">
        <v>52</v>
      </c>
      <c r="U674" t="s">
        <v>52</v>
      </c>
      <c r="V674" t="s">
        <v>62</v>
      </c>
      <c r="W674" t="s">
        <v>63</v>
      </c>
      <c r="Y674" t="s">
        <v>52</v>
      </c>
      <c r="AB674" t="s">
        <v>52</v>
      </c>
      <c r="AE674" t="s">
        <v>52</v>
      </c>
      <c r="AF674" t="s">
        <v>52</v>
      </c>
      <c r="AH674">
        <v>0</v>
      </c>
      <c r="AI674">
        <v>0</v>
      </c>
      <c r="AJ674" t="s">
        <v>52</v>
      </c>
      <c r="AK674">
        <v>0</v>
      </c>
      <c r="AL674" t="s">
        <v>52</v>
      </c>
      <c r="AM674" t="s">
        <v>52</v>
      </c>
      <c r="AN674">
        <v>0</v>
      </c>
      <c r="AO674">
        <v>0</v>
      </c>
      <c r="AP674" t="s">
        <v>52</v>
      </c>
      <c r="AQ674" t="s">
        <v>52</v>
      </c>
      <c r="AR674" t="s">
        <v>62</v>
      </c>
      <c r="AS674" t="s">
        <v>52</v>
      </c>
      <c r="AT674" t="s">
        <v>52</v>
      </c>
      <c r="AU674" t="s">
        <v>64</v>
      </c>
      <c r="AV674" t="s">
        <v>62</v>
      </c>
      <c r="AW674" t="s">
        <v>65</v>
      </c>
      <c r="AX674" t="s">
        <v>66</v>
      </c>
      <c r="AY674" t="s">
        <v>67</v>
      </c>
    </row>
    <row r="675" spans="1:51" hidden="1" x14ac:dyDescent="0.25">
      <c r="A675">
        <v>202903</v>
      </c>
      <c r="B675" t="s">
        <v>2621</v>
      </c>
      <c r="C675" t="str">
        <f>VLOOKUP(A675,[1]Customer_payment_journal_line!$AL:$BO,30,0)</f>
        <v>CPay-000000058</v>
      </c>
      <c r="D675" t="s">
        <v>53</v>
      </c>
      <c r="E675" t="s">
        <v>2619</v>
      </c>
      <c r="F675" t="s">
        <v>2620</v>
      </c>
      <c r="G675" t="s">
        <v>2552</v>
      </c>
      <c r="H675" t="s">
        <v>69</v>
      </c>
      <c r="I675" t="s">
        <v>2614</v>
      </c>
      <c r="J675" t="s">
        <v>2611</v>
      </c>
      <c r="K675" t="s">
        <v>2612</v>
      </c>
      <c r="L675">
        <f>VLOOKUP(A675,[1]Customer_payment_journal_line!$B:$L,11,0)</f>
        <v>262.2</v>
      </c>
      <c r="M675" s="1">
        <v>0</v>
      </c>
      <c r="N675">
        <v>262.2</v>
      </c>
      <c r="O675" t="s">
        <v>61</v>
      </c>
      <c r="P675">
        <v>100</v>
      </c>
      <c r="Q675" t="s">
        <v>52</v>
      </c>
      <c r="R675" t="s">
        <v>52</v>
      </c>
      <c r="S675" t="s">
        <v>52</v>
      </c>
      <c r="T675" t="s">
        <v>52</v>
      </c>
      <c r="U675" t="s">
        <v>52</v>
      </c>
      <c r="V675" t="s">
        <v>62</v>
      </c>
      <c r="W675" t="s">
        <v>52</v>
      </c>
      <c r="Y675" t="s">
        <v>2615</v>
      </c>
      <c r="Z675" t="s">
        <v>62</v>
      </c>
      <c r="AB675" t="s">
        <v>2622</v>
      </c>
      <c r="AE675" t="s">
        <v>2623</v>
      </c>
      <c r="AF675" t="s">
        <v>52</v>
      </c>
      <c r="AH675">
        <v>0</v>
      </c>
      <c r="AI675">
        <v>0</v>
      </c>
      <c r="AJ675" t="s">
        <v>52</v>
      </c>
      <c r="AK675">
        <v>0</v>
      </c>
      <c r="AL675" t="s">
        <v>52</v>
      </c>
      <c r="AM675" t="s">
        <v>52</v>
      </c>
      <c r="AN675">
        <v>0</v>
      </c>
      <c r="AO675">
        <v>0</v>
      </c>
      <c r="AP675" t="s">
        <v>52</v>
      </c>
      <c r="AQ675" t="s">
        <v>52</v>
      </c>
      <c r="AR675" t="s">
        <v>62</v>
      </c>
      <c r="AS675" t="s">
        <v>52</v>
      </c>
      <c r="AT675" t="s">
        <v>74</v>
      </c>
      <c r="AU675" t="s">
        <v>64</v>
      </c>
      <c r="AV675" t="s">
        <v>62</v>
      </c>
      <c r="AW675" t="s">
        <v>65</v>
      </c>
      <c r="AX675" t="s">
        <v>66</v>
      </c>
      <c r="AY675" t="s">
        <v>67</v>
      </c>
    </row>
    <row r="676" spans="1:51" hidden="1" x14ac:dyDescent="0.25">
      <c r="A676">
        <v>202920</v>
      </c>
      <c r="B676" t="s">
        <v>2624</v>
      </c>
      <c r="C676" t="e">
        <f>VLOOKUP(A676,[1]Customer_payment_journal_line!$AL:$BO,30,0)</f>
        <v>#N/A</v>
      </c>
      <c r="D676" t="s">
        <v>159</v>
      </c>
      <c r="E676" t="s">
        <v>2625</v>
      </c>
      <c r="F676" t="s">
        <v>2626</v>
      </c>
      <c r="G676" t="s">
        <v>2552</v>
      </c>
      <c r="H676" t="s">
        <v>80</v>
      </c>
      <c r="I676" t="s">
        <v>269</v>
      </c>
      <c r="J676" t="s">
        <v>2627</v>
      </c>
      <c r="K676" t="s">
        <v>2628</v>
      </c>
      <c r="L676" t="s">
        <v>52</v>
      </c>
      <c r="M676">
        <v>150</v>
      </c>
      <c r="N676">
        <v>0</v>
      </c>
      <c r="O676" t="s">
        <v>178</v>
      </c>
      <c r="P676">
        <v>5085</v>
      </c>
      <c r="Q676" t="s">
        <v>52</v>
      </c>
      <c r="R676" t="s">
        <v>52</v>
      </c>
      <c r="S676" t="s">
        <v>52</v>
      </c>
      <c r="T676" t="s">
        <v>52</v>
      </c>
      <c r="U676" t="s">
        <v>52</v>
      </c>
      <c r="V676" t="s">
        <v>62</v>
      </c>
      <c r="W676" t="s">
        <v>52</v>
      </c>
      <c r="Y676" t="s">
        <v>52</v>
      </c>
      <c r="AB676" t="s">
        <v>52</v>
      </c>
      <c r="AE676" t="s">
        <v>52</v>
      </c>
      <c r="AF676" t="s">
        <v>52</v>
      </c>
      <c r="AH676">
        <v>0</v>
      </c>
      <c r="AI676">
        <v>0</v>
      </c>
      <c r="AJ676" t="s">
        <v>52</v>
      </c>
      <c r="AK676">
        <v>0</v>
      </c>
      <c r="AL676" t="s">
        <v>52</v>
      </c>
      <c r="AM676" t="s">
        <v>52</v>
      </c>
      <c r="AN676">
        <v>0</v>
      </c>
      <c r="AO676">
        <v>0</v>
      </c>
      <c r="AP676" t="s">
        <v>52</v>
      </c>
      <c r="AQ676" t="s">
        <v>52</v>
      </c>
      <c r="AR676" t="s">
        <v>62</v>
      </c>
      <c r="AS676" t="s">
        <v>52</v>
      </c>
      <c r="AT676" t="s">
        <v>52</v>
      </c>
      <c r="AU676" t="s">
        <v>64</v>
      </c>
      <c r="AV676" t="s">
        <v>62</v>
      </c>
      <c r="AW676" t="s">
        <v>65</v>
      </c>
      <c r="AX676" t="s">
        <v>66</v>
      </c>
      <c r="AY676" t="s">
        <v>165</v>
      </c>
    </row>
    <row r="677" spans="1:51" hidden="1" x14ac:dyDescent="0.25">
      <c r="A677">
        <v>202920</v>
      </c>
      <c r="B677" t="s">
        <v>2629</v>
      </c>
      <c r="C677" t="e">
        <f>VLOOKUP(A677,[1]Customer_payment_journal_line!$AL:$BO,30,0)</f>
        <v>#N/A</v>
      </c>
      <c r="D677" t="s">
        <v>159</v>
      </c>
      <c r="E677" t="s">
        <v>2625</v>
      </c>
      <c r="F677" t="s">
        <v>2626</v>
      </c>
      <c r="G677" t="s">
        <v>2552</v>
      </c>
      <c r="H677" t="s">
        <v>69</v>
      </c>
      <c r="I677" t="s">
        <v>2630</v>
      </c>
      <c r="J677" t="s">
        <v>2627</v>
      </c>
      <c r="K677" t="s">
        <v>2628</v>
      </c>
      <c r="L677" t="s">
        <v>52</v>
      </c>
      <c r="M677">
        <v>0</v>
      </c>
      <c r="N677">
        <v>150</v>
      </c>
      <c r="O677" t="s">
        <v>178</v>
      </c>
      <c r="P677">
        <v>5085</v>
      </c>
      <c r="Q677" t="s">
        <v>52</v>
      </c>
      <c r="R677" t="s">
        <v>52</v>
      </c>
      <c r="S677" t="s">
        <v>52</v>
      </c>
      <c r="T677" t="s">
        <v>52</v>
      </c>
      <c r="U677" t="s">
        <v>52</v>
      </c>
      <c r="V677" t="s">
        <v>62</v>
      </c>
      <c r="W677" t="s">
        <v>52</v>
      </c>
      <c r="Y677" t="s">
        <v>2631</v>
      </c>
      <c r="Z677" t="s">
        <v>62</v>
      </c>
      <c r="AB677" t="s">
        <v>2632</v>
      </c>
      <c r="AE677" t="s">
        <v>2633</v>
      </c>
      <c r="AF677" t="s">
        <v>52</v>
      </c>
      <c r="AH677">
        <v>0</v>
      </c>
      <c r="AI677">
        <v>0</v>
      </c>
      <c r="AJ677" t="s">
        <v>52</v>
      </c>
      <c r="AK677">
        <v>0</v>
      </c>
      <c r="AL677" t="s">
        <v>52</v>
      </c>
      <c r="AM677" t="s">
        <v>52</v>
      </c>
      <c r="AN677">
        <v>0</v>
      </c>
      <c r="AO677">
        <v>0</v>
      </c>
      <c r="AP677" t="s">
        <v>52</v>
      </c>
      <c r="AQ677" t="s">
        <v>52</v>
      </c>
      <c r="AR677" t="s">
        <v>62</v>
      </c>
      <c r="AS677" t="s">
        <v>52</v>
      </c>
      <c r="AT677" t="s">
        <v>74</v>
      </c>
      <c r="AU677" t="s">
        <v>64</v>
      </c>
      <c r="AV677" t="s">
        <v>62</v>
      </c>
      <c r="AW677" t="s">
        <v>65</v>
      </c>
      <c r="AX677" t="s">
        <v>66</v>
      </c>
      <c r="AY677" t="s">
        <v>165</v>
      </c>
    </row>
    <row r="678" spans="1:51" hidden="1" x14ac:dyDescent="0.25">
      <c r="A678">
        <v>202934</v>
      </c>
      <c r="B678" t="s">
        <v>2634</v>
      </c>
      <c r="C678" t="e">
        <f>VLOOKUP(A678,[1]Customer_payment_journal_line!$AL:$BO,30,0)</f>
        <v>#N/A</v>
      </c>
      <c r="D678" t="s">
        <v>76</v>
      </c>
      <c r="E678" t="s">
        <v>2635</v>
      </c>
      <c r="F678" t="s">
        <v>2636</v>
      </c>
      <c r="G678" t="s">
        <v>2552</v>
      </c>
      <c r="H678" t="s">
        <v>80</v>
      </c>
      <c r="I678" t="s">
        <v>81</v>
      </c>
      <c r="J678" t="s">
        <v>1579</v>
      </c>
      <c r="K678" t="s">
        <v>1050</v>
      </c>
      <c r="L678" t="s">
        <v>52</v>
      </c>
      <c r="M678">
        <v>19511.099999999999</v>
      </c>
      <c r="N678">
        <v>0</v>
      </c>
      <c r="O678" t="s">
        <v>61</v>
      </c>
      <c r="P678">
        <v>100</v>
      </c>
      <c r="Q678" t="s">
        <v>52</v>
      </c>
      <c r="R678" t="s">
        <v>52</v>
      </c>
      <c r="S678" t="s">
        <v>52</v>
      </c>
      <c r="T678" t="s">
        <v>52</v>
      </c>
      <c r="U678" t="s">
        <v>52</v>
      </c>
      <c r="V678" t="s">
        <v>62</v>
      </c>
      <c r="W678" t="s">
        <v>52</v>
      </c>
      <c r="Y678" t="s">
        <v>52</v>
      </c>
      <c r="AB678" t="s">
        <v>52</v>
      </c>
      <c r="AE678" t="s">
        <v>52</v>
      </c>
      <c r="AF678" t="s">
        <v>52</v>
      </c>
      <c r="AH678">
        <v>0</v>
      </c>
      <c r="AI678">
        <v>0</v>
      </c>
      <c r="AJ678" t="s">
        <v>52</v>
      </c>
      <c r="AK678">
        <v>0</v>
      </c>
      <c r="AL678" t="s">
        <v>52</v>
      </c>
      <c r="AM678" t="s">
        <v>52</v>
      </c>
      <c r="AN678">
        <v>0</v>
      </c>
      <c r="AO678">
        <v>0</v>
      </c>
      <c r="AP678" t="s">
        <v>52</v>
      </c>
      <c r="AQ678" t="s">
        <v>52</v>
      </c>
      <c r="AR678" t="s">
        <v>62</v>
      </c>
      <c r="AS678" t="s">
        <v>52</v>
      </c>
      <c r="AT678" t="s">
        <v>52</v>
      </c>
      <c r="AU678" t="s">
        <v>64</v>
      </c>
      <c r="AV678" t="s">
        <v>62</v>
      </c>
      <c r="AW678" t="s">
        <v>65</v>
      </c>
      <c r="AX678" t="s">
        <v>66</v>
      </c>
      <c r="AY678" t="s">
        <v>76</v>
      </c>
    </row>
    <row r="679" spans="1:51" hidden="1" x14ac:dyDescent="0.25">
      <c r="A679">
        <v>202934</v>
      </c>
      <c r="B679" t="s">
        <v>2637</v>
      </c>
      <c r="C679" t="e">
        <f>VLOOKUP(A679,[1]Customer_payment_journal_line!$AL:$BO,30,0)</f>
        <v>#N/A</v>
      </c>
      <c r="D679" t="s">
        <v>76</v>
      </c>
      <c r="E679" t="s">
        <v>2635</v>
      </c>
      <c r="F679" t="s">
        <v>2636</v>
      </c>
      <c r="G679" t="s">
        <v>2552</v>
      </c>
      <c r="H679" t="s">
        <v>69</v>
      </c>
      <c r="I679" t="s">
        <v>545</v>
      </c>
      <c r="J679" t="s">
        <v>1579</v>
      </c>
      <c r="K679" t="s">
        <v>1050</v>
      </c>
      <c r="L679" t="s">
        <v>52</v>
      </c>
      <c r="M679">
        <v>0</v>
      </c>
      <c r="N679">
        <v>19511.099999999999</v>
      </c>
      <c r="O679" t="s">
        <v>61</v>
      </c>
      <c r="P679">
        <v>100</v>
      </c>
      <c r="Q679" t="s">
        <v>52</v>
      </c>
      <c r="R679" t="s">
        <v>52</v>
      </c>
      <c r="S679" t="s">
        <v>52</v>
      </c>
      <c r="T679" t="s">
        <v>52</v>
      </c>
      <c r="U679" t="s">
        <v>52</v>
      </c>
      <c r="V679" t="s">
        <v>62</v>
      </c>
      <c r="W679" t="s">
        <v>52</v>
      </c>
      <c r="Y679" t="s">
        <v>546</v>
      </c>
      <c r="Z679" t="s">
        <v>62</v>
      </c>
      <c r="AB679" t="s">
        <v>2638</v>
      </c>
      <c r="AE679" t="s">
        <v>2639</v>
      </c>
      <c r="AF679" t="s">
        <v>52</v>
      </c>
      <c r="AH679">
        <v>0</v>
      </c>
      <c r="AI679">
        <v>0</v>
      </c>
      <c r="AJ679" t="s">
        <v>52</v>
      </c>
      <c r="AK679">
        <v>0</v>
      </c>
      <c r="AL679" t="s">
        <v>52</v>
      </c>
      <c r="AM679" t="s">
        <v>52</v>
      </c>
      <c r="AN679">
        <v>0</v>
      </c>
      <c r="AO679">
        <v>0</v>
      </c>
      <c r="AP679" t="s">
        <v>52</v>
      </c>
      <c r="AQ679" t="s">
        <v>52</v>
      </c>
      <c r="AR679" t="s">
        <v>62</v>
      </c>
      <c r="AS679" t="s">
        <v>52</v>
      </c>
      <c r="AT679" t="s">
        <v>74</v>
      </c>
      <c r="AU679" t="s">
        <v>64</v>
      </c>
      <c r="AV679" t="s">
        <v>62</v>
      </c>
      <c r="AW679" t="s">
        <v>65</v>
      </c>
      <c r="AX679" t="s">
        <v>66</v>
      </c>
      <c r="AY679" t="s">
        <v>76</v>
      </c>
    </row>
    <row r="680" spans="1:51" hidden="1" x14ac:dyDescent="0.25">
      <c r="A680">
        <v>405993</v>
      </c>
      <c r="B680" t="s">
        <v>2640</v>
      </c>
      <c r="C680" t="e">
        <f>VLOOKUP(A680,[1]Customer_payment_journal_line!$AL:$BO,30,0)</f>
        <v>#N/A</v>
      </c>
      <c r="D680" t="s">
        <v>76</v>
      </c>
      <c r="E680" t="s">
        <v>2641</v>
      </c>
      <c r="F680" t="s">
        <v>2642</v>
      </c>
      <c r="G680" t="s">
        <v>2552</v>
      </c>
      <c r="H680" t="s">
        <v>80</v>
      </c>
      <c r="I680" t="s">
        <v>81</v>
      </c>
      <c r="J680" t="s">
        <v>2643</v>
      </c>
      <c r="K680" t="s">
        <v>2644</v>
      </c>
      <c r="L680" t="s">
        <v>52</v>
      </c>
      <c r="M680">
        <v>1140</v>
      </c>
      <c r="N680">
        <v>0</v>
      </c>
      <c r="O680" t="s">
        <v>61</v>
      </c>
      <c r="P680">
        <v>100</v>
      </c>
      <c r="Q680" t="s">
        <v>52</v>
      </c>
      <c r="R680" t="s">
        <v>52</v>
      </c>
      <c r="S680" t="s">
        <v>52</v>
      </c>
      <c r="T680" t="s">
        <v>52</v>
      </c>
      <c r="U680" t="s">
        <v>52</v>
      </c>
      <c r="V680" t="s">
        <v>62</v>
      </c>
      <c r="W680" t="s">
        <v>52</v>
      </c>
      <c r="Y680" t="s">
        <v>52</v>
      </c>
      <c r="AB680" t="s">
        <v>52</v>
      </c>
      <c r="AE680" t="s">
        <v>52</v>
      </c>
      <c r="AF680" t="s">
        <v>52</v>
      </c>
      <c r="AH680">
        <v>0</v>
      </c>
      <c r="AI680">
        <v>0</v>
      </c>
      <c r="AJ680" t="s">
        <v>52</v>
      </c>
      <c r="AK680">
        <v>0</v>
      </c>
      <c r="AL680" t="s">
        <v>52</v>
      </c>
      <c r="AM680" t="s">
        <v>52</v>
      </c>
      <c r="AN680">
        <v>0</v>
      </c>
      <c r="AO680">
        <v>0</v>
      </c>
      <c r="AP680" t="s">
        <v>52</v>
      </c>
      <c r="AQ680" t="s">
        <v>52</v>
      </c>
      <c r="AR680" t="s">
        <v>62</v>
      </c>
      <c r="AS680" t="s">
        <v>52</v>
      </c>
      <c r="AT680" t="s">
        <v>52</v>
      </c>
      <c r="AU680" t="s">
        <v>64</v>
      </c>
      <c r="AV680" t="s">
        <v>62</v>
      </c>
      <c r="AW680" t="s">
        <v>65</v>
      </c>
      <c r="AX680" t="s">
        <v>66</v>
      </c>
      <c r="AY680" t="s">
        <v>76</v>
      </c>
    </row>
    <row r="681" spans="1:51" hidden="1" x14ac:dyDescent="0.25">
      <c r="A681">
        <v>405993</v>
      </c>
      <c r="B681" t="s">
        <v>2645</v>
      </c>
      <c r="C681" t="e">
        <f>VLOOKUP(A681,[1]Customer_payment_journal_line!$AL:$BO,30,0)</f>
        <v>#N/A</v>
      </c>
      <c r="D681" t="s">
        <v>76</v>
      </c>
      <c r="E681" t="s">
        <v>2641</v>
      </c>
      <c r="F681" t="s">
        <v>2642</v>
      </c>
      <c r="G681" t="s">
        <v>2552</v>
      </c>
      <c r="H681" t="s">
        <v>69</v>
      </c>
      <c r="I681" t="s">
        <v>1621</v>
      </c>
      <c r="J681" t="s">
        <v>2643</v>
      </c>
      <c r="K681" t="s">
        <v>2644</v>
      </c>
      <c r="L681" t="s">
        <v>52</v>
      </c>
      <c r="M681">
        <v>0</v>
      </c>
      <c r="N681">
        <v>855</v>
      </c>
      <c r="O681" t="s">
        <v>61</v>
      </c>
      <c r="P681">
        <v>100</v>
      </c>
      <c r="Q681" t="s">
        <v>52</v>
      </c>
      <c r="R681" t="s">
        <v>52</v>
      </c>
      <c r="S681" t="s">
        <v>52</v>
      </c>
      <c r="T681" t="s">
        <v>52</v>
      </c>
      <c r="U681" t="s">
        <v>52</v>
      </c>
      <c r="V681" t="s">
        <v>62</v>
      </c>
      <c r="W681" t="s">
        <v>52</v>
      </c>
      <c r="Y681" t="s">
        <v>1622</v>
      </c>
      <c r="Z681" t="s">
        <v>62</v>
      </c>
      <c r="AB681" t="s">
        <v>2646</v>
      </c>
      <c r="AE681" t="s">
        <v>2647</v>
      </c>
      <c r="AF681" t="s">
        <v>52</v>
      </c>
      <c r="AH681">
        <v>0</v>
      </c>
      <c r="AI681">
        <v>0</v>
      </c>
      <c r="AJ681" t="s">
        <v>52</v>
      </c>
      <c r="AK681">
        <v>0</v>
      </c>
      <c r="AL681" t="s">
        <v>52</v>
      </c>
      <c r="AM681" t="s">
        <v>52</v>
      </c>
      <c r="AN681">
        <v>0</v>
      </c>
      <c r="AO681">
        <v>0</v>
      </c>
      <c r="AP681" t="s">
        <v>52</v>
      </c>
      <c r="AQ681" t="s">
        <v>52</v>
      </c>
      <c r="AR681" t="s">
        <v>62</v>
      </c>
      <c r="AS681" t="s">
        <v>52</v>
      </c>
      <c r="AT681" t="s">
        <v>74</v>
      </c>
      <c r="AU681" t="s">
        <v>64</v>
      </c>
      <c r="AV681" t="s">
        <v>62</v>
      </c>
      <c r="AW681" t="s">
        <v>65</v>
      </c>
      <c r="AX681" t="s">
        <v>66</v>
      </c>
      <c r="AY681" t="s">
        <v>76</v>
      </c>
    </row>
    <row r="682" spans="1:51" hidden="1" x14ac:dyDescent="0.25">
      <c r="A682">
        <v>405993</v>
      </c>
      <c r="B682" t="s">
        <v>2648</v>
      </c>
      <c r="C682" t="e">
        <f>VLOOKUP(A682,[1]Customer_payment_journal_line!$AL:$BO,30,0)</f>
        <v>#N/A</v>
      </c>
      <c r="D682" t="s">
        <v>76</v>
      </c>
      <c r="E682" t="s">
        <v>2641</v>
      </c>
      <c r="F682" t="s">
        <v>2642</v>
      </c>
      <c r="G682" t="s">
        <v>2552</v>
      </c>
      <c r="H682" t="s">
        <v>69</v>
      </c>
      <c r="I682" t="s">
        <v>1621</v>
      </c>
      <c r="J682" t="s">
        <v>2643</v>
      </c>
      <c r="K682" t="s">
        <v>2644</v>
      </c>
      <c r="L682" t="s">
        <v>52</v>
      </c>
      <c r="M682">
        <v>0</v>
      </c>
      <c r="N682">
        <v>285</v>
      </c>
      <c r="O682" t="s">
        <v>61</v>
      </c>
      <c r="P682">
        <v>100</v>
      </c>
      <c r="Q682" t="s">
        <v>52</v>
      </c>
      <c r="R682" t="s">
        <v>52</v>
      </c>
      <c r="S682" t="s">
        <v>52</v>
      </c>
      <c r="T682" t="s">
        <v>52</v>
      </c>
      <c r="U682" t="s">
        <v>52</v>
      </c>
      <c r="V682" t="s">
        <v>62</v>
      </c>
      <c r="W682" t="s">
        <v>52</v>
      </c>
      <c r="Y682" t="s">
        <v>1622</v>
      </c>
      <c r="Z682" t="s">
        <v>62</v>
      </c>
      <c r="AB682" t="s">
        <v>2649</v>
      </c>
      <c r="AE682" t="s">
        <v>2650</v>
      </c>
      <c r="AF682" t="s">
        <v>52</v>
      </c>
      <c r="AH682">
        <v>0</v>
      </c>
      <c r="AI682">
        <v>0</v>
      </c>
      <c r="AJ682" t="s">
        <v>52</v>
      </c>
      <c r="AK682">
        <v>0</v>
      </c>
      <c r="AL682" t="s">
        <v>52</v>
      </c>
      <c r="AM682" t="s">
        <v>52</v>
      </c>
      <c r="AN682">
        <v>0</v>
      </c>
      <c r="AO682">
        <v>0</v>
      </c>
      <c r="AP682" t="s">
        <v>52</v>
      </c>
      <c r="AQ682" t="s">
        <v>52</v>
      </c>
      <c r="AR682" t="s">
        <v>62</v>
      </c>
      <c r="AS682" t="s">
        <v>52</v>
      </c>
      <c r="AT682" t="s">
        <v>74</v>
      </c>
      <c r="AU682" t="s">
        <v>64</v>
      </c>
      <c r="AV682" t="s">
        <v>62</v>
      </c>
      <c r="AW682" t="s">
        <v>65</v>
      </c>
      <c r="AX682" t="s">
        <v>66</v>
      </c>
      <c r="AY682" t="s">
        <v>76</v>
      </c>
    </row>
    <row r="683" spans="1:51" hidden="1" x14ac:dyDescent="0.25">
      <c r="A683">
        <v>405994</v>
      </c>
      <c r="B683" t="s">
        <v>2651</v>
      </c>
      <c r="C683" t="e">
        <f>VLOOKUP(A683,[1]Customer_payment_journal_line!$AL:$BO,30,0)</f>
        <v>#N/A</v>
      </c>
      <c r="D683" t="s">
        <v>76</v>
      </c>
      <c r="E683" t="s">
        <v>2652</v>
      </c>
      <c r="F683" t="s">
        <v>2653</v>
      </c>
      <c r="G683" t="s">
        <v>2552</v>
      </c>
      <c r="H683" t="s">
        <v>80</v>
      </c>
      <c r="I683" t="s">
        <v>81</v>
      </c>
      <c r="J683" t="s">
        <v>2654</v>
      </c>
      <c r="K683" t="s">
        <v>2655</v>
      </c>
      <c r="L683" t="s">
        <v>52</v>
      </c>
      <c r="M683">
        <v>4845</v>
      </c>
      <c r="N683">
        <v>0</v>
      </c>
      <c r="O683" t="s">
        <v>61</v>
      </c>
      <c r="P683">
        <v>100</v>
      </c>
      <c r="Q683" t="s">
        <v>52</v>
      </c>
      <c r="R683" t="s">
        <v>52</v>
      </c>
      <c r="S683" t="s">
        <v>52</v>
      </c>
      <c r="T683" t="s">
        <v>52</v>
      </c>
      <c r="U683" t="s">
        <v>52</v>
      </c>
      <c r="V683" t="s">
        <v>62</v>
      </c>
      <c r="W683" t="s">
        <v>52</v>
      </c>
      <c r="Y683" t="s">
        <v>52</v>
      </c>
      <c r="AB683" t="s">
        <v>52</v>
      </c>
      <c r="AE683" t="s">
        <v>52</v>
      </c>
      <c r="AF683" t="s">
        <v>52</v>
      </c>
      <c r="AH683">
        <v>0</v>
      </c>
      <c r="AI683">
        <v>0</v>
      </c>
      <c r="AJ683" t="s">
        <v>52</v>
      </c>
      <c r="AK683">
        <v>0</v>
      </c>
      <c r="AL683" t="s">
        <v>52</v>
      </c>
      <c r="AM683" t="s">
        <v>52</v>
      </c>
      <c r="AN683">
        <v>0</v>
      </c>
      <c r="AO683">
        <v>0</v>
      </c>
      <c r="AP683" t="s">
        <v>52</v>
      </c>
      <c r="AQ683" t="s">
        <v>52</v>
      </c>
      <c r="AR683" t="s">
        <v>62</v>
      </c>
      <c r="AS683" t="s">
        <v>52</v>
      </c>
      <c r="AT683" t="s">
        <v>52</v>
      </c>
      <c r="AU683" t="s">
        <v>64</v>
      </c>
      <c r="AV683" t="s">
        <v>62</v>
      </c>
      <c r="AW683" t="s">
        <v>65</v>
      </c>
      <c r="AX683" t="s">
        <v>66</v>
      </c>
      <c r="AY683" t="s">
        <v>76</v>
      </c>
    </row>
    <row r="684" spans="1:51" hidden="1" x14ac:dyDescent="0.25">
      <c r="A684">
        <v>405994</v>
      </c>
      <c r="B684" t="s">
        <v>2656</v>
      </c>
      <c r="C684" t="e">
        <f>VLOOKUP(A684,[1]Customer_payment_journal_line!$AL:$BO,30,0)</f>
        <v>#N/A</v>
      </c>
      <c r="D684" t="s">
        <v>76</v>
      </c>
      <c r="E684" t="s">
        <v>2652</v>
      </c>
      <c r="F684" t="s">
        <v>2653</v>
      </c>
      <c r="G684" t="s">
        <v>2552</v>
      </c>
      <c r="H684" t="s">
        <v>69</v>
      </c>
      <c r="I684" t="s">
        <v>2657</v>
      </c>
      <c r="J684" t="s">
        <v>2654</v>
      </c>
      <c r="K684" t="s">
        <v>2655</v>
      </c>
      <c r="L684" t="s">
        <v>52</v>
      </c>
      <c r="M684">
        <v>0</v>
      </c>
      <c r="N684">
        <v>855</v>
      </c>
      <c r="O684" t="s">
        <v>61</v>
      </c>
      <c r="P684">
        <v>100</v>
      </c>
      <c r="Q684" t="s">
        <v>52</v>
      </c>
      <c r="R684" t="s">
        <v>52</v>
      </c>
      <c r="S684" t="s">
        <v>52</v>
      </c>
      <c r="T684" t="s">
        <v>52</v>
      </c>
      <c r="U684" t="s">
        <v>52</v>
      </c>
      <c r="V684" t="s">
        <v>62</v>
      </c>
      <c r="W684" t="s">
        <v>52</v>
      </c>
      <c r="Y684" t="s">
        <v>2658</v>
      </c>
      <c r="Z684" t="s">
        <v>62</v>
      </c>
      <c r="AB684" t="s">
        <v>2659</v>
      </c>
      <c r="AE684" t="s">
        <v>2660</v>
      </c>
      <c r="AF684" t="s">
        <v>52</v>
      </c>
      <c r="AH684">
        <v>0</v>
      </c>
      <c r="AI684">
        <v>0</v>
      </c>
      <c r="AJ684" t="s">
        <v>52</v>
      </c>
      <c r="AK684">
        <v>0</v>
      </c>
      <c r="AL684" t="s">
        <v>52</v>
      </c>
      <c r="AM684" t="s">
        <v>52</v>
      </c>
      <c r="AN684">
        <v>0</v>
      </c>
      <c r="AO684">
        <v>0</v>
      </c>
      <c r="AP684" t="s">
        <v>52</v>
      </c>
      <c r="AQ684" t="s">
        <v>52</v>
      </c>
      <c r="AR684" t="s">
        <v>62</v>
      </c>
      <c r="AS684" t="s">
        <v>52</v>
      </c>
      <c r="AT684" t="s">
        <v>74</v>
      </c>
      <c r="AU684" t="s">
        <v>64</v>
      </c>
      <c r="AV684" t="s">
        <v>62</v>
      </c>
      <c r="AW684" t="s">
        <v>65</v>
      </c>
      <c r="AX684" t="s">
        <v>66</v>
      </c>
      <c r="AY684" t="s">
        <v>76</v>
      </c>
    </row>
    <row r="685" spans="1:51" hidden="1" x14ac:dyDescent="0.25">
      <c r="A685">
        <v>405994</v>
      </c>
      <c r="B685" t="s">
        <v>2661</v>
      </c>
      <c r="C685" t="e">
        <f>VLOOKUP(A685,[1]Customer_payment_journal_line!$AL:$BO,30,0)</f>
        <v>#N/A</v>
      </c>
      <c r="D685" t="s">
        <v>76</v>
      </c>
      <c r="E685" t="s">
        <v>2652</v>
      </c>
      <c r="F685" t="s">
        <v>2653</v>
      </c>
      <c r="G685" t="s">
        <v>2552</v>
      </c>
      <c r="H685" t="s">
        <v>69</v>
      </c>
      <c r="I685" t="s">
        <v>2657</v>
      </c>
      <c r="J685" t="s">
        <v>2654</v>
      </c>
      <c r="K685" t="s">
        <v>2655</v>
      </c>
      <c r="L685" t="s">
        <v>52</v>
      </c>
      <c r="M685">
        <v>0</v>
      </c>
      <c r="N685">
        <v>3990</v>
      </c>
      <c r="O685" t="s">
        <v>61</v>
      </c>
      <c r="P685">
        <v>100</v>
      </c>
      <c r="Q685" t="s">
        <v>52</v>
      </c>
      <c r="R685" t="s">
        <v>52</v>
      </c>
      <c r="S685" t="s">
        <v>52</v>
      </c>
      <c r="T685" t="s">
        <v>52</v>
      </c>
      <c r="U685" t="s">
        <v>52</v>
      </c>
      <c r="V685" t="s">
        <v>62</v>
      </c>
      <c r="W685" t="s">
        <v>52</v>
      </c>
      <c r="Y685" t="s">
        <v>2658</v>
      </c>
      <c r="Z685" t="s">
        <v>62</v>
      </c>
      <c r="AB685" t="s">
        <v>2662</v>
      </c>
      <c r="AE685" t="s">
        <v>2663</v>
      </c>
      <c r="AF685" t="s">
        <v>52</v>
      </c>
      <c r="AH685">
        <v>0</v>
      </c>
      <c r="AI685">
        <v>0</v>
      </c>
      <c r="AJ685" t="s">
        <v>52</v>
      </c>
      <c r="AK685">
        <v>0</v>
      </c>
      <c r="AL685" t="s">
        <v>52</v>
      </c>
      <c r="AM685" t="s">
        <v>52</v>
      </c>
      <c r="AN685">
        <v>0</v>
      </c>
      <c r="AO685">
        <v>0</v>
      </c>
      <c r="AP685" t="s">
        <v>52</v>
      </c>
      <c r="AQ685" t="s">
        <v>52</v>
      </c>
      <c r="AR685" t="s">
        <v>62</v>
      </c>
      <c r="AS685" t="s">
        <v>52</v>
      </c>
      <c r="AT685" t="s">
        <v>74</v>
      </c>
      <c r="AU685" t="s">
        <v>64</v>
      </c>
      <c r="AV685" t="s">
        <v>62</v>
      </c>
      <c r="AW685" t="s">
        <v>65</v>
      </c>
      <c r="AX685" t="s">
        <v>66</v>
      </c>
      <c r="AY685" t="s">
        <v>76</v>
      </c>
    </row>
    <row r="686" spans="1:51" hidden="1" x14ac:dyDescent="0.25">
      <c r="A686">
        <v>405989</v>
      </c>
      <c r="B686" t="s">
        <v>2664</v>
      </c>
      <c r="C686" t="e">
        <f>VLOOKUP(A686,[1]Customer_payment_journal_line!$AL:$BO,30,0)</f>
        <v>#N/A</v>
      </c>
      <c r="D686" t="s">
        <v>53</v>
      </c>
      <c r="E686" t="s">
        <v>2665</v>
      </c>
      <c r="F686" t="s">
        <v>2666</v>
      </c>
      <c r="G686" t="s">
        <v>2552</v>
      </c>
      <c r="H686" t="s">
        <v>57</v>
      </c>
      <c r="I686" t="s">
        <v>1349</v>
      </c>
      <c r="J686" t="s">
        <v>2667</v>
      </c>
      <c r="K686" t="s">
        <v>1287</v>
      </c>
      <c r="L686" t="s">
        <v>52</v>
      </c>
      <c r="M686">
        <v>3420</v>
      </c>
      <c r="N686">
        <v>0</v>
      </c>
      <c r="O686" t="s">
        <v>61</v>
      </c>
      <c r="P686">
        <v>100</v>
      </c>
      <c r="Q686" t="s">
        <v>52</v>
      </c>
      <c r="R686" t="s">
        <v>52</v>
      </c>
      <c r="S686" t="s">
        <v>52</v>
      </c>
      <c r="T686" t="s">
        <v>52</v>
      </c>
      <c r="U686" t="s">
        <v>52</v>
      </c>
      <c r="V686" t="s">
        <v>62</v>
      </c>
      <c r="W686" t="s">
        <v>63</v>
      </c>
      <c r="Y686" t="s">
        <v>52</v>
      </c>
      <c r="AB686" t="s">
        <v>52</v>
      </c>
      <c r="AE686" t="s">
        <v>52</v>
      </c>
      <c r="AF686" t="s">
        <v>52</v>
      </c>
      <c r="AH686">
        <v>0</v>
      </c>
      <c r="AI686">
        <v>0</v>
      </c>
      <c r="AJ686" t="s">
        <v>52</v>
      </c>
      <c r="AK686">
        <v>0</v>
      </c>
      <c r="AL686" t="s">
        <v>52</v>
      </c>
      <c r="AM686" t="s">
        <v>52</v>
      </c>
      <c r="AN686">
        <v>0</v>
      </c>
      <c r="AO686">
        <v>0</v>
      </c>
      <c r="AP686" t="s">
        <v>52</v>
      </c>
      <c r="AQ686" t="s">
        <v>52</v>
      </c>
      <c r="AR686" t="s">
        <v>62</v>
      </c>
      <c r="AS686" t="s">
        <v>52</v>
      </c>
      <c r="AT686" t="s">
        <v>52</v>
      </c>
      <c r="AU686" t="s">
        <v>64</v>
      </c>
      <c r="AV686" t="s">
        <v>62</v>
      </c>
      <c r="AW686" t="s">
        <v>65</v>
      </c>
      <c r="AX686" t="s">
        <v>66</v>
      </c>
      <c r="AY686" t="s">
        <v>67</v>
      </c>
    </row>
    <row r="687" spans="1:51" hidden="1" x14ac:dyDescent="0.25">
      <c r="A687">
        <v>405989</v>
      </c>
      <c r="B687" t="s">
        <v>2668</v>
      </c>
      <c r="C687" t="e">
        <f>VLOOKUP(A687,[1]Customer_payment_journal_line!$AL:$BO,30,0)</f>
        <v>#N/A</v>
      </c>
      <c r="D687" t="s">
        <v>53</v>
      </c>
      <c r="E687" t="s">
        <v>2665</v>
      </c>
      <c r="F687" t="s">
        <v>2666</v>
      </c>
      <c r="G687" t="s">
        <v>2552</v>
      </c>
      <c r="H687" t="s">
        <v>69</v>
      </c>
      <c r="I687" t="s">
        <v>1289</v>
      </c>
      <c r="J687" t="s">
        <v>2667</v>
      </c>
      <c r="K687" t="s">
        <v>1287</v>
      </c>
      <c r="L687" t="s">
        <v>52</v>
      </c>
      <c r="M687">
        <v>0</v>
      </c>
      <c r="N687">
        <v>3420</v>
      </c>
      <c r="O687" t="s">
        <v>61</v>
      </c>
      <c r="P687">
        <v>100</v>
      </c>
      <c r="Q687" t="s">
        <v>52</v>
      </c>
      <c r="R687" t="s">
        <v>52</v>
      </c>
      <c r="S687" t="s">
        <v>52</v>
      </c>
      <c r="T687" t="s">
        <v>52</v>
      </c>
      <c r="U687" t="s">
        <v>52</v>
      </c>
      <c r="V687" t="s">
        <v>62</v>
      </c>
      <c r="W687" t="s">
        <v>52</v>
      </c>
      <c r="Y687" t="s">
        <v>1290</v>
      </c>
      <c r="Z687" t="s">
        <v>62</v>
      </c>
      <c r="AB687" t="s">
        <v>2669</v>
      </c>
      <c r="AE687" t="s">
        <v>2670</v>
      </c>
      <c r="AF687" t="s">
        <v>52</v>
      </c>
      <c r="AH687">
        <v>0</v>
      </c>
      <c r="AI687">
        <v>0</v>
      </c>
      <c r="AJ687" t="s">
        <v>52</v>
      </c>
      <c r="AK687">
        <v>0</v>
      </c>
      <c r="AL687" t="s">
        <v>52</v>
      </c>
      <c r="AM687" t="s">
        <v>52</v>
      </c>
      <c r="AN687">
        <v>0</v>
      </c>
      <c r="AO687">
        <v>0</v>
      </c>
      <c r="AP687" t="s">
        <v>52</v>
      </c>
      <c r="AQ687" t="s">
        <v>52</v>
      </c>
      <c r="AR687" t="s">
        <v>62</v>
      </c>
      <c r="AS687" t="s">
        <v>52</v>
      </c>
      <c r="AT687" t="s">
        <v>74</v>
      </c>
      <c r="AU687" t="s">
        <v>64</v>
      </c>
      <c r="AV687" t="s">
        <v>62</v>
      </c>
      <c r="AW687" t="s">
        <v>65</v>
      </c>
      <c r="AX687" t="s">
        <v>66</v>
      </c>
      <c r="AY687" t="s">
        <v>67</v>
      </c>
    </row>
    <row r="688" spans="1:51" hidden="1" x14ac:dyDescent="0.25">
      <c r="A688">
        <v>202820</v>
      </c>
      <c r="B688" t="s">
        <v>2671</v>
      </c>
      <c r="C688" t="e">
        <f>VLOOKUP(A688,[1]Customer_payment_journal_line!$AL:$BO,30,0)</f>
        <v>#N/A</v>
      </c>
      <c r="D688" t="s">
        <v>53</v>
      </c>
      <c r="E688" t="s">
        <v>2672</v>
      </c>
      <c r="F688" t="s">
        <v>2673</v>
      </c>
      <c r="G688" t="s">
        <v>2552</v>
      </c>
      <c r="H688" t="s">
        <v>57</v>
      </c>
      <c r="I688" t="s">
        <v>319</v>
      </c>
      <c r="J688" t="s">
        <v>2674</v>
      </c>
      <c r="K688" t="s">
        <v>2675</v>
      </c>
      <c r="L688" t="s">
        <v>52</v>
      </c>
      <c r="M688">
        <v>2850</v>
      </c>
      <c r="N688">
        <v>0</v>
      </c>
      <c r="O688" t="s">
        <v>61</v>
      </c>
      <c r="P688">
        <v>100</v>
      </c>
      <c r="Q688" t="s">
        <v>52</v>
      </c>
      <c r="R688" t="s">
        <v>52</v>
      </c>
      <c r="S688" t="s">
        <v>52</v>
      </c>
      <c r="T688" t="s">
        <v>52</v>
      </c>
      <c r="U688" t="s">
        <v>52</v>
      </c>
      <c r="V688" t="s">
        <v>62</v>
      </c>
      <c r="W688" t="s">
        <v>63</v>
      </c>
      <c r="Y688" t="s">
        <v>52</v>
      </c>
      <c r="AB688" t="s">
        <v>52</v>
      </c>
      <c r="AE688" t="s">
        <v>52</v>
      </c>
      <c r="AF688" t="s">
        <v>52</v>
      </c>
      <c r="AH688">
        <v>0</v>
      </c>
      <c r="AI688">
        <v>0</v>
      </c>
      <c r="AJ688" t="s">
        <v>52</v>
      </c>
      <c r="AK688">
        <v>0</v>
      </c>
      <c r="AL688" t="s">
        <v>52</v>
      </c>
      <c r="AM688" t="s">
        <v>52</v>
      </c>
      <c r="AN688">
        <v>0</v>
      </c>
      <c r="AO688">
        <v>0</v>
      </c>
      <c r="AP688" t="s">
        <v>52</v>
      </c>
      <c r="AQ688" t="s">
        <v>52</v>
      </c>
      <c r="AR688" t="s">
        <v>62</v>
      </c>
      <c r="AS688" t="s">
        <v>52</v>
      </c>
      <c r="AT688" t="s">
        <v>52</v>
      </c>
      <c r="AU688" t="s">
        <v>64</v>
      </c>
      <c r="AV688" t="s">
        <v>62</v>
      </c>
      <c r="AW688" t="s">
        <v>65</v>
      </c>
      <c r="AX688" t="s">
        <v>66</v>
      </c>
      <c r="AY688" t="s">
        <v>67</v>
      </c>
    </row>
    <row r="689" spans="1:51" hidden="1" x14ac:dyDescent="0.25">
      <c r="A689">
        <v>202820</v>
      </c>
      <c r="B689" t="s">
        <v>2676</v>
      </c>
      <c r="C689" t="e">
        <f>VLOOKUP(A689,[1]Customer_payment_journal_line!$AL:$BO,30,0)</f>
        <v>#N/A</v>
      </c>
      <c r="D689" t="s">
        <v>53</v>
      </c>
      <c r="E689" t="s">
        <v>2672</v>
      </c>
      <c r="F689" t="s">
        <v>2673</v>
      </c>
      <c r="G689" t="s">
        <v>2552</v>
      </c>
      <c r="H689" t="s">
        <v>69</v>
      </c>
      <c r="I689" t="s">
        <v>2677</v>
      </c>
      <c r="J689" t="s">
        <v>2674</v>
      </c>
      <c r="K689" t="s">
        <v>2675</v>
      </c>
      <c r="L689" t="s">
        <v>52</v>
      </c>
      <c r="M689">
        <v>0</v>
      </c>
      <c r="N689">
        <v>2850</v>
      </c>
      <c r="O689" t="s">
        <v>61</v>
      </c>
      <c r="P689">
        <v>100</v>
      </c>
      <c r="Q689" t="s">
        <v>52</v>
      </c>
      <c r="R689" t="s">
        <v>52</v>
      </c>
      <c r="S689" t="s">
        <v>52</v>
      </c>
      <c r="T689" t="s">
        <v>52</v>
      </c>
      <c r="U689" t="s">
        <v>52</v>
      </c>
      <c r="V689" t="s">
        <v>62</v>
      </c>
      <c r="W689" t="s">
        <v>52</v>
      </c>
      <c r="Y689" t="s">
        <v>2678</v>
      </c>
      <c r="Z689" t="s">
        <v>62</v>
      </c>
      <c r="AB689" t="s">
        <v>2679</v>
      </c>
      <c r="AE689" t="s">
        <v>2680</v>
      </c>
      <c r="AF689" t="s">
        <v>52</v>
      </c>
      <c r="AH689">
        <v>0</v>
      </c>
      <c r="AI689">
        <v>0</v>
      </c>
      <c r="AJ689" t="s">
        <v>52</v>
      </c>
      <c r="AK689">
        <v>0</v>
      </c>
      <c r="AL689" t="s">
        <v>52</v>
      </c>
      <c r="AM689" t="s">
        <v>52</v>
      </c>
      <c r="AN689">
        <v>0</v>
      </c>
      <c r="AO689">
        <v>0</v>
      </c>
      <c r="AP689" t="s">
        <v>52</v>
      </c>
      <c r="AQ689" t="s">
        <v>52</v>
      </c>
      <c r="AR689" t="s">
        <v>62</v>
      </c>
      <c r="AS689" t="s">
        <v>52</v>
      </c>
      <c r="AT689" t="s">
        <v>74</v>
      </c>
      <c r="AU689" t="s">
        <v>64</v>
      </c>
      <c r="AV689" t="s">
        <v>62</v>
      </c>
      <c r="AW689" t="s">
        <v>65</v>
      </c>
      <c r="AX689" t="s">
        <v>66</v>
      </c>
      <c r="AY689" t="s">
        <v>67</v>
      </c>
    </row>
    <row r="690" spans="1:51" hidden="1" x14ac:dyDescent="0.25">
      <c r="A690">
        <v>405990</v>
      </c>
      <c r="B690" t="s">
        <v>2681</v>
      </c>
      <c r="C690" t="e">
        <f>VLOOKUP(A690,[1]Customer_payment_journal_line!$AL:$BO,30,0)</f>
        <v>#N/A</v>
      </c>
      <c r="D690" t="s">
        <v>53</v>
      </c>
      <c r="E690" t="s">
        <v>2682</v>
      </c>
      <c r="F690" t="s">
        <v>2683</v>
      </c>
      <c r="G690" t="s">
        <v>2552</v>
      </c>
      <c r="H690" t="s">
        <v>57</v>
      </c>
      <c r="I690" t="s">
        <v>58</v>
      </c>
      <c r="J690" t="s">
        <v>2684</v>
      </c>
      <c r="K690" t="s">
        <v>2685</v>
      </c>
      <c r="L690" t="s">
        <v>52</v>
      </c>
      <c r="M690">
        <v>3762</v>
      </c>
      <c r="N690">
        <v>0</v>
      </c>
      <c r="O690" t="s">
        <v>61</v>
      </c>
      <c r="P690">
        <v>100</v>
      </c>
      <c r="Q690" t="s">
        <v>52</v>
      </c>
      <c r="R690" t="s">
        <v>52</v>
      </c>
      <c r="S690" t="s">
        <v>52</v>
      </c>
      <c r="T690" t="s">
        <v>52</v>
      </c>
      <c r="U690" t="s">
        <v>52</v>
      </c>
      <c r="V690" t="s">
        <v>62</v>
      </c>
      <c r="W690" t="s">
        <v>63</v>
      </c>
      <c r="Y690" t="s">
        <v>52</v>
      </c>
      <c r="AB690" t="s">
        <v>52</v>
      </c>
      <c r="AE690" t="s">
        <v>52</v>
      </c>
      <c r="AF690" t="s">
        <v>52</v>
      </c>
      <c r="AH690">
        <v>0</v>
      </c>
      <c r="AI690">
        <v>0</v>
      </c>
      <c r="AJ690" t="s">
        <v>52</v>
      </c>
      <c r="AK690">
        <v>0</v>
      </c>
      <c r="AL690" t="s">
        <v>52</v>
      </c>
      <c r="AM690" t="s">
        <v>52</v>
      </c>
      <c r="AN690">
        <v>0</v>
      </c>
      <c r="AO690">
        <v>0</v>
      </c>
      <c r="AP690" t="s">
        <v>52</v>
      </c>
      <c r="AQ690" t="s">
        <v>52</v>
      </c>
      <c r="AR690" t="s">
        <v>62</v>
      </c>
      <c r="AS690" t="s">
        <v>52</v>
      </c>
      <c r="AT690" t="s">
        <v>52</v>
      </c>
      <c r="AU690" t="s">
        <v>64</v>
      </c>
      <c r="AV690" t="s">
        <v>62</v>
      </c>
      <c r="AW690" t="s">
        <v>65</v>
      </c>
      <c r="AX690" t="s">
        <v>66</v>
      </c>
      <c r="AY690" t="s">
        <v>67</v>
      </c>
    </row>
    <row r="691" spans="1:51" hidden="1" x14ac:dyDescent="0.25">
      <c r="A691">
        <v>405990</v>
      </c>
      <c r="B691" t="s">
        <v>2686</v>
      </c>
      <c r="C691" t="e">
        <f>VLOOKUP(A691,[1]Customer_payment_journal_line!$AL:$BO,30,0)</f>
        <v>#N/A</v>
      </c>
      <c r="D691" t="s">
        <v>53</v>
      </c>
      <c r="E691" t="s">
        <v>2682</v>
      </c>
      <c r="F691" t="s">
        <v>2683</v>
      </c>
      <c r="G691" t="s">
        <v>2552</v>
      </c>
      <c r="H691" t="s">
        <v>69</v>
      </c>
      <c r="I691" t="s">
        <v>2687</v>
      </c>
      <c r="J691" t="s">
        <v>2684</v>
      </c>
      <c r="K691" t="s">
        <v>2685</v>
      </c>
      <c r="L691" t="s">
        <v>52</v>
      </c>
      <c r="M691">
        <v>0</v>
      </c>
      <c r="N691">
        <v>3762</v>
      </c>
      <c r="O691" t="s">
        <v>61</v>
      </c>
      <c r="P691">
        <v>100</v>
      </c>
      <c r="Q691" t="s">
        <v>52</v>
      </c>
      <c r="R691" t="s">
        <v>52</v>
      </c>
      <c r="S691" t="s">
        <v>52</v>
      </c>
      <c r="T691" t="s">
        <v>52</v>
      </c>
      <c r="U691" t="s">
        <v>52</v>
      </c>
      <c r="V691" t="s">
        <v>62</v>
      </c>
      <c r="W691" t="s">
        <v>52</v>
      </c>
      <c r="Y691" t="s">
        <v>2688</v>
      </c>
      <c r="Z691" t="s">
        <v>62</v>
      </c>
      <c r="AB691" t="s">
        <v>2689</v>
      </c>
      <c r="AE691" t="s">
        <v>2690</v>
      </c>
      <c r="AF691" t="s">
        <v>52</v>
      </c>
      <c r="AH691">
        <v>0</v>
      </c>
      <c r="AI691">
        <v>0</v>
      </c>
      <c r="AJ691" t="s">
        <v>52</v>
      </c>
      <c r="AK691">
        <v>0</v>
      </c>
      <c r="AL691" t="s">
        <v>52</v>
      </c>
      <c r="AM691" t="s">
        <v>52</v>
      </c>
      <c r="AN691">
        <v>0</v>
      </c>
      <c r="AO691">
        <v>0</v>
      </c>
      <c r="AP691" t="s">
        <v>52</v>
      </c>
      <c r="AQ691" t="s">
        <v>52</v>
      </c>
      <c r="AR691" t="s">
        <v>62</v>
      </c>
      <c r="AS691" t="s">
        <v>52</v>
      </c>
      <c r="AT691" t="s">
        <v>74</v>
      </c>
      <c r="AU691" t="s">
        <v>64</v>
      </c>
      <c r="AV691" t="s">
        <v>62</v>
      </c>
      <c r="AW691" t="s">
        <v>65</v>
      </c>
      <c r="AX691" t="s">
        <v>66</v>
      </c>
      <c r="AY691" t="s">
        <v>67</v>
      </c>
    </row>
    <row r="692" spans="1:51" hidden="1" x14ac:dyDescent="0.25">
      <c r="A692">
        <v>405991</v>
      </c>
      <c r="B692" t="s">
        <v>2691</v>
      </c>
      <c r="C692" t="e">
        <f>VLOOKUP(A692,[1]Customer_payment_journal_line!$AL:$BO,30,0)</f>
        <v>#N/A</v>
      </c>
      <c r="D692" t="s">
        <v>53</v>
      </c>
      <c r="E692" t="s">
        <v>2692</v>
      </c>
      <c r="F692" t="s">
        <v>2693</v>
      </c>
      <c r="G692" t="s">
        <v>2552</v>
      </c>
      <c r="H692" t="s">
        <v>57</v>
      </c>
      <c r="I692" t="s">
        <v>58</v>
      </c>
      <c r="J692" t="s">
        <v>2684</v>
      </c>
      <c r="K692" t="s">
        <v>2685</v>
      </c>
      <c r="L692" t="s">
        <v>52</v>
      </c>
      <c r="M692">
        <v>855</v>
      </c>
      <c r="N692">
        <v>0</v>
      </c>
      <c r="O692" t="s">
        <v>61</v>
      </c>
      <c r="P692">
        <v>100</v>
      </c>
      <c r="Q692" t="s">
        <v>52</v>
      </c>
      <c r="R692" t="s">
        <v>52</v>
      </c>
      <c r="S692" t="s">
        <v>52</v>
      </c>
      <c r="T692" t="s">
        <v>52</v>
      </c>
      <c r="U692" t="s">
        <v>52</v>
      </c>
      <c r="V692" t="s">
        <v>62</v>
      </c>
      <c r="W692" t="s">
        <v>63</v>
      </c>
      <c r="Y692" t="s">
        <v>52</v>
      </c>
      <c r="AB692" t="s">
        <v>52</v>
      </c>
      <c r="AE692" t="s">
        <v>52</v>
      </c>
      <c r="AF692" t="s">
        <v>52</v>
      </c>
      <c r="AH692">
        <v>0</v>
      </c>
      <c r="AI692">
        <v>0</v>
      </c>
      <c r="AJ692" t="s">
        <v>52</v>
      </c>
      <c r="AK692">
        <v>0</v>
      </c>
      <c r="AL692" t="s">
        <v>52</v>
      </c>
      <c r="AM692" t="s">
        <v>52</v>
      </c>
      <c r="AN692">
        <v>0</v>
      </c>
      <c r="AO692">
        <v>0</v>
      </c>
      <c r="AP692" t="s">
        <v>52</v>
      </c>
      <c r="AQ692" t="s">
        <v>52</v>
      </c>
      <c r="AR692" t="s">
        <v>62</v>
      </c>
      <c r="AS692" t="s">
        <v>52</v>
      </c>
      <c r="AT692" t="s">
        <v>52</v>
      </c>
      <c r="AU692" t="s">
        <v>64</v>
      </c>
      <c r="AV692" t="s">
        <v>62</v>
      </c>
      <c r="AW692" t="s">
        <v>65</v>
      </c>
      <c r="AX692" t="s">
        <v>66</v>
      </c>
      <c r="AY692" t="s">
        <v>67</v>
      </c>
    </row>
    <row r="693" spans="1:51" hidden="1" x14ac:dyDescent="0.25">
      <c r="A693">
        <v>405991</v>
      </c>
      <c r="B693" t="s">
        <v>2694</v>
      </c>
      <c r="C693" t="e">
        <f>VLOOKUP(A693,[1]Customer_payment_journal_line!$AL:$BO,30,0)</f>
        <v>#N/A</v>
      </c>
      <c r="D693" t="s">
        <v>53</v>
      </c>
      <c r="E693" t="s">
        <v>2692</v>
      </c>
      <c r="F693" t="s">
        <v>2693</v>
      </c>
      <c r="G693" t="s">
        <v>2552</v>
      </c>
      <c r="H693" t="s">
        <v>69</v>
      </c>
      <c r="I693" t="s">
        <v>2687</v>
      </c>
      <c r="J693" t="s">
        <v>2684</v>
      </c>
      <c r="K693" t="s">
        <v>2685</v>
      </c>
      <c r="L693" t="s">
        <v>52</v>
      </c>
      <c r="M693">
        <v>0</v>
      </c>
      <c r="N693">
        <v>855</v>
      </c>
      <c r="O693" t="s">
        <v>61</v>
      </c>
      <c r="P693">
        <v>100</v>
      </c>
      <c r="Q693" t="s">
        <v>52</v>
      </c>
      <c r="R693" t="s">
        <v>52</v>
      </c>
      <c r="S693" t="s">
        <v>52</v>
      </c>
      <c r="T693" t="s">
        <v>52</v>
      </c>
      <c r="U693" t="s">
        <v>52</v>
      </c>
      <c r="V693" t="s">
        <v>62</v>
      </c>
      <c r="W693" t="s">
        <v>52</v>
      </c>
      <c r="Y693" t="s">
        <v>2688</v>
      </c>
      <c r="Z693" t="s">
        <v>62</v>
      </c>
      <c r="AB693" t="s">
        <v>2695</v>
      </c>
      <c r="AE693" t="s">
        <v>2696</v>
      </c>
      <c r="AF693" t="s">
        <v>52</v>
      </c>
      <c r="AH693">
        <v>0</v>
      </c>
      <c r="AI693">
        <v>0</v>
      </c>
      <c r="AJ693" t="s">
        <v>52</v>
      </c>
      <c r="AK693">
        <v>0</v>
      </c>
      <c r="AL693" t="s">
        <v>52</v>
      </c>
      <c r="AM693" t="s">
        <v>52</v>
      </c>
      <c r="AN693">
        <v>0</v>
      </c>
      <c r="AO693">
        <v>0</v>
      </c>
      <c r="AP693" t="s">
        <v>52</v>
      </c>
      <c r="AQ693" t="s">
        <v>52</v>
      </c>
      <c r="AR693" t="s">
        <v>62</v>
      </c>
      <c r="AS693" t="s">
        <v>52</v>
      </c>
      <c r="AT693" t="s">
        <v>74</v>
      </c>
      <c r="AU693" t="s">
        <v>64</v>
      </c>
      <c r="AV693" t="s">
        <v>62</v>
      </c>
      <c r="AW693" t="s">
        <v>65</v>
      </c>
      <c r="AX693" t="s">
        <v>66</v>
      </c>
      <c r="AY693" t="s">
        <v>67</v>
      </c>
    </row>
    <row r="694" spans="1:51" hidden="1" x14ac:dyDescent="0.25">
      <c r="A694">
        <v>405992</v>
      </c>
      <c r="B694" t="s">
        <v>2697</v>
      </c>
      <c r="C694" t="e">
        <f>VLOOKUP(A694,[1]Customer_payment_journal_line!$AL:$BO,30,0)</f>
        <v>#N/A</v>
      </c>
      <c r="D694" t="s">
        <v>53</v>
      </c>
      <c r="E694" t="s">
        <v>2698</v>
      </c>
      <c r="F694" t="s">
        <v>2699</v>
      </c>
      <c r="G694" t="s">
        <v>2552</v>
      </c>
      <c r="H694" t="s">
        <v>57</v>
      </c>
      <c r="I694" t="s">
        <v>516</v>
      </c>
      <c r="J694" t="s">
        <v>2684</v>
      </c>
      <c r="K694" t="s">
        <v>2685</v>
      </c>
      <c r="L694" t="s">
        <v>52</v>
      </c>
      <c r="M694">
        <v>120</v>
      </c>
      <c r="N694">
        <v>0</v>
      </c>
      <c r="O694" t="s">
        <v>178</v>
      </c>
      <c r="P694">
        <v>5085</v>
      </c>
      <c r="Q694" t="s">
        <v>52</v>
      </c>
      <c r="R694" t="s">
        <v>52</v>
      </c>
      <c r="S694" t="s">
        <v>52</v>
      </c>
      <c r="T694" t="s">
        <v>52</v>
      </c>
      <c r="U694" t="s">
        <v>52</v>
      </c>
      <c r="V694" t="s">
        <v>62</v>
      </c>
      <c r="W694" t="s">
        <v>63</v>
      </c>
      <c r="Y694" t="s">
        <v>52</v>
      </c>
      <c r="AB694" t="s">
        <v>52</v>
      </c>
      <c r="AE694" t="s">
        <v>52</v>
      </c>
      <c r="AF694" t="s">
        <v>52</v>
      </c>
      <c r="AH694">
        <v>0</v>
      </c>
      <c r="AI694">
        <v>0</v>
      </c>
      <c r="AJ694" t="s">
        <v>52</v>
      </c>
      <c r="AK694">
        <v>0</v>
      </c>
      <c r="AL694" t="s">
        <v>52</v>
      </c>
      <c r="AM694" t="s">
        <v>52</v>
      </c>
      <c r="AN694">
        <v>0</v>
      </c>
      <c r="AO694">
        <v>0</v>
      </c>
      <c r="AP694" t="s">
        <v>52</v>
      </c>
      <c r="AQ694" t="s">
        <v>52</v>
      </c>
      <c r="AR694" t="s">
        <v>62</v>
      </c>
      <c r="AS694" t="s">
        <v>52</v>
      </c>
      <c r="AT694" t="s">
        <v>52</v>
      </c>
      <c r="AU694" t="s">
        <v>64</v>
      </c>
      <c r="AV694" t="s">
        <v>62</v>
      </c>
      <c r="AW694" t="s">
        <v>65</v>
      </c>
      <c r="AX694" t="s">
        <v>66</v>
      </c>
      <c r="AY694" t="s">
        <v>67</v>
      </c>
    </row>
    <row r="695" spans="1:51" hidden="1" x14ac:dyDescent="0.25">
      <c r="A695">
        <v>405992</v>
      </c>
      <c r="B695" t="s">
        <v>2700</v>
      </c>
      <c r="C695" t="e">
        <f>VLOOKUP(A695,[1]Customer_payment_journal_line!$AL:$BO,30,0)</f>
        <v>#N/A</v>
      </c>
      <c r="D695" t="s">
        <v>53</v>
      </c>
      <c r="E695" t="s">
        <v>2698</v>
      </c>
      <c r="F695" t="s">
        <v>2699</v>
      </c>
      <c r="G695" t="s">
        <v>2552</v>
      </c>
      <c r="H695" t="s">
        <v>69</v>
      </c>
      <c r="I695" t="s">
        <v>2687</v>
      </c>
      <c r="J695" t="s">
        <v>2684</v>
      </c>
      <c r="K695" t="s">
        <v>2685</v>
      </c>
      <c r="L695" t="s">
        <v>52</v>
      </c>
      <c r="M695">
        <v>0</v>
      </c>
      <c r="N695">
        <v>120</v>
      </c>
      <c r="O695" t="s">
        <v>178</v>
      </c>
      <c r="P695">
        <v>5085</v>
      </c>
      <c r="Q695" t="s">
        <v>52</v>
      </c>
      <c r="R695" t="s">
        <v>52</v>
      </c>
      <c r="S695" t="s">
        <v>52</v>
      </c>
      <c r="T695" t="s">
        <v>52</v>
      </c>
      <c r="U695" t="s">
        <v>52</v>
      </c>
      <c r="V695" t="s">
        <v>62</v>
      </c>
      <c r="W695" t="s">
        <v>52</v>
      </c>
      <c r="Y695" t="s">
        <v>2688</v>
      </c>
      <c r="Z695" t="s">
        <v>62</v>
      </c>
      <c r="AB695" t="s">
        <v>2701</v>
      </c>
      <c r="AE695" t="s">
        <v>2702</v>
      </c>
      <c r="AF695" t="s">
        <v>52</v>
      </c>
      <c r="AH695">
        <v>0</v>
      </c>
      <c r="AI695">
        <v>0</v>
      </c>
      <c r="AJ695" t="s">
        <v>52</v>
      </c>
      <c r="AK695">
        <v>0</v>
      </c>
      <c r="AL695" t="s">
        <v>52</v>
      </c>
      <c r="AM695" t="s">
        <v>52</v>
      </c>
      <c r="AN695">
        <v>0</v>
      </c>
      <c r="AO695">
        <v>0</v>
      </c>
      <c r="AP695" t="s">
        <v>52</v>
      </c>
      <c r="AQ695" t="s">
        <v>52</v>
      </c>
      <c r="AR695" t="s">
        <v>62</v>
      </c>
      <c r="AS695" t="s">
        <v>52</v>
      </c>
      <c r="AT695" t="s">
        <v>74</v>
      </c>
      <c r="AU695" t="s">
        <v>64</v>
      </c>
      <c r="AV695" t="s">
        <v>62</v>
      </c>
      <c r="AW695" t="s">
        <v>65</v>
      </c>
      <c r="AX695" t="s">
        <v>66</v>
      </c>
      <c r="AY695" t="s">
        <v>67</v>
      </c>
    </row>
    <row r="696" spans="1:51" hidden="1" x14ac:dyDescent="0.25">
      <c r="A696">
        <v>202826</v>
      </c>
      <c r="B696" t="s">
        <v>2703</v>
      </c>
      <c r="C696" t="e">
        <f>VLOOKUP(A696,[1]Customer_payment_journal_line!$AL:$BO,30,0)</f>
        <v>#N/A</v>
      </c>
      <c r="D696" t="s">
        <v>53</v>
      </c>
      <c r="E696" t="s">
        <v>2704</v>
      </c>
      <c r="F696" t="s">
        <v>2705</v>
      </c>
      <c r="G696" t="s">
        <v>2552</v>
      </c>
      <c r="H696" t="s">
        <v>57</v>
      </c>
      <c r="I696" t="s">
        <v>58</v>
      </c>
      <c r="J696" t="s">
        <v>2706</v>
      </c>
      <c r="K696" t="s">
        <v>2707</v>
      </c>
      <c r="L696" t="s">
        <v>52</v>
      </c>
      <c r="M696">
        <v>1140</v>
      </c>
      <c r="N696">
        <v>0</v>
      </c>
      <c r="O696" t="s">
        <v>61</v>
      </c>
      <c r="P696">
        <v>100</v>
      </c>
      <c r="Q696" t="s">
        <v>52</v>
      </c>
      <c r="R696" t="s">
        <v>52</v>
      </c>
      <c r="S696" t="s">
        <v>52</v>
      </c>
      <c r="T696" t="s">
        <v>52</v>
      </c>
      <c r="U696" t="s">
        <v>52</v>
      </c>
      <c r="V696" t="s">
        <v>62</v>
      </c>
      <c r="W696" t="s">
        <v>63</v>
      </c>
      <c r="Y696" t="s">
        <v>52</v>
      </c>
      <c r="AB696" t="s">
        <v>52</v>
      </c>
      <c r="AE696" t="s">
        <v>52</v>
      </c>
      <c r="AF696" t="s">
        <v>52</v>
      </c>
      <c r="AH696">
        <v>0</v>
      </c>
      <c r="AI696">
        <v>0</v>
      </c>
      <c r="AJ696" t="s">
        <v>52</v>
      </c>
      <c r="AK696">
        <v>0</v>
      </c>
      <c r="AL696" t="s">
        <v>52</v>
      </c>
      <c r="AM696" t="s">
        <v>52</v>
      </c>
      <c r="AN696">
        <v>0</v>
      </c>
      <c r="AO696">
        <v>0</v>
      </c>
      <c r="AP696" t="s">
        <v>52</v>
      </c>
      <c r="AQ696" t="s">
        <v>52</v>
      </c>
      <c r="AR696" t="s">
        <v>62</v>
      </c>
      <c r="AS696" t="s">
        <v>52</v>
      </c>
      <c r="AT696" t="s">
        <v>52</v>
      </c>
      <c r="AU696" t="s">
        <v>64</v>
      </c>
      <c r="AV696" t="s">
        <v>62</v>
      </c>
      <c r="AW696" t="s">
        <v>65</v>
      </c>
      <c r="AX696" t="s">
        <v>66</v>
      </c>
      <c r="AY696" t="s">
        <v>67</v>
      </c>
    </row>
    <row r="697" spans="1:51" hidden="1" x14ac:dyDescent="0.25">
      <c r="A697">
        <v>202826</v>
      </c>
      <c r="B697" t="s">
        <v>2708</v>
      </c>
      <c r="C697" t="e">
        <f>VLOOKUP(A697,[1]Customer_payment_journal_line!$AL:$BO,30,0)</f>
        <v>#N/A</v>
      </c>
      <c r="D697" t="s">
        <v>53</v>
      </c>
      <c r="E697" t="s">
        <v>2704</v>
      </c>
      <c r="F697" t="s">
        <v>2705</v>
      </c>
      <c r="G697" t="s">
        <v>2552</v>
      </c>
      <c r="H697" t="s">
        <v>69</v>
      </c>
      <c r="I697" t="s">
        <v>2709</v>
      </c>
      <c r="J697" t="s">
        <v>2706</v>
      </c>
      <c r="K697" t="s">
        <v>2707</v>
      </c>
      <c r="L697" t="s">
        <v>52</v>
      </c>
      <c r="M697">
        <v>0</v>
      </c>
      <c r="N697">
        <v>1140</v>
      </c>
      <c r="O697" t="s">
        <v>61</v>
      </c>
      <c r="P697">
        <v>100</v>
      </c>
      <c r="Q697" t="s">
        <v>52</v>
      </c>
      <c r="R697" t="s">
        <v>52</v>
      </c>
      <c r="S697" t="s">
        <v>52</v>
      </c>
      <c r="T697" t="s">
        <v>52</v>
      </c>
      <c r="U697" t="s">
        <v>52</v>
      </c>
      <c r="V697" t="s">
        <v>62</v>
      </c>
      <c r="W697" t="s">
        <v>52</v>
      </c>
      <c r="Y697" t="s">
        <v>2710</v>
      </c>
      <c r="Z697" t="s">
        <v>62</v>
      </c>
      <c r="AB697" t="s">
        <v>2711</v>
      </c>
      <c r="AE697" t="s">
        <v>2712</v>
      </c>
      <c r="AF697" t="s">
        <v>52</v>
      </c>
      <c r="AH697">
        <v>0</v>
      </c>
      <c r="AI697">
        <v>0</v>
      </c>
      <c r="AJ697" t="s">
        <v>52</v>
      </c>
      <c r="AK697">
        <v>0</v>
      </c>
      <c r="AL697" t="s">
        <v>52</v>
      </c>
      <c r="AM697" t="s">
        <v>52</v>
      </c>
      <c r="AN697">
        <v>0</v>
      </c>
      <c r="AO697">
        <v>0</v>
      </c>
      <c r="AP697" t="s">
        <v>52</v>
      </c>
      <c r="AQ697" t="s">
        <v>52</v>
      </c>
      <c r="AR697" t="s">
        <v>62</v>
      </c>
      <c r="AS697" t="s">
        <v>52</v>
      </c>
      <c r="AT697" t="s">
        <v>74</v>
      </c>
      <c r="AU697" t="s">
        <v>64</v>
      </c>
      <c r="AV697" t="s">
        <v>62</v>
      </c>
      <c r="AW697" t="s">
        <v>65</v>
      </c>
      <c r="AX697" t="s">
        <v>66</v>
      </c>
      <c r="AY697" t="s">
        <v>67</v>
      </c>
    </row>
    <row r="698" spans="1:51" hidden="1" x14ac:dyDescent="0.25">
      <c r="A698">
        <v>202827</v>
      </c>
      <c r="B698" t="s">
        <v>2713</v>
      </c>
      <c r="C698" t="e">
        <f>VLOOKUP(A698,[1]Customer_payment_journal_line!$AL:$BO,30,0)</f>
        <v>#N/A</v>
      </c>
      <c r="D698" t="s">
        <v>53</v>
      </c>
      <c r="E698" t="s">
        <v>2714</v>
      </c>
      <c r="F698" t="s">
        <v>2715</v>
      </c>
      <c r="G698" t="s">
        <v>2552</v>
      </c>
      <c r="H698" t="s">
        <v>57</v>
      </c>
      <c r="I698" t="s">
        <v>319</v>
      </c>
      <c r="J698" t="s">
        <v>2716</v>
      </c>
      <c r="K698" t="s">
        <v>2296</v>
      </c>
      <c r="L698" t="s">
        <v>52</v>
      </c>
      <c r="M698">
        <v>3271.8</v>
      </c>
      <c r="N698">
        <v>0</v>
      </c>
      <c r="O698" t="s">
        <v>61</v>
      </c>
      <c r="P698">
        <v>100</v>
      </c>
      <c r="Q698" t="s">
        <v>52</v>
      </c>
      <c r="R698" t="s">
        <v>52</v>
      </c>
      <c r="S698" t="s">
        <v>52</v>
      </c>
      <c r="T698" t="s">
        <v>52</v>
      </c>
      <c r="U698" t="s">
        <v>52</v>
      </c>
      <c r="V698" t="s">
        <v>62</v>
      </c>
      <c r="W698" t="s">
        <v>63</v>
      </c>
      <c r="Y698" t="s">
        <v>52</v>
      </c>
      <c r="AB698" t="s">
        <v>52</v>
      </c>
      <c r="AE698" t="s">
        <v>52</v>
      </c>
      <c r="AF698" t="s">
        <v>52</v>
      </c>
      <c r="AH698">
        <v>0</v>
      </c>
      <c r="AI698">
        <v>0</v>
      </c>
      <c r="AJ698" t="s">
        <v>52</v>
      </c>
      <c r="AK698">
        <v>0</v>
      </c>
      <c r="AL698" t="s">
        <v>52</v>
      </c>
      <c r="AM698" t="s">
        <v>52</v>
      </c>
      <c r="AN698">
        <v>0</v>
      </c>
      <c r="AO698">
        <v>0</v>
      </c>
      <c r="AP698" t="s">
        <v>52</v>
      </c>
      <c r="AQ698" t="s">
        <v>52</v>
      </c>
      <c r="AR698" t="s">
        <v>62</v>
      </c>
      <c r="AS698" t="s">
        <v>52</v>
      </c>
      <c r="AT698" t="s">
        <v>52</v>
      </c>
      <c r="AU698" t="s">
        <v>64</v>
      </c>
      <c r="AV698" t="s">
        <v>62</v>
      </c>
      <c r="AW698" t="s">
        <v>65</v>
      </c>
      <c r="AX698" t="s">
        <v>66</v>
      </c>
      <c r="AY698" t="s">
        <v>67</v>
      </c>
    </row>
    <row r="699" spans="1:51" hidden="1" x14ac:dyDescent="0.25">
      <c r="A699">
        <v>202827</v>
      </c>
      <c r="B699" t="s">
        <v>2717</v>
      </c>
      <c r="C699" t="e">
        <f>VLOOKUP(A699,[1]Customer_payment_journal_line!$AL:$BO,30,0)</f>
        <v>#N/A</v>
      </c>
      <c r="D699" t="s">
        <v>53</v>
      </c>
      <c r="E699" t="s">
        <v>2714</v>
      </c>
      <c r="F699" t="s">
        <v>2715</v>
      </c>
      <c r="G699" t="s">
        <v>2552</v>
      </c>
      <c r="H699" t="s">
        <v>69</v>
      </c>
      <c r="I699" t="s">
        <v>2298</v>
      </c>
      <c r="J699" t="s">
        <v>2716</v>
      </c>
      <c r="K699" t="s">
        <v>2296</v>
      </c>
      <c r="L699" t="s">
        <v>52</v>
      </c>
      <c r="M699">
        <v>0</v>
      </c>
      <c r="N699">
        <v>3271.8</v>
      </c>
      <c r="O699" t="s">
        <v>61</v>
      </c>
      <c r="P699">
        <v>100</v>
      </c>
      <c r="Q699" t="s">
        <v>52</v>
      </c>
      <c r="R699" t="s">
        <v>52</v>
      </c>
      <c r="S699" t="s">
        <v>52</v>
      </c>
      <c r="T699" t="s">
        <v>52</v>
      </c>
      <c r="U699" t="s">
        <v>52</v>
      </c>
      <c r="V699" t="s">
        <v>62</v>
      </c>
      <c r="W699" t="s">
        <v>52</v>
      </c>
      <c r="Y699" t="s">
        <v>2299</v>
      </c>
      <c r="Z699" t="s">
        <v>62</v>
      </c>
      <c r="AB699" t="s">
        <v>2718</v>
      </c>
      <c r="AE699" t="s">
        <v>2719</v>
      </c>
      <c r="AF699" t="s">
        <v>52</v>
      </c>
      <c r="AH699">
        <v>0</v>
      </c>
      <c r="AI699">
        <v>0</v>
      </c>
      <c r="AJ699" t="s">
        <v>52</v>
      </c>
      <c r="AK699">
        <v>0</v>
      </c>
      <c r="AL699" t="s">
        <v>52</v>
      </c>
      <c r="AM699" t="s">
        <v>52</v>
      </c>
      <c r="AN699">
        <v>0</v>
      </c>
      <c r="AO699">
        <v>0</v>
      </c>
      <c r="AP699" t="s">
        <v>52</v>
      </c>
      <c r="AQ699" t="s">
        <v>52</v>
      </c>
      <c r="AR699" t="s">
        <v>62</v>
      </c>
      <c r="AS699" t="s">
        <v>52</v>
      </c>
      <c r="AT699" t="s">
        <v>74</v>
      </c>
      <c r="AU699" t="s">
        <v>64</v>
      </c>
      <c r="AV699" t="s">
        <v>62</v>
      </c>
      <c r="AW699" t="s">
        <v>65</v>
      </c>
      <c r="AX699" t="s">
        <v>66</v>
      </c>
      <c r="AY699" t="s">
        <v>67</v>
      </c>
    </row>
    <row r="700" spans="1:51" hidden="1" x14ac:dyDescent="0.25">
      <c r="A700">
        <v>202828</v>
      </c>
      <c r="B700" t="s">
        <v>2720</v>
      </c>
      <c r="C700" t="e">
        <f>VLOOKUP(A700,[1]Customer_payment_journal_line!$AL:$BO,30,0)</f>
        <v>#N/A</v>
      </c>
      <c r="D700" t="s">
        <v>53</v>
      </c>
      <c r="E700" t="s">
        <v>2721</v>
      </c>
      <c r="F700" t="s">
        <v>2722</v>
      </c>
      <c r="G700" t="s">
        <v>2552</v>
      </c>
      <c r="H700" t="s">
        <v>57</v>
      </c>
      <c r="I700" t="s">
        <v>319</v>
      </c>
      <c r="J700" t="s">
        <v>2723</v>
      </c>
      <c r="K700" t="s">
        <v>2296</v>
      </c>
      <c r="L700" t="s">
        <v>52</v>
      </c>
      <c r="M700">
        <v>803.7</v>
      </c>
      <c r="N700">
        <v>0</v>
      </c>
      <c r="O700" t="s">
        <v>61</v>
      </c>
      <c r="P700">
        <v>100</v>
      </c>
      <c r="Q700" t="s">
        <v>52</v>
      </c>
      <c r="R700" t="s">
        <v>52</v>
      </c>
      <c r="S700" t="s">
        <v>52</v>
      </c>
      <c r="T700" t="s">
        <v>52</v>
      </c>
      <c r="U700" t="s">
        <v>52</v>
      </c>
      <c r="V700" t="s">
        <v>62</v>
      </c>
      <c r="W700" t="s">
        <v>63</v>
      </c>
      <c r="Y700" t="s">
        <v>52</v>
      </c>
      <c r="AB700" t="s">
        <v>52</v>
      </c>
      <c r="AE700" t="s">
        <v>52</v>
      </c>
      <c r="AF700" t="s">
        <v>52</v>
      </c>
      <c r="AH700">
        <v>0</v>
      </c>
      <c r="AI700">
        <v>0</v>
      </c>
      <c r="AJ700" t="s">
        <v>52</v>
      </c>
      <c r="AK700">
        <v>0</v>
      </c>
      <c r="AL700" t="s">
        <v>52</v>
      </c>
      <c r="AM700" t="s">
        <v>52</v>
      </c>
      <c r="AN700">
        <v>0</v>
      </c>
      <c r="AO700">
        <v>0</v>
      </c>
      <c r="AP700" t="s">
        <v>52</v>
      </c>
      <c r="AQ700" t="s">
        <v>52</v>
      </c>
      <c r="AR700" t="s">
        <v>62</v>
      </c>
      <c r="AS700" t="s">
        <v>52</v>
      </c>
      <c r="AT700" t="s">
        <v>52</v>
      </c>
      <c r="AU700" t="s">
        <v>64</v>
      </c>
      <c r="AV700" t="s">
        <v>62</v>
      </c>
      <c r="AW700" t="s">
        <v>65</v>
      </c>
      <c r="AX700" t="s">
        <v>66</v>
      </c>
      <c r="AY700" t="s">
        <v>67</v>
      </c>
    </row>
    <row r="701" spans="1:51" hidden="1" x14ac:dyDescent="0.25">
      <c r="A701">
        <v>202828</v>
      </c>
      <c r="B701" t="s">
        <v>2724</v>
      </c>
      <c r="C701" t="e">
        <f>VLOOKUP(A701,[1]Customer_payment_journal_line!$AL:$BO,30,0)</f>
        <v>#N/A</v>
      </c>
      <c r="D701" t="s">
        <v>53</v>
      </c>
      <c r="E701" t="s">
        <v>2721</v>
      </c>
      <c r="F701" t="s">
        <v>2722</v>
      </c>
      <c r="G701" t="s">
        <v>2552</v>
      </c>
      <c r="H701" t="s">
        <v>69</v>
      </c>
      <c r="I701" t="s">
        <v>2298</v>
      </c>
      <c r="J701" t="s">
        <v>2723</v>
      </c>
      <c r="K701" t="s">
        <v>2296</v>
      </c>
      <c r="L701" t="s">
        <v>52</v>
      </c>
      <c r="M701">
        <v>0</v>
      </c>
      <c r="N701">
        <v>803.7</v>
      </c>
      <c r="O701" t="s">
        <v>61</v>
      </c>
      <c r="P701">
        <v>100</v>
      </c>
      <c r="Q701" t="s">
        <v>52</v>
      </c>
      <c r="R701" t="s">
        <v>52</v>
      </c>
      <c r="S701" t="s">
        <v>52</v>
      </c>
      <c r="T701" t="s">
        <v>52</v>
      </c>
      <c r="U701" t="s">
        <v>52</v>
      </c>
      <c r="V701" t="s">
        <v>62</v>
      </c>
      <c r="W701" t="s">
        <v>52</v>
      </c>
      <c r="Y701" t="s">
        <v>2299</v>
      </c>
      <c r="Z701" t="s">
        <v>62</v>
      </c>
      <c r="AB701" t="s">
        <v>2725</v>
      </c>
      <c r="AE701" t="s">
        <v>2726</v>
      </c>
      <c r="AF701" t="s">
        <v>52</v>
      </c>
      <c r="AH701">
        <v>0</v>
      </c>
      <c r="AI701">
        <v>0</v>
      </c>
      <c r="AJ701" t="s">
        <v>52</v>
      </c>
      <c r="AK701">
        <v>0</v>
      </c>
      <c r="AL701" t="s">
        <v>52</v>
      </c>
      <c r="AM701" t="s">
        <v>52</v>
      </c>
      <c r="AN701">
        <v>0</v>
      </c>
      <c r="AO701">
        <v>0</v>
      </c>
      <c r="AP701" t="s">
        <v>52</v>
      </c>
      <c r="AQ701" t="s">
        <v>52</v>
      </c>
      <c r="AR701" t="s">
        <v>62</v>
      </c>
      <c r="AS701" t="s">
        <v>52</v>
      </c>
      <c r="AT701" t="s">
        <v>74</v>
      </c>
      <c r="AU701" t="s">
        <v>64</v>
      </c>
      <c r="AV701" t="s">
        <v>62</v>
      </c>
      <c r="AW701" t="s">
        <v>65</v>
      </c>
      <c r="AX701" t="s">
        <v>66</v>
      </c>
      <c r="AY701" t="s">
        <v>67</v>
      </c>
    </row>
    <row r="702" spans="1:51" hidden="1" x14ac:dyDescent="0.25">
      <c r="A702">
        <v>202833</v>
      </c>
      <c r="B702" t="s">
        <v>2727</v>
      </c>
      <c r="C702" t="e">
        <f>VLOOKUP(A702,[1]Customer_payment_journal_line!$AL:$BO,30,0)</f>
        <v>#N/A</v>
      </c>
      <c r="D702" t="s">
        <v>53</v>
      </c>
      <c r="E702" t="s">
        <v>2728</v>
      </c>
      <c r="F702" t="s">
        <v>2729</v>
      </c>
      <c r="G702" t="s">
        <v>2552</v>
      </c>
      <c r="H702" t="s">
        <v>57</v>
      </c>
      <c r="I702" t="s">
        <v>319</v>
      </c>
      <c r="J702" t="s">
        <v>2730</v>
      </c>
      <c r="K702" t="s">
        <v>2731</v>
      </c>
      <c r="L702" t="s">
        <v>52</v>
      </c>
      <c r="M702">
        <v>20520</v>
      </c>
      <c r="N702">
        <v>0</v>
      </c>
      <c r="O702" t="s">
        <v>61</v>
      </c>
      <c r="P702">
        <v>100</v>
      </c>
      <c r="Q702" t="s">
        <v>52</v>
      </c>
      <c r="R702" t="s">
        <v>52</v>
      </c>
      <c r="S702" t="s">
        <v>52</v>
      </c>
      <c r="T702" t="s">
        <v>52</v>
      </c>
      <c r="U702" t="s">
        <v>52</v>
      </c>
      <c r="V702" t="s">
        <v>62</v>
      </c>
      <c r="W702" t="s">
        <v>63</v>
      </c>
      <c r="Y702" t="s">
        <v>52</v>
      </c>
      <c r="AB702" t="s">
        <v>52</v>
      </c>
      <c r="AE702" t="s">
        <v>52</v>
      </c>
      <c r="AF702" t="s">
        <v>52</v>
      </c>
      <c r="AH702">
        <v>0</v>
      </c>
      <c r="AI702">
        <v>0</v>
      </c>
      <c r="AJ702" t="s">
        <v>52</v>
      </c>
      <c r="AK702">
        <v>0</v>
      </c>
      <c r="AL702" t="s">
        <v>52</v>
      </c>
      <c r="AM702" t="s">
        <v>52</v>
      </c>
      <c r="AN702">
        <v>0</v>
      </c>
      <c r="AO702">
        <v>0</v>
      </c>
      <c r="AP702" t="s">
        <v>52</v>
      </c>
      <c r="AQ702" t="s">
        <v>52</v>
      </c>
      <c r="AR702" t="s">
        <v>62</v>
      </c>
      <c r="AS702" t="s">
        <v>52</v>
      </c>
      <c r="AT702" t="s">
        <v>52</v>
      </c>
      <c r="AU702" t="s">
        <v>64</v>
      </c>
      <c r="AV702" t="s">
        <v>62</v>
      </c>
      <c r="AW702" t="s">
        <v>65</v>
      </c>
      <c r="AX702" t="s">
        <v>66</v>
      </c>
      <c r="AY702" t="s">
        <v>67</v>
      </c>
    </row>
    <row r="703" spans="1:51" hidden="1" x14ac:dyDescent="0.25">
      <c r="A703">
        <v>202833</v>
      </c>
      <c r="B703" t="s">
        <v>2732</v>
      </c>
      <c r="C703" t="e">
        <f>VLOOKUP(A703,[1]Customer_payment_journal_line!$AL:$BO,30,0)</f>
        <v>#N/A</v>
      </c>
      <c r="D703" t="s">
        <v>53</v>
      </c>
      <c r="E703" t="s">
        <v>2728</v>
      </c>
      <c r="F703" t="s">
        <v>2729</v>
      </c>
      <c r="G703" t="s">
        <v>2552</v>
      </c>
      <c r="H703" t="s">
        <v>69</v>
      </c>
      <c r="I703" t="s">
        <v>2733</v>
      </c>
      <c r="J703" t="s">
        <v>2730</v>
      </c>
      <c r="K703" t="s">
        <v>2731</v>
      </c>
      <c r="L703" t="s">
        <v>52</v>
      </c>
      <c r="M703">
        <v>0</v>
      </c>
      <c r="N703">
        <v>20520</v>
      </c>
      <c r="O703" t="s">
        <v>61</v>
      </c>
      <c r="P703">
        <v>100</v>
      </c>
      <c r="Q703" t="s">
        <v>52</v>
      </c>
      <c r="R703" t="s">
        <v>52</v>
      </c>
      <c r="S703" t="s">
        <v>52</v>
      </c>
      <c r="T703" t="s">
        <v>52</v>
      </c>
      <c r="U703" t="s">
        <v>52</v>
      </c>
      <c r="V703" t="s">
        <v>62</v>
      </c>
      <c r="W703" t="s">
        <v>52</v>
      </c>
      <c r="Y703" t="s">
        <v>2734</v>
      </c>
      <c r="Z703" t="s">
        <v>62</v>
      </c>
      <c r="AB703" t="s">
        <v>2735</v>
      </c>
      <c r="AE703" t="s">
        <v>2736</v>
      </c>
      <c r="AF703" t="s">
        <v>52</v>
      </c>
      <c r="AH703">
        <v>0</v>
      </c>
      <c r="AI703">
        <v>0</v>
      </c>
      <c r="AJ703" t="s">
        <v>52</v>
      </c>
      <c r="AK703">
        <v>0</v>
      </c>
      <c r="AL703" t="s">
        <v>52</v>
      </c>
      <c r="AM703" t="s">
        <v>52</v>
      </c>
      <c r="AN703">
        <v>0</v>
      </c>
      <c r="AO703">
        <v>0</v>
      </c>
      <c r="AP703" t="s">
        <v>52</v>
      </c>
      <c r="AQ703" t="s">
        <v>52</v>
      </c>
      <c r="AR703" t="s">
        <v>62</v>
      </c>
      <c r="AS703" t="s">
        <v>52</v>
      </c>
      <c r="AT703" t="s">
        <v>74</v>
      </c>
      <c r="AU703" t="s">
        <v>64</v>
      </c>
      <c r="AV703" t="s">
        <v>62</v>
      </c>
      <c r="AW703" t="s">
        <v>65</v>
      </c>
      <c r="AX703" t="s">
        <v>66</v>
      </c>
      <c r="AY703" t="s">
        <v>67</v>
      </c>
    </row>
    <row r="704" spans="1:51" hidden="1" x14ac:dyDescent="0.25">
      <c r="A704">
        <v>202836</v>
      </c>
      <c r="B704" t="s">
        <v>2737</v>
      </c>
      <c r="C704" t="e">
        <f>VLOOKUP(A704,[1]Customer_payment_journal_line!$AL:$BO,30,0)</f>
        <v>#N/A</v>
      </c>
      <c r="D704" t="s">
        <v>53</v>
      </c>
      <c r="E704" t="s">
        <v>2738</v>
      </c>
      <c r="F704" t="s">
        <v>2739</v>
      </c>
      <c r="G704" t="s">
        <v>2552</v>
      </c>
      <c r="H704" t="s">
        <v>57</v>
      </c>
      <c r="I704" t="s">
        <v>319</v>
      </c>
      <c r="J704" t="s">
        <v>2730</v>
      </c>
      <c r="K704" t="s">
        <v>2731</v>
      </c>
      <c r="L704" t="s">
        <v>52</v>
      </c>
      <c r="M704">
        <v>855</v>
      </c>
      <c r="N704">
        <v>0</v>
      </c>
      <c r="O704" t="s">
        <v>61</v>
      </c>
      <c r="P704">
        <v>100</v>
      </c>
      <c r="Q704" t="s">
        <v>52</v>
      </c>
      <c r="R704" t="s">
        <v>52</v>
      </c>
      <c r="S704" t="s">
        <v>52</v>
      </c>
      <c r="T704" t="s">
        <v>52</v>
      </c>
      <c r="U704" t="s">
        <v>52</v>
      </c>
      <c r="V704" t="s">
        <v>62</v>
      </c>
      <c r="W704" t="s">
        <v>63</v>
      </c>
      <c r="Y704" t="s">
        <v>52</v>
      </c>
      <c r="AB704" t="s">
        <v>52</v>
      </c>
      <c r="AE704" t="s">
        <v>52</v>
      </c>
      <c r="AF704" t="s">
        <v>52</v>
      </c>
      <c r="AH704">
        <v>0</v>
      </c>
      <c r="AI704">
        <v>0</v>
      </c>
      <c r="AJ704" t="s">
        <v>52</v>
      </c>
      <c r="AK704">
        <v>0</v>
      </c>
      <c r="AL704" t="s">
        <v>52</v>
      </c>
      <c r="AM704" t="s">
        <v>52</v>
      </c>
      <c r="AN704">
        <v>0</v>
      </c>
      <c r="AO704">
        <v>0</v>
      </c>
      <c r="AP704" t="s">
        <v>52</v>
      </c>
      <c r="AQ704" t="s">
        <v>52</v>
      </c>
      <c r="AR704" t="s">
        <v>62</v>
      </c>
      <c r="AS704" t="s">
        <v>52</v>
      </c>
      <c r="AT704" t="s">
        <v>52</v>
      </c>
      <c r="AU704" t="s">
        <v>64</v>
      </c>
      <c r="AV704" t="s">
        <v>62</v>
      </c>
      <c r="AW704" t="s">
        <v>65</v>
      </c>
      <c r="AX704" t="s">
        <v>66</v>
      </c>
      <c r="AY704" t="s">
        <v>67</v>
      </c>
    </row>
    <row r="705" spans="1:51" hidden="1" x14ac:dyDescent="0.25">
      <c r="A705">
        <v>202836</v>
      </c>
      <c r="B705" t="s">
        <v>2740</v>
      </c>
      <c r="C705" t="e">
        <f>VLOOKUP(A705,[1]Customer_payment_journal_line!$AL:$BO,30,0)</f>
        <v>#N/A</v>
      </c>
      <c r="D705" t="s">
        <v>53</v>
      </c>
      <c r="E705" t="s">
        <v>2738</v>
      </c>
      <c r="F705" t="s">
        <v>2739</v>
      </c>
      <c r="G705" t="s">
        <v>2552</v>
      </c>
      <c r="H705" t="s">
        <v>69</v>
      </c>
      <c r="I705" t="s">
        <v>2733</v>
      </c>
      <c r="J705" t="s">
        <v>2730</v>
      </c>
      <c r="K705" t="s">
        <v>2731</v>
      </c>
      <c r="L705" t="s">
        <v>52</v>
      </c>
      <c r="M705">
        <v>0</v>
      </c>
      <c r="N705">
        <v>855</v>
      </c>
      <c r="O705" t="s">
        <v>61</v>
      </c>
      <c r="P705">
        <v>100</v>
      </c>
      <c r="Q705" t="s">
        <v>52</v>
      </c>
      <c r="R705" t="s">
        <v>52</v>
      </c>
      <c r="S705" t="s">
        <v>52</v>
      </c>
      <c r="T705" t="s">
        <v>52</v>
      </c>
      <c r="U705" t="s">
        <v>52</v>
      </c>
      <c r="V705" t="s">
        <v>62</v>
      </c>
      <c r="W705" t="s">
        <v>52</v>
      </c>
      <c r="Y705" t="s">
        <v>2734</v>
      </c>
      <c r="Z705" t="s">
        <v>62</v>
      </c>
      <c r="AB705" t="s">
        <v>2741</v>
      </c>
      <c r="AE705" t="s">
        <v>2742</v>
      </c>
      <c r="AF705" t="s">
        <v>52</v>
      </c>
      <c r="AH705">
        <v>0</v>
      </c>
      <c r="AI705">
        <v>0</v>
      </c>
      <c r="AJ705" t="s">
        <v>52</v>
      </c>
      <c r="AK705">
        <v>0</v>
      </c>
      <c r="AL705" t="s">
        <v>52</v>
      </c>
      <c r="AM705" t="s">
        <v>52</v>
      </c>
      <c r="AN705">
        <v>0</v>
      </c>
      <c r="AO705">
        <v>0</v>
      </c>
      <c r="AP705" t="s">
        <v>52</v>
      </c>
      <c r="AQ705" t="s">
        <v>52</v>
      </c>
      <c r="AR705" t="s">
        <v>62</v>
      </c>
      <c r="AS705" t="s">
        <v>52</v>
      </c>
      <c r="AT705" t="s">
        <v>74</v>
      </c>
      <c r="AU705" t="s">
        <v>64</v>
      </c>
      <c r="AV705" t="s">
        <v>62</v>
      </c>
      <c r="AW705" t="s">
        <v>65</v>
      </c>
      <c r="AX705" t="s">
        <v>66</v>
      </c>
      <c r="AY705" t="s">
        <v>67</v>
      </c>
    </row>
    <row r="706" spans="1:51" hidden="1" x14ac:dyDescent="0.25">
      <c r="A706">
        <v>202839</v>
      </c>
      <c r="B706" t="s">
        <v>2743</v>
      </c>
      <c r="C706" t="e">
        <f>VLOOKUP(A706,[1]Customer_payment_journal_line!$AL:$BO,30,0)</f>
        <v>#N/A</v>
      </c>
      <c r="D706" t="s">
        <v>53</v>
      </c>
      <c r="E706" t="s">
        <v>2744</v>
      </c>
      <c r="F706" t="s">
        <v>2745</v>
      </c>
      <c r="G706" t="s">
        <v>2552</v>
      </c>
      <c r="H706" t="s">
        <v>57</v>
      </c>
      <c r="I706" t="s">
        <v>58</v>
      </c>
      <c r="J706" t="s">
        <v>2086</v>
      </c>
      <c r="K706" t="s">
        <v>2746</v>
      </c>
      <c r="L706" t="s">
        <v>52</v>
      </c>
      <c r="M706">
        <v>1065.9000000000001</v>
      </c>
      <c r="N706">
        <v>0</v>
      </c>
      <c r="O706" t="s">
        <v>61</v>
      </c>
      <c r="P706">
        <v>100</v>
      </c>
      <c r="Q706" t="s">
        <v>52</v>
      </c>
      <c r="R706" t="s">
        <v>52</v>
      </c>
      <c r="S706" t="s">
        <v>52</v>
      </c>
      <c r="T706" t="s">
        <v>52</v>
      </c>
      <c r="U706" t="s">
        <v>52</v>
      </c>
      <c r="V706" t="s">
        <v>62</v>
      </c>
      <c r="W706" t="s">
        <v>63</v>
      </c>
      <c r="Y706" t="s">
        <v>52</v>
      </c>
      <c r="AB706" t="s">
        <v>52</v>
      </c>
      <c r="AE706" t="s">
        <v>52</v>
      </c>
      <c r="AF706" t="s">
        <v>52</v>
      </c>
      <c r="AH706">
        <v>0</v>
      </c>
      <c r="AI706">
        <v>0</v>
      </c>
      <c r="AJ706" t="s">
        <v>52</v>
      </c>
      <c r="AK706">
        <v>0</v>
      </c>
      <c r="AL706" t="s">
        <v>52</v>
      </c>
      <c r="AM706" t="s">
        <v>52</v>
      </c>
      <c r="AN706">
        <v>0</v>
      </c>
      <c r="AO706">
        <v>0</v>
      </c>
      <c r="AP706" t="s">
        <v>52</v>
      </c>
      <c r="AQ706" t="s">
        <v>52</v>
      </c>
      <c r="AR706" t="s">
        <v>62</v>
      </c>
      <c r="AS706" t="s">
        <v>52</v>
      </c>
      <c r="AT706" t="s">
        <v>52</v>
      </c>
      <c r="AU706" t="s">
        <v>64</v>
      </c>
      <c r="AV706" t="s">
        <v>62</v>
      </c>
      <c r="AW706" t="s">
        <v>65</v>
      </c>
      <c r="AX706" t="s">
        <v>66</v>
      </c>
      <c r="AY706" t="s">
        <v>67</v>
      </c>
    </row>
    <row r="707" spans="1:51" hidden="1" x14ac:dyDescent="0.25">
      <c r="A707">
        <v>202839</v>
      </c>
      <c r="B707" t="s">
        <v>2747</v>
      </c>
      <c r="C707" t="e">
        <f>VLOOKUP(A707,[1]Customer_payment_journal_line!$AL:$BO,30,0)</f>
        <v>#N/A</v>
      </c>
      <c r="D707" t="s">
        <v>53</v>
      </c>
      <c r="E707" t="s">
        <v>2744</v>
      </c>
      <c r="F707" t="s">
        <v>2745</v>
      </c>
      <c r="G707" t="s">
        <v>2552</v>
      </c>
      <c r="H707" t="s">
        <v>69</v>
      </c>
      <c r="I707" t="s">
        <v>2089</v>
      </c>
      <c r="J707" t="s">
        <v>2086</v>
      </c>
      <c r="K707" t="s">
        <v>2746</v>
      </c>
      <c r="L707" t="s">
        <v>52</v>
      </c>
      <c r="M707">
        <v>0</v>
      </c>
      <c r="N707">
        <v>1065.9000000000001</v>
      </c>
      <c r="O707" t="s">
        <v>61</v>
      </c>
      <c r="P707">
        <v>100</v>
      </c>
      <c r="Q707" t="s">
        <v>52</v>
      </c>
      <c r="R707" t="s">
        <v>52</v>
      </c>
      <c r="S707" t="s">
        <v>52</v>
      </c>
      <c r="T707" t="s">
        <v>52</v>
      </c>
      <c r="U707" t="s">
        <v>52</v>
      </c>
      <c r="V707" t="s">
        <v>62</v>
      </c>
      <c r="W707" t="s">
        <v>52</v>
      </c>
      <c r="Y707" t="s">
        <v>2090</v>
      </c>
      <c r="Z707" t="s">
        <v>62</v>
      </c>
      <c r="AB707" t="s">
        <v>2748</v>
      </c>
      <c r="AE707" t="s">
        <v>2749</v>
      </c>
      <c r="AF707" t="s">
        <v>52</v>
      </c>
      <c r="AH707">
        <v>0</v>
      </c>
      <c r="AI707">
        <v>0</v>
      </c>
      <c r="AJ707" t="s">
        <v>52</v>
      </c>
      <c r="AK707">
        <v>0</v>
      </c>
      <c r="AL707" t="s">
        <v>52</v>
      </c>
      <c r="AM707" t="s">
        <v>52</v>
      </c>
      <c r="AN707">
        <v>0</v>
      </c>
      <c r="AO707">
        <v>0</v>
      </c>
      <c r="AP707" t="s">
        <v>52</v>
      </c>
      <c r="AQ707" t="s">
        <v>52</v>
      </c>
      <c r="AR707" t="s">
        <v>62</v>
      </c>
      <c r="AS707" t="s">
        <v>52</v>
      </c>
      <c r="AT707" t="s">
        <v>74</v>
      </c>
      <c r="AU707" t="s">
        <v>64</v>
      </c>
      <c r="AV707" t="s">
        <v>62</v>
      </c>
      <c r="AW707" t="s">
        <v>65</v>
      </c>
      <c r="AX707" t="s">
        <v>66</v>
      </c>
      <c r="AY707" t="s">
        <v>67</v>
      </c>
    </row>
    <row r="708" spans="1:51" hidden="1" x14ac:dyDescent="0.25">
      <c r="A708">
        <v>202840</v>
      </c>
      <c r="B708" t="s">
        <v>2750</v>
      </c>
      <c r="C708" t="e">
        <f>VLOOKUP(A708,[1]Customer_payment_journal_line!$AL:$BO,30,0)</f>
        <v>#N/A</v>
      </c>
      <c r="D708" t="s">
        <v>53</v>
      </c>
      <c r="E708" t="s">
        <v>2751</v>
      </c>
      <c r="F708" t="s">
        <v>2752</v>
      </c>
      <c r="G708" t="s">
        <v>2552</v>
      </c>
      <c r="H708" t="s">
        <v>57</v>
      </c>
      <c r="I708" t="s">
        <v>58</v>
      </c>
      <c r="J708" t="s">
        <v>2086</v>
      </c>
      <c r="K708" t="s">
        <v>2746</v>
      </c>
      <c r="L708" t="s">
        <v>52</v>
      </c>
      <c r="M708">
        <v>855</v>
      </c>
      <c r="N708">
        <v>0</v>
      </c>
      <c r="O708" t="s">
        <v>61</v>
      </c>
      <c r="P708">
        <v>100</v>
      </c>
      <c r="Q708" t="s">
        <v>52</v>
      </c>
      <c r="R708" t="s">
        <v>52</v>
      </c>
      <c r="S708" t="s">
        <v>52</v>
      </c>
      <c r="T708" t="s">
        <v>52</v>
      </c>
      <c r="U708" t="s">
        <v>52</v>
      </c>
      <c r="V708" t="s">
        <v>62</v>
      </c>
      <c r="W708" t="s">
        <v>63</v>
      </c>
      <c r="Y708" t="s">
        <v>52</v>
      </c>
      <c r="AB708" t="s">
        <v>52</v>
      </c>
      <c r="AE708" t="s">
        <v>52</v>
      </c>
      <c r="AF708" t="s">
        <v>52</v>
      </c>
      <c r="AH708">
        <v>0</v>
      </c>
      <c r="AI708">
        <v>0</v>
      </c>
      <c r="AJ708" t="s">
        <v>52</v>
      </c>
      <c r="AK708">
        <v>0</v>
      </c>
      <c r="AL708" t="s">
        <v>52</v>
      </c>
      <c r="AM708" t="s">
        <v>52</v>
      </c>
      <c r="AN708">
        <v>0</v>
      </c>
      <c r="AO708">
        <v>0</v>
      </c>
      <c r="AP708" t="s">
        <v>52</v>
      </c>
      <c r="AQ708" t="s">
        <v>52</v>
      </c>
      <c r="AR708" t="s">
        <v>62</v>
      </c>
      <c r="AS708" t="s">
        <v>52</v>
      </c>
      <c r="AT708" t="s">
        <v>52</v>
      </c>
      <c r="AU708" t="s">
        <v>64</v>
      </c>
      <c r="AV708" t="s">
        <v>62</v>
      </c>
      <c r="AW708" t="s">
        <v>65</v>
      </c>
      <c r="AX708" t="s">
        <v>66</v>
      </c>
      <c r="AY708" t="s">
        <v>67</v>
      </c>
    </row>
    <row r="709" spans="1:51" hidden="1" x14ac:dyDescent="0.25">
      <c r="A709">
        <v>202840</v>
      </c>
      <c r="B709" t="s">
        <v>2753</v>
      </c>
      <c r="C709" t="e">
        <f>VLOOKUP(A709,[1]Customer_payment_journal_line!$AL:$BO,30,0)</f>
        <v>#N/A</v>
      </c>
      <c r="D709" t="s">
        <v>53</v>
      </c>
      <c r="E709" t="s">
        <v>2751</v>
      </c>
      <c r="F709" t="s">
        <v>2752</v>
      </c>
      <c r="G709" t="s">
        <v>2552</v>
      </c>
      <c r="H709" t="s">
        <v>69</v>
      </c>
      <c r="I709" t="s">
        <v>2089</v>
      </c>
      <c r="J709" t="s">
        <v>2086</v>
      </c>
      <c r="K709" t="s">
        <v>2746</v>
      </c>
      <c r="L709" t="s">
        <v>52</v>
      </c>
      <c r="M709">
        <v>0</v>
      </c>
      <c r="N709">
        <v>855</v>
      </c>
      <c r="O709" t="s">
        <v>61</v>
      </c>
      <c r="P709">
        <v>100</v>
      </c>
      <c r="Q709" t="s">
        <v>52</v>
      </c>
      <c r="R709" t="s">
        <v>52</v>
      </c>
      <c r="S709" t="s">
        <v>52</v>
      </c>
      <c r="T709" t="s">
        <v>52</v>
      </c>
      <c r="U709" t="s">
        <v>52</v>
      </c>
      <c r="V709" t="s">
        <v>62</v>
      </c>
      <c r="W709" t="s">
        <v>52</v>
      </c>
      <c r="Y709" t="s">
        <v>2090</v>
      </c>
      <c r="Z709" t="s">
        <v>62</v>
      </c>
      <c r="AB709" t="s">
        <v>2754</v>
      </c>
      <c r="AE709" t="s">
        <v>2755</v>
      </c>
      <c r="AF709" t="s">
        <v>52</v>
      </c>
      <c r="AH709">
        <v>0</v>
      </c>
      <c r="AI709">
        <v>0</v>
      </c>
      <c r="AJ709" t="s">
        <v>52</v>
      </c>
      <c r="AK709">
        <v>0</v>
      </c>
      <c r="AL709" t="s">
        <v>52</v>
      </c>
      <c r="AM709" t="s">
        <v>52</v>
      </c>
      <c r="AN709">
        <v>0</v>
      </c>
      <c r="AO709">
        <v>0</v>
      </c>
      <c r="AP709" t="s">
        <v>52</v>
      </c>
      <c r="AQ709" t="s">
        <v>52</v>
      </c>
      <c r="AR709" t="s">
        <v>62</v>
      </c>
      <c r="AS709" t="s">
        <v>52</v>
      </c>
      <c r="AT709" t="s">
        <v>74</v>
      </c>
      <c r="AU709" t="s">
        <v>64</v>
      </c>
      <c r="AV709" t="s">
        <v>62</v>
      </c>
      <c r="AW709" t="s">
        <v>65</v>
      </c>
      <c r="AX709" t="s">
        <v>66</v>
      </c>
      <c r="AY709" t="s">
        <v>67</v>
      </c>
    </row>
    <row r="710" spans="1:51" hidden="1" x14ac:dyDescent="0.25">
      <c r="A710">
        <v>202841</v>
      </c>
      <c r="B710" t="s">
        <v>2756</v>
      </c>
      <c r="C710" t="e">
        <f>VLOOKUP(A710,[1]Customer_payment_journal_line!$AL:$BO,30,0)</f>
        <v>#N/A</v>
      </c>
      <c r="D710" t="s">
        <v>53</v>
      </c>
      <c r="E710" t="s">
        <v>2757</v>
      </c>
      <c r="F710" t="s">
        <v>2758</v>
      </c>
      <c r="G710" t="s">
        <v>2552</v>
      </c>
      <c r="H710" t="s">
        <v>57</v>
      </c>
      <c r="I710" t="s">
        <v>319</v>
      </c>
      <c r="J710" t="s">
        <v>2759</v>
      </c>
      <c r="K710" t="s">
        <v>2077</v>
      </c>
      <c r="L710" t="s">
        <v>52</v>
      </c>
      <c r="M710">
        <v>2850</v>
      </c>
      <c r="N710">
        <v>0</v>
      </c>
      <c r="O710" t="s">
        <v>61</v>
      </c>
      <c r="P710">
        <v>100</v>
      </c>
      <c r="Q710" t="s">
        <v>52</v>
      </c>
      <c r="R710" t="s">
        <v>52</v>
      </c>
      <c r="S710" t="s">
        <v>52</v>
      </c>
      <c r="T710" t="s">
        <v>52</v>
      </c>
      <c r="U710" t="s">
        <v>52</v>
      </c>
      <c r="V710" t="s">
        <v>62</v>
      </c>
      <c r="W710" t="s">
        <v>63</v>
      </c>
      <c r="Y710" t="s">
        <v>52</v>
      </c>
      <c r="AB710" t="s">
        <v>52</v>
      </c>
      <c r="AE710" t="s">
        <v>52</v>
      </c>
      <c r="AF710" t="s">
        <v>52</v>
      </c>
      <c r="AH710">
        <v>0</v>
      </c>
      <c r="AI710">
        <v>0</v>
      </c>
      <c r="AJ710" t="s">
        <v>52</v>
      </c>
      <c r="AK710">
        <v>0</v>
      </c>
      <c r="AL710" t="s">
        <v>52</v>
      </c>
      <c r="AM710" t="s">
        <v>52</v>
      </c>
      <c r="AN710">
        <v>0</v>
      </c>
      <c r="AO710">
        <v>0</v>
      </c>
      <c r="AP710" t="s">
        <v>52</v>
      </c>
      <c r="AQ710" t="s">
        <v>52</v>
      </c>
      <c r="AR710" t="s">
        <v>62</v>
      </c>
      <c r="AS710" t="s">
        <v>52</v>
      </c>
      <c r="AT710" t="s">
        <v>52</v>
      </c>
      <c r="AU710" t="s">
        <v>64</v>
      </c>
      <c r="AV710" t="s">
        <v>62</v>
      </c>
      <c r="AW710" t="s">
        <v>65</v>
      </c>
      <c r="AX710" t="s">
        <v>66</v>
      </c>
      <c r="AY710" t="s">
        <v>67</v>
      </c>
    </row>
    <row r="711" spans="1:51" hidden="1" x14ac:dyDescent="0.25">
      <c r="A711">
        <v>202841</v>
      </c>
      <c r="B711" t="s">
        <v>2760</v>
      </c>
      <c r="C711" t="e">
        <f>VLOOKUP(A711,[1]Customer_payment_journal_line!$AL:$BO,30,0)</f>
        <v>#N/A</v>
      </c>
      <c r="D711" t="s">
        <v>53</v>
      </c>
      <c r="E711" t="s">
        <v>2757</v>
      </c>
      <c r="F711" t="s">
        <v>2758</v>
      </c>
      <c r="G711" t="s">
        <v>2552</v>
      </c>
      <c r="H711" t="s">
        <v>69</v>
      </c>
      <c r="I711" t="s">
        <v>2079</v>
      </c>
      <c r="J711" t="s">
        <v>2759</v>
      </c>
      <c r="K711" t="s">
        <v>2077</v>
      </c>
      <c r="L711" t="s">
        <v>52</v>
      </c>
      <c r="M711">
        <v>0</v>
      </c>
      <c r="N711">
        <v>2850</v>
      </c>
      <c r="O711" t="s">
        <v>61</v>
      </c>
      <c r="P711">
        <v>100</v>
      </c>
      <c r="Q711" t="s">
        <v>52</v>
      </c>
      <c r="R711" t="s">
        <v>52</v>
      </c>
      <c r="S711" t="s">
        <v>52</v>
      </c>
      <c r="T711" t="s">
        <v>52</v>
      </c>
      <c r="U711" t="s">
        <v>52</v>
      </c>
      <c r="V711" t="s">
        <v>62</v>
      </c>
      <c r="W711" t="s">
        <v>52</v>
      </c>
      <c r="Y711" t="s">
        <v>2080</v>
      </c>
      <c r="Z711" t="s">
        <v>62</v>
      </c>
      <c r="AB711" t="s">
        <v>2761</v>
      </c>
      <c r="AE711" t="s">
        <v>2762</v>
      </c>
      <c r="AF711" t="s">
        <v>52</v>
      </c>
      <c r="AH711">
        <v>0</v>
      </c>
      <c r="AI711">
        <v>0</v>
      </c>
      <c r="AJ711" t="s">
        <v>52</v>
      </c>
      <c r="AK711">
        <v>0</v>
      </c>
      <c r="AL711" t="s">
        <v>52</v>
      </c>
      <c r="AM711" t="s">
        <v>52</v>
      </c>
      <c r="AN711">
        <v>0</v>
      </c>
      <c r="AO711">
        <v>0</v>
      </c>
      <c r="AP711" t="s">
        <v>52</v>
      </c>
      <c r="AQ711" t="s">
        <v>52</v>
      </c>
      <c r="AR711" t="s">
        <v>62</v>
      </c>
      <c r="AS711" t="s">
        <v>52</v>
      </c>
      <c r="AT711" t="s">
        <v>74</v>
      </c>
      <c r="AU711" t="s">
        <v>64</v>
      </c>
      <c r="AV711" t="s">
        <v>62</v>
      </c>
      <c r="AW711" t="s">
        <v>65</v>
      </c>
      <c r="AX711" t="s">
        <v>66</v>
      </c>
      <c r="AY711" t="s">
        <v>67</v>
      </c>
    </row>
    <row r="712" spans="1:51" hidden="1" x14ac:dyDescent="0.25">
      <c r="A712">
        <v>202842</v>
      </c>
      <c r="B712" t="s">
        <v>2763</v>
      </c>
      <c r="C712" t="e">
        <f>VLOOKUP(A712,[1]Customer_payment_journal_line!$AL:$BO,30,0)</f>
        <v>#N/A</v>
      </c>
      <c r="D712" t="s">
        <v>53</v>
      </c>
      <c r="E712" t="s">
        <v>2764</v>
      </c>
      <c r="F712" t="s">
        <v>2765</v>
      </c>
      <c r="G712" t="s">
        <v>2552</v>
      </c>
      <c r="H712" t="s">
        <v>57</v>
      </c>
      <c r="I712" t="s">
        <v>319</v>
      </c>
      <c r="J712" t="s">
        <v>2766</v>
      </c>
      <c r="K712" t="s">
        <v>2077</v>
      </c>
      <c r="L712" t="s">
        <v>52</v>
      </c>
      <c r="M712">
        <v>5118.6000000000004</v>
      </c>
      <c r="N712">
        <v>0</v>
      </c>
      <c r="O712" t="s">
        <v>61</v>
      </c>
      <c r="P712">
        <v>100</v>
      </c>
      <c r="Q712" t="s">
        <v>52</v>
      </c>
      <c r="R712" t="s">
        <v>52</v>
      </c>
      <c r="S712" t="s">
        <v>52</v>
      </c>
      <c r="T712" t="s">
        <v>52</v>
      </c>
      <c r="U712" t="s">
        <v>52</v>
      </c>
      <c r="V712" t="s">
        <v>62</v>
      </c>
      <c r="W712" t="s">
        <v>63</v>
      </c>
      <c r="Y712" t="s">
        <v>52</v>
      </c>
      <c r="AB712" t="s">
        <v>52</v>
      </c>
      <c r="AE712" t="s">
        <v>52</v>
      </c>
      <c r="AF712" t="s">
        <v>52</v>
      </c>
      <c r="AH712">
        <v>0</v>
      </c>
      <c r="AI712">
        <v>0</v>
      </c>
      <c r="AJ712" t="s">
        <v>52</v>
      </c>
      <c r="AK712">
        <v>0</v>
      </c>
      <c r="AL712" t="s">
        <v>52</v>
      </c>
      <c r="AM712" t="s">
        <v>52</v>
      </c>
      <c r="AN712">
        <v>0</v>
      </c>
      <c r="AO712">
        <v>0</v>
      </c>
      <c r="AP712" t="s">
        <v>52</v>
      </c>
      <c r="AQ712" t="s">
        <v>52</v>
      </c>
      <c r="AR712" t="s">
        <v>62</v>
      </c>
      <c r="AS712" t="s">
        <v>52</v>
      </c>
      <c r="AT712" t="s">
        <v>52</v>
      </c>
      <c r="AU712" t="s">
        <v>64</v>
      </c>
      <c r="AV712" t="s">
        <v>62</v>
      </c>
      <c r="AW712" t="s">
        <v>65</v>
      </c>
      <c r="AX712" t="s">
        <v>66</v>
      </c>
      <c r="AY712" t="s">
        <v>67</v>
      </c>
    </row>
    <row r="713" spans="1:51" hidden="1" x14ac:dyDescent="0.25">
      <c r="A713">
        <v>202842</v>
      </c>
      <c r="B713" t="s">
        <v>2767</v>
      </c>
      <c r="C713" t="e">
        <f>VLOOKUP(A713,[1]Customer_payment_journal_line!$AL:$BO,30,0)</f>
        <v>#N/A</v>
      </c>
      <c r="D713" t="s">
        <v>53</v>
      </c>
      <c r="E713" t="s">
        <v>2764</v>
      </c>
      <c r="F713" t="s">
        <v>2765</v>
      </c>
      <c r="G713" t="s">
        <v>2552</v>
      </c>
      <c r="H713" t="s">
        <v>69</v>
      </c>
      <c r="I713" t="s">
        <v>2079</v>
      </c>
      <c r="J713" t="s">
        <v>2766</v>
      </c>
      <c r="K713" t="s">
        <v>2077</v>
      </c>
      <c r="L713" t="s">
        <v>52</v>
      </c>
      <c r="M713">
        <v>0</v>
      </c>
      <c r="N713">
        <v>5118.6000000000004</v>
      </c>
      <c r="O713" t="s">
        <v>61</v>
      </c>
      <c r="P713">
        <v>100</v>
      </c>
      <c r="Q713" t="s">
        <v>52</v>
      </c>
      <c r="R713" t="s">
        <v>52</v>
      </c>
      <c r="S713" t="s">
        <v>52</v>
      </c>
      <c r="T713" t="s">
        <v>52</v>
      </c>
      <c r="U713" t="s">
        <v>52</v>
      </c>
      <c r="V713" t="s">
        <v>62</v>
      </c>
      <c r="W713" t="s">
        <v>52</v>
      </c>
      <c r="Y713" t="s">
        <v>2080</v>
      </c>
      <c r="Z713" t="s">
        <v>62</v>
      </c>
      <c r="AB713" t="s">
        <v>2768</v>
      </c>
      <c r="AE713" t="s">
        <v>2769</v>
      </c>
      <c r="AF713" t="s">
        <v>52</v>
      </c>
      <c r="AH713">
        <v>0</v>
      </c>
      <c r="AI713">
        <v>0</v>
      </c>
      <c r="AJ713" t="s">
        <v>52</v>
      </c>
      <c r="AK713">
        <v>0</v>
      </c>
      <c r="AL713" t="s">
        <v>52</v>
      </c>
      <c r="AM713" t="s">
        <v>52</v>
      </c>
      <c r="AN713">
        <v>0</v>
      </c>
      <c r="AO713">
        <v>0</v>
      </c>
      <c r="AP713" t="s">
        <v>52</v>
      </c>
      <c r="AQ713" t="s">
        <v>52</v>
      </c>
      <c r="AR713" t="s">
        <v>62</v>
      </c>
      <c r="AS713" t="s">
        <v>52</v>
      </c>
      <c r="AT713" t="s">
        <v>74</v>
      </c>
      <c r="AU713" t="s">
        <v>64</v>
      </c>
      <c r="AV713" t="s">
        <v>62</v>
      </c>
      <c r="AW713" t="s">
        <v>65</v>
      </c>
      <c r="AX713" t="s">
        <v>66</v>
      </c>
      <c r="AY713" t="s">
        <v>67</v>
      </c>
    </row>
    <row r="714" spans="1:51" hidden="1" x14ac:dyDescent="0.25">
      <c r="A714">
        <v>202847</v>
      </c>
      <c r="B714" t="s">
        <v>2770</v>
      </c>
      <c r="C714" t="e">
        <f>VLOOKUP(A714,[1]Customer_payment_journal_line!$AL:$BO,30,0)</f>
        <v>#N/A</v>
      </c>
      <c r="D714" t="s">
        <v>53</v>
      </c>
      <c r="E714" t="s">
        <v>2771</v>
      </c>
      <c r="F714" t="s">
        <v>2772</v>
      </c>
      <c r="G714" t="s">
        <v>2552</v>
      </c>
      <c r="H714" t="s">
        <v>57</v>
      </c>
      <c r="I714" t="s">
        <v>58</v>
      </c>
      <c r="J714" t="s">
        <v>2773</v>
      </c>
      <c r="K714" t="s">
        <v>2774</v>
      </c>
      <c r="L714" t="s">
        <v>52</v>
      </c>
      <c r="M714">
        <v>2850</v>
      </c>
      <c r="N714">
        <v>0</v>
      </c>
      <c r="O714" t="s">
        <v>61</v>
      </c>
      <c r="P714">
        <v>100</v>
      </c>
      <c r="Q714" t="s">
        <v>52</v>
      </c>
      <c r="R714" t="s">
        <v>52</v>
      </c>
      <c r="S714" t="s">
        <v>52</v>
      </c>
      <c r="T714" t="s">
        <v>52</v>
      </c>
      <c r="U714" t="s">
        <v>52</v>
      </c>
      <c r="V714" t="s">
        <v>62</v>
      </c>
      <c r="W714" t="s">
        <v>63</v>
      </c>
      <c r="Y714" t="s">
        <v>52</v>
      </c>
      <c r="AB714" t="s">
        <v>52</v>
      </c>
      <c r="AE714" t="s">
        <v>52</v>
      </c>
      <c r="AF714" t="s">
        <v>52</v>
      </c>
      <c r="AH714">
        <v>0</v>
      </c>
      <c r="AI714">
        <v>0</v>
      </c>
      <c r="AJ714" t="s">
        <v>52</v>
      </c>
      <c r="AK714">
        <v>0</v>
      </c>
      <c r="AL714" t="s">
        <v>52</v>
      </c>
      <c r="AM714" t="s">
        <v>52</v>
      </c>
      <c r="AN714">
        <v>0</v>
      </c>
      <c r="AO714">
        <v>0</v>
      </c>
      <c r="AP714" t="s">
        <v>52</v>
      </c>
      <c r="AQ714" t="s">
        <v>52</v>
      </c>
      <c r="AR714" t="s">
        <v>62</v>
      </c>
      <c r="AS714" t="s">
        <v>52</v>
      </c>
      <c r="AT714" t="s">
        <v>52</v>
      </c>
      <c r="AU714" t="s">
        <v>64</v>
      </c>
      <c r="AV714" t="s">
        <v>62</v>
      </c>
      <c r="AW714" t="s">
        <v>65</v>
      </c>
      <c r="AX714" t="s">
        <v>66</v>
      </c>
      <c r="AY714" t="s">
        <v>67</v>
      </c>
    </row>
    <row r="715" spans="1:51" hidden="1" x14ac:dyDescent="0.25">
      <c r="A715">
        <v>202847</v>
      </c>
      <c r="B715" t="s">
        <v>2775</v>
      </c>
      <c r="C715" t="e">
        <f>VLOOKUP(A715,[1]Customer_payment_journal_line!$AL:$BO,30,0)</f>
        <v>#N/A</v>
      </c>
      <c r="D715" t="s">
        <v>53</v>
      </c>
      <c r="E715" t="s">
        <v>2771</v>
      </c>
      <c r="F715" t="s">
        <v>2772</v>
      </c>
      <c r="G715" t="s">
        <v>2552</v>
      </c>
      <c r="H715" t="s">
        <v>69</v>
      </c>
      <c r="I715" t="s">
        <v>2776</v>
      </c>
      <c r="J715" t="s">
        <v>2773</v>
      </c>
      <c r="K715" t="s">
        <v>2774</v>
      </c>
      <c r="L715" t="s">
        <v>52</v>
      </c>
      <c r="M715">
        <v>0</v>
      </c>
      <c r="N715">
        <v>2850</v>
      </c>
      <c r="O715" t="s">
        <v>61</v>
      </c>
      <c r="P715">
        <v>100</v>
      </c>
      <c r="Q715" t="s">
        <v>52</v>
      </c>
      <c r="R715" t="s">
        <v>52</v>
      </c>
      <c r="S715" t="s">
        <v>52</v>
      </c>
      <c r="T715" t="s">
        <v>52</v>
      </c>
      <c r="U715" t="s">
        <v>52</v>
      </c>
      <c r="V715" t="s">
        <v>62</v>
      </c>
      <c r="W715" t="s">
        <v>52</v>
      </c>
      <c r="Y715" t="s">
        <v>2777</v>
      </c>
      <c r="Z715" t="s">
        <v>62</v>
      </c>
      <c r="AB715" t="s">
        <v>2778</v>
      </c>
      <c r="AE715" t="s">
        <v>2779</v>
      </c>
      <c r="AF715" t="s">
        <v>52</v>
      </c>
      <c r="AH715">
        <v>0</v>
      </c>
      <c r="AI715">
        <v>0</v>
      </c>
      <c r="AJ715" t="s">
        <v>52</v>
      </c>
      <c r="AK715">
        <v>0</v>
      </c>
      <c r="AL715" t="s">
        <v>52</v>
      </c>
      <c r="AM715" t="s">
        <v>52</v>
      </c>
      <c r="AN715">
        <v>0</v>
      </c>
      <c r="AO715">
        <v>0</v>
      </c>
      <c r="AP715" t="s">
        <v>52</v>
      </c>
      <c r="AQ715" t="s">
        <v>52</v>
      </c>
      <c r="AR715" t="s">
        <v>62</v>
      </c>
      <c r="AS715" t="s">
        <v>52</v>
      </c>
      <c r="AT715" t="s">
        <v>74</v>
      </c>
      <c r="AU715" t="s">
        <v>64</v>
      </c>
      <c r="AV715" t="s">
        <v>62</v>
      </c>
      <c r="AW715" t="s">
        <v>65</v>
      </c>
      <c r="AX715" t="s">
        <v>66</v>
      </c>
      <c r="AY715" t="s">
        <v>67</v>
      </c>
    </row>
    <row r="716" spans="1:51" hidden="1" x14ac:dyDescent="0.25">
      <c r="A716">
        <v>202848</v>
      </c>
      <c r="B716" t="s">
        <v>2780</v>
      </c>
      <c r="C716" t="e">
        <f>VLOOKUP(A716,[1]Customer_payment_journal_line!$AL:$BO,30,0)</f>
        <v>#N/A</v>
      </c>
      <c r="D716" t="s">
        <v>53</v>
      </c>
      <c r="E716" t="s">
        <v>2781</v>
      </c>
      <c r="F716" t="s">
        <v>2782</v>
      </c>
      <c r="G716" t="s">
        <v>2552</v>
      </c>
      <c r="H716" t="s">
        <v>57</v>
      </c>
      <c r="I716" t="s">
        <v>58</v>
      </c>
      <c r="J716" t="s">
        <v>2773</v>
      </c>
      <c r="K716" t="s">
        <v>2783</v>
      </c>
      <c r="L716" t="s">
        <v>52</v>
      </c>
      <c r="M716">
        <v>1140</v>
      </c>
      <c r="N716">
        <v>0</v>
      </c>
      <c r="O716" t="s">
        <v>61</v>
      </c>
      <c r="P716">
        <v>100</v>
      </c>
      <c r="Q716" t="s">
        <v>52</v>
      </c>
      <c r="R716" t="s">
        <v>52</v>
      </c>
      <c r="S716" t="s">
        <v>52</v>
      </c>
      <c r="T716" t="s">
        <v>52</v>
      </c>
      <c r="U716" t="s">
        <v>52</v>
      </c>
      <c r="V716" t="s">
        <v>62</v>
      </c>
      <c r="W716" t="s">
        <v>63</v>
      </c>
      <c r="Y716" t="s">
        <v>52</v>
      </c>
      <c r="AB716" t="s">
        <v>52</v>
      </c>
      <c r="AE716" t="s">
        <v>52</v>
      </c>
      <c r="AF716" t="s">
        <v>52</v>
      </c>
      <c r="AH716">
        <v>0</v>
      </c>
      <c r="AI716">
        <v>0</v>
      </c>
      <c r="AJ716" t="s">
        <v>52</v>
      </c>
      <c r="AK716">
        <v>0</v>
      </c>
      <c r="AL716" t="s">
        <v>52</v>
      </c>
      <c r="AM716" t="s">
        <v>52</v>
      </c>
      <c r="AN716">
        <v>0</v>
      </c>
      <c r="AO716">
        <v>0</v>
      </c>
      <c r="AP716" t="s">
        <v>52</v>
      </c>
      <c r="AQ716" t="s">
        <v>52</v>
      </c>
      <c r="AR716" t="s">
        <v>62</v>
      </c>
      <c r="AS716" t="s">
        <v>52</v>
      </c>
      <c r="AT716" t="s">
        <v>52</v>
      </c>
      <c r="AU716" t="s">
        <v>64</v>
      </c>
      <c r="AV716" t="s">
        <v>62</v>
      </c>
      <c r="AW716" t="s">
        <v>65</v>
      </c>
      <c r="AX716" t="s">
        <v>66</v>
      </c>
      <c r="AY716" t="s">
        <v>67</v>
      </c>
    </row>
    <row r="717" spans="1:51" hidden="1" x14ac:dyDescent="0.25">
      <c r="A717">
        <v>202848</v>
      </c>
      <c r="B717" t="s">
        <v>2784</v>
      </c>
      <c r="C717" t="e">
        <f>VLOOKUP(A717,[1]Customer_payment_journal_line!$AL:$BO,30,0)</f>
        <v>#N/A</v>
      </c>
      <c r="D717" t="s">
        <v>53</v>
      </c>
      <c r="E717" t="s">
        <v>2781</v>
      </c>
      <c r="F717" t="s">
        <v>2782</v>
      </c>
      <c r="G717" t="s">
        <v>2552</v>
      </c>
      <c r="H717" t="s">
        <v>69</v>
      </c>
      <c r="I717" t="s">
        <v>2776</v>
      </c>
      <c r="J717" t="s">
        <v>2773</v>
      </c>
      <c r="K717" t="s">
        <v>2783</v>
      </c>
      <c r="L717" t="s">
        <v>52</v>
      </c>
      <c r="M717">
        <v>0</v>
      </c>
      <c r="N717">
        <v>1140</v>
      </c>
      <c r="O717" t="s">
        <v>61</v>
      </c>
      <c r="P717">
        <v>100</v>
      </c>
      <c r="Q717" t="s">
        <v>52</v>
      </c>
      <c r="R717" t="s">
        <v>52</v>
      </c>
      <c r="S717" t="s">
        <v>52</v>
      </c>
      <c r="T717" t="s">
        <v>52</v>
      </c>
      <c r="U717" t="s">
        <v>52</v>
      </c>
      <c r="V717" t="s">
        <v>62</v>
      </c>
      <c r="W717" t="s">
        <v>52</v>
      </c>
      <c r="Y717" t="s">
        <v>2777</v>
      </c>
      <c r="Z717" t="s">
        <v>62</v>
      </c>
      <c r="AB717" t="s">
        <v>2785</v>
      </c>
      <c r="AE717" t="s">
        <v>2786</v>
      </c>
      <c r="AF717" t="s">
        <v>52</v>
      </c>
      <c r="AH717">
        <v>0</v>
      </c>
      <c r="AI717">
        <v>0</v>
      </c>
      <c r="AJ717" t="s">
        <v>52</v>
      </c>
      <c r="AK717">
        <v>0</v>
      </c>
      <c r="AL717" t="s">
        <v>52</v>
      </c>
      <c r="AM717" t="s">
        <v>52</v>
      </c>
      <c r="AN717">
        <v>0</v>
      </c>
      <c r="AO717">
        <v>0</v>
      </c>
      <c r="AP717" t="s">
        <v>52</v>
      </c>
      <c r="AQ717" t="s">
        <v>52</v>
      </c>
      <c r="AR717" t="s">
        <v>62</v>
      </c>
      <c r="AS717" t="s">
        <v>52</v>
      </c>
      <c r="AT717" t="s">
        <v>74</v>
      </c>
      <c r="AU717" t="s">
        <v>64</v>
      </c>
      <c r="AV717" t="s">
        <v>62</v>
      </c>
      <c r="AW717" t="s">
        <v>65</v>
      </c>
      <c r="AX717" t="s">
        <v>66</v>
      </c>
      <c r="AY717" t="s">
        <v>67</v>
      </c>
    </row>
    <row r="718" spans="1:51" hidden="1" x14ac:dyDescent="0.25">
      <c r="A718">
        <v>317143</v>
      </c>
      <c r="B718" t="s">
        <v>2787</v>
      </c>
      <c r="C718" t="e">
        <f>VLOOKUP(A718,[1]Customer_payment_journal_line!$AL:$BO,30,0)</f>
        <v>#N/A</v>
      </c>
      <c r="D718" t="s">
        <v>53</v>
      </c>
      <c r="E718" t="s">
        <v>2788</v>
      </c>
      <c r="F718" t="s">
        <v>2789</v>
      </c>
      <c r="G718" t="s">
        <v>2552</v>
      </c>
      <c r="H718" t="s">
        <v>201</v>
      </c>
      <c r="I718" t="s">
        <v>58</v>
      </c>
      <c r="J718" t="s">
        <v>202</v>
      </c>
      <c r="K718" t="s">
        <v>2790</v>
      </c>
      <c r="L718" t="s">
        <v>52</v>
      </c>
      <c r="M718">
        <v>1160</v>
      </c>
      <c r="N718">
        <v>0</v>
      </c>
      <c r="O718" t="s">
        <v>61</v>
      </c>
      <c r="P718">
        <v>100</v>
      </c>
      <c r="Q718" t="s">
        <v>52</v>
      </c>
      <c r="R718" t="s">
        <v>52</v>
      </c>
      <c r="S718" t="s">
        <v>52</v>
      </c>
      <c r="T718" t="s">
        <v>52</v>
      </c>
      <c r="U718" t="s">
        <v>52</v>
      </c>
      <c r="V718" t="s">
        <v>62</v>
      </c>
      <c r="W718" t="s">
        <v>63</v>
      </c>
      <c r="Y718" t="s">
        <v>52</v>
      </c>
      <c r="AB718" t="s">
        <v>2791</v>
      </c>
      <c r="AE718" t="s">
        <v>2791</v>
      </c>
      <c r="AF718" t="s">
        <v>52</v>
      </c>
      <c r="AH718">
        <v>0</v>
      </c>
      <c r="AI718">
        <v>0</v>
      </c>
      <c r="AJ718" t="s">
        <v>52</v>
      </c>
      <c r="AK718">
        <v>0</v>
      </c>
      <c r="AL718" t="s">
        <v>52</v>
      </c>
      <c r="AM718" t="s">
        <v>52</v>
      </c>
      <c r="AN718">
        <v>0</v>
      </c>
      <c r="AO718">
        <v>0</v>
      </c>
      <c r="AP718" t="s">
        <v>52</v>
      </c>
      <c r="AQ718" t="s">
        <v>52</v>
      </c>
      <c r="AR718" t="s">
        <v>62</v>
      </c>
      <c r="AS718" t="s">
        <v>52</v>
      </c>
      <c r="AT718" t="s">
        <v>52</v>
      </c>
      <c r="AU718" t="s">
        <v>64</v>
      </c>
      <c r="AV718" t="s">
        <v>62</v>
      </c>
      <c r="AW718" t="s">
        <v>65</v>
      </c>
      <c r="AX718" t="s">
        <v>66</v>
      </c>
      <c r="AY718" t="s">
        <v>67</v>
      </c>
    </row>
    <row r="719" spans="1:51" hidden="1" x14ac:dyDescent="0.25">
      <c r="A719">
        <v>317143</v>
      </c>
      <c r="B719" t="s">
        <v>2792</v>
      </c>
      <c r="C719" t="e">
        <f>VLOOKUP(A719,[1]Customer_payment_journal_line!$AL:$BO,30,0)</f>
        <v>#N/A</v>
      </c>
      <c r="D719" t="s">
        <v>53</v>
      </c>
      <c r="E719" t="s">
        <v>2788</v>
      </c>
      <c r="F719" t="s">
        <v>2789</v>
      </c>
      <c r="G719" t="s">
        <v>2552</v>
      </c>
      <c r="H719" t="s">
        <v>69</v>
      </c>
      <c r="I719" t="s">
        <v>2793</v>
      </c>
      <c r="J719" t="s">
        <v>2794</v>
      </c>
      <c r="K719" t="s">
        <v>2790</v>
      </c>
      <c r="L719" t="s">
        <v>52</v>
      </c>
      <c r="M719">
        <v>0</v>
      </c>
      <c r="N719">
        <v>20</v>
      </c>
      <c r="O719" t="s">
        <v>126</v>
      </c>
      <c r="P719">
        <v>5285</v>
      </c>
      <c r="Q719" t="s">
        <v>52</v>
      </c>
      <c r="R719" t="s">
        <v>52</v>
      </c>
      <c r="S719" t="s">
        <v>52</v>
      </c>
      <c r="T719" t="s">
        <v>52</v>
      </c>
      <c r="U719" t="s">
        <v>52</v>
      </c>
      <c r="V719" t="s">
        <v>62</v>
      </c>
      <c r="W719" t="s">
        <v>52</v>
      </c>
      <c r="Y719" t="s">
        <v>2795</v>
      </c>
      <c r="Z719" t="s">
        <v>62</v>
      </c>
      <c r="AB719" t="s">
        <v>2791</v>
      </c>
      <c r="AE719" t="s">
        <v>2791</v>
      </c>
      <c r="AF719" t="s">
        <v>52</v>
      </c>
      <c r="AH719">
        <v>0</v>
      </c>
      <c r="AI719">
        <v>0</v>
      </c>
      <c r="AJ719" t="s">
        <v>52</v>
      </c>
      <c r="AK719">
        <v>0</v>
      </c>
      <c r="AL719" t="s">
        <v>52</v>
      </c>
      <c r="AM719" t="s">
        <v>52</v>
      </c>
      <c r="AN719">
        <v>0</v>
      </c>
      <c r="AO719">
        <v>0</v>
      </c>
      <c r="AP719" t="s">
        <v>52</v>
      </c>
      <c r="AQ719" t="s">
        <v>52</v>
      </c>
      <c r="AR719" t="s">
        <v>62</v>
      </c>
      <c r="AS719" t="s">
        <v>52</v>
      </c>
      <c r="AT719" t="s">
        <v>74</v>
      </c>
      <c r="AU719" t="s">
        <v>64</v>
      </c>
      <c r="AV719" t="s">
        <v>62</v>
      </c>
      <c r="AW719" t="s">
        <v>65</v>
      </c>
      <c r="AX719" t="s">
        <v>66</v>
      </c>
      <c r="AY719" t="s">
        <v>67</v>
      </c>
    </row>
    <row r="720" spans="1:51" hidden="1" x14ac:dyDescent="0.25">
      <c r="A720">
        <v>317143</v>
      </c>
      <c r="B720" t="s">
        <v>2796</v>
      </c>
      <c r="C720" t="e">
        <f>VLOOKUP(A720,[1]Customer_payment_journal_line!$AL:$BO,30,0)</f>
        <v>#N/A</v>
      </c>
      <c r="D720" t="s">
        <v>53</v>
      </c>
      <c r="E720" t="s">
        <v>2788</v>
      </c>
      <c r="F720" t="s">
        <v>2789</v>
      </c>
      <c r="G720" t="s">
        <v>2552</v>
      </c>
      <c r="H720" t="s">
        <v>210</v>
      </c>
      <c r="I720" t="s">
        <v>2797</v>
      </c>
      <c r="J720" t="s">
        <v>52</v>
      </c>
      <c r="K720" t="s">
        <v>2790</v>
      </c>
      <c r="L720" t="s">
        <v>52</v>
      </c>
      <c r="M720">
        <v>0</v>
      </c>
      <c r="N720">
        <v>103</v>
      </c>
      <c r="O720" t="s">
        <v>61</v>
      </c>
      <c r="P720">
        <v>100</v>
      </c>
      <c r="Q720" t="s">
        <v>52</v>
      </c>
      <c r="R720" t="s">
        <v>52</v>
      </c>
      <c r="S720" t="s">
        <v>52</v>
      </c>
      <c r="T720" t="s">
        <v>52</v>
      </c>
      <c r="U720" t="s">
        <v>52</v>
      </c>
      <c r="V720" t="s">
        <v>62</v>
      </c>
      <c r="W720" t="s">
        <v>63</v>
      </c>
      <c r="Y720" t="s">
        <v>2795</v>
      </c>
      <c r="AB720" t="s">
        <v>2791</v>
      </c>
      <c r="AE720" t="s">
        <v>2791</v>
      </c>
      <c r="AF720" t="s">
        <v>52</v>
      </c>
      <c r="AH720">
        <v>0</v>
      </c>
      <c r="AI720">
        <v>0</v>
      </c>
      <c r="AJ720" t="s">
        <v>52</v>
      </c>
      <c r="AK720">
        <v>0</v>
      </c>
      <c r="AL720" t="s">
        <v>52</v>
      </c>
      <c r="AM720" t="s">
        <v>52</v>
      </c>
      <c r="AN720">
        <v>0</v>
      </c>
      <c r="AO720">
        <v>0</v>
      </c>
      <c r="AP720" t="s">
        <v>52</v>
      </c>
      <c r="AQ720" t="s">
        <v>52</v>
      </c>
      <c r="AR720" t="s">
        <v>62</v>
      </c>
      <c r="AS720" t="s">
        <v>52</v>
      </c>
      <c r="AT720" t="s">
        <v>52</v>
      </c>
      <c r="AU720" t="s">
        <v>64</v>
      </c>
      <c r="AV720" t="s">
        <v>62</v>
      </c>
      <c r="AW720" t="s">
        <v>65</v>
      </c>
      <c r="AX720" t="s">
        <v>66</v>
      </c>
      <c r="AY720" t="s">
        <v>67</v>
      </c>
    </row>
    <row r="721" spans="1:51" hidden="1" x14ac:dyDescent="0.25">
      <c r="A721">
        <v>202854</v>
      </c>
      <c r="B721" t="s">
        <v>2798</v>
      </c>
      <c r="C721" t="e">
        <f>VLOOKUP(A721,[1]Customer_payment_journal_line!$AL:$BO,30,0)</f>
        <v>#N/A</v>
      </c>
      <c r="D721" t="s">
        <v>53</v>
      </c>
      <c r="E721" t="s">
        <v>2799</v>
      </c>
      <c r="F721" t="s">
        <v>2800</v>
      </c>
      <c r="G721" t="s">
        <v>2552</v>
      </c>
      <c r="H721" t="s">
        <v>57</v>
      </c>
      <c r="I721" t="s">
        <v>58</v>
      </c>
      <c r="J721" t="s">
        <v>2801</v>
      </c>
      <c r="K721" t="s">
        <v>2790</v>
      </c>
      <c r="L721" t="s">
        <v>52</v>
      </c>
      <c r="M721">
        <v>1368</v>
      </c>
      <c r="N721">
        <v>0</v>
      </c>
      <c r="O721" t="s">
        <v>61</v>
      </c>
      <c r="P721">
        <v>100</v>
      </c>
      <c r="Q721" t="s">
        <v>52</v>
      </c>
      <c r="R721" t="s">
        <v>52</v>
      </c>
      <c r="S721" t="s">
        <v>52</v>
      </c>
      <c r="T721" t="s">
        <v>52</v>
      </c>
      <c r="U721" t="s">
        <v>52</v>
      </c>
      <c r="V721" t="s">
        <v>62</v>
      </c>
      <c r="W721" t="s">
        <v>63</v>
      </c>
      <c r="Y721" t="s">
        <v>52</v>
      </c>
      <c r="AB721" t="s">
        <v>52</v>
      </c>
      <c r="AE721" t="s">
        <v>52</v>
      </c>
      <c r="AF721" t="s">
        <v>52</v>
      </c>
      <c r="AH721">
        <v>0</v>
      </c>
      <c r="AI721">
        <v>0</v>
      </c>
      <c r="AJ721" t="s">
        <v>52</v>
      </c>
      <c r="AK721">
        <v>0</v>
      </c>
      <c r="AL721" t="s">
        <v>52</v>
      </c>
      <c r="AM721" t="s">
        <v>52</v>
      </c>
      <c r="AN721">
        <v>0</v>
      </c>
      <c r="AO721">
        <v>0</v>
      </c>
      <c r="AP721" t="s">
        <v>52</v>
      </c>
      <c r="AQ721" t="s">
        <v>52</v>
      </c>
      <c r="AR721" t="s">
        <v>62</v>
      </c>
      <c r="AS721" t="s">
        <v>52</v>
      </c>
      <c r="AT721" t="s">
        <v>52</v>
      </c>
      <c r="AU721" t="s">
        <v>64</v>
      </c>
      <c r="AV721" t="s">
        <v>62</v>
      </c>
      <c r="AW721" t="s">
        <v>65</v>
      </c>
      <c r="AX721" t="s">
        <v>66</v>
      </c>
      <c r="AY721" t="s">
        <v>67</v>
      </c>
    </row>
    <row r="722" spans="1:51" hidden="1" x14ac:dyDescent="0.25">
      <c r="A722">
        <v>202854</v>
      </c>
      <c r="B722" t="s">
        <v>2802</v>
      </c>
      <c r="C722" t="e">
        <f>VLOOKUP(A722,[1]Customer_payment_journal_line!$AL:$BO,30,0)</f>
        <v>#N/A</v>
      </c>
      <c r="D722" t="s">
        <v>53</v>
      </c>
      <c r="E722" t="s">
        <v>2799</v>
      </c>
      <c r="F722" t="s">
        <v>2800</v>
      </c>
      <c r="G722" t="s">
        <v>2552</v>
      </c>
      <c r="H722" t="s">
        <v>69</v>
      </c>
      <c r="I722" t="s">
        <v>2793</v>
      </c>
      <c r="J722" t="s">
        <v>2801</v>
      </c>
      <c r="K722" t="s">
        <v>2790</v>
      </c>
      <c r="L722" t="s">
        <v>52</v>
      </c>
      <c r="M722">
        <v>0</v>
      </c>
      <c r="N722">
        <v>1368</v>
      </c>
      <c r="O722" t="s">
        <v>61</v>
      </c>
      <c r="P722">
        <v>100</v>
      </c>
      <c r="Q722" t="s">
        <v>52</v>
      </c>
      <c r="R722" t="s">
        <v>52</v>
      </c>
      <c r="S722" t="s">
        <v>52</v>
      </c>
      <c r="T722" t="s">
        <v>52</v>
      </c>
      <c r="U722" t="s">
        <v>52</v>
      </c>
      <c r="V722" t="s">
        <v>62</v>
      </c>
      <c r="W722" t="s">
        <v>52</v>
      </c>
      <c r="Y722" t="s">
        <v>2795</v>
      </c>
      <c r="Z722" t="s">
        <v>62</v>
      </c>
      <c r="AB722" t="s">
        <v>2803</v>
      </c>
      <c r="AE722" t="s">
        <v>2804</v>
      </c>
      <c r="AF722" t="s">
        <v>52</v>
      </c>
      <c r="AH722">
        <v>0</v>
      </c>
      <c r="AI722">
        <v>0</v>
      </c>
      <c r="AJ722" t="s">
        <v>52</v>
      </c>
      <c r="AK722">
        <v>0</v>
      </c>
      <c r="AL722" t="s">
        <v>52</v>
      </c>
      <c r="AM722" t="s">
        <v>52</v>
      </c>
      <c r="AN722">
        <v>0</v>
      </c>
      <c r="AO722">
        <v>0</v>
      </c>
      <c r="AP722" t="s">
        <v>52</v>
      </c>
      <c r="AQ722" t="s">
        <v>52</v>
      </c>
      <c r="AR722" t="s">
        <v>62</v>
      </c>
      <c r="AS722" t="s">
        <v>52</v>
      </c>
      <c r="AT722" t="s">
        <v>74</v>
      </c>
      <c r="AU722" t="s">
        <v>64</v>
      </c>
      <c r="AV722" t="s">
        <v>62</v>
      </c>
      <c r="AW722" t="s">
        <v>65</v>
      </c>
      <c r="AX722" t="s">
        <v>66</v>
      </c>
      <c r="AY722" t="s">
        <v>67</v>
      </c>
    </row>
    <row r="723" spans="1:51" hidden="1" x14ac:dyDescent="0.25">
      <c r="A723">
        <v>202855</v>
      </c>
      <c r="B723" t="s">
        <v>2805</v>
      </c>
      <c r="C723" t="e">
        <f>VLOOKUP(A723,[1]Customer_payment_journal_line!$AL:$BO,30,0)</f>
        <v>#N/A</v>
      </c>
      <c r="D723" t="s">
        <v>53</v>
      </c>
      <c r="E723" t="s">
        <v>2806</v>
      </c>
      <c r="F723" t="s">
        <v>2807</v>
      </c>
      <c r="G723" t="s">
        <v>2552</v>
      </c>
      <c r="H723" t="s">
        <v>57</v>
      </c>
      <c r="I723" t="s">
        <v>58</v>
      </c>
      <c r="J723" t="s">
        <v>2801</v>
      </c>
      <c r="K723" t="s">
        <v>2790</v>
      </c>
      <c r="L723" t="s">
        <v>52</v>
      </c>
      <c r="M723">
        <v>855</v>
      </c>
      <c r="N723">
        <v>0</v>
      </c>
      <c r="O723" t="s">
        <v>61</v>
      </c>
      <c r="P723">
        <v>100</v>
      </c>
      <c r="Q723" t="s">
        <v>52</v>
      </c>
      <c r="R723" t="s">
        <v>52</v>
      </c>
      <c r="S723" t="s">
        <v>52</v>
      </c>
      <c r="T723" t="s">
        <v>52</v>
      </c>
      <c r="U723" t="s">
        <v>52</v>
      </c>
      <c r="V723" t="s">
        <v>62</v>
      </c>
      <c r="W723" t="s">
        <v>63</v>
      </c>
      <c r="Y723" t="s">
        <v>52</v>
      </c>
      <c r="AB723" t="s">
        <v>52</v>
      </c>
      <c r="AE723" t="s">
        <v>52</v>
      </c>
      <c r="AF723" t="s">
        <v>52</v>
      </c>
      <c r="AH723">
        <v>0</v>
      </c>
      <c r="AI723">
        <v>0</v>
      </c>
      <c r="AJ723" t="s">
        <v>52</v>
      </c>
      <c r="AK723">
        <v>0</v>
      </c>
      <c r="AL723" t="s">
        <v>52</v>
      </c>
      <c r="AM723" t="s">
        <v>52</v>
      </c>
      <c r="AN723">
        <v>0</v>
      </c>
      <c r="AO723">
        <v>0</v>
      </c>
      <c r="AP723" t="s">
        <v>52</v>
      </c>
      <c r="AQ723" t="s">
        <v>52</v>
      </c>
      <c r="AR723" t="s">
        <v>62</v>
      </c>
      <c r="AS723" t="s">
        <v>52</v>
      </c>
      <c r="AT723" t="s">
        <v>52</v>
      </c>
      <c r="AU723" t="s">
        <v>64</v>
      </c>
      <c r="AV723" t="s">
        <v>62</v>
      </c>
      <c r="AW723" t="s">
        <v>65</v>
      </c>
      <c r="AX723" t="s">
        <v>66</v>
      </c>
      <c r="AY723" t="s">
        <v>67</v>
      </c>
    </row>
    <row r="724" spans="1:51" hidden="1" x14ac:dyDescent="0.25">
      <c r="A724">
        <v>202855</v>
      </c>
      <c r="B724" t="s">
        <v>2808</v>
      </c>
      <c r="C724" t="e">
        <f>VLOOKUP(A724,[1]Customer_payment_journal_line!$AL:$BO,30,0)</f>
        <v>#N/A</v>
      </c>
      <c r="D724" t="s">
        <v>53</v>
      </c>
      <c r="E724" t="s">
        <v>2806</v>
      </c>
      <c r="F724" t="s">
        <v>2807</v>
      </c>
      <c r="G724" t="s">
        <v>2552</v>
      </c>
      <c r="H724" t="s">
        <v>69</v>
      </c>
      <c r="I724" t="s">
        <v>2793</v>
      </c>
      <c r="J724" t="s">
        <v>2801</v>
      </c>
      <c r="K724" t="s">
        <v>2790</v>
      </c>
      <c r="L724" t="s">
        <v>52</v>
      </c>
      <c r="M724">
        <v>0</v>
      </c>
      <c r="N724">
        <v>855</v>
      </c>
      <c r="O724" t="s">
        <v>61</v>
      </c>
      <c r="P724">
        <v>100</v>
      </c>
      <c r="Q724" t="s">
        <v>52</v>
      </c>
      <c r="R724" t="s">
        <v>52</v>
      </c>
      <c r="S724" t="s">
        <v>52</v>
      </c>
      <c r="T724" t="s">
        <v>52</v>
      </c>
      <c r="U724" t="s">
        <v>52</v>
      </c>
      <c r="V724" t="s">
        <v>62</v>
      </c>
      <c r="W724" t="s">
        <v>52</v>
      </c>
      <c r="Y724" t="s">
        <v>2795</v>
      </c>
      <c r="Z724" t="s">
        <v>62</v>
      </c>
      <c r="AB724" t="s">
        <v>2809</v>
      </c>
      <c r="AE724" t="s">
        <v>2810</v>
      </c>
      <c r="AF724" t="s">
        <v>52</v>
      </c>
      <c r="AH724">
        <v>0</v>
      </c>
      <c r="AI724">
        <v>0</v>
      </c>
      <c r="AJ724" t="s">
        <v>52</v>
      </c>
      <c r="AK724">
        <v>0</v>
      </c>
      <c r="AL724" t="s">
        <v>52</v>
      </c>
      <c r="AM724" t="s">
        <v>52</v>
      </c>
      <c r="AN724">
        <v>0</v>
      </c>
      <c r="AO724">
        <v>0</v>
      </c>
      <c r="AP724" t="s">
        <v>52</v>
      </c>
      <c r="AQ724" t="s">
        <v>52</v>
      </c>
      <c r="AR724" t="s">
        <v>62</v>
      </c>
      <c r="AS724" t="s">
        <v>52</v>
      </c>
      <c r="AT724" t="s">
        <v>74</v>
      </c>
      <c r="AU724" t="s">
        <v>64</v>
      </c>
      <c r="AV724" t="s">
        <v>62</v>
      </c>
      <c r="AW724" t="s">
        <v>65</v>
      </c>
      <c r="AX724" t="s">
        <v>66</v>
      </c>
      <c r="AY724" t="s">
        <v>67</v>
      </c>
    </row>
    <row r="725" spans="1:51" hidden="1" x14ac:dyDescent="0.25">
      <c r="A725">
        <v>405995</v>
      </c>
      <c r="B725" t="s">
        <v>2811</v>
      </c>
      <c r="C725" t="e">
        <f>VLOOKUP(A725,[1]Customer_payment_journal_line!$AL:$BO,30,0)</f>
        <v>#N/A</v>
      </c>
      <c r="D725" t="s">
        <v>53</v>
      </c>
      <c r="E725" t="s">
        <v>2812</v>
      </c>
      <c r="F725" t="s">
        <v>2813</v>
      </c>
      <c r="G725" t="s">
        <v>2552</v>
      </c>
      <c r="H725" t="s">
        <v>57</v>
      </c>
      <c r="I725" t="s">
        <v>58</v>
      </c>
      <c r="J725" t="s">
        <v>2814</v>
      </c>
      <c r="K725" t="s">
        <v>2815</v>
      </c>
      <c r="L725" t="s">
        <v>52</v>
      </c>
      <c r="M725">
        <v>5130</v>
      </c>
      <c r="N725">
        <v>0</v>
      </c>
      <c r="O725" t="s">
        <v>61</v>
      </c>
      <c r="P725">
        <v>100</v>
      </c>
      <c r="Q725" t="s">
        <v>52</v>
      </c>
      <c r="R725" t="s">
        <v>52</v>
      </c>
      <c r="S725" t="s">
        <v>52</v>
      </c>
      <c r="T725" t="s">
        <v>52</v>
      </c>
      <c r="U725" t="s">
        <v>52</v>
      </c>
      <c r="V725" t="s">
        <v>62</v>
      </c>
      <c r="W725" t="s">
        <v>63</v>
      </c>
      <c r="Y725" t="s">
        <v>52</v>
      </c>
      <c r="AB725" t="s">
        <v>52</v>
      </c>
      <c r="AE725" t="s">
        <v>52</v>
      </c>
      <c r="AF725" t="s">
        <v>52</v>
      </c>
      <c r="AH725">
        <v>0</v>
      </c>
      <c r="AI725">
        <v>0</v>
      </c>
      <c r="AJ725" t="s">
        <v>52</v>
      </c>
      <c r="AK725">
        <v>0</v>
      </c>
      <c r="AL725" t="s">
        <v>52</v>
      </c>
      <c r="AM725" t="s">
        <v>52</v>
      </c>
      <c r="AN725">
        <v>0</v>
      </c>
      <c r="AO725">
        <v>0</v>
      </c>
      <c r="AP725" t="s">
        <v>52</v>
      </c>
      <c r="AQ725" t="s">
        <v>52</v>
      </c>
      <c r="AR725" t="s">
        <v>62</v>
      </c>
      <c r="AS725" t="s">
        <v>52</v>
      </c>
      <c r="AT725" t="s">
        <v>52</v>
      </c>
      <c r="AU725" t="s">
        <v>64</v>
      </c>
      <c r="AV725" t="s">
        <v>62</v>
      </c>
      <c r="AW725" t="s">
        <v>65</v>
      </c>
      <c r="AX725" t="s">
        <v>66</v>
      </c>
      <c r="AY725" t="s">
        <v>67</v>
      </c>
    </row>
    <row r="726" spans="1:51" hidden="1" x14ac:dyDescent="0.25">
      <c r="A726">
        <v>405995</v>
      </c>
      <c r="B726" t="s">
        <v>2816</v>
      </c>
      <c r="C726" t="e">
        <f>VLOOKUP(A726,[1]Customer_payment_journal_line!$AL:$BO,30,0)</f>
        <v>#N/A</v>
      </c>
      <c r="D726" t="s">
        <v>53</v>
      </c>
      <c r="E726" t="s">
        <v>2812</v>
      </c>
      <c r="F726" t="s">
        <v>2813</v>
      </c>
      <c r="G726" t="s">
        <v>2552</v>
      </c>
      <c r="H726" t="s">
        <v>69</v>
      </c>
      <c r="I726" t="s">
        <v>2817</v>
      </c>
      <c r="J726" t="s">
        <v>2814</v>
      </c>
      <c r="K726" t="s">
        <v>2815</v>
      </c>
      <c r="L726" t="s">
        <v>52</v>
      </c>
      <c r="M726">
        <v>0</v>
      </c>
      <c r="N726">
        <v>5130</v>
      </c>
      <c r="O726" t="s">
        <v>61</v>
      </c>
      <c r="P726">
        <v>100</v>
      </c>
      <c r="Q726" t="s">
        <v>52</v>
      </c>
      <c r="R726" t="s">
        <v>52</v>
      </c>
      <c r="S726" t="s">
        <v>52</v>
      </c>
      <c r="T726" t="s">
        <v>52</v>
      </c>
      <c r="U726" t="s">
        <v>52</v>
      </c>
      <c r="V726" t="s">
        <v>62</v>
      </c>
      <c r="W726" t="s">
        <v>52</v>
      </c>
      <c r="Y726" t="s">
        <v>2818</v>
      </c>
      <c r="Z726" t="s">
        <v>62</v>
      </c>
      <c r="AB726" t="s">
        <v>2819</v>
      </c>
      <c r="AE726" t="s">
        <v>2820</v>
      </c>
      <c r="AF726" t="s">
        <v>52</v>
      </c>
      <c r="AH726">
        <v>0</v>
      </c>
      <c r="AI726">
        <v>0</v>
      </c>
      <c r="AJ726" t="s">
        <v>52</v>
      </c>
      <c r="AK726">
        <v>0</v>
      </c>
      <c r="AL726" t="s">
        <v>52</v>
      </c>
      <c r="AM726" t="s">
        <v>52</v>
      </c>
      <c r="AN726">
        <v>0</v>
      </c>
      <c r="AO726">
        <v>0</v>
      </c>
      <c r="AP726" t="s">
        <v>52</v>
      </c>
      <c r="AQ726" t="s">
        <v>52</v>
      </c>
      <c r="AR726" t="s">
        <v>62</v>
      </c>
      <c r="AS726" t="s">
        <v>52</v>
      </c>
      <c r="AT726" t="s">
        <v>74</v>
      </c>
      <c r="AU726" t="s">
        <v>64</v>
      </c>
      <c r="AV726" t="s">
        <v>62</v>
      </c>
      <c r="AW726" t="s">
        <v>65</v>
      </c>
      <c r="AX726" t="s">
        <v>66</v>
      </c>
      <c r="AY726" t="s">
        <v>67</v>
      </c>
    </row>
    <row r="727" spans="1:51" hidden="1" x14ac:dyDescent="0.25">
      <c r="A727">
        <v>405996</v>
      </c>
      <c r="B727" t="s">
        <v>2821</v>
      </c>
      <c r="C727" t="e">
        <f>VLOOKUP(A727,[1]Customer_payment_journal_line!$AL:$BO,30,0)</f>
        <v>#N/A</v>
      </c>
      <c r="D727" t="s">
        <v>53</v>
      </c>
      <c r="E727" t="s">
        <v>2822</v>
      </c>
      <c r="F727" t="s">
        <v>2823</v>
      </c>
      <c r="G727" t="s">
        <v>2552</v>
      </c>
      <c r="H727" t="s">
        <v>57</v>
      </c>
      <c r="I727" t="s">
        <v>58</v>
      </c>
      <c r="J727" t="s">
        <v>2814</v>
      </c>
      <c r="K727" t="s">
        <v>2815</v>
      </c>
      <c r="L727" t="s">
        <v>52</v>
      </c>
      <c r="M727">
        <v>855</v>
      </c>
      <c r="N727">
        <v>0</v>
      </c>
      <c r="O727" t="s">
        <v>61</v>
      </c>
      <c r="P727">
        <v>100</v>
      </c>
      <c r="Q727" t="s">
        <v>52</v>
      </c>
      <c r="R727" t="s">
        <v>52</v>
      </c>
      <c r="S727" t="s">
        <v>52</v>
      </c>
      <c r="T727" t="s">
        <v>52</v>
      </c>
      <c r="U727" t="s">
        <v>52</v>
      </c>
      <c r="V727" t="s">
        <v>62</v>
      </c>
      <c r="W727" t="s">
        <v>63</v>
      </c>
      <c r="Y727" t="s">
        <v>52</v>
      </c>
      <c r="AB727" t="s">
        <v>52</v>
      </c>
      <c r="AE727" t="s">
        <v>52</v>
      </c>
      <c r="AF727" t="s">
        <v>52</v>
      </c>
      <c r="AH727">
        <v>0</v>
      </c>
      <c r="AI727">
        <v>0</v>
      </c>
      <c r="AJ727" t="s">
        <v>52</v>
      </c>
      <c r="AK727">
        <v>0</v>
      </c>
      <c r="AL727" t="s">
        <v>52</v>
      </c>
      <c r="AM727" t="s">
        <v>52</v>
      </c>
      <c r="AN727">
        <v>0</v>
      </c>
      <c r="AO727">
        <v>0</v>
      </c>
      <c r="AP727" t="s">
        <v>52</v>
      </c>
      <c r="AQ727" t="s">
        <v>52</v>
      </c>
      <c r="AR727" t="s">
        <v>62</v>
      </c>
      <c r="AS727" t="s">
        <v>52</v>
      </c>
      <c r="AT727" t="s">
        <v>52</v>
      </c>
      <c r="AU727" t="s">
        <v>64</v>
      </c>
      <c r="AV727" t="s">
        <v>62</v>
      </c>
      <c r="AW727" t="s">
        <v>65</v>
      </c>
      <c r="AX727" t="s">
        <v>66</v>
      </c>
      <c r="AY727" t="s">
        <v>67</v>
      </c>
    </row>
    <row r="728" spans="1:51" hidden="1" x14ac:dyDescent="0.25">
      <c r="A728">
        <v>405996</v>
      </c>
      <c r="B728" t="s">
        <v>2824</v>
      </c>
      <c r="C728" t="e">
        <f>VLOOKUP(A728,[1]Customer_payment_journal_line!$AL:$BO,30,0)</f>
        <v>#N/A</v>
      </c>
      <c r="D728" t="s">
        <v>53</v>
      </c>
      <c r="E728" t="s">
        <v>2822</v>
      </c>
      <c r="F728" t="s">
        <v>2823</v>
      </c>
      <c r="G728" t="s">
        <v>2552</v>
      </c>
      <c r="H728" t="s">
        <v>69</v>
      </c>
      <c r="I728" t="s">
        <v>2817</v>
      </c>
      <c r="J728" t="s">
        <v>2814</v>
      </c>
      <c r="K728" t="s">
        <v>2815</v>
      </c>
      <c r="L728" t="s">
        <v>52</v>
      </c>
      <c r="M728">
        <v>0</v>
      </c>
      <c r="N728">
        <v>855</v>
      </c>
      <c r="O728" t="s">
        <v>61</v>
      </c>
      <c r="P728">
        <v>100</v>
      </c>
      <c r="Q728" t="s">
        <v>52</v>
      </c>
      <c r="R728" t="s">
        <v>52</v>
      </c>
      <c r="S728" t="s">
        <v>52</v>
      </c>
      <c r="T728" t="s">
        <v>52</v>
      </c>
      <c r="U728" t="s">
        <v>52</v>
      </c>
      <c r="V728" t="s">
        <v>62</v>
      </c>
      <c r="W728" t="s">
        <v>52</v>
      </c>
      <c r="Y728" t="s">
        <v>2818</v>
      </c>
      <c r="Z728" t="s">
        <v>62</v>
      </c>
      <c r="AB728" t="s">
        <v>2825</v>
      </c>
      <c r="AE728" t="s">
        <v>2826</v>
      </c>
      <c r="AF728" t="s">
        <v>52</v>
      </c>
      <c r="AH728">
        <v>0</v>
      </c>
      <c r="AI728">
        <v>0</v>
      </c>
      <c r="AJ728" t="s">
        <v>52</v>
      </c>
      <c r="AK728">
        <v>0</v>
      </c>
      <c r="AL728" t="s">
        <v>52</v>
      </c>
      <c r="AM728" t="s">
        <v>52</v>
      </c>
      <c r="AN728">
        <v>0</v>
      </c>
      <c r="AO728">
        <v>0</v>
      </c>
      <c r="AP728" t="s">
        <v>52</v>
      </c>
      <c r="AQ728" t="s">
        <v>52</v>
      </c>
      <c r="AR728" t="s">
        <v>62</v>
      </c>
      <c r="AS728" t="s">
        <v>52</v>
      </c>
      <c r="AT728" t="s">
        <v>74</v>
      </c>
      <c r="AU728" t="s">
        <v>64</v>
      </c>
      <c r="AV728" t="s">
        <v>62</v>
      </c>
      <c r="AW728" t="s">
        <v>65</v>
      </c>
      <c r="AX728" t="s">
        <v>66</v>
      </c>
      <c r="AY728" t="s">
        <v>67</v>
      </c>
    </row>
    <row r="729" spans="1:51" hidden="1" x14ac:dyDescent="0.25">
      <c r="A729">
        <v>405997</v>
      </c>
      <c r="B729" t="s">
        <v>2827</v>
      </c>
      <c r="C729" t="e">
        <f>VLOOKUP(A729,[1]Customer_payment_journal_line!$AL:$BO,30,0)</f>
        <v>#N/A</v>
      </c>
      <c r="D729" t="s">
        <v>53</v>
      </c>
      <c r="E729" t="s">
        <v>2828</v>
      </c>
      <c r="F729" t="s">
        <v>2829</v>
      </c>
      <c r="G729" t="s">
        <v>2552</v>
      </c>
      <c r="H729" t="s">
        <v>57</v>
      </c>
      <c r="I729" t="s">
        <v>516</v>
      </c>
      <c r="J729" t="s">
        <v>2814</v>
      </c>
      <c r="K729" t="s">
        <v>2815</v>
      </c>
      <c r="L729" t="s">
        <v>52</v>
      </c>
      <c r="M729">
        <v>360</v>
      </c>
      <c r="N729">
        <v>0</v>
      </c>
      <c r="O729" t="s">
        <v>178</v>
      </c>
      <c r="P729">
        <v>5085</v>
      </c>
      <c r="Q729" t="s">
        <v>52</v>
      </c>
      <c r="R729" t="s">
        <v>52</v>
      </c>
      <c r="S729" t="s">
        <v>52</v>
      </c>
      <c r="T729" t="s">
        <v>52</v>
      </c>
      <c r="U729" t="s">
        <v>52</v>
      </c>
      <c r="V729" t="s">
        <v>62</v>
      </c>
      <c r="W729" t="s">
        <v>63</v>
      </c>
      <c r="Y729" t="s">
        <v>52</v>
      </c>
      <c r="AB729" t="s">
        <v>52</v>
      </c>
      <c r="AE729" t="s">
        <v>52</v>
      </c>
      <c r="AF729" t="s">
        <v>52</v>
      </c>
      <c r="AH729">
        <v>0</v>
      </c>
      <c r="AI729">
        <v>0</v>
      </c>
      <c r="AJ729" t="s">
        <v>52</v>
      </c>
      <c r="AK729">
        <v>0</v>
      </c>
      <c r="AL729" t="s">
        <v>52</v>
      </c>
      <c r="AM729" t="s">
        <v>52</v>
      </c>
      <c r="AN729">
        <v>0</v>
      </c>
      <c r="AO729">
        <v>0</v>
      </c>
      <c r="AP729" t="s">
        <v>52</v>
      </c>
      <c r="AQ729" t="s">
        <v>52</v>
      </c>
      <c r="AR729" t="s">
        <v>62</v>
      </c>
      <c r="AS729" t="s">
        <v>52</v>
      </c>
      <c r="AT729" t="s">
        <v>52</v>
      </c>
      <c r="AU729" t="s">
        <v>64</v>
      </c>
      <c r="AV729" t="s">
        <v>62</v>
      </c>
      <c r="AW729" t="s">
        <v>65</v>
      </c>
      <c r="AX729" t="s">
        <v>66</v>
      </c>
      <c r="AY729" t="s">
        <v>67</v>
      </c>
    </row>
    <row r="730" spans="1:51" hidden="1" x14ac:dyDescent="0.25">
      <c r="A730">
        <v>405997</v>
      </c>
      <c r="B730" t="s">
        <v>2830</v>
      </c>
      <c r="C730" t="e">
        <f>VLOOKUP(A730,[1]Customer_payment_journal_line!$AL:$BO,30,0)</f>
        <v>#N/A</v>
      </c>
      <c r="D730" t="s">
        <v>53</v>
      </c>
      <c r="E730" t="s">
        <v>2828</v>
      </c>
      <c r="F730" t="s">
        <v>2829</v>
      </c>
      <c r="G730" t="s">
        <v>2552</v>
      </c>
      <c r="H730" t="s">
        <v>69</v>
      </c>
      <c r="I730" t="s">
        <v>2817</v>
      </c>
      <c r="J730" t="s">
        <v>2814</v>
      </c>
      <c r="K730" t="s">
        <v>2815</v>
      </c>
      <c r="L730" t="s">
        <v>52</v>
      </c>
      <c r="M730">
        <v>0</v>
      </c>
      <c r="N730">
        <v>360</v>
      </c>
      <c r="O730" t="s">
        <v>178</v>
      </c>
      <c r="P730">
        <v>5085</v>
      </c>
      <c r="Q730" t="s">
        <v>52</v>
      </c>
      <c r="R730" t="s">
        <v>52</v>
      </c>
      <c r="S730" t="s">
        <v>52</v>
      </c>
      <c r="T730" t="s">
        <v>52</v>
      </c>
      <c r="U730" t="s">
        <v>52</v>
      </c>
      <c r="V730" t="s">
        <v>62</v>
      </c>
      <c r="W730" t="s">
        <v>52</v>
      </c>
      <c r="Y730" t="s">
        <v>2818</v>
      </c>
      <c r="Z730" t="s">
        <v>62</v>
      </c>
      <c r="AB730" t="s">
        <v>2831</v>
      </c>
      <c r="AE730" t="s">
        <v>2832</v>
      </c>
      <c r="AF730" t="s">
        <v>52</v>
      </c>
      <c r="AH730">
        <v>0</v>
      </c>
      <c r="AI730">
        <v>0</v>
      </c>
      <c r="AJ730" t="s">
        <v>52</v>
      </c>
      <c r="AK730">
        <v>0</v>
      </c>
      <c r="AL730" t="s">
        <v>52</v>
      </c>
      <c r="AM730" t="s">
        <v>52</v>
      </c>
      <c r="AN730">
        <v>0</v>
      </c>
      <c r="AO730">
        <v>0</v>
      </c>
      <c r="AP730" t="s">
        <v>52</v>
      </c>
      <c r="AQ730" t="s">
        <v>52</v>
      </c>
      <c r="AR730" t="s">
        <v>62</v>
      </c>
      <c r="AS730" t="s">
        <v>52</v>
      </c>
      <c r="AT730" t="s">
        <v>74</v>
      </c>
      <c r="AU730" t="s">
        <v>64</v>
      </c>
      <c r="AV730" t="s">
        <v>62</v>
      </c>
      <c r="AW730" t="s">
        <v>65</v>
      </c>
      <c r="AX730" t="s">
        <v>66</v>
      </c>
      <c r="AY730" t="s">
        <v>67</v>
      </c>
    </row>
    <row r="731" spans="1:51" hidden="1" x14ac:dyDescent="0.25">
      <c r="A731">
        <v>202881</v>
      </c>
      <c r="B731" t="s">
        <v>2833</v>
      </c>
      <c r="C731" t="e">
        <f>VLOOKUP(A731,[1]Customer_payment_journal_line!$AL:$BO,30,0)</f>
        <v>#N/A</v>
      </c>
      <c r="D731" t="s">
        <v>53</v>
      </c>
      <c r="E731" t="s">
        <v>2834</v>
      </c>
      <c r="F731" t="s">
        <v>2835</v>
      </c>
      <c r="G731" t="s">
        <v>2552</v>
      </c>
      <c r="H731" t="s">
        <v>57</v>
      </c>
      <c r="I731" t="s">
        <v>319</v>
      </c>
      <c r="J731" t="s">
        <v>1550</v>
      </c>
      <c r="K731" t="s">
        <v>479</v>
      </c>
      <c r="L731" t="s">
        <v>52</v>
      </c>
      <c r="M731">
        <v>4902</v>
      </c>
      <c r="N731">
        <v>0</v>
      </c>
      <c r="O731" t="s">
        <v>61</v>
      </c>
      <c r="P731">
        <v>100</v>
      </c>
      <c r="Q731" t="s">
        <v>52</v>
      </c>
      <c r="R731" t="s">
        <v>52</v>
      </c>
      <c r="S731" t="s">
        <v>52</v>
      </c>
      <c r="T731" t="s">
        <v>52</v>
      </c>
      <c r="U731" t="s">
        <v>52</v>
      </c>
      <c r="V731" t="s">
        <v>62</v>
      </c>
      <c r="W731" t="s">
        <v>63</v>
      </c>
      <c r="Y731" t="s">
        <v>52</v>
      </c>
      <c r="AB731" t="s">
        <v>52</v>
      </c>
      <c r="AE731" t="s">
        <v>52</v>
      </c>
      <c r="AF731" t="s">
        <v>52</v>
      </c>
      <c r="AH731">
        <v>0</v>
      </c>
      <c r="AI731">
        <v>0</v>
      </c>
      <c r="AJ731" t="s">
        <v>52</v>
      </c>
      <c r="AK731">
        <v>0</v>
      </c>
      <c r="AL731" t="s">
        <v>52</v>
      </c>
      <c r="AM731" t="s">
        <v>52</v>
      </c>
      <c r="AN731">
        <v>0</v>
      </c>
      <c r="AO731">
        <v>0</v>
      </c>
      <c r="AP731" t="s">
        <v>52</v>
      </c>
      <c r="AQ731" t="s">
        <v>52</v>
      </c>
      <c r="AR731" t="s">
        <v>62</v>
      </c>
      <c r="AS731" t="s">
        <v>52</v>
      </c>
      <c r="AT731" t="s">
        <v>52</v>
      </c>
      <c r="AU731" t="s">
        <v>64</v>
      </c>
      <c r="AV731" t="s">
        <v>62</v>
      </c>
      <c r="AW731" t="s">
        <v>65</v>
      </c>
      <c r="AX731" t="s">
        <v>66</v>
      </c>
      <c r="AY731" t="s">
        <v>67</v>
      </c>
    </row>
    <row r="732" spans="1:51" hidden="1" x14ac:dyDescent="0.25">
      <c r="A732">
        <v>202881</v>
      </c>
      <c r="B732" t="s">
        <v>2836</v>
      </c>
      <c r="C732" t="e">
        <f>VLOOKUP(A732,[1]Customer_payment_journal_line!$AL:$BO,30,0)</f>
        <v>#N/A</v>
      </c>
      <c r="D732" t="s">
        <v>53</v>
      </c>
      <c r="E732" t="s">
        <v>2834</v>
      </c>
      <c r="F732" t="s">
        <v>2835</v>
      </c>
      <c r="G732" t="s">
        <v>2552</v>
      </c>
      <c r="H732" t="s">
        <v>69</v>
      </c>
      <c r="I732" t="s">
        <v>453</v>
      </c>
      <c r="J732" t="s">
        <v>1550</v>
      </c>
      <c r="K732" t="s">
        <v>479</v>
      </c>
      <c r="L732" t="s">
        <v>52</v>
      </c>
      <c r="M732">
        <v>0</v>
      </c>
      <c r="N732">
        <v>4902</v>
      </c>
      <c r="O732" t="s">
        <v>61</v>
      </c>
      <c r="P732">
        <v>100</v>
      </c>
      <c r="Q732" t="s">
        <v>52</v>
      </c>
      <c r="R732" t="s">
        <v>52</v>
      </c>
      <c r="S732" t="s">
        <v>52</v>
      </c>
      <c r="T732" t="s">
        <v>52</v>
      </c>
      <c r="U732" t="s">
        <v>52</v>
      </c>
      <c r="V732" t="s">
        <v>62</v>
      </c>
      <c r="W732" t="s">
        <v>52</v>
      </c>
      <c r="Y732" t="s">
        <v>454</v>
      </c>
      <c r="Z732" t="s">
        <v>62</v>
      </c>
      <c r="AB732" t="s">
        <v>2837</v>
      </c>
      <c r="AE732" t="s">
        <v>2838</v>
      </c>
      <c r="AF732" t="s">
        <v>52</v>
      </c>
      <c r="AH732">
        <v>0</v>
      </c>
      <c r="AI732">
        <v>0</v>
      </c>
      <c r="AJ732" t="s">
        <v>52</v>
      </c>
      <c r="AK732">
        <v>0</v>
      </c>
      <c r="AL732" t="s">
        <v>52</v>
      </c>
      <c r="AM732" t="s">
        <v>52</v>
      </c>
      <c r="AN732">
        <v>0</v>
      </c>
      <c r="AO732">
        <v>0</v>
      </c>
      <c r="AP732" t="s">
        <v>52</v>
      </c>
      <c r="AQ732" t="s">
        <v>52</v>
      </c>
      <c r="AR732" t="s">
        <v>62</v>
      </c>
      <c r="AS732" t="s">
        <v>52</v>
      </c>
      <c r="AT732" t="s">
        <v>74</v>
      </c>
      <c r="AU732" t="s">
        <v>64</v>
      </c>
      <c r="AV732" t="s">
        <v>62</v>
      </c>
      <c r="AW732" t="s">
        <v>65</v>
      </c>
      <c r="AX732" t="s">
        <v>66</v>
      </c>
      <c r="AY732" t="s">
        <v>67</v>
      </c>
    </row>
    <row r="733" spans="1:51" hidden="1" x14ac:dyDescent="0.25">
      <c r="A733">
        <v>202882</v>
      </c>
      <c r="B733" t="s">
        <v>2839</v>
      </c>
      <c r="C733" t="e">
        <f>VLOOKUP(A733,[1]Customer_payment_journal_line!$AL:$BO,30,0)</f>
        <v>#N/A</v>
      </c>
      <c r="D733" t="s">
        <v>53</v>
      </c>
      <c r="E733" t="s">
        <v>2840</v>
      </c>
      <c r="F733" t="s">
        <v>2841</v>
      </c>
      <c r="G733" t="s">
        <v>2552</v>
      </c>
      <c r="H733" t="s">
        <v>57</v>
      </c>
      <c r="I733" t="s">
        <v>319</v>
      </c>
      <c r="J733" t="s">
        <v>1543</v>
      </c>
      <c r="K733" t="s">
        <v>479</v>
      </c>
      <c r="L733" t="s">
        <v>52</v>
      </c>
      <c r="M733">
        <v>803.7</v>
      </c>
      <c r="N733">
        <v>0</v>
      </c>
      <c r="O733" t="s">
        <v>61</v>
      </c>
      <c r="P733">
        <v>100</v>
      </c>
      <c r="Q733" t="s">
        <v>52</v>
      </c>
      <c r="R733" t="s">
        <v>52</v>
      </c>
      <c r="S733" t="s">
        <v>52</v>
      </c>
      <c r="T733" t="s">
        <v>52</v>
      </c>
      <c r="U733" t="s">
        <v>52</v>
      </c>
      <c r="V733" t="s">
        <v>62</v>
      </c>
      <c r="W733" t="s">
        <v>63</v>
      </c>
      <c r="Y733" t="s">
        <v>52</v>
      </c>
      <c r="AB733" t="s">
        <v>52</v>
      </c>
      <c r="AE733" t="s">
        <v>52</v>
      </c>
      <c r="AF733" t="s">
        <v>52</v>
      </c>
      <c r="AH733">
        <v>0</v>
      </c>
      <c r="AI733">
        <v>0</v>
      </c>
      <c r="AJ733" t="s">
        <v>52</v>
      </c>
      <c r="AK733">
        <v>0</v>
      </c>
      <c r="AL733" t="s">
        <v>52</v>
      </c>
      <c r="AM733" t="s">
        <v>52</v>
      </c>
      <c r="AN733">
        <v>0</v>
      </c>
      <c r="AO733">
        <v>0</v>
      </c>
      <c r="AP733" t="s">
        <v>52</v>
      </c>
      <c r="AQ733" t="s">
        <v>52</v>
      </c>
      <c r="AR733" t="s">
        <v>62</v>
      </c>
      <c r="AS733" t="s">
        <v>52</v>
      </c>
      <c r="AT733" t="s">
        <v>52</v>
      </c>
      <c r="AU733" t="s">
        <v>64</v>
      </c>
      <c r="AV733" t="s">
        <v>62</v>
      </c>
      <c r="AW733" t="s">
        <v>65</v>
      </c>
      <c r="AX733" t="s">
        <v>66</v>
      </c>
      <c r="AY733" t="s">
        <v>67</v>
      </c>
    </row>
    <row r="734" spans="1:51" hidden="1" x14ac:dyDescent="0.25">
      <c r="A734">
        <v>202882</v>
      </c>
      <c r="B734" t="s">
        <v>2842</v>
      </c>
      <c r="C734" t="e">
        <f>VLOOKUP(A734,[1]Customer_payment_journal_line!$AL:$BO,30,0)</f>
        <v>#N/A</v>
      </c>
      <c r="D734" t="s">
        <v>53</v>
      </c>
      <c r="E734" t="s">
        <v>2840</v>
      </c>
      <c r="F734" t="s">
        <v>2841</v>
      </c>
      <c r="G734" t="s">
        <v>2552</v>
      </c>
      <c r="H734" t="s">
        <v>69</v>
      </c>
      <c r="I734" t="s">
        <v>453</v>
      </c>
      <c r="J734" t="s">
        <v>1543</v>
      </c>
      <c r="K734" t="s">
        <v>479</v>
      </c>
      <c r="L734" t="s">
        <v>52</v>
      </c>
      <c r="M734">
        <v>0</v>
      </c>
      <c r="N734">
        <v>803.7</v>
      </c>
      <c r="O734" t="s">
        <v>61</v>
      </c>
      <c r="P734">
        <v>100</v>
      </c>
      <c r="Q734" t="s">
        <v>52</v>
      </c>
      <c r="R734" t="s">
        <v>52</v>
      </c>
      <c r="S734" t="s">
        <v>52</v>
      </c>
      <c r="T734" t="s">
        <v>52</v>
      </c>
      <c r="U734" t="s">
        <v>52</v>
      </c>
      <c r="V734" t="s">
        <v>62</v>
      </c>
      <c r="W734" t="s">
        <v>52</v>
      </c>
      <c r="Y734" t="s">
        <v>454</v>
      </c>
      <c r="Z734" t="s">
        <v>62</v>
      </c>
      <c r="AB734" t="s">
        <v>2843</v>
      </c>
      <c r="AE734" t="s">
        <v>2844</v>
      </c>
      <c r="AF734" t="s">
        <v>52</v>
      </c>
      <c r="AH734">
        <v>0</v>
      </c>
      <c r="AI734">
        <v>0</v>
      </c>
      <c r="AJ734" t="s">
        <v>52</v>
      </c>
      <c r="AK734">
        <v>0</v>
      </c>
      <c r="AL734" t="s">
        <v>52</v>
      </c>
      <c r="AM734" t="s">
        <v>52</v>
      </c>
      <c r="AN734">
        <v>0</v>
      </c>
      <c r="AO734">
        <v>0</v>
      </c>
      <c r="AP734" t="s">
        <v>52</v>
      </c>
      <c r="AQ734" t="s">
        <v>52</v>
      </c>
      <c r="AR734" t="s">
        <v>62</v>
      </c>
      <c r="AS734" t="s">
        <v>52</v>
      </c>
      <c r="AT734" t="s">
        <v>74</v>
      </c>
      <c r="AU734" t="s">
        <v>64</v>
      </c>
      <c r="AV734" t="s">
        <v>62</v>
      </c>
      <c r="AW734" t="s">
        <v>65</v>
      </c>
      <c r="AX734" t="s">
        <v>66</v>
      </c>
      <c r="AY734" t="s">
        <v>67</v>
      </c>
    </row>
    <row r="735" spans="1:51" hidden="1" x14ac:dyDescent="0.25">
      <c r="A735">
        <v>202883</v>
      </c>
      <c r="B735" t="s">
        <v>2845</v>
      </c>
      <c r="C735" t="e">
        <f>VLOOKUP(A735,[1]Customer_payment_journal_line!$AL:$BO,30,0)</f>
        <v>#N/A</v>
      </c>
      <c r="D735" t="s">
        <v>53</v>
      </c>
      <c r="E735" t="s">
        <v>2846</v>
      </c>
      <c r="F735" t="s">
        <v>2847</v>
      </c>
      <c r="G735" t="s">
        <v>2552</v>
      </c>
      <c r="H735" t="s">
        <v>57</v>
      </c>
      <c r="I735" t="s">
        <v>319</v>
      </c>
      <c r="J735" t="s">
        <v>1543</v>
      </c>
      <c r="K735" t="s">
        <v>479</v>
      </c>
      <c r="L735" t="s">
        <v>52</v>
      </c>
      <c r="M735">
        <v>285</v>
      </c>
      <c r="N735">
        <v>0</v>
      </c>
      <c r="O735" t="s">
        <v>61</v>
      </c>
      <c r="P735">
        <v>100</v>
      </c>
      <c r="Q735" t="s">
        <v>52</v>
      </c>
      <c r="R735" t="s">
        <v>52</v>
      </c>
      <c r="S735" t="s">
        <v>52</v>
      </c>
      <c r="T735" t="s">
        <v>52</v>
      </c>
      <c r="U735" t="s">
        <v>52</v>
      </c>
      <c r="V735" t="s">
        <v>62</v>
      </c>
      <c r="W735" t="s">
        <v>63</v>
      </c>
      <c r="Y735" t="s">
        <v>52</v>
      </c>
      <c r="AB735" t="s">
        <v>52</v>
      </c>
      <c r="AE735" t="s">
        <v>52</v>
      </c>
      <c r="AF735" t="s">
        <v>52</v>
      </c>
      <c r="AH735">
        <v>0</v>
      </c>
      <c r="AI735">
        <v>0</v>
      </c>
      <c r="AJ735" t="s">
        <v>52</v>
      </c>
      <c r="AK735">
        <v>0</v>
      </c>
      <c r="AL735" t="s">
        <v>52</v>
      </c>
      <c r="AM735" t="s">
        <v>52</v>
      </c>
      <c r="AN735">
        <v>0</v>
      </c>
      <c r="AO735">
        <v>0</v>
      </c>
      <c r="AP735" t="s">
        <v>52</v>
      </c>
      <c r="AQ735" t="s">
        <v>52</v>
      </c>
      <c r="AR735" t="s">
        <v>62</v>
      </c>
      <c r="AS735" t="s">
        <v>52</v>
      </c>
      <c r="AT735" t="s">
        <v>52</v>
      </c>
      <c r="AU735" t="s">
        <v>64</v>
      </c>
      <c r="AV735" t="s">
        <v>62</v>
      </c>
      <c r="AW735" t="s">
        <v>65</v>
      </c>
      <c r="AX735" t="s">
        <v>66</v>
      </c>
      <c r="AY735" t="s">
        <v>67</v>
      </c>
    </row>
    <row r="736" spans="1:51" hidden="1" x14ac:dyDescent="0.25">
      <c r="A736">
        <v>202883</v>
      </c>
      <c r="B736" t="s">
        <v>2848</v>
      </c>
      <c r="C736" t="e">
        <f>VLOOKUP(A736,[1]Customer_payment_journal_line!$AL:$BO,30,0)</f>
        <v>#N/A</v>
      </c>
      <c r="D736" t="s">
        <v>53</v>
      </c>
      <c r="E736" t="s">
        <v>2846</v>
      </c>
      <c r="F736" t="s">
        <v>2847</v>
      </c>
      <c r="G736" t="s">
        <v>2552</v>
      </c>
      <c r="H736" t="s">
        <v>69</v>
      </c>
      <c r="I736" t="s">
        <v>453</v>
      </c>
      <c r="J736" t="s">
        <v>1543</v>
      </c>
      <c r="K736" t="s">
        <v>479</v>
      </c>
      <c r="L736" t="s">
        <v>52</v>
      </c>
      <c r="M736">
        <v>0</v>
      </c>
      <c r="N736">
        <v>285</v>
      </c>
      <c r="O736" t="s">
        <v>61</v>
      </c>
      <c r="P736">
        <v>100</v>
      </c>
      <c r="Q736" t="s">
        <v>52</v>
      </c>
      <c r="R736" t="s">
        <v>52</v>
      </c>
      <c r="S736" t="s">
        <v>52</v>
      </c>
      <c r="T736" t="s">
        <v>52</v>
      </c>
      <c r="U736" t="s">
        <v>52</v>
      </c>
      <c r="V736" t="s">
        <v>62</v>
      </c>
      <c r="W736" t="s">
        <v>52</v>
      </c>
      <c r="Y736" t="s">
        <v>454</v>
      </c>
      <c r="Z736" t="s">
        <v>62</v>
      </c>
      <c r="AB736" t="s">
        <v>2849</v>
      </c>
      <c r="AE736" t="s">
        <v>2850</v>
      </c>
      <c r="AF736" t="s">
        <v>52</v>
      </c>
      <c r="AH736">
        <v>0</v>
      </c>
      <c r="AI736">
        <v>0</v>
      </c>
      <c r="AJ736" t="s">
        <v>52</v>
      </c>
      <c r="AK736">
        <v>0</v>
      </c>
      <c r="AL736" t="s">
        <v>52</v>
      </c>
      <c r="AM736" t="s">
        <v>52</v>
      </c>
      <c r="AN736">
        <v>0</v>
      </c>
      <c r="AO736">
        <v>0</v>
      </c>
      <c r="AP736" t="s">
        <v>52</v>
      </c>
      <c r="AQ736" t="s">
        <v>52</v>
      </c>
      <c r="AR736" t="s">
        <v>62</v>
      </c>
      <c r="AS736" t="s">
        <v>52</v>
      </c>
      <c r="AT736" t="s">
        <v>74</v>
      </c>
      <c r="AU736" t="s">
        <v>64</v>
      </c>
      <c r="AV736" t="s">
        <v>62</v>
      </c>
      <c r="AW736" t="s">
        <v>65</v>
      </c>
      <c r="AX736" t="s">
        <v>66</v>
      </c>
      <c r="AY736" t="s">
        <v>67</v>
      </c>
    </row>
    <row r="737" spans="1:51" hidden="1" x14ac:dyDescent="0.25">
      <c r="A737">
        <v>202885</v>
      </c>
      <c r="B737" t="s">
        <v>2851</v>
      </c>
      <c r="C737" t="e">
        <f>VLOOKUP(A737,[1]Customer_payment_journal_line!$AL:$BO,30,0)</f>
        <v>#N/A</v>
      </c>
      <c r="D737" t="s">
        <v>53</v>
      </c>
      <c r="E737" t="s">
        <v>2852</v>
      </c>
      <c r="F737" t="s">
        <v>2853</v>
      </c>
      <c r="G737" t="s">
        <v>2552</v>
      </c>
      <c r="H737" t="s">
        <v>57</v>
      </c>
      <c r="I737" t="s">
        <v>1349</v>
      </c>
      <c r="J737" t="s">
        <v>2854</v>
      </c>
      <c r="K737" t="s">
        <v>634</v>
      </c>
      <c r="L737" t="s">
        <v>52</v>
      </c>
      <c r="M737">
        <v>4417.5</v>
      </c>
      <c r="N737">
        <v>0</v>
      </c>
      <c r="O737" t="s">
        <v>61</v>
      </c>
      <c r="P737">
        <v>100</v>
      </c>
      <c r="Q737" t="s">
        <v>52</v>
      </c>
      <c r="R737" t="s">
        <v>52</v>
      </c>
      <c r="S737" t="s">
        <v>52</v>
      </c>
      <c r="T737" t="s">
        <v>52</v>
      </c>
      <c r="U737" t="s">
        <v>52</v>
      </c>
      <c r="V737" t="s">
        <v>62</v>
      </c>
      <c r="W737" t="s">
        <v>63</v>
      </c>
      <c r="Y737" t="s">
        <v>52</v>
      </c>
      <c r="AB737" t="s">
        <v>52</v>
      </c>
      <c r="AE737" t="s">
        <v>52</v>
      </c>
      <c r="AF737" t="s">
        <v>52</v>
      </c>
      <c r="AH737">
        <v>0</v>
      </c>
      <c r="AI737">
        <v>0</v>
      </c>
      <c r="AJ737" t="s">
        <v>52</v>
      </c>
      <c r="AK737">
        <v>0</v>
      </c>
      <c r="AL737" t="s">
        <v>52</v>
      </c>
      <c r="AM737" t="s">
        <v>52</v>
      </c>
      <c r="AN737">
        <v>0</v>
      </c>
      <c r="AO737">
        <v>0</v>
      </c>
      <c r="AP737" t="s">
        <v>52</v>
      </c>
      <c r="AQ737" t="s">
        <v>52</v>
      </c>
      <c r="AR737" t="s">
        <v>62</v>
      </c>
      <c r="AS737" t="s">
        <v>52</v>
      </c>
      <c r="AT737" t="s">
        <v>52</v>
      </c>
      <c r="AU737" t="s">
        <v>64</v>
      </c>
      <c r="AV737" t="s">
        <v>62</v>
      </c>
      <c r="AW737" t="s">
        <v>65</v>
      </c>
      <c r="AX737" t="s">
        <v>66</v>
      </c>
      <c r="AY737" t="s">
        <v>67</v>
      </c>
    </row>
    <row r="738" spans="1:51" hidden="1" x14ac:dyDescent="0.25">
      <c r="A738">
        <v>202885</v>
      </c>
      <c r="B738" t="s">
        <v>2855</v>
      </c>
      <c r="C738" t="e">
        <f>VLOOKUP(A738,[1]Customer_payment_journal_line!$AL:$BO,30,0)</f>
        <v>#N/A</v>
      </c>
      <c r="D738" t="s">
        <v>53</v>
      </c>
      <c r="E738" t="s">
        <v>2852</v>
      </c>
      <c r="F738" t="s">
        <v>2853</v>
      </c>
      <c r="G738" t="s">
        <v>2552</v>
      </c>
      <c r="H738" t="s">
        <v>69</v>
      </c>
      <c r="I738" t="s">
        <v>636</v>
      </c>
      <c r="J738" t="s">
        <v>2854</v>
      </c>
      <c r="K738" t="s">
        <v>634</v>
      </c>
      <c r="L738" t="s">
        <v>52</v>
      </c>
      <c r="M738">
        <v>0</v>
      </c>
      <c r="N738">
        <v>4417.5</v>
      </c>
      <c r="O738" t="s">
        <v>61</v>
      </c>
      <c r="P738">
        <v>100</v>
      </c>
      <c r="Q738" t="s">
        <v>52</v>
      </c>
      <c r="R738" t="s">
        <v>52</v>
      </c>
      <c r="S738" t="s">
        <v>52</v>
      </c>
      <c r="T738" t="s">
        <v>52</v>
      </c>
      <c r="U738" t="s">
        <v>52</v>
      </c>
      <c r="V738" t="s">
        <v>62</v>
      </c>
      <c r="W738" t="s">
        <v>52</v>
      </c>
      <c r="Y738" t="s">
        <v>637</v>
      </c>
      <c r="Z738" t="s">
        <v>62</v>
      </c>
      <c r="AB738" t="s">
        <v>2856</v>
      </c>
      <c r="AE738" t="s">
        <v>2857</v>
      </c>
      <c r="AF738" t="s">
        <v>52</v>
      </c>
      <c r="AH738">
        <v>0</v>
      </c>
      <c r="AI738">
        <v>0</v>
      </c>
      <c r="AJ738" t="s">
        <v>52</v>
      </c>
      <c r="AK738">
        <v>0</v>
      </c>
      <c r="AL738" t="s">
        <v>52</v>
      </c>
      <c r="AM738" t="s">
        <v>52</v>
      </c>
      <c r="AN738">
        <v>0</v>
      </c>
      <c r="AO738">
        <v>0</v>
      </c>
      <c r="AP738" t="s">
        <v>52</v>
      </c>
      <c r="AQ738" t="s">
        <v>52</v>
      </c>
      <c r="AR738" t="s">
        <v>62</v>
      </c>
      <c r="AS738" t="s">
        <v>52</v>
      </c>
      <c r="AT738" t="s">
        <v>74</v>
      </c>
      <c r="AU738" t="s">
        <v>64</v>
      </c>
      <c r="AV738" t="s">
        <v>62</v>
      </c>
      <c r="AW738" t="s">
        <v>65</v>
      </c>
      <c r="AX738" t="s">
        <v>66</v>
      </c>
      <c r="AY738" t="s">
        <v>67</v>
      </c>
    </row>
    <row r="739" spans="1:51" hidden="1" x14ac:dyDescent="0.25">
      <c r="A739">
        <v>405998</v>
      </c>
      <c r="B739" t="s">
        <v>2858</v>
      </c>
      <c r="C739" t="e">
        <f>VLOOKUP(A739,[1]Customer_payment_journal_line!$AL:$BO,30,0)</f>
        <v>#N/A</v>
      </c>
      <c r="D739" t="s">
        <v>53</v>
      </c>
      <c r="E739" t="s">
        <v>2859</v>
      </c>
      <c r="F739" t="s">
        <v>2860</v>
      </c>
      <c r="G739" t="s">
        <v>2552</v>
      </c>
      <c r="H739" t="s">
        <v>57</v>
      </c>
      <c r="I739" t="s">
        <v>58</v>
      </c>
      <c r="J739" t="s">
        <v>2861</v>
      </c>
      <c r="K739" t="s">
        <v>2862</v>
      </c>
      <c r="L739" t="s">
        <v>52</v>
      </c>
      <c r="M739">
        <v>5928</v>
      </c>
      <c r="N739">
        <v>0</v>
      </c>
      <c r="O739" t="s">
        <v>61</v>
      </c>
      <c r="P739">
        <v>100</v>
      </c>
      <c r="Q739" t="s">
        <v>52</v>
      </c>
      <c r="R739" t="s">
        <v>52</v>
      </c>
      <c r="S739" t="s">
        <v>52</v>
      </c>
      <c r="T739" t="s">
        <v>52</v>
      </c>
      <c r="U739" t="s">
        <v>52</v>
      </c>
      <c r="V739" t="s">
        <v>62</v>
      </c>
      <c r="W739" t="s">
        <v>63</v>
      </c>
      <c r="Y739" t="s">
        <v>52</v>
      </c>
      <c r="AB739" t="s">
        <v>52</v>
      </c>
      <c r="AE739" t="s">
        <v>52</v>
      </c>
      <c r="AF739" t="s">
        <v>52</v>
      </c>
      <c r="AH739">
        <v>0</v>
      </c>
      <c r="AI739">
        <v>0</v>
      </c>
      <c r="AJ739" t="s">
        <v>52</v>
      </c>
      <c r="AK739">
        <v>0</v>
      </c>
      <c r="AL739" t="s">
        <v>52</v>
      </c>
      <c r="AM739" t="s">
        <v>52</v>
      </c>
      <c r="AN739">
        <v>0</v>
      </c>
      <c r="AO739">
        <v>0</v>
      </c>
      <c r="AP739" t="s">
        <v>52</v>
      </c>
      <c r="AQ739" t="s">
        <v>52</v>
      </c>
      <c r="AR739" t="s">
        <v>62</v>
      </c>
      <c r="AS739" t="s">
        <v>52</v>
      </c>
      <c r="AT739" t="s">
        <v>52</v>
      </c>
      <c r="AU739" t="s">
        <v>64</v>
      </c>
      <c r="AV739" t="s">
        <v>62</v>
      </c>
      <c r="AW739" t="s">
        <v>65</v>
      </c>
      <c r="AX739" t="s">
        <v>66</v>
      </c>
      <c r="AY739" t="s">
        <v>67</v>
      </c>
    </row>
    <row r="740" spans="1:51" hidden="1" x14ac:dyDescent="0.25">
      <c r="A740">
        <v>405998</v>
      </c>
      <c r="B740" t="s">
        <v>2863</v>
      </c>
      <c r="C740" t="e">
        <f>VLOOKUP(A740,[1]Customer_payment_journal_line!$AL:$BO,30,0)</f>
        <v>#N/A</v>
      </c>
      <c r="D740" t="s">
        <v>53</v>
      </c>
      <c r="E740" t="s">
        <v>2859</v>
      </c>
      <c r="F740" t="s">
        <v>2860</v>
      </c>
      <c r="G740" t="s">
        <v>2552</v>
      </c>
      <c r="H740" t="s">
        <v>69</v>
      </c>
      <c r="I740" t="s">
        <v>2864</v>
      </c>
      <c r="J740" t="s">
        <v>2861</v>
      </c>
      <c r="K740" t="s">
        <v>2862</v>
      </c>
      <c r="L740" t="s">
        <v>52</v>
      </c>
      <c r="M740">
        <v>0</v>
      </c>
      <c r="N740">
        <v>5928</v>
      </c>
      <c r="O740" t="s">
        <v>61</v>
      </c>
      <c r="P740">
        <v>100</v>
      </c>
      <c r="Q740" t="s">
        <v>52</v>
      </c>
      <c r="R740" t="s">
        <v>52</v>
      </c>
      <c r="S740" t="s">
        <v>52</v>
      </c>
      <c r="T740" t="s">
        <v>52</v>
      </c>
      <c r="U740" t="s">
        <v>52</v>
      </c>
      <c r="V740" t="s">
        <v>62</v>
      </c>
      <c r="W740" t="s">
        <v>52</v>
      </c>
      <c r="Y740" t="s">
        <v>2865</v>
      </c>
      <c r="Z740" t="s">
        <v>62</v>
      </c>
      <c r="AB740" t="s">
        <v>2866</v>
      </c>
      <c r="AE740" t="s">
        <v>2867</v>
      </c>
      <c r="AF740" t="s">
        <v>52</v>
      </c>
      <c r="AH740">
        <v>0</v>
      </c>
      <c r="AI740">
        <v>0</v>
      </c>
      <c r="AJ740" t="s">
        <v>52</v>
      </c>
      <c r="AK740">
        <v>0</v>
      </c>
      <c r="AL740" t="s">
        <v>52</v>
      </c>
      <c r="AM740" t="s">
        <v>52</v>
      </c>
      <c r="AN740">
        <v>0</v>
      </c>
      <c r="AO740">
        <v>0</v>
      </c>
      <c r="AP740" t="s">
        <v>52</v>
      </c>
      <c r="AQ740" t="s">
        <v>52</v>
      </c>
      <c r="AR740" t="s">
        <v>62</v>
      </c>
      <c r="AS740" t="s">
        <v>52</v>
      </c>
      <c r="AT740" t="s">
        <v>74</v>
      </c>
      <c r="AU740" t="s">
        <v>64</v>
      </c>
      <c r="AV740" t="s">
        <v>62</v>
      </c>
      <c r="AW740" t="s">
        <v>65</v>
      </c>
      <c r="AX740" t="s">
        <v>66</v>
      </c>
      <c r="AY740" t="s">
        <v>67</v>
      </c>
    </row>
    <row r="741" spans="1:51" hidden="1" x14ac:dyDescent="0.25">
      <c r="A741">
        <v>405999</v>
      </c>
      <c r="B741" t="s">
        <v>2868</v>
      </c>
      <c r="C741" t="e">
        <f>VLOOKUP(A741,[1]Customer_payment_journal_line!$AL:$BO,30,0)</f>
        <v>#N/A</v>
      </c>
      <c r="D741" t="s">
        <v>53</v>
      </c>
      <c r="E741" t="s">
        <v>2869</v>
      </c>
      <c r="F741" t="s">
        <v>2870</v>
      </c>
      <c r="G741" t="s">
        <v>2552</v>
      </c>
      <c r="H741" t="s">
        <v>57</v>
      </c>
      <c r="I741" t="s">
        <v>58</v>
      </c>
      <c r="J741" t="s">
        <v>2861</v>
      </c>
      <c r="K741" t="s">
        <v>2862</v>
      </c>
      <c r="L741" t="s">
        <v>52</v>
      </c>
      <c r="M741">
        <v>855</v>
      </c>
      <c r="N741">
        <v>0</v>
      </c>
      <c r="O741" t="s">
        <v>61</v>
      </c>
      <c r="P741">
        <v>100</v>
      </c>
      <c r="Q741" t="s">
        <v>52</v>
      </c>
      <c r="R741" t="s">
        <v>52</v>
      </c>
      <c r="S741" t="s">
        <v>52</v>
      </c>
      <c r="T741" t="s">
        <v>52</v>
      </c>
      <c r="U741" t="s">
        <v>52</v>
      </c>
      <c r="V741" t="s">
        <v>62</v>
      </c>
      <c r="W741" t="s">
        <v>63</v>
      </c>
      <c r="Y741" t="s">
        <v>52</v>
      </c>
      <c r="AB741" t="s">
        <v>52</v>
      </c>
      <c r="AE741" t="s">
        <v>52</v>
      </c>
      <c r="AF741" t="s">
        <v>52</v>
      </c>
      <c r="AH741">
        <v>0</v>
      </c>
      <c r="AI741">
        <v>0</v>
      </c>
      <c r="AJ741" t="s">
        <v>52</v>
      </c>
      <c r="AK741">
        <v>0</v>
      </c>
      <c r="AL741" t="s">
        <v>52</v>
      </c>
      <c r="AM741" t="s">
        <v>52</v>
      </c>
      <c r="AN741">
        <v>0</v>
      </c>
      <c r="AO741">
        <v>0</v>
      </c>
      <c r="AP741" t="s">
        <v>52</v>
      </c>
      <c r="AQ741" t="s">
        <v>52</v>
      </c>
      <c r="AR741" t="s">
        <v>62</v>
      </c>
      <c r="AS741" t="s">
        <v>52</v>
      </c>
      <c r="AT741" t="s">
        <v>52</v>
      </c>
      <c r="AU741" t="s">
        <v>64</v>
      </c>
      <c r="AV741" t="s">
        <v>62</v>
      </c>
      <c r="AW741" t="s">
        <v>65</v>
      </c>
      <c r="AX741" t="s">
        <v>66</v>
      </c>
      <c r="AY741" t="s">
        <v>67</v>
      </c>
    </row>
    <row r="742" spans="1:51" hidden="1" x14ac:dyDescent="0.25">
      <c r="A742">
        <v>405999</v>
      </c>
      <c r="B742" t="s">
        <v>2871</v>
      </c>
      <c r="C742" t="e">
        <f>VLOOKUP(A742,[1]Customer_payment_journal_line!$AL:$BO,30,0)</f>
        <v>#N/A</v>
      </c>
      <c r="D742" t="s">
        <v>53</v>
      </c>
      <c r="E742" t="s">
        <v>2869</v>
      </c>
      <c r="F742" t="s">
        <v>2870</v>
      </c>
      <c r="G742" t="s">
        <v>2552</v>
      </c>
      <c r="H742" t="s">
        <v>69</v>
      </c>
      <c r="I742" t="s">
        <v>2864</v>
      </c>
      <c r="J742" t="s">
        <v>2861</v>
      </c>
      <c r="K742" t="s">
        <v>2862</v>
      </c>
      <c r="L742" t="s">
        <v>52</v>
      </c>
      <c r="M742">
        <v>0</v>
      </c>
      <c r="N742">
        <v>855</v>
      </c>
      <c r="O742" t="s">
        <v>61</v>
      </c>
      <c r="P742">
        <v>100</v>
      </c>
      <c r="Q742" t="s">
        <v>52</v>
      </c>
      <c r="R742" t="s">
        <v>52</v>
      </c>
      <c r="S742" t="s">
        <v>52</v>
      </c>
      <c r="T742" t="s">
        <v>52</v>
      </c>
      <c r="U742" t="s">
        <v>52</v>
      </c>
      <c r="V742" t="s">
        <v>62</v>
      </c>
      <c r="W742" t="s">
        <v>52</v>
      </c>
      <c r="Y742" t="s">
        <v>2865</v>
      </c>
      <c r="Z742" t="s">
        <v>62</v>
      </c>
      <c r="AB742" t="s">
        <v>2872</v>
      </c>
      <c r="AE742" t="s">
        <v>2873</v>
      </c>
      <c r="AF742" t="s">
        <v>52</v>
      </c>
      <c r="AH742">
        <v>0</v>
      </c>
      <c r="AI742">
        <v>0</v>
      </c>
      <c r="AJ742" t="s">
        <v>52</v>
      </c>
      <c r="AK742">
        <v>0</v>
      </c>
      <c r="AL742" t="s">
        <v>52</v>
      </c>
      <c r="AM742" t="s">
        <v>52</v>
      </c>
      <c r="AN742">
        <v>0</v>
      </c>
      <c r="AO742">
        <v>0</v>
      </c>
      <c r="AP742" t="s">
        <v>52</v>
      </c>
      <c r="AQ742" t="s">
        <v>52</v>
      </c>
      <c r="AR742" t="s">
        <v>62</v>
      </c>
      <c r="AS742" t="s">
        <v>52</v>
      </c>
      <c r="AT742" t="s">
        <v>74</v>
      </c>
      <c r="AU742" t="s">
        <v>64</v>
      </c>
      <c r="AV742" t="s">
        <v>62</v>
      </c>
      <c r="AW742" t="s">
        <v>65</v>
      </c>
      <c r="AX742" t="s">
        <v>66</v>
      </c>
      <c r="AY742" t="s">
        <v>67</v>
      </c>
    </row>
    <row r="743" spans="1:51" hidden="1" x14ac:dyDescent="0.25">
      <c r="A743">
        <v>406000</v>
      </c>
      <c r="B743" t="s">
        <v>2874</v>
      </c>
      <c r="C743" t="e">
        <f>VLOOKUP(A743,[1]Customer_payment_journal_line!$AL:$BO,30,0)</f>
        <v>#N/A</v>
      </c>
      <c r="D743" t="s">
        <v>53</v>
      </c>
      <c r="E743" t="s">
        <v>2875</v>
      </c>
      <c r="F743" t="s">
        <v>2876</v>
      </c>
      <c r="G743" t="s">
        <v>2552</v>
      </c>
      <c r="H743" t="s">
        <v>57</v>
      </c>
      <c r="I743" t="s">
        <v>516</v>
      </c>
      <c r="J743" t="s">
        <v>2861</v>
      </c>
      <c r="K743" t="s">
        <v>2862</v>
      </c>
      <c r="L743" t="s">
        <v>52</v>
      </c>
      <c r="M743">
        <v>195</v>
      </c>
      <c r="N743">
        <v>0</v>
      </c>
      <c r="O743" t="s">
        <v>178</v>
      </c>
      <c r="P743">
        <v>5085</v>
      </c>
      <c r="Q743" t="s">
        <v>52</v>
      </c>
      <c r="R743" t="s">
        <v>52</v>
      </c>
      <c r="S743" t="s">
        <v>52</v>
      </c>
      <c r="T743" t="s">
        <v>52</v>
      </c>
      <c r="U743" t="s">
        <v>52</v>
      </c>
      <c r="V743" t="s">
        <v>62</v>
      </c>
      <c r="W743" t="s">
        <v>63</v>
      </c>
      <c r="Y743" t="s">
        <v>52</v>
      </c>
      <c r="AB743" t="s">
        <v>52</v>
      </c>
      <c r="AE743" t="s">
        <v>52</v>
      </c>
      <c r="AF743" t="s">
        <v>52</v>
      </c>
      <c r="AH743">
        <v>0</v>
      </c>
      <c r="AI743">
        <v>0</v>
      </c>
      <c r="AJ743" t="s">
        <v>52</v>
      </c>
      <c r="AK743">
        <v>0</v>
      </c>
      <c r="AL743" t="s">
        <v>52</v>
      </c>
      <c r="AM743" t="s">
        <v>52</v>
      </c>
      <c r="AN743">
        <v>0</v>
      </c>
      <c r="AO743">
        <v>0</v>
      </c>
      <c r="AP743" t="s">
        <v>52</v>
      </c>
      <c r="AQ743" t="s">
        <v>52</v>
      </c>
      <c r="AR743" t="s">
        <v>62</v>
      </c>
      <c r="AS743" t="s">
        <v>52</v>
      </c>
      <c r="AT743" t="s">
        <v>52</v>
      </c>
      <c r="AU743" t="s">
        <v>64</v>
      </c>
      <c r="AV743" t="s">
        <v>62</v>
      </c>
      <c r="AW743" t="s">
        <v>65</v>
      </c>
      <c r="AX743" t="s">
        <v>66</v>
      </c>
      <c r="AY743" t="s">
        <v>67</v>
      </c>
    </row>
    <row r="744" spans="1:51" hidden="1" x14ac:dyDescent="0.25">
      <c r="A744">
        <v>406000</v>
      </c>
      <c r="B744" t="s">
        <v>2877</v>
      </c>
      <c r="C744" t="e">
        <f>VLOOKUP(A744,[1]Customer_payment_journal_line!$AL:$BO,30,0)</f>
        <v>#N/A</v>
      </c>
      <c r="D744" t="s">
        <v>53</v>
      </c>
      <c r="E744" t="s">
        <v>2875</v>
      </c>
      <c r="F744" t="s">
        <v>2876</v>
      </c>
      <c r="G744" t="s">
        <v>2552</v>
      </c>
      <c r="H744" t="s">
        <v>69</v>
      </c>
      <c r="I744" t="s">
        <v>2864</v>
      </c>
      <c r="J744" t="s">
        <v>2861</v>
      </c>
      <c r="K744" t="s">
        <v>2862</v>
      </c>
      <c r="L744" t="s">
        <v>52</v>
      </c>
      <c r="M744">
        <v>0</v>
      </c>
      <c r="N744">
        <v>195</v>
      </c>
      <c r="O744" t="s">
        <v>178</v>
      </c>
      <c r="P744">
        <v>5085</v>
      </c>
      <c r="Q744" t="s">
        <v>52</v>
      </c>
      <c r="R744" t="s">
        <v>52</v>
      </c>
      <c r="S744" t="s">
        <v>52</v>
      </c>
      <c r="T744" t="s">
        <v>52</v>
      </c>
      <c r="U744" t="s">
        <v>52</v>
      </c>
      <c r="V744" t="s">
        <v>62</v>
      </c>
      <c r="W744" t="s">
        <v>52</v>
      </c>
      <c r="Y744" t="s">
        <v>2865</v>
      </c>
      <c r="Z744" t="s">
        <v>62</v>
      </c>
      <c r="AB744" t="s">
        <v>2878</v>
      </c>
      <c r="AE744" t="s">
        <v>2879</v>
      </c>
      <c r="AF744" t="s">
        <v>52</v>
      </c>
      <c r="AH744">
        <v>0</v>
      </c>
      <c r="AI744">
        <v>0</v>
      </c>
      <c r="AJ744" t="s">
        <v>52</v>
      </c>
      <c r="AK744">
        <v>0</v>
      </c>
      <c r="AL744" t="s">
        <v>52</v>
      </c>
      <c r="AM744" t="s">
        <v>52</v>
      </c>
      <c r="AN744">
        <v>0</v>
      </c>
      <c r="AO744">
        <v>0</v>
      </c>
      <c r="AP744" t="s">
        <v>52</v>
      </c>
      <c r="AQ744" t="s">
        <v>52</v>
      </c>
      <c r="AR744" t="s">
        <v>62</v>
      </c>
      <c r="AS744" t="s">
        <v>52</v>
      </c>
      <c r="AT744" t="s">
        <v>74</v>
      </c>
      <c r="AU744" t="s">
        <v>64</v>
      </c>
      <c r="AV744" t="s">
        <v>62</v>
      </c>
      <c r="AW744" t="s">
        <v>65</v>
      </c>
      <c r="AX744" t="s">
        <v>66</v>
      </c>
      <c r="AY744" t="s">
        <v>67</v>
      </c>
    </row>
    <row r="745" spans="1:51" hidden="1" x14ac:dyDescent="0.25">
      <c r="A745">
        <v>406001</v>
      </c>
      <c r="B745" t="s">
        <v>2880</v>
      </c>
      <c r="C745" t="e">
        <f>VLOOKUP(A745,[1]Customer_payment_journal_line!$AL:$BO,30,0)</f>
        <v>#N/A</v>
      </c>
      <c r="D745" t="s">
        <v>53</v>
      </c>
      <c r="E745" t="s">
        <v>2881</v>
      </c>
      <c r="F745" t="s">
        <v>2882</v>
      </c>
      <c r="G745" t="s">
        <v>2552</v>
      </c>
      <c r="H745" t="s">
        <v>57</v>
      </c>
      <c r="I745" t="s">
        <v>58</v>
      </c>
      <c r="J745" t="s">
        <v>2883</v>
      </c>
      <c r="K745" t="s">
        <v>2884</v>
      </c>
      <c r="L745" t="s">
        <v>52</v>
      </c>
      <c r="M745">
        <v>2753.1</v>
      </c>
      <c r="N745">
        <v>0</v>
      </c>
      <c r="O745" t="s">
        <v>61</v>
      </c>
      <c r="P745">
        <v>100</v>
      </c>
      <c r="Q745" t="s">
        <v>52</v>
      </c>
      <c r="R745" t="s">
        <v>52</v>
      </c>
      <c r="S745" t="s">
        <v>52</v>
      </c>
      <c r="T745" t="s">
        <v>52</v>
      </c>
      <c r="U745" t="s">
        <v>52</v>
      </c>
      <c r="V745" t="s">
        <v>62</v>
      </c>
      <c r="W745" t="s">
        <v>63</v>
      </c>
      <c r="Y745" t="s">
        <v>52</v>
      </c>
      <c r="AB745" t="s">
        <v>52</v>
      </c>
      <c r="AE745" t="s">
        <v>52</v>
      </c>
      <c r="AF745" t="s">
        <v>52</v>
      </c>
      <c r="AH745">
        <v>0</v>
      </c>
      <c r="AI745">
        <v>0</v>
      </c>
      <c r="AJ745" t="s">
        <v>52</v>
      </c>
      <c r="AK745">
        <v>0</v>
      </c>
      <c r="AL745" t="s">
        <v>52</v>
      </c>
      <c r="AM745" t="s">
        <v>52</v>
      </c>
      <c r="AN745">
        <v>0</v>
      </c>
      <c r="AO745">
        <v>0</v>
      </c>
      <c r="AP745" t="s">
        <v>52</v>
      </c>
      <c r="AQ745" t="s">
        <v>52</v>
      </c>
      <c r="AR745" t="s">
        <v>62</v>
      </c>
      <c r="AS745" t="s">
        <v>52</v>
      </c>
      <c r="AT745" t="s">
        <v>52</v>
      </c>
      <c r="AU745" t="s">
        <v>64</v>
      </c>
      <c r="AV745" t="s">
        <v>62</v>
      </c>
      <c r="AW745" t="s">
        <v>65</v>
      </c>
      <c r="AX745" t="s">
        <v>66</v>
      </c>
      <c r="AY745" t="s">
        <v>67</v>
      </c>
    </row>
    <row r="746" spans="1:51" hidden="1" x14ac:dyDescent="0.25">
      <c r="A746">
        <v>406001</v>
      </c>
      <c r="B746" t="s">
        <v>2885</v>
      </c>
      <c r="C746" t="e">
        <f>VLOOKUP(A746,[1]Customer_payment_journal_line!$AL:$BO,30,0)</f>
        <v>#N/A</v>
      </c>
      <c r="D746" t="s">
        <v>53</v>
      </c>
      <c r="E746" t="s">
        <v>2881</v>
      </c>
      <c r="F746" t="s">
        <v>2882</v>
      </c>
      <c r="G746" t="s">
        <v>2552</v>
      </c>
      <c r="H746" t="s">
        <v>69</v>
      </c>
      <c r="I746" t="s">
        <v>2886</v>
      </c>
      <c r="J746" t="s">
        <v>2883</v>
      </c>
      <c r="K746" t="s">
        <v>2884</v>
      </c>
      <c r="L746" t="s">
        <v>52</v>
      </c>
      <c r="M746">
        <v>0</v>
      </c>
      <c r="N746">
        <v>2753.1</v>
      </c>
      <c r="O746" t="s">
        <v>61</v>
      </c>
      <c r="P746">
        <v>100</v>
      </c>
      <c r="Q746" t="s">
        <v>52</v>
      </c>
      <c r="R746" t="s">
        <v>52</v>
      </c>
      <c r="S746" t="s">
        <v>52</v>
      </c>
      <c r="T746" t="s">
        <v>52</v>
      </c>
      <c r="U746" t="s">
        <v>52</v>
      </c>
      <c r="V746" t="s">
        <v>62</v>
      </c>
      <c r="W746" t="s">
        <v>52</v>
      </c>
      <c r="Y746" t="s">
        <v>2887</v>
      </c>
      <c r="Z746" t="s">
        <v>62</v>
      </c>
      <c r="AB746" t="s">
        <v>2888</v>
      </c>
      <c r="AE746" t="s">
        <v>2889</v>
      </c>
      <c r="AF746" t="s">
        <v>52</v>
      </c>
      <c r="AH746">
        <v>0</v>
      </c>
      <c r="AI746">
        <v>0</v>
      </c>
      <c r="AJ746" t="s">
        <v>52</v>
      </c>
      <c r="AK746">
        <v>0</v>
      </c>
      <c r="AL746" t="s">
        <v>52</v>
      </c>
      <c r="AM746" t="s">
        <v>52</v>
      </c>
      <c r="AN746">
        <v>0</v>
      </c>
      <c r="AO746">
        <v>0</v>
      </c>
      <c r="AP746" t="s">
        <v>52</v>
      </c>
      <c r="AQ746" t="s">
        <v>52</v>
      </c>
      <c r="AR746" t="s">
        <v>62</v>
      </c>
      <c r="AS746" t="s">
        <v>52</v>
      </c>
      <c r="AT746" t="s">
        <v>74</v>
      </c>
      <c r="AU746" t="s">
        <v>64</v>
      </c>
      <c r="AV746" t="s">
        <v>62</v>
      </c>
      <c r="AW746" t="s">
        <v>65</v>
      </c>
      <c r="AX746" t="s">
        <v>66</v>
      </c>
      <c r="AY746" t="s">
        <v>67</v>
      </c>
    </row>
    <row r="747" spans="1:51" hidden="1" x14ac:dyDescent="0.25">
      <c r="A747">
        <v>406002</v>
      </c>
      <c r="B747" t="s">
        <v>2890</v>
      </c>
      <c r="C747" t="e">
        <f>VLOOKUP(A747,[1]Customer_payment_journal_line!$AL:$BO,30,0)</f>
        <v>#N/A</v>
      </c>
      <c r="D747" t="s">
        <v>53</v>
      </c>
      <c r="E747" t="s">
        <v>2891</v>
      </c>
      <c r="F747" t="s">
        <v>2892</v>
      </c>
      <c r="G747" t="s">
        <v>2552</v>
      </c>
      <c r="H747" t="s">
        <v>57</v>
      </c>
      <c r="I747" t="s">
        <v>58</v>
      </c>
      <c r="J747" t="s">
        <v>2883</v>
      </c>
      <c r="K747" t="s">
        <v>2884</v>
      </c>
      <c r="L747" t="s">
        <v>52</v>
      </c>
      <c r="M747">
        <v>855</v>
      </c>
      <c r="N747">
        <v>0</v>
      </c>
      <c r="O747" t="s">
        <v>61</v>
      </c>
      <c r="P747">
        <v>100</v>
      </c>
      <c r="Q747" t="s">
        <v>52</v>
      </c>
      <c r="R747" t="s">
        <v>52</v>
      </c>
      <c r="S747" t="s">
        <v>52</v>
      </c>
      <c r="T747" t="s">
        <v>52</v>
      </c>
      <c r="U747" t="s">
        <v>52</v>
      </c>
      <c r="V747" t="s">
        <v>62</v>
      </c>
      <c r="W747" t="s">
        <v>63</v>
      </c>
      <c r="Y747" t="s">
        <v>52</v>
      </c>
      <c r="AB747" t="s">
        <v>52</v>
      </c>
      <c r="AE747" t="s">
        <v>52</v>
      </c>
      <c r="AF747" t="s">
        <v>52</v>
      </c>
      <c r="AH747">
        <v>0</v>
      </c>
      <c r="AI747">
        <v>0</v>
      </c>
      <c r="AJ747" t="s">
        <v>52</v>
      </c>
      <c r="AK747">
        <v>0</v>
      </c>
      <c r="AL747" t="s">
        <v>52</v>
      </c>
      <c r="AM747" t="s">
        <v>52</v>
      </c>
      <c r="AN747">
        <v>0</v>
      </c>
      <c r="AO747">
        <v>0</v>
      </c>
      <c r="AP747" t="s">
        <v>52</v>
      </c>
      <c r="AQ747" t="s">
        <v>52</v>
      </c>
      <c r="AR747" t="s">
        <v>62</v>
      </c>
      <c r="AS747" t="s">
        <v>52</v>
      </c>
      <c r="AT747" t="s">
        <v>52</v>
      </c>
      <c r="AU747" t="s">
        <v>64</v>
      </c>
      <c r="AV747" t="s">
        <v>62</v>
      </c>
      <c r="AW747" t="s">
        <v>65</v>
      </c>
      <c r="AX747" t="s">
        <v>66</v>
      </c>
      <c r="AY747" t="s">
        <v>67</v>
      </c>
    </row>
    <row r="748" spans="1:51" hidden="1" x14ac:dyDescent="0.25">
      <c r="A748">
        <v>406002</v>
      </c>
      <c r="B748" t="s">
        <v>2893</v>
      </c>
      <c r="C748" t="e">
        <f>VLOOKUP(A748,[1]Customer_payment_journal_line!$AL:$BO,30,0)</f>
        <v>#N/A</v>
      </c>
      <c r="D748" t="s">
        <v>53</v>
      </c>
      <c r="E748" t="s">
        <v>2891</v>
      </c>
      <c r="F748" t="s">
        <v>2892</v>
      </c>
      <c r="G748" t="s">
        <v>2552</v>
      </c>
      <c r="H748" t="s">
        <v>69</v>
      </c>
      <c r="I748" t="s">
        <v>2886</v>
      </c>
      <c r="J748" t="s">
        <v>2883</v>
      </c>
      <c r="K748" t="s">
        <v>2884</v>
      </c>
      <c r="L748" t="s">
        <v>52</v>
      </c>
      <c r="M748">
        <v>0</v>
      </c>
      <c r="N748">
        <v>855</v>
      </c>
      <c r="O748" t="s">
        <v>61</v>
      </c>
      <c r="P748">
        <v>100</v>
      </c>
      <c r="Q748" t="s">
        <v>52</v>
      </c>
      <c r="R748" t="s">
        <v>52</v>
      </c>
      <c r="S748" t="s">
        <v>52</v>
      </c>
      <c r="T748" t="s">
        <v>52</v>
      </c>
      <c r="U748" t="s">
        <v>52</v>
      </c>
      <c r="V748" t="s">
        <v>62</v>
      </c>
      <c r="W748" t="s">
        <v>52</v>
      </c>
      <c r="Y748" t="s">
        <v>2887</v>
      </c>
      <c r="Z748" t="s">
        <v>62</v>
      </c>
      <c r="AB748" t="s">
        <v>2894</v>
      </c>
      <c r="AE748" t="s">
        <v>2895</v>
      </c>
      <c r="AF748" t="s">
        <v>52</v>
      </c>
      <c r="AH748">
        <v>0</v>
      </c>
      <c r="AI748">
        <v>0</v>
      </c>
      <c r="AJ748" t="s">
        <v>52</v>
      </c>
      <c r="AK748">
        <v>0</v>
      </c>
      <c r="AL748" t="s">
        <v>52</v>
      </c>
      <c r="AM748" t="s">
        <v>52</v>
      </c>
      <c r="AN748">
        <v>0</v>
      </c>
      <c r="AO748">
        <v>0</v>
      </c>
      <c r="AP748" t="s">
        <v>52</v>
      </c>
      <c r="AQ748" t="s">
        <v>52</v>
      </c>
      <c r="AR748" t="s">
        <v>62</v>
      </c>
      <c r="AS748" t="s">
        <v>52</v>
      </c>
      <c r="AT748" t="s">
        <v>74</v>
      </c>
      <c r="AU748" t="s">
        <v>64</v>
      </c>
      <c r="AV748" t="s">
        <v>62</v>
      </c>
      <c r="AW748" t="s">
        <v>65</v>
      </c>
      <c r="AX748" t="s">
        <v>66</v>
      </c>
      <c r="AY748" t="s">
        <v>67</v>
      </c>
    </row>
    <row r="749" spans="1:51" hidden="1" x14ac:dyDescent="0.25">
      <c r="A749">
        <v>406003</v>
      </c>
      <c r="B749" t="s">
        <v>2896</v>
      </c>
      <c r="C749" t="e">
        <f>VLOOKUP(A749,[1]Customer_payment_journal_line!$AL:$BO,30,0)</f>
        <v>#N/A</v>
      </c>
      <c r="D749" t="s">
        <v>53</v>
      </c>
      <c r="E749" t="s">
        <v>2897</v>
      </c>
      <c r="F749" t="s">
        <v>2898</v>
      </c>
      <c r="G749" t="s">
        <v>2552</v>
      </c>
      <c r="H749" t="s">
        <v>201</v>
      </c>
      <c r="I749" t="s">
        <v>58</v>
      </c>
      <c r="J749" t="s">
        <v>202</v>
      </c>
      <c r="K749" t="s">
        <v>2899</v>
      </c>
      <c r="L749" t="s">
        <v>52</v>
      </c>
      <c r="M749">
        <v>2650</v>
      </c>
      <c r="N749">
        <v>0</v>
      </c>
      <c r="O749" t="s">
        <v>61</v>
      </c>
      <c r="P749">
        <v>100</v>
      </c>
      <c r="Q749" t="s">
        <v>52</v>
      </c>
      <c r="R749" t="s">
        <v>52</v>
      </c>
      <c r="S749" t="s">
        <v>52</v>
      </c>
      <c r="T749" t="s">
        <v>52</v>
      </c>
      <c r="U749" t="s">
        <v>52</v>
      </c>
      <c r="V749" t="s">
        <v>62</v>
      </c>
      <c r="W749" t="s">
        <v>63</v>
      </c>
      <c r="Y749" t="s">
        <v>52</v>
      </c>
      <c r="AB749" t="s">
        <v>2900</v>
      </c>
      <c r="AE749" t="s">
        <v>2900</v>
      </c>
      <c r="AF749" t="s">
        <v>52</v>
      </c>
      <c r="AH749">
        <v>0</v>
      </c>
      <c r="AI749">
        <v>0</v>
      </c>
      <c r="AJ749" t="s">
        <v>52</v>
      </c>
      <c r="AK749">
        <v>0</v>
      </c>
      <c r="AL749" t="s">
        <v>52</v>
      </c>
      <c r="AM749" t="s">
        <v>52</v>
      </c>
      <c r="AN749">
        <v>0</v>
      </c>
      <c r="AO749">
        <v>0</v>
      </c>
      <c r="AP749" t="s">
        <v>52</v>
      </c>
      <c r="AQ749" t="s">
        <v>52</v>
      </c>
      <c r="AR749" t="s">
        <v>62</v>
      </c>
      <c r="AS749" t="s">
        <v>52</v>
      </c>
      <c r="AT749" t="s">
        <v>52</v>
      </c>
      <c r="AU749" t="s">
        <v>64</v>
      </c>
      <c r="AV749" t="s">
        <v>62</v>
      </c>
      <c r="AW749" t="s">
        <v>65</v>
      </c>
      <c r="AX749" t="s">
        <v>66</v>
      </c>
      <c r="AY749" t="s">
        <v>67</v>
      </c>
    </row>
    <row r="750" spans="1:51" hidden="1" x14ac:dyDescent="0.25">
      <c r="A750">
        <v>406003</v>
      </c>
      <c r="B750" t="s">
        <v>2901</v>
      </c>
      <c r="C750" t="e">
        <f>VLOOKUP(A750,[1]Customer_payment_journal_line!$AL:$BO,30,0)</f>
        <v>#N/A</v>
      </c>
      <c r="D750" t="s">
        <v>53</v>
      </c>
      <c r="E750" t="s">
        <v>2897</v>
      </c>
      <c r="F750" t="s">
        <v>2898</v>
      </c>
      <c r="G750" t="s">
        <v>2552</v>
      </c>
      <c r="H750" t="s">
        <v>69</v>
      </c>
      <c r="I750" t="s">
        <v>2902</v>
      </c>
      <c r="J750" t="s">
        <v>2903</v>
      </c>
      <c r="K750" t="s">
        <v>2899</v>
      </c>
      <c r="L750" t="s">
        <v>52</v>
      </c>
      <c r="M750">
        <v>0</v>
      </c>
      <c r="N750">
        <v>50</v>
      </c>
      <c r="O750" t="s">
        <v>178</v>
      </c>
      <c r="P750">
        <v>5085</v>
      </c>
      <c r="Q750" t="s">
        <v>52</v>
      </c>
      <c r="R750" t="s">
        <v>52</v>
      </c>
      <c r="S750" t="s">
        <v>52</v>
      </c>
      <c r="T750" t="s">
        <v>52</v>
      </c>
      <c r="U750" t="s">
        <v>52</v>
      </c>
      <c r="V750" t="s">
        <v>62</v>
      </c>
      <c r="W750" t="s">
        <v>52</v>
      </c>
      <c r="Y750" t="s">
        <v>2904</v>
      </c>
      <c r="Z750" t="s">
        <v>62</v>
      </c>
      <c r="AB750" t="s">
        <v>2900</v>
      </c>
      <c r="AE750" t="s">
        <v>2900</v>
      </c>
      <c r="AF750" t="s">
        <v>52</v>
      </c>
      <c r="AH750">
        <v>0</v>
      </c>
      <c r="AI750">
        <v>0</v>
      </c>
      <c r="AJ750" t="s">
        <v>52</v>
      </c>
      <c r="AK750">
        <v>0</v>
      </c>
      <c r="AL750" t="s">
        <v>52</v>
      </c>
      <c r="AM750" t="s">
        <v>52</v>
      </c>
      <c r="AN750">
        <v>0</v>
      </c>
      <c r="AO750">
        <v>0</v>
      </c>
      <c r="AP750" t="s">
        <v>52</v>
      </c>
      <c r="AQ750" t="s">
        <v>52</v>
      </c>
      <c r="AR750" t="s">
        <v>62</v>
      </c>
      <c r="AS750" t="s">
        <v>52</v>
      </c>
      <c r="AT750" t="s">
        <v>74</v>
      </c>
      <c r="AU750" t="s">
        <v>64</v>
      </c>
      <c r="AV750" t="s">
        <v>62</v>
      </c>
      <c r="AW750" t="s">
        <v>65</v>
      </c>
      <c r="AX750" t="s">
        <v>66</v>
      </c>
      <c r="AY750" t="s">
        <v>67</v>
      </c>
    </row>
    <row r="751" spans="1:51" hidden="1" x14ac:dyDescent="0.25">
      <c r="A751">
        <v>406003</v>
      </c>
      <c r="B751" t="s">
        <v>2905</v>
      </c>
      <c r="C751" t="e">
        <f>VLOOKUP(A751,[1]Customer_payment_journal_line!$AL:$BO,30,0)</f>
        <v>#N/A</v>
      </c>
      <c r="D751" t="s">
        <v>53</v>
      </c>
      <c r="E751" t="s">
        <v>2897</v>
      </c>
      <c r="F751" t="s">
        <v>2898</v>
      </c>
      <c r="G751" t="s">
        <v>2552</v>
      </c>
      <c r="H751" t="s">
        <v>210</v>
      </c>
      <c r="I751" t="s">
        <v>2906</v>
      </c>
      <c r="J751" t="s">
        <v>52</v>
      </c>
      <c r="K751" t="s">
        <v>2899</v>
      </c>
      <c r="L751" t="s">
        <v>52</v>
      </c>
      <c r="M751">
        <v>0</v>
      </c>
      <c r="N751">
        <v>107.5</v>
      </c>
      <c r="O751" t="s">
        <v>61</v>
      </c>
      <c r="P751">
        <v>100</v>
      </c>
      <c r="Q751" t="s">
        <v>52</v>
      </c>
      <c r="R751" t="s">
        <v>52</v>
      </c>
      <c r="S751" t="s">
        <v>52</v>
      </c>
      <c r="T751" t="s">
        <v>52</v>
      </c>
      <c r="U751" t="s">
        <v>52</v>
      </c>
      <c r="V751" t="s">
        <v>62</v>
      </c>
      <c r="W751" t="s">
        <v>63</v>
      </c>
      <c r="Y751" t="s">
        <v>2904</v>
      </c>
      <c r="AB751" t="s">
        <v>2900</v>
      </c>
      <c r="AE751" t="s">
        <v>2900</v>
      </c>
      <c r="AF751" t="s">
        <v>52</v>
      </c>
      <c r="AH751">
        <v>0</v>
      </c>
      <c r="AI751">
        <v>0</v>
      </c>
      <c r="AJ751" t="s">
        <v>52</v>
      </c>
      <c r="AK751">
        <v>0</v>
      </c>
      <c r="AL751" t="s">
        <v>52</v>
      </c>
      <c r="AM751" t="s">
        <v>52</v>
      </c>
      <c r="AN751">
        <v>0</v>
      </c>
      <c r="AO751">
        <v>0</v>
      </c>
      <c r="AP751" t="s">
        <v>52</v>
      </c>
      <c r="AQ751" t="s">
        <v>52</v>
      </c>
      <c r="AR751" t="s">
        <v>62</v>
      </c>
      <c r="AS751" t="s">
        <v>52</v>
      </c>
      <c r="AT751" t="s">
        <v>52</v>
      </c>
      <c r="AU751" t="s">
        <v>64</v>
      </c>
      <c r="AV751" t="s">
        <v>62</v>
      </c>
      <c r="AW751" t="s">
        <v>65</v>
      </c>
      <c r="AX751" t="s">
        <v>66</v>
      </c>
      <c r="AY751" t="s">
        <v>67</v>
      </c>
    </row>
    <row r="752" spans="1:51" hidden="1" x14ac:dyDescent="0.25">
      <c r="A752">
        <v>406004</v>
      </c>
      <c r="B752" t="s">
        <v>2907</v>
      </c>
      <c r="C752" t="e">
        <f>VLOOKUP(A752,[1]Customer_payment_journal_line!$AL:$BO,30,0)</f>
        <v>#N/A</v>
      </c>
      <c r="D752" t="s">
        <v>53</v>
      </c>
      <c r="E752" t="s">
        <v>2908</v>
      </c>
      <c r="F752" t="s">
        <v>2909</v>
      </c>
      <c r="G752" t="s">
        <v>2552</v>
      </c>
      <c r="H752" t="s">
        <v>57</v>
      </c>
      <c r="I752" t="s">
        <v>58</v>
      </c>
      <c r="J752" t="s">
        <v>2910</v>
      </c>
      <c r="K752" t="s">
        <v>2899</v>
      </c>
      <c r="L752" t="s">
        <v>52</v>
      </c>
      <c r="M752">
        <v>1140</v>
      </c>
      <c r="N752">
        <v>0</v>
      </c>
      <c r="O752" t="s">
        <v>61</v>
      </c>
      <c r="P752">
        <v>100</v>
      </c>
      <c r="Q752" t="s">
        <v>52</v>
      </c>
      <c r="R752" t="s">
        <v>52</v>
      </c>
      <c r="S752" t="s">
        <v>52</v>
      </c>
      <c r="T752" t="s">
        <v>52</v>
      </c>
      <c r="U752" t="s">
        <v>52</v>
      </c>
      <c r="V752" t="s">
        <v>62</v>
      </c>
      <c r="W752" t="s">
        <v>63</v>
      </c>
      <c r="Y752" t="s">
        <v>52</v>
      </c>
      <c r="AB752" t="s">
        <v>52</v>
      </c>
      <c r="AE752" t="s">
        <v>52</v>
      </c>
      <c r="AF752" t="s">
        <v>52</v>
      </c>
      <c r="AH752">
        <v>0</v>
      </c>
      <c r="AI752">
        <v>0</v>
      </c>
      <c r="AJ752" t="s">
        <v>52</v>
      </c>
      <c r="AK752">
        <v>0</v>
      </c>
      <c r="AL752" t="s">
        <v>52</v>
      </c>
      <c r="AM752" t="s">
        <v>52</v>
      </c>
      <c r="AN752">
        <v>0</v>
      </c>
      <c r="AO752">
        <v>0</v>
      </c>
      <c r="AP752" t="s">
        <v>52</v>
      </c>
      <c r="AQ752" t="s">
        <v>52</v>
      </c>
      <c r="AR752" t="s">
        <v>62</v>
      </c>
      <c r="AS752" t="s">
        <v>52</v>
      </c>
      <c r="AT752" t="s">
        <v>52</v>
      </c>
      <c r="AU752" t="s">
        <v>64</v>
      </c>
      <c r="AV752" t="s">
        <v>62</v>
      </c>
      <c r="AW752" t="s">
        <v>65</v>
      </c>
      <c r="AX752" t="s">
        <v>66</v>
      </c>
      <c r="AY752" t="s">
        <v>67</v>
      </c>
    </row>
    <row r="753" spans="1:51" hidden="1" x14ac:dyDescent="0.25">
      <c r="A753">
        <v>406004</v>
      </c>
      <c r="B753" t="s">
        <v>2911</v>
      </c>
      <c r="C753" t="e">
        <f>VLOOKUP(A753,[1]Customer_payment_journal_line!$AL:$BO,30,0)</f>
        <v>#N/A</v>
      </c>
      <c r="D753" t="s">
        <v>53</v>
      </c>
      <c r="E753" t="s">
        <v>2908</v>
      </c>
      <c r="F753" t="s">
        <v>2909</v>
      </c>
      <c r="G753" t="s">
        <v>2552</v>
      </c>
      <c r="H753" t="s">
        <v>69</v>
      </c>
      <c r="I753" t="s">
        <v>2902</v>
      </c>
      <c r="J753" t="s">
        <v>2910</v>
      </c>
      <c r="K753" t="s">
        <v>2899</v>
      </c>
      <c r="L753" t="s">
        <v>52</v>
      </c>
      <c r="M753">
        <v>0</v>
      </c>
      <c r="N753">
        <v>1140</v>
      </c>
      <c r="O753" t="s">
        <v>61</v>
      </c>
      <c r="P753">
        <v>100</v>
      </c>
      <c r="Q753" t="s">
        <v>52</v>
      </c>
      <c r="R753" t="s">
        <v>52</v>
      </c>
      <c r="S753" t="s">
        <v>52</v>
      </c>
      <c r="T753" t="s">
        <v>52</v>
      </c>
      <c r="U753" t="s">
        <v>52</v>
      </c>
      <c r="V753" t="s">
        <v>62</v>
      </c>
      <c r="W753" t="s">
        <v>52</v>
      </c>
      <c r="Y753" t="s">
        <v>2904</v>
      </c>
      <c r="Z753" t="s">
        <v>62</v>
      </c>
      <c r="AB753" t="s">
        <v>2912</v>
      </c>
      <c r="AE753" t="s">
        <v>2913</v>
      </c>
      <c r="AF753" t="s">
        <v>52</v>
      </c>
      <c r="AH753">
        <v>0</v>
      </c>
      <c r="AI753">
        <v>0</v>
      </c>
      <c r="AJ753" t="s">
        <v>52</v>
      </c>
      <c r="AK753">
        <v>0</v>
      </c>
      <c r="AL753" t="s">
        <v>52</v>
      </c>
      <c r="AM753" t="s">
        <v>52</v>
      </c>
      <c r="AN753">
        <v>0</v>
      </c>
      <c r="AO753">
        <v>0</v>
      </c>
      <c r="AP753" t="s">
        <v>52</v>
      </c>
      <c r="AQ753" t="s">
        <v>52</v>
      </c>
      <c r="AR753" t="s">
        <v>62</v>
      </c>
      <c r="AS753" t="s">
        <v>52</v>
      </c>
      <c r="AT753" t="s">
        <v>74</v>
      </c>
      <c r="AU753" t="s">
        <v>64</v>
      </c>
      <c r="AV753" t="s">
        <v>62</v>
      </c>
      <c r="AW753" t="s">
        <v>65</v>
      </c>
      <c r="AX753" t="s">
        <v>66</v>
      </c>
      <c r="AY753" t="s">
        <v>67</v>
      </c>
    </row>
    <row r="754" spans="1:51" hidden="1" x14ac:dyDescent="0.25">
      <c r="A754">
        <v>406005</v>
      </c>
      <c r="B754" t="s">
        <v>2914</v>
      </c>
      <c r="C754" t="e">
        <f>VLOOKUP(A754,[1]Customer_payment_journal_line!$AL:$BO,30,0)</f>
        <v>#N/A</v>
      </c>
      <c r="D754" t="s">
        <v>53</v>
      </c>
      <c r="E754" t="s">
        <v>2915</v>
      </c>
      <c r="F754" t="s">
        <v>2916</v>
      </c>
      <c r="G754" t="s">
        <v>2552</v>
      </c>
      <c r="H754" t="s">
        <v>57</v>
      </c>
      <c r="I754" t="s">
        <v>58</v>
      </c>
      <c r="J754" t="s">
        <v>2910</v>
      </c>
      <c r="K754" t="s">
        <v>2899</v>
      </c>
      <c r="L754" t="s">
        <v>52</v>
      </c>
      <c r="M754">
        <v>855</v>
      </c>
      <c r="N754">
        <v>0</v>
      </c>
      <c r="O754" t="s">
        <v>61</v>
      </c>
      <c r="P754">
        <v>100</v>
      </c>
      <c r="Q754" t="s">
        <v>52</v>
      </c>
      <c r="R754" t="s">
        <v>52</v>
      </c>
      <c r="S754" t="s">
        <v>52</v>
      </c>
      <c r="T754" t="s">
        <v>52</v>
      </c>
      <c r="U754" t="s">
        <v>52</v>
      </c>
      <c r="V754" t="s">
        <v>62</v>
      </c>
      <c r="W754" t="s">
        <v>63</v>
      </c>
      <c r="Y754" t="s">
        <v>52</v>
      </c>
      <c r="AB754" t="s">
        <v>52</v>
      </c>
      <c r="AE754" t="s">
        <v>52</v>
      </c>
      <c r="AF754" t="s">
        <v>52</v>
      </c>
      <c r="AH754">
        <v>0</v>
      </c>
      <c r="AI754">
        <v>0</v>
      </c>
      <c r="AJ754" t="s">
        <v>52</v>
      </c>
      <c r="AK754">
        <v>0</v>
      </c>
      <c r="AL754" t="s">
        <v>52</v>
      </c>
      <c r="AM754" t="s">
        <v>52</v>
      </c>
      <c r="AN754">
        <v>0</v>
      </c>
      <c r="AO754">
        <v>0</v>
      </c>
      <c r="AP754" t="s">
        <v>52</v>
      </c>
      <c r="AQ754" t="s">
        <v>52</v>
      </c>
      <c r="AR754" t="s">
        <v>62</v>
      </c>
      <c r="AS754" t="s">
        <v>52</v>
      </c>
      <c r="AT754" t="s">
        <v>52</v>
      </c>
      <c r="AU754" t="s">
        <v>64</v>
      </c>
      <c r="AV754" t="s">
        <v>62</v>
      </c>
      <c r="AW754" t="s">
        <v>65</v>
      </c>
      <c r="AX754" t="s">
        <v>66</v>
      </c>
      <c r="AY754" t="s">
        <v>67</v>
      </c>
    </row>
    <row r="755" spans="1:51" hidden="1" x14ac:dyDescent="0.25">
      <c r="A755">
        <v>406005</v>
      </c>
      <c r="B755" t="s">
        <v>2917</v>
      </c>
      <c r="C755" t="e">
        <f>VLOOKUP(A755,[1]Customer_payment_journal_line!$AL:$BO,30,0)</f>
        <v>#N/A</v>
      </c>
      <c r="D755" t="s">
        <v>53</v>
      </c>
      <c r="E755" t="s">
        <v>2915</v>
      </c>
      <c r="F755" t="s">
        <v>2916</v>
      </c>
      <c r="G755" t="s">
        <v>2552</v>
      </c>
      <c r="H755" t="s">
        <v>69</v>
      </c>
      <c r="I755" t="s">
        <v>2902</v>
      </c>
      <c r="J755" t="s">
        <v>2910</v>
      </c>
      <c r="K755" t="s">
        <v>2899</v>
      </c>
      <c r="L755" t="s">
        <v>52</v>
      </c>
      <c r="M755">
        <v>0</v>
      </c>
      <c r="N755">
        <v>855</v>
      </c>
      <c r="O755" t="s">
        <v>61</v>
      </c>
      <c r="P755">
        <v>100</v>
      </c>
      <c r="Q755" t="s">
        <v>52</v>
      </c>
      <c r="R755" t="s">
        <v>52</v>
      </c>
      <c r="S755" t="s">
        <v>52</v>
      </c>
      <c r="T755" t="s">
        <v>52</v>
      </c>
      <c r="U755" t="s">
        <v>52</v>
      </c>
      <c r="V755" t="s">
        <v>62</v>
      </c>
      <c r="W755" t="s">
        <v>52</v>
      </c>
      <c r="Y755" t="s">
        <v>2904</v>
      </c>
      <c r="Z755" t="s">
        <v>62</v>
      </c>
      <c r="AB755" t="s">
        <v>2918</v>
      </c>
      <c r="AE755" t="s">
        <v>2919</v>
      </c>
      <c r="AF755" t="s">
        <v>52</v>
      </c>
      <c r="AH755">
        <v>0</v>
      </c>
      <c r="AI755">
        <v>0</v>
      </c>
      <c r="AJ755" t="s">
        <v>52</v>
      </c>
      <c r="AK755">
        <v>0</v>
      </c>
      <c r="AL755" t="s">
        <v>52</v>
      </c>
      <c r="AM755" t="s">
        <v>52</v>
      </c>
      <c r="AN755">
        <v>0</v>
      </c>
      <c r="AO755">
        <v>0</v>
      </c>
      <c r="AP755" t="s">
        <v>52</v>
      </c>
      <c r="AQ755" t="s">
        <v>52</v>
      </c>
      <c r="AR755" t="s">
        <v>62</v>
      </c>
      <c r="AS755" t="s">
        <v>52</v>
      </c>
      <c r="AT755" t="s">
        <v>74</v>
      </c>
      <c r="AU755" t="s">
        <v>64</v>
      </c>
      <c r="AV755" t="s">
        <v>62</v>
      </c>
      <c r="AW755" t="s">
        <v>65</v>
      </c>
      <c r="AX755" t="s">
        <v>66</v>
      </c>
      <c r="AY755" t="s">
        <v>67</v>
      </c>
    </row>
    <row r="756" spans="1:51" hidden="1" x14ac:dyDescent="0.25">
      <c r="A756">
        <v>406006</v>
      </c>
      <c r="B756" t="s">
        <v>2920</v>
      </c>
      <c r="C756" t="e">
        <f>VLOOKUP(A756,[1]Customer_payment_journal_line!$AL:$BO,30,0)</f>
        <v>#N/A</v>
      </c>
      <c r="D756" t="s">
        <v>53</v>
      </c>
      <c r="E756" t="s">
        <v>2921</v>
      </c>
      <c r="F756" t="s">
        <v>2922</v>
      </c>
      <c r="G756" t="s">
        <v>2552</v>
      </c>
      <c r="H756" t="s">
        <v>201</v>
      </c>
      <c r="I756" t="s">
        <v>58</v>
      </c>
      <c r="J756" t="s">
        <v>202</v>
      </c>
      <c r="K756" t="s">
        <v>2923</v>
      </c>
      <c r="L756" t="s">
        <v>52</v>
      </c>
      <c r="M756">
        <v>5300</v>
      </c>
      <c r="N756">
        <v>0</v>
      </c>
      <c r="O756" t="s">
        <v>61</v>
      </c>
      <c r="P756">
        <v>100</v>
      </c>
      <c r="Q756" t="s">
        <v>52</v>
      </c>
      <c r="R756" t="s">
        <v>52</v>
      </c>
      <c r="S756" t="s">
        <v>52</v>
      </c>
      <c r="T756" t="s">
        <v>52</v>
      </c>
      <c r="U756" t="s">
        <v>52</v>
      </c>
      <c r="V756" t="s">
        <v>62</v>
      </c>
      <c r="W756" t="s">
        <v>63</v>
      </c>
      <c r="Y756" t="s">
        <v>52</v>
      </c>
      <c r="AB756" t="s">
        <v>2924</v>
      </c>
      <c r="AE756" t="s">
        <v>2924</v>
      </c>
      <c r="AF756" t="s">
        <v>52</v>
      </c>
      <c r="AH756">
        <v>0</v>
      </c>
      <c r="AI756">
        <v>0</v>
      </c>
      <c r="AJ756" t="s">
        <v>52</v>
      </c>
      <c r="AK756">
        <v>0</v>
      </c>
      <c r="AL756" t="s">
        <v>52</v>
      </c>
      <c r="AM756" t="s">
        <v>52</v>
      </c>
      <c r="AN756">
        <v>0</v>
      </c>
      <c r="AO756">
        <v>0</v>
      </c>
      <c r="AP756" t="s">
        <v>52</v>
      </c>
      <c r="AQ756" t="s">
        <v>52</v>
      </c>
      <c r="AR756" t="s">
        <v>62</v>
      </c>
      <c r="AS756" t="s">
        <v>52</v>
      </c>
      <c r="AT756" t="s">
        <v>52</v>
      </c>
      <c r="AU756" t="s">
        <v>64</v>
      </c>
      <c r="AV756" t="s">
        <v>62</v>
      </c>
      <c r="AW756" t="s">
        <v>65</v>
      </c>
      <c r="AX756" t="s">
        <v>66</v>
      </c>
      <c r="AY756" t="s">
        <v>67</v>
      </c>
    </row>
    <row r="757" spans="1:51" hidden="1" x14ac:dyDescent="0.25">
      <c r="A757">
        <v>406006</v>
      </c>
      <c r="B757" t="s">
        <v>2925</v>
      </c>
      <c r="C757" t="e">
        <f>VLOOKUP(A757,[1]Customer_payment_journal_line!$AL:$BO,30,0)</f>
        <v>#N/A</v>
      </c>
      <c r="D757" t="s">
        <v>53</v>
      </c>
      <c r="E757" t="s">
        <v>2921</v>
      </c>
      <c r="F757" t="s">
        <v>2922</v>
      </c>
      <c r="G757" t="s">
        <v>2552</v>
      </c>
      <c r="H757" t="s">
        <v>69</v>
      </c>
      <c r="I757" t="s">
        <v>2902</v>
      </c>
      <c r="J757" t="s">
        <v>2903</v>
      </c>
      <c r="K757" t="s">
        <v>2923</v>
      </c>
      <c r="L757" t="s">
        <v>52</v>
      </c>
      <c r="M757">
        <v>0</v>
      </c>
      <c r="N757">
        <v>100</v>
      </c>
      <c r="O757" t="s">
        <v>178</v>
      </c>
      <c r="P757">
        <v>5085</v>
      </c>
      <c r="Q757" t="s">
        <v>52</v>
      </c>
      <c r="R757" t="s">
        <v>52</v>
      </c>
      <c r="S757" t="s">
        <v>52</v>
      </c>
      <c r="T757" t="s">
        <v>52</v>
      </c>
      <c r="U757" t="s">
        <v>52</v>
      </c>
      <c r="V757" t="s">
        <v>62</v>
      </c>
      <c r="W757" t="s">
        <v>52</v>
      </c>
      <c r="Y757" t="s">
        <v>2904</v>
      </c>
      <c r="Z757" t="s">
        <v>62</v>
      </c>
      <c r="AB757" t="s">
        <v>2924</v>
      </c>
      <c r="AE757" t="s">
        <v>2924</v>
      </c>
      <c r="AF757" t="s">
        <v>52</v>
      </c>
      <c r="AH757">
        <v>0</v>
      </c>
      <c r="AI757">
        <v>0</v>
      </c>
      <c r="AJ757" t="s">
        <v>52</v>
      </c>
      <c r="AK757">
        <v>0</v>
      </c>
      <c r="AL757" t="s">
        <v>52</v>
      </c>
      <c r="AM757" t="s">
        <v>52</v>
      </c>
      <c r="AN757">
        <v>0</v>
      </c>
      <c r="AO757">
        <v>0</v>
      </c>
      <c r="AP757" t="s">
        <v>52</v>
      </c>
      <c r="AQ757" t="s">
        <v>52</v>
      </c>
      <c r="AR757" t="s">
        <v>62</v>
      </c>
      <c r="AS757" t="s">
        <v>52</v>
      </c>
      <c r="AT757" t="s">
        <v>74</v>
      </c>
      <c r="AU757" t="s">
        <v>64</v>
      </c>
      <c r="AV757" t="s">
        <v>62</v>
      </c>
      <c r="AW757" t="s">
        <v>65</v>
      </c>
      <c r="AX757" t="s">
        <v>66</v>
      </c>
      <c r="AY757" t="s">
        <v>67</v>
      </c>
    </row>
    <row r="758" spans="1:51" hidden="1" x14ac:dyDescent="0.25">
      <c r="A758">
        <v>406006</v>
      </c>
      <c r="B758" t="s">
        <v>2926</v>
      </c>
      <c r="C758" t="e">
        <f>VLOOKUP(A758,[1]Customer_payment_journal_line!$AL:$BO,30,0)</f>
        <v>#N/A</v>
      </c>
      <c r="D758" t="s">
        <v>53</v>
      </c>
      <c r="E758" t="s">
        <v>2921</v>
      </c>
      <c r="F758" t="s">
        <v>2922</v>
      </c>
      <c r="G758" t="s">
        <v>2552</v>
      </c>
      <c r="H758" t="s">
        <v>210</v>
      </c>
      <c r="I758" t="s">
        <v>2906</v>
      </c>
      <c r="J758" t="s">
        <v>52</v>
      </c>
      <c r="K758" t="s">
        <v>2923</v>
      </c>
      <c r="L758" t="s">
        <v>52</v>
      </c>
      <c r="M758">
        <v>0</v>
      </c>
      <c r="N758">
        <v>215</v>
      </c>
      <c r="O758" t="s">
        <v>61</v>
      </c>
      <c r="P758">
        <v>100</v>
      </c>
      <c r="Q758" t="s">
        <v>52</v>
      </c>
      <c r="R758" t="s">
        <v>52</v>
      </c>
      <c r="S758" t="s">
        <v>52</v>
      </c>
      <c r="T758" t="s">
        <v>52</v>
      </c>
      <c r="U758" t="s">
        <v>52</v>
      </c>
      <c r="V758" t="s">
        <v>62</v>
      </c>
      <c r="W758" t="s">
        <v>63</v>
      </c>
      <c r="Y758" t="s">
        <v>2904</v>
      </c>
      <c r="AB758" t="s">
        <v>2924</v>
      </c>
      <c r="AE758" t="s">
        <v>2924</v>
      </c>
      <c r="AF758" t="s">
        <v>52</v>
      </c>
      <c r="AH758">
        <v>0</v>
      </c>
      <c r="AI758">
        <v>0</v>
      </c>
      <c r="AJ758" t="s">
        <v>52</v>
      </c>
      <c r="AK758">
        <v>0</v>
      </c>
      <c r="AL758" t="s">
        <v>52</v>
      </c>
      <c r="AM758" t="s">
        <v>52</v>
      </c>
      <c r="AN758">
        <v>0</v>
      </c>
      <c r="AO758">
        <v>0</v>
      </c>
      <c r="AP758" t="s">
        <v>52</v>
      </c>
      <c r="AQ758" t="s">
        <v>52</v>
      </c>
      <c r="AR758" t="s">
        <v>62</v>
      </c>
      <c r="AS758" t="s">
        <v>52</v>
      </c>
      <c r="AT758" t="s">
        <v>52</v>
      </c>
      <c r="AU758" t="s">
        <v>64</v>
      </c>
      <c r="AV758" t="s">
        <v>62</v>
      </c>
      <c r="AW758" t="s">
        <v>65</v>
      </c>
      <c r="AX758" t="s">
        <v>66</v>
      </c>
      <c r="AY758" t="s">
        <v>67</v>
      </c>
    </row>
    <row r="759" spans="1:51" hidden="1" x14ac:dyDescent="0.25">
      <c r="A759">
        <v>406007</v>
      </c>
      <c r="B759" t="s">
        <v>2927</v>
      </c>
      <c r="C759" t="e">
        <f>VLOOKUP(A759,[1]Customer_payment_journal_line!$AL:$BO,30,0)</f>
        <v>#N/A</v>
      </c>
      <c r="D759" t="s">
        <v>53</v>
      </c>
      <c r="E759" t="s">
        <v>2928</v>
      </c>
      <c r="F759" t="s">
        <v>2929</v>
      </c>
      <c r="G759" t="s">
        <v>2552</v>
      </c>
      <c r="H759" t="s">
        <v>57</v>
      </c>
      <c r="I759" t="s">
        <v>58</v>
      </c>
      <c r="J759" t="s">
        <v>2910</v>
      </c>
      <c r="K759" t="s">
        <v>2923</v>
      </c>
      <c r="L759" t="s">
        <v>52</v>
      </c>
      <c r="M759">
        <v>1140</v>
      </c>
      <c r="N759">
        <v>0</v>
      </c>
      <c r="O759" t="s">
        <v>61</v>
      </c>
      <c r="P759">
        <v>100</v>
      </c>
      <c r="Q759" t="s">
        <v>52</v>
      </c>
      <c r="R759" t="s">
        <v>52</v>
      </c>
      <c r="S759" t="s">
        <v>52</v>
      </c>
      <c r="T759" t="s">
        <v>52</v>
      </c>
      <c r="U759" t="s">
        <v>52</v>
      </c>
      <c r="V759" t="s">
        <v>62</v>
      </c>
      <c r="W759" t="s">
        <v>63</v>
      </c>
      <c r="Y759" t="s">
        <v>52</v>
      </c>
      <c r="AB759" t="s">
        <v>52</v>
      </c>
      <c r="AE759" t="s">
        <v>52</v>
      </c>
      <c r="AF759" t="s">
        <v>52</v>
      </c>
      <c r="AH759">
        <v>0</v>
      </c>
      <c r="AI759">
        <v>0</v>
      </c>
      <c r="AJ759" t="s">
        <v>52</v>
      </c>
      <c r="AK759">
        <v>0</v>
      </c>
      <c r="AL759" t="s">
        <v>52</v>
      </c>
      <c r="AM759" t="s">
        <v>52</v>
      </c>
      <c r="AN759">
        <v>0</v>
      </c>
      <c r="AO759">
        <v>0</v>
      </c>
      <c r="AP759" t="s">
        <v>52</v>
      </c>
      <c r="AQ759" t="s">
        <v>52</v>
      </c>
      <c r="AR759" t="s">
        <v>62</v>
      </c>
      <c r="AS759" t="s">
        <v>52</v>
      </c>
      <c r="AT759" t="s">
        <v>52</v>
      </c>
      <c r="AU759" t="s">
        <v>64</v>
      </c>
      <c r="AV759" t="s">
        <v>62</v>
      </c>
      <c r="AW759" t="s">
        <v>65</v>
      </c>
      <c r="AX759" t="s">
        <v>66</v>
      </c>
      <c r="AY759" t="s">
        <v>67</v>
      </c>
    </row>
    <row r="760" spans="1:51" hidden="1" x14ac:dyDescent="0.25">
      <c r="A760">
        <v>406007</v>
      </c>
      <c r="B760" t="s">
        <v>2930</v>
      </c>
      <c r="C760" t="e">
        <f>VLOOKUP(A760,[1]Customer_payment_journal_line!$AL:$BO,30,0)</f>
        <v>#N/A</v>
      </c>
      <c r="D760" t="s">
        <v>53</v>
      </c>
      <c r="E760" t="s">
        <v>2928</v>
      </c>
      <c r="F760" t="s">
        <v>2929</v>
      </c>
      <c r="G760" t="s">
        <v>2552</v>
      </c>
      <c r="H760" t="s">
        <v>69</v>
      </c>
      <c r="I760" t="s">
        <v>2902</v>
      </c>
      <c r="J760" t="s">
        <v>2910</v>
      </c>
      <c r="K760" t="s">
        <v>2923</v>
      </c>
      <c r="L760" t="s">
        <v>52</v>
      </c>
      <c r="M760">
        <v>0</v>
      </c>
      <c r="N760">
        <v>1140</v>
      </c>
      <c r="O760" t="s">
        <v>61</v>
      </c>
      <c r="P760">
        <v>100</v>
      </c>
      <c r="Q760" t="s">
        <v>52</v>
      </c>
      <c r="R760" t="s">
        <v>52</v>
      </c>
      <c r="S760" t="s">
        <v>52</v>
      </c>
      <c r="T760" t="s">
        <v>52</v>
      </c>
      <c r="U760" t="s">
        <v>52</v>
      </c>
      <c r="V760" t="s">
        <v>62</v>
      </c>
      <c r="W760" t="s">
        <v>52</v>
      </c>
      <c r="Y760" t="s">
        <v>2904</v>
      </c>
      <c r="Z760" t="s">
        <v>62</v>
      </c>
      <c r="AB760" t="s">
        <v>2931</v>
      </c>
      <c r="AE760" t="s">
        <v>2932</v>
      </c>
      <c r="AF760" t="s">
        <v>52</v>
      </c>
      <c r="AH760">
        <v>0</v>
      </c>
      <c r="AI760">
        <v>0</v>
      </c>
      <c r="AJ760" t="s">
        <v>52</v>
      </c>
      <c r="AK760">
        <v>0</v>
      </c>
      <c r="AL760" t="s">
        <v>52</v>
      </c>
      <c r="AM760" t="s">
        <v>52</v>
      </c>
      <c r="AN760">
        <v>0</v>
      </c>
      <c r="AO760">
        <v>0</v>
      </c>
      <c r="AP760" t="s">
        <v>52</v>
      </c>
      <c r="AQ760" t="s">
        <v>52</v>
      </c>
      <c r="AR760" t="s">
        <v>62</v>
      </c>
      <c r="AS760" t="s">
        <v>52</v>
      </c>
      <c r="AT760" t="s">
        <v>74</v>
      </c>
      <c r="AU760" t="s">
        <v>64</v>
      </c>
      <c r="AV760" t="s">
        <v>62</v>
      </c>
      <c r="AW760" t="s">
        <v>65</v>
      </c>
      <c r="AX760" t="s">
        <v>66</v>
      </c>
      <c r="AY760" t="s">
        <v>67</v>
      </c>
    </row>
    <row r="761" spans="1:51" hidden="1" x14ac:dyDescent="0.25">
      <c r="A761">
        <v>406008</v>
      </c>
      <c r="B761" t="s">
        <v>2933</v>
      </c>
      <c r="C761" t="e">
        <f>VLOOKUP(A761,[1]Customer_payment_journal_line!$AL:$BO,30,0)</f>
        <v>#N/A</v>
      </c>
      <c r="D761" t="s">
        <v>53</v>
      </c>
      <c r="E761" t="s">
        <v>2934</v>
      </c>
      <c r="F761" t="s">
        <v>2935</v>
      </c>
      <c r="G761" t="s">
        <v>2552</v>
      </c>
      <c r="H761" t="s">
        <v>57</v>
      </c>
      <c r="I761" t="s">
        <v>58</v>
      </c>
      <c r="J761" t="s">
        <v>2910</v>
      </c>
      <c r="K761" t="s">
        <v>2923</v>
      </c>
      <c r="L761" t="s">
        <v>52</v>
      </c>
      <c r="M761">
        <v>855</v>
      </c>
      <c r="N761">
        <v>0</v>
      </c>
      <c r="O761" t="s">
        <v>61</v>
      </c>
      <c r="P761">
        <v>100</v>
      </c>
      <c r="Q761" t="s">
        <v>52</v>
      </c>
      <c r="R761" t="s">
        <v>52</v>
      </c>
      <c r="S761" t="s">
        <v>52</v>
      </c>
      <c r="T761" t="s">
        <v>52</v>
      </c>
      <c r="U761" t="s">
        <v>52</v>
      </c>
      <c r="V761" t="s">
        <v>62</v>
      </c>
      <c r="W761" t="s">
        <v>63</v>
      </c>
      <c r="Y761" t="s">
        <v>52</v>
      </c>
      <c r="AB761" t="s">
        <v>52</v>
      </c>
      <c r="AE761" t="s">
        <v>52</v>
      </c>
      <c r="AF761" t="s">
        <v>52</v>
      </c>
      <c r="AH761">
        <v>0</v>
      </c>
      <c r="AI761">
        <v>0</v>
      </c>
      <c r="AJ761" t="s">
        <v>52</v>
      </c>
      <c r="AK761">
        <v>0</v>
      </c>
      <c r="AL761" t="s">
        <v>52</v>
      </c>
      <c r="AM761" t="s">
        <v>52</v>
      </c>
      <c r="AN761">
        <v>0</v>
      </c>
      <c r="AO761">
        <v>0</v>
      </c>
      <c r="AP761" t="s">
        <v>52</v>
      </c>
      <c r="AQ761" t="s">
        <v>52</v>
      </c>
      <c r="AR761" t="s">
        <v>62</v>
      </c>
      <c r="AS761" t="s">
        <v>52</v>
      </c>
      <c r="AT761" t="s">
        <v>52</v>
      </c>
      <c r="AU761" t="s">
        <v>64</v>
      </c>
      <c r="AV761" t="s">
        <v>62</v>
      </c>
      <c r="AW761" t="s">
        <v>65</v>
      </c>
      <c r="AX761" t="s">
        <v>66</v>
      </c>
      <c r="AY761" t="s">
        <v>67</v>
      </c>
    </row>
    <row r="762" spans="1:51" hidden="1" x14ac:dyDescent="0.25">
      <c r="A762">
        <v>406008</v>
      </c>
      <c r="B762" t="s">
        <v>2936</v>
      </c>
      <c r="C762" t="e">
        <f>VLOOKUP(A762,[1]Customer_payment_journal_line!$AL:$BO,30,0)</f>
        <v>#N/A</v>
      </c>
      <c r="D762" t="s">
        <v>53</v>
      </c>
      <c r="E762" t="s">
        <v>2934</v>
      </c>
      <c r="F762" t="s">
        <v>2935</v>
      </c>
      <c r="G762" t="s">
        <v>2552</v>
      </c>
      <c r="H762" t="s">
        <v>69</v>
      </c>
      <c r="I762" t="s">
        <v>2902</v>
      </c>
      <c r="J762" t="s">
        <v>2910</v>
      </c>
      <c r="K762" t="s">
        <v>2923</v>
      </c>
      <c r="L762" t="s">
        <v>52</v>
      </c>
      <c r="M762">
        <v>0</v>
      </c>
      <c r="N762">
        <v>855</v>
      </c>
      <c r="O762" t="s">
        <v>61</v>
      </c>
      <c r="P762">
        <v>100</v>
      </c>
      <c r="Q762" t="s">
        <v>52</v>
      </c>
      <c r="R762" t="s">
        <v>52</v>
      </c>
      <c r="S762" t="s">
        <v>52</v>
      </c>
      <c r="T762" t="s">
        <v>52</v>
      </c>
      <c r="U762" t="s">
        <v>52</v>
      </c>
      <c r="V762" t="s">
        <v>62</v>
      </c>
      <c r="W762" t="s">
        <v>52</v>
      </c>
      <c r="Y762" t="s">
        <v>2904</v>
      </c>
      <c r="Z762" t="s">
        <v>62</v>
      </c>
      <c r="AB762" t="s">
        <v>2937</v>
      </c>
      <c r="AE762" t="s">
        <v>2938</v>
      </c>
      <c r="AF762" t="s">
        <v>52</v>
      </c>
      <c r="AH762">
        <v>0</v>
      </c>
      <c r="AI762">
        <v>0</v>
      </c>
      <c r="AJ762" t="s">
        <v>52</v>
      </c>
      <c r="AK762">
        <v>0</v>
      </c>
      <c r="AL762" t="s">
        <v>52</v>
      </c>
      <c r="AM762" t="s">
        <v>52</v>
      </c>
      <c r="AN762">
        <v>0</v>
      </c>
      <c r="AO762">
        <v>0</v>
      </c>
      <c r="AP762" t="s">
        <v>52</v>
      </c>
      <c r="AQ762" t="s">
        <v>52</v>
      </c>
      <c r="AR762" t="s">
        <v>62</v>
      </c>
      <c r="AS762" t="s">
        <v>52</v>
      </c>
      <c r="AT762" t="s">
        <v>74</v>
      </c>
      <c r="AU762" t="s">
        <v>64</v>
      </c>
      <c r="AV762" t="s">
        <v>62</v>
      </c>
      <c r="AW762" t="s">
        <v>65</v>
      </c>
      <c r="AX762" t="s">
        <v>66</v>
      </c>
      <c r="AY762" t="s">
        <v>67</v>
      </c>
    </row>
    <row r="763" spans="1:51" hidden="1" x14ac:dyDescent="0.25">
      <c r="A763">
        <v>406009</v>
      </c>
      <c r="B763" t="s">
        <v>2939</v>
      </c>
      <c r="C763" t="e">
        <f>VLOOKUP(A763,[1]Customer_payment_journal_line!$AL:$BO,30,0)</f>
        <v>#N/A</v>
      </c>
      <c r="D763" t="s">
        <v>53</v>
      </c>
      <c r="E763" t="s">
        <v>2940</v>
      </c>
      <c r="F763" t="s">
        <v>2941</v>
      </c>
      <c r="G763" t="s">
        <v>2552</v>
      </c>
      <c r="H763" t="s">
        <v>201</v>
      </c>
      <c r="I763" t="s">
        <v>58</v>
      </c>
      <c r="J763" t="s">
        <v>202</v>
      </c>
      <c r="K763" t="s">
        <v>2942</v>
      </c>
      <c r="L763" t="s">
        <v>52</v>
      </c>
      <c r="M763">
        <v>5300</v>
      </c>
      <c r="N763">
        <v>0</v>
      </c>
      <c r="O763" t="s">
        <v>61</v>
      </c>
      <c r="P763">
        <v>100</v>
      </c>
      <c r="Q763" t="s">
        <v>52</v>
      </c>
      <c r="R763" t="s">
        <v>52</v>
      </c>
      <c r="S763" t="s">
        <v>52</v>
      </c>
      <c r="T763" t="s">
        <v>52</v>
      </c>
      <c r="U763" t="s">
        <v>52</v>
      </c>
      <c r="V763" t="s">
        <v>62</v>
      </c>
      <c r="W763" t="s">
        <v>63</v>
      </c>
      <c r="Y763" t="s">
        <v>52</v>
      </c>
      <c r="AB763" t="s">
        <v>2943</v>
      </c>
      <c r="AE763" t="s">
        <v>2943</v>
      </c>
      <c r="AF763" t="s">
        <v>52</v>
      </c>
      <c r="AH763">
        <v>0</v>
      </c>
      <c r="AI763">
        <v>0</v>
      </c>
      <c r="AJ763" t="s">
        <v>52</v>
      </c>
      <c r="AK763">
        <v>0</v>
      </c>
      <c r="AL763" t="s">
        <v>52</v>
      </c>
      <c r="AM763" t="s">
        <v>52</v>
      </c>
      <c r="AN763">
        <v>0</v>
      </c>
      <c r="AO763">
        <v>0</v>
      </c>
      <c r="AP763" t="s">
        <v>52</v>
      </c>
      <c r="AQ763" t="s">
        <v>52</v>
      </c>
      <c r="AR763" t="s">
        <v>62</v>
      </c>
      <c r="AS763" t="s">
        <v>52</v>
      </c>
      <c r="AT763" t="s">
        <v>52</v>
      </c>
      <c r="AU763" t="s">
        <v>64</v>
      </c>
      <c r="AV763" t="s">
        <v>62</v>
      </c>
      <c r="AW763" t="s">
        <v>65</v>
      </c>
      <c r="AX763" t="s">
        <v>66</v>
      </c>
      <c r="AY763" t="s">
        <v>67</v>
      </c>
    </row>
    <row r="764" spans="1:51" hidden="1" x14ac:dyDescent="0.25">
      <c r="A764">
        <v>406009</v>
      </c>
      <c r="B764" t="s">
        <v>2944</v>
      </c>
      <c r="C764" t="e">
        <f>VLOOKUP(A764,[1]Customer_payment_journal_line!$AL:$BO,30,0)</f>
        <v>#N/A</v>
      </c>
      <c r="D764" t="s">
        <v>53</v>
      </c>
      <c r="E764" t="s">
        <v>2940</v>
      </c>
      <c r="F764" t="s">
        <v>2941</v>
      </c>
      <c r="G764" t="s">
        <v>2552</v>
      </c>
      <c r="H764" t="s">
        <v>69</v>
      </c>
      <c r="I764" t="s">
        <v>2902</v>
      </c>
      <c r="J764" t="s">
        <v>2903</v>
      </c>
      <c r="K764" t="s">
        <v>2942</v>
      </c>
      <c r="L764" t="s">
        <v>52</v>
      </c>
      <c r="M764">
        <v>0</v>
      </c>
      <c r="N764">
        <v>100</v>
      </c>
      <c r="O764" t="s">
        <v>178</v>
      </c>
      <c r="P764">
        <v>5085</v>
      </c>
      <c r="Q764" t="s">
        <v>52</v>
      </c>
      <c r="R764" t="s">
        <v>52</v>
      </c>
      <c r="S764" t="s">
        <v>52</v>
      </c>
      <c r="T764" t="s">
        <v>52</v>
      </c>
      <c r="U764" t="s">
        <v>52</v>
      </c>
      <c r="V764" t="s">
        <v>62</v>
      </c>
      <c r="W764" t="s">
        <v>52</v>
      </c>
      <c r="Y764" t="s">
        <v>2904</v>
      </c>
      <c r="Z764" t="s">
        <v>62</v>
      </c>
      <c r="AB764" t="s">
        <v>2943</v>
      </c>
      <c r="AE764" t="s">
        <v>2943</v>
      </c>
      <c r="AF764" t="s">
        <v>52</v>
      </c>
      <c r="AH764">
        <v>0</v>
      </c>
      <c r="AI764">
        <v>0</v>
      </c>
      <c r="AJ764" t="s">
        <v>52</v>
      </c>
      <c r="AK764">
        <v>0</v>
      </c>
      <c r="AL764" t="s">
        <v>52</v>
      </c>
      <c r="AM764" t="s">
        <v>52</v>
      </c>
      <c r="AN764">
        <v>0</v>
      </c>
      <c r="AO764">
        <v>0</v>
      </c>
      <c r="AP764" t="s">
        <v>52</v>
      </c>
      <c r="AQ764" t="s">
        <v>52</v>
      </c>
      <c r="AR764" t="s">
        <v>62</v>
      </c>
      <c r="AS764" t="s">
        <v>52</v>
      </c>
      <c r="AT764" t="s">
        <v>74</v>
      </c>
      <c r="AU764" t="s">
        <v>64</v>
      </c>
      <c r="AV764" t="s">
        <v>62</v>
      </c>
      <c r="AW764" t="s">
        <v>65</v>
      </c>
      <c r="AX764" t="s">
        <v>66</v>
      </c>
      <c r="AY764" t="s">
        <v>67</v>
      </c>
    </row>
    <row r="765" spans="1:51" hidden="1" x14ac:dyDescent="0.25">
      <c r="A765">
        <v>406009</v>
      </c>
      <c r="B765" t="s">
        <v>2945</v>
      </c>
      <c r="C765" t="e">
        <f>VLOOKUP(A765,[1]Customer_payment_journal_line!$AL:$BO,30,0)</f>
        <v>#N/A</v>
      </c>
      <c r="D765" t="s">
        <v>53</v>
      </c>
      <c r="E765" t="s">
        <v>2940</v>
      </c>
      <c r="F765" t="s">
        <v>2941</v>
      </c>
      <c r="G765" t="s">
        <v>2552</v>
      </c>
      <c r="H765" t="s">
        <v>210</v>
      </c>
      <c r="I765" t="s">
        <v>2906</v>
      </c>
      <c r="J765" t="s">
        <v>52</v>
      </c>
      <c r="K765" t="s">
        <v>2942</v>
      </c>
      <c r="L765" t="s">
        <v>52</v>
      </c>
      <c r="M765">
        <v>0</v>
      </c>
      <c r="N765">
        <v>215</v>
      </c>
      <c r="O765" t="s">
        <v>61</v>
      </c>
      <c r="P765">
        <v>100</v>
      </c>
      <c r="Q765" t="s">
        <v>52</v>
      </c>
      <c r="R765" t="s">
        <v>52</v>
      </c>
      <c r="S765" t="s">
        <v>52</v>
      </c>
      <c r="T765" t="s">
        <v>52</v>
      </c>
      <c r="U765" t="s">
        <v>52</v>
      </c>
      <c r="V765" t="s">
        <v>62</v>
      </c>
      <c r="W765" t="s">
        <v>63</v>
      </c>
      <c r="Y765" t="s">
        <v>2904</v>
      </c>
      <c r="AB765" t="s">
        <v>2943</v>
      </c>
      <c r="AE765" t="s">
        <v>2943</v>
      </c>
      <c r="AF765" t="s">
        <v>52</v>
      </c>
      <c r="AH765">
        <v>0</v>
      </c>
      <c r="AI765">
        <v>0</v>
      </c>
      <c r="AJ765" t="s">
        <v>52</v>
      </c>
      <c r="AK765">
        <v>0</v>
      </c>
      <c r="AL765" t="s">
        <v>52</v>
      </c>
      <c r="AM765" t="s">
        <v>52</v>
      </c>
      <c r="AN765">
        <v>0</v>
      </c>
      <c r="AO765">
        <v>0</v>
      </c>
      <c r="AP765" t="s">
        <v>52</v>
      </c>
      <c r="AQ765" t="s">
        <v>52</v>
      </c>
      <c r="AR765" t="s">
        <v>62</v>
      </c>
      <c r="AS765" t="s">
        <v>52</v>
      </c>
      <c r="AT765" t="s">
        <v>52</v>
      </c>
      <c r="AU765" t="s">
        <v>64</v>
      </c>
      <c r="AV765" t="s">
        <v>62</v>
      </c>
      <c r="AW765" t="s">
        <v>65</v>
      </c>
      <c r="AX765" t="s">
        <v>66</v>
      </c>
      <c r="AY765" t="s">
        <v>67</v>
      </c>
    </row>
    <row r="766" spans="1:51" hidden="1" x14ac:dyDescent="0.25">
      <c r="A766">
        <v>406010</v>
      </c>
      <c r="B766" t="s">
        <v>2946</v>
      </c>
      <c r="C766" t="e">
        <f>VLOOKUP(A766,[1]Customer_payment_journal_line!$AL:$BO,30,0)</f>
        <v>#N/A</v>
      </c>
      <c r="D766" t="s">
        <v>53</v>
      </c>
      <c r="E766" t="s">
        <v>2947</v>
      </c>
      <c r="F766" t="s">
        <v>2948</v>
      </c>
      <c r="G766" t="s">
        <v>2552</v>
      </c>
      <c r="H766" t="s">
        <v>57</v>
      </c>
      <c r="I766" t="s">
        <v>58</v>
      </c>
      <c r="J766" t="s">
        <v>2910</v>
      </c>
      <c r="K766" t="s">
        <v>2942</v>
      </c>
      <c r="L766" t="s">
        <v>52</v>
      </c>
      <c r="M766">
        <v>855</v>
      </c>
      <c r="N766">
        <v>0</v>
      </c>
      <c r="O766" t="s">
        <v>61</v>
      </c>
      <c r="P766">
        <v>100</v>
      </c>
      <c r="Q766" t="s">
        <v>52</v>
      </c>
      <c r="R766" t="s">
        <v>52</v>
      </c>
      <c r="S766" t="s">
        <v>52</v>
      </c>
      <c r="T766" t="s">
        <v>52</v>
      </c>
      <c r="U766" t="s">
        <v>52</v>
      </c>
      <c r="V766" t="s">
        <v>62</v>
      </c>
      <c r="W766" t="s">
        <v>63</v>
      </c>
      <c r="Y766" t="s">
        <v>52</v>
      </c>
      <c r="AB766" t="s">
        <v>52</v>
      </c>
      <c r="AE766" t="s">
        <v>52</v>
      </c>
      <c r="AF766" t="s">
        <v>52</v>
      </c>
      <c r="AH766">
        <v>0</v>
      </c>
      <c r="AI766">
        <v>0</v>
      </c>
      <c r="AJ766" t="s">
        <v>52</v>
      </c>
      <c r="AK766">
        <v>0</v>
      </c>
      <c r="AL766" t="s">
        <v>52</v>
      </c>
      <c r="AM766" t="s">
        <v>52</v>
      </c>
      <c r="AN766">
        <v>0</v>
      </c>
      <c r="AO766">
        <v>0</v>
      </c>
      <c r="AP766" t="s">
        <v>52</v>
      </c>
      <c r="AQ766" t="s">
        <v>52</v>
      </c>
      <c r="AR766" t="s">
        <v>62</v>
      </c>
      <c r="AS766" t="s">
        <v>52</v>
      </c>
      <c r="AT766" t="s">
        <v>52</v>
      </c>
      <c r="AU766" t="s">
        <v>64</v>
      </c>
      <c r="AV766" t="s">
        <v>62</v>
      </c>
      <c r="AW766" t="s">
        <v>65</v>
      </c>
      <c r="AX766" t="s">
        <v>66</v>
      </c>
      <c r="AY766" t="s">
        <v>67</v>
      </c>
    </row>
    <row r="767" spans="1:51" hidden="1" x14ac:dyDescent="0.25">
      <c r="A767">
        <v>406010</v>
      </c>
      <c r="B767" t="s">
        <v>2949</v>
      </c>
      <c r="C767" t="e">
        <f>VLOOKUP(A767,[1]Customer_payment_journal_line!$AL:$BO,30,0)</f>
        <v>#N/A</v>
      </c>
      <c r="D767" t="s">
        <v>53</v>
      </c>
      <c r="E767" t="s">
        <v>2947</v>
      </c>
      <c r="F767" t="s">
        <v>2948</v>
      </c>
      <c r="G767" t="s">
        <v>2552</v>
      </c>
      <c r="H767" t="s">
        <v>69</v>
      </c>
      <c r="I767" t="s">
        <v>2902</v>
      </c>
      <c r="J767" t="s">
        <v>2910</v>
      </c>
      <c r="K767" t="s">
        <v>2942</v>
      </c>
      <c r="L767" t="s">
        <v>52</v>
      </c>
      <c r="M767">
        <v>0</v>
      </c>
      <c r="N767">
        <v>855</v>
      </c>
      <c r="O767" t="s">
        <v>61</v>
      </c>
      <c r="P767">
        <v>100</v>
      </c>
      <c r="Q767" t="s">
        <v>52</v>
      </c>
      <c r="R767" t="s">
        <v>52</v>
      </c>
      <c r="S767" t="s">
        <v>52</v>
      </c>
      <c r="T767" t="s">
        <v>52</v>
      </c>
      <c r="U767" t="s">
        <v>52</v>
      </c>
      <c r="V767" t="s">
        <v>62</v>
      </c>
      <c r="W767" t="s">
        <v>52</v>
      </c>
      <c r="Y767" t="s">
        <v>2904</v>
      </c>
      <c r="Z767" t="s">
        <v>62</v>
      </c>
      <c r="AB767" t="s">
        <v>2950</v>
      </c>
      <c r="AE767" t="s">
        <v>2951</v>
      </c>
      <c r="AF767" t="s">
        <v>52</v>
      </c>
      <c r="AH767">
        <v>0</v>
      </c>
      <c r="AI767">
        <v>0</v>
      </c>
      <c r="AJ767" t="s">
        <v>52</v>
      </c>
      <c r="AK767">
        <v>0</v>
      </c>
      <c r="AL767" t="s">
        <v>52</v>
      </c>
      <c r="AM767" t="s">
        <v>52</v>
      </c>
      <c r="AN767">
        <v>0</v>
      </c>
      <c r="AO767">
        <v>0</v>
      </c>
      <c r="AP767" t="s">
        <v>52</v>
      </c>
      <c r="AQ767" t="s">
        <v>52</v>
      </c>
      <c r="AR767" t="s">
        <v>62</v>
      </c>
      <c r="AS767" t="s">
        <v>52</v>
      </c>
      <c r="AT767" t="s">
        <v>74</v>
      </c>
      <c r="AU767" t="s">
        <v>64</v>
      </c>
      <c r="AV767" t="s">
        <v>62</v>
      </c>
      <c r="AW767" t="s">
        <v>65</v>
      </c>
      <c r="AX767" t="s">
        <v>66</v>
      </c>
      <c r="AY767" t="s">
        <v>67</v>
      </c>
    </row>
    <row r="768" spans="1:51" hidden="1" x14ac:dyDescent="0.25">
      <c r="A768">
        <v>406011</v>
      </c>
      <c r="B768" t="s">
        <v>2952</v>
      </c>
      <c r="C768" t="e">
        <f>VLOOKUP(A768,[1]Customer_payment_journal_line!$AL:$BO,30,0)</f>
        <v>#N/A</v>
      </c>
      <c r="D768" t="s">
        <v>53</v>
      </c>
      <c r="E768" t="s">
        <v>2953</v>
      </c>
      <c r="F768" t="s">
        <v>2954</v>
      </c>
      <c r="G768" t="s">
        <v>2552</v>
      </c>
      <c r="H768" t="s">
        <v>57</v>
      </c>
      <c r="I768" t="s">
        <v>58</v>
      </c>
      <c r="J768" t="s">
        <v>2910</v>
      </c>
      <c r="K768" t="s">
        <v>2942</v>
      </c>
      <c r="L768" t="s">
        <v>52</v>
      </c>
      <c r="M768">
        <v>1140</v>
      </c>
      <c r="N768">
        <v>0</v>
      </c>
      <c r="O768" t="s">
        <v>61</v>
      </c>
      <c r="P768">
        <v>100</v>
      </c>
      <c r="Q768" t="s">
        <v>52</v>
      </c>
      <c r="R768" t="s">
        <v>52</v>
      </c>
      <c r="S768" t="s">
        <v>52</v>
      </c>
      <c r="T768" t="s">
        <v>52</v>
      </c>
      <c r="U768" t="s">
        <v>52</v>
      </c>
      <c r="V768" t="s">
        <v>62</v>
      </c>
      <c r="W768" t="s">
        <v>63</v>
      </c>
      <c r="Y768" t="s">
        <v>52</v>
      </c>
      <c r="AB768" t="s">
        <v>52</v>
      </c>
      <c r="AE768" t="s">
        <v>52</v>
      </c>
      <c r="AF768" t="s">
        <v>52</v>
      </c>
      <c r="AH768">
        <v>0</v>
      </c>
      <c r="AI768">
        <v>0</v>
      </c>
      <c r="AJ768" t="s">
        <v>52</v>
      </c>
      <c r="AK768">
        <v>0</v>
      </c>
      <c r="AL768" t="s">
        <v>52</v>
      </c>
      <c r="AM768" t="s">
        <v>52</v>
      </c>
      <c r="AN768">
        <v>0</v>
      </c>
      <c r="AO768">
        <v>0</v>
      </c>
      <c r="AP768" t="s">
        <v>52</v>
      </c>
      <c r="AQ768" t="s">
        <v>52</v>
      </c>
      <c r="AR768" t="s">
        <v>62</v>
      </c>
      <c r="AS768" t="s">
        <v>52</v>
      </c>
      <c r="AT768" t="s">
        <v>52</v>
      </c>
      <c r="AU768" t="s">
        <v>64</v>
      </c>
      <c r="AV768" t="s">
        <v>62</v>
      </c>
      <c r="AW768" t="s">
        <v>65</v>
      </c>
      <c r="AX768" t="s">
        <v>66</v>
      </c>
      <c r="AY768" t="s">
        <v>67</v>
      </c>
    </row>
    <row r="769" spans="1:51" hidden="1" x14ac:dyDescent="0.25">
      <c r="A769">
        <v>406011</v>
      </c>
      <c r="B769" t="s">
        <v>2955</v>
      </c>
      <c r="C769" t="e">
        <f>VLOOKUP(A769,[1]Customer_payment_journal_line!$AL:$BO,30,0)</f>
        <v>#N/A</v>
      </c>
      <c r="D769" t="s">
        <v>53</v>
      </c>
      <c r="E769" t="s">
        <v>2953</v>
      </c>
      <c r="F769" t="s">
        <v>2954</v>
      </c>
      <c r="G769" t="s">
        <v>2552</v>
      </c>
      <c r="H769" t="s">
        <v>69</v>
      </c>
      <c r="I769" t="s">
        <v>2902</v>
      </c>
      <c r="J769" t="s">
        <v>2910</v>
      </c>
      <c r="K769" t="s">
        <v>2942</v>
      </c>
      <c r="L769" t="s">
        <v>52</v>
      </c>
      <c r="M769">
        <v>0</v>
      </c>
      <c r="N769">
        <v>1140</v>
      </c>
      <c r="O769" t="s">
        <v>61</v>
      </c>
      <c r="P769">
        <v>100</v>
      </c>
      <c r="Q769" t="s">
        <v>52</v>
      </c>
      <c r="R769" t="s">
        <v>52</v>
      </c>
      <c r="S769" t="s">
        <v>52</v>
      </c>
      <c r="T769" t="s">
        <v>52</v>
      </c>
      <c r="U769" t="s">
        <v>52</v>
      </c>
      <c r="V769" t="s">
        <v>62</v>
      </c>
      <c r="W769" t="s">
        <v>52</v>
      </c>
      <c r="Y769" t="s">
        <v>2904</v>
      </c>
      <c r="Z769" t="s">
        <v>62</v>
      </c>
      <c r="AB769" t="s">
        <v>2956</v>
      </c>
      <c r="AE769" t="s">
        <v>2957</v>
      </c>
      <c r="AF769" t="s">
        <v>52</v>
      </c>
      <c r="AH769">
        <v>0</v>
      </c>
      <c r="AI769">
        <v>0</v>
      </c>
      <c r="AJ769" t="s">
        <v>52</v>
      </c>
      <c r="AK769">
        <v>0</v>
      </c>
      <c r="AL769" t="s">
        <v>52</v>
      </c>
      <c r="AM769" t="s">
        <v>52</v>
      </c>
      <c r="AN769">
        <v>0</v>
      </c>
      <c r="AO769">
        <v>0</v>
      </c>
      <c r="AP769" t="s">
        <v>52</v>
      </c>
      <c r="AQ769" t="s">
        <v>52</v>
      </c>
      <c r="AR769" t="s">
        <v>62</v>
      </c>
      <c r="AS769" t="s">
        <v>52</v>
      </c>
      <c r="AT769" t="s">
        <v>74</v>
      </c>
      <c r="AU769" t="s">
        <v>64</v>
      </c>
      <c r="AV769" t="s">
        <v>62</v>
      </c>
      <c r="AW769" t="s">
        <v>65</v>
      </c>
      <c r="AX769" t="s">
        <v>66</v>
      </c>
      <c r="AY769" t="s">
        <v>67</v>
      </c>
    </row>
    <row r="770" spans="1:51" hidden="1" x14ac:dyDescent="0.25">
      <c r="A770">
        <v>406012</v>
      </c>
      <c r="B770" t="s">
        <v>2958</v>
      </c>
      <c r="C770" t="e">
        <f>VLOOKUP(A770,[1]Customer_payment_journal_line!$AL:$BO,30,0)</f>
        <v>#N/A</v>
      </c>
      <c r="D770" t="s">
        <v>53</v>
      </c>
      <c r="E770" t="s">
        <v>2959</v>
      </c>
      <c r="F770" t="s">
        <v>2960</v>
      </c>
      <c r="G770" t="s">
        <v>2552</v>
      </c>
      <c r="H770" t="s">
        <v>201</v>
      </c>
      <c r="I770" t="s">
        <v>58</v>
      </c>
      <c r="J770" t="s">
        <v>202</v>
      </c>
      <c r="K770" t="s">
        <v>2961</v>
      </c>
      <c r="L770" t="s">
        <v>52</v>
      </c>
      <c r="M770">
        <v>2650</v>
      </c>
      <c r="N770">
        <v>0</v>
      </c>
      <c r="O770" t="s">
        <v>61</v>
      </c>
      <c r="P770">
        <v>100</v>
      </c>
      <c r="Q770" t="s">
        <v>52</v>
      </c>
      <c r="R770" t="s">
        <v>52</v>
      </c>
      <c r="S770" t="s">
        <v>52</v>
      </c>
      <c r="T770" t="s">
        <v>52</v>
      </c>
      <c r="U770" t="s">
        <v>52</v>
      </c>
      <c r="V770" t="s">
        <v>62</v>
      </c>
      <c r="W770" t="s">
        <v>63</v>
      </c>
      <c r="Y770" t="s">
        <v>52</v>
      </c>
      <c r="AB770" t="s">
        <v>2962</v>
      </c>
      <c r="AE770" t="s">
        <v>2962</v>
      </c>
      <c r="AF770" t="s">
        <v>52</v>
      </c>
      <c r="AH770">
        <v>0</v>
      </c>
      <c r="AI770">
        <v>0</v>
      </c>
      <c r="AJ770" t="s">
        <v>52</v>
      </c>
      <c r="AK770">
        <v>0</v>
      </c>
      <c r="AL770" t="s">
        <v>52</v>
      </c>
      <c r="AM770" t="s">
        <v>52</v>
      </c>
      <c r="AN770">
        <v>0</v>
      </c>
      <c r="AO770">
        <v>0</v>
      </c>
      <c r="AP770" t="s">
        <v>52</v>
      </c>
      <c r="AQ770" t="s">
        <v>52</v>
      </c>
      <c r="AR770" t="s">
        <v>62</v>
      </c>
      <c r="AS770" t="s">
        <v>52</v>
      </c>
      <c r="AT770" t="s">
        <v>52</v>
      </c>
      <c r="AU770" t="s">
        <v>64</v>
      </c>
      <c r="AV770" t="s">
        <v>62</v>
      </c>
      <c r="AW770" t="s">
        <v>65</v>
      </c>
      <c r="AX770" t="s">
        <v>66</v>
      </c>
      <c r="AY770" t="s">
        <v>67</v>
      </c>
    </row>
    <row r="771" spans="1:51" hidden="1" x14ac:dyDescent="0.25">
      <c r="A771">
        <v>406012</v>
      </c>
      <c r="B771" t="s">
        <v>2963</v>
      </c>
      <c r="C771" t="e">
        <f>VLOOKUP(A771,[1]Customer_payment_journal_line!$AL:$BO,30,0)</f>
        <v>#N/A</v>
      </c>
      <c r="D771" t="s">
        <v>53</v>
      </c>
      <c r="E771" t="s">
        <v>2959</v>
      </c>
      <c r="F771" t="s">
        <v>2960</v>
      </c>
      <c r="G771" t="s">
        <v>2552</v>
      </c>
      <c r="H771" t="s">
        <v>69</v>
      </c>
      <c r="I771" t="s">
        <v>2964</v>
      </c>
      <c r="J771" t="s">
        <v>2965</v>
      </c>
      <c r="K771" t="s">
        <v>2961</v>
      </c>
      <c r="L771" t="s">
        <v>52</v>
      </c>
      <c r="M771">
        <v>0</v>
      </c>
      <c r="N771">
        <v>50</v>
      </c>
      <c r="O771" t="s">
        <v>178</v>
      </c>
      <c r="P771">
        <v>5085</v>
      </c>
      <c r="Q771" t="s">
        <v>52</v>
      </c>
      <c r="R771" t="s">
        <v>52</v>
      </c>
      <c r="S771" t="s">
        <v>52</v>
      </c>
      <c r="T771" t="s">
        <v>52</v>
      </c>
      <c r="U771" t="s">
        <v>52</v>
      </c>
      <c r="V771" t="s">
        <v>62</v>
      </c>
      <c r="W771" t="s">
        <v>52</v>
      </c>
      <c r="Y771" t="s">
        <v>2966</v>
      </c>
      <c r="Z771" t="s">
        <v>62</v>
      </c>
      <c r="AB771" t="s">
        <v>2962</v>
      </c>
      <c r="AE771" t="s">
        <v>2962</v>
      </c>
      <c r="AF771" t="s">
        <v>52</v>
      </c>
      <c r="AH771">
        <v>0</v>
      </c>
      <c r="AI771">
        <v>0</v>
      </c>
      <c r="AJ771" t="s">
        <v>52</v>
      </c>
      <c r="AK771">
        <v>0</v>
      </c>
      <c r="AL771" t="s">
        <v>52</v>
      </c>
      <c r="AM771" t="s">
        <v>52</v>
      </c>
      <c r="AN771">
        <v>0</v>
      </c>
      <c r="AO771">
        <v>0</v>
      </c>
      <c r="AP771" t="s">
        <v>52</v>
      </c>
      <c r="AQ771" t="s">
        <v>52</v>
      </c>
      <c r="AR771" t="s">
        <v>62</v>
      </c>
      <c r="AS771" t="s">
        <v>52</v>
      </c>
      <c r="AT771" t="s">
        <v>74</v>
      </c>
      <c r="AU771" t="s">
        <v>64</v>
      </c>
      <c r="AV771" t="s">
        <v>62</v>
      </c>
      <c r="AW771" t="s">
        <v>65</v>
      </c>
      <c r="AX771" t="s">
        <v>66</v>
      </c>
      <c r="AY771" t="s">
        <v>67</v>
      </c>
    </row>
    <row r="772" spans="1:51" hidden="1" x14ac:dyDescent="0.25">
      <c r="A772">
        <v>406012</v>
      </c>
      <c r="B772" t="s">
        <v>2967</v>
      </c>
      <c r="C772" t="e">
        <f>VLOOKUP(A772,[1]Customer_payment_journal_line!$AL:$BO,30,0)</f>
        <v>#N/A</v>
      </c>
      <c r="D772" t="s">
        <v>53</v>
      </c>
      <c r="E772" t="s">
        <v>2959</v>
      </c>
      <c r="F772" t="s">
        <v>2960</v>
      </c>
      <c r="G772" t="s">
        <v>2552</v>
      </c>
      <c r="H772" t="s">
        <v>210</v>
      </c>
      <c r="I772" t="s">
        <v>2968</v>
      </c>
      <c r="J772" t="s">
        <v>52</v>
      </c>
      <c r="K772" t="s">
        <v>2961</v>
      </c>
      <c r="L772" t="s">
        <v>52</v>
      </c>
      <c r="M772">
        <v>0</v>
      </c>
      <c r="N772">
        <v>107.5</v>
      </c>
      <c r="O772" t="s">
        <v>61</v>
      </c>
      <c r="P772">
        <v>100</v>
      </c>
      <c r="Q772" t="s">
        <v>52</v>
      </c>
      <c r="R772" t="s">
        <v>52</v>
      </c>
      <c r="S772" t="s">
        <v>52</v>
      </c>
      <c r="T772" t="s">
        <v>52</v>
      </c>
      <c r="U772" t="s">
        <v>52</v>
      </c>
      <c r="V772" t="s">
        <v>62</v>
      </c>
      <c r="W772" t="s">
        <v>63</v>
      </c>
      <c r="Y772" t="s">
        <v>2966</v>
      </c>
      <c r="AB772" t="s">
        <v>2962</v>
      </c>
      <c r="AE772" t="s">
        <v>2962</v>
      </c>
      <c r="AF772" t="s">
        <v>52</v>
      </c>
      <c r="AH772">
        <v>0</v>
      </c>
      <c r="AI772">
        <v>0</v>
      </c>
      <c r="AJ772" t="s">
        <v>52</v>
      </c>
      <c r="AK772">
        <v>0</v>
      </c>
      <c r="AL772" t="s">
        <v>52</v>
      </c>
      <c r="AM772" t="s">
        <v>52</v>
      </c>
      <c r="AN772">
        <v>0</v>
      </c>
      <c r="AO772">
        <v>0</v>
      </c>
      <c r="AP772" t="s">
        <v>52</v>
      </c>
      <c r="AQ772" t="s">
        <v>52</v>
      </c>
      <c r="AR772" t="s">
        <v>62</v>
      </c>
      <c r="AS772" t="s">
        <v>52</v>
      </c>
      <c r="AT772" t="s">
        <v>52</v>
      </c>
      <c r="AU772" t="s">
        <v>64</v>
      </c>
      <c r="AV772" t="s">
        <v>62</v>
      </c>
      <c r="AW772" t="s">
        <v>65</v>
      </c>
      <c r="AX772" t="s">
        <v>66</v>
      </c>
      <c r="AY772" t="s">
        <v>67</v>
      </c>
    </row>
    <row r="773" spans="1:51" hidden="1" x14ac:dyDescent="0.25">
      <c r="A773">
        <v>406013</v>
      </c>
      <c r="B773" t="s">
        <v>2969</v>
      </c>
      <c r="C773" t="e">
        <f>VLOOKUP(A773,[1]Customer_payment_journal_line!$AL:$BO,30,0)</f>
        <v>#N/A</v>
      </c>
      <c r="D773" t="s">
        <v>53</v>
      </c>
      <c r="E773" t="s">
        <v>2970</v>
      </c>
      <c r="F773" t="s">
        <v>2971</v>
      </c>
      <c r="G773" t="s">
        <v>2552</v>
      </c>
      <c r="H773" t="s">
        <v>57</v>
      </c>
      <c r="I773" t="s">
        <v>58</v>
      </c>
      <c r="J773" t="s">
        <v>2972</v>
      </c>
      <c r="K773" t="s">
        <v>2961</v>
      </c>
      <c r="L773" t="s">
        <v>52</v>
      </c>
      <c r="M773">
        <v>1140</v>
      </c>
      <c r="N773">
        <v>0</v>
      </c>
      <c r="O773" t="s">
        <v>61</v>
      </c>
      <c r="P773">
        <v>100</v>
      </c>
      <c r="Q773" t="s">
        <v>52</v>
      </c>
      <c r="R773" t="s">
        <v>52</v>
      </c>
      <c r="S773" t="s">
        <v>52</v>
      </c>
      <c r="T773" t="s">
        <v>52</v>
      </c>
      <c r="U773" t="s">
        <v>52</v>
      </c>
      <c r="V773" t="s">
        <v>62</v>
      </c>
      <c r="W773" t="s">
        <v>63</v>
      </c>
      <c r="Y773" t="s">
        <v>52</v>
      </c>
      <c r="AB773" t="s">
        <v>52</v>
      </c>
      <c r="AE773" t="s">
        <v>52</v>
      </c>
      <c r="AF773" t="s">
        <v>52</v>
      </c>
      <c r="AH773">
        <v>0</v>
      </c>
      <c r="AI773">
        <v>0</v>
      </c>
      <c r="AJ773" t="s">
        <v>52</v>
      </c>
      <c r="AK773">
        <v>0</v>
      </c>
      <c r="AL773" t="s">
        <v>52</v>
      </c>
      <c r="AM773" t="s">
        <v>52</v>
      </c>
      <c r="AN773">
        <v>0</v>
      </c>
      <c r="AO773">
        <v>0</v>
      </c>
      <c r="AP773" t="s">
        <v>52</v>
      </c>
      <c r="AQ773" t="s">
        <v>52</v>
      </c>
      <c r="AR773" t="s">
        <v>62</v>
      </c>
      <c r="AS773" t="s">
        <v>52</v>
      </c>
      <c r="AT773" t="s">
        <v>52</v>
      </c>
      <c r="AU773" t="s">
        <v>64</v>
      </c>
      <c r="AV773" t="s">
        <v>62</v>
      </c>
      <c r="AW773" t="s">
        <v>65</v>
      </c>
      <c r="AX773" t="s">
        <v>66</v>
      </c>
      <c r="AY773" t="s">
        <v>67</v>
      </c>
    </row>
    <row r="774" spans="1:51" hidden="1" x14ac:dyDescent="0.25">
      <c r="A774">
        <v>406013</v>
      </c>
      <c r="B774" t="s">
        <v>2973</v>
      </c>
      <c r="C774" t="e">
        <f>VLOOKUP(A774,[1]Customer_payment_journal_line!$AL:$BO,30,0)</f>
        <v>#N/A</v>
      </c>
      <c r="D774" t="s">
        <v>53</v>
      </c>
      <c r="E774" t="s">
        <v>2970</v>
      </c>
      <c r="F774" t="s">
        <v>2971</v>
      </c>
      <c r="G774" t="s">
        <v>2552</v>
      </c>
      <c r="H774" t="s">
        <v>69</v>
      </c>
      <c r="I774" t="s">
        <v>2964</v>
      </c>
      <c r="J774" t="s">
        <v>2972</v>
      </c>
      <c r="K774" t="s">
        <v>2961</v>
      </c>
      <c r="L774" t="s">
        <v>52</v>
      </c>
      <c r="M774">
        <v>0</v>
      </c>
      <c r="N774">
        <v>1140</v>
      </c>
      <c r="O774" t="s">
        <v>61</v>
      </c>
      <c r="P774">
        <v>100</v>
      </c>
      <c r="Q774" t="s">
        <v>52</v>
      </c>
      <c r="R774" t="s">
        <v>52</v>
      </c>
      <c r="S774" t="s">
        <v>52</v>
      </c>
      <c r="T774" t="s">
        <v>52</v>
      </c>
      <c r="U774" t="s">
        <v>52</v>
      </c>
      <c r="V774" t="s">
        <v>62</v>
      </c>
      <c r="W774" t="s">
        <v>52</v>
      </c>
      <c r="Y774" t="s">
        <v>2966</v>
      </c>
      <c r="Z774" t="s">
        <v>62</v>
      </c>
      <c r="AB774" t="s">
        <v>2974</v>
      </c>
      <c r="AE774" t="s">
        <v>2975</v>
      </c>
      <c r="AF774" t="s">
        <v>52</v>
      </c>
      <c r="AH774">
        <v>0</v>
      </c>
      <c r="AI774">
        <v>0</v>
      </c>
      <c r="AJ774" t="s">
        <v>52</v>
      </c>
      <c r="AK774">
        <v>0</v>
      </c>
      <c r="AL774" t="s">
        <v>52</v>
      </c>
      <c r="AM774" t="s">
        <v>52</v>
      </c>
      <c r="AN774">
        <v>0</v>
      </c>
      <c r="AO774">
        <v>0</v>
      </c>
      <c r="AP774" t="s">
        <v>52</v>
      </c>
      <c r="AQ774" t="s">
        <v>52</v>
      </c>
      <c r="AR774" t="s">
        <v>62</v>
      </c>
      <c r="AS774" t="s">
        <v>52</v>
      </c>
      <c r="AT774" t="s">
        <v>74</v>
      </c>
      <c r="AU774" t="s">
        <v>64</v>
      </c>
      <c r="AV774" t="s">
        <v>62</v>
      </c>
      <c r="AW774" t="s">
        <v>65</v>
      </c>
      <c r="AX774" t="s">
        <v>66</v>
      </c>
      <c r="AY774" t="s">
        <v>67</v>
      </c>
    </row>
    <row r="775" spans="1:51" hidden="1" x14ac:dyDescent="0.25">
      <c r="A775">
        <v>406014</v>
      </c>
      <c r="B775" t="s">
        <v>2976</v>
      </c>
      <c r="C775" t="e">
        <f>VLOOKUP(A775,[1]Customer_payment_journal_line!$AL:$BO,30,0)</f>
        <v>#N/A</v>
      </c>
      <c r="D775" t="s">
        <v>53</v>
      </c>
      <c r="E775" t="s">
        <v>2977</v>
      </c>
      <c r="F775" t="s">
        <v>2978</v>
      </c>
      <c r="G775" t="s">
        <v>2552</v>
      </c>
      <c r="H775" t="s">
        <v>57</v>
      </c>
      <c r="I775" t="s">
        <v>58</v>
      </c>
      <c r="J775" t="s">
        <v>2972</v>
      </c>
      <c r="K775" t="s">
        <v>2961</v>
      </c>
      <c r="L775" t="s">
        <v>52</v>
      </c>
      <c r="M775">
        <v>855</v>
      </c>
      <c r="N775">
        <v>0</v>
      </c>
      <c r="O775" t="s">
        <v>61</v>
      </c>
      <c r="P775">
        <v>100</v>
      </c>
      <c r="Q775" t="s">
        <v>52</v>
      </c>
      <c r="R775" t="s">
        <v>52</v>
      </c>
      <c r="S775" t="s">
        <v>52</v>
      </c>
      <c r="T775" t="s">
        <v>52</v>
      </c>
      <c r="U775" t="s">
        <v>52</v>
      </c>
      <c r="V775" t="s">
        <v>62</v>
      </c>
      <c r="W775" t="s">
        <v>63</v>
      </c>
      <c r="Y775" t="s">
        <v>52</v>
      </c>
      <c r="AB775" t="s">
        <v>52</v>
      </c>
      <c r="AE775" t="s">
        <v>52</v>
      </c>
      <c r="AF775" t="s">
        <v>52</v>
      </c>
      <c r="AH775">
        <v>0</v>
      </c>
      <c r="AI775">
        <v>0</v>
      </c>
      <c r="AJ775" t="s">
        <v>52</v>
      </c>
      <c r="AK775">
        <v>0</v>
      </c>
      <c r="AL775" t="s">
        <v>52</v>
      </c>
      <c r="AM775" t="s">
        <v>52</v>
      </c>
      <c r="AN775">
        <v>0</v>
      </c>
      <c r="AO775">
        <v>0</v>
      </c>
      <c r="AP775" t="s">
        <v>52</v>
      </c>
      <c r="AQ775" t="s">
        <v>52</v>
      </c>
      <c r="AR775" t="s">
        <v>62</v>
      </c>
      <c r="AS775" t="s">
        <v>52</v>
      </c>
      <c r="AT775" t="s">
        <v>52</v>
      </c>
      <c r="AU775" t="s">
        <v>64</v>
      </c>
      <c r="AV775" t="s">
        <v>62</v>
      </c>
      <c r="AW775" t="s">
        <v>65</v>
      </c>
      <c r="AX775" t="s">
        <v>66</v>
      </c>
      <c r="AY775" t="s">
        <v>67</v>
      </c>
    </row>
    <row r="776" spans="1:51" hidden="1" x14ac:dyDescent="0.25">
      <c r="A776">
        <v>406014</v>
      </c>
      <c r="B776" t="s">
        <v>2979</v>
      </c>
      <c r="C776" t="e">
        <f>VLOOKUP(A776,[1]Customer_payment_journal_line!$AL:$BO,30,0)</f>
        <v>#N/A</v>
      </c>
      <c r="D776" t="s">
        <v>53</v>
      </c>
      <c r="E776" t="s">
        <v>2977</v>
      </c>
      <c r="F776" t="s">
        <v>2978</v>
      </c>
      <c r="G776" t="s">
        <v>2552</v>
      </c>
      <c r="H776" t="s">
        <v>69</v>
      </c>
      <c r="I776" t="s">
        <v>2964</v>
      </c>
      <c r="J776" t="s">
        <v>2972</v>
      </c>
      <c r="K776" t="s">
        <v>2961</v>
      </c>
      <c r="L776" t="s">
        <v>52</v>
      </c>
      <c r="M776">
        <v>0</v>
      </c>
      <c r="N776">
        <v>855</v>
      </c>
      <c r="O776" t="s">
        <v>61</v>
      </c>
      <c r="P776">
        <v>100</v>
      </c>
      <c r="Q776" t="s">
        <v>52</v>
      </c>
      <c r="R776" t="s">
        <v>52</v>
      </c>
      <c r="S776" t="s">
        <v>52</v>
      </c>
      <c r="T776" t="s">
        <v>52</v>
      </c>
      <c r="U776" t="s">
        <v>52</v>
      </c>
      <c r="V776" t="s">
        <v>62</v>
      </c>
      <c r="W776" t="s">
        <v>52</v>
      </c>
      <c r="Y776" t="s">
        <v>2966</v>
      </c>
      <c r="Z776" t="s">
        <v>62</v>
      </c>
      <c r="AB776" t="s">
        <v>2980</v>
      </c>
      <c r="AE776" t="s">
        <v>2981</v>
      </c>
      <c r="AF776" t="s">
        <v>52</v>
      </c>
      <c r="AH776">
        <v>0</v>
      </c>
      <c r="AI776">
        <v>0</v>
      </c>
      <c r="AJ776" t="s">
        <v>52</v>
      </c>
      <c r="AK776">
        <v>0</v>
      </c>
      <c r="AL776" t="s">
        <v>52</v>
      </c>
      <c r="AM776" t="s">
        <v>52</v>
      </c>
      <c r="AN776">
        <v>0</v>
      </c>
      <c r="AO776">
        <v>0</v>
      </c>
      <c r="AP776" t="s">
        <v>52</v>
      </c>
      <c r="AQ776" t="s">
        <v>52</v>
      </c>
      <c r="AR776" t="s">
        <v>62</v>
      </c>
      <c r="AS776" t="s">
        <v>52</v>
      </c>
      <c r="AT776" t="s">
        <v>74</v>
      </c>
      <c r="AU776" t="s">
        <v>64</v>
      </c>
      <c r="AV776" t="s">
        <v>62</v>
      </c>
      <c r="AW776" t="s">
        <v>65</v>
      </c>
      <c r="AX776" t="s">
        <v>66</v>
      </c>
      <c r="AY776" t="s">
        <v>67</v>
      </c>
    </row>
    <row r="777" spans="1:51" hidden="1" x14ac:dyDescent="0.25">
      <c r="A777">
        <v>202912</v>
      </c>
      <c r="B777" t="s">
        <v>2982</v>
      </c>
      <c r="C777" t="e">
        <f>VLOOKUP(A777,[1]Customer_payment_journal_line!$AL:$BO,30,0)</f>
        <v>#N/A</v>
      </c>
      <c r="D777" t="s">
        <v>53</v>
      </c>
      <c r="E777" t="s">
        <v>2983</v>
      </c>
      <c r="F777" t="s">
        <v>2984</v>
      </c>
      <c r="G777" t="s">
        <v>2552</v>
      </c>
      <c r="H777" t="s">
        <v>57</v>
      </c>
      <c r="I777" t="s">
        <v>58</v>
      </c>
      <c r="J777" t="s">
        <v>2985</v>
      </c>
      <c r="K777" t="s">
        <v>2986</v>
      </c>
      <c r="L777" t="s">
        <v>52</v>
      </c>
      <c r="M777">
        <v>1482</v>
      </c>
      <c r="N777">
        <v>0</v>
      </c>
      <c r="O777" t="s">
        <v>61</v>
      </c>
      <c r="P777">
        <v>100</v>
      </c>
      <c r="Q777" t="s">
        <v>52</v>
      </c>
      <c r="R777" t="s">
        <v>52</v>
      </c>
      <c r="S777" t="s">
        <v>52</v>
      </c>
      <c r="T777" t="s">
        <v>52</v>
      </c>
      <c r="U777" t="s">
        <v>52</v>
      </c>
      <c r="V777" t="s">
        <v>62</v>
      </c>
      <c r="W777" t="s">
        <v>63</v>
      </c>
      <c r="Y777" t="s">
        <v>52</v>
      </c>
      <c r="AB777" t="s">
        <v>52</v>
      </c>
      <c r="AE777" t="s">
        <v>52</v>
      </c>
      <c r="AF777" t="s">
        <v>52</v>
      </c>
      <c r="AH777">
        <v>0</v>
      </c>
      <c r="AI777">
        <v>0</v>
      </c>
      <c r="AJ777" t="s">
        <v>52</v>
      </c>
      <c r="AK777">
        <v>0</v>
      </c>
      <c r="AL777" t="s">
        <v>52</v>
      </c>
      <c r="AM777" t="s">
        <v>52</v>
      </c>
      <c r="AN777">
        <v>0</v>
      </c>
      <c r="AO777">
        <v>0</v>
      </c>
      <c r="AP777" t="s">
        <v>52</v>
      </c>
      <c r="AQ777" t="s">
        <v>52</v>
      </c>
      <c r="AR777" t="s">
        <v>62</v>
      </c>
      <c r="AS777" t="s">
        <v>52</v>
      </c>
      <c r="AT777" t="s">
        <v>52</v>
      </c>
      <c r="AU777" t="s">
        <v>64</v>
      </c>
      <c r="AV777" t="s">
        <v>62</v>
      </c>
      <c r="AW777" t="s">
        <v>65</v>
      </c>
      <c r="AX777" t="s">
        <v>66</v>
      </c>
      <c r="AY777" t="s">
        <v>67</v>
      </c>
    </row>
    <row r="778" spans="1:51" hidden="1" x14ac:dyDescent="0.25">
      <c r="A778">
        <v>202912</v>
      </c>
      <c r="B778" t="s">
        <v>2987</v>
      </c>
      <c r="C778" t="e">
        <f>VLOOKUP(A778,[1]Customer_payment_journal_line!$AL:$BO,30,0)</f>
        <v>#N/A</v>
      </c>
      <c r="D778" t="s">
        <v>53</v>
      </c>
      <c r="E778" t="s">
        <v>2983</v>
      </c>
      <c r="F778" t="s">
        <v>2984</v>
      </c>
      <c r="G778" t="s">
        <v>2552</v>
      </c>
      <c r="H778" t="s">
        <v>69</v>
      </c>
      <c r="I778" t="s">
        <v>2988</v>
      </c>
      <c r="J778" t="s">
        <v>2985</v>
      </c>
      <c r="K778" t="s">
        <v>2986</v>
      </c>
      <c r="L778" t="s">
        <v>52</v>
      </c>
      <c r="M778">
        <v>0</v>
      </c>
      <c r="N778">
        <v>1482</v>
      </c>
      <c r="O778" t="s">
        <v>61</v>
      </c>
      <c r="P778">
        <v>100</v>
      </c>
      <c r="Q778" t="s">
        <v>52</v>
      </c>
      <c r="R778" t="s">
        <v>52</v>
      </c>
      <c r="S778" t="s">
        <v>52</v>
      </c>
      <c r="T778" t="s">
        <v>52</v>
      </c>
      <c r="U778" t="s">
        <v>52</v>
      </c>
      <c r="V778" t="s">
        <v>62</v>
      </c>
      <c r="W778" t="s">
        <v>52</v>
      </c>
      <c r="Y778" t="s">
        <v>2989</v>
      </c>
      <c r="Z778" t="s">
        <v>62</v>
      </c>
      <c r="AB778" t="s">
        <v>2990</v>
      </c>
      <c r="AE778" t="s">
        <v>2991</v>
      </c>
      <c r="AF778" t="s">
        <v>52</v>
      </c>
      <c r="AH778">
        <v>0</v>
      </c>
      <c r="AI778">
        <v>0</v>
      </c>
      <c r="AJ778" t="s">
        <v>52</v>
      </c>
      <c r="AK778">
        <v>0</v>
      </c>
      <c r="AL778" t="s">
        <v>52</v>
      </c>
      <c r="AM778" t="s">
        <v>52</v>
      </c>
      <c r="AN778">
        <v>0</v>
      </c>
      <c r="AO778">
        <v>0</v>
      </c>
      <c r="AP778" t="s">
        <v>52</v>
      </c>
      <c r="AQ778" t="s">
        <v>52</v>
      </c>
      <c r="AR778" t="s">
        <v>62</v>
      </c>
      <c r="AS778" t="s">
        <v>52</v>
      </c>
      <c r="AT778" t="s">
        <v>74</v>
      </c>
      <c r="AU778" t="s">
        <v>64</v>
      </c>
      <c r="AV778" t="s">
        <v>62</v>
      </c>
      <c r="AW778" t="s">
        <v>65</v>
      </c>
      <c r="AX778" t="s">
        <v>66</v>
      </c>
      <c r="AY778" t="s">
        <v>67</v>
      </c>
    </row>
    <row r="779" spans="1:51" hidden="1" x14ac:dyDescent="0.25">
      <c r="A779">
        <v>202913</v>
      </c>
      <c r="B779" t="s">
        <v>2992</v>
      </c>
      <c r="C779" t="e">
        <f>VLOOKUP(A779,[1]Customer_payment_journal_line!$AL:$BO,30,0)</f>
        <v>#N/A</v>
      </c>
      <c r="D779" t="s">
        <v>53</v>
      </c>
      <c r="E779" t="s">
        <v>2993</v>
      </c>
      <c r="F779" t="s">
        <v>2994</v>
      </c>
      <c r="G779" t="s">
        <v>2552</v>
      </c>
      <c r="H779" t="s">
        <v>57</v>
      </c>
      <c r="I779" t="s">
        <v>58</v>
      </c>
      <c r="J779" t="s">
        <v>2985</v>
      </c>
      <c r="K779" t="s">
        <v>2986</v>
      </c>
      <c r="L779" t="s">
        <v>52</v>
      </c>
      <c r="M779">
        <v>855</v>
      </c>
      <c r="N779">
        <v>0</v>
      </c>
      <c r="O779" t="s">
        <v>61</v>
      </c>
      <c r="P779">
        <v>100</v>
      </c>
      <c r="Q779" t="s">
        <v>52</v>
      </c>
      <c r="R779" t="s">
        <v>52</v>
      </c>
      <c r="S779" t="s">
        <v>52</v>
      </c>
      <c r="T779" t="s">
        <v>52</v>
      </c>
      <c r="U779" t="s">
        <v>52</v>
      </c>
      <c r="V779" t="s">
        <v>62</v>
      </c>
      <c r="W779" t="s">
        <v>63</v>
      </c>
      <c r="Y779" t="s">
        <v>52</v>
      </c>
      <c r="AB779" t="s">
        <v>52</v>
      </c>
      <c r="AE779" t="s">
        <v>52</v>
      </c>
      <c r="AF779" t="s">
        <v>52</v>
      </c>
      <c r="AH779">
        <v>0</v>
      </c>
      <c r="AI779">
        <v>0</v>
      </c>
      <c r="AJ779" t="s">
        <v>52</v>
      </c>
      <c r="AK779">
        <v>0</v>
      </c>
      <c r="AL779" t="s">
        <v>52</v>
      </c>
      <c r="AM779" t="s">
        <v>52</v>
      </c>
      <c r="AN779">
        <v>0</v>
      </c>
      <c r="AO779">
        <v>0</v>
      </c>
      <c r="AP779" t="s">
        <v>52</v>
      </c>
      <c r="AQ779" t="s">
        <v>52</v>
      </c>
      <c r="AR779" t="s">
        <v>62</v>
      </c>
      <c r="AS779" t="s">
        <v>52</v>
      </c>
      <c r="AT779" t="s">
        <v>52</v>
      </c>
      <c r="AU779" t="s">
        <v>64</v>
      </c>
      <c r="AV779" t="s">
        <v>62</v>
      </c>
      <c r="AW779" t="s">
        <v>65</v>
      </c>
      <c r="AX779" t="s">
        <v>66</v>
      </c>
      <c r="AY779" t="s">
        <v>67</v>
      </c>
    </row>
    <row r="780" spans="1:51" hidden="1" x14ac:dyDescent="0.25">
      <c r="A780">
        <v>202913</v>
      </c>
      <c r="B780" t="s">
        <v>2995</v>
      </c>
      <c r="C780" t="e">
        <f>VLOOKUP(A780,[1]Customer_payment_journal_line!$AL:$BO,30,0)</f>
        <v>#N/A</v>
      </c>
      <c r="D780" t="s">
        <v>53</v>
      </c>
      <c r="E780" t="s">
        <v>2993</v>
      </c>
      <c r="F780" t="s">
        <v>2994</v>
      </c>
      <c r="G780" t="s">
        <v>2552</v>
      </c>
      <c r="H780" t="s">
        <v>69</v>
      </c>
      <c r="I780" t="s">
        <v>2988</v>
      </c>
      <c r="J780" t="s">
        <v>2985</v>
      </c>
      <c r="K780" t="s">
        <v>2986</v>
      </c>
      <c r="L780" t="s">
        <v>52</v>
      </c>
      <c r="M780">
        <v>0</v>
      </c>
      <c r="N780">
        <v>855</v>
      </c>
      <c r="O780" t="s">
        <v>61</v>
      </c>
      <c r="P780">
        <v>100</v>
      </c>
      <c r="Q780" t="s">
        <v>52</v>
      </c>
      <c r="R780" t="s">
        <v>52</v>
      </c>
      <c r="S780" t="s">
        <v>52</v>
      </c>
      <c r="T780" t="s">
        <v>52</v>
      </c>
      <c r="U780" t="s">
        <v>52</v>
      </c>
      <c r="V780" t="s">
        <v>62</v>
      </c>
      <c r="W780" t="s">
        <v>52</v>
      </c>
      <c r="Y780" t="s">
        <v>2989</v>
      </c>
      <c r="Z780" t="s">
        <v>62</v>
      </c>
      <c r="AB780" t="s">
        <v>2996</v>
      </c>
      <c r="AE780" t="s">
        <v>2997</v>
      </c>
      <c r="AF780" t="s">
        <v>52</v>
      </c>
      <c r="AH780">
        <v>0</v>
      </c>
      <c r="AI780">
        <v>0</v>
      </c>
      <c r="AJ780" t="s">
        <v>52</v>
      </c>
      <c r="AK780">
        <v>0</v>
      </c>
      <c r="AL780" t="s">
        <v>52</v>
      </c>
      <c r="AM780" t="s">
        <v>52</v>
      </c>
      <c r="AN780">
        <v>0</v>
      </c>
      <c r="AO780">
        <v>0</v>
      </c>
      <c r="AP780" t="s">
        <v>52</v>
      </c>
      <c r="AQ780" t="s">
        <v>52</v>
      </c>
      <c r="AR780" t="s">
        <v>62</v>
      </c>
      <c r="AS780" t="s">
        <v>52</v>
      </c>
      <c r="AT780" t="s">
        <v>74</v>
      </c>
      <c r="AU780" t="s">
        <v>64</v>
      </c>
      <c r="AV780" t="s">
        <v>62</v>
      </c>
      <c r="AW780" t="s">
        <v>65</v>
      </c>
      <c r="AX780" t="s">
        <v>66</v>
      </c>
      <c r="AY780" t="s">
        <v>67</v>
      </c>
    </row>
    <row r="781" spans="1:51" hidden="1" x14ac:dyDescent="0.25">
      <c r="A781">
        <v>202914</v>
      </c>
      <c r="B781" t="s">
        <v>2998</v>
      </c>
      <c r="C781" t="e">
        <f>VLOOKUP(A781,[1]Customer_payment_journal_line!$AL:$BO,30,0)</f>
        <v>#N/A</v>
      </c>
      <c r="D781" t="s">
        <v>53</v>
      </c>
      <c r="E781" t="s">
        <v>2999</v>
      </c>
      <c r="F781" t="s">
        <v>3000</v>
      </c>
      <c r="G781" t="s">
        <v>2552</v>
      </c>
      <c r="H781" t="s">
        <v>57</v>
      </c>
      <c r="I781" t="s">
        <v>58</v>
      </c>
      <c r="J781" t="s">
        <v>2985</v>
      </c>
      <c r="K781" t="s">
        <v>3001</v>
      </c>
      <c r="L781" t="s">
        <v>52</v>
      </c>
      <c r="M781">
        <v>2052</v>
      </c>
      <c r="N781">
        <v>0</v>
      </c>
      <c r="O781" t="s">
        <v>61</v>
      </c>
      <c r="P781">
        <v>100</v>
      </c>
      <c r="Q781" t="s">
        <v>52</v>
      </c>
      <c r="R781" t="s">
        <v>52</v>
      </c>
      <c r="S781" t="s">
        <v>52</v>
      </c>
      <c r="T781" t="s">
        <v>52</v>
      </c>
      <c r="U781" t="s">
        <v>52</v>
      </c>
      <c r="V781" t="s">
        <v>62</v>
      </c>
      <c r="W781" t="s">
        <v>63</v>
      </c>
      <c r="Y781" t="s">
        <v>52</v>
      </c>
      <c r="AB781" t="s">
        <v>52</v>
      </c>
      <c r="AE781" t="s">
        <v>52</v>
      </c>
      <c r="AF781" t="s">
        <v>52</v>
      </c>
      <c r="AH781">
        <v>0</v>
      </c>
      <c r="AI781">
        <v>0</v>
      </c>
      <c r="AJ781" t="s">
        <v>52</v>
      </c>
      <c r="AK781">
        <v>0</v>
      </c>
      <c r="AL781" t="s">
        <v>52</v>
      </c>
      <c r="AM781" t="s">
        <v>52</v>
      </c>
      <c r="AN781">
        <v>0</v>
      </c>
      <c r="AO781">
        <v>0</v>
      </c>
      <c r="AP781" t="s">
        <v>52</v>
      </c>
      <c r="AQ781" t="s">
        <v>52</v>
      </c>
      <c r="AR781" t="s">
        <v>62</v>
      </c>
      <c r="AS781" t="s">
        <v>52</v>
      </c>
      <c r="AT781" t="s">
        <v>52</v>
      </c>
      <c r="AU781" t="s">
        <v>64</v>
      </c>
      <c r="AV781" t="s">
        <v>62</v>
      </c>
      <c r="AW781" t="s">
        <v>65</v>
      </c>
      <c r="AX781" t="s">
        <v>66</v>
      </c>
      <c r="AY781" t="s">
        <v>67</v>
      </c>
    </row>
    <row r="782" spans="1:51" hidden="1" x14ac:dyDescent="0.25">
      <c r="A782">
        <v>202914</v>
      </c>
      <c r="B782" t="s">
        <v>3002</v>
      </c>
      <c r="C782" t="e">
        <f>VLOOKUP(A782,[1]Customer_payment_journal_line!$AL:$BO,30,0)</f>
        <v>#N/A</v>
      </c>
      <c r="D782" t="s">
        <v>53</v>
      </c>
      <c r="E782" t="s">
        <v>2999</v>
      </c>
      <c r="F782" t="s">
        <v>3000</v>
      </c>
      <c r="G782" t="s">
        <v>2552</v>
      </c>
      <c r="H782" t="s">
        <v>69</v>
      </c>
      <c r="I782" t="s">
        <v>2988</v>
      </c>
      <c r="J782" t="s">
        <v>2985</v>
      </c>
      <c r="K782" t="s">
        <v>3001</v>
      </c>
      <c r="L782" t="s">
        <v>52</v>
      </c>
      <c r="M782">
        <v>0</v>
      </c>
      <c r="N782">
        <v>2052</v>
      </c>
      <c r="O782" t="s">
        <v>61</v>
      </c>
      <c r="P782">
        <v>100</v>
      </c>
      <c r="Q782" t="s">
        <v>52</v>
      </c>
      <c r="R782" t="s">
        <v>52</v>
      </c>
      <c r="S782" t="s">
        <v>52</v>
      </c>
      <c r="T782" t="s">
        <v>52</v>
      </c>
      <c r="U782" t="s">
        <v>52</v>
      </c>
      <c r="V782" t="s">
        <v>62</v>
      </c>
      <c r="W782" t="s">
        <v>52</v>
      </c>
      <c r="Y782" t="s">
        <v>2989</v>
      </c>
      <c r="Z782" t="s">
        <v>62</v>
      </c>
      <c r="AB782" t="s">
        <v>3003</v>
      </c>
      <c r="AE782" t="s">
        <v>3004</v>
      </c>
      <c r="AF782" t="s">
        <v>52</v>
      </c>
      <c r="AH782">
        <v>0</v>
      </c>
      <c r="AI782">
        <v>0</v>
      </c>
      <c r="AJ782" t="s">
        <v>52</v>
      </c>
      <c r="AK782">
        <v>0</v>
      </c>
      <c r="AL782" t="s">
        <v>52</v>
      </c>
      <c r="AM782" t="s">
        <v>52</v>
      </c>
      <c r="AN782">
        <v>0</v>
      </c>
      <c r="AO782">
        <v>0</v>
      </c>
      <c r="AP782" t="s">
        <v>52</v>
      </c>
      <c r="AQ782" t="s">
        <v>52</v>
      </c>
      <c r="AR782" t="s">
        <v>62</v>
      </c>
      <c r="AS782" t="s">
        <v>52</v>
      </c>
      <c r="AT782" t="s">
        <v>74</v>
      </c>
      <c r="AU782" t="s">
        <v>64</v>
      </c>
      <c r="AV782" t="s">
        <v>62</v>
      </c>
      <c r="AW782" t="s">
        <v>65</v>
      </c>
      <c r="AX782" t="s">
        <v>66</v>
      </c>
      <c r="AY782" t="s">
        <v>67</v>
      </c>
    </row>
    <row r="783" spans="1:51" hidden="1" x14ac:dyDescent="0.25">
      <c r="A783">
        <v>202915</v>
      </c>
      <c r="B783" t="s">
        <v>3005</v>
      </c>
      <c r="C783" t="e">
        <f>VLOOKUP(A783,[1]Customer_payment_journal_line!$AL:$BO,30,0)</f>
        <v>#N/A</v>
      </c>
      <c r="D783" t="s">
        <v>53</v>
      </c>
      <c r="E783" t="s">
        <v>3006</v>
      </c>
      <c r="F783" t="s">
        <v>3007</v>
      </c>
      <c r="G783" t="s">
        <v>2552</v>
      </c>
      <c r="H783" t="s">
        <v>57</v>
      </c>
      <c r="I783" t="s">
        <v>58</v>
      </c>
      <c r="J783" t="s">
        <v>2985</v>
      </c>
      <c r="K783" t="s">
        <v>3001</v>
      </c>
      <c r="L783" t="s">
        <v>52</v>
      </c>
      <c r="M783">
        <v>855</v>
      </c>
      <c r="N783">
        <v>0</v>
      </c>
      <c r="O783" t="s">
        <v>61</v>
      </c>
      <c r="P783">
        <v>100</v>
      </c>
      <c r="Q783" t="s">
        <v>52</v>
      </c>
      <c r="R783" t="s">
        <v>52</v>
      </c>
      <c r="S783" t="s">
        <v>52</v>
      </c>
      <c r="T783" t="s">
        <v>52</v>
      </c>
      <c r="U783" t="s">
        <v>52</v>
      </c>
      <c r="V783" t="s">
        <v>62</v>
      </c>
      <c r="W783" t="s">
        <v>63</v>
      </c>
      <c r="Y783" t="s">
        <v>52</v>
      </c>
      <c r="AB783" t="s">
        <v>52</v>
      </c>
      <c r="AE783" t="s">
        <v>52</v>
      </c>
      <c r="AF783" t="s">
        <v>52</v>
      </c>
      <c r="AH783">
        <v>0</v>
      </c>
      <c r="AI783">
        <v>0</v>
      </c>
      <c r="AJ783" t="s">
        <v>52</v>
      </c>
      <c r="AK783">
        <v>0</v>
      </c>
      <c r="AL783" t="s">
        <v>52</v>
      </c>
      <c r="AM783" t="s">
        <v>52</v>
      </c>
      <c r="AN783">
        <v>0</v>
      </c>
      <c r="AO783">
        <v>0</v>
      </c>
      <c r="AP783" t="s">
        <v>52</v>
      </c>
      <c r="AQ783" t="s">
        <v>52</v>
      </c>
      <c r="AR783" t="s">
        <v>62</v>
      </c>
      <c r="AS783" t="s">
        <v>52</v>
      </c>
      <c r="AT783" t="s">
        <v>52</v>
      </c>
      <c r="AU783" t="s">
        <v>64</v>
      </c>
      <c r="AV783" t="s">
        <v>62</v>
      </c>
      <c r="AW783" t="s">
        <v>65</v>
      </c>
      <c r="AX783" t="s">
        <v>66</v>
      </c>
      <c r="AY783" t="s">
        <v>67</v>
      </c>
    </row>
    <row r="784" spans="1:51" hidden="1" x14ac:dyDescent="0.25">
      <c r="A784">
        <v>202915</v>
      </c>
      <c r="B784" t="s">
        <v>3008</v>
      </c>
      <c r="C784" t="e">
        <f>VLOOKUP(A784,[1]Customer_payment_journal_line!$AL:$BO,30,0)</f>
        <v>#N/A</v>
      </c>
      <c r="D784" t="s">
        <v>53</v>
      </c>
      <c r="E784" t="s">
        <v>3006</v>
      </c>
      <c r="F784" t="s">
        <v>3007</v>
      </c>
      <c r="G784" t="s">
        <v>2552</v>
      </c>
      <c r="H784" t="s">
        <v>69</v>
      </c>
      <c r="I784" t="s">
        <v>2988</v>
      </c>
      <c r="J784" t="s">
        <v>2985</v>
      </c>
      <c r="K784" t="s">
        <v>3001</v>
      </c>
      <c r="L784" t="s">
        <v>52</v>
      </c>
      <c r="M784">
        <v>0</v>
      </c>
      <c r="N784">
        <v>855</v>
      </c>
      <c r="O784" t="s">
        <v>61</v>
      </c>
      <c r="P784">
        <v>100</v>
      </c>
      <c r="Q784" t="s">
        <v>52</v>
      </c>
      <c r="R784" t="s">
        <v>52</v>
      </c>
      <c r="S784" t="s">
        <v>52</v>
      </c>
      <c r="T784" t="s">
        <v>52</v>
      </c>
      <c r="U784" t="s">
        <v>52</v>
      </c>
      <c r="V784" t="s">
        <v>62</v>
      </c>
      <c r="W784" t="s">
        <v>52</v>
      </c>
      <c r="Y784" t="s">
        <v>2989</v>
      </c>
      <c r="Z784" t="s">
        <v>62</v>
      </c>
      <c r="AB784" t="s">
        <v>3009</v>
      </c>
      <c r="AE784" t="s">
        <v>3010</v>
      </c>
      <c r="AF784" t="s">
        <v>52</v>
      </c>
      <c r="AH784">
        <v>0</v>
      </c>
      <c r="AI784">
        <v>0</v>
      </c>
      <c r="AJ784" t="s">
        <v>52</v>
      </c>
      <c r="AK784">
        <v>0</v>
      </c>
      <c r="AL784" t="s">
        <v>52</v>
      </c>
      <c r="AM784" t="s">
        <v>52</v>
      </c>
      <c r="AN784">
        <v>0</v>
      </c>
      <c r="AO784">
        <v>0</v>
      </c>
      <c r="AP784" t="s">
        <v>52</v>
      </c>
      <c r="AQ784" t="s">
        <v>52</v>
      </c>
      <c r="AR784" t="s">
        <v>62</v>
      </c>
      <c r="AS784" t="s">
        <v>52</v>
      </c>
      <c r="AT784" t="s">
        <v>74</v>
      </c>
      <c r="AU784" t="s">
        <v>64</v>
      </c>
      <c r="AV784" t="s">
        <v>62</v>
      </c>
      <c r="AW784" t="s">
        <v>65</v>
      </c>
      <c r="AX784" t="s">
        <v>66</v>
      </c>
      <c r="AY784" t="s">
        <v>67</v>
      </c>
    </row>
    <row r="785" spans="1:51" hidden="1" x14ac:dyDescent="0.25">
      <c r="A785">
        <v>202916</v>
      </c>
      <c r="B785" t="s">
        <v>3011</v>
      </c>
      <c r="C785" t="e">
        <f>VLOOKUP(A785,[1]Customer_payment_journal_line!$AL:$BO,30,0)</f>
        <v>#N/A</v>
      </c>
      <c r="D785" t="s">
        <v>159</v>
      </c>
      <c r="E785" t="s">
        <v>3012</v>
      </c>
      <c r="F785" t="s">
        <v>3013</v>
      </c>
      <c r="G785" t="s">
        <v>2552</v>
      </c>
      <c r="H785" t="s">
        <v>80</v>
      </c>
      <c r="I785" t="s">
        <v>3014</v>
      </c>
      <c r="J785" t="s">
        <v>3015</v>
      </c>
      <c r="K785" t="s">
        <v>3016</v>
      </c>
      <c r="L785" t="s">
        <v>52</v>
      </c>
      <c r="M785">
        <v>96</v>
      </c>
      <c r="N785">
        <v>0</v>
      </c>
      <c r="O785" t="s">
        <v>178</v>
      </c>
      <c r="P785">
        <v>5085</v>
      </c>
      <c r="Q785" t="s">
        <v>52</v>
      </c>
      <c r="R785" t="s">
        <v>52</v>
      </c>
      <c r="S785" t="s">
        <v>52</v>
      </c>
      <c r="T785" t="s">
        <v>52</v>
      </c>
      <c r="U785" t="s">
        <v>52</v>
      </c>
      <c r="V785" t="s">
        <v>62</v>
      </c>
      <c r="W785" t="s">
        <v>52</v>
      </c>
      <c r="Y785" t="s">
        <v>52</v>
      </c>
      <c r="AB785" t="s">
        <v>52</v>
      </c>
      <c r="AE785" t="s">
        <v>52</v>
      </c>
      <c r="AF785" t="s">
        <v>52</v>
      </c>
      <c r="AH785">
        <v>0</v>
      </c>
      <c r="AI785">
        <v>0</v>
      </c>
      <c r="AJ785" t="s">
        <v>52</v>
      </c>
      <c r="AK785">
        <v>0</v>
      </c>
      <c r="AL785" t="s">
        <v>52</v>
      </c>
      <c r="AM785" t="s">
        <v>52</v>
      </c>
      <c r="AN785">
        <v>0</v>
      </c>
      <c r="AO785">
        <v>0</v>
      </c>
      <c r="AP785" t="s">
        <v>52</v>
      </c>
      <c r="AQ785" t="s">
        <v>52</v>
      </c>
      <c r="AR785" t="s">
        <v>62</v>
      </c>
      <c r="AS785" t="s">
        <v>52</v>
      </c>
      <c r="AT785" t="s">
        <v>52</v>
      </c>
      <c r="AU785" t="s">
        <v>64</v>
      </c>
      <c r="AV785" t="s">
        <v>62</v>
      </c>
      <c r="AW785" t="s">
        <v>65</v>
      </c>
      <c r="AX785" t="s">
        <v>66</v>
      </c>
      <c r="AY785" t="s">
        <v>165</v>
      </c>
    </row>
    <row r="786" spans="1:51" hidden="1" x14ac:dyDescent="0.25">
      <c r="A786">
        <v>202916</v>
      </c>
      <c r="B786" t="s">
        <v>3017</v>
      </c>
      <c r="C786" t="e">
        <f>VLOOKUP(A786,[1]Customer_payment_journal_line!$AL:$BO,30,0)</f>
        <v>#N/A</v>
      </c>
      <c r="D786" t="s">
        <v>159</v>
      </c>
      <c r="E786" t="s">
        <v>3012</v>
      </c>
      <c r="F786" t="s">
        <v>3013</v>
      </c>
      <c r="G786" t="s">
        <v>2552</v>
      </c>
      <c r="H786" t="s">
        <v>69</v>
      </c>
      <c r="I786" t="s">
        <v>3018</v>
      </c>
      <c r="J786" t="s">
        <v>3015</v>
      </c>
      <c r="K786" t="s">
        <v>3016</v>
      </c>
      <c r="L786" t="s">
        <v>52</v>
      </c>
      <c r="M786">
        <v>0</v>
      </c>
      <c r="N786">
        <v>96</v>
      </c>
      <c r="O786" t="s">
        <v>178</v>
      </c>
      <c r="P786">
        <v>5085</v>
      </c>
      <c r="Q786" t="s">
        <v>52</v>
      </c>
      <c r="R786" t="s">
        <v>52</v>
      </c>
      <c r="S786" t="s">
        <v>52</v>
      </c>
      <c r="T786" t="s">
        <v>52</v>
      </c>
      <c r="U786" t="s">
        <v>52</v>
      </c>
      <c r="V786" t="s">
        <v>62</v>
      </c>
      <c r="W786" t="s">
        <v>52</v>
      </c>
      <c r="Y786" t="s">
        <v>3019</v>
      </c>
      <c r="Z786" t="s">
        <v>62</v>
      </c>
      <c r="AB786" t="s">
        <v>3020</v>
      </c>
      <c r="AE786" t="s">
        <v>3021</v>
      </c>
      <c r="AF786" t="s">
        <v>52</v>
      </c>
      <c r="AH786">
        <v>0</v>
      </c>
      <c r="AI786">
        <v>0</v>
      </c>
      <c r="AJ786" t="s">
        <v>52</v>
      </c>
      <c r="AK786">
        <v>0</v>
      </c>
      <c r="AL786" t="s">
        <v>52</v>
      </c>
      <c r="AM786" t="s">
        <v>52</v>
      </c>
      <c r="AN786">
        <v>0</v>
      </c>
      <c r="AO786">
        <v>0</v>
      </c>
      <c r="AP786" t="s">
        <v>52</v>
      </c>
      <c r="AQ786" t="s">
        <v>52</v>
      </c>
      <c r="AR786" t="s">
        <v>62</v>
      </c>
      <c r="AS786" t="s">
        <v>52</v>
      </c>
      <c r="AT786" t="s">
        <v>74</v>
      </c>
      <c r="AU786" t="s">
        <v>64</v>
      </c>
      <c r="AV786" t="s">
        <v>62</v>
      </c>
      <c r="AW786" t="s">
        <v>65</v>
      </c>
      <c r="AX786" t="s">
        <v>66</v>
      </c>
      <c r="AY786" t="s">
        <v>165</v>
      </c>
    </row>
    <row r="787" spans="1:51" hidden="1" x14ac:dyDescent="0.25">
      <c r="A787">
        <v>202917</v>
      </c>
      <c r="B787" t="s">
        <v>3022</v>
      </c>
      <c r="C787" t="e">
        <f>VLOOKUP(A787,[1]Customer_payment_journal_line!$AL:$BO,30,0)</f>
        <v>#N/A</v>
      </c>
      <c r="D787" t="s">
        <v>53</v>
      </c>
      <c r="E787" t="s">
        <v>3023</v>
      </c>
      <c r="F787" t="s">
        <v>3024</v>
      </c>
      <c r="G787" t="s">
        <v>2552</v>
      </c>
      <c r="H787" t="s">
        <v>57</v>
      </c>
      <c r="I787" t="s">
        <v>58</v>
      </c>
      <c r="J787" t="s">
        <v>3025</v>
      </c>
      <c r="K787" t="s">
        <v>3026</v>
      </c>
      <c r="L787" t="s">
        <v>52</v>
      </c>
      <c r="M787">
        <v>5700</v>
      </c>
      <c r="N787">
        <v>0</v>
      </c>
      <c r="O787" t="s">
        <v>61</v>
      </c>
      <c r="P787">
        <v>100</v>
      </c>
      <c r="Q787" t="s">
        <v>52</v>
      </c>
      <c r="R787" t="s">
        <v>52</v>
      </c>
      <c r="S787" t="s">
        <v>52</v>
      </c>
      <c r="T787" t="s">
        <v>52</v>
      </c>
      <c r="U787" t="s">
        <v>52</v>
      </c>
      <c r="V787" t="s">
        <v>62</v>
      </c>
      <c r="W787" t="s">
        <v>63</v>
      </c>
      <c r="Y787" t="s">
        <v>52</v>
      </c>
      <c r="AB787" t="s">
        <v>52</v>
      </c>
      <c r="AE787" t="s">
        <v>52</v>
      </c>
      <c r="AF787" t="s">
        <v>52</v>
      </c>
      <c r="AH787">
        <v>0</v>
      </c>
      <c r="AI787">
        <v>0</v>
      </c>
      <c r="AJ787" t="s">
        <v>52</v>
      </c>
      <c r="AK787">
        <v>0</v>
      </c>
      <c r="AL787" t="s">
        <v>52</v>
      </c>
      <c r="AM787" t="s">
        <v>52</v>
      </c>
      <c r="AN787">
        <v>0</v>
      </c>
      <c r="AO787">
        <v>0</v>
      </c>
      <c r="AP787" t="s">
        <v>52</v>
      </c>
      <c r="AQ787" t="s">
        <v>52</v>
      </c>
      <c r="AR787" t="s">
        <v>62</v>
      </c>
      <c r="AS787" t="s">
        <v>52</v>
      </c>
      <c r="AT787" t="s">
        <v>52</v>
      </c>
      <c r="AU787" t="s">
        <v>64</v>
      </c>
      <c r="AV787" t="s">
        <v>62</v>
      </c>
      <c r="AW787" t="s">
        <v>65</v>
      </c>
      <c r="AX787" t="s">
        <v>66</v>
      </c>
      <c r="AY787" t="s">
        <v>67</v>
      </c>
    </row>
    <row r="788" spans="1:51" hidden="1" x14ac:dyDescent="0.25">
      <c r="A788">
        <v>202917</v>
      </c>
      <c r="B788" t="s">
        <v>3027</v>
      </c>
      <c r="C788" t="e">
        <f>VLOOKUP(A788,[1]Customer_payment_journal_line!$AL:$BO,30,0)</f>
        <v>#N/A</v>
      </c>
      <c r="D788" t="s">
        <v>53</v>
      </c>
      <c r="E788" t="s">
        <v>3023</v>
      </c>
      <c r="F788" t="s">
        <v>3024</v>
      </c>
      <c r="G788" t="s">
        <v>2552</v>
      </c>
      <c r="H788" t="s">
        <v>69</v>
      </c>
      <c r="I788" t="s">
        <v>529</v>
      </c>
      <c r="J788" t="s">
        <v>3025</v>
      </c>
      <c r="K788" t="s">
        <v>3026</v>
      </c>
      <c r="L788" t="s">
        <v>52</v>
      </c>
      <c r="M788">
        <v>0</v>
      </c>
      <c r="N788">
        <v>5700</v>
      </c>
      <c r="O788" t="s">
        <v>61</v>
      </c>
      <c r="P788">
        <v>100</v>
      </c>
      <c r="Q788" t="s">
        <v>52</v>
      </c>
      <c r="R788" t="s">
        <v>52</v>
      </c>
      <c r="S788" t="s">
        <v>52</v>
      </c>
      <c r="T788" t="s">
        <v>52</v>
      </c>
      <c r="U788" t="s">
        <v>52</v>
      </c>
      <c r="V788" t="s">
        <v>62</v>
      </c>
      <c r="W788" t="s">
        <v>52</v>
      </c>
      <c r="Y788" t="s">
        <v>530</v>
      </c>
      <c r="Z788" t="s">
        <v>62</v>
      </c>
      <c r="AB788" t="s">
        <v>3028</v>
      </c>
      <c r="AE788" t="s">
        <v>3029</v>
      </c>
      <c r="AF788" t="s">
        <v>52</v>
      </c>
      <c r="AH788">
        <v>0</v>
      </c>
      <c r="AI788">
        <v>0</v>
      </c>
      <c r="AJ788" t="s">
        <v>52</v>
      </c>
      <c r="AK788">
        <v>0</v>
      </c>
      <c r="AL788" t="s">
        <v>52</v>
      </c>
      <c r="AM788" t="s">
        <v>52</v>
      </c>
      <c r="AN788">
        <v>0</v>
      </c>
      <c r="AO788">
        <v>0</v>
      </c>
      <c r="AP788" t="s">
        <v>52</v>
      </c>
      <c r="AQ788" t="s">
        <v>52</v>
      </c>
      <c r="AR788" t="s">
        <v>62</v>
      </c>
      <c r="AS788" t="s">
        <v>52</v>
      </c>
      <c r="AT788" t="s">
        <v>74</v>
      </c>
      <c r="AU788" t="s">
        <v>64</v>
      </c>
      <c r="AV788" t="s">
        <v>62</v>
      </c>
      <c r="AW788" t="s">
        <v>65</v>
      </c>
      <c r="AX788" t="s">
        <v>66</v>
      </c>
      <c r="AY788" t="s">
        <v>67</v>
      </c>
    </row>
    <row r="789" spans="1:51" hidden="1" x14ac:dyDescent="0.25">
      <c r="A789">
        <v>202918</v>
      </c>
      <c r="B789" t="s">
        <v>3030</v>
      </c>
      <c r="C789" t="e">
        <f>VLOOKUP(A789,[1]Customer_payment_journal_line!$AL:$BO,30,0)</f>
        <v>#N/A</v>
      </c>
      <c r="D789" t="s">
        <v>53</v>
      </c>
      <c r="E789" t="s">
        <v>3031</v>
      </c>
      <c r="F789" t="s">
        <v>3032</v>
      </c>
      <c r="G789" t="s">
        <v>2552</v>
      </c>
      <c r="H789" t="s">
        <v>57</v>
      </c>
      <c r="I789" t="s">
        <v>319</v>
      </c>
      <c r="J789" t="s">
        <v>2627</v>
      </c>
      <c r="K789" t="s">
        <v>2628</v>
      </c>
      <c r="L789" t="s">
        <v>52</v>
      </c>
      <c r="M789">
        <v>5600</v>
      </c>
      <c r="N789">
        <v>0</v>
      </c>
      <c r="O789" t="s">
        <v>61</v>
      </c>
      <c r="P789">
        <v>100</v>
      </c>
      <c r="Q789" t="s">
        <v>52</v>
      </c>
      <c r="R789" t="s">
        <v>52</v>
      </c>
      <c r="S789" t="s">
        <v>52</v>
      </c>
      <c r="T789" t="s">
        <v>52</v>
      </c>
      <c r="U789" t="s">
        <v>52</v>
      </c>
      <c r="V789" t="s">
        <v>62</v>
      </c>
      <c r="W789" t="s">
        <v>63</v>
      </c>
      <c r="Y789" t="s">
        <v>52</v>
      </c>
      <c r="AB789" t="s">
        <v>52</v>
      </c>
      <c r="AE789" t="s">
        <v>52</v>
      </c>
      <c r="AF789" t="s">
        <v>52</v>
      </c>
      <c r="AH789">
        <v>0</v>
      </c>
      <c r="AI789">
        <v>0</v>
      </c>
      <c r="AJ789" t="s">
        <v>52</v>
      </c>
      <c r="AK789">
        <v>0</v>
      </c>
      <c r="AL789" t="s">
        <v>52</v>
      </c>
      <c r="AM789" t="s">
        <v>52</v>
      </c>
      <c r="AN789">
        <v>0</v>
      </c>
      <c r="AO789">
        <v>0</v>
      </c>
      <c r="AP789" t="s">
        <v>52</v>
      </c>
      <c r="AQ789" t="s">
        <v>52</v>
      </c>
      <c r="AR789" t="s">
        <v>62</v>
      </c>
      <c r="AS789" t="s">
        <v>52</v>
      </c>
      <c r="AT789" t="s">
        <v>52</v>
      </c>
      <c r="AU789" t="s">
        <v>64</v>
      </c>
      <c r="AV789" t="s">
        <v>62</v>
      </c>
      <c r="AW789" t="s">
        <v>65</v>
      </c>
      <c r="AX789" t="s">
        <v>66</v>
      </c>
      <c r="AY789" t="s">
        <v>67</v>
      </c>
    </row>
    <row r="790" spans="1:51" hidden="1" x14ac:dyDescent="0.25">
      <c r="A790">
        <v>202918</v>
      </c>
      <c r="B790" t="s">
        <v>3033</v>
      </c>
      <c r="C790" t="e">
        <f>VLOOKUP(A790,[1]Customer_payment_journal_line!$AL:$BO,30,0)</f>
        <v>#N/A</v>
      </c>
      <c r="D790" t="s">
        <v>53</v>
      </c>
      <c r="E790" t="s">
        <v>3031</v>
      </c>
      <c r="F790" t="s">
        <v>3032</v>
      </c>
      <c r="G790" t="s">
        <v>2552</v>
      </c>
      <c r="H790" t="s">
        <v>69</v>
      </c>
      <c r="I790" t="s">
        <v>2630</v>
      </c>
      <c r="J790" t="s">
        <v>2627</v>
      </c>
      <c r="K790" t="s">
        <v>2628</v>
      </c>
      <c r="L790" t="s">
        <v>52</v>
      </c>
      <c r="M790">
        <v>0</v>
      </c>
      <c r="N790">
        <v>5600</v>
      </c>
      <c r="O790" t="s">
        <v>61</v>
      </c>
      <c r="P790">
        <v>100</v>
      </c>
      <c r="Q790" t="s">
        <v>52</v>
      </c>
      <c r="R790" t="s">
        <v>52</v>
      </c>
      <c r="S790" t="s">
        <v>52</v>
      </c>
      <c r="T790" t="s">
        <v>52</v>
      </c>
      <c r="U790" t="s">
        <v>52</v>
      </c>
      <c r="V790" t="s">
        <v>62</v>
      </c>
      <c r="W790" t="s">
        <v>52</v>
      </c>
      <c r="Y790" t="s">
        <v>2631</v>
      </c>
      <c r="Z790" t="s">
        <v>62</v>
      </c>
      <c r="AB790" t="s">
        <v>3034</v>
      </c>
      <c r="AE790" t="s">
        <v>3035</v>
      </c>
      <c r="AF790" t="s">
        <v>52</v>
      </c>
      <c r="AH790">
        <v>0</v>
      </c>
      <c r="AI790">
        <v>0</v>
      </c>
      <c r="AJ790" t="s">
        <v>52</v>
      </c>
      <c r="AK790">
        <v>0</v>
      </c>
      <c r="AL790" t="s">
        <v>52</v>
      </c>
      <c r="AM790" t="s">
        <v>52</v>
      </c>
      <c r="AN790">
        <v>0</v>
      </c>
      <c r="AO790">
        <v>0</v>
      </c>
      <c r="AP790" t="s">
        <v>52</v>
      </c>
      <c r="AQ790" t="s">
        <v>52</v>
      </c>
      <c r="AR790" t="s">
        <v>62</v>
      </c>
      <c r="AS790" t="s">
        <v>52</v>
      </c>
      <c r="AT790" t="s">
        <v>74</v>
      </c>
      <c r="AU790" t="s">
        <v>64</v>
      </c>
      <c r="AV790" t="s">
        <v>62</v>
      </c>
      <c r="AW790" t="s">
        <v>65</v>
      </c>
      <c r="AX790" t="s">
        <v>66</v>
      </c>
      <c r="AY790" t="s">
        <v>67</v>
      </c>
    </row>
    <row r="791" spans="1:51" hidden="1" x14ac:dyDescent="0.25">
      <c r="A791">
        <v>202919</v>
      </c>
      <c r="B791" t="s">
        <v>3036</v>
      </c>
      <c r="C791" t="e">
        <f>VLOOKUP(A791,[1]Customer_payment_journal_line!$AL:$BO,30,0)</f>
        <v>#N/A</v>
      </c>
      <c r="D791" t="s">
        <v>53</v>
      </c>
      <c r="E791" t="s">
        <v>3037</v>
      </c>
      <c r="F791" t="s">
        <v>3038</v>
      </c>
      <c r="G791" t="s">
        <v>2552</v>
      </c>
      <c r="H791" t="s">
        <v>57</v>
      </c>
      <c r="I791" t="s">
        <v>319</v>
      </c>
      <c r="J791" t="s">
        <v>2627</v>
      </c>
      <c r="K791" t="s">
        <v>2628</v>
      </c>
      <c r="L791" t="s">
        <v>52</v>
      </c>
      <c r="M791">
        <v>855</v>
      </c>
      <c r="N791">
        <v>0</v>
      </c>
      <c r="O791" t="s">
        <v>61</v>
      </c>
      <c r="P791">
        <v>100</v>
      </c>
      <c r="Q791" t="s">
        <v>52</v>
      </c>
      <c r="R791" t="s">
        <v>52</v>
      </c>
      <c r="S791" t="s">
        <v>52</v>
      </c>
      <c r="T791" t="s">
        <v>52</v>
      </c>
      <c r="U791" t="s">
        <v>52</v>
      </c>
      <c r="V791" t="s">
        <v>62</v>
      </c>
      <c r="W791" t="s">
        <v>63</v>
      </c>
      <c r="Y791" t="s">
        <v>52</v>
      </c>
      <c r="AB791" t="s">
        <v>52</v>
      </c>
      <c r="AE791" t="s">
        <v>52</v>
      </c>
      <c r="AF791" t="s">
        <v>52</v>
      </c>
      <c r="AH791">
        <v>0</v>
      </c>
      <c r="AI791">
        <v>0</v>
      </c>
      <c r="AJ791" t="s">
        <v>52</v>
      </c>
      <c r="AK791">
        <v>0</v>
      </c>
      <c r="AL791" t="s">
        <v>52</v>
      </c>
      <c r="AM791" t="s">
        <v>52</v>
      </c>
      <c r="AN791">
        <v>0</v>
      </c>
      <c r="AO791">
        <v>0</v>
      </c>
      <c r="AP791" t="s">
        <v>52</v>
      </c>
      <c r="AQ791" t="s">
        <v>52</v>
      </c>
      <c r="AR791" t="s">
        <v>62</v>
      </c>
      <c r="AS791" t="s">
        <v>52</v>
      </c>
      <c r="AT791" t="s">
        <v>52</v>
      </c>
      <c r="AU791" t="s">
        <v>64</v>
      </c>
      <c r="AV791" t="s">
        <v>62</v>
      </c>
      <c r="AW791" t="s">
        <v>65</v>
      </c>
      <c r="AX791" t="s">
        <v>66</v>
      </c>
      <c r="AY791" t="s">
        <v>67</v>
      </c>
    </row>
    <row r="792" spans="1:51" hidden="1" x14ac:dyDescent="0.25">
      <c r="A792">
        <v>202919</v>
      </c>
      <c r="B792" t="s">
        <v>3039</v>
      </c>
      <c r="C792" t="e">
        <f>VLOOKUP(A792,[1]Customer_payment_journal_line!$AL:$BO,30,0)</f>
        <v>#N/A</v>
      </c>
      <c r="D792" t="s">
        <v>53</v>
      </c>
      <c r="E792" t="s">
        <v>3037</v>
      </c>
      <c r="F792" t="s">
        <v>3038</v>
      </c>
      <c r="G792" t="s">
        <v>2552</v>
      </c>
      <c r="H792" t="s">
        <v>69</v>
      </c>
      <c r="I792" t="s">
        <v>2630</v>
      </c>
      <c r="J792" t="s">
        <v>2627</v>
      </c>
      <c r="K792" t="s">
        <v>2628</v>
      </c>
      <c r="L792" t="s">
        <v>52</v>
      </c>
      <c r="M792">
        <v>0</v>
      </c>
      <c r="N792">
        <v>855</v>
      </c>
      <c r="O792" t="s">
        <v>61</v>
      </c>
      <c r="P792">
        <v>100</v>
      </c>
      <c r="Q792" t="s">
        <v>52</v>
      </c>
      <c r="R792" t="s">
        <v>52</v>
      </c>
      <c r="S792" t="s">
        <v>52</v>
      </c>
      <c r="T792" t="s">
        <v>52</v>
      </c>
      <c r="U792" t="s">
        <v>52</v>
      </c>
      <c r="V792" t="s">
        <v>62</v>
      </c>
      <c r="W792" t="s">
        <v>52</v>
      </c>
      <c r="Y792" t="s">
        <v>2631</v>
      </c>
      <c r="Z792" t="s">
        <v>62</v>
      </c>
      <c r="AB792" t="s">
        <v>3040</v>
      </c>
      <c r="AE792" t="s">
        <v>3041</v>
      </c>
      <c r="AF792" t="s">
        <v>52</v>
      </c>
      <c r="AH792">
        <v>0</v>
      </c>
      <c r="AI792">
        <v>0</v>
      </c>
      <c r="AJ792" t="s">
        <v>52</v>
      </c>
      <c r="AK792">
        <v>0</v>
      </c>
      <c r="AL792" t="s">
        <v>52</v>
      </c>
      <c r="AM792" t="s">
        <v>52</v>
      </c>
      <c r="AN792">
        <v>0</v>
      </c>
      <c r="AO792">
        <v>0</v>
      </c>
      <c r="AP792" t="s">
        <v>52</v>
      </c>
      <c r="AQ792" t="s">
        <v>52</v>
      </c>
      <c r="AR792" t="s">
        <v>62</v>
      </c>
      <c r="AS792" t="s">
        <v>52</v>
      </c>
      <c r="AT792" t="s">
        <v>74</v>
      </c>
      <c r="AU792" t="s">
        <v>64</v>
      </c>
      <c r="AV792" t="s">
        <v>62</v>
      </c>
      <c r="AW792" t="s">
        <v>65</v>
      </c>
      <c r="AX792" t="s">
        <v>66</v>
      </c>
      <c r="AY792" t="s">
        <v>67</v>
      </c>
    </row>
    <row r="793" spans="1:51" hidden="1" x14ac:dyDescent="0.25">
      <c r="A793">
        <v>406015</v>
      </c>
      <c r="B793" t="s">
        <v>3042</v>
      </c>
      <c r="C793" t="e">
        <f>VLOOKUP(A793,[1]Customer_payment_journal_line!$AL:$BO,30,0)</f>
        <v>#N/A</v>
      </c>
      <c r="D793" t="s">
        <v>53</v>
      </c>
      <c r="E793" t="s">
        <v>3043</v>
      </c>
      <c r="F793" t="s">
        <v>3044</v>
      </c>
      <c r="G793" t="s">
        <v>2552</v>
      </c>
      <c r="H793" t="s">
        <v>201</v>
      </c>
      <c r="I793" t="s">
        <v>58</v>
      </c>
      <c r="J793" t="s">
        <v>202</v>
      </c>
      <c r="K793" t="s">
        <v>3045</v>
      </c>
      <c r="L793" t="s">
        <v>52</v>
      </c>
      <c r="M793">
        <v>3710</v>
      </c>
      <c r="N793">
        <v>0</v>
      </c>
      <c r="O793" t="s">
        <v>61</v>
      </c>
      <c r="P793">
        <v>100</v>
      </c>
      <c r="Q793" t="s">
        <v>52</v>
      </c>
      <c r="R793" t="s">
        <v>52</v>
      </c>
      <c r="S793" t="s">
        <v>52</v>
      </c>
      <c r="T793" t="s">
        <v>52</v>
      </c>
      <c r="U793" t="s">
        <v>52</v>
      </c>
      <c r="V793" t="s">
        <v>62</v>
      </c>
      <c r="W793" t="s">
        <v>63</v>
      </c>
      <c r="Y793" t="s">
        <v>52</v>
      </c>
      <c r="AB793" t="s">
        <v>3046</v>
      </c>
      <c r="AE793" t="s">
        <v>3046</v>
      </c>
      <c r="AF793" t="s">
        <v>52</v>
      </c>
      <c r="AH793">
        <v>0</v>
      </c>
      <c r="AI793">
        <v>0</v>
      </c>
      <c r="AJ793" t="s">
        <v>52</v>
      </c>
      <c r="AK793">
        <v>0</v>
      </c>
      <c r="AL793" t="s">
        <v>52</v>
      </c>
      <c r="AM793" t="s">
        <v>52</v>
      </c>
      <c r="AN793">
        <v>0</v>
      </c>
      <c r="AO793">
        <v>0</v>
      </c>
      <c r="AP793" t="s">
        <v>52</v>
      </c>
      <c r="AQ793" t="s">
        <v>52</v>
      </c>
      <c r="AR793" t="s">
        <v>62</v>
      </c>
      <c r="AS793" t="s">
        <v>52</v>
      </c>
      <c r="AT793" t="s">
        <v>52</v>
      </c>
      <c r="AU793" t="s">
        <v>64</v>
      </c>
      <c r="AV793" t="s">
        <v>62</v>
      </c>
      <c r="AW793" t="s">
        <v>65</v>
      </c>
      <c r="AX793" t="s">
        <v>66</v>
      </c>
      <c r="AY793" t="s">
        <v>67</v>
      </c>
    </row>
    <row r="794" spans="1:51" hidden="1" x14ac:dyDescent="0.25">
      <c r="A794">
        <v>406015</v>
      </c>
      <c r="B794" t="s">
        <v>3047</v>
      </c>
      <c r="C794" t="e">
        <f>VLOOKUP(A794,[1]Customer_payment_journal_line!$AL:$BO,30,0)</f>
        <v>#N/A</v>
      </c>
      <c r="D794" t="s">
        <v>53</v>
      </c>
      <c r="E794" t="s">
        <v>3043</v>
      </c>
      <c r="F794" t="s">
        <v>3044</v>
      </c>
      <c r="G794" t="s">
        <v>2552</v>
      </c>
      <c r="H794" t="s">
        <v>69</v>
      </c>
      <c r="I794" t="s">
        <v>3048</v>
      </c>
      <c r="J794" t="s">
        <v>3049</v>
      </c>
      <c r="K794" t="s">
        <v>3045</v>
      </c>
      <c r="L794" t="s">
        <v>52</v>
      </c>
      <c r="M794">
        <v>0</v>
      </c>
      <c r="N794">
        <v>70</v>
      </c>
      <c r="O794" t="s">
        <v>178</v>
      </c>
      <c r="P794">
        <v>5085</v>
      </c>
      <c r="Q794" t="s">
        <v>52</v>
      </c>
      <c r="R794" t="s">
        <v>52</v>
      </c>
      <c r="S794" t="s">
        <v>52</v>
      </c>
      <c r="T794" t="s">
        <v>52</v>
      </c>
      <c r="U794" t="s">
        <v>52</v>
      </c>
      <c r="V794" t="s">
        <v>62</v>
      </c>
      <c r="W794" t="s">
        <v>52</v>
      </c>
      <c r="Y794" t="s">
        <v>3050</v>
      </c>
      <c r="Z794" t="s">
        <v>62</v>
      </c>
      <c r="AB794" t="s">
        <v>3046</v>
      </c>
      <c r="AE794" t="s">
        <v>3046</v>
      </c>
      <c r="AF794" t="s">
        <v>52</v>
      </c>
      <c r="AH794">
        <v>0</v>
      </c>
      <c r="AI794">
        <v>0</v>
      </c>
      <c r="AJ794" t="s">
        <v>52</v>
      </c>
      <c r="AK794">
        <v>0</v>
      </c>
      <c r="AL794" t="s">
        <v>52</v>
      </c>
      <c r="AM794" t="s">
        <v>52</v>
      </c>
      <c r="AN794">
        <v>0</v>
      </c>
      <c r="AO794">
        <v>0</v>
      </c>
      <c r="AP794" t="s">
        <v>52</v>
      </c>
      <c r="AQ794" t="s">
        <v>52</v>
      </c>
      <c r="AR794" t="s">
        <v>62</v>
      </c>
      <c r="AS794" t="s">
        <v>52</v>
      </c>
      <c r="AT794" t="s">
        <v>74</v>
      </c>
      <c r="AU794" t="s">
        <v>64</v>
      </c>
      <c r="AV794" t="s">
        <v>62</v>
      </c>
      <c r="AW794" t="s">
        <v>65</v>
      </c>
      <c r="AX794" t="s">
        <v>66</v>
      </c>
      <c r="AY794" t="s">
        <v>67</v>
      </c>
    </row>
    <row r="795" spans="1:51" hidden="1" x14ac:dyDescent="0.25">
      <c r="A795">
        <v>406015</v>
      </c>
      <c r="B795" t="s">
        <v>3051</v>
      </c>
      <c r="C795" t="e">
        <f>VLOOKUP(A795,[1]Customer_payment_journal_line!$AL:$BO,30,0)</f>
        <v>#N/A</v>
      </c>
      <c r="D795" t="s">
        <v>53</v>
      </c>
      <c r="E795" t="s">
        <v>3043</v>
      </c>
      <c r="F795" t="s">
        <v>3044</v>
      </c>
      <c r="G795" t="s">
        <v>2552</v>
      </c>
      <c r="H795" t="s">
        <v>210</v>
      </c>
      <c r="I795" t="s">
        <v>3052</v>
      </c>
      <c r="J795" t="s">
        <v>52</v>
      </c>
      <c r="K795" t="s">
        <v>3045</v>
      </c>
      <c r="L795" t="s">
        <v>52</v>
      </c>
      <c r="M795">
        <v>0</v>
      </c>
      <c r="N795">
        <v>150.5</v>
      </c>
      <c r="O795" t="s">
        <v>61</v>
      </c>
      <c r="P795">
        <v>100</v>
      </c>
      <c r="Q795" t="s">
        <v>52</v>
      </c>
      <c r="R795" t="s">
        <v>52</v>
      </c>
      <c r="S795" t="s">
        <v>52</v>
      </c>
      <c r="T795" t="s">
        <v>52</v>
      </c>
      <c r="U795" t="s">
        <v>52</v>
      </c>
      <c r="V795" t="s">
        <v>62</v>
      </c>
      <c r="W795" t="s">
        <v>63</v>
      </c>
      <c r="Y795" t="s">
        <v>3050</v>
      </c>
      <c r="AB795" t="s">
        <v>3046</v>
      </c>
      <c r="AE795" t="s">
        <v>3046</v>
      </c>
      <c r="AF795" t="s">
        <v>52</v>
      </c>
      <c r="AH795">
        <v>0</v>
      </c>
      <c r="AI795">
        <v>0</v>
      </c>
      <c r="AJ795" t="s">
        <v>52</v>
      </c>
      <c r="AK795">
        <v>0</v>
      </c>
      <c r="AL795" t="s">
        <v>52</v>
      </c>
      <c r="AM795" t="s">
        <v>52</v>
      </c>
      <c r="AN795">
        <v>0</v>
      </c>
      <c r="AO795">
        <v>0</v>
      </c>
      <c r="AP795" t="s">
        <v>52</v>
      </c>
      <c r="AQ795" t="s">
        <v>52</v>
      </c>
      <c r="AR795" t="s">
        <v>62</v>
      </c>
      <c r="AS795" t="s">
        <v>52</v>
      </c>
      <c r="AT795" t="s">
        <v>52</v>
      </c>
      <c r="AU795" t="s">
        <v>64</v>
      </c>
      <c r="AV795" t="s">
        <v>62</v>
      </c>
      <c r="AW795" t="s">
        <v>65</v>
      </c>
      <c r="AX795" t="s">
        <v>66</v>
      </c>
      <c r="AY795" t="s">
        <v>67</v>
      </c>
    </row>
    <row r="796" spans="1:51" hidden="1" x14ac:dyDescent="0.25">
      <c r="A796">
        <v>406016</v>
      </c>
      <c r="B796" t="s">
        <v>3053</v>
      </c>
      <c r="C796" t="e">
        <f>VLOOKUP(A796,[1]Customer_payment_journal_line!$AL:$BO,30,0)</f>
        <v>#N/A</v>
      </c>
      <c r="D796" t="s">
        <v>53</v>
      </c>
      <c r="E796" t="s">
        <v>3054</v>
      </c>
      <c r="F796" t="s">
        <v>3055</v>
      </c>
      <c r="G796" t="s">
        <v>2552</v>
      </c>
      <c r="H796" t="s">
        <v>57</v>
      </c>
      <c r="I796" t="s">
        <v>58</v>
      </c>
      <c r="J796" t="s">
        <v>3056</v>
      </c>
      <c r="K796" t="s">
        <v>3045</v>
      </c>
      <c r="L796" t="s">
        <v>52</v>
      </c>
      <c r="M796">
        <v>3420</v>
      </c>
      <c r="N796">
        <v>0</v>
      </c>
      <c r="O796" t="s">
        <v>61</v>
      </c>
      <c r="P796">
        <v>100</v>
      </c>
      <c r="Q796" t="s">
        <v>52</v>
      </c>
      <c r="R796" t="s">
        <v>52</v>
      </c>
      <c r="S796" t="s">
        <v>52</v>
      </c>
      <c r="T796" t="s">
        <v>52</v>
      </c>
      <c r="U796" t="s">
        <v>52</v>
      </c>
      <c r="V796" t="s">
        <v>62</v>
      </c>
      <c r="W796" t="s">
        <v>63</v>
      </c>
      <c r="Y796" t="s">
        <v>52</v>
      </c>
      <c r="AB796" t="s">
        <v>52</v>
      </c>
      <c r="AE796" t="s">
        <v>52</v>
      </c>
      <c r="AF796" t="s">
        <v>52</v>
      </c>
      <c r="AH796">
        <v>0</v>
      </c>
      <c r="AI796">
        <v>0</v>
      </c>
      <c r="AJ796" t="s">
        <v>52</v>
      </c>
      <c r="AK796">
        <v>0</v>
      </c>
      <c r="AL796" t="s">
        <v>52</v>
      </c>
      <c r="AM796" t="s">
        <v>52</v>
      </c>
      <c r="AN796">
        <v>0</v>
      </c>
      <c r="AO796">
        <v>0</v>
      </c>
      <c r="AP796" t="s">
        <v>52</v>
      </c>
      <c r="AQ796" t="s">
        <v>52</v>
      </c>
      <c r="AR796" t="s">
        <v>62</v>
      </c>
      <c r="AS796" t="s">
        <v>52</v>
      </c>
      <c r="AT796" t="s">
        <v>52</v>
      </c>
      <c r="AU796" t="s">
        <v>64</v>
      </c>
      <c r="AV796" t="s">
        <v>62</v>
      </c>
      <c r="AW796" t="s">
        <v>65</v>
      </c>
      <c r="AX796" t="s">
        <v>66</v>
      </c>
      <c r="AY796" t="s">
        <v>67</v>
      </c>
    </row>
    <row r="797" spans="1:51" hidden="1" x14ac:dyDescent="0.25">
      <c r="A797">
        <v>406016</v>
      </c>
      <c r="B797" t="s">
        <v>3057</v>
      </c>
      <c r="C797" t="e">
        <f>VLOOKUP(A797,[1]Customer_payment_journal_line!$AL:$BO,30,0)</f>
        <v>#N/A</v>
      </c>
      <c r="D797" t="s">
        <v>53</v>
      </c>
      <c r="E797" t="s">
        <v>3054</v>
      </c>
      <c r="F797" t="s">
        <v>3055</v>
      </c>
      <c r="G797" t="s">
        <v>2552</v>
      </c>
      <c r="H797" t="s">
        <v>69</v>
      </c>
      <c r="I797" t="s">
        <v>3048</v>
      </c>
      <c r="J797" t="s">
        <v>3056</v>
      </c>
      <c r="K797" t="s">
        <v>3045</v>
      </c>
      <c r="L797" t="s">
        <v>52</v>
      </c>
      <c r="M797">
        <v>0</v>
      </c>
      <c r="N797">
        <v>3420</v>
      </c>
      <c r="O797" t="s">
        <v>61</v>
      </c>
      <c r="P797">
        <v>100</v>
      </c>
      <c r="Q797" t="s">
        <v>52</v>
      </c>
      <c r="R797" t="s">
        <v>52</v>
      </c>
      <c r="S797" t="s">
        <v>52</v>
      </c>
      <c r="T797" t="s">
        <v>52</v>
      </c>
      <c r="U797" t="s">
        <v>52</v>
      </c>
      <c r="V797" t="s">
        <v>62</v>
      </c>
      <c r="W797" t="s">
        <v>52</v>
      </c>
      <c r="Y797" t="s">
        <v>3050</v>
      </c>
      <c r="Z797" t="s">
        <v>62</v>
      </c>
      <c r="AB797" t="s">
        <v>3058</v>
      </c>
      <c r="AE797" t="s">
        <v>3059</v>
      </c>
      <c r="AF797" t="s">
        <v>52</v>
      </c>
      <c r="AH797">
        <v>0</v>
      </c>
      <c r="AI797">
        <v>0</v>
      </c>
      <c r="AJ797" t="s">
        <v>52</v>
      </c>
      <c r="AK797">
        <v>0</v>
      </c>
      <c r="AL797" t="s">
        <v>52</v>
      </c>
      <c r="AM797" t="s">
        <v>52</v>
      </c>
      <c r="AN797">
        <v>0</v>
      </c>
      <c r="AO797">
        <v>0</v>
      </c>
      <c r="AP797" t="s">
        <v>52</v>
      </c>
      <c r="AQ797" t="s">
        <v>52</v>
      </c>
      <c r="AR797" t="s">
        <v>62</v>
      </c>
      <c r="AS797" t="s">
        <v>52</v>
      </c>
      <c r="AT797" t="s">
        <v>74</v>
      </c>
      <c r="AU797" t="s">
        <v>64</v>
      </c>
      <c r="AV797" t="s">
        <v>62</v>
      </c>
      <c r="AW797" t="s">
        <v>65</v>
      </c>
      <c r="AX797" t="s">
        <v>66</v>
      </c>
      <c r="AY797" t="s">
        <v>67</v>
      </c>
    </row>
    <row r="798" spans="1:51" hidden="1" x14ac:dyDescent="0.25">
      <c r="A798">
        <v>406017</v>
      </c>
      <c r="B798" t="s">
        <v>3060</v>
      </c>
      <c r="C798" t="e">
        <f>VLOOKUP(A798,[1]Customer_payment_journal_line!$AL:$BO,30,0)</f>
        <v>#N/A</v>
      </c>
      <c r="D798" t="s">
        <v>53</v>
      </c>
      <c r="E798" t="s">
        <v>3061</v>
      </c>
      <c r="F798" t="s">
        <v>3062</v>
      </c>
      <c r="G798" t="s">
        <v>2552</v>
      </c>
      <c r="H798" t="s">
        <v>57</v>
      </c>
      <c r="I798" t="s">
        <v>58</v>
      </c>
      <c r="J798" t="s">
        <v>3056</v>
      </c>
      <c r="K798" t="s">
        <v>3045</v>
      </c>
      <c r="L798" t="s">
        <v>52</v>
      </c>
      <c r="M798">
        <v>855</v>
      </c>
      <c r="N798">
        <v>0</v>
      </c>
      <c r="O798" t="s">
        <v>61</v>
      </c>
      <c r="P798">
        <v>100</v>
      </c>
      <c r="Q798" t="s">
        <v>52</v>
      </c>
      <c r="R798" t="s">
        <v>52</v>
      </c>
      <c r="S798" t="s">
        <v>52</v>
      </c>
      <c r="T798" t="s">
        <v>52</v>
      </c>
      <c r="U798" t="s">
        <v>52</v>
      </c>
      <c r="V798" t="s">
        <v>62</v>
      </c>
      <c r="W798" t="s">
        <v>63</v>
      </c>
      <c r="Y798" t="s">
        <v>52</v>
      </c>
      <c r="AB798" t="s">
        <v>52</v>
      </c>
      <c r="AE798" t="s">
        <v>52</v>
      </c>
      <c r="AF798" t="s">
        <v>52</v>
      </c>
      <c r="AH798">
        <v>0</v>
      </c>
      <c r="AI798">
        <v>0</v>
      </c>
      <c r="AJ798" t="s">
        <v>52</v>
      </c>
      <c r="AK798">
        <v>0</v>
      </c>
      <c r="AL798" t="s">
        <v>52</v>
      </c>
      <c r="AM798" t="s">
        <v>52</v>
      </c>
      <c r="AN798">
        <v>0</v>
      </c>
      <c r="AO798">
        <v>0</v>
      </c>
      <c r="AP798" t="s">
        <v>52</v>
      </c>
      <c r="AQ798" t="s">
        <v>52</v>
      </c>
      <c r="AR798" t="s">
        <v>62</v>
      </c>
      <c r="AS798" t="s">
        <v>52</v>
      </c>
      <c r="AT798" t="s">
        <v>52</v>
      </c>
      <c r="AU798" t="s">
        <v>64</v>
      </c>
      <c r="AV798" t="s">
        <v>62</v>
      </c>
      <c r="AW798" t="s">
        <v>65</v>
      </c>
      <c r="AX798" t="s">
        <v>66</v>
      </c>
      <c r="AY798" t="s">
        <v>67</v>
      </c>
    </row>
    <row r="799" spans="1:51" hidden="1" x14ac:dyDescent="0.25">
      <c r="A799">
        <v>406017</v>
      </c>
      <c r="B799" t="s">
        <v>3063</v>
      </c>
      <c r="C799" t="e">
        <f>VLOOKUP(A799,[1]Customer_payment_journal_line!$AL:$BO,30,0)</f>
        <v>#N/A</v>
      </c>
      <c r="D799" t="s">
        <v>53</v>
      </c>
      <c r="E799" t="s">
        <v>3061</v>
      </c>
      <c r="F799" t="s">
        <v>3062</v>
      </c>
      <c r="G799" t="s">
        <v>2552</v>
      </c>
      <c r="H799" t="s">
        <v>69</v>
      </c>
      <c r="I799" t="s">
        <v>3048</v>
      </c>
      <c r="J799" t="s">
        <v>3056</v>
      </c>
      <c r="K799" t="s">
        <v>3045</v>
      </c>
      <c r="L799" t="s">
        <v>52</v>
      </c>
      <c r="M799">
        <v>0</v>
      </c>
      <c r="N799">
        <v>855</v>
      </c>
      <c r="O799" t="s">
        <v>61</v>
      </c>
      <c r="P799">
        <v>100</v>
      </c>
      <c r="Q799" t="s">
        <v>52</v>
      </c>
      <c r="R799" t="s">
        <v>52</v>
      </c>
      <c r="S799" t="s">
        <v>52</v>
      </c>
      <c r="T799" t="s">
        <v>52</v>
      </c>
      <c r="U799" t="s">
        <v>52</v>
      </c>
      <c r="V799" t="s">
        <v>62</v>
      </c>
      <c r="W799" t="s">
        <v>52</v>
      </c>
      <c r="Y799" t="s">
        <v>3050</v>
      </c>
      <c r="Z799" t="s">
        <v>62</v>
      </c>
      <c r="AB799" t="s">
        <v>3064</v>
      </c>
      <c r="AE799" t="s">
        <v>3065</v>
      </c>
      <c r="AF799" t="s">
        <v>52</v>
      </c>
      <c r="AH799">
        <v>0</v>
      </c>
      <c r="AI799">
        <v>0</v>
      </c>
      <c r="AJ799" t="s">
        <v>52</v>
      </c>
      <c r="AK799">
        <v>0</v>
      </c>
      <c r="AL799" t="s">
        <v>52</v>
      </c>
      <c r="AM799" t="s">
        <v>52</v>
      </c>
      <c r="AN799">
        <v>0</v>
      </c>
      <c r="AO799">
        <v>0</v>
      </c>
      <c r="AP799" t="s">
        <v>52</v>
      </c>
      <c r="AQ799" t="s">
        <v>52</v>
      </c>
      <c r="AR799" t="s">
        <v>62</v>
      </c>
      <c r="AS799" t="s">
        <v>52</v>
      </c>
      <c r="AT799" t="s">
        <v>74</v>
      </c>
      <c r="AU799" t="s">
        <v>64</v>
      </c>
      <c r="AV799" t="s">
        <v>62</v>
      </c>
      <c r="AW799" t="s">
        <v>65</v>
      </c>
      <c r="AX799" t="s">
        <v>66</v>
      </c>
      <c r="AY799" t="s">
        <v>67</v>
      </c>
    </row>
    <row r="800" spans="1:51" hidden="1" x14ac:dyDescent="0.25">
      <c r="A800">
        <v>202945</v>
      </c>
      <c r="B800" t="s">
        <v>3066</v>
      </c>
      <c r="C800" t="e">
        <f>VLOOKUP(A800,[1]Customer_payment_journal_line!$AL:$BO,30,0)</f>
        <v>#N/A</v>
      </c>
      <c r="D800" t="s">
        <v>53</v>
      </c>
      <c r="E800" t="s">
        <v>3067</v>
      </c>
      <c r="F800" t="s">
        <v>3068</v>
      </c>
      <c r="G800" t="s">
        <v>3069</v>
      </c>
      <c r="H800" t="s">
        <v>210</v>
      </c>
      <c r="I800" t="s">
        <v>3070</v>
      </c>
      <c r="K800" t="s">
        <v>3071</v>
      </c>
      <c r="L800" t="s">
        <v>3072</v>
      </c>
      <c r="M800" s="1">
        <v>13287.3</v>
      </c>
      <c r="N800">
        <v>0</v>
      </c>
      <c r="O800" t="s">
        <v>61</v>
      </c>
      <c r="P800">
        <v>100</v>
      </c>
      <c r="Q800" t="s">
        <v>52</v>
      </c>
      <c r="R800" t="s">
        <v>52</v>
      </c>
      <c r="S800" t="s">
        <v>52</v>
      </c>
      <c r="T800" t="s">
        <v>52</v>
      </c>
      <c r="U800" t="s">
        <v>52</v>
      </c>
      <c r="V800" t="s">
        <v>62</v>
      </c>
      <c r="W800" t="s">
        <v>63</v>
      </c>
      <c r="Y800" t="s">
        <v>52</v>
      </c>
      <c r="Z800" t="s">
        <v>62</v>
      </c>
      <c r="AB800" t="s">
        <v>3073</v>
      </c>
      <c r="AC800" t="s">
        <v>144</v>
      </c>
      <c r="AD800" t="s">
        <v>144</v>
      </c>
      <c r="AF800" t="s">
        <v>52</v>
      </c>
      <c r="AH800">
        <v>0</v>
      </c>
      <c r="AI800">
        <v>0</v>
      </c>
      <c r="AJ800" t="s">
        <v>52</v>
      </c>
      <c r="AK800">
        <v>0</v>
      </c>
      <c r="AL800" t="s">
        <v>52</v>
      </c>
      <c r="AM800" t="s">
        <v>52</v>
      </c>
      <c r="AN800">
        <v>0</v>
      </c>
      <c r="AO800">
        <v>0</v>
      </c>
      <c r="AP800" t="s">
        <v>52</v>
      </c>
      <c r="AQ800" t="s">
        <v>52</v>
      </c>
      <c r="AR800" t="s">
        <v>62</v>
      </c>
      <c r="AS800" t="s">
        <v>52</v>
      </c>
      <c r="AT800" t="s">
        <v>52</v>
      </c>
      <c r="AU800" t="s">
        <v>64</v>
      </c>
      <c r="AV800" t="s">
        <v>62</v>
      </c>
      <c r="AW800" t="s">
        <v>65</v>
      </c>
      <c r="AX800" t="s">
        <v>702</v>
      </c>
      <c r="AY800" t="s">
        <v>67</v>
      </c>
    </row>
    <row r="801" spans="1:51" hidden="1" x14ac:dyDescent="0.25">
      <c r="A801">
        <v>202945</v>
      </c>
      <c r="B801" t="s">
        <v>3074</v>
      </c>
      <c r="C801" t="e">
        <f>VLOOKUP(A801,[1]Customer_payment_journal_line!$AL:$BO,30,0)</f>
        <v>#N/A</v>
      </c>
      <c r="D801" t="s">
        <v>53</v>
      </c>
      <c r="E801" t="s">
        <v>3067</v>
      </c>
      <c r="F801" t="s">
        <v>3068</v>
      </c>
      <c r="G801" t="s">
        <v>3069</v>
      </c>
      <c r="H801" t="s">
        <v>704</v>
      </c>
      <c r="I801" t="s">
        <v>3075</v>
      </c>
      <c r="J801" t="s">
        <v>3076</v>
      </c>
      <c r="K801" t="s">
        <v>3071</v>
      </c>
      <c r="L801" t="s">
        <v>3072</v>
      </c>
      <c r="M801" s="1">
        <v>0</v>
      </c>
      <c r="N801">
        <v>15000</v>
      </c>
      <c r="O801" t="s">
        <v>61</v>
      </c>
      <c r="P801">
        <v>100</v>
      </c>
      <c r="Q801" t="s">
        <v>52</v>
      </c>
      <c r="R801" t="s">
        <v>52</v>
      </c>
      <c r="S801" t="s">
        <v>52</v>
      </c>
      <c r="T801" t="s">
        <v>52</v>
      </c>
      <c r="U801" t="s">
        <v>52</v>
      </c>
      <c r="V801" t="s">
        <v>62</v>
      </c>
      <c r="W801" t="s">
        <v>52</v>
      </c>
      <c r="Z801" t="s">
        <v>62</v>
      </c>
      <c r="AB801" t="s">
        <v>3073</v>
      </c>
      <c r="AC801" t="s">
        <v>144</v>
      </c>
      <c r="AD801" t="s">
        <v>144</v>
      </c>
      <c r="AF801" t="s">
        <v>52</v>
      </c>
      <c r="AH801">
        <v>0</v>
      </c>
      <c r="AI801">
        <v>0</v>
      </c>
      <c r="AJ801" t="s">
        <v>52</v>
      </c>
      <c r="AK801">
        <v>0</v>
      </c>
      <c r="AL801" t="s">
        <v>52</v>
      </c>
      <c r="AM801" t="s">
        <v>52</v>
      </c>
      <c r="AN801">
        <v>0</v>
      </c>
      <c r="AO801">
        <v>0</v>
      </c>
      <c r="AP801" t="s">
        <v>52</v>
      </c>
      <c r="AQ801" t="s">
        <v>52</v>
      </c>
      <c r="AR801" t="s">
        <v>62</v>
      </c>
      <c r="AS801" t="s">
        <v>52</v>
      </c>
      <c r="AT801" t="s">
        <v>710</v>
      </c>
      <c r="AU801" t="s">
        <v>64</v>
      </c>
      <c r="AV801" t="s">
        <v>62</v>
      </c>
      <c r="AW801" t="s">
        <v>65</v>
      </c>
      <c r="AX801" t="s">
        <v>702</v>
      </c>
      <c r="AY801" t="s">
        <v>67</v>
      </c>
    </row>
    <row r="802" spans="1:51" hidden="1" x14ac:dyDescent="0.25">
      <c r="A802">
        <v>202945</v>
      </c>
      <c r="B802" t="s">
        <v>3077</v>
      </c>
      <c r="C802" t="e">
        <f>VLOOKUP(A802,[1]Customer_payment_journal_line!$AL:$BO,30,0)</f>
        <v>#N/A</v>
      </c>
      <c r="D802" t="s">
        <v>53</v>
      </c>
      <c r="E802" t="s">
        <v>3067</v>
      </c>
      <c r="F802" t="s">
        <v>3068</v>
      </c>
      <c r="G802" t="s">
        <v>3069</v>
      </c>
      <c r="H802" t="s">
        <v>201</v>
      </c>
      <c r="I802" t="s">
        <v>95</v>
      </c>
      <c r="J802" t="s">
        <v>3076</v>
      </c>
      <c r="K802" t="s">
        <v>3071</v>
      </c>
      <c r="L802" t="s">
        <v>52</v>
      </c>
      <c r="M802" s="1">
        <v>1712.7</v>
      </c>
      <c r="N802">
        <v>0</v>
      </c>
      <c r="O802" t="s">
        <v>61</v>
      </c>
      <c r="P802">
        <v>100</v>
      </c>
      <c r="Q802" t="s">
        <v>52</v>
      </c>
      <c r="R802" t="s">
        <v>52</v>
      </c>
      <c r="S802" t="s">
        <v>52</v>
      </c>
      <c r="T802" t="s">
        <v>52</v>
      </c>
      <c r="U802" t="s">
        <v>52</v>
      </c>
      <c r="V802" t="s">
        <v>62</v>
      </c>
      <c r="W802" t="s">
        <v>63</v>
      </c>
      <c r="Y802" t="s">
        <v>52</v>
      </c>
      <c r="AB802" t="s">
        <v>3073</v>
      </c>
      <c r="AC802" t="s">
        <v>144</v>
      </c>
      <c r="AD802" t="s">
        <v>144</v>
      </c>
      <c r="AF802" t="s">
        <v>52</v>
      </c>
      <c r="AH802">
        <v>0</v>
      </c>
      <c r="AI802">
        <v>0</v>
      </c>
      <c r="AJ802" t="s">
        <v>52</v>
      </c>
      <c r="AK802">
        <v>0</v>
      </c>
      <c r="AL802" t="s">
        <v>52</v>
      </c>
      <c r="AM802" t="s">
        <v>52</v>
      </c>
      <c r="AN802">
        <v>0</v>
      </c>
      <c r="AO802">
        <v>0</v>
      </c>
      <c r="AP802" t="s">
        <v>52</v>
      </c>
      <c r="AQ802" t="s">
        <v>52</v>
      </c>
      <c r="AR802" t="s">
        <v>62</v>
      </c>
      <c r="AS802" t="s">
        <v>52</v>
      </c>
      <c r="AT802" t="s">
        <v>52</v>
      </c>
      <c r="AU802" t="s">
        <v>64</v>
      </c>
      <c r="AV802" t="s">
        <v>62</v>
      </c>
      <c r="AW802" t="s">
        <v>65</v>
      </c>
      <c r="AX802" t="s">
        <v>702</v>
      </c>
      <c r="AY802" t="s">
        <v>67</v>
      </c>
    </row>
    <row r="803" spans="1:51" hidden="1" x14ac:dyDescent="0.25">
      <c r="A803">
        <v>202946</v>
      </c>
      <c r="B803" t="s">
        <v>3078</v>
      </c>
      <c r="C803" t="e">
        <f>VLOOKUP(A803,[1]Customer_payment_journal_line!$AL:$BO,30,0)</f>
        <v>#N/A</v>
      </c>
      <c r="D803" t="s">
        <v>76</v>
      </c>
      <c r="E803" t="s">
        <v>3079</v>
      </c>
      <c r="F803" t="s">
        <v>3080</v>
      </c>
      <c r="G803" t="s">
        <v>3069</v>
      </c>
      <c r="H803" t="s">
        <v>80</v>
      </c>
      <c r="I803" t="s">
        <v>81</v>
      </c>
      <c r="J803" t="s">
        <v>3081</v>
      </c>
      <c r="K803" t="s">
        <v>3082</v>
      </c>
      <c r="L803" t="s">
        <v>52</v>
      </c>
      <c r="M803">
        <v>4275</v>
      </c>
      <c r="N803">
        <v>0</v>
      </c>
      <c r="O803" t="s">
        <v>61</v>
      </c>
      <c r="P803">
        <v>100</v>
      </c>
      <c r="Q803" t="s">
        <v>52</v>
      </c>
      <c r="R803" t="s">
        <v>52</v>
      </c>
      <c r="S803" t="s">
        <v>52</v>
      </c>
      <c r="T803" t="s">
        <v>52</v>
      </c>
      <c r="U803" t="s">
        <v>52</v>
      </c>
      <c r="V803" t="s">
        <v>62</v>
      </c>
      <c r="W803" t="s">
        <v>52</v>
      </c>
      <c r="Y803" t="s">
        <v>52</v>
      </c>
      <c r="AB803" t="s">
        <v>52</v>
      </c>
      <c r="AE803" t="s">
        <v>52</v>
      </c>
      <c r="AF803" t="s">
        <v>52</v>
      </c>
      <c r="AH803">
        <v>0</v>
      </c>
      <c r="AI803">
        <v>0</v>
      </c>
      <c r="AJ803" t="s">
        <v>52</v>
      </c>
      <c r="AK803">
        <v>0</v>
      </c>
      <c r="AL803" t="s">
        <v>52</v>
      </c>
      <c r="AM803" t="s">
        <v>52</v>
      </c>
      <c r="AN803">
        <v>0</v>
      </c>
      <c r="AO803">
        <v>0</v>
      </c>
      <c r="AP803" t="s">
        <v>52</v>
      </c>
      <c r="AQ803" t="s">
        <v>52</v>
      </c>
      <c r="AR803" t="s">
        <v>62</v>
      </c>
      <c r="AS803" t="s">
        <v>52</v>
      </c>
      <c r="AT803" t="s">
        <v>52</v>
      </c>
      <c r="AU803" t="s">
        <v>64</v>
      </c>
      <c r="AV803" t="s">
        <v>62</v>
      </c>
      <c r="AW803" t="s">
        <v>65</v>
      </c>
      <c r="AX803" t="s">
        <v>66</v>
      </c>
      <c r="AY803" t="s">
        <v>76</v>
      </c>
    </row>
    <row r="804" spans="1:51" hidden="1" x14ac:dyDescent="0.25">
      <c r="A804">
        <v>202946</v>
      </c>
      <c r="B804" t="s">
        <v>3083</v>
      </c>
      <c r="C804" t="e">
        <f>VLOOKUP(A804,[1]Customer_payment_journal_line!$AL:$BO,30,0)</f>
        <v>#N/A</v>
      </c>
      <c r="D804" t="s">
        <v>76</v>
      </c>
      <c r="E804" t="s">
        <v>3079</v>
      </c>
      <c r="F804" t="s">
        <v>3080</v>
      </c>
      <c r="G804" t="s">
        <v>3069</v>
      </c>
      <c r="H804" t="s">
        <v>69</v>
      </c>
      <c r="I804" t="s">
        <v>3084</v>
      </c>
      <c r="J804" t="s">
        <v>3081</v>
      </c>
      <c r="K804" t="s">
        <v>3082</v>
      </c>
      <c r="L804" t="s">
        <v>52</v>
      </c>
      <c r="M804">
        <v>0</v>
      </c>
      <c r="N804">
        <v>855</v>
      </c>
      <c r="O804" t="s">
        <v>61</v>
      </c>
      <c r="P804">
        <v>100</v>
      </c>
      <c r="Q804" t="s">
        <v>52</v>
      </c>
      <c r="R804" t="s">
        <v>52</v>
      </c>
      <c r="S804" t="s">
        <v>52</v>
      </c>
      <c r="T804" t="s">
        <v>52</v>
      </c>
      <c r="U804" t="s">
        <v>52</v>
      </c>
      <c r="V804" t="s">
        <v>62</v>
      </c>
      <c r="W804" t="s">
        <v>52</v>
      </c>
      <c r="Y804" t="s">
        <v>3085</v>
      </c>
      <c r="Z804" t="s">
        <v>62</v>
      </c>
      <c r="AB804" t="s">
        <v>3086</v>
      </c>
      <c r="AE804" t="s">
        <v>3087</v>
      </c>
      <c r="AF804" t="s">
        <v>52</v>
      </c>
      <c r="AH804">
        <v>0</v>
      </c>
      <c r="AI804">
        <v>0</v>
      </c>
      <c r="AJ804" t="s">
        <v>52</v>
      </c>
      <c r="AK804">
        <v>0</v>
      </c>
      <c r="AL804" t="s">
        <v>52</v>
      </c>
      <c r="AM804" t="s">
        <v>52</v>
      </c>
      <c r="AN804">
        <v>0</v>
      </c>
      <c r="AO804">
        <v>0</v>
      </c>
      <c r="AP804" t="s">
        <v>52</v>
      </c>
      <c r="AQ804" t="s">
        <v>52</v>
      </c>
      <c r="AR804" t="s">
        <v>62</v>
      </c>
      <c r="AS804" t="s">
        <v>52</v>
      </c>
      <c r="AT804" t="s">
        <v>74</v>
      </c>
      <c r="AU804" t="s">
        <v>64</v>
      </c>
      <c r="AV804" t="s">
        <v>62</v>
      </c>
      <c r="AW804" t="s">
        <v>65</v>
      </c>
      <c r="AX804" t="s">
        <v>66</v>
      </c>
      <c r="AY804" t="s">
        <v>76</v>
      </c>
    </row>
    <row r="805" spans="1:51" hidden="1" x14ac:dyDescent="0.25">
      <c r="A805">
        <v>202946</v>
      </c>
      <c r="B805" t="s">
        <v>3088</v>
      </c>
      <c r="C805" t="e">
        <f>VLOOKUP(A805,[1]Customer_payment_journal_line!$AL:$BO,30,0)</f>
        <v>#N/A</v>
      </c>
      <c r="D805" t="s">
        <v>76</v>
      </c>
      <c r="E805" t="s">
        <v>3079</v>
      </c>
      <c r="F805" t="s">
        <v>3080</v>
      </c>
      <c r="G805" t="s">
        <v>3069</v>
      </c>
      <c r="H805" t="s">
        <v>69</v>
      </c>
      <c r="I805" t="s">
        <v>3084</v>
      </c>
      <c r="J805" t="s">
        <v>3081</v>
      </c>
      <c r="K805" t="s">
        <v>3082</v>
      </c>
      <c r="L805" t="s">
        <v>52</v>
      </c>
      <c r="M805">
        <v>0</v>
      </c>
      <c r="N805">
        <v>3420</v>
      </c>
      <c r="O805" t="s">
        <v>61</v>
      </c>
      <c r="P805">
        <v>100</v>
      </c>
      <c r="Q805" t="s">
        <v>52</v>
      </c>
      <c r="R805" t="s">
        <v>52</v>
      </c>
      <c r="S805" t="s">
        <v>52</v>
      </c>
      <c r="T805" t="s">
        <v>52</v>
      </c>
      <c r="U805" t="s">
        <v>52</v>
      </c>
      <c r="V805" t="s">
        <v>62</v>
      </c>
      <c r="W805" t="s">
        <v>52</v>
      </c>
      <c r="Y805" t="s">
        <v>3085</v>
      </c>
      <c r="Z805" t="s">
        <v>62</v>
      </c>
      <c r="AB805" t="s">
        <v>3089</v>
      </c>
      <c r="AE805" t="s">
        <v>3090</v>
      </c>
      <c r="AF805" t="s">
        <v>52</v>
      </c>
      <c r="AH805">
        <v>0</v>
      </c>
      <c r="AI805">
        <v>0</v>
      </c>
      <c r="AJ805" t="s">
        <v>52</v>
      </c>
      <c r="AK805">
        <v>0</v>
      </c>
      <c r="AL805" t="s">
        <v>52</v>
      </c>
      <c r="AM805" t="s">
        <v>52</v>
      </c>
      <c r="AN805">
        <v>0</v>
      </c>
      <c r="AO805">
        <v>0</v>
      </c>
      <c r="AP805" t="s">
        <v>52</v>
      </c>
      <c r="AQ805" t="s">
        <v>52</v>
      </c>
      <c r="AR805" t="s">
        <v>62</v>
      </c>
      <c r="AS805" t="s">
        <v>52</v>
      </c>
      <c r="AT805" t="s">
        <v>74</v>
      </c>
      <c r="AU805" t="s">
        <v>64</v>
      </c>
      <c r="AV805" t="s">
        <v>62</v>
      </c>
      <c r="AW805" t="s">
        <v>65</v>
      </c>
      <c r="AX805" t="s">
        <v>66</v>
      </c>
      <c r="AY805" t="s">
        <v>76</v>
      </c>
    </row>
    <row r="806" spans="1:51" hidden="1" x14ac:dyDescent="0.25">
      <c r="A806">
        <v>202949</v>
      </c>
      <c r="B806" t="s">
        <v>3091</v>
      </c>
      <c r="C806" t="e">
        <f>VLOOKUP(A806,[1]Customer_payment_journal_line!$AL:$BO,30,0)</f>
        <v>#N/A</v>
      </c>
      <c r="D806" t="s">
        <v>53</v>
      </c>
      <c r="E806" t="s">
        <v>3092</v>
      </c>
      <c r="F806" t="s">
        <v>3093</v>
      </c>
      <c r="G806" t="s">
        <v>3069</v>
      </c>
      <c r="H806" t="s">
        <v>210</v>
      </c>
      <c r="I806" t="s">
        <v>3094</v>
      </c>
      <c r="K806" t="s">
        <v>3095</v>
      </c>
      <c r="L806" t="s">
        <v>3072</v>
      </c>
      <c r="M806" s="1">
        <v>995.15</v>
      </c>
      <c r="N806">
        <v>0</v>
      </c>
      <c r="O806" t="s">
        <v>61</v>
      </c>
      <c r="P806">
        <v>100</v>
      </c>
      <c r="Q806" t="s">
        <v>52</v>
      </c>
      <c r="R806" t="s">
        <v>52</v>
      </c>
      <c r="S806" t="s">
        <v>52</v>
      </c>
      <c r="T806" t="s">
        <v>52</v>
      </c>
      <c r="U806" t="s">
        <v>52</v>
      </c>
      <c r="V806" t="s">
        <v>62</v>
      </c>
      <c r="W806" t="s">
        <v>63</v>
      </c>
      <c r="Y806" t="s">
        <v>52</v>
      </c>
      <c r="Z806" t="s">
        <v>62</v>
      </c>
      <c r="AB806" t="s">
        <v>3096</v>
      </c>
      <c r="AC806" t="s">
        <v>144</v>
      </c>
      <c r="AD806" t="s">
        <v>144</v>
      </c>
      <c r="AF806" t="s">
        <v>52</v>
      </c>
      <c r="AH806">
        <v>0</v>
      </c>
      <c r="AI806">
        <v>0</v>
      </c>
      <c r="AJ806" t="s">
        <v>52</v>
      </c>
      <c r="AK806">
        <v>0</v>
      </c>
      <c r="AL806" t="s">
        <v>52</v>
      </c>
      <c r="AM806" t="s">
        <v>52</v>
      </c>
      <c r="AN806">
        <v>0</v>
      </c>
      <c r="AO806">
        <v>0</v>
      </c>
      <c r="AP806" t="s">
        <v>52</v>
      </c>
      <c r="AQ806" t="s">
        <v>52</v>
      </c>
      <c r="AR806" t="s">
        <v>62</v>
      </c>
      <c r="AS806" t="s">
        <v>52</v>
      </c>
      <c r="AT806" t="s">
        <v>52</v>
      </c>
      <c r="AU806" t="s">
        <v>64</v>
      </c>
      <c r="AV806" t="s">
        <v>62</v>
      </c>
      <c r="AW806" t="s">
        <v>65</v>
      </c>
      <c r="AX806" t="s">
        <v>702</v>
      </c>
      <c r="AY806" t="s">
        <v>67</v>
      </c>
    </row>
    <row r="807" spans="1:51" hidden="1" x14ac:dyDescent="0.25">
      <c r="A807">
        <v>202949</v>
      </c>
      <c r="B807" t="s">
        <v>3097</v>
      </c>
      <c r="C807" t="e">
        <f>VLOOKUP(A807,[1]Customer_payment_journal_line!$AL:$BO,30,0)</f>
        <v>#N/A</v>
      </c>
      <c r="D807" t="s">
        <v>53</v>
      </c>
      <c r="E807" t="s">
        <v>3092</v>
      </c>
      <c r="F807" t="s">
        <v>3093</v>
      </c>
      <c r="G807" t="s">
        <v>3069</v>
      </c>
      <c r="H807" t="s">
        <v>704</v>
      </c>
      <c r="I807" t="s">
        <v>3075</v>
      </c>
      <c r="J807" t="s">
        <v>3098</v>
      </c>
      <c r="K807" t="s">
        <v>3095</v>
      </c>
      <c r="L807" t="s">
        <v>3072</v>
      </c>
      <c r="M807" s="1">
        <v>0</v>
      </c>
      <c r="N807">
        <v>3000</v>
      </c>
      <c r="O807" t="s">
        <v>61</v>
      </c>
      <c r="P807">
        <v>100</v>
      </c>
      <c r="Q807" t="s">
        <v>52</v>
      </c>
      <c r="R807" t="s">
        <v>52</v>
      </c>
      <c r="S807" t="s">
        <v>52</v>
      </c>
      <c r="T807" t="s">
        <v>52</v>
      </c>
      <c r="U807" t="s">
        <v>52</v>
      </c>
      <c r="V807" t="s">
        <v>62</v>
      </c>
      <c r="W807" t="s">
        <v>52</v>
      </c>
      <c r="Z807" t="s">
        <v>62</v>
      </c>
      <c r="AB807" t="s">
        <v>3096</v>
      </c>
      <c r="AC807" t="s">
        <v>144</v>
      </c>
      <c r="AD807" t="s">
        <v>144</v>
      </c>
      <c r="AF807" t="s">
        <v>52</v>
      </c>
      <c r="AH807">
        <v>0</v>
      </c>
      <c r="AI807">
        <v>0</v>
      </c>
      <c r="AJ807" t="s">
        <v>52</v>
      </c>
      <c r="AK807">
        <v>0</v>
      </c>
      <c r="AL807" t="s">
        <v>52</v>
      </c>
      <c r="AM807" t="s">
        <v>52</v>
      </c>
      <c r="AN807">
        <v>0</v>
      </c>
      <c r="AO807">
        <v>0</v>
      </c>
      <c r="AP807" t="s">
        <v>52</v>
      </c>
      <c r="AQ807" t="s">
        <v>52</v>
      </c>
      <c r="AR807" t="s">
        <v>62</v>
      </c>
      <c r="AS807" t="s">
        <v>52</v>
      </c>
      <c r="AT807" t="s">
        <v>710</v>
      </c>
      <c r="AU807" t="s">
        <v>64</v>
      </c>
      <c r="AV807" t="s">
        <v>62</v>
      </c>
      <c r="AW807" t="s">
        <v>65</v>
      </c>
      <c r="AX807" t="s">
        <v>702</v>
      </c>
      <c r="AY807" t="s">
        <v>67</v>
      </c>
    </row>
    <row r="808" spans="1:51" hidden="1" x14ac:dyDescent="0.25">
      <c r="A808">
        <v>202949</v>
      </c>
      <c r="B808" t="s">
        <v>3099</v>
      </c>
      <c r="C808" t="e">
        <f>VLOOKUP(A808,[1]Customer_payment_journal_line!$AL:$BO,30,0)</f>
        <v>#N/A</v>
      </c>
      <c r="D808" t="s">
        <v>53</v>
      </c>
      <c r="E808" t="s">
        <v>3092</v>
      </c>
      <c r="F808" t="s">
        <v>3093</v>
      </c>
      <c r="G808" t="s">
        <v>3069</v>
      </c>
      <c r="H808" t="s">
        <v>201</v>
      </c>
      <c r="I808" t="s">
        <v>95</v>
      </c>
      <c r="J808" t="s">
        <v>3098</v>
      </c>
      <c r="K808" t="s">
        <v>3095</v>
      </c>
      <c r="L808" t="s">
        <v>52</v>
      </c>
      <c r="M808" s="1">
        <v>2004.85</v>
      </c>
      <c r="N808">
        <v>0</v>
      </c>
      <c r="O808" t="s">
        <v>61</v>
      </c>
      <c r="P808">
        <v>100</v>
      </c>
      <c r="Q808" t="s">
        <v>52</v>
      </c>
      <c r="R808" t="s">
        <v>52</v>
      </c>
      <c r="S808" t="s">
        <v>52</v>
      </c>
      <c r="T808" t="s">
        <v>52</v>
      </c>
      <c r="U808" t="s">
        <v>52</v>
      </c>
      <c r="V808" t="s">
        <v>62</v>
      </c>
      <c r="W808" t="s">
        <v>63</v>
      </c>
      <c r="Y808" t="s">
        <v>52</v>
      </c>
      <c r="AB808" t="s">
        <v>3096</v>
      </c>
      <c r="AC808" t="s">
        <v>144</v>
      </c>
      <c r="AD808" t="s">
        <v>144</v>
      </c>
      <c r="AF808" t="s">
        <v>52</v>
      </c>
      <c r="AH808">
        <v>0</v>
      </c>
      <c r="AI808">
        <v>0</v>
      </c>
      <c r="AJ808" t="s">
        <v>52</v>
      </c>
      <c r="AK808">
        <v>0</v>
      </c>
      <c r="AL808" t="s">
        <v>52</v>
      </c>
      <c r="AM808" t="s">
        <v>52</v>
      </c>
      <c r="AN808">
        <v>0</v>
      </c>
      <c r="AO808">
        <v>0</v>
      </c>
      <c r="AP808" t="s">
        <v>52</v>
      </c>
      <c r="AQ808" t="s">
        <v>52</v>
      </c>
      <c r="AR808" t="s">
        <v>62</v>
      </c>
      <c r="AS808" t="s">
        <v>52</v>
      </c>
      <c r="AT808" t="s">
        <v>52</v>
      </c>
      <c r="AU808" t="s">
        <v>64</v>
      </c>
      <c r="AV808" t="s">
        <v>62</v>
      </c>
      <c r="AW808" t="s">
        <v>65</v>
      </c>
      <c r="AX808" t="s">
        <v>702</v>
      </c>
      <c r="AY808" t="s">
        <v>67</v>
      </c>
    </row>
    <row r="809" spans="1:51" hidden="1" x14ac:dyDescent="0.25">
      <c r="A809">
        <v>202961</v>
      </c>
      <c r="B809" t="s">
        <v>3100</v>
      </c>
      <c r="C809" t="e">
        <f>VLOOKUP(A809,[1]Customer_payment_journal_line!$AL:$BO,30,0)</f>
        <v>#N/A</v>
      </c>
      <c r="D809" t="s">
        <v>76</v>
      </c>
      <c r="E809" t="s">
        <v>3101</v>
      </c>
      <c r="F809" t="s">
        <v>3102</v>
      </c>
      <c r="G809" t="s">
        <v>3069</v>
      </c>
      <c r="H809" t="s">
        <v>80</v>
      </c>
      <c r="I809" t="s">
        <v>81</v>
      </c>
      <c r="J809" t="s">
        <v>3103</v>
      </c>
      <c r="K809" t="s">
        <v>3104</v>
      </c>
      <c r="L809" t="s">
        <v>52</v>
      </c>
      <c r="M809">
        <v>7239</v>
      </c>
      <c r="N809">
        <v>0</v>
      </c>
      <c r="O809" t="s">
        <v>61</v>
      </c>
      <c r="P809">
        <v>100</v>
      </c>
      <c r="Q809" t="s">
        <v>52</v>
      </c>
      <c r="R809" t="s">
        <v>52</v>
      </c>
      <c r="S809" t="s">
        <v>52</v>
      </c>
      <c r="T809" t="s">
        <v>52</v>
      </c>
      <c r="U809" t="s">
        <v>52</v>
      </c>
      <c r="V809" t="s">
        <v>62</v>
      </c>
      <c r="W809" t="s">
        <v>52</v>
      </c>
      <c r="Y809" t="s">
        <v>52</v>
      </c>
      <c r="AB809" t="s">
        <v>52</v>
      </c>
      <c r="AE809" t="s">
        <v>52</v>
      </c>
      <c r="AF809" t="s">
        <v>52</v>
      </c>
      <c r="AH809">
        <v>0</v>
      </c>
      <c r="AI809">
        <v>0</v>
      </c>
      <c r="AJ809" t="s">
        <v>52</v>
      </c>
      <c r="AK809">
        <v>0</v>
      </c>
      <c r="AL809" t="s">
        <v>52</v>
      </c>
      <c r="AM809" t="s">
        <v>52</v>
      </c>
      <c r="AN809">
        <v>0</v>
      </c>
      <c r="AO809">
        <v>0</v>
      </c>
      <c r="AP809" t="s">
        <v>52</v>
      </c>
      <c r="AQ809" t="s">
        <v>52</v>
      </c>
      <c r="AR809" t="s">
        <v>62</v>
      </c>
      <c r="AS809" t="s">
        <v>52</v>
      </c>
      <c r="AT809" t="s">
        <v>52</v>
      </c>
      <c r="AU809" t="s">
        <v>64</v>
      </c>
      <c r="AV809" t="s">
        <v>62</v>
      </c>
      <c r="AW809" t="s">
        <v>65</v>
      </c>
      <c r="AX809" t="s">
        <v>66</v>
      </c>
      <c r="AY809" t="s">
        <v>76</v>
      </c>
    </row>
    <row r="810" spans="1:51" hidden="1" x14ac:dyDescent="0.25">
      <c r="A810">
        <v>202961</v>
      </c>
      <c r="B810" t="s">
        <v>3105</v>
      </c>
      <c r="C810" t="e">
        <f>VLOOKUP(A810,[1]Customer_payment_journal_line!$AL:$BO,30,0)</f>
        <v>#N/A</v>
      </c>
      <c r="D810" t="s">
        <v>76</v>
      </c>
      <c r="E810" t="s">
        <v>3101</v>
      </c>
      <c r="F810" t="s">
        <v>3102</v>
      </c>
      <c r="G810" t="s">
        <v>3069</v>
      </c>
      <c r="H810" t="s">
        <v>69</v>
      </c>
      <c r="I810" t="s">
        <v>3106</v>
      </c>
      <c r="J810" t="s">
        <v>3103</v>
      </c>
      <c r="K810" t="s">
        <v>3104</v>
      </c>
      <c r="L810" t="s">
        <v>52</v>
      </c>
      <c r="M810">
        <v>0</v>
      </c>
      <c r="N810">
        <v>855</v>
      </c>
      <c r="O810" t="s">
        <v>61</v>
      </c>
      <c r="P810">
        <v>100</v>
      </c>
      <c r="Q810" t="s">
        <v>52</v>
      </c>
      <c r="R810" t="s">
        <v>52</v>
      </c>
      <c r="S810" t="s">
        <v>52</v>
      </c>
      <c r="T810" t="s">
        <v>52</v>
      </c>
      <c r="U810" t="s">
        <v>52</v>
      </c>
      <c r="V810" t="s">
        <v>62</v>
      </c>
      <c r="W810" t="s">
        <v>52</v>
      </c>
      <c r="Y810" t="s">
        <v>3107</v>
      </c>
      <c r="Z810" t="s">
        <v>62</v>
      </c>
      <c r="AB810" t="s">
        <v>3108</v>
      </c>
      <c r="AE810" t="s">
        <v>3109</v>
      </c>
      <c r="AF810" t="s">
        <v>52</v>
      </c>
      <c r="AH810">
        <v>0</v>
      </c>
      <c r="AI810">
        <v>0</v>
      </c>
      <c r="AJ810" t="s">
        <v>52</v>
      </c>
      <c r="AK810">
        <v>0</v>
      </c>
      <c r="AL810" t="s">
        <v>52</v>
      </c>
      <c r="AM810" t="s">
        <v>52</v>
      </c>
      <c r="AN810">
        <v>0</v>
      </c>
      <c r="AO810">
        <v>0</v>
      </c>
      <c r="AP810" t="s">
        <v>52</v>
      </c>
      <c r="AQ810" t="s">
        <v>52</v>
      </c>
      <c r="AR810" t="s">
        <v>62</v>
      </c>
      <c r="AS810" t="s">
        <v>52</v>
      </c>
      <c r="AT810" t="s">
        <v>74</v>
      </c>
      <c r="AU810" t="s">
        <v>64</v>
      </c>
      <c r="AV810" t="s">
        <v>62</v>
      </c>
      <c r="AW810" t="s">
        <v>65</v>
      </c>
      <c r="AX810" t="s">
        <v>66</v>
      </c>
      <c r="AY810" t="s">
        <v>76</v>
      </c>
    </row>
    <row r="811" spans="1:51" hidden="1" x14ac:dyDescent="0.25">
      <c r="A811">
        <v>202961</v>
      </c>
      <c r="B811" t="s">
        <v>3110</v>
      </c>
      <c r="C811" t="e">
        <f>VLOOKUP(A811,[1]Customer_payment_journal_line!$AL:$BO,30,0)</f>
        <v>#N/A</v>
      </c>
      <c r="D811" t="s">
        <v>76</v>
      </c>
      <c r="E811" t="s">
        <v>3101</v>
      </c>
      <c r="F811" t="s">
        <v>3102</v>
      </c>
      <c r="G811" t="s">
        <v>3069</v>
      </c>
      <c r="H811" t="s">
        <v>69</v>
      </c>
      <c r="I811" t="s">
        <v>3106</v>
      </c>
      <c r="J811" t="s">
        <v>3103</v>
      </c>
      <c r="K811" t="s">
        <v>3104</v>
      </c>
      <c r="L811" t="s">
        <v>52</v>
      </c>
      <c r="M811">
        <v>0</v>
      </c>
      <c r="N811">
        <v>6384</v>
      </c>
      <c r="O811" t="s">
        <v>61</v>
      </c>
      <c r="P811">
        <v>100</v>
      </c>
      <c r="Q811" t="s">
        <v>52</v>
      </c>
      <c r="R811" t="s">
        <v>52</v>
      </c>
      <c r="S811" t="s">
        <v>52</v>
      </c>
      <c r="T811" t="s">
        <v>52</v>
      </c>
      <c r="U811" t="s">
        <v>52</v>
      </c>
      <c r="V811" t="s">
        <v>62</v>
      </c>
      <c r="W811" t="s">
        <v>52</v>
      </c>
      <c r="Y811" t="s">
        <v>3107</v>
      </c>
      <c r="Z811" t="s">
        <v>62</v>
      </c>
      <c r="AB811" t="s">
        <v>3111</v>
      </c>
      <c r="AE811" t="s">
        <v>3112</v>
      </c>
      <c r="AF811" t="s">
        <v>52</v>
      </c>
      <c r="AH811">
        <v>0</v>
      </c>
      <c r="AI811">
        <v>0</v>
      </c>
      <c r="AJ811" t="s">
        <v>52</v>
      </c>
      <c r="AK811">
        <v>0</v>
      </c>
      <c r="AL811" t="s">
        <v>52</v>
      </c>
      <c r="AM811" t="s">
        <v>52</v>
      </c>
      <c r="AN811">
        <v>0</v>
      </c>
      <c r="AO811">
        <v>0</v>
      </c>
      <c r="AP811" t="s">
        <v>52</v>
      </c>
      <c r="AQ811" t="s">
        <v>52</v>
      </c>
      <c r="AR811" t="s">
        <v>62</v>
      </c>
      <c r="AS811" t="s">
        <v>52</v>
      </c>
      <c r="AT811" t="s">
        <v>74</v>
      </c>
      <c r="AU811" t="s">
        <v>64</v>
      </c>
      <c r="AV811" t="s">
        <v>62</v>
      </c>
      <c r="AW811" t="s">
        <v>65</v>
      </c>
      <c r="AX811" t="s">
        <v>66</v>
      </c>
      <c r="AY811" t="s">
        <v>76</v>
      </c>
    </row>
    <row r="812" spans="1:51" hidden="1" x14ac:dyDescent="0.25">
      <c r="A812">
        <v>202987</v>
      </c>
      <c r="B812" t="s">
        <v>3113</v>
      </c>
      <c r="C812" t="e">
        <f>VLOOKUP(A812,[1]Customer_payment_journal_line!$AL:$BO,30,0)</f>
        <v>#N/A</v>
      </c>
      <c r="D812" t="s">
        <v>76</v>
      </c>
      <c r="E812" t="s">
        <v>3114</v>
      </c>
      <c r="F812" t="s">
        <v>3115</v>
      </c>
      <c r="G812" t="s">
        <v>3069</v>
      </c>
      <c r="H812" t="s">
        <v>80</v>
      </c>
      <c r="I812" t="s">
        <v>81</v>
      </c>
      <c r="J812" t="s">
        <v>3116</v>
      </c>
      <c r="K812" t="s">
        <v>3117</v>
      </c>
      <c r="L812" t="s">
        <v>52</v>
      </c>
      <c r="M812">
        <v>2565</v>
      </c>
      <c r="N812">
        <v>0</v>
      </c>
      <c r="O812" t="s">
        <v>61</v>
      </c>
      <c r="P812">
        <v>100</v>
      </c>
      <c r="Q812" t="s">
        <v>52</v>
      </c>
      <c r="R812" t="s">
        <v>52</v>
      </c>
      <c r="S812" t="s">
        <v>52</v>
      </c>
      <c r="T812" t="s">
        <v>52</v>
      </c>
      <c r="U812" t="s">
        <v>52</v>
      </c>
      <c r="V812" t="s">
        <v>62</v>
      </c>
      <c r="W812" t="s">
        <v>52</v>
      </c>
      <c r="Y812" t="s">
        <v>52</v>
      </c>
      <c r="AB812" t="s">
        <v>52</v>
      </c>
      <c r="AE812" t="s">
        <v>52</v>
      </c>
      <c r="AF812" t="s">
        <v>52</v>
      </c>
      <c r="AH812">
        <v>0</v>
      </c>
      <c r="AI812">
        <v>0</v>
      </c>
      <c r="AJ812" t="s">
        <v>52</v>
      </c>
      <c r="AK812">
        <v>0</v>
      </c>
      <c r="AL812" t="s">
        <v>52</v>
      </c>
      <c r="AM812" t="s">
        <v>52</v>
      </c>
      <c r="AN812">
        <v>0</v>
      </c>
      <c r="AO812">
        <v>0</v>
      </c>
      <c r="AP812" t="s">
        <v>52</v>
      </c>
      <c r="AQ812" t="s">
        <v>52</v>
      </c>
      <c r="AR812" t="s">
        <v>62</v>
      </c>
      <c r="AS812" t="s">
        <v>52</v>
      </c>
      <c r="AT812" t="s">
        <v>52</v>
      </c>
      <c r="AU812" t="s">
        <v>64</v>
      </c>
      <c r="AV812" t="s">
        <v>62</v>
      </c>
      <c r="AW812" t="s">
        <v>65</v>
      </c>
      <c r="AX812" t="s">
        <v>66</v>
      </c>
      <c r="AY812" t="s">
        <v>76</v>
      </c>
    </row>
    <row r="813" spans="1:51" hidden="1" x14ac:dyDescent="0.25">
      <c r="A813">
        <v>202987</v>
      </c>
      <c r="B813" t="s">
        <v>3118</v>
      </c>
      <c r="C813" t="e">
        <f>VLOOKUP(A813,[1]Customer_payment_journal_line!$AL:$BO,30,0)</f>
        <v>#N/A</v>
      </c>
      <c r="D813" t="s">
        <v>76</v>
      </c>
      <c r="E813" t="s">
        <v>3114</v>
      </c>
      <c r="F813" t="s">
        <v>3115</v>
      </c>
      <c r="G813" t="s">
        <v>3069</v>
      </c>
      <c r="H813" t="s">
        <v>69</v>
      </c>
      <c r="I813" t="s">
        <v>3119</v>
      </c>
      <c r="J813" t="s">
        <v>3116</v>
      </c>
      <c r="K813" t="s">
        <v>3117</v>
      </c>
      <c r="L813" t="s">
        <v>52</v>
      </c>
      <c r="M813">
        <v>0</v>
      </c>
      <c r="N813">
        <v>855</v>
      </c>
      <c r="O813" t="s">
        <v>61</v>
      </c>
      <c r="P813">
        <v>100</v>
      </c>
      <c r="Q813" t="s">
        <v>52</v>
      </c>
      <c r="R813" t="s">
        <v>52</v>
      </c>
      <c r="S813" t="s">
        <v>52</v>
      </c>
      <c r="T813" t="s">
        <v>52</v>
      </c>
      <c r="U813" t="s">
        <v>52</v>
      </c>
      <c r="V813" t="s">
        <v>62</v>
      </c>
      <c r="W813" t="s">
        <v>52</v>
      </c>
      <c r="Y813" t="s">
        <v>3120</v>
      </c>
      <c r="Z813" t="s">
        <v>62</v>
      </c>
      <c r="AB813" t="s">
        <v>3121</v>
      </c>
      <c r="AE813" t="s">
        <v>3122</v>
      </c>
      <c r="AF813" t="s">
        <v>52</v>
      </c>
      <c r="AH813">
        <v>0</v>
      </c>
      <c r="AI813">
        <v>0</v>
      </c>
      <c r="AJ813" t="s">
        <v>52</v>
      </c>
      <c r="AK813">
        <v>0</v>
      </c>
      <c r="AL813" t="s">
        <v>52</v>
      </c>
      <c r="AM813" t="s">
        <v>52</v>
      </c>
      <c r="AN813">
        <v>0</v>
      </c>
      <c r="AO813">
        <v>0</v>
      </c>
      <c r="AP813" t="s">
        <v>52</v>
      </c>
      <c r="AQ813" t="s">
        <v>52</v>
      </c>
      <c r="AR813" t="s">
        <v>62</v>
      </c>
      <c r="AS813" t="s">
        <v>52</v>
      </c>
      <c r="AT813" t="s">
        <v>74</v>
      </c>
      <c r="AU813" t="s">
        <v>64</v>
      </c>
      <c r="AV813" t="s">
        <v>62</v>
      </c>
      <c r="AW813" t="s">
        <v>65</v>
      </c>
      <c r="AX813" t="s">
        <v>66</v>
      </c>
      <c r="AY813" t="s">
        <v>76</v>
      </c>
    </row>
    <row r="814" spans="1:51" hidden="1" x14ac:dyDescent="0.25">
      <c r="A814">
        <v>202987</v>
      </c>
      <c r="B814" t="s">
        <v>3123</v>
      </c>
      <c r="C814" t="e">
        <f>VLOOKUP(A814,[1]Customer_payment_journal_line!$AL:$BO,30,0)</f>
        <v>#N/A</v>
      </c>
      <c r="D814" t="s">
        <v>76</v>
      </c>
      <c r="E814" t="s">
        <v>3114</v>
      </c>
      <c r="F814" t="s">
        <v>3115</v>
      </c>
      <c r="G814" t="s">
        <v>3069</v>
      </c>
      <c r="H814" t="s">
        <v>69</v>
      </c>
      <c r="I814" t="s">
        <v>3119</v>
      </c>
      <c r="J814" t="s">
        <v>3116</v>
      </c>
      <c r="K814" t="s">
        <v>3117</v>
      </c>
      <c r="L814" t="s">
        <v>52</v>
      </c>
      <c r="M814">
        <v>0</v>
      </c>
      <c r="N814">
        <v>1710</v>
      </c>
      <c r="O814" t="s">
        <v>61</v>
      </c>
      <c r="P814">
        <v>100</v>
      </c>
      <c r="Q814" t="s">
        <v>52</v>
      </c>
      <c r="R814" t="s">
        <v>52</v>
      </c>
      <c r="S814" t="s">
        <v>52</v>
      </c>
      <c r="T814" t="s">
        <v>52</v>
      </c>
      <c r="U814" t="s">
        <v>52</v>
      </c>
      <c r="V814" t="s">
        <v>62</v>
      </c>
      <c r="W814" t="s">
        <v>52</v>
      </c>
      <c r="Y814" t="s">
        <v>3120</v>
      </c>
      <c r="Z814" t="s">
        <v>62</v>
      </c>
      <c r="AB814" t="s">
        <v>3124</v>
      </c>
      <c r="AE814" t="s">
        <v>3125</v>
      </c>
      <c r="AF814" t="s">
        <v>52</v>
      </c>
      <c r="AH814">
        <v>0</v>
      </c>
      <c r="AI814">
        <v>0</v>
      </c>
      <c r="AJ814" t="s">
        <v>52</v>
      </c>
      <c r="AK814">
        <v>0</v>
      </c>
      <c r="AL814" t="s">
        <v>52</v>
      </c>
      <c r="AM814" t="s">
        <v>52</v>
      </c>
      <c r="AN814">
        <v>0</v>
      </c>
      <c r="AO814">
        <v>0</v>
      </c>
      <c r="AP814" t="s">
        <v>52</v>
      </c>
      <c r="AQ814" t="s">
        <v>52</v>
      </c>
      <c r="AR814" t="s">
        <v>62</v>
      </c>
      <c r="AS814" t="s">
        <v>52</v>
      </c>
      <c r="AT814" t="s">
        <v>74</v>
      </c>
      <c r="AU814" t="s">
        <v>64</v>
      </c>
      <c r="AV814" t="s">
        <v>62</v>
      </c>
      <c r="AW814" t="s">
        <v>65</v>
      </c>
      <c r="AX814" t="s">
        <v>66</v>
      </c>
      <c r="AY814" t="s">
        <v>76</v>
      </c>
    </row>
    <row r="815" spans="1:51" hidden="1" x14ac:dyDescent="0.25">
      <c r="A815">
        <v>202993</v>
      </c>
      <c r="B815" t="s">
        <v>3126</v>
      </c>
      <c r="C815" t="e">
        <f>VLOOKUP(A815,[1]Customer_payment_journal_line!$AL:$BO,30,0)</f>
        <v>#N/A</v>
      </c>
      <c r="D815" t="s">
        <v>76</v>
      </c>
      <c r="E815" t="s">
        <v>3127</v>
      </c>
      <c r="F815" t="s">
        <v>3128</v>
      </c>
      <c r="G815" t="s">
        <v>3069</v>
      </c>
      <c r="H815" t="s">
        <v>80</v>
      </c>
      <c r="I815" t="s">
        <v>81</v>
      </c>
      <c r="J815" t="s">
        <v>3129</v>
      </c>
      <c r="K815" t="s">
        <v>3130</v>
      </c>
      <c r="L815" t="s">
        <v>52</v>
      </c>
      <c r="M815">
        <v>1812.6</v>
      </c>
      <c r="N815">
        <v>0</v>
      </c>
      <c r="O815" t="s">
        <v>61</v>
      </c>
      <c r="P815">
        <v>100</v>
      </c>
      <c r="Q815" t="s">
        <v>52</v>
      </c>
      <c r="R815" t="s">
        <v>52</v>
      </c>
      <c r="S815" t="s">
        <v>52</v>
      </c>
      <c r="T815" t="s">
        <v>52</v>
      </c>
      <c r="U815" t="s">
        <v>52</v>
      </c>
      <c r="V815" t="s">
        <v>62</v>
      </c>
      <c r="W815" t="s">
        <v>52</v>
      </c>
      <c r="Y815" t="s">
        <v>52</v>
      </c>
      <c r="AB815" t="s">
        <v>52</v>
      </c>
      <c r="AE815" t="s">
        <v>52</v>
      </c>
      <c r="AF815" t="s">
        <v>52</v>
      </c>
      <c r="AH815">
        <v>0</v>
      </c>
      <c r="AI815">
        <v>0</v>
      </c>
      <c r="AJ815" t="s">
        <v>52</v>
      </c>
      <c r="AK815">
        <v>0</v>
      </c>
      <c r="AL815" t="s">
        <v>52</v>
      </c>
      <c r="AM815" t="s">
        <v>52</v>
      </c>
      <c r="AN815">
        <v>0</v>
      </c>
      <c r="AO815">
        <v>0</v>
      </c>
      <c r="AP815" t="s">
        <v>52</v>
      </c>
      <c r="AQ815" t="s">
        <v>52</v>
      </c>
      <c r="AR815" t="s">
        <v>62</v>
      </c>
      <c r="AS815" t="s">
        <v>52</v>
      </c>
      <c r="AT815" t="s">
        <v>52</v>
      </c>
      <c r="AU815" t="s">
        <v>64</v>
      </c>
      <c r="AV815" t="s">
        <v>62</v>
      </c>
      <c r="AW815" t="s">
        <v>65</v>
      </c>
      <c r="AX815" t="s">
        <v>66</v>
      </c>
      <c r="AY815" t="s">
        <v>76</v>
      </c>
    </row>
    <row r="816" spans="1:51" hidden="1" x14ac:dyDescent="0.25">
      <c r="A816">
        <v>202993</v>
      </c>
      <c r="B816" t="s">
        <v>3131</v>
      </c>
      <c r="C816" t="e">
        <f>VLOOKUP(A816,[1]Customer_payment_journal_line!$AL:$BO,30,0)</f>
        <v>#N/A</v>
      </c>
      <c r="D816" t="s">
        <v>76</v>
      </c>
      <c r="E816" t="s">
        <v>3127</v>
      </c>
      <c r="F816" t="s">
        <v>3128</v>
      </c>
      <c r="G816" t="s">
        <v>3069</v>
      </c>
      <c r="H816" t="s">
        <v>69</v>
      </c>
      <c r="I816" t="s">
        <v>3132</v>
      </c>
      <c r="J816" t="s">
        <v>3129</v>
      </c>
      <c r="K816" t="s">
        <v>3130</v>
      </c>
      <c r="L816" t="s">
        <v>52</v>
      </c>
      <c r="M816">
        <v>0</v>
      </c>
      <c r="N816">
        <v>855</v>
      </c>
      <c r="O816" t="s">
        <v>61</v>
      </c>
      <c r="P816">
        <v>100</v>
      </c>
      <c r="Q816" t="s">
        <v>52</v>
      </c>
      <c r="R816" t="s">
        <v>52</v>
      </c>
      <c r="S816" t="s">
        <v>52</v>
      </c>
      <c r="T816" t="s">
        <v>52</v>
      </c>
      <c r="U816" t="s">
        <v>52</v>
      </c>
      <c r="V816" t="s">
        <v>62</v>
      </c>
      <c r="W816" t="s">
        <v>52</v>
      </c>
      <c r="Y816" t="s">
        <v>3133</v>
      </c>
      <c r="Z816" t="s">
        <v>62</v>
      </c>
      <c r="AB816" t="s">
        <v>3134</v>
      </c>
      <c r="AE816" t="s">
        <v>3135</v>
      </c>
      <c r="AF816" t="s">
        <v>52</v>
      </c>
      <c r="AH816">
        <v>0</v>
      </c>
      <c r="AI816">
        <v>0</v>
      </c>
      <c r="AJ816" t="s">
        <v>52</v>
      </c>
      <c r="AK816">
        <v>0</v>
      </c>
      <c r="AL816" t="s">
        <v>52</v>
      </c>
      <c r="AM816" t="s">
        <v>52</v>
      </c>
      <c r="AN816">
        <v>0</v>
      </c>
      <c r="AO816">
        <v>0</v>
      </c>
      <c r="AP816" t="s">
        <v>52</v>
      </c>
      <c r="AQ816" t="s">
        <v>52</v>
      </c>
      <c r="AR816" t="s">
        <v>62</v>
      </c>
      <c r="AS816" t="s">
        <v>52</v>
      </c>
      <c r="AT816" t="s">
        <v>74</v>
      </c>
      <c r="AU816" t="s">
        <v>64</v>
      </c>
      <c r="AV816" t="s">
        <v>62</v>
      </c>
      <c r="AW816" t="s">
        <v>65</v>
      </c>
      <c r="AX816" t="s">
        <v>66</v>
      </c>
      <c r="AY816" t="s">
        <v>76</v>
      </c>
    </row>
    <row r="817" spans="1:51" hidden="1" x14ac:dyDescent="0.25">
      <c r="A817">
        <v>202993</v>
      </c>
      <c r="B817" t="s">
        <v>3136</v>
      </c>
      <c r="C817" t="e">
        <f>VLOOKUP(A817,[1]Customer_payment_journal_line!$AL:$BO,30,0)</f>
        <v>#N/A</v>
      </c>
      <c r="D817" t="s">
        <v>76</v>
      </c>
      <c r="E817" t="s">
        <v>3127</v>
      </c>
      <c r="F817" t="s">
        <v>3128</v>
      </c>
      <c r="G817" t="s">
        <v>3069</v>
      </c>
      <c r="H817" t="s">
        <v>69</v>
      </c>
      <c r="I817" t="s">
        <v>3132</v>
      </c>
      <c r="J817" t="s">
        <v>3129</v>
      </c>
      <c r="K817" t="s">
        <v>3130</v>
      </c>
      <c r="L817" t="s">
        <v>52</v>
      </c>
      <c r="M817">
        <v>0</v>
      </c>
      <c r="N817">
        <v>957.6</v>
      </c>
      <c r="O817" t="s">
        <v>61</v>
      </c>
      <c r="P817">
        <v>100</v>
      </c>
      <c r="Q817" t="s">
        <v>52</v>
      </c>
      <c r="R817" t="s">
        <v>52</v>
      </c>
      <c r="S817" t="s">
        <v>52</v>
      </c>
      <c r="T817" t="s">
        <v>52</v>
      </c>
      <c r="U817" t="s">
        <v>52</v>
      </c>
      <c r="V817" t="s">
        <v>62</v>
      </c>
      <c r="W817" t="s">
        <v>52</v>
      </c>
      <c r="Y817" t="s">
        <v>3133</v>
      </c>
      <c r="Z817" t="s">
        <v>62</v>
      </c>
      <c r="AB817" t="s">
        <v>3137</v>
      </c>
      <c r="AE817" t="s">
        <v>3138</v>
      </c>
      <c r="AF817" t="s">
        <v>52</v>
      </c>
      <c r="AH817">
        <v>0</v>
      </c>
      <c r="AI817">
        <v>0</v>
      </c>
      <c r="AJ817" t="s">
        <v>52</v>
      </c>
      <c r="AK817">
        <v>0</v>
      </c>
      <c r="AL817" t="s">
        <v>52</v>
      </c>
      <c r="AM817" t="s">
        <v>52</v>
      </c>
      <c r="AN817">
        <v>0</v>
      </c>
      <c r="AO817">
        <v>0</v>
      </c>
      <c r="AP817" t="s">
        <v>52</v>
      </c>
      <c r="AQ817" t="s">
        <v>52</v>
      </c>
      <c r="AR817" t="s">
        <v>62</v>
      </c>
      <c r="AS817" t="s">
        <v>52</v>
      </c>
      <c r="AT817" t="s">
        <v>74</v>
      </c>
      <c r="AU817" t="s">
        <v>64</v>
      </c>
      <c r="AV817" t="s">
        <v>62</v>
      </c>
      <c r="AW817" t="s">
        <v>65</v>
      </c>
      <c r="AX817" t="s">
        <v>66</v>
      </c>
      <c r="AY817" t="s">
        <v>76</v>
      </c>
    </row>
    <row r="818" spans="1:51" hidden="1" x14ac:dyDescent="0.25">
      <c r="A818">
        <v>203005</v>
      </c>
      <c r="B818" t="s">
        <v>3139</v>
      </c>
      <c r="C818" t="str">
        <f>VLOOKUP(A818,[1]Customer_payment_journal_line!$AL:$BO,30,0)</f>
        <v>CPay-000000059</v>
      </c>
      <c r="D818" t="s">
        <v>53</v>
      </c>
      <c r="E818" t="s">
        <v>3140</v>
      </c>
      <c r="F818" t="s">
        <v>3141</v>
      </c>
      <c r="G818" t="s">
        <v>3069</v>
      </c>
      <c r="H818" t="s">
        <v>57</v>
      </c>
      <c r="I818" t="s">
        <v>95</v>
      </c>
      <c r="J818" t="s">
        <v>3142</v>
      </c>
      <c r="K818" t="s">
        <v>3143</v>
      </c>
      <c r="L818">
        <f>VLOOKUP(A818,[1]Customer_payment_journal_line!$B:$L,11,0)</f>
        <v>755.14</v>
      </c>
      <c r="M818" s="1">
        <v>755.14</v>
      </c>
      <c r="N818" s="2">
        <f>L818-M818</f>
        <v>0</v>
      </c>
      <c r="O818" t="s">
        <v>61</v>
      </c>
      <c r="P818">
        <v>100</v>
      </c>
      <c r="Q818" t="s">
        <v>52</v>
      </c>
      <c r="R818" t="s">
        <v>52</v>
      </c>
      <c r="S818" t="s">
        <v>52</v>
      </c>
      <c r="T818" t="s">
        <v>52</v>
      </c>
      <c r="U818" t="s">
        <v>52</v>
      </c>
      <c r="V818" t="s">
        <v>62</v>
      </c>
      <c r="W818" t="s">
        <v>63</v>
      </c>
      <c r="Y818" t="s">
        <v>52</v>
      </c>
      <c r="AB818" t="s">
        <v>52</v>
      </c>
      <c r="AE818" t="s">
        <v>52</v>
      </c>
      <c r="AF818" t="s">
        <v>52</v>
      </c>
      <c r="AH818">
        <v>0</v>
      </c>
      <c r="AI818">
        <v>0</v>
      </c>
      <c r="AJ818" t="s">
        <v>52</v>
      </c>
      <c r="AK818">
        <v>0</v>
      </c>
      <c r="AL818" t="s">
        <v>52</v>
      </c>
      <c r="AM818" t="s">
        <v>52</v>
      </c>
      <c r="AN818">
        <v>0</v>
      </c>
      <c r="AO818">
        <v>0</v>
      </c>
      <c r="AP818" t="s">
        <v>52</v>
      </c>
      <c r="AQ818" t="s">
        <v>52</v>
      </c>
      <c r="AR818" t="s">
        <v>62</v>
      </c>
      <c r="AS818" t="s">
        <v>52</v>
      </c>
      <c r="AT818" t="s">
        <v>52</v>
      </c>
      <c r="AU818" t="s">
        <v>64</v>
      </c>
      <c r="AV818" t="s">
        <v>62</v>
      </c>
      <c r="AW818" t="s">
        <v>65</v>
      </c>
      <c r="AX818" t="s">
        <v>66</v>
      </c>
      <c r="AY818" t="s">
        <v>67</v>
      </c>
    </row>
    <row r="819" spans="1:51" hidden="1" x14ac:dyDescent="0.25">
      <c r="A819">
        <v>203005</v>
      </c>
      <c r="B819" t="s">
        <v>3144</v>
      </c>
      <c r="C819" t="str">
        <f>VLOOKUP(A819,[1]Customer_payment_journal_line!$AL:$BO,30,0)</f>
        <v>CPay-000000059</v>
      </c>
      <c r="D819" t="s">
        <v>53</v>
      </c>
      <c r="E819" t="s">
        <v>3140</v>
      </c>
      <c r="F819" t="s">
        <v>3141</v>
      </c>
      <c r="G819" t="s">
        <v>3069</v>
      </c>
      <c r="H819" t="s">
        <v>69</v>
      </c>
      <c r="I819" t="s">
        <v>2988</v>
      </c>
      <c r="J819" t="s">
        <v>3142</v>
      </c>
      <c r="K819" t="s">
        <v>3143</v>
      </c>
      <c r="L819">
        <f>VLOOKUP(A819,[1]Customer_payment_journal_line!$B:$L,11,0)</f>
        <v>755.14</v>
      </c>
      <c r="M819" s="1">
        <v>0</v>
      </c>
      <c r="N819">
        <v>755.14</v>
      </c>
      <c r="O819" t="s">
        <v>61</v>
      </c>
      <c r="P819">
        <v>100</v>
      </c>
      <c r="Q819" t="s">
        <v>52</v>
      </c>
      <c r="R819" t="s">
        <v>52</v>
      </c>
      <c r="S819" t="s">
        <v>52</v>
      </c>
      <c r="T819" t="s">
        <v>52</v>
      </c>
      <c r="U819" t="s">
        <v>52</v>
      </c>
      <c r="V819" t="s">
        <v>62</v>
      </c>
      <c r="W819" t="s">
        <v>52</v>
      </c>
      <c r="Y819" t="s">
        <v>2989</v>
      </c>
      <c r="Z819" t="s">
        <v>62</v>
      </c>
      <c r="AB819" t="s">
        <v>3145</v>
      </c>
      <c r="AE819" t="s">
        <v>3146</v>
      </c>
      <c r="AF819" t="s">
        <v>52</v>
      </c>
      <c r="AH819">
        <v>0</v>
      </c>
      <c r="AI819">
        <v>0</v>
      </c>
      <c r="AJ819" t="s">
        <v>52</v>
      </c>
      <c r="AK819">
        <v>0</v>
      </c>
      <c r="AL819" t="s">
        <v>52</v>
      </c>
      <c r="AM819" t="s">
        <v>52</v>
      </c>
      <c r="AN819">
        <v>0</v>
      </c>
      <c r="AO819">
        <v>0</v>
      </c>
      <c r="AP819" t="s">
        <v>52</v>
      </c>
      <c r="AQ819" t="s">
        <v>52</v>
      </c>
      <c r="AR819" t="s">
        <v>62</v>
      </c>
      <c r="AS819" t="s">
        <v>52</v>
      </c>
      <c r="AT819" t="s">
        <v>74</v>
      </c>
      <c r="AU819" t="s">
        <v>64</v>
      </c>
      <c r="AV819" t="s">
        <v>62</v>
      </c>
      <c r="AW819" t="s">
        <v>65</v>
      </c>
      <c r="AX819" t="s">
        <v>66</v>
      </c>
      <c r="AY819" t="s">
        <v>67</v>
      </c>
    </row>
    <row r="820" spans="1:51" hidden="1" x14ac:dyDescent="0.25">
      <c r="A820">
        <v>203006</v>
      </c>
      <c r="B820" t="s">
        <v>3147</v>
      </c>
      <c r="C820" t="str">
        <f>VLOOKUP(A820,[1]Customer_payment_journal_line!$AL:$BO,30,0)</f>
        <v>CPay-000000060</v>
      </c>
      <c r="D820" t="s">
        <v>53</v>
      </c>
      <c r="E820" t="s">
        <v>3148</v>
      </c>
      <c r="F820" t="s">
        <v>3149</v>
      </c>
      <c r="G820" t="s">
        <v>3069</v>
      </c>
      <c r="H820" t="s">
        <v>57</v>
      </c>
      <c r="I820" t="s">
        <v>95</v>
      </c>
      <c r="J820" t="s">
        <v>3142</v>
      </c>
      <c r="K820" t="s">
        <v>3143</v>
      </c>
      <c r="L820">
        <f>VLOOKUP(A820,[1]Customer_payment_journal_line!$B:$L,11,0)</f>
        <v>1653</v>
      </c>
      <c r="M820" s="1">
        <v>1653</v>
      </c>
      <c r="N820" s="2">
        <f>L820-M820</f>
        <v>0</v>
      </c>
      <c r="O820" t="s">
        <v>61</v>
      </c>
      <c r="P820">
        <v>100</v>
      </c>
      <c r="Q820" t="s">
        <v>52</v>
      </c>
      <c r="R820" t="s">
        <v>52</v>
      </c>
      <c r="S820" t="s">
        <v>52</v>
      </c>
      <c r="T820" t="s">
        <v>52</v>
      </c>
      <c r="U820" t="s">
        <v>52</v>
      </c>
      <c r="V820" t="s">
        <v>62</v>
      </c>
      <c r="W820" t="s">
        <v>63</v>
      </c>
      <c r="Y820" t="s">
        <v>52</v>
      </c>
      <c r="AB820" t="s">
        <v>52</v>
      </c>
      <c r="AE820" t="s">
        <v>52</v>
      </c>
      <c r="AF820" t="s">
        <v>52</v>
      </c>
      <c r="AH820">
        <v>0</v>
      </c>
      <c r="AI820">
        <v>0</v>
      </c>
      <c r="AJ820" t="s">
        <v>52</v>
      </c>
      <c r="AK820">
        <v>0</v>
      </c>
      <c r="AL820" t="s">
        <v>52</v>
      </c>
      <c r="AM820" t="s">
        <v>52</v>
      </c>
      <c r="AN820">
        <v>0</v>
      </c>
      <c r="AO820">
        <v>0</v>
      </c>
      <c r="AP820" t="s">
        <v>52</v>
      </c>
      <c r="AQ820" t="s">
        <v>52</v>
      </c>
      <c r="AR820" t="s">
        <v>62</v>
      </c>
      <c r="AS820" t="s">
        <v>52</v>
      </c>
      <c r="AT820" t="s">
        <v>52</v>
      </c>
      <c r="AU820" t="s">
        <v>64</v>
      </c>
      <c r="AV820" t="s">
        <v>62</v>
      </c>
      <c r="AW820" t="s">
        <v>65</v>
      </c>
      <c r="AX820" t="s">
        <v>66</v>
      </c>
      <c r="AY820" t="s">
        <v>67</v>
      </c>
    </row>
    <row r="821" spans="1:51" hidden="1" x14ac:dyDescent="0.25">
      <c r="A821">
        <v>203006</v>
      </c>
      <c r="B821" t="s">
        <v>3150</v>
      </c>
      <c r="C821" t="str">
        <f>VLOOKUP(A821,[1]Customer_payment_journal_line!$AL:$BO,30,0)</f>
        <v>CPay-000000060</v>
      </c>
      <c r="D821" t="s">
        <v>53</v>
      </c>
      <c r="E821" t="s">
        <v>3148</v>
      </c>
      <c r="F821" t="s">
        <v>3149</v>
      </c>
      <c r="G821" t="s">
        <v>3069</v>
      </c>
      <c r="H821" t="s">
        <v>69</v>
      </c>
      <c r="I821" t="s">
        <v>2988</v>
      </c>
      <c r="J821" t="s">
        <v>3142</v>
      </c>
      <c r="K821" t="s">
        <v>3143</v>
      </c>
      <c r="L821">
        <f>VLOOKUP(A821,[1]Customer_payment_journal_line!$B:$L,11,0)</f>
        <v>1653</v>
      </c>
      <c r="M821" s="1">
        <v>0</v>
      </c>
      <c r="N821">
        <v>1653</v>
      </c>
      <c r="O821" t="s">
        <v>61</v>
      </c>
      <c r="P821">
        <v>100</v>
      </c>
      <c r="Q821" t="s">
        <v>52</v>
      </c>
      <c r="R821" t="s">
        <v>52</v>
      </c>
      <c r="S821" t="s">
        <v>52</v>
      </c>
      <c r="T821" t="s">
        <v>52</v>
      </c>
      <c r="U821" t="s">
        <v>52</v>
      </c>
      <c r="V821" t="s">
        <v>62</v>
      </c>
      <c r="W821" t="s">
        <v>52</v>
      </c>
      <c r="Y821" t="s">
        <v>2989</v>
      </c>
      <c r="Z821" t="s">
        <v>62</v>
      </c>
      <c r="AB821" t="s">
        <v>3151</v>
      </c>
      <c r="AE821" t="s">
        <v>3152</v>
      </c>
      <c r="AF821" t="s">
        <v>52</v>
      </c>
      <c r="AH821">
        <v>0</v>
      </c>
      <c r="AI821">
        <v>0</v>
      </c>
      <c r="AJ821" t="s">
        <v>52</v>
      </c>
      <c r="AK821">
        <v>0</v>
      </c>
      <c r="AL821" t="s">
        <v>52</v>
      </c>
      <c r="AM821" t="s">
        <v>52</v>
      </c>
      <c r="AN821">
        <v>0</v>
      </c>
      <c r="AO821">
        <v>0</v>
      </c>
      <c r="AP821" t="s">
        <v>52</v>
      </c>
      <c r="AQ821" t="s">
        <v>52</v>
      </c>
      <c r="AR821" t="s">
        <v>62</v>
      </c>
      <c r="AS821" t="s">
        <v>52</v>
      </c>
      <c r="AT821" t="s">
        <v>74</v>
      </c>
      <c r="AU821" t="s">
        <v>64</v>
      </c>
      <c r="AV821" t="s">
        <v>62</v>
      </c>
      <c r="AW821" t="s">
        <v>65</v>
      </c>
      <c r="AX821" t="s">
        <v>66</v>
      </c>
      <c r="AY821" t="s">
        <v>67</v>
      </c>
    </row>
    <row r="822" spans="1:51" hidden="1" x14ac:dyDescent="0.25">
      <c r="A822">
        <v>203012</v>
      </c>
      <c r="B822" t="s">
        <v>3153</v>
      </c>
      <c r="C822" t="e">
        <f>VLOOKUP(A822,[1]Customer_payment_journal_line!$AL:$BO,30,0)</f>
        <v>#N/A</v>
      </c>
      <c r="D822" t="s">
        <v>644</v>
      </c>
      <c r="E822" t="s">
        <v>3154</v>
      </c>
      <c r="F822" t="s">
        <v>3155</v>
      </c>
      <c r="G822" t="s">
        <v>3069</v>
      </c>
      <c r="H822" t="s">
        <v>69</v>
      </c>
      <c r="I822" t="s">
        <v>3156</v>
      </c>
      <c r="J822" t="s">
        <v>3157</v>
      </c>
      <c r="K822" t="s">
        <v>3158</v>
      </c>
      <c r="L822" t="s">
        <v>52</v>
      </c>
      <c r="M822">
        <v>0</v>
      </c>
      <c r="N822">
        <v>855</v>
      </c>
      <c r="O822" t="s">
        <v>61</v>
      </c>
      <c r="P822">
        <v>100</v>
      </c>
      <c r="Q822" t="s">
        <v>52</v>
      </c>
      <c r="R822" t="s">
        <v>52</v>
      </c>
      <c r="S822" t="s">
        <v>52</v>
      </c>
      <c r="T822" t="s">
        <v>52</v>
      </c>
      <c r="U822" t="s">
        <v>52</v>
      </c>
      <c r="V822" t="s">
        <v>62</v>
      </c>
      <c r="W822" t="s">
        <v>52</v>
      </c>
      <c r="Y822" t="s">
        <v>3159</v>
      </c>
      <c r="Z822" t="s">
        <v>62</v>
      </c>
      <c r="AB822" t="s">
        <v>3160</v>
      </c>
      <c r="AE822" t="s">
        <v>3161</v>
      </c>
      <c r="AF822" t="s">
        <v>632</v>
      </c>
      <c r="AG822" t="s">
        <v>3162</v>
      </c>
      <c r="AH822">
        <v>0</v>
      </c>
      <c r="AI822">
        <v>0</v>
      </c>
      <c r="AJ822" t="s">
        <v>52</v>
      </c>
      <c r="AK822">
        <v>0</v>
      </c>
      <c r="AL822" t="s">
        <v>52</v>
      </c>
      <c r="AM822" t="s">
        <v>52</v>
      </c>
      <c r="AN822">
        <v>0</v>
      </c>
      <c r="AO822">
        <v>0</v>
      </c>
      <c r="AP822" t="s">
        <v>52</v>
      </c>
      <c r="AQ822" t="s">
        <v>52</v>
      </c>
      <c r="AR822" t="s">
        <v>62</v>
      </c>
      <c r="AS822" t="s">
        <v>52</v>
      </c>
      <c r="AT822" t="s">
        <v>74</v>
      </c>
      <c r="AU822" t="s">
        <v>64</v>
      </c>
      <c r="AV822" t="s">
        <v>62</v>
      </c>
      <c r="AW822" t="s">
        <v>65</v>
      </c>
      <c r="AX822" t="s">
        <v>66</v>
      </c>
      <c r="AY822" t="s">
        <v>654</v>
      </c>
    </row>
    <row r="823" spans="1:51" hidden="1" x14ac:dyDescent="0.25">
      <c r="A823">
        <v>203012</v>
      </c>
      <c r="B823" t="s">
        <v>3163</v>
      </c>
      <c r="C823" t="e">
        <f>VLOOKUP(A823,[1]Customer_payment_journal_line!$AL:$BO,30,0)</f>
        <v>#N/A</v>
      </c>
      <c r="D823" t="s">
        <v>644</v>
      </c>
      <c r="E823" t="s">
        <v>3154</v>
      </c>
      <c r="F823" t="s">
        <v>3155</v>
      </c>
      <c r="G823" t="s">
        <v>3069</v>
      </c>
      <c r="H823" t="s">
        <v>210</v>
      </c>
      <c r="I823" t="s">
        <v>3164</v>
      </c>
      <c r="K823" t="s">
        <v>3158</v>
      </c>
      <c r="L823" t="s">
        <v>52</v>
      </c>
      <c r="M823">
        <v>108549.2</v>
      </c>
      <c r="N823">
        <v>0</v>
      </c>
      <c r="O823" t="s">
        <v>61</v>
      </c>
      <c r="P823">
        <v>100</v>
      </c>
      <c r="Q823" t="s">
        <v>52</v>
      </c>
      <c r="R823" t="s">
        <v>52</v>
      </c>
      <c r="S823" t="s">
        <v>52</v>
      </c>
      <c r="T823" t="s">
        <v>52</v>
      </c>
      <c r="U823" t="s">
        <v>52</v>
      </c>
      <c r="V823" t="s">
        <v>62</v>
      </c>
      <c r="W823" t="s">
        <v>63</v>
      </c>
      <c r="Y823" t="s">
        <v>52</v>
      </c>
      <c r="AB823" t="s">
        <v>3165</v>
      </c>
      <c r="AE823" t="s">
        <v>3166</v>
      </c>
      <c r="AF823" t="s">
        <v>632</v>
      </c>
      <c r="AG823" t="s">
        <v>3162</v>
      </c>
      <c r="AH823">
        <v>0</v>
      </c>
      <c r="AI823">
        <v>0</v>
      </c>
      <c r="AJ823" t="s">
        <v>52</v>
      </c>
      <c r="AK823">
        <v>0</v>
      </c>
      <c r="AL823" t="s">
        <v>52</v>
      </c>
      <c r="AM823" t="s">
        <v>52</v>
      </c>
      <c r="AN823">
        <v>0</v>
      </c>
      <c r="AO823">
        <v>0</v>
      </c>
      <c r="AP823" t="s">
        <v>52</v>
      </c>
      <c r="AQ823" t="s">
        <v>52</v>
      </c>
      <c r="AR823" t="s">
        <v>62</v>
      </c>
      <c r="AS823" t="s">
        <v>52</v>
      </c>
      <c r="AT823" t="s">
        <v>52</v>
      </c>
      <c r="AU823" t="s">
        <v>64</v>
      </c>
      <c r="AV823" t="s">
        <v>62</v>
      </c>
      <c r="AW823" t="s">
        <v>65</v>
      </c>
      <c r="AX823" t="s">
        <v>66</v>
      </c>
      <c r="AY823" t="s">
        <v>654</v>
      </c>
    </row>
    <row r="824" spans="1:51" hidden="1" x14ac:dyDescent="0.25">
      <c r="A824">
        <v>203012</v>
      </c>
      <c r="B824" t="s">
        <v>3167</v>
      </c>
      <c r="C824" t="e">
        <f>VLOOKUP(A824,[1]Customer_payment_journal_line!$AL:$BO,30,0)</f>
        <v>#N/A</v>
      </c>
      <c r="D824" t="s">
        <v>644</v>
      </c>
      <c r="E824" t="s">
        <v>3154</v>
      </c>
      <c r="F824" t="s">
        <v>3155</v>
      </c>
      <c r="G824" t="s">
        <v>3069</v>
      </c>
      <c r="H824" t="s">
        <v>69</v>
      </c>
      <c r="I824" t="s">
        <v>3156</v>
      </c>
      <c r="J824" t="s">
        <v>3157</v>
      </c>
      <c r="K824" t="s">
        <v>3158</v>
      </c>
      <c r="L824" t="s">
        <v>52</v>
      </c>
      <c r="M824">
        <v>0</v>
      </c>
      <c r="N824">
        <v>107694.2</v>
      </c>
      <c r="O824" t="s">
        <v>61</v>
      </c>
      <c r="P824">
        <v>100</v>
      </c>
      <c r="Q824" t="s">
        <v>52</v>
      </c>
      <c r="R824" t="s">
        <v>52</v>
      </c>
      <c r="S824" t="s">
        <v>52</v>
      </c>
      <c r="T824" t="s">
        <v>52</v>
      </c>
      <c r="U824" t="s">
        <v>52</v>
      </c>
      <c r="V824" t="s">
        <v>62</v>
      </c>
      <c r="W824" t="s">
        <v>52</v>
      </c>
      <c r="Y824" t="s">
        <v>3159</v>
      </c>
      <c r="Z824" t="s">
        <v>62</v>
      </c>
      <c r="AB824" t="s">
        <v>3165</v>
      </c>
      <c r="AE824" t="s">
        <v>3166</v>
      </c>
      <c r="AF824" t="s">
        <v>632</v>
      </c>
      <c r="AG824" t="s">
        <v>3162</v>
      </c>
      <c r="AH824">
        <v>0</v>
      </c>
      <c r="AI824">
        <v>0</v>
      </c>
      <c r="AJ824" t="s">
        <v>52</v>
      </c>
      <c r="AK824">
        <v>0</v>
      </c>
      <c r="AL824" t="s">
        <v>52</v>
      </c>
      <c r="AM824" t="s">
        <v>52</v>
      </c>
      <c r="AN824">
        <v>0</v>
      </c>
      <c r="AO824">
        <v>0</v>
      </c>
      <c r="AP824" t="s">
        <v>52</v>
      </c>
      <c r="AQ824" t="s">
        <v>52</v>
      </c>
      <c r="AR824" t="s">
        <v>62</v>
      </c>
      <c r="AS824" t="s">
        <v>52</v>
      </c>
      <c r="AT824" t="s">
        <v>74</v>
      </c>
      <c r="AU824" t="s">
        <v>64</v>
      </c>
      <c r="AV824" t="s">
        <v>62</v>
      </c>
      <c r="AW824" t="s">
        <v>65</v>
      </c>
      <c r="AX824" t="s">
        <v>66</v>
      </c>
      <c r="AY824" t="s">
        <v>654</v>
      </c>
    </row>
    <row r="825" spans="1:51" hidden="1" x14ac:dyDescent="0.25">
      <c r="A825">
        <v>203023</v>
      </c>
      <c r="B825" t="s">
        <v>3168</v>
      </c>
      <c r="C825" t="str">
        <f>VLOOKUP(A825,[1]Customer_payment_journal_line!$AL:$BO,30,0)</f>
        <v>CPay-000000061</v>
      </c>
      <c r="D825" t="s">
        <v>53</v>
      </c>
      <c r="E825" t="s">
        <v>3169</v>
      </c>
      <c r="F825" t="s">
        <v>3170</v>
      </c>
      <c r="G825" t="s">
        <v>3069</v>
      </c>
      <c r="H825" t="s">
        <v>57</v>
      </c>
      <c r="I825" t="s">
        <v>95</v>
      </c>
      <c r="J825" t="s">
        <v>3171</v>
      </c>
      <c r="K825" t="s">
        <v>3172</v>
      </c>
      <c r="L825">
        <f>VLOOKUP(A825,[1]Customer_payment_journal_line!$B:$L,11,0)</f>
        <v>1653</v>
      </c>
      <c r="M825" s="1">
        <v>1653</v>
      </c>
      <c r="N825" s="2">
        <f>L825-M825</f>
        <v>0</v>
      </c>
      <c r="O825" t="s">
        <v>61</v>
      </c>
      <c r="P825">
        <v>100</v>
      </c>
      <c r="Q825" t="s">
        <v>52</v>
      </c>
      <c r="R825" t="s">
        <v>52</v>
      </c>
      <c r="S825" t="s">
        <v>52</v>
      </c>
      <c r="T825" t="s">
        <v>52</v>
      </c>
      <c r="U825" t="s">
        <v>52</v>
      </c>
      <c r="V825" t="s">
        <v>62</v>
      </c>
      <c r="W825" t="s">
        <v>63</v>
      </c>
      <c r="Y825" t="s">
        <v>52</v>
      </c>
      <c r="AB825" t="s">
        <v>52</v>
      </c>
      <c r="AE825" t="s">
        <v>52</v>
      </c>
      <c r="AF825" t="s">
        <v>52</v>
      </c>
      <c r="AH825">
        <v>0</v>
      </c>
      <c r="AI825">
        <v>0</v>
      </c>
      <c r="AJ825" t="s">
        <v>52</v>
      </c>
      <c r="AK825">
        <v>0</v>
      </c>
      <c r="AL825" t="s">
        <v>52</v>
      </c>
      <c r="AM825" t="s">
        <v>52</v>
      </c>
      <c r="AN825">
        <v>0</v>
      </c>
      <c r="AO825">
        <v>0</v>
      </c>
      <c r="AP825" t="s">
        <v>52</v>
      </c>
      <c r="AQ825" t="s">
        <v>52</v>
      </c>
      <c r="AR825" t="s">
        <v>62</v>
      </c>
      <c r="AS825" t="s">
        <v>52</v>
      </c>
      <c r="AT825" t="s">
        <v>52</v>
      </c>
      <c r="AU825" t="s">
        <v>64</v>
      </c>
      <c r="AV825" t="s">
        <v>62</v>
      </c>
      <c r="AW825" t="s">
        <v>65</v>
      </c>
      <c r="AX825" t="s">
        <v>66</v>
      </c>
      <c r="AY825" t="s">
        <v>67</v>
      </c>
    </row>
    <row r="826" spans="1:51" hidden="1" x14ac:dyDescent="0.25">
      <c r="A826">
        <v>203023</v>
      </c>
      <c r="B826" t="s">
        <v>3173</v>
      </c>
      <c r="C826" t="str">
        <f>VLOOKUP(A826,[1]Customer_payment_journal_line!$AL:$BO,30,0)</f>
        <v>CPay-000000061</v>
      </c>
      <c r="D826" t="s">
        <v>53</v>
      </c>
      <c r="E826" t="s">
        <v>3169</v>
      </c>
      <c r="F826" t="s">
        <v>3170</v>
      </c>
      <c r="G826" t="s">
        <v>3069</v>
      </c>
      <c r="H826" t="s">
        <v>69</v>
      </c>
      <c r="I826" t="s">
        <v>3174</v>
      </c>
      <c r="J826" t="s">
        <v>3171</v>
      </c>
      <c r="K826" t="s">
        <v>3172</v>
      </c>
      <c r="L826">
        <f>VLOOKUP(A826,[1]Customer_payment_journal_line!$B:$L,11,0)</f>
        <v>1653</v>
      </c>
      <c r="M826" s="1">
        <v>0</v>
      </c>
      <c r="N826">
        <v>1653</v>
      </c>
      <c r="O826" t="s">
        <v>61</v>
      </c>
      <c r="P826">
        <v>100</v>
      </c>
      <c r="Q826" t="s">
        <v>52</v>
      </c>
      <c r="R826" t="s">
        <v>52</v>
      </c>
      <c r="S826" t="s">
        <v>52</v>
      </c>
      <c r="T826" t="s">
        <v>52</v>
      </c>
      <c r="U826" t="s">
        <v>52</v>
      </c>
      <c r="V826" t="s">
        <v>62</v>
      </c>
      <c r="W826" t="s">
        <v>52</v>
      </c>
      <c r="Y826" t="s">
        <v>3175</v>
      </c>
      <c r="Z826" t="s">
        <v>62</v>
      </c>
      <c r="AB826" t="s">
        <v>3176</v>
      </c>
      <c r="AE826" t="s">
        <v>3177</v>
      </c>
      <c r="AF826" t="s">
        <v>52</v>
      </c>
      <c r="AH826">
        <v>0</v>
      </c>
      <c r="AI826">
        <v>0</v>
      </c>
      <c r="AJ826" t="s">
        <v>52</v>
      </c>
      <c r="AK826">
        <v>0</v>
      </c>
      <c r="AL826" t="s">
        <v>52</v>
      </c>
      <c r="AM826" t="s">
        <v>52</v>
      </c>
      <c r="AN826">
        <v>0</v>
      </c>
      <c r="AO826">
        <v>0</v>
      </c>
      <c r="AP826" t="s">
        <v>52</v>
      </c>
      <c r="AQ826" t="s">
        <v>52</v>
      </c>
      <c r="AR826" t="s">
        <v>62</v>
      </c>
      <c r="AS826" t="s">
        <v>52</v>
      </c>
      <c r="AT826" t="s">
        <v>74</v>
      </c>
      <c r="AU826" t="s">
        <v>64</v>
      </c>
      <c r="AV826" t="s">
        <v>62</v>
      </c>
      <c r="AW826" t="s">
        <v>65</v>
      </c>
      <c r="AX826" t="s">
        <v>66</v>
      </c>
      <c r="AY826" t="s">
        <v>67</v>
      </c>
    </row>
    <row r="827" spans="1:51" hidden="1" x14ac:dyDescent="0.25">
      <c r="A827">
        <v>203024</v>
      </c>
      <c r="B827" t="s">
        <v>3178</v>
      </c>
      <c r="C827" t="str">
        <f>VLOOKUP(A827,[1]Customer_payment_journal_line!$AL:$BO,30,0)</f>
        <v>CPay-000000062</v>
      </c>
      <c r="D827" t="s">
        <v>53</v>
      </c>
      <c r="E827" t="s">
        <v>3179</v>
      </c>
      <c r="F827" t="s">
        <v>3180</v>
      </c>
      <c r="G827" t="s">
        <v>3069</v>
      </c>
      <c r="H827" t="s">
        <v>57</v>
      </c>
      <c r="I827" t="s">
        <v>95</v>
      </c>
      <c r="J827" t="s">
        <v>3171</v>
      </c>
      <c r="K827" t="s">
        <v>3172</v>
      </c>
      <c r="L827">
        <f>VLOOKUP(A827,[1]Customer_payment_journal_line!$B:$L,11,0)</f>
        <v>669.18</v>
      </c>
      <c r="M827" s="1">
        <v>669.18</v>
      </c>
      <c r="N827" s="2">
        <f>L827-M827</f>
        <v>0</v>
      </c>
      <c r="O827" t="s">
        <v>61</v>
      </c>
      <c r="P827">
        <v>100</v>
      </c>
      <c r="Q827" t="s">
        <v>52</v>
      </c>
      <c r="R827" t="s">
        <v>52</v>
      </c>
      <c r="S827" t="s">
        <v>52</v>
      </c>
      <c r="T827" t="s">
        <v>52</v>
      </c>
      <c r="U827" t="s">
        <v>52</v>
      </c>
      <c r="V827" t="s">
        <v>62</v>
      </c>
      <c r="W827" t="s">
        <v>63</v>
      </c>
      <c r="Y827" t="s">
        <v>52</v>
      </c>
      <c r="AB827" t="s">
        <v>52</v>
      </c>
      <c r="AE827" t="s">
        <v>52</v>
      </c>
      <c r="AF827" t="s">
        <v>52</v>
      </c>
      <c r="AH827">
        <v>0</v>
      </c>
      <c r="AI827">
        <v>0</v>
      </c>
      <c r="AJ827" t="s">
        <v>52</v>
      </c>
      <c r="AK827">
        <v>0</v>
      </c>
      <c r="AL827" t="s">
        <v>52</v>
      </c>
      <c r="AM827" t="s">
        <v>52</v>
      </c>
      <c r="AN827">
        <v>0</v>
      </c>
      <c r="AO827">
        <v>0</v>
      </c>
      <c r="AP827" t="s">
        <v>52</v>
      </c>
      <c r="AQ827" t="s">
        <v>52</v>
      </c>
      <c r="AR827" t="s">
        <v>62</v>
      </c>
      <c r="AS827" t="s">
        <v>52</v>
      </c>
      <c r="AT827" t="s">
        <v>52</v>
      </c>
      <c r="AU827" t="s">
        <v>64</v>
      </c>
      <c r="AV827" t="s">
        <v>62</v>
      </c>
      <c r="AW827" t="s">
        <v>65</v>
      </c>
      <c r="AX827" t="s">
        <v>66</v>
      </c>
      <c r="AY827" t="s">
        <v>67</v>
      </c>
    </row>
    <row r="828" spans="1:51" hidden="1" x14ac:dyDescent="0.25">
      <c r="A828">
        <v>203024</v>
      </c>
      <c r="B828" t="s">
        <v>3181</v>
      </c>
      <c r="C828" t="str">
        <f>VLOOKUP(A828,[1]Customer_payment_journal_line!$AL:$BO,30,0)</f>
        <v>CPay-000000062</v>
      </c>
      <c r="D828" t="s">
        <v>53</v>
      </c>
      <c r="E828" t="s">
        <v>3179</v>
      </c>
      <c r="F828" t="s">
        <v>3180</v>
      </c>
      <c r="G828" t="s">
        <v>3069</v>
      </c>
      <c r="H828" t="s">
        <v>69</v>
      </c>
      <c r="I828" t="s">
        <v>3174</v>
      </c>
      <c r="J828" t="s">
        <v>3171</v>
      </c>
      <c r="K828" t="s">
        <v>3172</v>
      </c>
      <c r="L828">
        <f>VLOOKUP(A828,[1]Customer_payment_journal_line!$B:$L,11,0)</f>
        <v>669.18</v>
      </c>
      <c r="M828" s="1">
        <v>0</v>
      </c>
      <c r="N828">
        <v>669.18</v>
      </c>
      <c r="O828" t="s">
        <v>61</v>
      </c>
      <c r="P828">
        <v>100</v>
      </c>
      <c r="Q828" t="s">
        <v>52</v>
      </c>
      <c r="R828" t="s">
        <v>52</v>
      </c>
      <c r="S828" t="s">
        <v>52</v>
      </c>
      <c r="T828" t="s">
        <v>52</v>
      </c>
      <c r="U828" t="s">
        <v>52</v>
      </c>
      <c r="V828" t="s">
        <v>62</v>
      </c>
      <c r="W828" t="s">
        <v>52</v>
      </c>
      <c r="Y828" t="s">
        <v>3175</v>
      </c>
      <c r="Z828" t="s">
        <v>62</v>
      </c>
      <c r="AB828" t="s">
        <v>3182</v>
      </c>
      <c r="AE828" t="s">
        <v>3183</v>
      </c>
      <c r="AF828" t="s">
        <v>52</v>
      </c>
      <c r="AH828">
        <v>0</v>
      </c>
      <c r="AI828">
        <v>0</v>
      </c>
      <c r="AJ828" t="s">
        <v>52</v>
      </c>
      <c r="AK828">
        <v>0</v>
      </c>
      <c r="AL828" t="s">
        <v>52</v>
      </c>
      <c r="AM828" t="s">
        <v>52</v>
      </c>
      <c r="AN828">
        <v>0</v>
      </c>
      <c r="AO828">
        <v>0</v>
      </c>
      <c r="AP828" t="s">
        <v>52</v>
      </c>
      <c r="AQ828" t="s">
        <v>52</v>
      </c>
      <c r="AR828" t="s">
        <v>62</v>
      </c>
      <c r="AS828" t="s">
        <v>52</v>
      </c>
      <c r="AT828" t="s">
        <v>74</v>
      </c>
      <c r="AU828" t="s">
        <v>64</v>
      </c>
      <c r="AV828" t="s">
        <v>62</v>
      </c>
      <c r="AW828" t="s">
        <v>65</v>
      </c>
      <c r="AX828" t="s">
        <v>66</v>
      </c>
      <c r="AY828" t="s">
        <v>67</v>
      </c>
    </row>
    <row r="829" spans="1:51" hidden="1" x14ac:dyDescent="0.25">
      <c r="A829">
        <v>203033</v>
      </c>
      <c r="B829" t="s">
        <v>3184</v>
      </c>
      <c r="C829" t="str">
        <f>VLOOKUP(A829,[1]Customer_payment_journal_line!$AL:$BO,30,0)</f>
        <v>CPay-000000063</v>
      </c>
      <c r="D829" t="s">
        <v>53</v>
      </c>
      <c r="E829" t="s">
        <v>3185</v>
      </c>
      <c r="F829" t="s">
        <v>3186</v>
      </c>
      <c r="G829" t="s">
        <v>3069</v>
      </c>
      <c r="H829" t="s">
        <v>57</v>
      </c>
      <c r="I829" t="s">
        <v>95</v>
      </c>
      <c r="J829" t="s">
        <v>682</v>
      </c>
      <c r="K829" t="s">
        <v>3187</v>
      </c>
      <c r="L829">
        <f>VLOOKUP(A829,[1]Customer_payment_journal_line!$B:$L,11,0)</f>
        <v>1653</v>
      </c>
      <c r="M829" s="1">
        <v>1653</v>
      </c>
      <c r="N829" s="2">
        <f>L829-M829</f>
        <v>0</v>
      </c>
      <c r="O829" t="s">
        <v>61</v>
      </c>
      <c r="P829">
        <v>100</v>
      </c>
      <c r="Q829" t="s">
        <v>52</v>
      </c>
      <c r="R829" t="s">
        <v>52</v>
      </c>
      <c r="S829" t="s">
        <v>52</v>
      </c>
      <c r="T829" t="s">
        <v>52</v>
      </c>
      <c r="U829" t="s">
        <v>52</v>
      </c>
      <c r="V829" t="s">
        <v>62</v>
      </c>
      <c r="W829" t="s">
        <v>63</v>
      </c>
      <c r="Y829" t="s">
        <v>52</v>
      </c>
      <c r="AB829" t="s">
        <v>52</v>
      </c>
      <c r="AE829" t="s">
        <v>52</v>
      </c>
      <c r="AF829" t="s">
        <v>52</v>
      </c>
      <c r="AH829">
        <v>0</v>
      </c>
      <c r="AI829">
        <v>0</v>
      </c>
      <c r="AJ829" t="s">
        <v>52</v>
      </c>
      <c r="AK829">
        <v>0</v>
      </c>
      <c r="AL829" t="s">
        <v>52</v>
      </c>
      <c r="AM829" t="s">
        <v>52</v>
      </c>
      <c r="AN829">
        <v>0</v>
      </c>
      <c r="AO829">
        <v>0</v>
      </c>
      <c r="AP829" t="s">
        <v>52</v>
      </c>
      <c r="AQ829" t="s">
        <v>52</v>
      </c>
      <c r="AR829" t="s">
        <v>62</v>
      </c>
      <c r="AS829" t="s">
        <v>52</v>
      </c>
      <c r="AT829" t="s">
        <v>52</v>
      </c>
      <c r="AU829" t="s">
        <v>64</v>
      </c>
      <c r="AV829" t="s">
        <v>62</v>
      </c>
      <c r="AW829" t="s">
        <v>65</v>
      </c>
      <c r="AX829" t="s">
        <v>66</v>
      </c>
      <c r="AY829" t="s">
        <v>67</v>
      </c>
    </row>
    <row r="830" spans="1:51" hidden="1" x14ac:dyDescent="0.25">
      <c r="A830">
        <v>203033</v>
      </c>
      <c r="B830" t="s">
        <v>3188</v>
      </c>
      <c r="C830" t="str">
        <f>VLOOKUP(A830,[1]Customer_payment_journal_line!$AL:$BO,30,0)</f>
        <v>CPay-000000063</v>
      </c>
      <c r="D830" t="s">
        <v>53</v>
      </c>
      <c r="E830" t="s">
        <v>3185</v>
      </c>
      <c r="F830" t="s">
        <v>3186</v>
      </c>
      <c r="G830" t="s">
        <v>3069</v>
      </c>
      <c r="H830" t="s">
        <v>69</v>
      </c>
      <c r="I830" t="s">
        <v>685</v>
      </c>
      <c r="J830" t="s">
        <v>682</v>
      </c>
      <c r="K830" t="s">
        <v>3187</v>
      </c>
      <c r="L830">
        <f>VLOOKUP(A830,[1]Customer_payment_journal_line!$B:$L,11,0)</f>
        <v>1653</v>
      </c>
      <c r="M830" s="1">
        <v>0</v>
      </c>
      <c r="N830">
        <v>1653</v>
      </c>
      <c r="O830" t="s">
        <v>61</v>
      </c>
      <c r="P830">
        <v>100</v>
      </c>
      <c r="Q830" t="s">
        <v>52</v>
      </c>
      <c r="R830" t="s">
        <v>52</v>
      </c>
      <c r="S830" t="s">
        <v>52</v>
      </c>
      <c r="T830" t="s">
        <v>52</v>
      </c>
      <c r="U830" t="s">
        <v>52</v>
      </c>
      <c r="V830" t="s">
        <v>62</v>
      </c>
      <c r="W830" t="s">
        <v>52</v>
      </c>
      <c r="Y830" t="s">
        <v>686</v>
      </c>
      <c r="Z830" t="s">
        <v>62</v>
      </c>
      <c r="AB830" t="s">
        <v>3189</v>
      </c>
      <c r="AE830" t="s">
        <v>3190</v>
      </c>
      <c r="AF830" t="s">
        <v>52</v>
      </c>
      <c r="AH830">
        <v>0</v>
      </c>
      <c r="AI830">
        <v>0</v>
      </c>
      <c r="AJ830" t="s">
        <v>52</v>
      </c>
      <c r="AK830">
        <v>0</v>
      </c>
      <c r="AL830" t="s">
        <v>52</v>
      </c>
      <c r="AM830" t="s">
        <v>52</v>
      </c>
      <c r="AN830">
        <v>0</v>
      </c>
      <c r="AO830">
        <v>0</v>
      </c>
      <c r="AP830" t="s">
        <v>52</v>
      </c>
      <c r="AQ830" t="s">
        <v>52</v>
      </c>
      <c r="AR830" t="s">
        <v>62</v>
      </c>
      <c r="AS830" t="s">
        <v>52</v>
      </c>
      <c r="AT830" t="s">
        <v>74</v>
      </c>
      <c r="AU830" t="s">
        <v>64</v>
      </c>
      <c r="AV830" t="s">
        <v>62</v>
      </c>
      <c r="AW830" t="s">
        <v>65</v>
      </c>
      <c r="AX830" t="s">
        <v>66</v>
      </c>
      <c r="AY830" t="s">
        <v>67</v>
      </c>
    </row>
    <row r="831" spans="1:51" hidden="1" x14ac:dyDescent="0.25">
      <c r="A831">
        <v>203034</v>
      </c>
      <c r="B831" t="s">
        <v>3191</v>
      </c>
      <c r="C831" t="str">
        <f>VLOOKUP(A831,[1]Customer_payment_journal_line!$AL:$BO,30,0)</f>
        <v>CPay-000000064</v>
      </c>
      <c r="D831" t="s">
        <v>53</v>
      </c>
      <c r="E831" t="s">
        <v>3192</v>
      </c>
      <c r="F831" t="s">
        <v>3193</v>
      </c>
      <c r="G831" t="s">
        <v>3069</v>
      </c>
      <c r="H831" t="s">
        <v>57</v>
      </c>
      <c r="I831" t="s">
        <v>95</v>
      </c>
      <c r="J831" t="s">
        <v>1845</v>
      </c>
      <c r="K831" t="s">
        <v>3194</v>
      </c>
      <c r="L831">
        <f>VLOOKUP(A831,[1]Customer_payment_journal_line!$B:$L,11,0)</f>
        <v>262.2</v>
      </c>
      <c r="M831" s="1">
        <v>262.2</v>
      </c>
      <c r="N831" s="2">
        <f>L831-M831</f>
        <v>0</v>
      </c>
      <c r="O831" t="s">
        <v>61</v>
      </c>
      <c r="P831">
        <v>100</v>
      </c>
      <c r="Q831" t="s">
        <v>52</v>
      </c>
      <c r="R831" t="s">
        <v>52</v>
      </c>
      <c r="S831" t="s">
        <v>52</v>
      </c>
      <c r="T831" t="s">
        <v>52</v>
      </c>
      <c r="U831" t="s">
        <v>52</v>
      </c>
      <c r="V831" t="s">
        <v>62</v>
      </c>
      <c r="W831" t="s">
        <v>63</v>
      </c>
      <c r="Y831" t="s">
        <v>52</v>
      </c>
      <c r="AB831" t="s">
        <v>52</v>
      </c>
      <c r="AE831" t="s">
        <v>52</v>
      </c>
      <c r="AF831" t="s">
        <v>52</v>
      </c>
      <c r="AH831">
        <v>0</v>
      </c>
      <c r="AI831">
        <v>0</v>
      </c>
      <c r="AJ831" t="s">
        <v>52</v>
      </c>
      <c r="AK831">
        <v>0</v>
      </c>
      <c r="AL831" t="s">
        <v>52</v>
      </c>
      <c r="AM831" t="s">
        <v>52</v>
      </c>
      <c r="AN831">
        <v>0</v>
      </c>
      <c r="AO831">
        <v>0</v>
      </c>
      <c r="AP831" t="s">
        <v>52</v>
      </c>
      <c r="AQ831" t="s">
        <v>52</v>
      </c>
      <c r="AR831" t="s">
        <v>62</v>
      </c>
      <c r="AS831" t="s">
        <v>52</v>
      </c>
      <c r="AT831" t="s">
        <v>52</v>
      </c>
      <c r="AU831" t="s">
        <v>64</v>
      </c>
      <c r="AV831" t="s">
        <v>62</v>
      </c>
      <c r="AW831" t="s">
        <v>65</v>
      </c>
      <c r="AX831" t="s">
        <v>66</v>
      </c>
      <c r="AY831" t="s">
        <v>67</v>
      </c>
    </row>
    <row r="832" spans="1:51" hidden="1" x14ac:dyDescent="0.25">
      <c r="A832">
        <v>203034</v>
      </c>
      <c r="B832" t="s">
        <v>3195</v>
      </c>
      <c r="C832" t="str">
        <f>VLOOKUP(A832,[1]Customer_payment_journal_line!$AL:$BO,30,0)</f>
        <v>CPay-000000064</v>
      </c>
      <c r="D832" t="s">
        <v>53</v>
      </c>
      <c r="E832" t="s">
        <v>3192</v>
      </c>
      <c r="F832" t="s">
        <v>3193</v>
      </c>
      <c r="G832" t="s">
        <v>3069</v>
      </c>
      <c r="H832" t="s">
        <v>69</v>
      </c>
      <c r="I832" t="s">
        <v>685</v>
      </c>
      <c r="J832" t="s">
        <v>1845</v>
      </c>
      <c r="K832" t="s">
        <v>3194</v>
      </c>
      <c r="L832">
        <f>VLOOKUP(A832,[1]Customer_payment_journal_line!$B:$L,11,0)</f>
        <v>262.2</v>
      </c>
      <c r="M832" s="1">
        <v>0</v>
      </c>
      <c r="N832">
        <v>262.2</v>
      </c>
      <c r="O832" t="s">
        <v>61</v>
      </c>
      <c r="P832">
        <v>100</v>
      </c>
      <c r="Q832" t="s">
        <v>52</v>
      </c>
      <c r="R832" t="s">
        <v>52</v>
      </c>
      <c r="S832" t="s">
        <v>52</v>
      </c>
      <c r="T832" t="s">
        <v>52</v>
      </c>
      <c r="U832" t="s">
        <v>52</v>
      </c>
      <c r="V832" t="s">
        <v>62</v>
      </c>
      <c r="W832" t="s">
        <v>52</v>
      </c>
      <c r="Y832" t="s">
        <v>686</v>
      </c>
      <c r="Z832" t="s">
        <v>62</v>
      </c>
      <c r="AB832" t="s">
        <v>3196</v>
      </c>
      <c r="AE832" t="s">
        <v>3197</v>
      </c>
      <c r="AF832" t="s">
        <v>52</v>
      </c>
      <c r="AH832">
        <v>0</v>
      </c>
      <c r="AI832">
        <v>0</v>
      </c>
      <c r="AJ832" t="s">
        <v>52</v>
      </c>
      <c r="AK832">
        <v>0</v>
      </c>
      <c r="AL832" t="s">
        <v>52</v>
      </c>
      <c r="AM832" t="s">
        <v>52</v>
      </c>
      <c r="AN832">
        <v>0</v>
      </c>
      <c r="AO832">
        <v>0</v>
      </c>
      <c r="AP832" t="s">
        <v>52</v>
      </c>
      <c r="AQ832" t="s">
        <v>52</v>
      </c>
      <c r="AR832" t="s">
        <v>62</v>
      </c>
      <c r="AS832" t="s">
        <v>52</v>
      </c>
      <c r="AT832" t="s">
        <v>74</v>
      </c>
      <c r="AU832" t="s">
        <v>64</v>
      </c>
      <c r="AV832" t="s">
        <v>62</v>
      </c>
      <c r="AW832" t="s">
        <v>65</v>
      </c>
      <c r="AX832" t="s">
        <v>66</v>
      </c>
      <c r="AY832" t="s">
        <v>67</v>
      </c>
    </row>
    <row r="833" spans="1:51" hidden="1" x14ac:dyDescent="0.25">
      <c r="A833">
        <v>203035</v>
      </c>
      <c r="B833" t="s">
        <v>3198</v>
      </c>
      <c r="C833" t="str">
        <f>VLOOKUP(A833,[1]Customer_payment_journal_line!$AL:$BO,30,0)</f>
        <v>CPay-000000065</v>
      </c>
      <c r="D833" t="s">
        <v>53</v>
      </c>
      <c r="E833" t="s">
        <v>3199</v>
      </c>
      <c r="F833" t="s">
        <v>3200</v>
      </c>
      <c r="G833" t="s">
        <v>3069</v>
      </c>
      <c r="H833" t="s">
        <v>57</v>
      </c>
      <c r="I833" t="s">
        <v>95</v>
      </c>
      <c r="J833" t="s">
        <v>1845</v>
      </c>
      <c r="K833" t="s">
        <v>3201</v>
      </c>
      <c r="L833">
        <f>VLOOKUP(A833,[1]Customer_payment_journal_line!$B:$L,11,0)</f>
        <v>1653</v>
      </c>
      <c r="M833" s="1">
        <v>1653</v>
      </c>
      <c r="N833" s="2">
        <f>L833-M833</f>
        <v>0</v>
      </c>
      <c r="O833" t="s">
        <v>61</v>
      </c>
      <c r="P833">
        <v>100</v>
      </c>
      <c r="Q833" t="s">
        <v>52</v>
      </c>
      <c r="R833" t="s">
        <v>52</v>
      </c>
      <c r="S833" t="s">
        <v>52</v>
      </c>
      <c r="T833" t="s">
        <v>52</v>
      </c>
      <c r="U833" t="s">
        <v>52</v>
      </c>
      <c r="V833" t="s">
        <v>62</v>
      </c>
      <c r="W833" t="s">
        <v>63</v>
      </c>
      <c r="Y833" t="s">
        <v>52</v>
      </c>
      <c r="AB833" t="s">
        <v>52</v>
      </c>
      <c r="AE833" t="s">
        <v>52</v>
      </c>
      <c r="AF833" t="s">
        <v>52</v>
      </c>
      <c r="AH833">
        <v>0</v>
      </c>
      <c r="AI833">
        <v>0</v>
      </c>
      <c r="AJ833" t="s">
        <v>52</v>
      </c>
      <c r="AK833">
        <v>0</v>
      </c>
      <c r="AL833" t="s">
        <v>52</v>
      </c>
      <c r="AM833" t="s">
        <v>52</v>
      </c>
      <c r="AN833">
        <v>0</v>
      </c>
      <c r="AO833">
        <v>0</v>
      </c>
      <c r="AP833" t="s">
        <v>52</v>
      </c>
      <c r="AQ833" t="s">
        <v>52</v>
      </c>
      <c r="AR833" t="s">
        <v>62</v>
      </c>
      <c r="AS833" t="s">
        <v>52</v>
      </c>
      <c r="AT833" t="s">
        <v>52</v>
      </c>
      <c r="AU833" t="s">
        <v>64</v>
      </c>
      <c r="AV833" t="s">
        <v>62</v>
      </c>
      <c r="AW833" t="s">
        <v>65</v>
      </c>
      <c r="AX833" t="s">
        <v>66</v>
      </c>
      <c r="AY833" t="s">
        <v>67</v>
      </c>
    </row>
    <row r="834" spans="1:51" hidden="1" x14ac:dyDescent="0.25">
      <c r="A834">
        <v>203035</v>
      </c>
      <c r="B834" t="s">
        <v>3202</v>
      </c>
      <c r="C834" t="str">
        <f>VLOOKUP(A834,[1]Customer_payment_journal_line!$AL:$BO,30,0)</f>
        <v>CPay-000000065</v>
      </c>
      <c r="D834" t="s">
        <v>53</v>
      </c>
      <c r="E834" t="s">
        <v>3199</v>
      </c>
      <c r="F834" t="s">
        <v>3200</v>
      </c>
      <c r="G834" t="s">
        <v>3069</v>
      </c>
      <c r="H834" t="s">
        <v>69</v>
      </c>
      <c r="I834" t="s">
        <v>685</v>
      </c>
      <c r="J834" t="s">
        <v>1845</v>
      </c>
      <c r="K834" t="s">
        <v>3201</v>
      </c>
      <c r="L834">
        <f>VLOOKUP(A834,[1]Customer_payment_journal_line!$B:$L,11,0)</f>
        <v>1653</v>
      </c>
      <c r="M834" s="1">
        <v>0</v>
      </c>
      <c r="N834">
        <v>1653</v>
      </c>
      <c r="O834" t="s">
        <v>61</v>
      </c>
      <c r="P834">
        <v>100</v>
      </c>
      <c r="Q834" t="s">
        <v>52</v>
      </c>
      <c r="R834" t="s">
        <v>52</v>
      </c>
      <c r="S834" t="s">
        <v>52</v>
      </c>
      <c r="T834" t="s">
        <v>52</v>
      </c>
      <c r="U834" t="s">
        <v>52</v>
      </c>
      <c r="V834" t="s">
        <v>62</v>
      </c>
      <c r="W834" t="s">
        <v>52</v>
      </c>
      <c r="Y834" t="s">
        <v>686</v>
      </c>
      <c r="Z834" t="s">
        <v>62</v>
      </c>
      <c r="AB834" t="s">
        <v>3203</v>
      </c>
      <c r="AE834" t="s">
        <v>3204</v>
      </c>
      <c r="AF834" t="s">
        <v>52</v>
      </c>
      <c r="AH834">
        <v>0</v>
      </c>
      <c r="AI834">
        <v>0</v>
      </c>
      <c r="AJ834" t="s">
        <v>52</v>
      </c>
      <c r="AK834">
        <v>0</v>
      </c>
      <c r="AL834" t="s">
        <v>52</v>
      </c>
      <c r="AM834" t="s">
        <v>52</v>
      </c>
      <c r="AN834">
        <v>0</v>
      </c>
      <c r="AO834">
        <v>0</v>
      </c>
      <c r="AP834" t="s">
        <v>52</v>
      </c>
      <c r="AQ834" t="s">
        <v>52</v>
      </c>
      <c r="AR834" t="s">
        <v>62</v>
      </c>
      <c r="AS834" t="s">
        <v>52</v>
      </c>
      <c r="AT834" t="s">
        <v>74</v>
      </c>
      <c r="AU834" t="s">
        <v>64</v>
      </c>
      <c r="AV834" t="s">
        <v>62</v>
      </c>
      <c r="AW834" t="s">
        <v>65</v>
      </c>
      <c r="AX834" t="s">
        <v>66</v>
      </c>
      <c r="AY834" t="s">
        <v>67</v>
      </c>
    </row>
    <row r="835" spans="1:51" hidden="1" x14ac:dyDescent="0.25">
      <c r="A835">
        <v>203036</v>
      </c>
      <c r="B835" t="s">
        <v>3205</v>
      </c>
      <c r="C835" t="str">
        <f>VLOOKUP(A835,[1]Customer_payment_journal_line!$AL:$BO,30,0)</f>
        <v>CPay-000000066</v>
      </c>
      <c r="D835" t="s">
        <v>53</v>
      </c>
      <c r="E835" t="s">
        <v>3206</v>
      </c>
      <c r="F835" t="s">
        <v>3207</v>
      </c>
      <c r="G835" t="s">
        <v>3069</v>
      </c>
      <c r="H835" t="s">
        <v>57</v>
      </c>
      <c r="I835" t="s">
        <v>95</v>
      </c>
      <c r="J835" t="s">
        <v>1845</v>
      </c>
      <c r="K835" t="s">
        <v>3201</v>
      </c>
      <c r="L835">
        <f>VLOOKUP(A835,[1]Customer_payment_journal_line!$B:$L,11,0)</f>
        <v>199.5</v>
      </c>
      <c r="M835" s="1">
        <v>199.5</v>
      </c>
      <c r="N835" s="2">
        <f>L835-M835</f>
        <v>0</v>
      </c>
      <c r="O835" t="s">
        <v>61</v>
      </c>
      <c r="P835">
        <v>100</v>
      </c>
      <c r="Q835" t="s">
        <v>52</v>
      </c>
      <c r="R835" t="s">
        <v>52</v>
      </c>
      <c r="S835" t="s">
        <v>52</v>
      </c>
      <c r="T835" t="s">
        <v>52</v>
      </c>
      <c r="U835" t="s">
        <v>52</v>
      </c>
      <c r="V835" t="s">
        <v>62</v>
      </c>
      <c r="W835" t="s">
        <v>63</v>
      </c>
      <c r="Y835" t="s">
        <v>52</v>
      </c>
      <c r="AB835" t="s">
        <v>52</v>
      </c>
      <c r="AE835" t="s">
        <v>52</v>
      </c>
      <c r="AF835" t="s">
        <v>52</v>
      </c>
      <c r="AH835">
        <v>0</v>
      </c>
      <c r="AI835">
        <v>0</v>
      </c>
      <c r="AJ835" t="s">
        <v>52</v>
      </c>
      <c r="AK835">
        <v>0</v>
      </c>
      <c r="AL835" t="s">
        <v>52</v>
      </c>
      <c r="AM835" t="s">
        <v>52</v>
      </c>
      <c r="AN835">
        <v>0</v>
      </c>
      <c r="AO835">
        <v>0</v>
      </c>
      <c r="AP835" t="s">
        <v>52</v>
      </c>
      <c r="AQ835" t="s">
        <v>52</v>
      </c>
      <c r="AR835" t="s">
        <v>62</v>
      </c>
      <c r="AS835" t="s">
        <v>52</v>
      </c>
      <c r="AT835" t="s">
        <v>52</v>
      </c>
      <c r="AU835" t="s">
        <v>64</v>
      </c>
      <c r="AV835" t="s">
        <v>62</v>
      </c>
      <c r="AW835" t="s">
        <v>65</v>
      </c>
      <c r="AX835" t="s">
        <v>66</v>
      </c>
      <c r="AY835" t="s">
        <v>67</v>
      </c>
    </row>
    <row r="836" spans="1:51" hidden="1" x14ac:dyDescent="0.25">
      <c r="A836">
        <v>203036</v>
      </c>
      <c r="B836" t="s">
        <v>3208</v>
      </c>
      <c r="C836" t="str">
        <f>VLOOKUP(A836,[1]Customer_payment_journal_line!$AL:$BO,30,0)</f>
        <v>CPay-000000066</v>
      </c>
      <c r="D836" t="s">
        <v>53</v>
      </c>
      <c r="E836" t="s">
        <v>3206</v>
      </c>
      <c r="F836" t="s">
        <v>3207</v>
      </c>
      <c r="G836" t="s">
        <v>3069</v>
      </c>
      <c r="H836" t="s">
        <v>69</v>
      </c>
      <c r="I836" t="s">
        <v>685</v>
      </c>
      <c r="J836" t="s">
        <v>1845</v>
      </c>
      <c r="K836" t="s">
        <v>3201</v>
      </c>
      <c r="L836">
        <f>VLOOKUP(A836,[1]Customer_payment_journal_line!$B:$L,11,0)</f>
        <v>199.5</v>
      </c>
      <c r="M836" s="1">
        <v>0</v>
      </c>
      <c r="N836">
        <v>199.5</v>
      </c>
      <c r="O836" t="s">
        <v>61</v>
      </c>
      <c r="P836">
        <v>100</v>
      </c>
      <c r="Q836" t="s">
        <v>52</v>
      </c>
      <c r="R836" t="s">
        <v>52</v>
      </c>
      <c r="S836" t="s">
        <v>52</v>
      </c>
      <c r="T836" t="s">
        <v>52</v>
      </c>
      <c r="U836" t="s">
        <v>52</v>
      </c>
      <c r="V836" t="s">
        <v>62</v>
      </c>
      <c r="W836" t="s">
        <v>52</v>
      </c>
      <c r="Y836" t="s">
        <v>686</v>
      </c>
      <c r="Z836" t="s">
        <v>62</v>
      </c>
      <c r="AB836" t="s">
        <v>3209</v>
      </c>
      <c r="AE836" t="s">
        <v>3210</v>
      </c>
      <c r="AF836" t="s">
        <v>52</v>
      </c>
      <c r="AH836">
        <v>0</v>
      </c>
      <c r="AI836">
        <v>0</v>
      </c>
      <c r="AJ836" t="s">
        <v>52</v>
      </c>
      <c r="AK836">
        <v>0</v>
      </c>
      <c r="AL836" t="s">
        <v>52</v>
      </c>
      <c r="AM836" t="s">
        <v>52</v>
      </c>
      <c r="AN836">
        <v>0</v>
      </c>
      <c r="AO836">
        <v>0</v>
      </c>
      <c r="AP836" t="s">
        <v>52</v>
      </c>
      <c r="AQ836" t="s">
        <v>52</v>
      </c>
      <c r="AR836" t="s">
        <v>62</v>
      </c>
      <c r="AS836" t="s">
        <v>52</v>
      </c>
      <c r="AT836" t="s">
        <v>74</v>
      </c>
      <c r="AU836" t="s">
        <v>64</v>
      </c>
      <c r="AV836" t="s">
        <v>62</v>
      </c>
      <c r="AW836" t="s">
        <v>65</v>
      </c>
      <c r="AX836" t="s">
        <v>66</v>
      </c>
      <c r="AY836" t="s">
        <v>67</v>
      </c>
    </row>
    <row r="837" spans="1:51" hidden="1" x14ac:dyDescent="0.25">
      <c r="A837">
        <v>203039</v>
      </c>
      <c r="B837" t="s">
        <v>3211</v>
      </c>
      <c r="C837" t="e">
        <f>VLOOKUP(A837,[1]Customer_payment_journal_line!$AL:$BO,30,0)</f>
        <v>#N/A</v>
      </c>
      <c r="D837" t="s">
        <v>644</v>
      </c>
      <c r="E837" t="s">
        <v>3212</v>
      </c>
      <c r="F837" t="s">
        <v>3213</v>
      </c>
      <c r="G837" t="s">
        <v>3069</v>
      </c>
      <c r="H837" t="s">
        <v>210</v>
      </c>
      <c r="I837" t="s">
        <v>3214</v>
      </c>
      <c r="K837" t="s">
        <v>3215</v>
      </c>
      <c r="L837" t="s">
        <v>52</v>
      </c>
      <c r="M837">
        <v>2850</v>
      </c>
      <c r="N837">
        <v>0</v>
      </c>
      <c r="O837" t="s">
        <v>61</v>
      </c>
      <c r="P837">
        <v>100</v>
      </c>
      <c r="Q837" t="s">
        <v>52</v>
      </c>
      <c r="R837" t="s">
        <v>52</v>
      </c>
      <c r="S837" t="s">
        <v>52</v>
      </c>
      <c r="T837" t="s">
        <v>52</v>
      </c>
      <c r="U837" t="s">
        <v>52</v>
      </c>
      <c r="V837" t="s">
        <v>62</v>
      </c>
      <c r="W837" t="s">
        <v>63</v>
      </c>
      <c r="Y837" t="s">
        <v>52</v>
      </c>
      <c r="AB837" t="s">
        <v>3216</v>
      </c>
      <c r="AE837" t="s">
        <v>3217</v>
      </c>
      <c r="AF837" t="s">
        <v>632</v>
      </c>
      <c r="AG837" t="s">
        <v>3218</v>
      </c>
      <c r="AH837">
        <v>0</v>
      </c>
      <c r="AI837">
        <v>0</v>
      </c>
      <c r="AJ837" t="s">
        <v>52</v>
      </c>
      <c r="AK837">
        <v>0</v>
      </c>
      <c r="AL837" t="s">
        <v>52</v>
      </c>
      <c r="AM837" t="s">
        <v>52</v>
      </c>
      <c r="AN837">
        <v>0</v>
      </c>
      <c r="AO837">
        <v>0</v>
      </c>
      <c r="AP837" t="s">
        <v>52</v>
      </c>
      <c r="AQ837" t="s">
        <v>52</v>
      </c>
      <c r="AR837" t="s">
        <v>62</v>
      </c>
      <c r="AS837" t="s">
        <v>52</v>
      </c>
      <c r="AT837" t="s">
        <v>52</v>
      </c>
      <c r="AU837" t="s">
        <v>64</v>
      </c>
      <c r="AV837" t="s">
        <v>62</v>
      </c>
      <c r="AW837" t="s">
        <v>65</v>
      </c>
      <c r="AX837" t="s">
        <v>66</v>
      </c>
      <c r="AY837" t="s">
        <v>654</v>
      </c>
    </row>
    <row r="838" spans="1:51" hidden="1" x14ac:dyDescent="0.25">
      <c r="A838">
        <v>203039</v>
      </c>
      <c r="B838" t="s">
        <v>3219</v>
      </c>
      <c r="C838" t="e">
        <f>VLOOKUP(A838,[1]Customer_payment_journal_line!$AL:$BO,30,0)</f>
        <v>#N/A</v>
      </c>
      <c r="D838" t="s">
        <v>644</v>
      </c>
      <c r="E838" t="s">
        <v>3212</v>
      </c>
      <c r="F838" t="s">
        <v>3213</v>
      </c>
      <c r="G838" t="s">
        <v>3069</v>
      </c>
      <c r="H838" t="s">
        <v>69</v>
      </c>
      <c r="I838" t="s">
        <v>2252</v>
      </c>
      <c r="J838" t="s">
        <v>2249</v>
      </c>
      <c r="K838" t="s">
        <v>3215</v>
      </c>
      <c r="L838" t="s">
        <v>52</v>
      </c>
      <c r="M838">
        <v>0</v>
      </c>
      <c r="N838">
        <v>2850</v>
      </c>
      <c r="O838" t="s">
        <v>61</v>
      </c>
      <c r="P838">
        <v>100</v>
      </c>
      <c r="Q838" t="s">
        <v>52</v>
      </c>
      <c r="R838" t="s">
        <v>52</v>
      </c>
      <c r="S838" t="s">
        <v>52</v>
      </c>
      <c r="T838" t="s">
        <v>52</v>
      </c>
      <c r="U838" t="s">
        <v>52</v>
      </c>
      <c r="V838" t="s">
        <v>62</v>
      </c>
      <c r="W838" t="s">
        <v>52</v>
      </c>
      <c r="Y838" t="s">
        <v>2253</v>
      </c>
      <c r="Z838" t="s">
        <v>62</v>
      </c>
      <c r="AB838" t="s">
        <v>3216</v>
      </c>
      <c r="AE838" t="s">
        <v>3217</v>
      </c>
      <c r="AF838" t="s">
        <v>632</v>
      </c>
      <c r="AG838" t="s">
        <v>3218</v>
      </c>
      <c r="AH838">
        <v>0</v>
      </c>
      <c r="AI838">
        <v>0</v>
      </c>
      <c r="AJ838" t="s">
        <v>52</v>
      </c>
      <c r="AK838">
        <v>0</v>
      </c>
      <c r="AL838" t="s">
        <v>52</v>
      </c>
      <c r="AM838" t="s">
        <v>52</v>
      </c>
      <c r="AN838">
        <v>0</v>
      </c>
      <c r="AO838">
        <v>0</v>
      </c>
      <c r="AP838" t="s">
        <v>52</v>
      </c>
      <c r="AQ838" t="s">
        <v>52</v>
      </c>
      <c r="AR838" t="s">
        <v>62</v>
      </c>
      <c r="AS838" t="s">
        <v>52</v>
      </c>
      <c r="AT838" t="s">
        <v>74</v>
      </c>
      <c r="AU838" t="s">
        <v>64</v>
      </c>
      <c r="AV838" t="s">
        <v>62</v>
      </c>
      <c r="AW838" t="s">
        <v>65</v>
      </c>
      <c r="AX838" t="s">
        <v>66</v>
      </c>
      <c r="AY838" t="s">
        <v>654</v>
      </c>
    </row>
    <row r="839" spans="1:51" hidden="1" x14ac:dyDescent="0.25">
      <c r="A839">
        <v>203046</v>
      </c>
      <c r="B839" t="s">
        <v>3220</v>
      </c>
      <c r="C839" t="str">
        <f>VLOOKUP(A839,[1]Customer_payment_journal_line!$AL:$BO,30,0)</f>
        <v>CPay-000000067</v>
      </c>
      <c r="D839" t="s">
        <v>53</v>
      </c>
      <c r="E839" t="s">
        <v>3221</v>
      </c>
      <c r="F839" t="s">
        <v>3222</v>
      </c>
      <c r="G839" t="s">
        <v>3069</v>
      </c>
      <c r="H839" t="s">
        <v>57</v>
      </c>
      <c r="I839" t="s">
        <v>95</v>
      </c>
      <c r="J839" t="s">
        <v>3223</v>
      </c>
      <c r="K839" t="s">
        <v>3224</v>
      </c>
      <c r="L839">
        <f>VLOOKUP(A839,[1]Customer_payment_journal_line!$B:$L,11,0)</f>
        <v>10000</v>
      </c>
      <c r="M839" s="1">
        <v>10000</v>
      </c>
      <c r="N839" s="2">
        <f>L839-M839</f>
        <v>0</v>
      </c>
      <c r="O839" t="s">
        <v>61</v>
      </c>
      <c r="P839">
        <v>100</v>
      </c>
      <c r="Q839" t="s">
        <v>52</v>
      </c>
      <c r="R839" t="s">
        <v>52</v>
      </c>
      <c r="S839" t="s">
        <v>52</v>
      </c>
      <c r="T839" t="s">
        <v>52</v>
      </c>
      <c r="U839" t="s">
        <v>52</v>
      </c>
      <c r="V839" t="s">
        <v>62</v>
      </c>
      <c r="W839" t="s">
        <v>63</v>
      </c>
      <c r="Y839" t="s">
        <v>52</v>
      </c>
      <c r="AB839" t="s">
        <v>52</v>
      </c>
      <c r="AE839" t="s">
        <v>52</v>
      </c>
      <c r="AF839" t="s">
        <v>52</v>
      </c>
      <c r="AH839">
        <v>0</v>
      </c>
      <c r="AI839">
        <v>0</v>
      </c>
      <c r="AJ839" t="s">
        <v>52</v>
      </c>
      <c r="AK839">
        <v>0</v>
      </c>
      <c r="AL839" t="s">
        <v>52</v>
      </c>
      <c r="AM839" t="s">
        <v>52</v>
      </c>
      <c r="AN839">
        <v>0</v>
      </c>
      <c r="AO839">
        <v>0</v>
      </c>
      <c r="AP839" t="s">
        <v>52</v>
      </c>
      <c r="AQ839" t="s">
        <v>52</v>
      </c>
      <c r="AR839" t="s">
        <v>62</v>
      </c>
      <c r="AS839" t="s">
        <v>52</v>
      </c>
      <c r="AT839" t="s">
        <v>52</v>
      </c>
      <c r="AU839" t="s">
        <v>64</v>
      </c>
      <c r="AV839" t="s">
        <v>62</v>
      </c>
      <c r="AW839" t="s">
        <v>65</v>
      </c>
      <c r="AX839" t="s">
        <v>66</v>
      </c>
      <c r="AY839" t="s">
        <v>67</v>
      </c>
    </row>
    <row r="840" spans="1:51" hidden="1" x14ac:dyDescent="0.25">
      <c r="A840">
        <v>203046</v>
      </c>
      <c r="B840" t="s">
        <v>3225</v>
      </c>
      <c r="C840" t="str">
        <f>VLOOKUP(A840,[1]Customer_payment_journal_line!$AL:$BO,30,0)</f>
        <v>CPay-000000067</v>
      </c>
      <c r="D840" t="s">
        <v>53</v>
      </c>
      <c r="E840" t="s">
        <v>3221</v>
      </c>
      <c r="F840" t="s">
        <v>3222</v>
      </c>
      <c r="G840" t="s">
        <v>3069</v>
      </c>
      <c r="H840" t="s">
        <v>69</v>
      </c>
      <c r="I840" t="s">
        <v>3226</v>
      </c>
      <c r="J840" t="s">
        <v>3223</v>
      </c>
      <c r="K840" t="s">
        <v>3224</v>
      </c>
      <c r="L840">
        <f>VLOOKUP(A840,[1]Customer_payment_journal_line!$B:$L,11,0)</f>
        <v>10000</v>
      </c>
      <c r="M840" s="1">
        <v>0</v>
      </c>
      <c r="N840">
        <v>10000</v>
      </c>
      <c r="O840" t="s">
        <v>61</v>
      </c>
      <c r="P840">
        <v>100</v>
      </c>
      <c r="Q840" t="s">
        <v>52</v>
      </c>
      <c r="R840" t="s">
        <v>52</v>
      </c>
      <c r="S840" t="s">
        <v>52</v>
      </c>
      <c r="T840" t="s">
        <v>52</v>
      </c>
      <c r="U840" t="s">
        <v>52</v>
      </c>
      <c r="V840" t="s">
        <v>62</v>
      </c>
      <c r="W840" t="s">
        <v>52</v>
      </c>
      <c r="Y840" t="s">
        <v>3227</v>
      </c>
      <c r="Z840" t="s">
        <v>62</v>
      </c>
      <c r="AB840" t="s">
        <v>3228</v>
      </c>
      <c r="AE840" t="s">
        <v>3229</v>
      </c>
      <c r="AF840" t="s">
        <v>52</v>
      </c>
      <c r="AH840">
        <v>0</v>
      </c>
      <c r="AI840">
        <v>0</v>
      </c>
      <c r="AJ840" t="s">
        <v>52</v>
      </c>
      <c r="AK840">
        <v>0</v>
      </c>
      <c r="AL840" t="s">
        <v>52</v>
      </c>
      <c r="AM840" t="s">
        <v>52</v>
      </c>
      <c r="AN840">
        <v>0</v>
      </c>
      <c r="AO840">
        <v>0</v>
      </c>
      <c r="AP840" t="s">
        <v>52</v>
      </c>
      <c r="AQ840" t="s">
        <v>52</v>
      </c>
      <c r="AR840" t="s">
        <v>62</v>
      </c>
      <c r="AS840" t="s">
        <v>52</v>
      </c>
      <c r="AT840" t="s">
        <v>74</v>
      </c>
      <c r="AU840" t="s">
        <v>64</v>
      </c>
      <c r="AV840" t="s">
        <v>62</v>
      </c>
      <c r="AW840" t="s">
        <v>65</v>
      </c>
      <c r="AX840" t="s">
        <v>66</v>
      </c>
      <c r="AY840" t="s">
        <v>67</v>
      </c>
    </row>
    <row r="841" spans="1:51" hidden="1" x14ac:dyDescent="0.25">
      <c r="A841">
        <v>406021</v>
      </c>
      <c r="B841" t="s">
        <v>3230</v>
      </c>
      <c r="C841" t="e">
        <f>VLOOKUP(A841,[1]Customer_payment_journal_line!$AL:$BO,30,0)</f>
        <v>#N/A</v>
      </c>
      <c r="D841" t="s">
        <v>159</v>
      </c>
      <c r="E841" t="s">
        <v>3231</v>
      </c>
      <c r="F841" t="s">
        <v>3232</v>
      </c>
      <c r="G841" t="s">
        <v>3069</v>
      </c>
      <c r="H841" t="s">
        <v>80</v>
      </c>
      <c r="I841" t="s">
        <v>632</v>
      </c>
      <c r="J841" t="s">
        <v>3233</v>
      </c>
      <c r="K841" t="s">
        <v>3234</v>
      </c>
      <c r="L841" t="s">
        <v>52</v>
      </c>
      <c r="M841">
        <v>3705</v>
      </c>
      <c r="N841">
        <v>0</v>
      </c>
      <c r="O841" t="s">
        <v>61</v>
      </c>
      <c r="P841">
        <v>100</v>
      </c>
      <c r="Q841" t="s">
        <v>52</v>
      </c>
      <c r="R841" t="s">
        <v>52</v>
      </c>
      <c r="S841" t="s">
        <v>52</v>
      </c>
      <c r="T841" t="s">
        <v>52</v>
      </c>
      <c r="U841" t="s">
        <v>52</v>
      </c>
      <c r="V841" t="s">
        <v>62</v>
      </c>
      <c r="W841" t="s">
        <v>52</v>
      </c>
      <c r="Y841" t="s">
        <v>52</v>
      </c>
      <c r="AB841" t="s">
        <v>52</v>
      </c>
      <c r="AE841" t="s">
        <v>52</v>
      </c>
      <c r="AF841" t="s">
        <v>52</v>
      </c>
      <c r="AH841">
        <v>0</v>
      </c>
      <c r="AI841">
        <v>0</v>
      </c>
      <c r="AJ841" t="s">
        <v>52</v>
      </c>
      <c r="AK841">
        <v>0</v>
      </c>
      <c r="AL841" t="s">
        <v>52</v>
      </c>
      <c r="AM841" t="s">
        <v>52</v>
      </c>
      <c r="AN841">
        <v>0</v>
      </c>
      <c r="AO841">
        <v>0</v>
      </c>
      <c r="AP841" t="s">
        <v>52</v>
      </c>
      <c r="AQ841" t="s">
        <v>52</v>
      </c>
      <c r="AR841" t="s">
        <v>62</v>
      </c>
      <c r="AS841" t="s">
        <v>52</v>
      </c>
      <c r="AT841" t="s">
        <v>52</v>
      </c>
      <c r="AU841" t="s">
        <v>64</v>
      </c>
      <c r="AV841" t="s">
        <v>62</v>
      </c>
      <c r="AW841" t="s">
        <v>65</v>
      </c>
      <c r="AX841" t="s">
        <v>66</v>
      </c>
      <c r="AY841" t="s">
        <v>165</v>
      </c>
    </row>
    <row r="842" spans="1:51" hidden="1" x14ac:dyDescent="0.25">
      <c r="A842">
        <v>406021</v>
      </c>
      <c r="B842" t="s">
        <v>3235</v>
      </c>
      <c r="C842" t="e">
        <f>VLOOKUP(A842,[1]Customer_payment_journal_line!$AL:$BO,30,0)</f>
        <v>#N/A</v>
      </c>
      <c r="D842" t="s">
        <v>159</v>
      </c>
      <c r="E842" t="s">
        <v>3231</v>
      </c>
      <c r="F842" t="s">
        <v>3232</v>
      </c>
      <c r="G842" t="s">
        <v>3069</v>
      </c>
      <c r="H842" t="s">
        <v>69</v>
      </c>
      <c r="I842" t="s">
        <v>3236</v>
      </c>
      <c r="J842" t="s">
        <v>3233</v>
      </c>
      <c r="K842" t="s">
        <v>3234</v>
      </c>
      <c r="L842" t="s">
        <v>52</v>
      </c>
      <c r="M842">
        <v>0</v>
      </c>
      <c r="N842">
        <v>2850</v>
      </c>
      <c r="O842" t="s">
        <v>61</v>
      </c>
      <c r="P842">
        <v>100</v>
      </c>
      <c r="Q842" t="s">
        <v>52</v>
      </c>
      <c r="R842" t="s">
        <v>52</v>
      </c>
      <c r="S842" t="s">
        <v>52</v>
      </c>
      <c r="T842" t="s">
        <v>52</v>
      </c>
      <c r="U842" t="s">
        <v>52</v>
      </c>
      <c r="V842" t="s">
        <v>62</v>
      </c>
      <c r="W842" t="s">
        <v>52</v>
      </c>
      <c r="Y842" t="s">
        <v>3237</v>
      </c>
      <c r="Z842" t="s">
        <v>62</v>
      </c>
      <c r="AB842" t="s">
        <v>3238</v>
      </c>
      <c r="AE842" t="s">
        <v>3239</v>
      </c>
      <c r="AF842" t="s">
        <v>52</v>
      </c>
      <c r="AH842">
        <v>0</v>
      </c>
      <c r="AI842">
        <v>0</v>
      </c>
      <c r="AJ842" t="s">
        <v>52</v>
      </c>
      <c r="AK842">
        <v>0</v>
      </c>
      <c r="AL842" t="s">
        <v>52</v>
      </c>
      <c r="AM842" t="s">
        <v>52</v>
      </c>
      <c r="AN842">
        <v>0</v>
      </c>
      <c r="AO842">
        <v>0</v>
      </c>
      <c r="AP842" t="s">
        <v>52</v>
      </c>
      <c r="AQ842" t="s">
        <v>52</v>
      </c>
      <c r="AR842" t="s">
        <v>62</v>
      </c>
      <c r="AS842" t="s">
        <v>52</v>
      </c>
      <c r="AT842" t="s">
        <v>74</v>
      </c>
      <c r="AU842" t="s">
        <v>64</v>
      </c>
      <c r="AV842" t="s">
        <v>62</v>
      </c>
      <c r="AW842" t="s">
        <v>65</v>
      </c>
      <c r="AX842" t="s">
        <v>66</v>
      </c>
      <c r="AY842" t="s">
        <v>165</v>
      </c>
    </row>
    <row r="843" spans="1:51" hidden="1" x14ac:dyDescent="0.25">
      <c r="A843">
        <v>406021</v>
      </c>
      <c r="B843" t="s">
        <v>3240</v>
      </c>
      <c r="C843" t="e">
        <f>VLOOKUP(A843,[1]Customer_payment_journal_line!$AL:$BO,30,0)</f>
        <v>#N/A</v>
      </c>
      <c r="D843" t="s">
        <v>159</v>
      </c>
      <c r="E843" t="s">
        <v>3231</v>
      </c>
      <c r="F843" t="s">
        <v>3232</v>
      </c>
      <c r="G843" t="s">
        <v>3069</v>
      </c>
      <c r="H843" t="s">
        <v>69</v>
      </c>
      <c r="I843" t="s">
        <v>3236</v>
      </c>
      <c r="J843" t="s">
        <v>3233</v>
      </c>
      <c r="K843" t="s">
        <v>3234</v>
      </c>
      <c r="L843" t="s">
        <v>52</v>
      </c>
      <c r="M843">
        <v>0</v>
      </c>
      <c r="N843">
        <v>855</v>
      </c>
      <c r="O843" t="s">
        <v>61</v>
      </c>
      <c r="P843">
        <v>100</v>
      </c>
      <c r="Q843" t="s">
        <v>52</v>
      </c>
      <c r="R843" t="s">
        <v>52</v>
      </c>
      <c r="S843" t="s">
        <v>52</v>
      </c>
      <c r="T843" t="s">
        <v>52</v>
      </c>
      <c r="U843" t="s">
        <v>52</v>
      </c>
      <c r="V843" t="s">
        <v>62</v>
      </c>
      <c r="W843" t="s">
        <v>52</v>
      </c>
      <c r="Y843" t="s">
        <v>3237</v>
      </c>
      <c r="Z843" t="s">
        <v>62</v>
      </c>
      <c r="AB843" t="s">
        <v>3241</v>
      </c>
      <c r="AE843" t="s">
        <v>3242</v>
      </c>
      <c r="AF843" t="s">
        <v>52</v>
      </c>
      <c r="AH843">
        <v>0</v>
      </c>
      <c r="AI843">
        <v>0</v>
      </c>
      <c r="AJ843" t="s">
        <v>52</v>
      </c>
      <c r="AK843">
        <v>0</v>
      </c>
      <c r="AL843" t="s">
        <v>52</v>
      </c>
      <c r="AM843" t="s">
        <v>52</v>
      </c>
      <c r="AN843">
        <v>0</v>
      </c>
      <c r="AO843">
        <v>0</v>
      </c>
      <c r="AP843" t="s">
        <v>52</v>
      </c>
      <c r="AQ843" t="s">
        <v>52</v>
      </c>
      <c r="AR843" t="s">
        <v>62</v>
      </c>
      <c r="AS843" t="s">
        <v>52</v>
      </c>
      <c r="AT843" t="s">
        <v>74</v>
      </c>
      <c r="AU843" t="s">
        <v>64</v>
      </c>
      <c r="AV843" t="s">
        <v>62</v>
      </c>
      <c r="AW843" t="s">
        <v>65</v>
      </c>
      <c r="AX843" t="s">
        <v>66</v>
      </c>
      <c r="AY843" t="s">
        <v>165</v>
      </c>
    </row>
    <row r="844" spans="1:51" hidden="1" x14ac:dyDescent="0.25">
      <c r="A844">
        <v>406022</v>
      </c>
      <c r="B844" t="s">
        <v>3243</v>
      </c>
      <c r="C844" t="e">
        <f>VLOOKUP(A844,[1]Customer_payment_journal_line!$AL:$BO,30,0)</f>
        <v>#N/A</v>
      </c>
      <c r="D844" t="s">
        <v>159</v>
      </c>
      <c r="E844" t="s">
        <v>3244</v>
      </c>
      <c r="F844" t="s">
        <v>3245</v>
      </c>
      <c r="G844" t="s">
        <v>3069</v>
      </c>
      <c r="H844" t="s">
        <v>80</v>
      </c>
      <c r="I844" t="s">
        <v>269</v>
      </c>
      <c r="J844" t="s">
        <v>3233</v>
      </c>
      <c r="K844" t="s">
        <v>3234</v>
      </c>
      <c r="L844" t="s">
        <v>52</v>
      </c>
      <c r="M844">
        <v>100</v>
      </c>
      <c r="N844">
        <v>0</v>
      </c>
      <c r="O844" t="s">
        <v>178</v>
      </c>
      <c r="P844">
        <v>5085</v>
      </c>
      <c r="Q844" t="s">
        <v>52</v>
      </c>
      <c r="R844" t="s">
        <v>52</v>
      </c>
      <c r="S844" t="s">
        <v>52</v>
      </c>
      <c r="T844" t="s">
        <v>52</v>
      </c>
      <c r="U844" t="s">
        <v>52</v>
      </c>
      <c r="V844" t="s">
        <v>62</v>
      </c>
      <c r="W844" t="s">
        <v>52</v>
      </c>
      <c r="Y844" t="s">
        <v>52</v>
      </c>
      <c r="AB844" t="s">
        <v>52</v>
      </c>
      <c r="AE844" t="s">
        <v>52</v>
      </c>
      <c r="AF844" t="s">
        <v>52</v>
      </c>
      <c r="AH844">
        <v>0</v>
      </c>
      <c r="AI844">
        <v>0</v>
      </c>
      <c r="AJ844" t="s">
        <v>52</v>
      </c>
      <c r="AK844">
        <v>0</v>
      </c>
      <c r="AL844" t="s">
        <v>52</v>
      </c>
      <c r="AM844" t="s">
        <v>52</v>
      </c>
      <c r="AN844">
        <v>0</v>
      </c>
      <c r="AO844">
        <v>0</v>
      </c>
      <c r="AP844" t="s">
        <v>52</v>
      </c>
      <c r="AQ844" t="s">
        <v>52</v>
      </c>
      <c r="AR844" t="s">
        <v>62</v>
      </c>
      <c r="AS844" t="s">
        <v>52</v>
      </c>
      <c r="AT844" t="s">
        <v>52</v>
      </c>
      <c r="AU844" t="s">
        <v>64</v>
      </c>
      <c r="AV844" t="s">
        <v>62</v>
      </c>
      <c r="AW844" t="s">
        <v>65</v>
      </c>
      <c r="AX844" t="s">
        <v>66</v>
      </c>
      <c r="AY844" t="s">
        <v>165</v>
      </c>
    </row>
    <row r="845" spans="1:51" hidden="1" x14ac:dyDescent="0.25">
      <c r="A845">
        <v>406022</v>
      </c>
      <c r="B845" t="s">
        <v>3246</v>
      </c>
      <c r="C845" t="e">
        <f>VLOOKUP(A845,[1]Customer_payment_journal_line!$AL:$BO,30,0)</f>
        <v>#N/A</v>
      </c>
      <c r="D845" t="s">
        <v>159</v>
      </c>
      <c r="E845" t="s">
        <v>3244</v>
      </c>
      <c r="F845" t="s">
        <v>3245</v>
      </c>
      <c r="G845" t="s">
        <v>3069</v>
      </c>
      <c r="H845" t="s">
        <v>69</v>
      </c>
      <c r="I845" t="s">
        <v>3236</v>
      </c>
      <c r="J845" t="s">
        <v>3233</v>
      </c>
      <c r="K845" t="s">
        <v>3234</v>
      </c>
      <c r="L845" t="s">
        <v>52</v>
      </c>
      <c r="M845">
        <v>0</v>
      </c>
      <c r="N845">
        <v>100</v>
      </c>
      <c r="O845" t="s">
        <v>178</v>
      </c>
      <c r="P845">
        <v>5085</v>
      </c>
      <c r="Q845" t="s">
        <v>52</v>
      </c>
      <c r="R845" t="s">
        <v>52</v>
      </c>
      <c r="S845" t="s">
        <v>52</v>
      </c>
      <c r="T845" t="s">
        <v>52</v>
      </c>
      <c r="U845" t="s">
        <v>52</v>
      </c>
      <c r="V845" t="s">
        <v>62</v>
      </c>
      <c r="W845" t="s">
        <v>52</v>
      </c>
      <c r="Y845" t="s">
        <v>3237</v>
      </c>
      <c r="Z845" t="s">
        <v>62</v>
      </c>
      <c r="AB845" t="s">
        <v>3247</v>
      </c>
      <c r="AE845" t="s">
        <v>3248</v>
      </c>
      <c r="AF845" t="s">
        <v>52</v>
      </c>
      <c r="AH845">
        <v>0</v>
      </c>
      <c r="AI845">
        <v>0</v>
      </c>
      <c r="AJ845" t="s">
        <v>52</v>
      </c>
      <c r="AK845">
        <v>0</v>
      </c>
      <c r="AL845" t="s">
        <v>52</v>
      </c>
      <c r="AM845" t="s">
        <v>52</v>
      </c>
      <c r="AN845">
        <v>0</v>
      </c>
      <c r="AO845">
        <v>0</v>
      </c>
      <c r="AP845" t="s">
        <v>52</v>
      </c>
      <c r="AQ845" t="s">
        <v>52</v>
      </c>
      <c r="AR845" t="s">
        <v>62</v>
      </c>
      <c r="AS845" t="s">
        <v>52</v>
      </c>
      <c r="AT845" t="s">
        <v>74</v>
      </c>
      <c r="AU845" t="s">
        <v>64</v>
      </c>
      <c r="AV845" t="s">
        <v>62</v>
      </c>
      <c r="AW845" t="s">
        <v>65</v>
      </c>
      <c r="AX845" t="s">
        <v>66</v>
      </c>
      <c r="AY845" t="s">
        <v>165</v>
      </c>
    </row>
    <row r="846" spans="1:51" hidden="1" x14ac:dyDescent="0.25">
      <c r="A846">
        <v>406030</v>
      </c>
      <c r="B846" t="s">
        <v>3249</v>
      </c>
      <c r="C846" t="e">
        <f>VLOOKUP(A846,[1]Customer_payment_journal_line!$AL:$BO,30,0)</f>
        <v>#N/A</v>
      </c>
      <c r="D846" t="s">
        <v>644</v>
      </c>
      <c r="E846" t="s">
        <v>3250</v>
      </c>
      <c r="F846" t="s">
        <v>3251</v>
      </c>
      <c r="G846" t="s">
        <v>3069</v>
      </c>
      <c r="H846" t="s">
        <v>69</v>
      </c>
      <c r="I846" t="s">
        <v>1960</v>
      </c>
      <c r="J846" t="s">
        <v>3252</v>
      </c>
      <c r="K846" t="s">
        <v>3253</v>
      </c>
      <c r="L846" t="s">
        <v>52</v>
      </c>
      <c r="M846">
        <v>0</v>
      </c>
      <c r="N846">
        <v>855</v>
      </c>
      <c r="O846" t="s">
        <v>61</v>
      </c>
      <c r="P846">
        <v>100</v>
      </c>
      <c r="Q846" t="s">
        <v>52</v>
      </c>
      <c r="R846" t="s">
        <v>52</v>
      </c>
      <c r="S846" t="s">
        <v>52</v>
      </c>
      <c r="T846" t="s">
        <v>52</v>
      </c>
      <c r="U846" t="s">
        <v>52</v>
      </c>
      <c r="V846" t="s">
        <v>62</v>
      </c>
      <c r="W846" t="s">
        <v>52</v>
      </c>
      <c r="Y846" t="s">
        <v>1963</v>
      </c>
      <c r="Z846" t="s">
        <v>62</v>
      </c>
      <c r="AB846" t="s">
        <v>3254</v>
      </c>
      <c r="AE846" t="s">
        <v>3255</v>
      </c>
      <c r="AF846" t="s">
        <v>632</v>
      </c>
      <c r="AG846" t="s">
        <v>3256</v>
      </c>
      <c r="AH846">
        <v>0</v>
      </c>
      <c r="AI846">
        <v>0</v>
      </c>
      <c r="AJ846" t="s">
        <v>52</v>
      </c>
      <c r="AK846">
        <v>0</v>
      </c>
      <c r="AL846" t="s">
        <v>52</v>
      </c>
      <c r="AM846" t="s">
        <v>52</v>
      </c>
      <c r="AN846">
        <v>0</v>
      </c>
      <c r="AO846">
        <v>0</v>
      </c>
      <c r="AP846" t="s">
        <v>52</v>
      </c>
      <c r="AQ846" t="s">
        <v>52</v>
      </c>
      <c r="AR846" t="s">
        <v>62</v>
      </c>
      <c r="AS846" t="s">
        <v>52</v>
      </c>
      <c r="AT846" t="s">
        <v>74</v>
      </c>
      <c r="AU846" t="s">
        <v>64</v>
      </c>
      <c r="AV846" t="s">
        <v>62</v>
      </c>
      <c r="AW846" t="s">
        <v>65</v>
      </c>
      <c r="AX846" t="s">
        <v>66</v>
      </c>
      <c r="AY846" t="s">
        <v>654</v>
      </c>
    </row>
    <row r="847" spans="1:51" hidden="1" x14ac:dyDescent="0.25">
      <c r="A847">
        <v>406030</v>
      </c>
      <c r="B847" t="s">
        <v>3257</v>
      </c>
      <c r="C847" t="e">
        <f>VLOOKUP(A847,[1]Customer_payment_journal_line!$AL:$BO,30,0)</f>
        <v>#N/A</v>
      </c>
      <c r="D847" t="s">
        <v>644</v>
      </c>
      <c r="E847" t="s">
        <v>3250</v>
      </c>
      <c r="F847" t="s">
        <v>3251</v>
      </c>
      <c r="G847" t="s">
        <v>3069</v>
      </c>
      <c r="H847" t="s">
        <v>210</v>
      </c>
      <c r="I847" t="s">
        <v>3258</v>
      </c>
      <c r="K847" t="s">
        <v>3253</v>
      </c>
      <c r="L847" t="s">
        <v>52</v>
      </c>
      <c r="M847">
        <v>19095</v>
      </c>
      <c r="N847">
        <v>0</v>
      </c>
      <c r="O847" t="s">
        <v>61</v>
      </c>
      <c r="P847">
        <v>100</v>
      </c>
      <c r="Q847" t="s">
        <v>52</v>
      </c>
      <c r="R847" t="s">
        <v>52</v>
      </c>
      <c r="S847" t="s">
        <v>52</v>
      </c>
      <c r="T847" t="s">
        <v>52</v>
      </c>
      <c r="U847" t="s">
        <v>52</v>
      </c>
      <c r="V847" t="s">
        <v>62</v>
      </c>
      <c r="W847" t="s">
        <v>63</v>
      </c>
      <c r="Y847" t="s">
        <v>52</v>
      </c>
      <c r="AB847" t="s">
        <v>3259</v>
      </c>
      <c r="AE847" t="s">
        <v>3260</v>
      </c>
      <c r="AF847" t="s">
        <v>632</v>
      </c>
      <c r="AG847" t="s">
        <v>3256</v>
      </c>
      <c r="AH847">
        <v>0</v>
      </c>
      <c r="AI847">
        <v>0</v>
      </c>
      <c r="AJ847" t="s">
        <v>52</v>
      </c>
      <c r="AK847">
        <v>0</v>
      </c>
      <c r="AL847" t="s">
        <v>52</v>
      </c>
      <c r="AM847" t="s">
        <v>52</v>
      </c>
      <c r="AN847">
        <v>0</v>
      </c>
      <c r="AO847">
        <v>0</v>
      </c>
      <c r="AP847" t="s">
        <v>52</v>
      </c>
      <c r="AQ847" t="s">
        <v>52</v>
      </c>
      <c r="AR847" t="s">
        <v>62</v>
      </c>
      <c r="AS847" t="s">
        <v>52</v>
      </c>
      <c r="AT847" t="s">
        <v>52</v>
      </c>
      <c r="AU847" t="s">
        <v>64</v>
      </c>
      <c r="AV847" t="s">
        <v>62</v>
      </c>
      <c r="AW847" t="s">
        <v>65</v>
      </c>
      <c r="AX847" t="s">
        <v>66</v>
      </c>
      <c r="AY847" t="s">
        <v>654</v>
      </c>
    </row>
    <row r="848" spans="1:51" hidden="1" x14ac:dyDescent="0.25">
      <c r="A848">
        <v>406030</v>
      </c>
      <c r="B848" t="s">
        <v>3261</v>
      </c>
      <c r="C848" t="e">
        <f>VLOOKUP(A848,[1]Customer_payment_journal_line!$AL:$BO,30,0)</f>
        <v>#N/A</v>
      </c>
      <c r="D848" t="s">
        <v>644</v>
      </c>
      <c r="E848" t="s">
        <v>3250</v>
      </c>
      <c r="F848" t="s">
        <v>3251</v>
      </c>
      <c r="G848" t="s">
        <v>3069</v>
      </c>
      <c r="H848" t="s">
        <v>69</v>
      </c>
      <c r="I848" t="s">
        <v>1960</v>
      </c>
      <c r="J848" t="s">
        <v>3252</v>
      </c>
      <c r="K848" t="s">
        <v>3253</v>
      </c>
      <c r="L848" t="s">
        <v>52</v>
      </c>
      <c r="M848">
        <v>0</v>
      </c>
      <c r="N848">
        <v>18240</v>
      </c>
      <c r="O848" t="s">
        <v>61</v>
      </c>
      <c r="P848">
        <v>100</v>
      </c>
      <c r="Q848" t="s">
        <v>52</v>
      </c>
      <c r="R848" t="s">
        <v>52</v>
      </c>
      <c r="S848" t="s">
        <v>52</v>
      </c>
      <c r="T848" t="s">
        <v>52</v>
      </c>
      <c r="U848" t="s">
        <v>52</v>
      </c>
      <c r="V848" t="s">
        <v>62</v>
      </c>
      <c r="W848" t="s">
        <v>52</v>
      </c>
      <c r="Y848" t="s">
        <v>1963</v>
      </c>
      <c r="Z848" t="s">
        <v>62</v>
      </c>
      <c r="AB848" t="s">
        <v>3259</v>
      </c>
      <c r="AE848" t="s">
        <v>3260</v>
      </c>
      <c r="AF848" t="s">
        <v>632</v>
      </c>
      <c r="AG848" t="s">
        <v>3256</v>
      </c>
      <c r="AH848">
        <v>0</v>
      </c>
      <c r="AI848">
        <v>0</v>
      </c>
      <c r="AJ848" t="s">
        <v>52</v>
      </c>
      <c r="AK848">
        <v>0</v>
      </c>
      <c r="AL848" t="s">
        <v>52</v>
      </c>
      <c r="AM848" t="s">
        <v>52</v>
      </c>
      <c r="AN848">
        <v>0</v>
      </c>
      <c r="AO848">
        <v>0</v>
      </c>
      <c r="AP848" t="s">
        <v>52</v>
      </c>
      <c r="AQ848" t="s">
        <v>52</v>
      </c>
      <c r="AR848" t="s">
        <v>62</v>
      </c>
      <c r="AS848" t="s">
        <v>52</v>
      </c>
      <c r="AT848" t="s">
        <v>74</v>
      </c>
      <c r="AU848" t="s">
        <v>64</v>
      </c>
      <c r="AV848" t="s">
        <v>62</v>
      </c>
      <c r="AW848" t="s">
        <v>65</v>
      </c>
      <c r="AX848" t="s">
        <v>66</v>
      </c>
      <c r="AY848" t="s">
        <v>654</v>
      </c>
    </row>
    <row r="849" spans="1:51" hidden="1" x14ac:dyDescent="0.25">
      <c r="A849">
        <v>406033</v>
      </c>
      <c r="B849" t="s">
        <v>3262</v>
      </c>
      <c r="C849" t="e">
        <f>VLOOKUP(A849,[1]Customer_payment_journal_line!$AL:$BO,30,0)</f>
        <v>#N/A</v>
      </c>
      <c r="D849" t="s">
        <v>159</v>
      </c>
      <c r="E849" t="s">
        <v>3263</v>
      </c>
      <c r="F849" t="s">
        <v>3264</v>
      </c>
      <c r="G849" t="s">
        <v>3069</v>
      </c>
      <c r="H849" t="s">
        <v>80</v>
      </c>
      <c r="I849" t="s">
        <v>162</v>
      </c>
      <c r="J849" t="s">
        <v>3265</v>
      </c>
      <c r="K849" t="s">
        <v>3266</v>
      </c>
      <c r="L849" t="s">
        <v>52</v>
      </c>
      <c r="M849">
        <v>6498</v>
      </c>
      <c r="N849">
        <v>0</v>
      </c>
      <c r="O849" t="s">
        <v>61</v>
      </c>
      <c r="P849">
        <v>100</v>
      </c>
      <c r="Q849" t="s">
        <v>52</v>
      </c>
      <c r="R849" t="s">
        <v>52</v>
      </c>
      <c r="S849" t="s">
        <v>52</v>
      </c>
      <c r="T849" t="s">
        <v>52</v>
      </c>
      <c r="U849" t="s">
        <v>52</v>
      </c>
      <c r="V849" t="s">
        <v>62</v>
      </c>
      <c r="W849" t="s">
        <v>52</v>
      </c>
      <c r="Y849" t="s">
        <v>52</v>
      </c>
      <c r="AB849" t="s">
        <v>52</v>
      </c>
      <c r="AE849" t="s">
        <v>52</v>
      </c>
      <c r="AF849" t="s">
        <v>52</v>
      </c>
      <c r="AH849">
        <v>0</v>
      </c>
      <c r="AI849">
        <v>0</v>
      </c>
      <c r="AJ849" t="s">
        <v>52</v>
      </c>
      <c r="AK849">
        <v>0</v>
      </c>
      <c r="AL849" t="s">
        <v>52</v>
      </c>
      <c r="AM849" t="s">
        <v>52</v>
      </c>
      <c r="AN849">
        <v>0</v>
      </c>
      <c r="AO849">
        <v>0</v>
      </c>
      <c r="AP849" t="s">
        <v>52</v>
      </c>
      <c r="AQ849" t="s">
        <v>52</v>
      </c>
      <c r="AR849" t="s">
        <v>62</v>
      </c>
      <c r="AS849" t="s">
        <v>52</v>
      </c>
      <c r="AT849" t="s">
        <v>52</v>
      </c>
      <c r="AU849" t="s">
        <v>64</v>
      </c>
      <c r="AV849" t="s">
        <v>62</v>
      </c>
      <c r="AW849" t="s">
        <v>65</v>
      </c>
      <c r="AX849" t="s">
        <v>66</v>
      </c>
      <c r="AY849" t="s">
        <v>165</v>
      </c>
    </row>
    <row r="850" spans="1:51" hidden="1" x14ac:dyDescent="0.25">
      <c r="A850">
        <v>406033</v>
      </c>
      <c r="B850" t="s">
        <v>3267</v>
      </c>
      <c r="C850" t="e">
        <f>VLOOKUP(A850,[1]Customer_payment_journal_line!$AL:$BO,30,0)</f>
        <v>#N/A</v>
      </c>
      <c r="D850" t="s">
        <v>159</v>
      </c>
      <c r="E850" t="s">
        <v>3263</v>
      </c>
      <c r="F850" t="s">
        <v>3264</v>
      </c>
      <c r="G850" t="s">
        <v>3069</v>
      </c>
      <c r="H850" t="s">
        <v>69</v>
      </c>
      <c r="I850" t="s">
        <v>3268</v>
      </c>
      <c r="J850" t="s">
        <v>3265</v>
      </c>
      <c r="K850" t="s">
        <v>3266</v>
      </c>
      <c r="L850" t="s">
        <v>52</v>
      </c>
      <c r="M850">
        <v>0</v>
      </c>
      <c r="N850">
        <v>855</v>
      </c>
      <c r="O850" t="s">
        <v>61</v>
      </c>
      <c r="P850">
        <v>100</v>
      </c>
      <c r="Q850" t="s">
        <v>52</v>
      </c>
      <c r="R850" t="s">
        <v>52</v>
      </c>
      <c r="S850" t="s">
        <v>52</v>
      </c>
      <c r="T850" t="s">
        <v>52</v>
      </c>
      <c r="U850" t="s">
        <v>52</v>
      </c>
      <c r="V850" t="s">
        <v>62</v>
      </c>
      <c r="W850" t="s">
        <v>52</v>
      </c>
      <c r="Y850" t="s">
        <v>3269</v>
      </c>
      <c r="Z850" t="s">
        <v>62</v>
      </c>
      <c r="AB850" t="s">
        <v>3270</v>
      </c>
      <c r="AE850" t="s">
        <v>3271</v>
      </c>
      <c r="AF850" t="s">
        <v>52</v>
      </c>
      <c r="AH850">
        <v>0</v>
      </c>
      <c r="AI850">
        <v>0</v>
      </c>
      <c r="AJ850" t="s">
        <v>52</v>
      </c>
      <c r="AK850">
        <v>0</v>
      </c>
      <c r="AL850" t="s">
        <v>52</v>
      </c>
      <c r="AM850" t="s">
        <v>52</v>
      </c>
      <c r="AN850">
        <v>0</v>
      </c>
      <c r="AO850">
        <v>0</v>
      </c>
      <c r="AP850" t="s">
        <v>52</v>
      </c>
      <c r="AQ850" t="s">
        <v>52</v>
      </c>
      <c r="AR850" t="s">
        <v>62</v>
      </c>
      <c r="AS850" t="s">
        <v>52</v>
      </c>
      <c r="AT850" t="s">
        <v>74</v>
      </c>
      <c r="AU850" t="s">
        <v>64</v>
      </c>
      <c r="AV850" t="s">
        <v>62</v>
      </c>
      <c r="AW850" t="s">
        <v>65</v>
      </c>
      <c r="AX850" t="s">
        <v>66</v>
      </c>
      <c r="AY850" t="s">
        <v>165</v>
      </c>
    </row>
    <row r="851" spans="1:51" hidden="1" x14ac:dyDescent="0.25">
      <c r="A851">
        <v>406033</v>
      </c>
      <c r="B851" t="s">
        <v>3272</v>
      </c>
      <c r="C851" t="e">
        <f>VLOOKUP(A851,[1]Customer_payment_journal_line!$AL:$BO,30,0)</f>
        <v>#N/A</v>
      </c>
      <c r="D851" t="s">
        <v>159</v>
      </c>
      <c r="E851" t="s">
        <v>3263</v>
      </c>
      <c r="F851" t="s">
        <v>3264</v>
      </c>
      <c r="G851" t="s">
        <v>3069</v>
      </c>
      <c r="H851" t="s">
        <v>69</v>
      </c>
      <c r="I851" t="s">
        <v>3268</v>
      </c>
      <c r="J851" t="s">
        <v>3265</v>
      </c>
      <c r="K851" t="s">
        <v>3266</v>
      </c>
      <c r="L851" t="s">
        <v>52</v>
      </c>
      <c r="M851">
        <v>0</v>
      </c>
      <c r="N851">
        <v>5643</v>
      </c>
      <c r="O851" t="s">
        <v>61</v>
      </c>
      <c r="P851">
        <v>100</v>
      </c>
      <c r="Q851" t="s">
        <v>52</v>
      </c>
      <c r="R851" t="s">
        <v>52</v>
      </c>
      <c r="S851" t="s">
        <v>52</v>
      </c>
      <c r="T851" t="s">
        <v>52</v>
      </c>
      <c r="U851" t="s">
        <v>52</v>
      </c>
      <c r="V851" t="s">
        <v>62</v>
      </c>
      <c r="W851" t="s">
        <v>52</v>
      </c>
      <c r="Y851" t="s">
        <v>3269</v>
      </c>
      <c r="Z851" t="s">
        <v>62</v>
      </c>
      <c r="AB851" t="s">
        <v>3273</v>
      </c>
      <c r="AE851" t="s">
        <v>3274</v>
      </c>
      <c r="AF851" t="s">
        <v>52</v>
      </c>
      <c r="AH851">
        <v>0</v>
      </c>
      <c r="AI851">
        <v>0</v>
      </c>
      <c r="AJ851" t="s">
        <v>52</v>
      </c>
      <c r="AK851">
        <v>0</v>
      </c>
      <c r="AL851" t="s">
        <v>52</v>
      </c>
      <c r="AM851" t="s">
        <v>52</v>
      </c>
      <c r="AN851">
        <v>0</v>
      </c>
      <c r="AO851">
        <v>0</v>
      </c>
      <c r="AP851" t="s">
        <v>52</v>
      </c>
      <c r="AQ851" t="s">
        <v>52</v>
      </c>
      <c r="AR851" t="s">
        <v>62</v>
      </c>
      <c r="AS851" t="s">
        <v>52</v>
      </c>
      <c r="AT851" t="s">
        <v>74</v>
      </c>
      <c r="AU851" t="s">
        <v>64</v>
      </c>
      <c r="AV851" t="s">
        <v>62</v>
      </c>
      <c r="AW851" t="s">
        <v>65</v>
      </c>
      <c r="AX851" t="s">
        <v>66</v>
      </c>
      <c r="AY851" t="s">
        <v>165</v>
      </c>
    </row>
    <row r="852" spans="1:51" hidden="1" x14ac:dyDescent="0.25">
      <c r="A852">
        <v>406034</v>
      </c>
      <c r="B852" t="s">
        <v>3275</v>
      </c>
      <c r="C852" t="e">
        <f>VLOOKUP(A852,[1]Customer_payment_journal_line!$AL:$BO,30,0)</f>
        <v>#N/A</v>
      </c>
      <c r="D852" t="s">
        <v>159</v>
      </c>
      <c r="E852" t="s">
        <v>3276</v>
      </c>
      <c r="F852" t="s">
        <v>3277</v>
      </c>
      <c r="G852" t="s">
        <v>3069</v>
      </c>
      <c r="H852" t="s">
        <v>80</v>
      </c>
      <c r="I852" t="s">
        <v>177</v>
      </c>
      <c r="J852" t="s">
        <v>3265</v>
      </c>
      <c r="K852" t="s">
        <v>3266</v>
      </c>
      <c r="L852" t="s">
        <v>52</v>
      </c>
      <c r="M852">
        <v>135</v>
      </c>
      <c r="N852">
        <v>0</v>
      </c>
      <c r="O852" t="s">
        <v>178</v>
      </c>
      <c r="P852">
        <v>5085</v>
      </c>
      <c r="Q852" t="s">
        <v>52</v>
      </c>
      <c r="R852" t="s">
        <v>52</v>
      </c>
      <c r="S852" t="s">
        <v>52</v>
      </c>
      <c r="T852" t="s">
        <v>52</v>
      </c>
      <c r="U852" t="s">
        <v>52</v>
      </c>
      <c r="V852" t="s">
        <v>62</v>
      </c>
      <c r="W852" t="s">
        <v>52</v>
      </c>
      <c r="Y852" t="s">
        <v>52</v>
      </c>
      <c r="AB852" t="s">
        <v>52</v>
      </c>
      <c r="AE852" t="s">
        <v>52</v>
      </c>
      <c r="AF852" t="s">
        <v>52</v>
      </c>
      <c r="AH852">
        <v>0</v>
      </c>
      <c r="AI852">
        <v>0</v>
      </c>
      <c r="AJ852" t="s">
        <v>52</v>
      </c>
      <c r="AK852">
        <v>0</v>
      </c>
      <c r="AL852" t="s">
        <v>52</v>
      </c>
      <c r="AM852" t="s">
        <v>52</v>
      </c>
      <c r="AN852">
        <v>0</v>
      </c>
      <c r="AO852">
        <v>0</v>
      </c>
      <c r="AP852" t="s">
        <v>52</v>
      </c>
      <c r="AQ852" t="s">
        <v>52</v>
      </c>
      <c r="AR852" t="s">
        <v>62</v>
      </c>
      <c r="AS852" t="s">
        <v>52</v>
      </c>
      <c r="AT852" t="s">
        <v>52</v>
      </c>
      <c r="AU852" t="s">
        <v>64</v>
      </c>
      <c r="AV852" t="s">
        <v>62</v>
      </c>
      <c r="AW852" t="s">
        <v>65</v>
      </c>
      <c r="AX852" t="s">
        <v>66</v>
      </c>
      <c r="AY852" t="s">
        <v>165</v>
      </c>
    </row>
    <row r="853" spans="1:51" hidden="1" x14ac:dyDescent="0.25">
      <c r="A853">
        <v>406034</v>
      </c>
      <c r="B853" t="s">
        <v>3278</v>
      </c>
      <c r="C853" t="e">
        <f>VLOOKUP(A853,[1]Customer_payment_journal_line!$AL:$BO,30,0)</f>
        <v>#N/A</v>
      </c>
      <c r="D853" t="s">
        <v>159</v>
      </c>
      <c r="E853" t="s">
        <v>3276</v>
      </c>
      <c r="F853" t="s">
        <v>3277</v>
      </c>
      <c r="G853" t="s">
        <v>3069</v>
      </c>
      <c r="H853" t="s">
        <v>69</v>
      </c>
      <c r="I853" t="s">
        <v>3268</v>
      </c>
      <c r="J853" t="s">
        <v>3265</v>
      </c>
      <c r="K853" t="s">
        <v>3266</v>
      </c>
      <c r="L853" t="s">
        <v>52</v>
      </c>
      <c r="M853">
        <v>0</v>
      </c>
      <c r="N853">
        <v>135</v>
      </c>
      <c r="O853" t="s">
        <v>178</v>
      </c>
      <c r="P853">
        <v>5085</v>
      </c>
      <c r="Q853" t="s">
        <v>52</v>
      </c>
      <c r="R853" t="s">
        <v>52</v>
      </c>
      <c r="S853" t="s">
        <v>52</v>
      </c>
      <c r="T853" t="s">
        <v>52</v>
      </c>
      <c r="U853" t="s">
        <v>52</v>
      </c>
      <c r="V853" t="s">
        <v>62</v>
      </c>
      <c r="W853" t="s">
        <v>52</v>
      </c>
      <c r="Y853" t="s">
        <v>3269</v>
      </c>
      <c r="Z853" t="s">
        <v>62</v>
      </c>
      <c r="AB853" t="s">
        <v>3279</v>
      </c>
      <c r="AE853" t="s">
        <v>3280</v>
      </c>
      <c r="AF853" t="s">
        <v>52</v>
      </c>
      <c r="AH853">
        <v>0</v>
      </c>
      <c r="AI853">
        <v>0</v>
      </c>
      <c r="AJ853" t="s">
        <v>52</v>
      </c>
      <c r="AK853">
        <v>0</v>
      </c>
      <c r="AL853" t="s">
        <v>52</v>
      </c>
      <c r="AM853" t="s">
        <v>52</v>
      </c>
      <c r="AN853">
        <v>0</v>
      </c>
      <c r="AO853">
        <v>0</v>
      </c>
      <c r="AP853" t="s">
        <v>52</v>
      </c>
      <c r="AQ853" t="s">
        <v>52</v>
      </c>
      <c r="AR853" t="s">
        <v>62</v>
      </c>
      <c r="AS853" t="s">
        <v>52</v>
      </c>
      <c r="AT853" t="s">
        <v>74</v>
      </c>
      <c r="AU853" t="s">
        <v>64</v>
      </c>
      <c r="AV853" t="s">
        <v>62</v>
      </c>
      <c r="AW853" t="s">
        <v>65</v>
      </c>
      <c r="AX853" t="s">
        <v>66</v>
      </c>
      <c r="AY853" t="s">
        <v>165</v>
      </c>
    </row>
    <row r="854" spans="1:51" hidden="1" x14ac:dyDescent="0.25">
      <c r="A854">
        <v>406018</v>
      </c>
      <c r="B854" t="s">
        <v>3281</v>
      </c>
      <c r="C854" t="e">
        <f>VLOOKUP(A854,[1]Customer_payment_journal_line!$AL:$BO,30,0)</f>
        <v>#N/A</v>
      </c>
      <c r="D854" t="s">
        <v>53</v>
      </c>
      <c r="E854" t="s">
        <v>3282</v>
      </c>
      <c r="F854" t="s">
        <v>3283</v>
      </c>
      <c r="G854" t="s">
        <v>3069</v>
      </c>
      <c r="H854" t="s">
        <v>57</v>
      </c>
      <c r="I854" t="s">
        <v>516</v>
      </c>
      <c r="J854" t="s">
        <v>3284</v>
      </c>
      <c r="K854" t="s">
        <v>3285</v>
      </c>
      <c r="L854" t="s">
        <v>52</v>
      </c>
      <c r="M854">
        <v>280</v>
      </c>
      <c r="N854">
        <v>0</v>
      </c>
      <c r="O854" t="s">
        <v>178</v>
      </c>
      <c r="P854">
        <v>5085</v>
      </c>
      <c r="Q854" t="s">
        <v>52</v>
      </c>
      <c r="R854" t="s">
        <v>52</v>
      </c>
      <c r="S854" t="s">
        <v>52</v>
      </c>
      <c r="T854" t="s">
        <v>52</v>
      </c>
      <c r="U854" t="s">
        <v>52</v>
      </c>
      <c r="V854" t="s">
        <v>62</v>
      </c>
      <c r="W854" t="s">
        <v>63</v>
      </c>
      <c r="Y854" t="s">
        <v>52</v>
      </c>
      <c r="AB854" t="s">
        <v>52</v>
      </c>
      <c r="AE854" t="s">
        <v>52</v>
      </c>
      <c r="AF854" t="s">
        <v>52</v>
      </c>
      <c r="AH854">
        <v>0</v>
      </c>
      <c r="AI854">
        <v>0</v>
      </c>
      <c r="AJ854" t="s">
        <v>52</v>
      </c>
      <c r="AK854">
        <v>0</v>
      </c>
      <c r="AL854" t="s">
        <v>52</v>
      </c>
      <c r="AM854" t="s">
        <v>52</v>
      </c>
      <c r="AN854">
        <v>0</v>
      </c>
      <c r="AO854">
        <v>0</v>
      </c>
      <c r="AP854" t="s">
        <v>52</v>
      </c>
      <c r="AQ854" t="s">
        <v>52</v>
      </c>
      <c r="AR854" t="s">
        <v>62</v>
      </c>
      <c r="AS854" t="s">
        <v>52</v>
      </c>
      <c r="AT854" t="s">
        <v>52</v>
      </c>
      <c r="AU854" t="s">
        <v>64</v>
      </c>
      <c r="AV854" t="s">
        <v>62</v>
      </c>
      <c r="AW854" t="s">
        <v>65</v>
      </c>
      <c r="AX854" t="s">
        <v>66</v>
      </c>
      <c r="AY854" t="s">
        <v>67</v>
      </c>
    </row>
    <row r="855" spans="1:51" hidden="1" x14ac:dyDescent="0.25">
      <c r="A855">
        <v>406018</v>
      </c>
      <c r="B855" t="s">
        <v>3286</v>
      </c>
      <c r="C855" t="e">
        <f>VLOOKUP(A855,[1]Customer_payment_journal_line!$AL:$BO,30,0)</f>
        <v>#N/A</v>
      </c>
      <c r="D855" t="s">
        <v>53</v>
      </c>
      <c r="E855" t="s">
        <v>3282</v>
      </c>
      <c r="F855" t="s">
        <v>3283</v>
      </c>
      <c r="G855" t="s">
        <v>3069</v>
      </c>
      <c r="H855" t="s">
        <v>69</v>
      </c>
      <c r="I855" t="s">
        <v>3287</v>
      </c>
      <c r="J855" t="s">
        <v>3284</v>
      </c>
      <c r="K855" t="s">
        <v>3285</v>
      </c>
      <c r="L855" t="s">
        <v>52</v>
      </c>
      <c r="M855">
        <v>0</v>
      </c>
      <c r="N855">
        <v>280</v>
      </c>
      <c r="O855" t="s">
        <v>178</v>
      </c>
      <c r="P855">
        <v>5085</v>
      </c>
      <c r="Q855" t="s">
        <v>52</v>
      </c>
      <c r="R855" t="s">
        <v>52</v>
      </c>
      <c r="S855" t="s">
        <v>52</v>
      </c>
      <c r="T855" t="s">
        <v>52</v>
      </c>
      <c r="U855" t="s">
        <v>52</v>
      </c>
      <c r="V855" t="s">
        <v>62</v>
      </c>
      <c r="W855" t="s">
        <v>52</v>
      </c>
      <c r="Y855" t="s">
        <v>3288</v>
      </c>
      <c r="Z855" t="s">
        <v>62</v>
      </c>
      <c r="AB855" t="s">
        <v>3289</v>
      </c>
      <c r="AE855" t="s">
        <v>3290</v>
      </c>
      <c r="AF855" t="s">
        <v>52</v>
      </c>
      <c r="AH855">
        <v>0</v>
      </c>
      <c r="AI855">
        <v>0</v>
      </c>
      <c r="AJ855" t="s">
        <v>52</v>
      </c>
      <c r="AK855">
        <v>0</v>
      </c>
      <c r="AL855" t="s">
        <v>52</v>
      </c>
      <c r="AM855" t="s">
        <v>52</v>
      </c>
      <c r="AN855">
        <v>0</v>
      </c>
      <c r="AO855">
        <v>0</v>
      </c>
      <c r="AP855" t="s">
        <v>52</v>
      </c>
      <c r="AQ855" t="s">
        <v>52</v>
      </c>
      <c r="AR855" t="s">
        <v>62</v>
      </c>
      <c r="AS855" t="s">
        <v>52</v>
      </c>
      <c r="AT855" t="s">
        <v>74</v>
      </c>
      <c r="AU855" t="s">
        <v>64</v>
      </c>
      <c r="AV855" t="s">
        <v>62</v>
      </c>
      <c r="AW855" t="s">
        <v>65</v>
      </c>
      <c r="AX855" t="s">
        <v>66</v>
      </c>
      <c r="AY855" t="s">
        <v>67</v>
      </c>
    </row>
    <row r="856" spans="1:51" hidden="1" x14ac:dyDescent="0.25">
      <c r="A856">
        <v>202942</v>
      </c>
      <c r="B856" t="s">
        <v>3291</v>
      </c>
      <c r="C856" t="e">
        <f>VLOOKUP(A856,[1]Customer_payment_journal_line!$AL:$BO,30,0)</f>
        <v>#N/A</v>
      </c>
      <c r="D856" t="s">
        <v>159</v>
      </c>
      <c r="E856" t="s">
        <v>3292</v>
      </c>
      <c r="F856" t="s">
        <v>3293</v>
      </c>
      <c r="G856" t="s">
        <v>3069</v>
      </c>
      <c r="H856" t="s">
        <v>80</v>
      </c>
      <c r="I856" t="s">
        <v>1919</v>
      </c>
      <c r="J856" t="s">
        <v>3015</v>
      </c>
      <c r="K856" t="s">
        <v>3016</v>
      </c>
      <c r="L856" t="s">
        <v>52</v>
      </c>
      <c r="M856">
        <v>24666</v>
      </c>
      <c r="N856">
        <v>0</v>
      </c>
      <c r="O856" t="s">
        <v>61</v>
      </c>
      <c r="P856">
        <v>100</v>
      </c>
      <c r="Q856" t="s">
        <v>52</v>
      </c>
      <c r="R856" t="s">
        <v>52</v>
      </c>
      <c r="S856" t="s">
        <v>52</v>
      </c>
      <c r="T856" t="s">
        <v>52</v>
      </c>
      <c r="U856" t="s">
        <v>52</v>
      </c>
      <c r="V856" t="s">
        <v>62</v>
      </c>
      <c r="W856" t="s">
        <v>52</v>
      </c>
      <c r="Y856" t="s">
        <v>52</v>
      </c>
      <c r="AB856" t="s">
        <v>52</v>
      </c>
      <c r="AE856" t="s">
        <v>52</v>
      </c>
      <c r="AF856" t="s">
        <v>52</v>
      </c>
      <c r="AH856">
        <v>0</v>
      </c>
      <c r="AI856">
        <v>0</v>
      </c>
      <c r="AJ856" t="s">
        <v>52</v>
      </c>
      <c r="AK856">
        <v>0</v>
      </c>
      <c r="AL856" t="s">
        <v>52</v>
      </c>
      <c r="AM856" t="s">
        <v>52</v>
      </c>
      <c r="AN856">
        <v>0</v>
      </c>
      <c r="AO856">
        <v>0</v>
      </c>
      <c r="AP856" t="s">
        <v>52</v>
      </c>
      <c r="AQ856" t="s">
        <v>52</v>
      </c>
      <c r="AR856" t="s">
        <v>62</v>
      </c>
      <c r="AS856" t="s">
        <v>52</v>
      </c>
      <c r="AT856" t="s">
        <v>52</v>
      </c>
      <c r="AU856" t="s">
        <v>64</v>
      </c>
      <c r="AV856" t="s">
        <v>62</v>
      </c>
      <c r="AW856" t="s">
        <v>65</v>
      </c>
      <c r="AX856" t="s">
        <v>66</v>
      </c>
      <c r="AY856" t="s">
        <v>165</v>
      </c>
    </row>
    <row r="857" spans="1:51" hidden="1" x14ac:dyDescent="0.25">
      <c r="A857">
        <v>202942</v>
      </c>
      <c r="B857" t="s">
        <v>3294</v>
      </c>
      <c r="C857" t="e">
        <f>VLOOKUP(A857,[1]Customer_payment_journal_line!$AL:$BO,30,0)</f>
        <v>#N/A</v>
      </c>
      <c r="D857" t="s">
        <v>159</v>
      </c>
      <c r="E857" t="s">
        <v>3292</v>
      </c>
      <c r="F857" t="s">
        <v>3293</v>
      </c>
      <c r="G857" t="s">
        <v>3069</v>
      </c>
      <c r="H857" t="s">
        <v>69</v>
      </c>
      <c r="I857" t="s">
        <v>3018</v>
      </c>
      <c r="J857" t="s">
        <v>3015</v>
      </c>
      <c r="K857" t="s">
        <v>3016</v>
      </c>
      <c r="L857" t="s">
        <v>52</v>
      </c>
      <c r="M857">
        <v>0</v>
      </c>
      <c r="N857">
        <v>24666</v>
      </c>
      <c r="O857" t="s">
        <v>61</v>
      </c>
      <c r="P857">
        <v>100</v>
      </c>
      <c r="Q857" t="s">
        <v>52</v>
      </c>
      <c r="R857" t="s">
        <v>52</v>
      </c>
      <c r="S857" t="s">
        <v>52</v>
      </c>
      <c r="T857" t="s">
        <v>52</v>
      </c>
      <c r="U857" t="s">
        <v>52</v>
      </c>
      <c r="V857" t="s">
        <v>62</v>
      </c>
      <c r="W857" t="s">
        <v>52</v>
      </c>
      <c r="Y857" t="s">
        <v>3019</v>
      </c>
      <c r="Z857" t="s">
        <v>62</v>
      </c>
      <c r="AB857" t="s">
        <v>3295</v>
      </c>
      <c r="AE857" t="s">
        <v>3296</v>
      </c>
      <c r="AF857" t="s">
        <v>52</v>
      </c>
      <c r="AH857">
        <v>0</v>
      </c>
      <c r="AI857">
        <v>0</v>
      </c>
      <c r="AJ857" t="s">
        <v>52</v>
      </c>
      <c r="AK857">
        <v>0</v>
      </c>
      <c r="AL857" t="s">
        <v>52</v>
      </c>
      <c r="AM857" t="s">
        <v>52</v>
      </c>
      <c r="AN857">
        <v>0</v>
      </c>
      <c r="AO857">
        <v>0</v>
      </c>
      <c r="AP857" t="s">
        <v>52</v>
      </c>
      <c r="AQ857" t="s">
        <v>52</v>
      </c>
      <c r="AR857" t="s">
        <v>62</v>
      </c>
      <c r="AS857" t="s">
        <v>52</v>
      </c>
      <c r="AT857" t="s">
        <v>74</v>
      </c>
      <c r="AU857" t="s">
        <v>64</v>
      </c>
      <c r="AV857" t="s">
        <v>62</v>
      </c>
      <c r="AW857" t="s">
        <v>65</v>
      </c>
      <c r="AX857" t="s">
        <v>66</v>
      </c>
      <c r="AY857" t="s">
        <v>165</v>
      </c>
    </row>
    <row r="858" spans="1:51" hidden="1" x14ac:dyDescent="0.25">
      <c r="A858">
        <v>406019</v>
      </c>
      <c r="B858" t="s">
        <v>3297</v>
      </c>
      <c r="C858" t="e">
        <f>VLOOKUP(A858,[1]Customer_payment_journal_line!$AL:$BO,30,0)</f>
        <v>#N/A</v>
      </c>
      <c r="D858" t="s">
        <v>53</v>
      </c>
      <c r="E858" t="s">
        <v>3298</v>
      </c>
      <c r="F858" t="s">
        <v>3299</v>
      </c>
      <c r="G858" t="s">
        <v>3069</v>
      </c>
      <c r="H858" t="s">
        <v>57</v>
      </c>
      <c r="I858" t="s">
        <v>58</v>
      </c>
      <c r="J858" t="s">
        <v>3284</v>
      </c>
      <c r="K858" t="s">
        <v>3285</v>
      </c>
      <c r="L858" t="s">
        <v>52</v>
      </c>
      <c r="M858">
        <v>2280</v>
      </c>
      <c r="N858">
        <v>0</v>
      </c>
      <c r="O858" t="s">
        <v>61</v>
      </c>
      <c r="P858">
        <v>100</v>
      </c>
      <c r="Q858" t="s">
        <v>52</v>
      </c>
      <c r="R858" t="s">
        <v>52</v>
      </c>
      <c r="S858" t="s">
        <v>52</v>
      </c>
      <c r="T858" t="s">
        <v>52</v>
      </c>
      <c r="U858" t="s">
        <v>52</v>
      </c>
      <c r="V858" t="s">
        <v>62</v>
      </c>
      <c r="W858" t="s">
        <v>63</v>
      </c>
      <c r="Y858" t="s">
        <v>52</v>
      </c>
      <c r="AB858" t="s">
        <v>52</v>
      </c>
      <c r="AE858" t="s">
        <v>52</v>
      </c>
      <c r="AF858" t="s">
        <v>52</v>
      </c>
      <c r="AH858">
        <v>0</v>
      </c>
      <c r="AI858">
        <v>0</v>
      </c>
      <c r="AJ858" t="s">
        <v>52</v>
      </c>
      <c r="AK858">
        <v>0</v>
      </c>
      <c r="AL858" t="s">
        <v>52</v>
      </c>
      <c r="AM858" t="s">
        <v>52</v>
      </c>
      <c r="AN858">
        <v>0</v>
      </c>
      <c r="AO858">
        <v>0</v>
      </c>
      <c r="AP858" t="s">
        <v>52</v>
      </c>
      <c r="AQ858" t="s">
        <v>52</v>
      </c>
      <c r="AR858" t="s">
        <v>62</v>
      </c>
      <c r="AS858" t="s">
        <v>52</v>
      </c>
      <c r="AT858" t="s">
        <v>52</v>
      </c>
      <c r="AU858" t="s">
        <v>64</v>
      </c>
      <c r="AV858" t="s">
        <v>62</v>
      </c>
      <c r="AW858" t="s">
        <v>65</v>
      </c>
      <c r="AX858" t="s">
        <v>66</v>
      </c>
      <c r="AY858" t="s">
        <v>67</v>
      </c>
    </row>
    <row r="859" spans="1:51" hidden="1" x14ac:dyDescent="0.25">
      <c r="A859">
        <v>406019</v>
      </c>
      <c r="B859" t="s">
        <v>3300</v>
      </c>
      <c r="C859" t="e">
        <f>VLOOKUP(A859,[1]Customer_payment_journal_line!$AL:$BO,30,0)</f>
        <v>#N/A</v>
      </c>
      <c r="D859" t="s">
        <v>53</v>
      </c>
      <c r="E859" t="s">
        <v>3298</v>
      </c>
      <c r="F859" t="s">
        <v>3299</v>
      </c>
      <c r="G859" t="s">
        <v>3069</v>
      </c>
      <c r="H859" t="s">
        <v>69</v>
      </c>
      <c r="I859" t="s">
        <v>3287</v>
      </c>
      <c r="J859" t="s">
        <v>3284</v>
      </c>
      <c r="K859" t="s">
        <v>3285</v>
      </c>
      <c r="L859" t="s">
        <v>52</v>
      </c>
      <c r="M859">
        <v>0</v>
      </c>
      <c r="N859">
        <v>2280</v>
      </c>
      <c r="O859" t="s">
        <v>61</v>
      </c>
      <c r="P859">
        <v>100</v>
      </c>
      <c r="Q859" t="s">
        <v>52</v>
      </c>
      <c r="R859" t="s">
        <v>52</v>
      </c>
      <c r="S859" t="s">
        <v>52</v>
      </c>
      <c r="T859" t="s">
        <v>52</v>
      </c>
      <c r="U859" t="s">
        <v>52</v>
      </c>
      <c r="V859" t="s">
        <v>62</v>
      </c>
      <c r="W859" t="s">
        <v>52</v>
      </c>
      <c r="Y859" t="s">
        <v>3288</v>
      </c>
      <c r="Z859" t="s">
        <v>62</v>
      </c>
      <c r="AB859" t="s">
        <v>3301</v>
      </c>
      <c r="AE859" t="s">
        <v>3302</v>
      </c>
      <c r="AF859" t="s">
        <v>52</v>
      </c>
      <c r="AH859">
        <v>0</v>
      </c>
      <c r="AI859">
        <v>0</v>
      </c>
      <c r="AJ859" t="s">
        <v>52</v>
      </c>
      <c r="AK859">
        <v>0</v>
      </c>
      <c r="AL859" t="s">
        <v>52</v>
      </c>
      <c r="AM859" t="s">
        <v>52</v>
      </c>
      <c r="AN859">
        <v>0</v>
      </c>
      <c r="AO859">
        <v>0</v>
      </c>
      <c r="AP859" t="s">
        <v>52</v>
      </c>
      <c r="AQ859" t="s">
        <v>52</v>
      </c>
      <c r="AR859" t="s">
        <v>62</v>
      </c>
      <c r="AS859" t="s">
        <v>52</v>
      </c>
      <c r="AT859" t="s">
        <v>74</v>
      </c>
      <c r="AU859" t="s">
        <v>64</v>
      </c>
      <c r="AV859" t="s">
        <v>62</v>
      </c>
      <c r="AW859" t="s">
        <v>65</v>
      </c>
      <c r="AX859" t="s">
        <v>66</v>
      </c>
      <c r="AY859" t="s">
        <v>67</v>
      </c>
    </row>
    <row r="860" spans="1:51" hidden="1" x14ac:dyDescent="0.25">
      <c r="A860">
        <v>406020</v>
      </c>
      <c r="B860" t="s">
        <v>3303</v>
      </c>
      <c r="C860" t="e">
        <f>VLOOKUP(A860,[1]Customer_payment_journal_line!$AL:$BO,30,0)</f>
        <v>#N/A</v>
      </c>
      <c r="D860" t="s">
        <v>53</v>
      </c>
      <c r="E860" t="s">
        <v>3304</v>
      </c>
      <c r="F860" t="s">
        <v>3305</v>
      </c>
      <c r="G860" t="s">
        <v>3069</v>
      </c>
      <c r="H860" t="s">
        <v>57</v>
      </c>
      <c r="I860" t="s">
        <v>58</v>
      </c>
      <c r="J860" t="s">
        <v>3284</v>
      </c>
      <c r="K860" t="s">
        <v>3285</v>
      </c>
      <c r="L860" t="s">
        <v>52</v>
      </c>
      <c r="M860">
        <v>855</v>
      </c>
      <c r="N860">
        <v>0</v>
      </c>
      <c r="O860" t="s">
        <v>61</v>
      </c>
      <c r="P860">
        <v>100</v>
      </c>
      <c r="Q860" t="s">
        <v>52</v>
      </c>
      <c r="R860" t="s">
        <v>52</v>
      </c>
      <c r="S860" t="s">
        <v>52</v>
      </c>
      <c r="T860" t="s">
        <v>52</v>
      </c>
      <c r="U860" t="s">
        <v>52</v>
      </c>
      <c r="V860" t="s">
        <v>62</v>
      </c>
      <c r="W860" t="s">
        <v>63</v>
      </c>
      <c r="Y860" t="s">
        <v>52</v>
      </c>
      <c r="AB860" t="s">
        <v>52</v>
      </c>
      <c r="AE860" t="s">
        <v>52</v>
      </c>
      <c r="AF860" t="s">
        <v>52</v>
      </c>
      <c r="AH860">
        <v>0</v>
      </c>
      <c r="AI860">
        <v>0</v>
      </c>
      <c r="AJ860" t="s">
        <v>52</v>
      </c>
      <c r="AK860">
        <v>0</v>
      </c>
      <c r="AL860" t="s">
        <v>52</v>
      </c>
      <c r="AM860" t="s">
        <v>52</v>
      </c>
      <c r="AN860">
        <v>0</v>
      </c>
      <c r="AO860">
        <v>0</v>
      </c>
      <c r="AP860" t="s">
        <v>52</v>
      </c>
      <c r="AQ860" t="s">
        <v>52</v>
      </c>
      <c r="AR860" t="s">
        <v>62</v>
      </c>
      <c r="AS860" t="s">
        <v>52</v>
      </c>
      <c r="AT860" t="s">
        <v>52</v>
      </c>
      <c r="AU860" t="s">
        <v>64</v>
      </c>
      <c r="AV860" t="s">
        <v>62</v>
      </c>
      <c r="AW860" t="s">
        <v>65</v>
      </c>
      <c r="AX860" t="s">
        <v>66</v>
      </c>
      <c r="AY860" t="s">
        <v>67</v>
      </c>
    </row>
    <row r="861" spans="1:51" hidden="1" x14ac:dyDescent="0.25">
      <c r="A861">
        <v>406020</v>
      </c>
      <c r="B861" t="s">
        <v>3306</v>
      </c>
      <c r="C861" t="e">
        <f>VLOOKUP(A861,[1]Customer_payment_journal_line!$AL:$BO,30,0)</f>
        <v>#N/A</v>
      </c>
      <c r="D861" t="s">
        <v>53</v>
      </c>
      <c r="E861" t="s">
        <v>3304</v>
      </c>
      <c r="F861" t="s">
        <v>3305</v>
      </c>
      <c r="G861" t="s">
        <v>3069</v>
      </c>
      <c r="H861" t="s">
        <v>69</v>
      </c>
      <c r="I861" t="s">
        <v>3287</v>
      </c>
      <c r="J861" t="s">
        <v>3284</v>
      </c>
      <c r="K861" t="s">
        <v>3285</v>
      </c>
      <c r="L861" t="s">
        <v>52</v>
      </c>
      <c r="M861">
        <v>0</v>
      </c>
      <c r="N861">
        <v>855</v>
      </c>
      <c r="O861" t="s">
        <v>61</v>
      </c>
      <c r="P861">
        <v>100</v>
      </c>
      <c r="Q861" t="s">
        <v>52</v>
      </c>
      <c r="R861" t="s">
        <v>52</v>
      </c>
      <c r="S861" t="s">
        <v>52</v>
      </c>
      <c r="T861" t="s">
        <v>52</v>
      </c>
      <c r="U861" t="s">
        <v>52</v>
      </c>
      <c r="V861" t="s">
        <v>62</v>
      </c>
      <c r="W861" t="s">
        <v>52</v>
      </c>
      <c r="Y861" t="s">
        <v>3288</v>
      </c>
      <c r="Z861" t="s">
        <v>62</v>
      </c>
      <c r="AB861" t="s">
        <v>3307</v>
      </c>
      <c r="AE861" t="s">
        <v>3308</v>
      </c>
      <c r="AF861" t="s">
        <v>52</v>
      </c>
      <c r="AH861">
        <v>0</v>
      </c>
      <c r="AI861">
        <v>0</v>
      </c>
      <c r="AJ861" t="s">
        <v>52</v>
      </c>
      <c r="AK861">
        <v>0</v>
      </c>
      <c r="AL861" t="s">
        <v>52</v>
      </c>
      <c r="AM861" t="s">
        <v>52</v>
      </c>
      <c r="AN861">
        <v>0</v>
      </c>
      <c r="AO861">
        <v>0</v>
      </c>
      <c r="AP861" t="s">
        <v>52</v>
      </c>
      <c r="AQ861" t="s">
        <v>52</v>
      </c>
      <c r="AR861" t="s">
        <v>62</v>
      </c>
      <c r="AS861" t="s">
        <v>52</v>
      </c>
      <c r="AT861" t="s">
        <v>74</v>
      </c>
      <c r="AU861" t="s">
        <v>64</v>
      </c>
      <c r="AV861" t="s">
        <v>62</v>
      </c>
      <c r="AW861" t="s">
        <v>65</v>
      </c>
      <c r="AX861" t="s">
        <v>66</v>
      </c>
      <c r="AY861" t="s">
        <v>67</v>
      </c>
    </row>
    <row r="862" spans="1:51" hidden="1" x14ac:dyDescent="0.25">
      <c r="A862">
        <v>406023</v>
      </c>
      <c r="B862" t="s">
        <v>3309</v>
      </c>
      <c r="C862" t="e">
        <f>VLOOKUP(A862,[1]Customer_payment_journal_line!$AL:$BO,30,0)</f>
        <v>#N/A</v>
      </c>
      <c r="D862" t="s">
        <v>53</v>
      </c>
      <c r="E862" t="s">
        <v>3310</v>
      </c>
      <c r="F862" t="s">
        <v>3311</v>
      </c>
      <c r="G862" t="s">
        <v>3069</v>
      </c>
      <c r="H862" t="s">
        <v>201</v>
      </c>
      <c r="I862" t="s">
        <v>58</v>
      </c>
      <c r="J862" t="s">
        <v>202</v>
      </c>
      <c r="K862" t="s">
        <v>3312</v>
      </c>
      <c r="L862" t="s">
        <v>52</v>
      </c>
      <c r="M862">
        <v>265</v>
      </c>
      <c r="N862">
        <v>0</v>
      </c>
      <c r="O862" t="s">
        <v>61</v>
      </c>
      <c r="P862">
        <v>100</v>
      </c>
      <c r="Q862" t="s">
        <v>52</v>
      </c>
      <c r="R862" t="s">
        <v>52</v>
      </c>
      <c r="S862" t="s">
        <v>52</v>
      </c>
      <c r="T862" t="s">
        <v>52</v>
      </c>
      <c r="U862" t="s">
        <v>52</v>
      </c>
      <c r="V862" t="s">
        <v>62</v>
      </c>
      <c r="W862" t="s">
        <v>63</v>
      </c>
      <c r="Y862" t="s">
        <v>52</v>
      </c>
      <c r="AB862" t="s">
        <v>3313</v>
      </c>
      <c r="AE862" t="s">
        <v>3313</v>
      </c>
      <c r="AF862" t="s">
        <v>52</v>
      </c>
      <c r="AH862">
        <v>0</v>
      </c>
      <c r="AI862">
        <v>0</v>
      </c>
      <c r="AJ862" t="s">
        <v>52</v>
      </c>
      <c r="AK862">
        <v>0</v>
      </c>
      <c r="AL862" t="s">
        <v>52</v>
      </c>
      <c r="AM862" t="s">
        <v>52</v>
      </c>
      <c r="AN862">
        <v>0</v>
      </c>
      <c r="AO862">
        <v>0</v>
      </c>
      <c r="AP862" t="s">
        <v>52</v>
      </c>
      <c r="AQ862" t="s">
        <v>52</v>
      </c>
      <c r="AR862" t="s">
        <v>62</v>
      </c>
      <c r="AS862" t="s">
        <v>52</v>
      </c>
      <c r="AT862" t="s">
        <v>52</v>
      </c>
      <c r="AU862" t="s">
        <v>64</v>
      </c>
      <c r="AV862" t="s">
        <v>62</v>
      </c>
      <c r="AW862" t="s">
        <v>65</v>
      </c>
      <c r="AX862" t="s">
        <v>66</v>
      </c>
      <c r="AY862" t="s">
        <v>67</v>
      </c>
    </row>
    <row r="863" spans="1:51" hidden="1" x14ac:dyDescent="0.25">
      <c r="A863">
        <v>406023</v>
      </c>
      <c r="B863" t="s">
        <v>3314</v>
      </c>
      <c r="C863" t="e">
        <f>VLOOKUP(A863,[1]Customer_payment_journal_line!$AL:$BO,30,0)</f>
        <v>#N/A</v>
      </c>
      <c r="D863" t="s">
        <v>53</v>
      </c>
      <c r="E863" t="s">
        <v>3310</v>
      </c>
      <c r="F863" t="s">
        <v>3311</v>
      </c>
      <c r="G863" t="s">
        <v>3069</v>
      </c>
      <c r="H863" t="s">
        <v>69</v>
      </c>
      <c r="I863" t="s">
        <v>3315</v>
      </c>
      <c r="J863" t="s">
        <v>3316</v>
      </c>
      <c r="K863" t="s">
        <v>3312</v>
      </c>
      <c r="L863" t="s">
        <v>52</v>
      </c>
      <c r="M863">
        <v>0</v>
      </c>
      <c r="N863">
        <v>5</v>
      </c>
      <c r="O863" t="s">
        <v>178</v>
      </c>
      <c r="P863">
        <v>5085</v>
      </c>
      <c r="Q863" t="s">
        <v>52</v>
      </c>
      <c r="R863" t="s">
        <v>52</v>
      </c>
      <c r="S863" t="s">
        <v>52</v>
      </c>
      <c r="T863" t="s">
        <v>52</v>
      </c>
      <c r="U863" t="s">
        <v>52</v>
      </c>
      <c r="V863" t="s">
        <v>62</v>
      </c>
      <c r="W863" t="s">
        <v>52</v>
      </c>
      <c r="Y863" t="s">
        <v>3317</v>
      </c>
      <c r="Z863" t="s">
        <v>62</v>
      </c>
      <c r="AB863" t="s">
        <v>3313</v>
      </c>
      <c r="AE863" t="s">
        <v>3313</v>
      </c>
      <c r="AF863" t="s">
        <v>52</v>
      </c>
      <c r="AH863">
        <v>0</v>
      </c>
      <c r="AI863">
        <v>0</v>
      </c>
      <c r="AJ863" t="s">
        <v>52</v>
      </c>
      <c r="AK863">
        <v>0</v>
      </c>
      <c r="AL863" t="s">
        <v>52</v>
      </c>
      <c r="AM863" t="s">
        <v>52</v>
      </c>
      <c r="AN863">
        <v>0</v>
      </c>
      <c r="AO863">
        <v>0</v>
      </c>
      <c r="AP863" t="s">
        <v>52</v>
      </c>
      <c r="AQ863" t="s">
        <v>52</v>
      </c>
      <c r="AR863" t="s">
        <v>62</v>
      </c>
      <c r="AS863" t="s">
        <v>52</v>
      </c>
      <c r="AT863" t="s">
        <v>74</v>
      </c>
      <c r="AU863" t="s">
        <v>64</v>
      </c>
      <c r="AV863" t="s">
        <v>62</v>
      </c>
      <c r="AW863" t="s">
        <v>65</v>
      </c>
      <c r="AX863" t="s">
        <v>66</v>
      </c>
      <c r="AY863" t="s">
        <v>67</v>
      </c>
    </row>
    <row r="864" spans="1:51" hidden="1" x14ac:dyDescent="0.25">
      <c r="A864">
        <v>406023</v>
      </c>
      <c r="B864" t="s">
        <v>3318</v>
      </c>
      <c r="C864" t="e">
        <f>VLOOKUP(A864,[1]Customer_payment_journal_line!$AL:$BO,30,0)</f>
        <v>#N/A</v>
      </c>
      <c r="D864" t="s">
        <v>53</v>
      </c>
      <c r="E864" t="s">
        <v>3310</v>
      </c>
      <c r="F864" t="s">
        <v>3311</v>
      </c>
      <c r="G864" t="s">
        <v>3069</v>
      </c>
      <c r="H864" t="s">
        <v>210</v>
      </c>
      <c r="I864" t="s">
        <v>3319</v>
      </c>
      <c r="J864" t="s">
        <v>52</v>
      </c>
      <c r="K864" t="s">
        <v>3312</v>
      </c>
      <c r="L864" t="s">
        <v>52</v>
      </c>
      <c r="M864">
        <v>0</v>
      </c>
      <c r="N864">
        <v>10.75</v>
      </c>
      <c r="O864" t="s">
        <v>61</v>
      </c>
      <c r="P864">
        <v>100</v>
      </c>
      <c r="Q864" t="s">
        <v>52</v>
      </c>
      <c r="R864" t="s">
        <v>52</v>
      </c>
      <c r="S864" t="s">
        <v>52</v>
      </c>
      <c r="T864" t="s">
        <v>52</v>
      </c>
      <c r="U864" t="s">
        <v>52</v>
      </c>
      <c r="V864" t="s">
        <v>62</v>
      </c>
      <c r="W864" t="s">
        <v>63</v>
      </c>
      <c r="Y864" t="s">
        <v>3317</v>
      </c>
      <c r="AB864" t="s">
        <v>3313</v>
      </c>
      <c r="AE864" t="s">
        <v>3313</v>
      </c>
      <c r="AF864" t="s">
        <v>52</v>
      </c>
      <c r="AH864">
        <v>0</v>
      </c>
      <c r="AI864">
        <v>0</v>
      </c>
      <c r="AJ864" t="s">
        <v>52</v>
      </c>
      <c r="AK864">
        <v>0</v>
      </c>
      <c r="AL864" t="s">
        <v>52</v>
      </c>
      <c r="AM864" t="s">
        <v>52</v>
      </c>
      <c r="AN864">
        <v>0</v>
      </c>
      <c r="AO864">
        <v>0</v>
      </c>
      <c r="AP864" t="s">
        <v>52</v>
      </c>
      <c r="AQ864" t="s">
        <v>52</v>
      </c>
      <c r="AR864" t="s">
        <v>62</v>
      </c>
      <c r="AS864" t="s">
        <v>52</v>
      </c>
      <c r="AT864" t="s">
        <v>52</v>
      </c>
      <c r="AU864" t="s">
        <v>64</v>
      </c>
      <c r="AV864" t="s">
        <v>62</v>
      </c>
      <c r="AW864" t="s">
        <v>65</v>
      </c>
      <c r="AX864" t="s">
        <v>66</v>
      </c>
      <c r="AY864" t="s">
        <v>67</v>
      </c>
    </row>
    <row r="865" spans="1:51" hidden="1" x14ac:dyDescent="0.25">
      <c r="A865">
        <v>406024</v>
      </c>
      <c r="B865" t="s">
        <v>3320</v>
      </c>
      <c r="C865" t="e">
        <f>VLOOKUP(A865,[1]Customer_payment_journal_line!$AL:$BO,30,0)</f>
        <v>#N/A</v>
      </c>
      <c r="D865" t="s">
        <v>53</v>
      </c>
      <c r="E865" t="s">
        <v>3321</v>
      </c>
      <c r="F865" t="s">
        <v>3322</v>
      </c>
      <c r="G865" t="s">
        <v>3069</v>
      </c>
      <c r="H865" t="s">
        <v>57</v>
      </c>
      <c r="I865" t="s">
        <v>58</v>
      </c>
      <c r="J865" t="s">
        <v>3323</v>
      </c>
      <c r="K865" t="s">
        <v>3312</v>
      </c>
      <c r="L865" t="s">
        <v>52</v>
      </c>
      <c r="M865">
        <v>3420</v>
      </c>
      <c r="N865">
        <v>0</v>
      </c>
      <c r="O865" t="s">
        <v>61</v>
      </c>
      <c r="P865">
        <v>100</v>
      </c>
      <c r="Q865" t="s">
        <v>52</v>
      </c>
      <c r="R865" t="s">
        <v>52</v>
      </c>
      <c r="S865" t="s">
        <v>52</v>
      </c>
      <c r="T865" t="s">
        <v>52</v>
      </c>
      <c r="U865" t="s">
        <v>52</v>
      </c>
      <c r="V865" t="s">
        <v>62</v>
      </c>
      <c r="W865" t="s">
        <v>63</v>
      </c>
      <c r="Y865" t="s">
        <v>52</v>
      </c>
      <c r="AB865" t="s">
        <v>52</v>
      </c>
      <c r="AE865" t="s">
        <v>52</v>
      </c>
      <c r="AF865" t="s">
        <v>52</v>
      </c>
      <c r="AH865">
        <v>0</v>
      </c>
      <c r="AI865">
        <v>0</v>
      </c>
      <c r="AJ865" t="s">
        <v>52</v>
      </c>
      <c r="AK865">
        <v>0</v>
      </c>
      <c r="AL865" t="s">
        <v>52</v>
      </c>
      <c r="AM865" t="s">
        <v>52</v>
      </c>
      <c r="AN865">
        <v>0</v>
      </c>
      <c r="AO865">
        <v>0</v>
      </c>
      <c r="AP865" t="s">
        <v>52</v>
      </c>
      <c r="AQ865" t="s">
        <v>52</v>
      </c>
      <c r="AR865" t="s">
        <v>62</v>
      </c>
      <c r="AS865" t="s">
        <v>52</v>
      </c>
      <c r="AT865" t="s">
        <v>52</v>
      </c>
      <c r="AU865" t="s">
        <v>64</v>
      </c>
      <c r="AV865" t="s">
        <v>62</v>
      </c>
      <c r="AW865" t="s">
        <v>65</v>
      </c>
      <c r="AX865" t="s">
        <v>66</v>
      </c>
      <c r="AY865" t="s">
        <v>67</v>
      </c>
    </row>
    <row r="866" spans="1:51" hidden="1" x14ac:dyDescent="0.25">
      <c r="A866">
        <v>406024</v>
      </c>
      <c r="B866" t="s">
        <v>3324</v>
      </c>
      <c r="C866" t="e">
        <f>VLOOKUP(A866,[1]Customer_payment_journal_line!$AL:$BO,30,0)</f>
        <v>#N/A</v>
      </c>
      <c r="D866" t="s">
        <v>53</v>
      </c>
      <c r="E866" t="s">
        <v>3321</v>
      </c>
      <c r="F866" t="s">
        <v>3322</v>
      </c>
      <c r="G866" t="s">
        <v>3069</v>
      </c>
      <c r="H866" t="s">
        <v>69</v>
      </c>
      <c r="I866" t="s">
        <v>3315</v>
      </c>
      <c r="J866" t="s">
        <v>3323</v>
      </c>
      <c r="K866" t="s">
        <v>3312</v>
      </c>
      <c r="L866" t="s">
        <v>52</v>
      </c>
      <c r="M866">
        <v>0</v>
      </c>
      <c r="N866">
        <v>3420</v>
      </c>
      <c r="O866" t="s">
        <v>61</v>
      </c>
      <c r="P866">
        <v>100</v>
      </c>
      <c r="Q866" t="s">
        <v>52</v>
      </c>
      <c r="R866" t="s">
        <v>52</v>
      </c>
      <c r="S866" t="s">
        <v>52</v>
      </c>
      <c r="T866" t="s">
        <v>52</v>
      </c>
      <c r="U866" t="s">
        <v>52</v>
      </c>
      <c r="V866" t="s">
        <v>62</v>
      </c>
      <c r="W866" t="s">
        <v>52</v>
      </c>
      <c r="Y866" t="s">
        <v>3317</v>
      </c>
      <c r="Z866" t="s">
        <v>62</v>
      </c>
      <c r="AB866" t="s">
        <v>3325</v>
      </c>
      <c r="AE866" t="s">
        <v>3326</v>
      </c>
      <c r="AF866" t="s">
        <v>52</v>
      </c>
      <c r="AH866">
        <v>0</v>
      </c>
      <c r="AI866">
        <v>0</v>
      </c>
      <c r="AJ866" t="s">
        <v>52</v>
      </c>
      <c r="AK866">
        <v>0</v>
      </c>
      <c r="AL866" t="s">
        <v>52</v>
      </c>
      <c r="AM866" t="s">
        <v>52</v>
      </c>
      <c r="AN866">
        <v>0</v>
      </c>
      <c r="AO866">
        <v>0</v>
      </c>
      <c r="AP866" t="s">
        <v>52</v>
      </c>
      <c r="AQ866" t="s">
        <v>52</v>
      </c>
      <c r="AR866" t="s">
        <v>62</v>
      </c>
      <c r="AS866" t="s">
        <v>52</v>
      </c>
      <c r="AT866" t="s">
        <v>74</v>
      </c>
      <c r="AU866" t="s">
        <v>64</v>
      </c>
      <c r="AV866" t="s">
        <v>62</v>
      </c>
      <c r="AW866" t="s">
        <v>65</v>
      </c>
      <c r="AX866" t="s">
        <v>66</v>
      </c>
      <c r="AY866" t="s">
        <v>67</v>
      </c>
    </row>
    <row r="867" spans="1:51" hidden="1" x14ac:dyDescent="0.25">
      <c r="A867">
        <v>406025</v>
      </c>
      <c r="B867" t="s">
        <v>3327</v>
      </c>
      <c r="C867" t="e">
        <f>VLOOKUP(A867,[1]Customer_payment_journal_line!$AL:$BO,30,0)</f>
        <v>#N/A</v>
      </c>
      <c r="D867" t="s">
        <v>53</v>
      </c>
      <c r="E867" t="s">
        <v>3328</v>
      </c>
      <c r="F867" t="s">
        <v>3329</v>
      </c>
      <c r="G867" t="s">
        <v>3069</v>
      </c>
      <c r="H867" t="s">
        <v>57</v>
      </c>
      <c r="I867" t="s">
        <v>58</v>
      </c>
      <c r="J867" t="s">
        <v>3323</v>
      </c>
      <c r="K867" t="s">
        <v>3312</v>
      </c>
      <c r="L867" t="s">
        <v>52</v>
      </c>
      <c r="M867">
        <v>855</v>
      </c>
      <c r="N867">
        <v>0</v>
      </c>
      <c r="O867" t="s">
        <v>61</v>
      </c>
      <c r="P867">
        <v>100</v>
      </c>
      <c r="Q867" t="s">
        <v>52</v>
      </c>
      <c r="R867" t="s">
        <v>52</v>
      </c>
      <c r="S867" t="s">
        <v>52</v>
      </c>
      <c r="T867" t="s">
        <v>52</v>
      </c>
      <c r="U867" t="s">
        <v>52</v>
      </c>
      <c r="V867" t="s">
        <v>62</v>
      </c>
      <c r="W867" t="s">
        <v>63</v>
      </c>
      <c r="Y867" t="s">
        <v>52</v>
      </c>
      <c r="AB867" t="s">
        <v>52</v>
      </c>
      <c r="AE867" t="s">
        <v>52</v>
      </c>
      <c r="AF867" t="s">
        <v>52</v>
      </c>
      <c r="AH867">
        <v>0</v>
      </c>
      <c r="AI867">
        <v>0</v>
      </c>
      <c r="AJ867" t="s">
        <v>52</v>
      </c>
      <c r="AK867">
        <v>0</v>
      </c>
      <c r="AL867" t="s">
        <v>52</v>
      </c>
      <c r="AM867" t="s">
        <v>52</v>
      </c>
      <c r="AN867">
        <v>0</v>
      </c>
      <c r="AO867">
        <v>0</v>
      </c>
      <c r="AP867" t="s">
        <v>52</v>
      </c>
      <c r="AQ867" t="s">
        <v>52</v>
      </c>
      <c r="AR867" t="s">
        <v>62</v>
      </c>
      <c r="AS867" t="s">
        <v>52</v>
      </c>
      <c r="AT867" t="s">
        <v>52</v>
      </c>
      <c r="AU867" t="s">
        <v>64</v>
      </c>
      <c r="AV867" t="s">
        <v>62</v>
      </c>
      <c r="AW867" t="s">
        <v>65</v>
      </c>
      <c r="AX867" t="s">
        <v>66</v>
      </c>
      <c r="AY867" t="s">
        <v>67</v>
      </c>
    </row>
    <row r="868" spans="1:51" hidden="1" x14ac:dyDescent="0.25">
      <c r="A868">
        <v>406025</v>
      </c>
      <c r="B868" t="s">
        <v>3330</v>
      </c>
      <c r="C868" t="e">
        <f>VLOOKUP(A868,[1]Customer_payment_journal_line!$AL:$BO,30,0)</f>
        <v>#N/A</v>
      </c>
      <c r="D868" t="s">
        <v>53</v>
      </c>
      <c r="E868" t="s">
        <v>3328</v>
      </c>
      <c r="F868" t="s">
        <v>3329</v>
      </c>
      <c r="G868" t="s">
        <v>3069</v>
      </c>
      <c r="H868" t="s">
        <v>69</v>
      </c>
      <c r="I868" t="s">
        <v>3315</v>
      </c>
      <c r="J868" t="s">
        <v>3323</v>
      </c>
      <c r="K868" t="s">
        <v>3312</v>
      </c>
      <c r="L868" t="s">
        <v>52</v>
      </c>
      <c r="M868">
        <v>0</v>
      </c>
      <c r="N868">
        <v>855</v>
      </c>
      <c r="O868" t="s">
        <v>61</v>
      </c>
      <c r="P868">
        <v>100</v>
      </c>
      <c r="Q868" t="s">
        <v>52</v>
      </c>
      <c r="R868" t="s">
        <v>52</v>
      </c>
      <c r="S868" t="s">
        <v>52</v>
      </c>
      <c r="T868" t="s">
        <v>52</v>
      </c>
      <c r="U868" t="s">
        <v>52</v>
      </c>
      <c r="V868" t="s">
        <v>62</v>
      </c>
      <c r="W868" t="s">
        <v>52</v>
      </c>
      <c r="Y868" t="s">
        <v>3317</v>
      </c>
      <c r="Z868" t="s">
        <v>62</v>
      </c>
      <c r="AB868" t="s">
        <v>3331</v>
      </c>
      <c r="AE868" t="s">
        <v>3332</v>
      </c>
      <c r="AF868" t="s">
        <v>52</v>
      </c>
      <c r="AH868">
        <v>0</v>
      </c>
      <c r="AI868">
        <v>0</v>
      </c>
      <c r="AJ868" t="s">
        <v>52</v>
      </c>
      <c r="AK868">
        <v>0</v>
      </c>
      <c r="AL868" t="s">
        <v>52</v>
      </c>
      <c r="AM868" t="s">
        <v>52</v>
      </c>
      <c r="AN868">
        <v>0</v>
      </c>
      <c r="AO868">
        <v>0</v>
      </c>
      <c r="AP868" t="s">
        <v>52</v>
      </c>
      <c r="AQ868" t="s">
        <v>52</v>
      </c>
      <c r="AR868" t="s">
        <v>62</v>
      </c>
      <c r="AS868" t="s">
        <v>52</v>
      </c>
      <c r="AT868" t="s">
        <v>74</v>
      </c>
      <c r="AU868" t="s">
        <v>64</v>
      </c>
      <c r="AV868" t="s">
        <v>62</v>
      </c>
      <c r="AW868" t="s">
        <v>65</v>
      </c>
      <c r="AX868" t="s">
        <v>66</v>
      </c>
      <c r="AY868" t="s">
        <v>67</v>
      </c>
    </row>
    <row r="869" spans="1:51" hidden="1" x14ac:dyDescent="0.25">
      <c r="A869">
        <v>406026</v>
      </c>
      <c r="B869" t="s">
        <v>3333</v>
      </c>
      <c r="C869" t="e">
        <f>VLOOKUP(A869,[1]Customer_payment_journal_line!$AL:$BO,30,0)</f>
        <v>#N/A</v>
      </c>
      <c r="D869" t="s">
        <v>53</v>
      </c>
      <c r="E869" t="s">
        <v>3334</v>
      </c>
      <c r="F869" t="s">
        <v>3335</v>
      </c>
      <c r="G869" t="s">
        <v>3069</v>
      </c>
      <c r="H869" t="s">
        <v>57</v>
      </c>
      <c r="I869" t="s">
        <v>1349</v>
      </c>
      <c r="J869" t="s">
        <v>3336</v>
      </c>
      <c r="K869" t="s">
        <v>2420</v>
      </c>
      <c r="L869" t="s">
        <v>52</v>
      </c>
      <c r="M869">
        <v>3000</v>
      </c>
      <c r="N869">
        <v>0</v>
      </c>
      <c r="O869" t="s">
        <v>61</v>
      </c>
      <c r="P869">
        <v>100</v>
      </c>
      <c r="Q869" t="s">
        <v>52</v>
      </c>
      <c r="R869" t="s">
        <v>52</v>
      </c>
      <c r="S869" t="s">
        <v>52</v>
      </c>
      <c r="T869" t="s">
        <v>52</v>
      </c>
      <c r="U869" t="s">
        <v>52</v>
      </c>
      <c r="V869" t="s">
        <v>62</v>
      </c>
      <c r="W869" t="s">
        <v>63</v>
      </c>
      <c r="Y869" t="s">
        <v>52</v>
      </c>
      <c r="AB869" t="s">
        <v>52</v>
      </c>
      <c r="AE869" t="s">
        <v>52</v>
      </c>
      <c r="AF869" t="s">
        <v>52</v>
      </c>
      <c r="AH869">
        <v>0</v>
      </c>
      <c r="AI869">
        <v>0</v>
      </c>
      <c r="AJ869" t="s">
        <v>52</v>
      </c>
      <c r="AK869">
        <v>0</v>
      </c>
      <c r="AL869" t="s">
        <v>52</v>
      </c>
      <c r="AM869" t="s">
        <v>52</v>
      </c>
      <c r="AN869">
        <v>0</v>
      </c>
      <c r="AO869">
        <v>0</v>
      </c>
      <c r="AP869" t="s">
        <v>52</v>
      </c>
      <c r="AQ869" t="s">
        <v>52</v>
      </c>
      <c r="AR869" t="s">
        <v>62</v>
      </c>
      <c r="AS869" t="s">
        <v>52</v>
      </c>
      <c r="AT869" t="s">
        <v>52</v>
      </c>
      <c r="AU869" t="s">
        <v>64</v>
      </c>
      <c r="AV869" t="s">
        <v>62</v>
      </c>
      <c r="AW869" t="s">
        <v>65</v>
      </c>
      <c r="AX869" t="s">
        <v>66</v>
      </c>
      <c r="AY869" t="s">
        <v>67</v>
      </c>
    </row>
    <row r="870" spans="1:51" hidden="1" x14ac:dyDescent="0.25">
      <c r="A870">
        <v>406026</v>
      </c>
      <c r="B870" t="s">
        <v>3337</v>
      </c>
      <c r="C870" t="e">
        <f>VLOOKUP(A870,[1]Customer_payment_journal_line!$AL:$BO,30,0)</f>
        <v>#N/A</v>
      </c>
      <c r="D870" t="s">
        <v>53</v>
      </c>
      <c r="E870" t="s">
        <v>3334</v>
      </c>
      <c r="F870" t="s">
        <v>3335</v>
      </c>
      <c r="G870" t="s">
        <v>3069</v>
      </c>
      <c r="H870" t="s">
        <v>69</v>
      </c>
      <c r="I870" t="s">
        <v>2422</v>
      </c>
      <c r="J870" t="s">
        <v>3336</v>
      </c>
      <c r="K870" t="s">
        <v>2420</v>
      </c>
      <c r="L870" t="s">
        <v>52</v>
      </c>
      <c r="M870">
        <v>0</v>
      </c>
      <c r="N870">
        <v>3000</v>
      </c>
      <c r="O870" t="s">
        <v>61</v>
      </c>
      <c r="P870">
        <v>100</v>
      </c>
      <c r="Q870" t="s">
        <v>52</v>
      </c>
      <c r="R870" t="s">
        <v>52</v>
      </c>
      <c r="S870" t="s">
        <v>52</v>
      </c>
      <c r="T870" t="s">
        <v>52</v>
      </c>
      <c r="U870" t="s">
        <v>52</v>
      </c>
      <c r="V870" t="s">
        <v>62</v>
      </c>
      <c r="W870" t="s">
        <v>52</v>
      </c>
      <c r="Y870" t="s">
        <v>2423</v>
      </c>
      <c r="Z870" t="s">
        <v>62</v>
      </c>
      <c r="AB870" t="s">
        <v>3338</v>
      </c>
      <c r="AE870" t="s">
        <v>3339</v>
      </c>
      <c r="AF870" t="s">
        <v>52</v>
      </c>
      <c r="AH870">
        <v>0</v>
      </c>
      <c r="AI870">
        <v>0</v>
      </c>
      <c r="AJ870" t="s">
        <v>52</v>
      </c>
      <c r="AK870">
        <v>0</v>
      </c>
      <c r="AL870" t="s">
        <v>52</v>
      </c>
      <c r="AM870" t="s">
        <v>52</v>
      </c>
      <c r="AN870">
        <v>0</v>
      </c>
      <c r="AO870">
        <v>0</v>
      </c>
      <c r="AP870" t="s">
        <v>52</v>
      </c>
      <c r="AQ870" t="s">
        <v>52</v>
      </c>
      <c r="AR870" t="s">
        <v>62</v>
      </c>
      <c r="AS870" t="s">
        <v>52</v>
      </c>
      <c r="AT870" t="s">
        <v>74</v>
      </c>
      <c r="AU870" t="s">
        <v>64</v>
      </c>
      <c r="AV870" t="s">
        <v>62</v>
      </c>
      <c r="AW870" t="s">
        <v>65</v>
      </c>
      <c r="AX870" t="s">
        <v>66</v>
      </c>
      <c r="AY870" t="s">
        <v>67</v>
      </c>
    </row>
    <row r="871" spans="1:51" hidden="1" x14ac:dyDescent="0.25">
      <c r="A871">
        <v>202955</v>
      </c>
      <c r="B871" t="s">
        <v>3340</v>
      </c>
      <c r="C871" t="e">
        <f>VLOOKUP(A871,[1]Customer_payment_journal_line!$AL:$BO,30,0)</f>
        <v>#N/A</v>
      </c>
      <c r="D871" t="s">
        <v>53</v>
      </c>
      <c r="E871" t="s">
        <v>3341</v>
      </c>
      <c r="F871" t="s">
        <v>3342</v>
      </c>
      <c r="G871" t="s">
        <v>3069</v>
      </c>
      <c r="H871" t="s">
        <v>57</v>
      </c>
      <c r="I871" t="s">
        <v>1349</v>
      </c>
      <c r="J871" t="s">
        <v>3343</v>
      </c>
      <c r="K871" t="s">
        <v>2358</v>
      </c>
      <c r="L871" t="s">
        <v>52</v>
      </c>
      <c r="M871">
        <v>2550</v>
      </c>
      <c r="N871">
        <v>0</v>
      </c>
      <c r="O871" t="s">
        <v>61</v>
      </c>
      <c r="P871">
        <v>100</v>
      </c>
      <c r="Q871" t="s">
        <v>52</v>
      </c>
      <c r="R871" t="s">
        <v>52</v>
      </c>
      <c r="S871" t="s">
        <v>52</v>
      </c>
      <c r="T871" t="s">
        <v>52</v>
      </c>
      <c r="U871" t="s">
        <v>52</v>
      </c>
      <c r="V871" t="s">
        <v>62</v>
      </c>
      <c r="W871" t="s">
        <v>63</v>
      </c>
      <c r="Y871" t="s">
        <v>52</v>
      </c>
      <c r="AB871" t="s">
        <v>52</v>
      </c>
      <c r="AE871" t="s">
        <v>52</v>
      </c>
      <c r="AF871" t="s">
        <v>52</v>
      </c>
      <c r="AH871">
        <v>0</v>
      </c>
      <c r="AI871">
        <v>0</v>
      </c>
      <c r="AJ871" t="s">
        <v>52</v>
      </c>
      <c r="AK871">
        <v>0</v>
      </c>
      <c r="AL871" t="s">
        <v>52</v>
      </c>
      <c r="AM871" t="s">
        <v>52</v>
      </c>
      <c r="AN871">
        <v>0</v>
      </c>
      <c r="AO871">
        <v>0</v>
      </c>
      <c r="AP871" t="s">
        <v>52</v>
      </c>
      <c r="AQ871" t="s">
        <v>52</v>
      </c>
      <c r="AR871" t="s">
        <v>62</v>
      </c>
      <c r="AS871" t="s">
        <v>52</v>
      </c>
      <c r="AT871" t="s">
        <v>52</v>
      </c>
      <c r="AU871" t="s">
        <v>64</v>
      </c>
      <c r="AV871" t="s">
        <v>62</v>
      </c>
      <c r="AW871" t="s">
        <v>65</v>
      </c>
      <c r="AX871" t="s">
        <v>66</v>
      </c>
      <c r="AY871" t="s">
        <v>67</v>
      </c>
    </row>
    <row r="872" spans="1:51" hidden="1" x14ac:dyDescent="0.25">
      <c r="A872">
        <v>202955</v>
      </c>
      <c r="B872" t="s">
        <v>3344</v>
      </c>
      <c r="C872" t="e">
        <f>VLOOKUP(A872,[1]Customer_payment_journal_line!$AL:$BO,30,0)</f>
        <v>#N/A</v>
      </c>
      <c r="D872" t="s">
        <v>53</v>
      </c>
      <c r="E872" t="s">
        <v>3341</v>
      </c>
      <c r="F872" t="s">
        <v>3342</v>
      </c>
      <c r="G872" t="s">
        <v>3069</v>
      </c>
      <c r="H872" t="s">
        <v>69</v>
      </c>
      <c r="I872" t="s">
        <v>1299</v>
      </c>
      <c r="J872" t="s">
        <v>3343</v>
      </c>
      <c r="K872" t="s">
        <v>2358</v>
      </c>
      <c r="L872" t="s">
        <v>52</v>
      </c>
      <c r="M872">
        <v>0</v>
      </c>
      <c r="N872">
        <v>2550</v>
      </c>
      <c r="O872" t="s">
        <v>61</v>
      </c>
      <c r="P872">
        <v>100</v>
      </c>
      <c r="Q872" t="s">
        <v>52</v>
      </c>
      <c r="R872" t="s">
        <v>52</v>
      </c>
      <c r="S872" t="s">
        <v>52</v>
      </c>
      <c r="T872" t="s">
        <v>52</v>
      </c>
      <c r="U872" t="s">
        <v>52</v>
      </c>
      <c r="V872" t="s">
        <v>62</v>
      </c>
      <c r="W872" t="s">
        <v>52</v>
      </c>
      <c r="Y872" t="s">
        <v>1300</v>
      </c>
      <c r="Z872" t="s">
        <v>62</v>
      </c>
      <c r="AB872" t="s">
        <v>3345</v>
      </c>
      <c r="AE872" t="s">
        <v>3346</v>
      </c>
      <c r="AF872" t="s">
        <v>52</v>
      </c>
      <c r="AH872">
        <v>0</v>
      </c>
      <c r="AI872">
        <v>0</v>
      </c>
      <c r="AJ872" t="s">
        <v>52</v>
      </c>
      <c r="AK872">
        <v>0</v>
      </c>
      <c r="AL872" t="s">
        <v>52</v>
      </c>
      <c r="AM872" t="s">
        <v>52</v>
      </c>
      <c r="AN872">
        <v>0</v>
      </c>
      <c r="AO872">
        <v>0</v>
      </c>
      <c r="AP872" t="s">
        <v>52</v>
      </c>
      <c r="AQ872" t="s">
        <v>52</v>
      </c>
      <c r="AR872" t="s">
        <v>62</v>
      </c>
      <c r="AS872" t="s">
        <v>52</v>
      </c>
      <c r="AT872" t="s">
        <v>74</v>
      </c>
      <c r="AU872" t="s">
        <v>64</v>
      </c>
      <c r="AV872" t="s">
        <v>62</v>
      </c>
      <c r="AW872" t="s">
        <v>65</v>
      </c>
      <c r="AX872" t="s">
        <v>66</v>
      </c>
      <c r="AY872" t="s">
        <v>67</v>
      </c>
    </row>
    <row r="873" spans="1:51" hidden="1" x14ac:dyDescent="0.25">
      <c r="A873">
        <v>406027</v>
      </c>
      <c r="B873" t="s">
        <v>3347</v>
      </c>
      <c r="C873" t="e">
        <f>VLOOKUP(A873,[1]Customer_payment_journal_line!$AL:$BO,30,0)</f>
        <v>#N/A</v>
      </c>
      <c r="D873" t="s">
        <v>53</v>
      </c>
      <c r="E873" t="s">
        <v>3348</v>
      </c>
      <c r="F873" t="s">
        <v>3349</v>
      </c>
      <c r="G873" t="s">
        <v>3069</v>
      </c>
      <c r="H873" t="s">
        <v>57</v>
      </c>
      <c r="I873" t="s">
        <v>58</v>
      </c>
      <c r="J873" t="s">
        <v>3350</v>
      </c>
      <c r="K873" t="s">
        <v>3351</v>
      </c>
      <c r="L873" t="s">
        <v>52</v>
      </c>
      <c r="M873">
        <v>1881</v>
      </c>
      <c r="N873">
        <v>0</v>
      </c>
      <c r="O873" t="s">
        <v>61</v>
      </c>
      <c r="P873">
        <v>100</v>
      </c>
      <c r="Q873" t="s">
        <v>52</v>
      </c>
      <c r="R873" t="s">
        <v>52</v>
      </c>
      <c r="S873" t="s">
        <v>52</v>
      </c>
      <c r="T873" t="s">
        <v>52</v>
      </c>
      <c r="U873" t="s">
        <v>52</v>
      </c>
      <c r="V873" t="s">
        <v>62</v>
      </c>
      <c r="W873" t="s">
        <v>63</v>
      </c>
      <c r="Y873" t="s">
        <v>52</v>
      </c>
      <c r="AB873" t="s">
        <v>52</v>
      </c>
      <c r="AE873" t="s">
        <v>52</v>
      </c>
      <c r="AF873" t="s">
        <v>52</v>
      </c>
      <c r="AH873">
        <v>0</v>
      </c>
      <c r="AI873">
        <v>0</v>
      </c>
      <c r="AJ873" t="s">
        <v>52</v>
      </c>
      <c r="AK873">
        <v>0</v>
      </c>
      <c r="AL873" t="s">
        <v>52</v>
      </c>
      <c r="AM873" t="s">
        <v>52</v>
      </c>
      <c r="AN873">
        <v>0</v>
      </c>
      <c r="AO873">
        <v>0</v>
      </c>
      <c r="AP873" t="s">
        <v>52</v>
      </c>
      <c r="AQ873" t="s">
        <v>52</v>
      </c>
      <c r="AR873" t="s">
        <v>62</v>
      </c>
      <c r="AS873" t="s">
        <v>52</v>
      </c>
      <c r="AT873" t="s">
        <v>52</v>
      </c>
      <c r="AU873" t="s">
        <v>64</v>
      </c>
      <c r="AV873" t="s">
        <v>62</v>
      </c>
      <c r="AW873" t="s">
        <v>65</v>
      </c>
      <c r="AX873" t="s">
        <v>66</v>
      </c>
      <c r="AY873" t="s">
        <v>67</v>
      </c>
    </row>
    <row r="874" spans="1:51" hidden="1" x14ac:dyDescent="0.25">
      <c r="A874">
        <v>406027</v>
      </c>
      <c r="B874" t="s">
        <v>3352</v>
      </c>
      <c r="C874" t="e">
        <f>VLOOKUP(A874,[1]Customer_payment_journal_line!$AL:$BO,30,0)</f>
        <v>#N/A</v>
      </c>
      <c r="D874" t="s">
        <v>53</v>
      </c>
      <c r="E874" t="s">
        <v>3348</v>
      </c>
      <c r="F874" t="s">
        <v>3349</v>
      </c>
      <c r="G874" t="s">
        <v>3069</v>
      </c>
      <c r="H874" t="s">
        <v>69</v>
      </c>
      <c r="I874" t="s">
        <v>3353</v>
      </c>
      <c r="J874" t="s">
        <v>3350</v>
      </c>
      <c r="K874" t="s">
        <v>3351</v>
      </c>
      <c r="L874" t="s">
        <v>52</v>
      </c>
      <c r="M874">
        <v>0</v>
      </c>
      <c r="N874">
        <v>1881</v>
      </c>
      <c r="O874" t="s">
        <v>61</v>
      </c>
      <c r="P874">
        <v>100</v>
      </c>
      <c r="Q874" t="s">
        <v>52</v>
      </c>
      <c r="R874" t="s">
        <v>52</v>
      </c>
      <c r="S874" t="s">
        <v>52</v>
      </c>
      <c r="T874" t="s">
        <v>52</v>
      </c>
      <c r="U874" t="s">
        <v>52</v>
      </c>
      <c r="V874" t="s">
        <v>62</v>
      </c>
      <c r="W874" t="s">
        <v>52</v>
      </c>
      <c r="Y874" t="s">
        <v>3354</v>
      </c>
      <c r="Z874" t="s">
        <v>62</v>
      </c>
      <c r="AB874" t="s">
        <v>3355</v>
      </c>
      <c r="AE874" t="s">
        <v>3356</v>
      </c>
      <c r="AF874" t="s">
        <v>52</v>
      </c>
      <c r="AH874">
        <v>0</v>
      </c>
      <c r="AI874">
        <v>0</v>
      </c>
      <c r="AJ874" t="s">
        <v>52</v>
      </c>
      <c r="AK874">
        <v>0</v>
      </c>
      <c r="AL874" t="s">
        <v>52</v>
      </c>
      <c r="AM874" t="s">
        <v>52</v>
      </c>
      <c r="AN874">
        <v>0</v>
      </c>
      <c r="AO874">
        <v>0</v>
      </c>
      <c r="AP874" t="s">
        <v>52</v>
      </c>
      <c r="AQ874" t="s">
        <v>52</v>
      </c>
      <c r="AR874" t="s">
        <v>62</v>
      </c>
      <c r="AS874" t="s">
        <v>52</v>
      </c>
      <c r="AT874" t="s">
        <v>74</v>
      </c>
      <c r="AU874" t="s">
        <v>64</v>
      </c>
      <c r="AV874" t="s">
        <v>62</v>
      </c>
      <c r="AW874" t="s">
        <v>65</v>
      </c>
      <c r="AX874" t="s">
        <v>66</v>
      </c>
      <c r="AY874" t="s">
        <v>67</v>
      </c>
    </row>
    <row r="875" spans="1:51" hidden="1" x14ac:dyDescent="0.25">
      <c r="A875">
        <v>202958</v>
      </c>
      <c r="B875" t="s">
        <v>3357</v>
      </c>
      <c r="C875" t="e">
        <f>VLOOKUP(A875,[1]Customer_payment_journal_line!$AL:$BO,30,0)</f>
        <v>#N/A</v>
      </c>
      <c r="D875" t="s">
        <v>53</v>
      </c>
      <c r="E875" t="s">
        <v>3358</v>
      </c>
      <c r="F875" t="s">
        <v>3359</v>
      </c>
      <c r="G875" t="s">
        <v>3069</v>
      </c>
      <c r="H875" t="s">
        <v>57</v>
      </c>
      <c r="I875" t="s">
        <v>58</v>
      </c>
      <c r="J875" t="s">
        <v>3360</v>
      </c>
      <c r="K875" t="s">
        <v>3361</v>
      </c>
      <c r="L875" t="s">
        <v>52</v>
      </c>
      <c r="M875">
        <v>1425</v>
      </c>
      <c r="N875">
        <v>0</v>
      </c>
      <c r="O875" t="s">
        <v>61</v>
      </c>
      <c r="P875">
        <v>100</v>
      </c>
      <c r="Q875" t="s">
        <v>52</v>
      </c>
      <c r="R875" t="s">
        <v>52</v>
      </c>
      <c r="S875" t="s">
        <v>52</v>
      </c>
      <c r="T875" t="s">
        <v>52</v>
      </c>
      <c r="U875" t="s">
        <v>52</v>
      </c>
      <c r="V875" t="s">
        <v>62</v>
      </c>
      <c r="W875" t="s">
        <v>63</v>
      </c>
      <c r="Y875" t="s">
        <v>52</v>
      </c>
      <c r="AB875" t="s">
        <v>52</v>
      </c>
      <c r="AE875" t="s">
        <v>52</v>
      </c>
      <c r="AF875" t="s">
        <v>52</v>
      </c>
      <c r="AH875">
        <v>0</v>
      </c>
      <c r="AI875">
        <v>0</v>
      </c>
      <c r="AJ875" t="s">
        <v>52</v>
      </c>
      <c r="AK875">
        <v>0</v>
      </c>
      <c r="AL875" t="s">
        <v>52</v>
      </c>
      <c r="AM875" t="s">
        <v>52</v>
      </c>
      <c r="AN875">
        <v>0</v>
      </c>
      <c r="AO875">
        <v>0</v>
      </c>
      <c r="AP875" t="s">
        <v>52</v>
      </c>
      <c r="AQ875" t="s">
        <v>52</v>
      </c>
      <c r="AR875" t="s">
        <v>62</v>
      </c>
      <c r="AS875" t="s">
        <v>52</v>
      </c>
      <c r="AT875" t="s">
        <v>52</v>
      </c>
      <c r="AU875" t="s">
        <v>64</v>
      </c>
      <c r="AV875" t="s">
        <v>62</v>
      </c>
      <c r="AW875" t="s">
        <v>65</v>
      </c>
      <c r="AX875" t="s">
        <v>66</v>
      </c>
      <c r="AY875" t="s">
        <v>67</v>
      </c>
    </row>
    <row r="876" spans="1:51" hidden="1" x14ac:dyDescent="0.25">
      <c r="A876">
        <v>202958</v>
      </c>
      <c r="B876" t="s">
        <v>3362</v>
      </c>
      <c r="C876" t="e">
        <f>VLOOKUP(A876,[1]Customer_payment_journal_line!$AL:$BO,30,0)</f>
        <v>#N/A</v>
      </c>
      <c r="D876" t="s">
        <v>53</v>
      </c>
      <c r="E876" t="s">
        <v>3358</v>
      </c>
      <c r="F876" t="s">
        <v>3359</v>
      </c>
      <c r="G876" t="s">
        <v>3069</v>
      </c>
      <c r="H876" t="s">
        <v>69</v>
      </c>
      <c r="I876" t="s">
        <v>3353</v>
      </c>
      <c r="J876" t="s">
        <v>3360</v>
      </c>
      <c r="K876" t="s">
        <v>3361</v>
      </c>
      <c r="L876" t="s">
        <v>52</v>
      </c>
      <c r="M876">
        <v>0</v>
      </c>
      <c r="N876">
        <v>1425</v>
      </c>
      <c r="O876" t="s">
        <v>61</v>
      </c>
      <c r="P876">
        <v>100</v>
      </c>
      <c r="Q876" t="s">
        <v>52</v>
      </c>
      <c r="R876" t="s">
        <v>52</v>
      </c>
      <c r="S876" t="s">
        <v>52</v>
      </c>
      <c r="T876" t="s">
        <v>52</v>
      </c>
      <c r="U876" t="s">
        <v>52</v>
      </c>
      <c r="V876" t="s">
        <v>62</v>
      </c>
      <c r="W876" t="s">
        <v>52</v>
      </c>
      <c r="Y876" t="s">
        <v>3354</v>
      </c>
      <c r="Z876" t="s">
        <v>62</v>
      </c>
      <c r="AB876" t="s">
        <v>3363</v>
      </c>
      <c r="AE876" t="s">
        <v>3364</v>
      </c>
      <c r="AF876" t="s">
        <v>52</v>
      </c>
      <c r="AH876">
        <v>0</v>
      </c>
      <c r="AI876">
        <v>0</v>
      </c>
      <c r="AJ876" t="s">
        <v>52</v>
      </c>
      <c r="AK876">
        <v>0</v>
      </c>
      <c r="AL876" t="s">
        <v>52</v>
      </c>
      <c r="AM876" t="s">
        <v>52</v>
      </c>
      <c r="AN876">
        <v>0</v>
      </c>
      <c r="AO876">
        <v>0</v>
      </c>
      <c r="AP876" t="s">
        <v>52</v>
      </c>
      <c r="AQ876" t="s">
        <v>52</v>
      </c>
      <c r="AR876" t="s">
        <v>62</v>
      </c>
      <c r="AS876" t="s">
        <v>52</v>
      </c>
      <c r="AT876" t="s">
        <v>74</v>
      </c>
      <c r="AU876" t="s">
        <v>64</v>
      </c>
      <c r="AV876" t="s">
        <v>62</v>
      </c>
      <c r="AW876" t="s">
        <v>65</v>
      </c>
      <c r="AX876" t="s">
        <v>66</v>
      </c>
      <c r="AY876" t="s">
        <v>67</v>
      </c>
    </row>
    <row r="877" spans="1:51" hidden="1" x14ac:dyDescent="0.25">
      <c r="A877">
        <v>406028</v>
      </c>
      <c r="B877" t="s">
        <v>3365</v>
      </c>
      <c r="C877" t="e">
        <f>VLOOKUP(A877,[1]Customer_payment_journal_line!$AL:$BO,30,0)</f>
        <v>#N/A</v>
      </c>
      <c r="D877" t="s">
        <v>53</v>
      </c>
      <c r="E877" t="s">
        <v>3366</v>
      </c>
      <c r="F877" t="s">
        <v>3367</v>
      </c>
      <c r="G877" t="s">
        <v>3069</v>
      </c>
      <c r="H877" t="s">
        <v>57</v>
      </c>
      <c r="I877" t="s">
        <v>58</v>
      </c>
      <c r="J877" t="s">
        <v>3350</v>
      </c>
      <c r="K877" t="s">
        <v>3351</v>
      </c>
      <c r="L877" t="s">
        <v>52</v>
      </c>
      <c r="M877">
        <v>855</v>
      </c>
      <c r="N877">
        <v>0</v>
      </c>
      <c r="O877" t="s">
        <v>61</v>
      </c>
      <c r="P877">
        <v>100</v>
      </c>
      <c r="Q877" t="s">
        <v>52</v>
      </c>
      <c r="R877" t="s">
        <v>52</v>
      </c>
      <c r="S877" t="s">
        <v>52</v>
      </c>
      <c r="T877" t="s">
        <v>52</v>
      </c>
      <c r="U877" t="s">
        <v>52</v>
      </c>
      <c r="V877" t="s">
        <v>62</v>
      </c>
      <c r="W877" t="s">
        <v>63</v>
      </c>
      <c r="Y877" t="s">
        <v>52</v>
      </c>
      <c r="AB877" t="s">
        <v>52</v>
      </c>
      <c r="AE877" t="s">
        <v>52</v>
      </c>
      <c r="AF877" t="s">
        <v>52</v>
      </c>
      <c r="AH877">
        <v>0</v>
      </c>
      <c r="AI877">
        <v>0</v>
      </c>
      <c r="AJ877" t="s">
        <v>52</v>
      </c>
      <c r="AK877">
        <v>0</v>
      </c>
      <c r="AL877" t="s">
        <v>52</v>
      </c>
      <c r="AM877" t="s">
        <v>52</v>
      </c>
      <c r="AN877">
        <v>0</v>
      </c>
      <c r="AO877">
        <v>0</v>
      </c>
      <c r="AP877" t="s">
        <v>52</v>
      </c>
      <c r="AQ877" t="s">
        <v>52</v>
      </c>
      <c r="AR877" t="s">
        <v>62</v>
      </c>
      <c r="AS877" t="s">
        <v>52</v>
      </c>
      <c r="AT877" t="s">
        <v>52</v>
      </c>
      <c r="AU877" t="s">
        <v>64</v>
      </c>
      <c r="AV877" t="s">
        <v>62</v>
      </c>
      <c r="AW877" t="s">
        <v>65</v>
      </c>
      <c r="AX877" t="s">
        <v>66</v>
      </c>
      <c r="AY877" t="s">
        <v>67</v>
      </c>
    </row>
    <row r="878" spans="1:51" hidden="1" x14ac:dyDescent="0.25">
      <c r="A878">
        <v>406028</v>
      </c>
      <c r="B878" t="s">
        <v>3368</v>
      </c>
      <c r="C878" t="e">
        <f>VLOOKUP(A878,[1]Customer_payment_journal_line!$AL:$BO,30,0)</f>
        <v>#N/A</v>
      </c>
      <c r="D878" t="s">
        <v>53</v>
      </c>
      <c r="E878" t="s">
        <v>3366</v>
      </c>
      <c r="F878" t="s">
        <v>3367</v>
      </c>
      <c r="G878" t="s">
        <v>3069</v>
      </c>
      <c r="H878" t="s">
        <v>69</v>
      </c>
      <c r="I878" t="s">
        <v>3353</v>
      </c>
      <c r="J878" t="s">
        <v>3350</v>
      </c>
      <c r="K878" t="s">
        <v>3351</v>
      </c>
      <c r="L878" t="s">
        <v>52</v>
      </c>
      <c r="M878">
        <v>0</v>
      </c>
      <c r="N878">
        <v>855</v>
      </c>
      <c r="O878" t="s">
        <v>61</v>
      </c>
      <c r="P878">
        <v>100</v>
      </c>
      <c r="Q878" t="s">
        <v>52</v>
      </c>
      <c r="R878" t="s">
        <v>52</v>
      </c>
      <c r="S878" t="s">
        <v>52</v>
      </c>
      <c r="T878" t="s">
        <v>52</v>
      </c>
      <c r="U878" t="s">
        <v>52</v>
      </c>
      <c r="V878" t="s">
        <v>62</v>
      </c>
      <c r="W878" t="s">
        <v>52</v>
      </c>
      <c r="Y878" t="s">
        <v>3354</v>
      </c>
      <c r="Z878" t="s">
        <v>62</v>
      </c>
      <c r="AB878" t="s">
        <v>3369</v>
      </c>
      <c r="AE878" t="s">
        <v>3370</v>
      </c>
      <c r="AF878" t="s">
        <v>52</v>
      </c>
      <c r="AH878">
        <v>0</v>
      </c>
      <c r="AI878">
        <v>0</v>
      </c>
      <c r="AJ878" t="s">
        <v>52</v>
      </c>
      <c r="AK878">
        <v>0</v>
      </c>
      <c r="AL878" t="s">
        <v>52</v>
      </c>
      <c r="AM878" t="s">
        <v>52</v>
      </c>
      <c r="AN878">
        <v>0</v>
      </c>
      <c r="AO878">
        <v>0</v>
      </c>
      <c r="AP878" t="s">
        <v>52</v>
      </c>
      <c r="AQ878" t="s">
        <v>52</v>
      </c>
      <c r="AR878" t="s">
        <v>62</v>
      </c>
      <c r="AS878" t="s">
        <v>52</v>
      </c>
      <c r="AT878" t="s">
        <v>74</v>
      </c>
      <c r="AU878" t="s">
        <v>64</v>
      </c>
      <c r="AV878" t="s">
        <v>62</v>
      </c>
      <c r="AW878" t="s">
        <v>65</v>
      </c>
      <c r="AX878" t="s">
        <v>66</v>
      </c>
      <c r="AY878" t="s">
        <v>67</v>
      </c>
    </row>
    <row r="879" spans="1:51" hidden="1" x14ac:dyDescent="0.25">
      <c r="A879">
        <v>202960</v>
      </c>
      <c r="B879" t="s">
        <v>3371</v>
      </c>
      <c r="C879" t="e">
        <f>VLOOKUP(A879,[1]Customer_payment_journal_line!$AL:$BO,30,0)</f>
        <v>#N/A</v>
      </c>
      <c r="D879" t="s">
        <v>53</v>
      </c>
      <c r="E879" t="s">
        <v>3372</v>
      </c>
      <c r="F879" t="s">
        <v>3373</v>
      </c>
      <c r="G879" t="s">
        <v>3069</v>
      </c>
      <c r="H879" t="s">
        <v>57</v>
      </c>
      <c r="I879" t="s">
        <v>58</v>
      </c>
      <c r="J879" t="s">
        <v>3360</v>
      </c>
      <c r="K879" t="s">
        <v>3361</v>
      </c>
      <c r="L879" t="s">
        <v>52</v>
      </c>
      <c r="M879">
        <v>855</v>
      </c>
      <c r="N879">
        <v>0</v>
      </c>
      <c r="O879" t="s">
        <v>61</v>
      </c>
      <c r="P879">
        <v>100</v>
      </c>
      <c r="Q879" t="s">
        <v>52</v>
      </c>
      <c r="R879" t="s">
        <v>52</v>
      </c>
      <c r="S879" t="s">
        <v>52</v>
      </c>
      <c r="T879" t="s">
        <v>52</v>
      </c>
      <c r="U879" t="s">
        <v>52</v>
      </c>
      <c r="V879" t="s">
        <v>62</v>
      </c>
      <c r="W879" t="s">
        <v>63</v>
      </c>
      <c r="Y879" t="s">
        <v>52</v>
      </c>
      <c r="AB879" t="s">
        <v>52</v>
      </c>
      <c r="AE879" t="s">
        <v>52</v>
      </c>
      <c r="AF879" t="s">
        <v>52</v>
      </c>
      <c r="AH879">
        <v>0</v>
      </c>
      <c r="AI879">
        <v>0</v>
      </c>
      <c r="AJ879" t="s">
        <v>52</v>
      </c>
      <c r="AK879">
        <v>0</v>
      </c>
      <c r="AL879" t="s">
        <v>52</v>
      </c>
      <c r="AM879" t="s">
        <v>52</v>
      </c>
      <c r="AN879">
        <v>0</v>
      </c>
      <c r="AO879">
        <v>0</v>
      </c>
      <c r="AP879" t="s">
        <v>52</v>
      </c>
      <c r="AQ879" t="s">
        <v>52</v>
      </c>
      <c r="AR879" t="s">
        <v>62</v>
      </c>
      <c r="AS879" t="s">
        <v>52</v>
      </c>
      <c r="AT879" t="s">
        <v>52</v>
      </c>
      <c r="AU879" t="s">
        <v>64</v>
      </c>
      <c r="AV879" t="s">
        <v>62</v>
      </c>
      <c r="AW879" t="s">
        <v>65</v>
      </c>
      <c r="AX879" t="s">
        <v>66</v>
      </c>
      <c r="AY879" t="s">
        <v>67</v>
      </c>
    </row>
    <row r="880" spans="1:51" hidden="1" x14ac:dyDescent="0.25">
      <c r="A880">
        <v>202960</v>
      </c>
      <c r="B880" t="s">
        <v>3374</v>
      </c>
      <c r="C880" t="e">
        <f>VLOOKUP(A880,[1]Customer_payment_journal_line!$AL:$BO,30,0)</f>
        <v>#N/A</v>
      </c>
      <c r="D880" t="s">
        <v>53</v>
      </c>
      <c r="E880" t="s">
        <v>3372</v>
      </c>
      <c r="F880" t="s">
        <v>3373</v>
      </c>
      <c r="G880" t="s">
        <v>3069</v>
      </c>
      <c r="H880" t="s">
        <v>69</v>
      </c>
      <c r="I880" t="s">
        <v>3353</v>
      </c>
      <c r="J880" t="s">
        <v>3360</v>
      </c>
      <c r="K880" t="s">
        <v>3361</v>
      </c>
      <c r="L880" t="s">
        <v>52</v>
      </c>
      <c r="M880">
        <v>0</v>
      </c>
      <c r="N880">
        <v>855</v>
      </c>
      <c r="O880" t="s">
        <v>61</v>
      </c>
      <c r="P880">
        <v>100</v>
      </c>
      <c r="Q880" t="s">
        <v>52</v>
      </c>
      <c r="R880" t="s">
        <v>52</v>
      </c>
      <c r="S880" t="s">
        <v>52</v>
      </c>
      <c r="T880" t="s">
        <v>52</v>
      </c>
      <c r="U880" t="s">
        <v>52</v>
      </c>
      <c r="V880" t="s">
        <v>62</v>
      </c>
      <c r="W880" t="s">
        <v>52</v>
      </c>
      <c r="Y880" t="s">
        <v>3354</v>
      </c>
      <c r="Z880" t="s">
        <v>62</v>
      </c>
      <c r="AB880" t="s">
        <v>3375</v>
      </c>
      <c r="AE880" t="s">
        <v>3376</v>
      </c>
      <c r="AF880" t="s">
        <v>52</v>
      </c>
      <c r="AH880">
        <v>0</v>
      </c>
      <c r="AI880">
        <v>0</v>
      </c>
      <c r="AJ880" t="s">
        <v>52</v>
      </c>
      <c r="AK880">
        <v>0</v>
      </c>
      <c r="AL880" t="s">
        <v>52</v>
      </c>
      <c r="AM880" t="s">
        <v>52</v>
      </c>
      <c r="AN880">
        <v>0</v>
      </c>
      <c r="AO880">
        <v>0</v>
      </c>
      <c r="AP880" t="s">
        <v>52</v>
      </c>
      <c r="AQ880" t="s">
        <v>52</v>
      </c>
      <c r="AR880" t="s">
        <v>62</v>
      </c>
      <c r="AS880" t="s">
        <v>52</v>
      </c>
      <c r="AT880" t="s">
        <v>74</v>
      </c>
      <c r="AU880" t="s">
        <v>64</v>
      </c>
      <c r="AV880" t="s">
        <v>62</v>
      </c>
      <c r="AW880" t="s">
        <v>65</v>
      </c>
      <c r="AX880" t="s">
        <v>66</v>
      </c>
      <c r="AY880" t="s">
        <v>67</v>
      </c>
    </row>
    <row r="881" spans="1:51" hidden="1" x14ac:dyDescent="0.25">
      <c r="A881">
        <v>406031</v>
      </c>
      <c r="B881" t="s">
        <v>3377</v>
      </c>
      <c r="C881" t="e">
        <f>VLOOKUP(A881,[1]Customer_payment_journal_line!$AL:$BO,30,0)</f>
        <v>#N/A</v>
      </c>
      <c r="D881" t="s">
        <v>53</v>
      </c>
      <c r="E881" t="s">
        <v>3378</v>
      </c>
      <c r="F881" t="s">
        <v>3379</v>
      </c>
      <c r="G881" t="s">
        <v>3069</v>
      </c>
      <c r="H881" t="s">
        <v>57</v>
      </c>
      <c r="I881" t="s">
        <v>58</v>
      </c>
      <c r="J881" t="s">
        <v>3380</v>
      </c>
      <c r="K881" t="s">
        <v>3381</v>
      </c>
      <c r="L881" t="s">
        <v>52</v>
      </c>
      <c r="M881">
        <v>4560</v>
      </c>
      <c r="N881">
        <v>0</v>
      </c>
      <c r="O881" t="s">
        <v>61</v>
      </c>
      <c r="P881">
        <v>100</v>
      </c>
      <c r="Q881" t="s">
        <v>52</v>
      </c>
      <c r="R881" t="s">
        <v>52</v>
      </c>
      <c r="S881" t="s">
        <v>52</v>
      </c>
      <c r="T881" t="s">
        <v>52</v>
      </c>
      <c r="U881" t="s">
        <v>52</v>
      </c>
      <c r="V881" t="s">
        <v>62</v>
      </c>
      <c r="W881" t="s">
        <v>63</v>
      </c>
      <c r="Y881" t="s">
        <v>52</v>
      </c>
      <c r="AB881" t="s">
        <v>52</v>
      </c>
      <c r="AE881" t="s">
        <v>52</v>
      </c>
      <c r="AF881" t="s">
        <v>52</v>
      </c>
      <c r="AH881">
        <v>0</v>
      </c>
      <c r="AI881">
        <v>0</v>
      </c>
      <c r="AJ881" t="s">
        <v>52</v>
      </c>
      <c r="AK881">
        <v>0</v>
      </c>
      <c r="AL881" t="s">
        <v>52</v>
      </c>
      <c r="AM881" t="s">
        <v>52</v>
      </c>
      <c r="AN881">
        <v>0</v>
      </c>
      <c r="AO881">
        <v>0</v>
      </c>
      <c r="AP881" t="s">
        <v>52</v>
      </c>
      <c r="AQ881" t="s">
        <v>52</v>
      </c>
      <c r="AR881" t="s">
        <v>62</v>
      </c>
      <c r="AS881" t="s">
        <v>52</v>
      </c>
      <c r="AT881" t="s">
        <v>52</v>
      </c>
      <c r="AU881" t="s">
        <v>64</v>
      </c>
      <c r="AV881" t="s">
        <v>62</v>
      </c>
      <c r="AW881" t="s">
        <v>65</v>
      </c>
      <c r="AX881" t="s">
        <v>66</v>
      </c>
      <c r="AY881" t="s">
        <v>67</v>
      </c>
    </row>
    <row r="882" spans="1:51" hidden="1" x14ac:dyDescent="0.25">
      <c r="A882">
        <v>406031</v>
      </c>
      <c r="B882" t="s">
        <v>3382</v>
      </c>
      <c r="C882" t="e">
        <f>VLOOKUP(A882,[1]Customer_payment_journal_line!$AL:$BO,30,0)</f>
        <v>#N/A</v>
      </c>
      <c r="D882" t="s">
        <v>53</v>
      </c>
      <c r="E882" t="s">
        <v>3378</v>
      </c>
      <c r="F882" t="s">
        <v>3379</v>
      </c>
      <c r="G882" t="s">
        <v>3069</v>
      </c>
      <c r="H882" t="s">
        <v>69</v>
      </c>
      <c r="I882" t="s">
        <v>3383</v>
      </c>
      <c r="J882" t="s">
        <v>3380</v>
      </c>
      <c r="K882" t="s">
        <v>3381</v>
      </c>
      <c r="L882" t="s">
        <v>52</v>
      </c>
      <c r="M882">
        <v>0</v>
      </c>
      <c r="N882">
        <v>4560</v>
      </c>
      <c r="O882" t="s">
        <v>61</v>
      </c>
      <c r="P882">
        <v>100</v>
      </c>
      <c r="Q882" t="s">
        <v>52</v>
      </c>
      <c r="R882" t="s">
        <v>52</v>
      </c>
      <c r="S882" t="s">
        <v>52</v>
      </c>
      <c r="T882" t="s">
        <v>52</v>
      </c>
      <c r="U882" t="s">
        <v>52</v>
      </c>
      <c r="V882" t="s">
        <v>62</v>
      </c>
      <c r="W882" t="s">
        <v>52</v>
      </c>
      <c r="Y882" t="s">
        <v>3384</v>
      </c>
      <c r="Z882" t="s">
        <v>62</v>
      </c>
      <c r="AB882" t="s">
        <v>3385</v>
      </c>
      <c r="AE882" t="s">
        <v>3386</v>
      </c>
      <c r="AF882" t="s">
        <v>52</v>
      </c>
      <c r="AH882">
        <v>0</v>
      </c>
      <c r="AI882">
        <v>0</v>
      </c>
      <c r="AJ882" t="s">
        <v>52</v>
      </c>
      <c r="AK882">
        <v>0</v>
      </c>
      <c r="AL882" t="s">
        <v>52</v>
      </c>
      <c r="AM882" t="s">
        <v>52</v>
      </c>
      <c r="AN882">
        <v>0</v>
      </c>
      <c r="AO882">
        <v>0</v>
      </c>
      <c r="AP882" t="s">
        <v>52</v>
      </c>
      <c r="AQ882" t="s">
        <v>52</v>
      </c>
      <c r="AR882" t="s">
        <v>62</v>
      </c>
      <c r="AS882" t="s">
        <v>52</v>
      </c>
      <c r="AT882" t="s">
        <v>74</v>
      </c>
      <c r="AU882" t="s">
        <v>64</v>
      </c>
      <c r="AV882" t="s">
        <v>62</v>
      </c>
      <c r="AW882" t="s">
        <v>65</v>
      </c>
      <c r="AX882" t="s">
        <v>66</v>
      </c>
      <c r="AY882" t="s">
        <v>67</v>
      </c>
    </row>
    <row r="883" spans="1:51" hidden="1" x14ac:dyDescent="0.25">
      <c r="A883">
        <v>406032</v>
      </c>
      <c r="B883" t="s">
        <v>3387</v>
      </c>
      <c r="C883" t="e">
        <f>VLOOKUP(A883,[1]Customer_payment_journal_line!$AL:$BO,30,0)</f>
        <v>#N/A</v>
      </c>
      <c r="D883" t="s">
        <v>53</v>
      </c>
      <c r="E883" t="s">
        <v>3388</v>
      </c>
      <c r="F883" t="s">
        <v>3389</v>
      </c>
      <c r="G883" t="s">
        <v>3069</v>
      </c>
      <c r="H883" t="s">
        <v>57</v>
      </c>
      <c r="I883" t="s">
        <v>58</v>
      </c>
      <c r="J883" t="s">
        <v>3380</v>
      </c>
      <c r="K883" t="s">
        <v>3381</v>
      </c>
      <c r="L883" t="s">
        <v>52</v>
      </c>
      <c r="M883">
        <v>855</v>
      </c>
      <c r="N883">
        <v>0</v>
      </c>
      <c r="O883" t="s">
        <v>61</v>
      </c>
      <c r="P883">
        <v>100</v>
      </c>
      <c r="Q883" t="s">
        <v>52</v>
      </c>
      <c r="R883" t="s">
        <v>52</v>
      </c>
      <c r="S883" t="s">
        <v>52</v>
      </c>
      <c r="T883" t="s">
        <v>52</v>
      </c>
      <c r="U883" t="s">
        <v>52</v>
      </c>
      <c r="V883" t="s">
        <v>62</v>
      </c>
      <c r="W883" t="s">
        <v>63</v>
      </c>
      <c r="Y883" t="s">
        <v>52</v>
      </c>
      <c r="AB883" t="s">
        <v>52</v>
      </c>
      <c r="AE883" t="s">
        <v>52</v>
      </c>
      <c r="AF883" t="s">
        <v>52</v>
      </c>
      <c r="AH883">
        <v>0</v>
      </c>
      <c r="AI883">
        <v>0</v>
      </c>
      <c r="AJ883" t="s">
        <v>52</v>
      </c>
      <c r="AK883">
        <v>0</v>
      </c>
      <c r="AL883" t="s">
        <v>52</v>
      </c>
      <c r="AM883" t="s">
        <v>52</v>
      </c>
      <c r="AN883">
        <v>0</v>
      </c>
      <c r="AO883">
        <v>0</v>
      </c>
      <c r="AP883" t="s">
        <v>52</v>
      </c>
      <c r="AQ883" t="s">
        <v>52</v>
      </c>
      <c r="AR883" t="s">
        <v>62</v>
      </c>
      <c r="AS883" t="s">
        <v>52</v>
      </c>
      <c r="AT883" t="s">
        <v>52</v>
      </c>
      <c r="AU883" t="s">
        <v>64</v>
      </c>
      <c r="AV883" t="s">
        <v>62</v>
      </c>
      <c r="AW883" t="s">
        <v>65</v>
      </c>
      <c r="AX883" t="s">
        <v>66</v>
      </c>
      <c r="AY883" t="s">
        <v>67</v>
      </c>
    </row>
    <row r="884" spans="1:51" hidden="1" x14ac:dyDescent="0.25">
      <c r="A884">
        <v>406032</v>
      </c>
      <c r="B884" t="s">
        <v>3390</v>
      </c>
      <c r="C884" t="e">
        <f>VLOOKUP(A884,[1]Customer_payment_journal_line!$AL:$BO,30,0)</f>
        <v>#N/A</v>
      </c>
      <c r="D884" t="s">
        <v>53</v>
      </c>
      <c r="E884" t="s">
        <v>3388</v>
      </c>
      <c r="F884" t="s">
        <v>3389</v>
      </c>
      <c r="G884" t="s">
        <v>3069</v>
      </c>
      <c r="H884" t="s">
        <v>69</v>
      </c>
      <c r="I884" t="s">
        <v>3383</v>
      </c>
      <c r="J884" t="s">
        <v>3380</v>
      </c>
      <c r="K884" t="s">
        <v>3381</v>
      </c>
      <c r="L884" t="s">
        <v>52</v>
      </c>
      <c r="M884">
        <v>0</v>
      </c>
      <c r="N884">
        <v>855</v>
      </c>
      <c r="O884" t="s">
        <v>61</v>
      </c>
      <c r="P884">
        <v>100</v>
      </c>
      <c r="Q884" t="s">
        <v>52</v>
      </c>
      <c r="R884" t="s">
        <v>52</v>
      </c>
      <c r="S884" t="s">
        <v>52</v>
      </c>
      <c r="T884" t="s">
        <v>52</v>
      </c>
      <c r="U884" t="s">
        <v>52</v>
      </c>
      <c r="V884" t="s">
        <v>62</v>
      </c>
      <c r="W884" t="s">
        <v>52</v>
      </c>
      <c r="Y884" t="s">
        <v>3384</v>
      </c>
      <c r="Z884" t="s">
        <v>62</v>
      </c>
      <c r="AB884" t="s">
        <v>3391</v>
      </c>
      <c r="AE884" t="s">
        <v>3392</v>
      </c>
      <c r="AF884" t="s">
        <v>52</v>
      </c>
      <c r="AH884">
        <v>0</v>
      </c>
      <c r="AI884">
        <v>0</v>
      </c>
      <c r="AJ884" t="s">
        <v>52</v>
      </c>
      <c r="AK884">
        <v>0</v>
      </c>
      <c r="AL884" t="s">
        <v>52</v>
      </c>
      <c r="AM884" t="s">
        <v>52</v>
      </c>
      <c r="AN884">
        <v>0</v>
      </c>
      <c r="AO884">
        <v>0</v>
      </c>
      <c r="AP884" t="s">
        <v>52</v>
      </c>
      <c r="AQ884" t="s">
        <v>52</v>
      </c>
      <c r="AR884" t="s">
        <v>62</v>
      </c>
      <c r="AS884" t="s">
        <v>52</v>
      </c>
      <c r="AT884" t="s">
        <v>74</v>
      </c>
      <c r="AU884" t="s">
        <v>64</v>
      </c>
      <c r="AV884" t="s">
        <v>62</v>
      </c>
      <c r="AW884" t="s">
        <v>65</v>
      </c>
      <c r="AX884" t="s">
        <v>66</v>
      </c>
      <c r="AY884" t="s">
        <v>67</v>
      </c>
    </row>
    <row r="885" spans="1:51" hidden="1" x14ac:dyDescent="0.25">
      <c r="A885">
        <v>317150</v>
      </c>
      <c r="B885" t="s">
        <v>3393</v>
      </c>
      <c r="C885" t="e">
        <f>VLOOKUP(A885,[1]Customer_payment_journal_line!$AL:$BO,30,0)</f>
        <v>#N/A</v>
      </c>
      <c r="D885" t="s">
        <v>76</v>
      </c>
      <c r="E885" t="s">
        <v>3394</v>
      </c>
      <c r="F885" t="s">
        <v>3395</v>
      </c>
      <c r="G885" t="s">
        <v>3069</v>
      </c>
      <c r="H885" t="s">
        <v>80</v>
      </c>
      <c r="I885" t="s">
        <v>81</v>
      </c>
      <c r="J885" t="s">
        <v>202</v>
      </c>
      <c r="K885" t="s">
        <v>3130</v>
      </c>
      <c r="L885" t="s">
        <v>52</v>
      </c>
      <c r="M885">
        <v>1140</v>
      </c>
      <c r="N885">
        <v>0</v>
      </c>
      <c r="O885" t="s">
        <v>61</v>
      </c>
      <c r="P885">
        <v>100</v>
      </c>
      <c r="Q885" t="s">
        <v>52</v>
      </c>
      <c r="R885" t="s">
        <v>52</v>
      </c>
      <c r="S885" t="s">
        <v>52</v>
      </c>
      <c r="T885" t="s">
        <v>52</v>
      </c>
      <c r="U885" t="s">
        <v>52</v>
      </c>
      <c r="V885" t="s">
        <v>62</v>
      </c>
      <c r="W885" t="s">
        <v>52</v>
      </c>
      <c r="Y885" t="s">
        <v>52</v>
      </c>
      <c r="AB885" t="s">
        <v>3396</v>
      </c>
      <c r="AE885" t="s">
        <v>3396</v>
      </c>
      <c r="AF885" t="s">
        <v>52</v>
      </c>
      <c r="AH885">
        <v>0</v>
      </c>
      <c r="AI885">
        <v>0</v>
      </c>
      <c r="AJ885" t="s">
        <v>52</v>
      </c>
      <c r="AK885">
        <v>0</v>
      </c>
      <c r="AL885" t="s">
        <v>52</v>
      </c>
      <c r="AM885" t="s">
        <v>52</v>
      </c>
      <c r="AN885">
        <v>0</v>
      </c>
      <c r="AO885">
        <v>0</v>
      </c>
      <c r="AP885" t="s">
        <v>52</v>
      </c>
      <c r="AQ885" t="s">
        <v>52</v>
      </c>
      <c r="AR885" t="s">
        <v>62</v>
      </c>
      <c r="AS885" t="s">
        <v>52</v>
      </c>
      <c r="AT885" t="s">
        <v>52</v>
      </c>
      <c r="AU885" t="s">
        <v>64</v>
      </c>
      <c r="AV885" t="s">
        <v>62</v>
      </c>
      <c r="AW885" t="s">
        <v>65</v>
      </c>
      <c r="AX885" t="s">
        <v>66</v>
      </c>
      <c r="AY885" t="s">
        <v>76</v>
      </c>
    </row>
    <row r="886" spans="1:51" hidden="1" x14ac:dyDescent="0.25">
      <c r="A886">
        <v>317150</v>
      </c>
      <c r="B886" t="s">
        <v>3397</v>
      </c>
      <c r="C886" t="e">
        <f>VLOOKUP(A886,[1]Customer_payment_journal_line!$AL:$BO,30,0)</f>
        <v>#N/A</v>
      </c>
      <c r="D886" t="s">
        <v>76</v>
      </c>
      <c r="E886" t="s">
        <v>3394</v>
      </c>
      <c r="F886" t="s">
        <v>3395</v>
      </c>
      <c r="G886" t="s">
        <v>3069</v>
      </c>
      <c r="H886" t="s">
        <v>69</v>
      </c>
      <c r="I886" t="s">
        <v>3132</v>
      </c>
      <c r="J886" t="s">
        <v>3398</v>
      </c>
      <c r="K886" t="s">
        <v>3130</v>
      </c>
      <c r="L886" t="s">
        <v>52</v>
      </c>
      <c r="M886">
        <v>0</v>
      </c>
      <c r="N886">
        <v>20</v>
      </c>
      <c r="O886" t="s">
        <v>126</v>
      </c>
      <c r="P886">
        <v>5285</v>
      </c>
      <c r="Q886" t="s">
        <v>52</v>
      </c>
      <c r="R886" t="s">
        <v>52</v>
      </c>
      <c r="S886" t="s">
        <v>52</v>
      </c>
      <c r="T886" t="s">
        <v>52</v>
      </c>
      <c r="U886" t="s">
        <v>52</v>
      </c>
      <c r="V886" t="s">
        <v>62</v>
      </c>
      <c r="W886" t="s">
        <v>52</v>
      </c>
      <c r="Y886" t="s">
        <v>3133</v>
      </c>
      <c r="Z886" t="s">
        <v>62</v>
      </c>
      <c r="AB886" t="s">
        <v>3396</v>
      </c>
      <c r="AE886" t="s">
        <v>3396</v>
      </c>
      <c r="AF886" t="s">
        <v>52</v>
      </c>
      <c r="AH886">
        <v>0</v>
      </c>
      <c r="AI886">
        <v>0</v>
      </c>
      <c r="AJ886" t="s">
        <v>52</v>
      </c>
      <c r="AK886">
        <v>0</v>
      </c>
      <c r="AL886" t="s">
        <v>52</v>
      </c>
      <c r="AM886" t="s">
        <v>52</v>
      </c>
      <c r="AN886">
        <v>0</v>
      </c>
      <c r="AO886">
        <v>0</v>
      </c>
      <c r="AP886" t="s">
        <v>52</v>
      </c>
      <c r="AQ886" t="s">
        <v>52</v>
      </c>
      <c r="AR886" t="s">
        <v>62</v>
      </c>
      <c r="AS886" t="s">
        <v>52</v>
      </c>
      <c r="AT886" t="s">
        <v>74</v>
      </c>
      <c r="AU886" t="s">
        <v>64</v>
      </c>
      <c r="AV886" t="s">
        <v>62</v>
      </c>
      <c r="AW886" t="s">
        <v>65</v>
      </c>
      <c r="AX886" t="s">
        <v>66</v>
      </c>
      <c r="AY886" t="s">
        <v>76</v>
      </c>
    </row>
    <row r="887" spans="1:51" hidden="1" x14ac:dyDescent="0.25">
      <c r="A887">
        <v>317150</v>
      </c>
      <c r="B887" t="s">
        <v>3399</v>
      </c>
      <c r="C887" t="e">
        <f>VLOOKUP(A887,[1]Customer_payment_journal_line!$AL:$BO,30,0)</f>
        <v>#N/A</v>
      </c>
      <c r="D887" t="s">
        <v>76</v>
      </c>
      <c r="E887" t="s">
        <v>3394</v>
      </c>
      <c r="F887" t="s">
        <v>3395</v>
      </c>
      <c r="G887" t="s">
        <v>3069</v>
      </c>
      <c r="H887" t="s">
        <v>210</v>
      </c>
      <c r="I887" t="s">
        <v>3400</v>
      </c>
      <c r="J887" t="s">
        <v>52</v>
      </c>
      <c r="K887" t="s">
        <v>3130</v>
      </c>
      <c r="L887" t="s">
        <v>52</v>
      </c>
      <c r="M887">
        <v>0</v>
      </c>
      <c r="N887">
        <v>83</v>
      </c>
      <c r="O887" t="s">
        <v>61</v>
      </c>
      <c r="P887">
        <v>100</v>
      </c>
      <c r="Q887" t="s">
        <v>52</v>
      </c>
      <c r="R887" t="s">
        <v>52</v>
      </c>
      <c r="S887" t="s">
        <v>52</v>
      </c>
      <c r="T887" t="s">
        <v>52</v>
      </c>
      <c r="U887" t="s">
        <v>52</v>
      </c>
      <c r="V887" t="s">
        <v>62</v>
      </c>
      <c r="W887" t="s">
        <v>63</v>
      </c>
      <c r="Y887" t="s">
        <v>3133</v>
      </c>
      <c r="AB887" t="s">
        <v>3396</v>
      </c>
      <c r="AE887" t="s">
        <v>3396</v>
      </c>
      <c r="AF887" t="s">
        <v>52</v>
      </c>
      <c r="AH887">
        <v>0</v>
      </c>
      <c r="AI887">
        <v>0</v>
      </c>
      <c r="AJ887" t="s">
        <v>52</v>
      </c>
      <c r="AK887">
        <v>0</v>
      </c>
      <c r="AL887" t="s">
        <v>52</v>
      </c>
      <c r="AM887" t="s">
        <v>52</v>
      </c>
      <c r="AN887">
        <v>0</v>
      </c>
      <c r="AO887">
        <v>0</v>
      </c>
      <c r="AP887" t="s">
        <v>52</v>
      </c>
      <c r="AQ887" t="s">
        <v>52</v>
      </c>
      <c r="AR887" t="s">
        <v>62</v>
      </c>
      <c r="AS887" t="s">
        <v>52</v>
      </c>
      <c r="AT887" t="s">
        <v>52</v>
      </c>
      <c r="AU887" t="s">
        <v>64</v>
      </c>
      <c r="AV887" t="s">
        <v>62</v>
      </c>
      <c r="AW887" t="s">
        <v>65</v>
      </c>
      <c r="AX887" t="s">
        <v>66</v>
      </c>
      <c r="AY887" t="s">
        <v>76</v>
      </c>
    </row>
    <row r="888" spans="1:51" hidden="1" x14ac:dyDescent="0.25">
      <c r="A888">
        <v>202996</v>
      </c>
      <c r="B888" t="s">
        <v>3401</v>
      </c>
      <c r="C888" t="e">
        <f>VLOOKUP(A888,[1]Customer_payment_journal_line!$AL:$BO,30,0)</f>
        <v>#N/A</v>
      </c>
      <c r="D888" t="s">
        <v>53</v>
      </c>
      <c r="E888" t="s">
        <v>3402</v>
      </c>
      <c r="F888" t="s">
        <v>3403</v>
      </c>
      <c r="G888" t="s">
        <v>3069</v>
      </c>
      <c r="H888" t="s">
        <v>57</v>
      </c>
      <c r="I888" t="s">
        <v>319</v>
      </c>
      <c r="J888" t="s">
        <v>3404</v>
      </c>
      <c r="K888" t="s">
        <v>1390</v>
      </c>
      <c r="L888" t="s">
        <v>52</v>
      </c>
      <c r="M888">
        <v>22287</v>
      </c>
      <c r="N888">
        <v>0</v>
      </c>
      <c r="O888" t="s">
        <v>61</v>
      </c>
      <c r="P888">
        <v>100</v>
      </c>
      <c r="Q888" t="s">
        <v>52</v>
      </c>
      <c r="R888" t="s">
        <v>52</v>
      </c>
      <c r="S888" t="s">
        <v>52</v>
      </c>
      <c r="T888" t="s">
        <v>52</v>
      </c>
      <c r="U888" t="s">
        <v>52</v>
      </c>
      <c r="V888" t="s">
        <v>62</v>
      </c>
      <c r="W888" t="s">
        <v>63</v>
      </c>
      <c r="Y888" t="s">
        <v>52</v>
      </c>
      <c r="AB888" t="s">
        <v>52</v>
      </c>
      <c r="AE888" t="s">
        <v>52</v>
      </c>
      <c r="AF888" t="s">
        <v>52</v>
      </c>
      <c r="AH888">
        <v>0</v>
      </c>
      <c r="AI888">
        <v>0</v>
      </c>
      <c r="AJ888" t="s">
        <v>52</v>
      </c>
      <c r="AK888">
        <v>0</v>
      </c>
      <c r="AL888" t="s">
        <v>52</v>
      </c>
      <c r="AM888" t="s">
        <v>52</v>
      </c>
      <c r="AN888">
        <v>0</v>
      </c>
      <c r="AO888">
        <v>0</v>
      </c>
      <c r="AP888" t="s">
        <v>52</v>
      </c>
      <c r="AQ888" t="s">
        <v>52</v>
      </c>
      <c r="AR888" t="s">
        <v>62</v>
      </c>
      <c r="AS888" t="s">
        <v>52</v>
      </c>
      <c r="AT888" t="s">
        <v>52</v>
      </c>
      <c r="AU888" t="s">
        <v>64</v>
      </c>
      <c r="AV888" t="s">
        <v>62</v>
      </c>
      <c r="AW888" t="s">
        <v>65</v>
      </c>
      <c r="AX888" t="s">
        <v>66</v>
      </c>
      <c r="AY888" t="s">
        <v>67</v>
      </c>
    </row>
    <row r="889" spans="1:51" hidden="1" x14ac:dyDescent="0.25">
      <c r="A889">
        <v>202996</v>
      </c>
      <c r="B889" t="s">
        <v>3405</v>
      </c>
      <c r="C889" t="e">
        <f>VLOOKUP(A889,[1]Customer_payment_journal_line!$AL:$BO,30,0)</f>
        <v>#N/A</v>
      </c>
      <c r="D889" t="s">
        <v>53</v>
      </c>
      <c r="E889" t="s">
        <v>3402</v>
      </c>
      <c r="F889" t="s">
        <v>3403</v>
      </c>
      <c r="G889" t="s">
        <v>3069</v>
      </c>
      <c r="H889" t="s">
        <v>69</v>
      </c>
      <c r="I889" t="s">
        <v>1281</v>
      </c>
      <c r="J889" t="s">
        <v>3404</v>
      </c>
      <c r="K889" t="s">
        <v>1390</v>
      </c>
      <c r="L889" t="s">
        <v>52</v>
      </c>
      <c r="M889">
        <v>0</v>
      </c>
      <c r="N889">
        <v>22287</v>
      </c>
      <c r="O889" t="s">
        <v>61</v>
      </c>
      <c r="P889">
        <v>100</v>
      </c>
      <c r="Q889" t="s">
        <v>52</v>
      </c>
      <c r="R889" t="s">
        <v>52</v>
      </c>
      <c r="S889" t="s">
        <v>52</v>
      </c>
      <c r="T889" t="s">
        <v>52</v>
      </c>
      <c r="U889" t="s">
        <v>52</v>
      </c>
      <c r="V889" t="s">
        <v>62</v>
      </c>
      <c r="W889" t="s">
        <v>52</v>
      </c>
      <c r="Y889" t="s">
        <v>1282</v>
      </c>
      <c r="Z889" t="s">
        <v>62</v>
      </c>
      <c r="AB889" t="s">
        <v>3406</v>
      </c>
      <c r="AE889" t="s">
        <v>3407</v>
      </c>
      <c r="AF889" t="s">
        <v>52</v>
      </c>
      <c r="AH889">
        <v>0</v>
      </c>
      <c r="AI889">
        <v>0</v>
      </c>
      <c r="AJ889" t="s">
        <v>52</v>
      </c>
      <c r="AK889">
        <v>0</v>
      </c>
      <c r="AL889" t="s">
        <v>52</v>
      </c>
      <c r="AM889" t="s">
        <v>52</v>
      </c>
      <c r="AN889">
        <v>0</v>
      </c>
      <c r="AO889">
        <v>0</v>
      </c>
      <c r="AP889" t="s">
        <v>52</v>
      </c>
      <c r="AQ889" t="s">
        <v>52</v>
      </c>
      <c r="AR889" t="s">
        <v>62</v>
      </c>
      <c r="AS889" t="s">
        <v>52</v>
      </c>
      <c r="AT889" t="s">
        <v>74</v>
      </c>
      <c r="AU889" t="s">
        <v>64</v>
      </c>
      <c r="AV889" t="s">
        <v>62</v>
      </c>
      <c r="AW889" t="s">
        <v>65</v>
      </c>
      <c r="AX889" t="s">
        <v>66</v>
      </c>
      <c r="AY889" t="s">
        <v>67</v>
      </c>
    </row>
    <row r="890" spans="1:51" hidden="1" x14ac:dyDescent="0.25">
      <c r="A890">
        <v>202997</v>
      </c>
      <c r="B890" t="s">
        <v>3408</v>
      </c>
      <c r="C890" t="e">
        <f>VLOOKUP(A890,[1]Customer_payment_journal_line!$AL:$BO,30,0)</f>
        <v>#N/A</v>
      </c>
      <c r="D890" t="s">
        <v>53</v>
      </c>
      <c r="E890" t="s">
        <v>3409</v>
      </c>
      <c r="F890" t="s">
        <v>3410</v>
      </c>
      <c r="G890" t="s">
        <v>3069</v>
      </c>
      <c r="H890" t="s">
        <v>57</v>
      </c>
      <c r="I890" t="s">
        <v>319</v>
      </c>
      <c r="J890" t="s">
        <v>3411</v>
      </c>
      <c r="K890" t="s">
        <v>1390</v>
      </c>
      <c r="L890" t="s">
        <v>52</v>
      </c>
      <c r="M890">
        <v>5118.6000000000004</v>
      </c>
      <c r="N890">
        <v>0</v>
      </c>
      <c r="O890" t="s">
        <v>61</v>
      </c>
      <c r="P890">
        <v>100</v>
      </c>
      <c r="Q890" t="s">
        <v>52</v>
      </c>
      <c r="R890" t="s">
        <v>52</v>
      </c>
      <c r="S890" t="s">
        <v>52</v>
      </c>
      <c r="T890" t="s">
        <v>52</v>
      </c>
      <c r="U890" t="s">
        <v>52</v>
      </c>
      <c r="V890" t="s">
        <v>62</v>
      </c>
      <c r="W890" t="s">
        <v>63</v>
      </c>
      <c r="Y890" t="s">
        <v>52</v>
      </c>
      <c r="AB890" t="s">
        <v>52</v>
      </c>
      <c r="AE890" t="s">
        <v>52</v>
      </c>
      <c r="AF890" t="s">
        <v>52</v>
      </c>
      <c r="AH890">
        <v>0</v>
      </c>
      <c r="AI890">
        <v>0</v>
      </c>
      <c r="AJ890" t="s">
        <v>52</v>
      </c>
      <c r="AK890">
        <v>0</v>
      </c>
      <c r="AL890" t="s">
        <v>52</v>
      </c>
      <c r="AM890" t="s">
        <v>52</v>
      </c>
      <c r="AN890">
        <v>0</v>
      </c>
      <c r="AO890">
        <v>0</v>
      </c>
      <c r="AP890" t="s">
        <v>52</v>
      </c>
      <c r="AQ890" t="s">
        <v>52</v>
      </c>
      <c r="AR890" t="s">
        <v>62</v>
      </c>
      <c r="AS890" t="s">
        <v>52</v>
      </c>
      <c r="AT890" t="s">
        <v>52</v>
      </c>
      <c r="AU890" t="s">
        <v>64</v>
      </c>
      <c r="AV890" t="s">
        <v>62</v>
      </c>
      <c r="AW890" t="s">
        <v>65</v>
      </c>
      <c r="AX890" t="s">
        <v>66</v>
      </c>
      <c r="AY890" t="s">
        <v>67</v>
      </c>
    </row>
    <row r="891" spans="1:51" hidden="1" x14ac:dyDescent="0.25">
      <c r="A891">
        <v>202997</v>
      </c>
      <c r="B891" t="s">
        <v>3412</v>
      </c>
      <c r="C891" t="e">
        <f>VLOOKUP(A891,[1]Customer_payment_journal_line!$AL:$BO,30,0)</f>
        <v>#N/A</v>
      </c>
      <c r="D891" t="s">
        <v>53</v>
      </c>
      <c r="E891" t="s">
        <v>3409</v>
      </c>
      <c r="F891" t="s">
        <v>3410</v>
      </c>
      <c r="G891" t="s">
        <v>3069</v>
      </c>
      <c r="H891" t="s">
        <v>69</v>
      </c>
      <c r="I891" t="s">
        <v>1281</v>
      </c>
      <c r="J891" t="s">
        <v>3411</v>
      </c>
      <c r="K891" t="s">
        <v>1390</v>
      </c>
      <c r="L891" t="s">
        <v>52</v>
      </c>
      <c r="M891">
        <v>0</v>
      </c>
      <c r="N891">
        <v>5118.6000000000004</v>
      </c>
      <c r="O891" t="s">
        <v>61</v>
      </c>
      <c r="P891">
        <v>100</v>
      </c>
      <c r="Q891" t="s">
        <v>52</v>
      </c>
      <c r="R891" t="s">
        <v>52</v>
      </c>
      <c r="S891" t="s">
        <v>52</v>
      </c>
      <c r="T891" t="s">
        <v>52</v>
      </c>
      <c r="U891" t="s">
        <v>52</v>
      </c>
      <c r="V891" t="s">
        <v>62</v>
      </c>
      <c r="W891" t="s">
        <v>52</v>
      </c>
      <c r="Y891" t="s">
        <v>1282</v>
      </c>
      <c r="Z891" t="s">
        <v>62</v>
      </c>
      <c r="AB891" t="s">
        <v>3413</v>
      </c>
      <c r="AE891" t="s">
        <v>3414</v>
      </c>
      <c r="AF891" t="s">
        <v>52</v>
      </c>
      <c r="AH891">
        <v>0</v>
      </c>
      <c r="AI891">
        <v>0</v>
      </c>
      <c r="AJ891" t="s">
        <v>52</v>
      </c>
      <c r="AK891">
        <v>0</v>
      </c>
      <c r="AL891" t="s">
        <v>52</v>
      </c>
      <c r="AM891" t="s">
        <v>52</v>
      </c>
      <c r="AN891">
        <v>0</v>
      </c>
      <c r="AO891">
        <v>0</v>
      </c>
      <c r="AP891" t="s">
        <v>52</v>
      </c>
      <c r="AQ891" t="s">
        <v>52</v>
      </c>
      <c r="AR891" t="s">
        <v>62</v>
      </c>
      <c r="AS891" t="s">
        <v>52</v>
      </c>
      <c r="AT891" t="s">
        <v>74</v>
      </c>
      <c r="AU891" t="s">
        <v>64</v>
      </c>
      <c r="AV891" t="s">
        <v>62</v>
      </c>
      <c r="AW891" t="s">
        <v>65</v>
      </c>
      <c r="AX891" t="s">
        <v>66</v>
      </c>
      <c r="AY891" t="s">
        <v>67</v>
      </c>
    </row>
    <row r="892" spans="1:51" hidden="1" x14ac:dyDescent="0.25">
      <c r="A892">
        <v>406035</v>
      </c>
      <c r="B892" t="s">
        <v>3415</v>
      </c>
      <c r="C892" t="e">
        <f>VLOOKUP(A892,[1]Customer_payment_journal_line!$AL:$BO,30,0)</f>
        <v>#N/A</v>
      </c>
      <c r="D892" t="s">
        <v>53</v>
      </c>
      <c r="E892" t="s">
        <v>3416</v>
      </c>
      <c r="F892" t="s">
        <v>3417</v>
      </c>
      <c r="G892" t="s">
        <v>3069</v>
      </c>
      <c r="H892" t="s">
        <v>57</v>
      </c>
      <c r="I892" t="s">
        <v>58</v>
      </c>
      <c r="J892" t="s">
        <v>3418</v>
      </c>
      <c r="K892" t="s">
        <v>3419</v>
      </c>
      <c r="L892" t="s">
        <v>52</v>
      </c>
      <c r="M892">
        <v>1231.2</v>
      </c>
      <c r="N892">
        <v>0</v>
      </c>
      <c r="O892" t="s">
        <v>61</v>
      </c>
      <c r="P892">
        <v>100</v>
      </c>
      <c r="Q892" t="s">
        <v>52</v>
      </c>
      <c r="R892" t="s">
        <v>52</v>
      </c>
      <c r="S892" t="s">
        <v>52</v>
      </c>
      <c r="T892" t="s">
        <v>52</v>
      </c>
      <c r="U892" t="s">
        <v>52</v>
      </c>
      <c r="V892" t="s">
        <v>62</v>
      </c>
      <c r="W892" t="s">
        <v>63</v>
      </c>
      <c r="Y892" t="s">
        <v>52</v>
      </c>
      <c r="AB892" t="s">
        <v>52</v>
      </c>
      <c r="AE892" t="s">
        <v>52</v>
      </c>
      <c r="AF892" t="s">
        <v>52</v>
      </c>
      <c r="AH892">
        <v>0</v>
      </c>
      <c r="AI892">
        <v>0</v>
      </c>
      <c r="AJ892" t="s">
        <v>52</v>
      </c>
      <c r="AK892">
        <v>0</v>
      </c>
      <c r="AL892" t="s">
        <v>52</v>
      </c>
      <c r="AM892" t="s">
        <v>52</v>
      </c>
      <c r="AN892">
        <v>0</v>
      </c>
      <c r="AO892">
        <v>0</v>
      </c>
      <c r="AP892" t="s">
        <v>52</v>
      </c>
      <c r="AQ892" t="s">
        <v>52</v>
      </c>
      <c r="AR892" t="s">
        <v>62</v>
      </c>
      <c r="AS892" t="s">
        <v>52</v>
      </c>
      <c r="AT892" t="s">
        <v>52</v>
      </c>
      <c r="AU892" t="s">
        <v>64</v>
      </c>
      <c r="AV892" t="s">
        <v>62</v>
      </c>
      <c r="AW892" t="s">
        <v>65</v>
      </c>
      <c r="AX892" t="s">
        <v>66</v>
      </c>
      <c r="AY892" t="s">
        <v>67</v>
      </c>
    </row>
    <row r="893" spans="1:51" hidden="1" x14ac:dyDescent="0.25">
      <c r="A893">
        <v>406035</v>
      </c>
      <c r="B893" t="s">
        <v>3420</v>
      </c>
      <c r="C893" t="e">
        <f>VLOOKUP(A893,[1]Customer_payment_journal_line!$AL:$BO,30,0)</f>
        <v>#N/A</v>
      </c>
      <c r="D893" t="s">
        <v>53</v>
      </c>
      <c r="E893" t="s">
        <v>3416</v>
      </c>
      <c r="F893" t="s">
        <v>3417</v>
      </c>
      <c r="G893" t="s">
        <v>3069</v>
      </c>
      <c r="H893" t="s">
        <v>69</v>
      </c>
      <c r="I893" t="s">
        <v>1085</v>
      </c>
      <c r="J893" t="s">
        <v>3418</v>
      </c>
      <c r="K893" t="s">
        <v>3419</v>
      </c>
      <c r="L893" t="s">
        <v>52</v>
      </c>
      <c r="M893">
        <v>0</v>
      </c>
      <c r="N893">
        <v>1231.2</v>
      </c>
      <c r="O893" t="s">
        <v>61</v>
      </c>
      <c r="P893">
        <v>100</v>
      </c>
      <c r="Q893" t="s">
        <v>52</v>
      </c>
      <c r="R893" t="s">
        <v>52</v>
      </c>
      <c r="S893" t="s">
        <v>52</v>
      </c>
      <c r="T893" t="s">
        <v>52</v>
      </c>
      <c r="U893" t="s">
        <v>52</v>
      </c>
      <c r="V893" t="s">
        <v>62</v>
      </c>
      <c r="W893" t="s">
        <v>52</v>
      </c>
      <c r="Y893" t="s">
        <v>1086</v>
      </c>
      <c r="Z893" t="s">
        <v>62</v>
      </c>
      <c r="AB893" t="s">
        <v>3421</v>
      </c>
      <c r="AE893" t="s">
        <v>3422</v>
      </c>
      <c r="AF893" t="s">
        <v>52</v>
      </c>
      <c r="AH893">
        <v>0</v>
      </c>
      <c r="AI893">
        <v>0</v>
      </c>
      <c r="AJ893" t="s">
        <v>52</v>
      </c>
      <c r="AK893">
        <v>0</v>
      </c>
      <c r="AL893" t="s">
        <v>52</v>
      </c>
      <c r="AM893" t="s">
        <v>52</v>
      </c>
      <c r="AN893">
        <v>0</v>
      </c>
      <c r="AO893">
        <v>0</v>
      </c>
      <c r="AP893" t="s">
        <v>52</v>
      </c>
      <c r="AQ893" t="s">
        <v>52</v>
      </c>
      <c r="AR893" t="s">
        <v>62</v>
      </c>
      <c r="AS893" t="s">
        <v>52</v>
      </c>
      <c r="AT893" t="s">
        <v>74</v>
      </c>
      <c r="AU893" t="s">
        <v>64</v>
      </c>
      <c r="AV893" t="s">
        <v>62</v>
      </c>
      <c r="AW893" t="s">
        <v>65</v>
      </c>
      <c r="AX893" t="s">
        <v>66</v>
      </c>
      <c r="AY893" t="s">
        <v>67</v>
      </c>
    </row>
    <row r="894" spans="1:51" hidden="1" x14ac:dyDescent="0.25">
      <c r="A894">
        <v>406036</v>
      </c>
      <c r="B894" t="s">
        <v>3423</v>
      </c>
      <c r="C894" t="e">
        <f>VLOOKUP(A894,[1]Customer_payment_journal_line!$AL:$BO,30,0)</f>
        <v>#N/A</v>
      </c>
      <c r="D894" t="s">
        <v>53</v>
      </c>
      <c r="E894" t="s">
        <v>3424</v>
      </c>
      <c r="F894" t="s">
        <v>3425</v>
      </c>
      <c r="G894" t="s">
        <v>3069</v>
      </c>
      <c r="H894" t="s">
        <v>57</v>
      </c>
      <c r="I894" t="s">
        <v>58</v>
      </c>
      <c r="J894" t="s">
        <v>3418</v>
      </c>
      <c r="K894" t="s">
        <v>3419</v>
      </c>
      <c r="L894" t="s">
        <v>52</v>
      </c>
      <c r="M894">
        <v>855</v>
      </c>
      <c r="N894">
        <v>0</v>
      </c>
      <c r="O894" t="s">
        <v>61</v>
      </c>
      <c r="P894">
        <v>100</v>
      </c>
      <c r="Q894" t="s">
        <v>52</v>
      </c>
      <c r="R894" t="s">
        <v>52</v>
      </c>
      <c r="S894" t="s">
        <v>52</v>
      </c>
      <c r="T894" t="s">
        <v>52</v>
      </c>
      <c r="U894" t="s">
        <v>52</v>
      </c>
      <c r="V894" t="s">
        <v>62</v>
      </c>
      <c r="W894" t="s">
        <v>63</v>
      </c>
      <c r="Y894" t="s">
        <v>52</v>
      </c>
      <c r="AB894" t="s">
        <v>52</v>
      </c>
      <c r="AE894" t="s">
        <v>52</v>
      </c>
      <c r="AF894" t="s">
        <v>52</v>
      </c>
      <c r="AH894">
        <v>0</v>
      </c>
      <c r="AI894">
        <v>0</v>
      </c>
      <c r="AJ894" t="s">
        <v>52</v>
      </c>
      <c r="AK894">
        <v>0</v>
      </c>
      <c r="AL894" t="s">
        <v>52</v>
      </c>
      <c r="AM894" t="s">
        <v>52</v>
      </c>
      <c r="AN894">
        <v>0</v>
      </c>
      <c r="AO894">
        <v>0</v>
      </c>
      <c r="AP894" t="s">
        <v>52</v>
      </c>
      <c r="AQ894" t="s">
        <v>52</v>
      </c>
      <c r="AR894" t="s">
        <v>62</v>
      </c>
      <c r="AS894" t="s">
        <v>52</v>
      </c>
      <c r="AT894" t="s">
        <v>52</v>
      </c>
      <c r="AU894" t="s">
        <v>64</v>
      </c>
      <c r="AV894" t="s">
        <v>62</v>
      </c>
      <c r="AW894" t="s">
        <v>65</v>
      </c>
      <c r="AX894" t="s">
        <v>66</v>
      </c>
      <c r="AY894" t="s">
        <v>67</v>
      </c>
    </row>
    <row r="895" spans="1:51" hidden="1" x14ac:dyDescent="0.25">
      <c r="A895">
        <v>406036</v>
      </c>
      <c r="B895" t="s">
        <v>3426</v>
      </c>
      <c r="C895" t="e">
        <f>VLOOKUP(A895,[1]Customer_payment_journal_line!$AL:$BO,30,0)</f>
        <v>#N/A</v>
      </c>
      <c r="D895" t="s">
        <v>53</v>
      </c>
      <c r="E895" t="s">
        <v>3424</v>
      </c>
      <c r="F895" t="s">
        <v>3425</v>
      </c>
      <c r="G895" t="s">
        <v>3069</v>
      </c>
      <c r="H895" t="s">
        <v>69</v>
      </c>
      <c r="I895" t="s">
        <v>1085</v>
      </c>
      <c r="J895" t="s">
        <v>3418</v>
      </c>
      <c r="K895" t="s">
        <v>3419</v>
      </c>
      <c r="L895" t="s">
        <v>52</v>
      </c>
      <c r="M895">
        <v>0</v>
      </c>
      <c r="N895">
        <v>855</v>
      </c>
      <c r="O895" t="s">
        <v>61</v>
      </c>
      <c r="P895">
        <v>100</v>
      </c>
      <c r="Q895" t="s">
        <v>52</v>
      </c>
      <c r="R895" t="s">
        <v>52</v>
      </c>
      <c r="S895" t="s">
        <v>52</v>
      </c>
      <c r="T895" t="s">
        <v>52</v>
      </c>
      <c r="U895" t="s">
        <v>52</v>
      </c>
      <c r="V895" t="s">
        <v>62</v>
      </c>
      <c r="W895" t="s">
        <v>52</v>
      </c>
      <c r="Y895" t="s">
        <v>1086</v>
      </c>
      <c r="Z895" t="s">
        <v>62</v>
      </c>
      <c r="AB895" t="s">
        <v>3427</v>
      </c>
      <c r="AE895" t="s">
        <v>3428</v>
      </c>
      <c r="AF895" t="s">
        <v>52</v>
      </c>
      <c r="AH895">
        <v>0</v>
      </c>
      <c r="AI895">
        <v>0</v>
      </c>
      <c r="AJ895" t="s">
        <v>52</v>
      </c>
      <c r="AK895">
        <v>0</v>
      </c>
      <c r="AL895" t="s">
        <v>52</v>
      </c>
      <c r="AM895" t="s">
        <v>52</v>
      </c>
      <c r="AN895">
        <v>0</v>
      </c>
      <c r="AO895">
        <v>0</v>
      </c>
      <c r="AP895" t="s">
        <v>52</v>
      </c>
      <c r="AQ895" t="s">
        <v>52</v>
      </c>
      <c r="AR895" t="s">
        <v>62</v>
      </c>
      <c r="AS895" t="s">
        <v>52</v>
      </c>
      <c r="AT895" t="s">
        <v>74</v>
      </c>
      <c r="AU895" t="s">
        <v>64</v>
      </c>
      <c r="AV895" t="s">
        <v>62</v>
      </c>
      <c r="AW895" t="s">
        <v>65</v>
      </c>
      <c r="AX895" t="s">
        <v>66</v>
      </c>
      <c r="AY895" t="s">
        <v>67</v>
      </c>
    </row>
    <row r="896" spans="1:51" hidden="1" x14ac:dyDescent="0.25">
      <c r="A896">
        <v>406037</v>
      </c>
      <c r="B896" t="s">
        <v>3429</v>
      </c>
      <c r="C896" t="e">
        <f>VLOOKUP(A896,[1]Customer_payment_journal_line!$AL:$BO,30,0)</f>
        <v>#N/A</v>
      </c>
      <c r="D896" t="s">
        <v>53</v>
      </c>
      <c r="E896" t="s">
        <v>3430</v>
      </c>
      <c r="F896" t="s">
        <v>3431</v>
      </c>
      <c r="G896" t="s">
        <v>3069</v>
      </c>
      <c r="H896" t="s">
        <v>57</v>
      </c>
      <c r="I896" t="s">
        <v>1349</v>
      </c>
      <c r="J896" t="s">
        <v>3432</v>
      </c>
      <c r="K896" t="s">
        <v>2539</v>
      </c>
      <c r="L896" t="s">
        <v>52</v>
      </c>
      <c r="M896">
        <v>2183.1</v>
      </c>
      <c r="N896">
        <v>0</v>
      </c>
      <c r="O896" t="s">
        <v>61</v>
      </c>
      <c r="P896">
        <v>100</v>
      </c>
      <c r="Q896" t="s">
        <v>52</v>
      </c>
      <c r="R896" t="s">
        <v>52</v>
      </c>
      <c r="S896" t="s">
        <v>52</v>
      </c>
      <c r="T896" t="s">
        <v>52</v>
      </c>
      <c r="U896" t="s">
        <v>52</v>
      </c>
      <c r="V896" t="s">
        <v>62</v>
      </c>
      <c r="W896" t="s">
        <v>63</v>
      </c>
      <c r="Y896" t="s">
        <v>52</v>
      </c>
      <c r="AB896" t="s">
        <v>52</v>
      </c>
      <c r="AE896" t="s">
        <v>52</v>
      </c>
      <c r="AF896" t="s">
        <v>52</v>
      </c>
      <c r="AH896">
        <v>0</v>
      </c>
      <c r="AI896">
        <v>0</v>
      </c>
      <c r="AJ896" t="s">
        <v>52</v>
      </c>
      <c r="AK896">
        <v>0</v>
      </c>
      <c r="AL896" t="s">
        <v>52</v>
      </c>
      <c r="AM896" t="s">
        <v>52</v>
      </c>
      <c r="AN896">
        <v>0</v>
      </c>
      <c r="AO896">
        <v>0</v>
      </c>
      <c r="AP896" t="s">
        <v>52</v>
      </c>
      <c r="AQ896" t="s">
        <v>52</v>
      </c>
      <c r="AR896" t="s">
        <v>62</v>
      </c>
      <c r="AS896" t="s">
        <v>52</v>
      </c>
      <c r="AT896" t="s">
        <v>52</v>
      </c>
      <c r="AU896" t="s">
        <v>64</v>
      </c>
      <c r="AV896" t="s">
        <v>62</v>
      </c>
      <c r="AW896" t="s">
        <v>65</v>
      </c>
      <c r="AX896" t="s">
        <v>66</v>
      </c>
      <c r="AY896" t="s">
        <v>67</v>
      </c>
    </row>
    <row r="897" spans="1:51" hidden="1" x14ac:dyDescent="0.25">
      <c r="A897">
        <v>406037</v>
      </c>
      <c r="B897" t="s">
        <v>3433</v>
      </c>
      <c r="C897" t="e">
        <f>VLOOKUP(A897,[1]Customer_payment_journal_line!$AL:$BO,30,0)</f>
        <v>#N/A</v>
      </c>
      <c r="D897" t="s">
        <v>53</v>
      </c>
      <c r="E897" t="s">
        <v>3430</v>
      </c>
      <c r="F897" t="s">
        <v>3431</v>
      </c>
      <c r="G897" t="s">
        <v>3069</v>
      </c>
      <c r="H897" t="s">
        <v>69</v>
      </c>
      <c r="I897" t="s">
        <v>339</v>
      </c>
      <c r="J897" t="s">
        <v>3432</v>
      </c>
      <c r="K897" t="s">
        <v>2539</v>
      </c>
      <c r="L897" t="s">
        <v>52</v>
      </c>
      <c r="M897">
        <v>0</v>
      </c>
      <c r="N897">
        <v>2183.1</v>
      </c>
      <c r="O897" t="s">
        <v>61</v>
      </c>
      <c r="P897">
        <v>100</v>
      </c>
      <c r="Q897" t="s">
        <v>52</v>
      </c>
      <c r="R897" t="s">
        <v>52</v>
      </c>
      <c r="S897" t="s">
        <v>52</v>
      </c>
      <c r="T897" t="s">
        <v>52</v>
      </c>
      <c r="U897" t="s">
        <v>52</v>
      </c>
      <c r="V897" t="s">
        <v>62</v>
      </c>
      <c r="W897" t="s">
        <v>52</v>
      </c>
      <c r="Y897" t="s">
        <v>340</v>
      </c>
      <c r="Z897" t="s">
        <v>62</v>
      </c>
      <c r="AB897" t="s">
        <v>3434</v>
      </c>
      <c r="AE897" t="s">
        <v>3435</v>
      </c>
      <c r="AF897" t="s">
        <v>52</v>
      </c>
      <c r="AH897">
        <v>0</v>
      </c>
      <c r="AI897">
        <v>0</v>
      </c>
      <c r="AJ897" t="s">
        <v>52</v>
      </c>
      <c r="AK897">
        <v>0</v>
      </c>
      <c r="AL897" t="s">
        <v>52</v>
      </c>
      <c r="AM897" t="s">
        <v>52</v>
      </c>
      <c r="AN897">
        <v>0</v>
      </c>
      <c r="AO897">
        <v>0</v>
      </c>
      <c r="AP897" t="s">
        <v>52</v>
      </c>
      <c r="AQ897" t="s">
        <v>52</v>
      </c>
      <c r="AR897" t="s">
        <v>62</v>
      </c>
      <c r="AS897" t="s">
        <v>52</v>
      </c>
      <c r="AT897" t="s">
        <v>74</v>
      </c>
      <c r="AU897" t="s">
        <v>64</v>
      </c>
      <c r="AV897" t="s">
        <v>62</v>
      </c>
      <c r="AW897" t="s">
        <v>65</v>
      </c>
      <c r="AX897" t="s">
        <v>66</v>
      </c>
      <c r="AY897" t="s">
        <v>67</v>
      </c>
    </row>
    <row r="898" spans="1:51" hidden="1" x14ac:dyDescent="0.25">
      <c r="A898">
        <v>406038</v>
      </c>
      <c r="B898" t="s">
        <v>3436</v>
      </c>
      <c r="C898" t="e">
        <f>VLOOKUP(A898,[1]Customer_payment_journal_line!$AL:$BO,30,0)</f>
        <v>#N/A</v>
      </c>
      <c r="D898" t="s">
        <v>53</v>
      </c>
      <c r="E898" t="s">
        <v>3437</v>
      </c>
      <c r="F898" t="s">
        <v>3438</v>
      </c>
      <c r="G898" t="s">
        <v>3069</v>
      </c>
      <c r="H898" t="s">
        <v>57</v>
      </c>
      <c r="I898" t="s">
        <v>58</v>
      </c>
      <c r="J898" t="s">
        <v>3439</v>
      </c>
      <c r="K898" t="s">
        <v>3440</v>
      </c>
      <c r="L898" t="s">
        <v>52</v>
      </c>
      <c r="M898">
        <v>12312</v>
      </c>
      <c r="N898">
        <v>0</v>
      </c>
      <c r="O898" t="s">
        <v>61</v>
      </c>
      <c r="P898">
        <v>100</v>
      </c>
      <c r="Q898" t="s">
        <v>52</v>
      </c>
      <c r="R898" t="s">
        <v>52</v>
      </c>
      <c r="S898" t="s">
        <v>52</v>
      </c>
      <c r="T898" t="s">
        <v>52</v>
      </c>
      <c r="U898" t="s">
        <v>52</v>
      </c>
      <c r="V898" t="s">
        <v>62</v>
      </c>
      <c r="W898" t="s">
        <v>63</v>
      </c>
      <c r="Y898" t="s">
        <v>52</v>
      </c>
      <c r="AB898" t="s">
        <v>52</v>
      </c>
      <c r="AE898" t="s">
        <v>52</v>
      </c>
      <c r="AF898" t="s">
        <v>52</v>
      </c>
      <c r="AH898">
        <v>0</v>
      </c>
      <c r="AI898">
        <v>0</v>
      </c>
      <c r="AJ898" t="s">
        <v>52</v>
      </c>
      <c r="AK898">
        <v>0</v>
      </c>
      <c r="AL898" t="s">
        <v>52</v>
      </c>
      <c r="AM898" t="s">
        <v>52</v>
      </c>
      <c r="AN898">
        <v>0</v>
      </c>
      <c r="AO898">
        <v>0</v>
      </c>
      <c r="AP898" t="s">
        <v>52</v>
      </c>
      <c r="AQ898" t="s">
        <v>52</v>
      </c>
      <c r="AR898" t="s">
        <v>62</v>
      </c>
      <c r="AS898" t="s">
        <v>52</v>
      </c>
      <c r="AT898" t="s">
        <v>52</v>
      </c>
      <c r="AU898" t="s">
        <v>64</v>
      </c>
      <c r="AV898" t="s">
        <v>62</v>
      </c>
      <c r="AW898" t="s">
        <v>65</v>
      </c>
      <c r="AX898" t="s">
        <v>66</v>
      </c>
      <c r="AY898" t="s">
        <v>67</v>
      </c>
    </row>
    <row r="899" spans="1:51" hidden="1" x14ac:dyDescent="0.25">
      <c r="A899">
        <v>406038</v>
      </c>
      <c r="B899" t="s">
        <v>3441</v>
      </c>
      <c r="C899" t="e">
        <f>VLOOKUP(A899,[1]Customer_payment_journal_line!$AL:$BO,30,0)</f>
        <v>#N/A</v>
      </c>
      <c r="D899" t="s">
        <v>53</v>
      </c>
      <c r="E899" t="s">
        <v>3437</v>
      </c>
      <c r="F899" t="s">
        <v>3438</v>
      </c>
      <c r="G899" t="s">
        <v>3069</v>
      </c>
      <c r="H899" t="s">
        <v>69</v>
      </c>
      <c r="I899" t="s">
        <v>3442</v>
      </c>
      <c r="J899" t="s">
        <v>3439</v>
      </c>
      <c r="K899" t="s">
        <v>3440</v>
      </c>
      <c r="L899" t="s">
        <v>52</v>
      </c>
      <c r="M899">
        <v>0</v>
      </c>
      <c r="N899">
        <v>12312</v>
      </c>
      <c r="O899" t="s">
        <v>61</v>
      </c>
      <c r="P899">
        <v>100</v>
      </c>
      <c r="Q899" t="s">
        <v>52</v>
      </c>
      <c r="R899" t="s">
        <v>52</v>
      </c>
      <c r="S899" t="s">
        <v>52</v>
      </c>
      <c r="T899" t="s">
        <v>52</v>
      </c>
      <c r="U899" t="s">
        <v>52</v>
      </c>
      <c r="V899" t="s">
        <v>62</v>
      </c>
      <c r="W899" t="s">
        <v>52</v>
      </c>
      <c r="Y899" t="s">
        <v>3443</v>
      </c>
      <c r="Z899" t="s">
        <v>62</v>
      </c>
      <c r="AB899" t="s">
        <v>3444</v>
      </c>
      <c r="AE899" t="s">
        <v>3445</v>
      </c>
      <c r="AF899" t="s">
        <v>52</v>
      </c>
      <c r="AH899">
        <v>0</v>
      </c>
      <c r="AI899">
        <v>0</v>
      </c>
      <c r="AJ899" t="s">
        <v>52</v>
      </c>
      <c r="AK899">
        <v>0</v>
      </c>
      <c r="AL899" t="s">
        <v>52</v>
      </c>
      <c r="AM899" t="s">
        <v>52</v>
      </c>
      <c r="AN899">
        <v>0</v>
      </c>
      <c r="AO899">
        <v>0</v>
      </c>
      <c r="AP899" t="s">
        <v>52</v>
      </c>
      <c r="AQ899" t="s">
        <v>52</v>
      </c>
      <c r="AR899" t="s">
        <v>62</v>
      </c>
      <c r="AS899" t="s">
        <v>52</v>
      </c>
      <c r="AT899" t="s">
        <v>74</v>
      </c>
      <c r="AU899" t="s">
        <v>64</v>
      </c>
      <c r="AV899" t="s">
        <v>62</v>
      </c>
      <c r="AW899" t="s">
        <v>65</v>
      </c>
      <c r="AX899" t="s">
        <v>66</v>
      </c>
      <c r="AY899" t="s">
        <v>67</v>
      </c>
    </row>
    <row r="900" spans="1:51" hidden="1" x14ac:dyDescent="0.25">
      <c r="A900">
        <v>406039</v>
      </c>
      <c r="B900" t="s">
        <v>3446</v>
      </c>
      <c r="C900" t="e">
        <f>VLOOKUP(A900,[1]Customer_payment_journal_line!$AL:$BO,30,0)</f>
        <v>#N/A</v>
      </c>
      <c r="D900" t="s">
        <v>53</v>
      </c>
      <c r="E900" t="s">
        <v>3447</v>
      </c>
      <c r="F900" t="s">
        <v>3448</v>
      </c>
      <c r="G900" t="s">
        <v>3069</v>
      </c>
      <c r="H900" t="s">
        <v>57</v>
      </c>
      <c r="I900" t="s">
        <v>58</v>
      </c>
      <c r="J900" t="s">
        <v>3439</v>
      </c>
      <c r="K900" t="s">
        <v>3440</v>
      </c>
      <c r="L900" t="s">
        <v>52</v>
      </c>
      <c r="M900">
        <v>855</v>
      </c>
      <c r="N900">
        <v>0</v>
      </c>
      <c r="O900" t="s">
        <v>61</v>
      </c>
      <c r="P900">
        <v>100</v>
      </c>
      <c r="Q900" t="s">
        <v>52</v>
      </c>
      <c r="R900" t="s">
        <v>52</v>
      </c>
      <c r="S900" t="s">
        <v>52</v>
      </c>
      <c r="T900" t="s">
        <v>52</v>
      </c>
      <c r="U900" t="s">
        <v>52</v>
      </c>
      <c r="V900" t="s">
        <v>62</v>
      </c>
      <c r="W900" t="s">
        <v>63</v>
      </c>
      <c r="Y900" t="s">
        <v>52</v>
      </c>
      <c r="AB900" t="s">
        <v>52</v>
      </c>
      <c r="AE900" t="s">
        <v>52</v>
      </c>
      <c r="AF900" t="s">
        <v>52</v>
      </c>
      <c r="AH900">
        <v>0</v>
      </c>
      <c r="AI900">
        <v>0</v>
      </c>
      <c r="AJ900" t="s">
        <v>52</v>
      </c>
      <c r="AK900">
        <v>0</v>
      </c>
      <c r="AL900" t="s">
        <v>52</v>
      </c>
      <c r="AM900" t="s">
        <v>52</v>
      </c>
      <c r="AN900">
        <v>0</v>
      </c>
      <c r="AO900">
        <v>0</v>
      </c>
      <c r="AP900" t="s">
        <v>52</v>
      </c>
      <c r="AQ900" t="s">
        <v>52</v>
      </c>
      <c r="AR900" t="s">
        <v>62</v>
      </c>
      <c r="AS900" t="s">
        <v>52</v>
      </c>
      <c r="AT900" t="s">
        <v>52</v>
      </c>
      <c r="AU900" t="s">
        <v>64</v>
      </c>
      <c r="AV900" t="s">
        <v>62</v>
      </c>
      <c r="AW900" t="s">
        <v>65</v>
      </c>
      <c r="AX900" t="s">
        <v>66</v>
      </c>
      <c r="AY900" t="s">
        <v>67</v>
      </c>
    </row>
    <row r="901" spans="1:51" hidden="1" x14ac:dyDescent="0.25">
      <c r="A901">
        <v>406039</v>
      </c>
      <c r="B901" t="s">
        <v>3449</v>
      </c>
      <c r="C901" t="e">
        <f>VLOOKUP(A901,[1]Customer_payment_journal_line!$AL:$BO,30,0)</f>
        <v>#N/A</v>
      </c>
      <c r="D901" t="s">
        <v>53</v>
      </c>
      <c r="E901" t="s">
        <v>3447</v>
      </c>
      <c r="F901" t="s">
        <v>3448</v>
      </c>
      <c r="G901" t="s">
        <v>3069</v>
      </c>
      <c r="H901" t="s">
        <v>69</v>
      </c>
      <c r="I901" t="s">
        <v>3442</v>
      </c>
      <c r="J901" t="s">
        <v>3439</v>
      </c>
      <c r="K901" t="s">
        <v>3440</v>
      </c>
      <c r="L901" t="s">
        <v>52</v>
      </c>
      <c r="M901">
        <v>0</v>
      </c>
      <c r="N901">
        <v>855</v>
      </c>
      <c r="O901" t="s">
        <v>61</v>
      </c>
      <c r="P901">
        <v>100</v>
      </c>
      <c r="Q901" t="s">
        <v>52</v>
      </c>
      <c r="R901" t="s">
        <v>52</v>
      </c>
      <c r="S901" t="s">
        <v>52</v>
      </c>
      <c r="T901" t="s">
        <v>52</v>
      </c>
      <c r="U901" t="s">
        <v>52</v>
      </c>
      <c r="V901" t="s">
        <v>62</v>
      </c>
      <c r="W901" t="s">
        <v>52</v>
      </c>
      <c r="Y901" t="s">
        <v>3443</v>
      </c>
      <c r="Z901" t="s">
        <v>62</v>
      </c>
      <c r="AB901" t="s">
        <v>3450</v>
      </c>
      <c r="AE901" t="s">
        <v>3451</v>
      </c>
      <c r="AF901" t="s">
        <v>52</v>
      </c>
      <c r="AH901">
        <v>0</v>
      </c>
      <c r="AI901">
        <v>0</v>
      </c>
      <c r="AJ901" t="s">
        <v>52</v>
      </c>
      <c r="AK901">
        <v>0</v>
      </c>
      <c r="AL901" t="s">
        <v>52</v>
      </c>
      <c r="AM901" t="s">
        <v>52</v>
      </c>
      <c r="AN901">
        <v>0</v>
      </c>
      <c r="AO901">
        <v>0</v>
      </c>
      <c r="AP901" t="s">
        <v>52</v>
      </c>
      <c r="AQ901" t="s">
        <v>52</v>
      </c>
      <c r="AR901" t="s">
        <v>62</v>
      </c>
      <c r="AS901" t="s">
        <v>52</v>
      </c>
      <c r="AT901" t="s">
        <v>74</v>
      </c>
      <c r="AU901" t="s">
        <v>64</v>
      </c>
      <c r="AV901" t="s">
        <v>62</v>
      </c>
      <c r="AW901" t="s">
        <v>65</v>
      </c>
      <c r="AX901" t="s">
        <v>66</v>
      </c>
      <c r="AY901" t="s">
        <v>67</v>
      </c>
    </row>
    <row r="902" spans="1:51" hidden="1" x14ac:dyDescent="0.25">
      <c r="A902">
        <v>203059</v>
      </c>
      <c r="B902" t="s">
        <v>3452</v>
      </c>
      <c r="C902" t="e">
        <f>VLOOKUP(A902,[1]Customer_payment_journal_line!$AL:$BO,30,0)</f>
        <v>#N/A</v>
      </c>
      <c r="D902" t="s">
        <v>644</v>
      </c>
      <c r="E902" t="s">
        <v>3453</v>
      </c>
      <c r="F902" t="s">
        <v>3454</v>
      </c>
      <c r="G902" t="s">
        <v>3455</v>
      </c>
      <c r="H902" t="s">
        <v>69</v>
      </c>
      <c r="I902" t="s">
        <v>769</v>
      </c>
      <c r="J902" t="s">
        <v>3456</v>
      </c>
      <c r="K902" t="s">
        <v>3457</v>
      </c>
      <c r="L902" t="s">
        <v>52</v>
      </c>
      <c r="M902">
        <v>0</v>
      </c>
      <c r="N902">
        <v>2280</v>
      </c>
      <c r="O902" t="s">
        <v>61</v>
      </c>
      <c r="P902">
        <v>100</v>
      </c>
      <c r="Q902" t="s">
        <v>52</v>
      </c>
      <c r="R902" t="s">
        <v>52</v>
      </c>
      <c r="S902" t="s">
        <v>52</v>
      </c>
      <c r="T902" t="s">
        <v>52</v>
      </c>
      <c r="U902" t="s">
        <v>52</v>
      </c>
      <c r="V902" t="s">
        <v>62</v>
      </c>
      <c r="W902" t="s">
        <v>52</v>
      </c>
      <c r="Y902" t="s">
        <v>771</v>
      </c>
      <c r="Z902" t="s">
        <v>62</v>
      </c>
      <c r="AB902" t="s">
        <v>3458</v>
      </c>
      <c r="AE902" t="s">
        <v>3459</v>
      </c>
      <c r="AF902" t="s">
        <v>1661</v>
      </c>
      <c r="AG902" t="s">
        <v>3460</v>
      </c>
      <c r="AH902">
        <v>0</v>
      </c>
      <c r="AI902">
        <v>0</v>
      </c>
      <c r="AJ902" t="s">
        <v>52</v>
      </c>
      <c r="AK902">
        <v>0</v>
      </c>
      <c r="AL902" t="s">
        <v>52</v>
      </c>
      <c r="AM902" t="s">
        <v>52</v>
      </c>
      <c r="AN902">
        <v>0</v>
      </c>
      <c r="AO902">
        <v>0</v>
      </c>
      <c r="AP902" t="s">
        <v>52</v>
      </c>
      <c r="AQ902" t="s">
        <v>52</v>
      </c>
      <c r="AR902" t="s">
        <v>62</v>
      </c>
      <c r="AS902" t="s">
        <v>52</v>
      </c>
      <c r="AT902" t="s">
        <v>74</v>
      </c>
      <c r="AU902" t="s">
        <v>64</v>
      </c>
      <c r="AV902" t="s">
        <v>62</v>
      </c>
      <c r="AW902" t="s">
        <v>65</v>
      </c>
      <c r="AX902" t="s">
        <v>66</v>
      </c>
      <c r="AY902" t="s">
        <v>654</v>
      </c>
    </row>
    <row r="903" spans="1:51" hidden="1" x14ac:dyDescent="0.25">
      <c r="A903">
        <v>203059</v>
      </c>
      <c r="B903" t="s">
        <v>3461</v>
      </c>
      <c r="C903" t="e">
        <f>VLOOKUP(A903,[1]Customer_payment_journal_line!$AL:$BO,30,0)</f>
        <v>#N/A</v>
      </c>
      <c r="D903" t="s">
        <v>644</v>
      </c>
      <c r="E903" t="s">
        <v>3453</v>
      </c>
      <c r="F903" t="s">
        <v>3454</v>
      </c>
      <c r="G903" t="s">
        <v>3455</v>
      </c>
      <c r="H903" t="s">
        <v>210</v>
      </c>
      <c r="I903" t="s">
        <v>3462</v>
      </c>
      <c r="K903" t="s">
        <v>3457</v>
      </c>
      <c r="L903" t="s">
        <v>52</v>
      </c>
      <c r="M903">
        <v>3135</v>
      </c>
      <c r="N903">
        <v>0</v>
      </c>
      <c r="O903" t="s">
        <v>61</v>
      </c>
      <c r="P903">
        <v>100</v>
      </c>
      <c r="Q903" t="s">
        <v>52</v>
      </c>
      <c r="R903" t="s">
        <v>52</v>
      </c>
      <c r="S903" t="s">
        <v>52</v>
      </c>
      <c r="T903" t="s">
        <v>52</v>
      </c>
      <c r="U903" t="s">
        <v>52</v>
      </c>
      <c r="V903" t="s">
        <v>62</v>
      </c>
      <c r="W903" t="s">
        <v>63</v>
      </c>
      <c r="Y903" t="s">
        <v>52</v>
      </c>
      <c r="AB903" t="s">
        <v>3463</v>
      </c>
      <c r="AE903" t="s">
        <v>3464</v>
      </c>
      <c r="AF903" t="s">
        <v>1661</v>
      </c>
      <c r="AG903" t="s">
        <v>3460</v>
      </c>
      <c r="AH903">
        <v>0</v>
      </c>
      <c r="AI903">
        <v>0</v>
      </c>
      <c r="AJ903" t="s">
        <v>52</v>
      </c>
      <c r="AK903">
        <v>0</v>
      </c>
      <c r="AL903" t="s">
        <v>52</v>
      </c>
      <c r="AM903" t="s">
        <v>52</v>
      </c>
      <c r="AN903">
        <v>0</v>
      </c>
      <c r="AO903">
        <v>0</v>
      </c>
      <c r="AP903" t="s">
        <v>52</v>
      </c>
      <c r="AQ903" t="s">
        <v>52</v>
      </c>
      <c r="AR903" t="s">
        <v>62</v>
      </c>
      <c r="AS903" t="s">
        <v>52</v>
      </c>
      <c r="AT903" t="s">
        <v>52</v>
      </c>
      <c r="AU903" t="s">
        <v>64</v>
      </c>
      <c r="AV903" t="s">
        <v>62</v>
      </c>
      <c r="AW903" t="s">
        <v>65</v>
      </c>
      <c r="AX903" t="s">
        <v>66</v>
      </c>
      <c r="AY903" t="s">
        <v>654</v>
      </c>
    </row>
    <row r="904" spans="1:51" hidden="1" x14ac:dyDescent="0.25">
      <c r="A904">
        <v>203059</v>
      </c>
      <c r="B904" t="s">
        <v>3465</v>
      </c>
      <c r="C904" t="e">
        <f>VLOOKUP(A904,[1]Customer_payment_journal_line!$AL:$BO,30,0)</f>
        <v>#N/A</v>
      </c>
      <c r="D904" t="s">
        <v>644</v>
      </c>
      <c r="E904" t="s">
        <v>3453</v>
      </c>
      <c r="F904" t="s">
        <v>3454</v>
      </c>
      <c r="G904" t="s">
        <v>3455</v>
      </c>
      <c r="H904" t="s">
        <v>69</v>
      </c>
      <c r="I904" t="s">
        <v>769</v>
      </c>
      <c r="J904" t="s">
        <v>3456</v>
      </c>
      <c r="K904" t="s">
        <v>3457</v>
      </c>
      <c r="L904" t="s">
        <v>52</v>
      </c>
      <c r="M904">
        <v>0</v>
      </c>
      <c r="N904">
        <v>855</v>
      </c>
      <c r="O904" t="s">
        <v>61</v>
      </c>
      <c r="P904">
        <v>100</v>
      </c>
      <c r="Q904" t="s">
        <v>52</v>
      </c>
      <c r="R904" t="s">
        <v>52</v>
      </c>
      <c r="S904" t="s">
        <v>52</v>
      </c>
      <c r="T904" t="s">
        <v>52</v>
      </c>
      <c r="U904" t="s">
        <v>52</v>
      </c>
      <c r="V904" t="s">
        <v>62</v>
      </c>
      <c r="W904" t="s">
        <v>52</v>
      </c>
      <c r="Y904" t="s">
        <v>771</v>
      </c>
      <c r="Z904" t="s">
        <v>62</v>
      </c>
      <c r="AB904" t="s">
        <v>3463</v>
      </c>
      <c r="AE904" t="s">
        <v>3464</v>
      </c>
      <c r="AF904" t="s">
        <v>1661</v>
      </c>
      <c r="AG904" t="s">
        <v>3460</v>
      </c>
      <c r="AH904">
        <v>0</v>
      </c>
      <c r="AI904">
        <v>0</v>
      </c>
      <c r="AJ904" t="s">
        <v>52</v>
      </c>
      <c r="AK904">
        <v>0</v>
      </c>
      <c r="AL904" t="s">
        <v>52</v>
      </c>
      <c r="AM904" t="s">
        <v>52</v>
      </c>
      <c r="AN904">
        <v>0</v>
      </c>
      <c r="AO904">
        <v>0</v>
      </c>
      <c r="AP904" t="s">
        <v>52</v>
      </c>
      <c r="AQ904" t="s">
        <v>52</v>
      </c>
      <c r="AR904" t="s">
        <v>62</v>
      </c>
      <c r="AS904" t="s">
        <v>52</v>
      </c>
      <c r="AT904" t="s">
        <v>74</v>
      </c>
      <c r="AU904" t="s">
        <v>64</v>
      </c>
      <c r="AV904" t="s">
        <v>62</v>
      </c>
      <c r="AW904" t="s">
        <v>65</v>
      </c>
      <c r="AX904" t="s">
        <v>66</v>
      </c>
      <c r="AY904" t="s">
        <v>654</v>
      </c>
    </row>
    <row r="905" spans="1:51" hidden="1" x14ac:dyDescent="0.25">
      <c r="A905">
        <v>203075</v>
      </c>
      <c r="B905" t="s">
        <v>3466</v>
      </c>
      <c r="C905" t="e">
        <f>VLOOKUP(A905,[1]Customer_payment_journal_line!$AL:$BO,30,0)</f>
        <v>#N/A</v>
      </c>
      <c r="D905" t="s">
        <v>159</v>
      </c>
      <c r="E905" t="s">
        <v>3467</v>
      </c>
      <c r="F905" t="s">
        <v>3468</v>
      </c>
      <c r="G905" t="s">
        <v>3455</v>
      </c>
      <c r="H905" t="s">
        <v>80</v>
      </c>
      <c r="I905" t="s">
        <v>1919</v>
      </c>
      <c r="J905" t="s">
        <v>3469</v>
      </c>
      <c r="K905" t="s">
        <v>3470</v>
      </c>
      <c r="L905" t="s">
        <v>52</v>
      </c>
      <c r="M905">
        <v>15105</v>
      </c>
      <c r="N905">
        <v>0</v>
      </c>
      <c r="O905" t="s">
        <v>61</v>
      </c>
      <c r="P905">
        <v>100</v>
      </c>
      <c r="Q905" t="s">
        <v>52</v>
      </c>
      <c r="R905" t="s">
        <v>52</v>
      </c>
      <c r="S905" t="s">
        <v>52</v>
      </c>
      <c r="T905" t="s">
        <v>52</v>
      </c>
      <c r="U905" t="s">
        <v>52</v>
      </c>
      <c r="V905" t="s">
        <v>62</v>
      </c>
      <c r="W905" t="s">
        <v>52</v>
      </c>
      <c r="Y905" t="s">
        <v>52</v>
      </c>
      <c r="AB905" t="s">
        <v>52</v>
      </c>
      <c r="AE905" t="s">
        <v>52</v>
      </c>
      <c r="AF905" t="s">
        <v>52</v>
      </c>
      <c r="AH905">
        <v>0</v>
      </c>
      <c r="AI905">
        <v>0</v>
      </c>
      <c r="AJ905" t="s">
        <v>52</v>
      </c>
      <c r="AK905">
        <v>0</v>
      </c>
      <c r="AL905" t="s">
        <v>52</v>
      </c>
      <c r="AM905" t="s">
        <v>52</v>
      </c>
      <c r="AN905">
        <v>0</v>
      </c>
      <c r="AO905">
        <v>0</v>
      </c>
      <c r="AP905" t="s">
        <v>52</v>
      </c>
      <c r="AQ905" t="s">
        <v>52</v>
      </c>
      <c r="AR905" t="s">
        <v>62</v>
      </c>
      <c r="AS905" t="s">
        <v>52</v>
      </c>
      <c r="AT905" t="s">
        <v>52</v>
      </c>
      <c r="AU905" t="s">
        <v>64</v>
      </c>
      <c r="AV905" t="s">
        <v>62</v>
      </c>
      <c r="AW905" t="s">
        <v>65</v>
      </c>
      <c r="AX905" t="s">
        <v>66</v>
      </c>
      <c r="AY905" t="s">
        <v>165</v>
      </c>
    </row>
    <row r="906" spans="1:51" hidden="1" x14ac:dyDescent="0.25">
      <c r="A906">
        <v>203075</v>
      </c>
      <c r="B906" t="s">
        <v>3471</v>
      </c>
      <c r="C906" t="e">
        <f>VLOOKUP(A906,[1]Customer_payment_journal_line!$AL:$BO,30,0)</f>
        <v>#N/A</v>
      </c>
      <c r="D906" t="s">
        <v>159</v>
      </c>
      <c r="E906" t="s">
        <v>3467</v>
      </c>
      <c r="F906" t="s">
        <v>3468</v>
      </c>
      <c r="G906" t="s">
        <v>3455</v>
      </c>
      <c r="H906" t="s">
        <v>69</v>
      </c>
      <c r="I906" t="s">
        <v>3472</v>
      </c>
      <c r="J906" t="s">
        <v>3469</v>
      </c>
      <c r="K906" t="s">
        <v>3470</v>
      </c>
      <c r="L906" t="s">
        <v>52</v>
      </c>
      <c r="M906">
        <v>0</v>
      </c>
      <c r="N906">
        <v>855</v>
      </c>
      <c r="O906" t="s">
        <v>61</v>
      </c>
      <c r="P906">
        <v>100</v>
      </c>
      <c r="Q906" t="s">
        <v>52</v>
      </c>
      <c r="R906" t="s">
        <v>52</v>
      </c>
      <c r="S906" t="s">
        <v>52</v>
      </c>
      <c r="T906" t="s">
        <v>52</v>
      </c>
      <c r="U906" t="s">
        <v>52</v>
      </c>
      <c r="V906" t="s">
        <v>62</v>
      </c>
      <c r="W906" t="s">
        <v>52</v>
      </c>
      <c r="Y906" t="s">
        <v>3473</v>
      </c>
      <c r="Z906" t="s">
        <v>62</v>
      </c>
      <c r="AB906" t="s">
        <v>3474</v>
      </c>
      <c r="AE906" t="s">
        <v>3475</v>
      </c>
      <c r="AF906" t="s">
        <v>52</v>
      </c>
      <c r="AH906">
        <v>0</v>
      </c>
      <c r="AI906">
        <v>0</v>
      </c>
      <c r="AJ906" t="s">
        <v>52</v>
      </c>
      <c r="AK906">
        <v>0</v>
      </c>
      <c r="AL906" t="s">
        <v>52</v>
      </c>
      <c r="AM906" t="s">
        <v>52</v>
      </c>
      <c r="AN906">
        <v>0</v>
      </c>
      <c r="AO906">
        <v>0</v>
      </c>
      <c r="AP906" t="s">
        <v>52</v>
      </c>
      <c r="AQ906" t="s">
        <v>52</v>
      </c>
      <c r="AR906" t="s">
        <v>62</v>
      </c>
      <c r="AS906" t="s">
        <v>52</v>
      </c>
      <c r="AT906" t="s">
        <v>74</v>
      </c>
      <c r="AU906" t="s">
        <v>64</v>
      </c>
      <c r="AV906" t="s">
        <v>62</v>
      </c>
      <c r="AW906" t="s">
        <v>65</v>
      </c>
      <c r="AX906" t="s">
        <v>66</v>
      </c>
      <c r="AY906" t="s">
        <v>165</v>
      </c>
    </row>
    <row r="907" spans="1:51" hidden="1" x14ac:dyDescent="0.25">
      <c r="A907">
        <v>203075</v>
      </c>
      <c r="B907" t="s">
        <v>3476</v>
      </c>
      <c r="C907" t="e">
        <f>VLOOKUP(A907,[1]Customer_payment_journal_line!$AL:$BO,30,0)</f>
        <v>#N/A</v>
      </c>
      <c r="D907" t="s">
        <v>159</v>
      </c>
      <c r="E907" t="s">
        <v>3467</v>
      </c>
      <c r="F907" t="s">
        <v>3468</v>
      </c>
      <c r="G907" t="s">
        <v>3455</v>
      </c>
      <c r="H907" t="s">
        <v>69</v>
      </c>
      <c r="I907" t="s">
        <v>3472</v>
      </c>
      <c r="J907" t="s">
        <v>3469</v>
      </c>
      <c r="K907" t="s">
        <v>3470</v>
      </c>
      <c r="L907" t="s">
        <v>52</v>
      </c>
      <c r="M907">
        <v>0</v>
      </c>
      <c r="N907">
        <v>14250</v>
      </c>
      <c r="O907" t="s">
        <v>61</v>
      </c>
      <c r="P907">
        <v>100</v>
      </c>
      <c r="Q907" t="s">
        <v>52</v>
      </c>
      <c r="R907" t="s">
        <v>52</v>
      </c>
      <c r="S907" t="s">
        <v>52</v>
      </c>
      <c r="T907" t="s">
        <v>52</v>
      </c>
      <c r="U907" t="s">
        <v>52</v>
      </c>
      <c r="V907" t="s">
        <v>62</v>
      </c>
      <c r="W907" t="s">
        <v>52</v>
      </c>
      <c r="Y907" t="s">
        <v>3473</v>
      </c>
      <c r="Z907" t="s">
        <v>62</v>
      </c>
      <c r="AB907" t="s">
        <v>3477</v>
      </c>
      <c r="AE907" t="s">
        <v>3478</v>
      </c>
      <c r="AF907" t="s">
        <v>52</v>
      </c>
      <c r="AH907">
        <v>0</v>
      </c>
      <c r="AI907">
        <v>0</v>
      </c>
      <c r="AJ907" t="s">
        <v>52</v>
      </c>
      <c r="AK907">
        <v>0</v>
      </c>
      <c r="AL907" t="s">
        <v>52</v>
      </c>
      <c r="AM907" t="s">
        <v>52</v>
      </c>
      <c r="AN907">
        <v>0</v>
      </c>
      <c r="AO907">
        <v>0</v>
      </c>
      <c r="AP907" t="s">
        <v>52</v>
      </c>
      <c r="AQ907" t="s">
        <v>52</v>
      </c>
      <c r="AR907" t="s">
        <v>62</v>
      </c>
      <c r="AS907" t="s">
        <v>52</v>
      </c>
      <c r="AT907" t="s">
        <v>74</v>
      </c>
      <c r="AU907" t="s">
        <v>64</v>
      </c>
      <c r="AV907" t="s">
        <v>62</v>
      </c>
      <c r="AW907" t="s">
        <v>65</v>
      </c>
      <c r="AX907" t="s">
        <v>66</v>
      </c>
      <c r="AY907" t="s">
        <v>165</v>
      </c>
    </row>
    <row r="908" spans="1:51" hidden="1" x14ac:dyDescent="0.25">
      <c r="A908">
        <v>203076</v>
      </c>
      <c r="B908" t="s">
        <v>3479</v>
      </c>
      <c r="C908" t="e">
        <f>VLOOKUP(A908,[1]Customer_payment_journal_line!$AL:$BO,30,0)</f>
        <v>#N/A</v>
      </c>
      <c r="D908" t="s">
        <v>159</v>
      </c>
      <c r="E908" t="s">
        <v>3480</v>
      </c>
      <c r="F908" t="s">
        <v>3481</v>
      </c>
      <c r="G908" t="s">
        <v>3455</v>
      </c>
      <c r="H908" t="s">
        <v>80</v>
      </c>
      <c r="I908" t="s">
        <v>3014</v>
      </c>
      <c r="J908" t="s">
        <v>3469</v>
      </c>
      <c r="K908" t="s">
        <v>3470</v>
      </c>
      <c r="L908" t="s">
        <v>52</v>
      </c>
      <c r="M908">
        <v>600</v>
      </c>
      <c r="N908">
        <v>0</v>
      </c>
      <c r="O908" t="s">
        <v>178</v>
      </c>
      <c r="P908">
        <v>5085</v>
      </c>
      <c r="Q908" t="s">
        <v>52</v>
      </c>
      <c r="R908" t="s">
        <v>52</v>
      </c>
      <c r="S908" t="s">
        <v>52</v>
      </c>
      <c r="T908" t="s">
        <v>52</v>
      </c>
      <c r="U908" t="s">
        <v>52</v>
      </c>
      <c r="V908" t="s">
        <v>62</v>
      </c>
      <c r="W908" t="s">
        <v>52</v>
      </c>
      <c r="Y908" t="s">
        <v>52</v>
      </c>
      <c r="AB908" t="s">
        <v>52</v>
      </c>
      <c r="AE908" t="s">
        <v>52</v>
      </c>
      <c r="AF908" t="s">
        <v>52</v>
      </c>
      <c r="AH908">
        <v>0</v>
      </c>
      <c r="AI908">
        <v>0</v>
      </c>
      <c r="AJ908" t="s">
        <v>52</v>
      </c>
      <c r="AK908">
        <v>0</v>
      </c>
      <c r="AL908" t="s">
        <v>52</v>
      </c>
      <c r="AM908" t="s">
        <v>52</v>
      </c>
      <c r="AN908">
        <v>0</v>
      </c>
      <c r="AO908">
        <v>0</v>
      </c>
      <c r="AP908" t="s">
        <v>52</v>
      </c>
      <c r="AQ908" t="s">
        <v>52</v>
      </c>
      <c r="AR908" t="s">
        <v>62</v>
      </c>
      <c r="AS908" t="s">
        <v>52</v>
      </c>
      <c r="AT908" t="s">
        <v>52</v>
      </c>
      <c r="AU908" t="s">
        <v>64</v>
      </c>
      <c r="AV908" t="s">
        <v>62</v>
      </c>
      <c r="AW908" t="s">
        <v>65</v>
      </c>
      <c r="AX908" t="s">
        <v>66</v>
      </c>
      <c r="AY908" t="s">
        <v>165</v>
      </c>
    </row>
    <row r="909" spans="1:51" hidden="1" x14ac:dyDescent="0.25">
      <c r="A909">
        <v>203076</v>
      </c>
      <c r="B909" t="s">
        <v>3482</v>
      </c>
      <c r="C909" t="e">
        <f>VLOOKUP(A909,[1]Customer_payment_journal_line!$AL:$BO,30,0)</f>
        <v>#N/A</v>
      </c>
      <c r="D909" t="s">
        <v>159</v>
      </c>
      <c r="E909" t="s">
        <v>3480</v>
      </c>
      <c r="F909" t="s">
        <v>3481</v>
      </c>
      <c r="G909" t="s">
        <v>3455</v>
      </c>
      <c r="H909" t="s">
        <v>69</v>
      </c>
      <c r="I909" t="s">
        <v>3472</v>
      </c>
      <c r="J909" t="s">
        <v>3469</v>
      </c>
      <c r="K909" t="s">
        <v>3470</v>
      </c>
      <c r="L909" t="s">
        <v>52</v>
      </c>
      <c r="M909">
        <v>0</v>
      </c>
      <c r="N909">
        <v>600</v>
      </c>
      <c r="O909" t="s">
        <v>178</v>
      </c>
      <c r="P909">
        <v>5085</v>
      </c>
      <c r="Q909" t="s">
        <v>52</v>
      </c>
      <c r="R909" t="s">
        <v>52</v>
      </c>
      <c r="S909" t="s">
        <v>52</v>
      </c>
      <c r="T909" t="s">
        <v>52</v>
      </c>
      <c r="U909" t="s">
        <v>52</v>
      </c>
      <c r="V909" t="s">
        <v>62</v>
      </c>
      <c r="W909" t="s">
        <v>52</v>
      </c>
      <c r="Y909" t="s">
        <v>3473</v>
      </c>
      <c r="Z909" t="s">
        <v>62</v>
      </c>
      <c r="AB909" t="s">
        <v>3483</v>
      </c>
      <c r="AE909" t="s">
        <v>3484</v>
      </c>
      <c r="AF909" t="s">
        <v>52</v>
      </c>
      <c r="AH909">
        <v>0</v>
      </c>
      <c r="AI909">
        <v>0</v>
      </c>
      <c r="AJ909" t="s">
        <v>52</v>
      </c>
      <c r="AK909">
        <v>0</v>
      </c>
      <c r="AL909" t="s">
        <v>52</v>
      </c>
      <c r="AM909" t="s">
        <v>52</v>
      </c>
      <c r="AN909">
        <v>0</v>
      </c>
      <c r="AO909">
        <v>0</v>
      </c>
      <c r="AP909" t="s">
        <v>52</v>
      </c>
      <c r="AQ909" t="s">
        <v>52</v>
      </c>
      <c r="AR909" t="s">
        <v>62</v>
      </c>
      <c r="AS909" t="s">
        <v>52</v>
      </c>
      <c r="AT909" t="s">
        <v>74</v>
      </c>
      <c r="AU909" t="s">
        <v>64</v>
      </c>
      <c r="AV909" t="s">
        <v>62</v>
      </c>
      <c r="AW909" t="s">
        <v>65</v>
      </c>
      <c r="AX909" t="s">
        <v>66</v>
      </c>
      <c r="AY909" t="s">
        <v>165</v>
      </c>
    </row>
    <row r="910" spans="1:51" hidden="1" x14ac:dyDescent="0.25">
      <c r="A910">
        <v>203101</v>
      </c>
      <c r="B910" t="s">
        <v>3485</v>
      </c>
      <c r="C910" t="e">
        <f>VLOOKUP(A910,[1]Customer_payment_journal_line!$AL:$BO,30,0)</f>
        <v>#N/A</v>
      </c>
      <c r="D910" t="s">
        <v>644</v>
      </c>
      <c r="E910" t="s">
        <v>3486</v>
      </c>
      <c r="F910" t="s">
        <v>3487</v>
      </c>
      <c r="G910" t="s">
        <v>3455</v>
      </c>
      <c r="H910" t="s">
        <v>210</v>
      </c>
      <c r="I910" t="s">
        <v>3488</v>
      </c>
      <c r="K910" t="s">
        <v>3489</v>
      </c>
      <c r="L910" t="s">
        <v>52</v>
      </c>
      <c r="M910">
        <v>10</v>
      </c>
      <c r="N910">
        <v>0</v>
      </c>
      <c r="O910" t="s">
        <v>3490</v>
      </c>
      <c r="P910">
        <v>6380</v>
      </c>
      <c r="Q910" t="s">
        <v>52</v>
      </c>
      <c r="R910" t="s">
        <v>52</v>
      </c>
      <c r="S910" t="s">
        <v>52</v>
      </c>
      <c r="T910" t="s">
        <v>52</v>
      </c>
      <c r="U910" t="s">
        <v>52</v>
      </c>
      <c r="V910" t="s">
        <v>62</v>
      </c>
      <c r="W910" t="s">
        <v>63</v>
      </c>
      <c r="Y910" t="s">
        <v>52</v>
      </c>
      <c r="AB910" t="s">
        <v>3491</v>
      </c>
      <c r="AE910" t="s">
        <v>3492</v>
      </c>
      <c r="AF910" t="s">
        <v>3493</v>
      </c>
      <c r="AG910" t="s">
        <v>3494</v>
      </c>
      <c r="AH910">
        <v>0</v>
      </c>
      <c r="AI910">
        <v>0</v>
      </c>
      <c r="AJ910" t="s">
        <v>52</v>
      </c>
      <c r="AK910">
        <v>0</v>
      </c>
      <c r="AL910" t="s">
        <v>52</v>
      </c>
      <c r="AM910" t="s">
        <v>52</v>
      </c>
      <c r="AN910">
        <v>0</v>
      </c>
      <c r="AO910">
        <v>0</v>
      </c>
      <c r="AP910" t="s">
        <v>52</v>
      </c>
      <c r="AQ910" t="s">
        <v>52</v>
      </c>
      <c r="AR910" t="s">
        <v>62</v>
      </c>
      <c r="AS910" t="s">
        <v>52</v>
      </c>
      <c r="AT910" t="s">
        <v>52</v>
      </c>
      <c r="AU910" t="s">
        <v>64</v>
      </c>
      <c r="AV910" t="s">
        <v>62</v>
      </c>
      <c r="AW910" t="s">
        <v>65</v>
      </c>
      <c r="AX910" t="s">
        <v>66</v>
      </c>
      <c r="AY910" t="s">
        <v>654</v>
      </c>
    </row>
    <row r="911" spans="1:51" hidden="1" x14ac:dyDescent="0.25">
      <c r="A911">
        <v>203101</v>
      </c>
      <c r="B911" t="s">
        <v>3495</v>
      </c>
      <c r="C911" t="e">
        <f>VLOOKUP(A911,[1]Customer_payment_journal_line!$AL:$BO,30,0)</f>
        <v>#N/A</v>
      </c>
      <c r="D911" t="s">
        <v>644</v>
      </c>
      <c r="E911" t="s">
        <v>3486</v>
      </c>
      <c r="F911" t="s">
        <v>3487</v>
      </c>
      <c r="G911" t="s">
        <v>3455</v>
      </c>
      <c r="H911" t="s">
        <v>69</v>
      </c>
      <c r="I911" t="s">
        <v>595</v>
      </c>
      <c r="J911" t="s">
        <v>603</v>
      </c>
      <c r="K911" t="s">
        <v>3489</v>
      </c>
      <c r="L911" t="s">
        <v>52</v>
      </c>
      <c r="M911">
        <v>0</v>
      </c>
      <c r="N911">
        <v>10</v>
      </c>
      <c r="O911" t="s">
        <v>3490</v>
      </c>
      <c r="P911">
        <v>6380</v>
      </c>
      <c r="Q911" t="s">
        <v>52</v>
      </c>
      <c r="R911" t="s">
        <v>52</v>
      </c>
      <c r="S911" t="s">
        <v>52</v>
      </c>
      <c r="T911" t="s">
        <v>52</v>
      </c>
      <c r="U911" t="s">
        <v>52</v>
      </c>
      <c r="V911" t="s">
        <v>62</v>
      </c>
      <c r="W911" t="s">
        <v>52</v>
      </c>
      <c r="Y911" t="s">
        <v>597</v>
      </c>
      <c r="Z911" t="s">
        <v>62</v>
      </c>
      <c r="AB911" t="s">
        <v>3491</v>
      </c>
      <c r="AE911" t="s">
        <v>3492</v>
      </c>
      <c r="AF911" t="s">
        <v>3493</v>
      </c>
      <c r="AG911" t="s">
        <v>3494</v>
      </c>
      <c r="AH911">
        <v>0</v>
      </c>
      <c r="AI911">
        <v>0</v>
      </c>
      <c r="AJ911" t="s">
        <v>52</v>
      </c>
      <c r="AK911">
        <v>0</v>
      </c>
      <c r="AL911" t="s">
        <v>52</v>
      </c>
      <c r="AM911" t="s">
        <v>52</v>
      </c>
      <c r="AN911">
        <v>0</v>
      </c>
      <c r="AO911">
        <v>0</v>
      </c>
      <c r="AP911" t="s">
        <v>52</v>
      </c>
      <c r="AQ911" t="s">
        <v>52</v>
      </c>
      <c r="AR911" t="s">
        <v>62</v>
      </c>
      <c r="AS911" t="s">
        <v>52</v>
      </c>
      <c r="AT911" t="s">
        <v>74</v>
      </c>
      <c r="AU911" t="s">
        <v>64</v>
      </c>
      <c r="AV911" t="s">
        <v>62</v>
      </c>
      <c r="AW911" t="s">
        <v>65</v>
      </c>
      <c r="AX911" t="s">
        <v>66</v>
      </c>
      <c r="AY911" t="s">
        <v>654</v>
      </c>
    </row>
    <row r="912" spans="1:51" hidden="1" x14ac:dyDescent="0.25">
      <c r="A912">
        <v>203124</v>
      </c>
      <c r="B912" t="s">
        <v>3496</v>
      </c>
      <c r="C912" t="str">
        <f>VLOOKUP(A912,[1]Customer_payment_journal_line!$AL:$BO,30,0)</f>
        <v>CPay-000000068</v>
      </c>
      <c r="D912" t="s">
        <v>53</v>
      </c>
      <c r="E912" t="s">
        <v>3497</v>
      </c>
      <c r="F912" t="s">
        <v>3498</v>
      </c>
      <c r="G912" t="s">
        <v>3455</v>
      </c>
      <c r="H912" t="s">
        <v>57</v>
      </c>
      <c r="I912" t="s">
        <v>95</v>
      </c>
      <c r="J912" t="s">
        <v>1618</v>
      </c>
      <c r="K912" t="s">
        <v>3499</v>
      </c>
      <c r="L912">
        <f>VLOOKUP(A912,[1]Customer_payment_journal_line!$B:$L,11,0)</f>
        <v>1653</v>
      </c>
      <c r="M912" s="1">
        <v>1653</v>
      </c>
      <c r="N912" s="2">
        <f>L912-M912</f>
        <v>0</v>
      </c>
      <c r="O912" t="s">
        <v>61</v>
      </c>
      <c r="P912">
        <v>100</v>
      </c>
      <c r="Q912" t="s">
        <v>52</v>
      </c>
      <c r="R912" t="s">
        <v>52</v>
      </c>
      <c r="S912" t="s">
        <v>52</v>
      </c>
      <c r="T912" t="s">
        <v>52</v>
      </c>
      <c r="U912" t="s">
        <v>52</v>
      </c>
      <c r="V912" t="s">
        <v>62</v>
      </c>
      <c r="W912" t="s">
        <v>63</v>
      </c>
      <c r="Y912" t="s">
        <v>52</v>
      </c>
      <c r="AB912" t="s">
        <v>52</v>
      </c>
      <c r="AE912" t="s">
        <v>52</v>
      </c>
      <c r="AF912" t="s">
        <v>52</v>
      </c>
      <c r="AH912">
        <v>0</v>
      </c>
      <c r="AI912">
        <v>0</v>
      </c>
      <c r="AJ912" t="s">
        <v>52</v>
      </c>
      <c r="AK912">
        <v>0</v>
      </c>
      <c r="AL912" t="s">
        <v>52</v>
      </c>
      <c r="AM912" t="s">
        <v>52</v>
      </c>
      <c r="AN912">
        <v>0</v>
      </c>
      <c r="AO912">
        <v>0</v>
      </c>
      <c r="AP912" t="s">
        <v>52</v>
      </c>
      <c r="AQ912" t="s">
        <v>52</v>
      </c>
      <c r="AR912" t="s">
        <v>62</v>
      </c>
      <c r="AS912" t="s">
        <v>52</v>
      </c>
      <c r="AT912" t="s">
        <v>52</v>
      </c>
      <c r="AU912" t="s">
        <v>64</v>
      </c>
      <c r="AV912" t="s">
        <v>62</v>
      </c>
      <c r="AW912" t="s">
        <v>65</v>
      </c>
      <c r="AX912" t="s">
        <v>66</v>
      </c>
      <c r="AY912" t="s">
        <v>67</v>
      </c>
    </row>
    <row r="913" spans="1:51" hidden="1" x14ac:dyDescent="0.25">
      <c r="A913">
        <v>203124</v>
      </c>
      <c r="B913" t="s">
        <v>3500</v>
      </c>
      <c r="C913" t="str">
        <f>VLOOKUP(A913,[1]Customer_payment_journal_line!$AL:$BO,30,0)</f>
        <v>CPay-000000068</v>
      </c>
      <c r="D913" t="s">
        <v>53</v>
      </c>
      <c r="E913" t="s">
        <v>3497</v>
      </c>
      <c r="F913" t="s">
        <v>3498</v>
      </c>
      <c r="G913" t="s">
        <v>3455</v>
      </c>
      <c r="H913" t="s">
        <v>69</v>
      </c>
      <c r="I913" t="s">
        <v>1621</v>
      </c>
      <c r="J913" t="s">
        <v>1618</v>
      </c>
      <c r="K913" t="s">
        <v>3499</v>
      </c>
      <c r="L913">
        <f>VLOOKUP(A913,[1]Customer_payment_journal_line!$B:$L,11,0)</f>
        <v>1653</v>
      </c>
      <c r="M913" s="1">
        <v>0</v>
      </c>
      <c r="N913">
        <v>1653</v>
      </c>
      <c r="O913" t="s">
        <v>61</v>
      </c>
      <c r="P913">
        <v>100</v>
      </c>
      <c r="Q913" t="s">
        <v>52</v>
      </c>
      <c r="R913" t="s">
        <v>52</v>
      </c>
      <c r="S913" t="s">
        <v>52</v>
      </c>
      <c r="T913" t="s">
        <v>52</v>
      </c>
      <c r="U913" t="s">
        <v>52</v>
      </c>
      <c r="V913" t="s">
        <v>62</v>
      </c>
      <c r="W913" t="s">
        <v>52</v>
      </c>
      <c r="Y913" t="s">
        <v>1622</v>
      </c>
      <c r="Z913" t="s">
        <v>62</v>
      </c>
      <c r="AB913" t="s">
        <v>3501</v>
      </c>
      <c r="AE913" t="s">
        <v>3502</v>
      </c>
      <c r="AF913" t="s">
        <v>52</v>
      </c>
      <c r="AH913">
        <v>0</v>
      </c>
      <c r="AI913">
        <v>0</v>
      </c>
      <c r="AJ913" t="s">
        <v>52</v>
      </c>
      <c r="AK913">
        <v>0</v>
      </c>
      <c r="AL913" t="s">
        <v>52</v>
      </c>
      <c r="AM913" t="s">
        <v>52</v>
      </c>
      <c r="AN913">
        <v>0</v>
      </c>
      <c r="AO913">
        <v>0</v>
      </c>
      <c r="AP913" t="s">
        <v>52</v>
      </c>
      <c r="AQ913" t="s">
        <v>52</v>
      </c>
      <c r="AR913" t="s">
        <v>62</v>
      </c>
      <c r="AS913" t="s">
        <v>52</v>
      </c>
      <c r="AT913" t="s">
        <v>74</v>
      </c>
      <c r="AU913" t="s">
        <v>64</v>
      </c>
      <c r="AV913" t="s">
        <v>62</v>
      </c>
      <c r="AW913" t="s">
        <v>65</v>
      </c>
      <c r="AX913" t="s">
        <v>66</v>
      </c>
      <c r="AY913" t="s">
        <v>67</v>
      </c>
    </row>
    <row r="914" spans="1:51" hidden="1" x14ac:dyDescent="0.25">
      <c r="A914">
        <v>203125</v>
      </c>
      <c r="B914" t="s">
        <v>3503</v>
      </c>
      <c r="C914" t="str">
        <f>VLOOKUP(A914,[1]Customer_payment_journal_line!$AL:$BO,30,0)</f>
        <v>CPay-000000069</v>
      </c>
      <c r="D914" t="s">
        <v>53</v>
      </c>
      <c r="E914" t="s">
        <v>3504</v>
      </c>
      <c r="F914" t="s">
        <v>3505</v>
      </c>
      <c r="G914" t="s">
        <v>3455</v>
      </c>
      <c r="H914" t="s">
        <v>57</v>
      </c>
      <c r="I914" t="s">
        <v>95</v>
      </c>
      <c r="J914" t="s">
        <v>1618</v>
      </c>
      <c r="K914" t="s">
        <v>3499</v>
      </c>
      <c r="L914">
        <f>VLOOKUP(A914,[1]Customer_payment_journal_line!$B:$L,11,0)</f>
        <v>1535.58</v>
      </c>
      <c r="M914" s="1">
        <v>1535.58</v>
      </c>
      <c r="N914" s="2">
        <f>L914-M914</f>
        <v>0</v>
      </c>
      <c r="O914" t="s">
        <v>61</v>
      </c>
      <c r="P914">
        <v>100</v>
      </c>
      <c r="Q914" t="s">
        <v>52</v>
      </c>
      <c r="R914" t="s">
        <v>52</v>
      </c>
      <c r="S914" t="s">
        <v>52</v>
      </c>
      <c r="T914" t="s">
        <v>52</v>
      </c>
      <c r="U914" t="s">
        <v>52</v>
      </c>
      <c r="V914" t="s">
        <v>62</v>
      </c>
      <c r="W914" t="s">
        <v>63</v>
      </c>
      <c r="Y914" t="s">
        <v>52</v>
      </c>
      <c r="AB914" t="s">
        <v>52</v>
      </c>
      <c r="AE914" t="s">
        <v>52</v>
      </c>
      <c r="AF914" t="s">
        <v>52</v>
      </c>
      <c r="AH914">
        <v>0</v>
      </c>
      <c r="AI914">
        <v>0</v>
      </c>
      <c r="AJ914" t="s">
        <v>52</v>
      </c>
      <c r="AK914">
        <v>0</v>
      </c>
      <c r="AL914" t="s">
        <v>52</v>
      </c>
      <c r="AM914" t="s">
        <v>52</v>
      </c>
      <c r="AN914">
        <v>0</v>
      </c>
      <c r="AO914">
        <v>0</v>
      </c>
      <c r="AP914" t="s">
        <v>52</v>
      </c>
      <c r="AQ914" t="s">
        <v>52</v>
      </c>
      <c r="AR914" t="s">
        <v>62</v>
      </c>
      <c r="AS914" t="s">
        <v>52</v>
      </c>
      <c r="AT914" t="s">
        <v>52</v>
      </c>
      <c r="AU914" t="s">
        <v>64</v>
      </c>
      <c r="AV914" t="s">
        <v>62</v>
      </c>
      <c r="AW914" t="s">
        <v>65</v>
      </c>
      <c r="AX914" t="s">
        <v>66</v>
      </c>
      <c r="AY914" t="s">
        <v>67</v>
      </c>
    </row>
    <row r="915" spans="1:51" hidden="1" x14ac:dyDescent="0.25">
      <c r="A915">
        <v>203125</v>
      </c>
      <c r="B915" t="s">
        <v>3506</v>
      </c>
      <c r="C915" t="str">
        <f>VLOOKUP(A915,[1]Customer_payment_journal_line!$AL:$BO,30,0)</f>
        <v>CPay-000000069</v>
      </c>
      <c r="D915" t="s">
        <v>53</v>
      </c>
      <c r="E915" t="s">
        <v>3504</v>
      </c>
      <c r="F915" t="s">
        <v>3505</v>
      </c>
      <c r="G915" t="s">
        <v>3455</v>
      </c>
      <c r="H915" t="s">
        <v>69</v>
      </c>
      <c r="I915" t="s">
        <v>1621</v>
      </c>
      <c r="J915" t="s">
        <v>1618</v>
      </c>
      <c r="K915" t="s">
        <v>3499</v>
      </c>
      <c r="L915">
        <f>VLOOKUP(A915,[1]Customer_payment_journal_line!$B:$L,11,0)</f>
        <v>1535.58</v>
      </c>
      <c r="M915" s="1">
        <v>0</v>
      </c>
      <c r="N915">
        <v>1535.58</v>
      </c>
      <c r="O915" t="s">
        <v>61</v>
      </c>
      <c r="P915">
        <v>100</v>
      </c>
      <c r="Q915" t="s">
        <v>52</v>
      </c>
      <c r="R915" t="s">
        <v>52</v>
      </c>
      <c r="S915" t="s">
        <v>52</v>
      </c>
      <c r="T915" t="s">
        <v>52</v>
      </c>
      <c r="U915" t="s">
        <v>52</v>
      </c>
      <c r="V915" t="s">
        <v>62</v>
      </c>
      <c r="W915" t="s">
        <v>52</v>
      </c>
      <c r="Y915" t="s">
        <v>1622</v>
      </c>
      <c r="Z915" t="s">
        <v>62</v>
      </c>
      <c r="AB915" t="s">
        <v>3507</v>
      </c>
      <c r="AE915" t="s">
        <v>3508</v>
      </c>
      <c r="AF915" t="s">
        <v>52</v>
      </c>
      <c r="AH915">
        <v>0</v>
      </c>
      <c r="AI915">
        <v>0</v>
      </c>
      <c r="AJ915" t="s">
        <v>52</v>
      </c>
      <c r="AK915">
        <v>0</v>
      </c>
      <c r="AL915" t="s">
        <v>52</v>
      </c>
      <c r="AM915" t="s">
        <v>52</v>
      </c>
      <c r="AN915">
        <v>0</v>
      </c>
      <c r="AO915">
        <v>0</v>
      </c>
      <c r="AP915" t="s">
        <v>52</v>
      </c>
      <c r="AQ915" t="s">
        <v>52</v>
      </c>
      <c r="AR915" t="s">
        <v>62</v>
      </c>
      <c r="AS915" t="s">
        <v>52</v>
      </c>
      <c r="AT915" t="s">
        <v>74</v>
      </c>
      <c r="AU915" t="s">
        <v>64</v>
      </c>
      <c r="AV915" t="s">
        <v>62</v>
      </c>
      <c r="AW915" t="s">
        <v>65</v>
      </c>
      <c r="AX915" t="s">
        <v>66</v>
      </c>
      <c r="AY915" t="s">
        <v>67</v>
      </c>
    </row>
    <row r="916" spans="1:51" hidden="1" x14ac:dyDescent="0.25">
      <c r="A916">
        <v>203126</v>
      </c>
      <c r="B916" t="s">
        <v>3509</v>
      </c>
      <c r="C916" t="e">
        <f>VLOOKUP(A916,[1]Customer_payment_journal_line!$AL:$BO,30,0)</f>
        <v>#N/A</v>
      </c>
      <c r="D916" t="s">
        <v>76</v>
      </c>
      <c r="E916" t="s">
        <v>3510</v>
      </c>
      <c r="F916" t="s">
        <v>3511</v>
      </c>
      <c r="G916" t="s">
        <v>3455</v>
      </c>
      <c r="H916" t="s">
        <v>80</v>
      </c>
      <c r="I916" t="s">
        <v>81</v>
      </c>
      <c r="J916" t="s">
        <v>3512</v>
      </c>
      <c r="K916" t="s">
        <v>3513</v>
      </c>
      <c r="L916" t="s">
        <v>52</v>
      </c>
      <c r="M916">
        <v>5985</v>
      </c>
      <c r="N916">
        <v>0</v>
      </c>
      <c r="O916" t="s">
        <v>61</v>
      </c>
      <c r="P916">
        <v>100</v>
      </c>
      <c r="Q916" t="s">
        <v>52</v>
      </c>
      <c r="R916" t="s">
        <v>52</v>
      </c>
      <c r="S916" t="s">
        <v>52</v>
      </c>
      <c r="T916" t="s">
        <v>52</v>
      </c>
      <c r="U916" t="s">
        <v>52</v>
      </c>
      <c r="V916" t="s">
        <v>62</v>
      </c>
      <c r="W916" t="s">
        <v>52</v>
      </c>
      <c r="Y916" t="s">
        <v>52</v>
      </c>
      <c r="AB916" t="s">
        <v>52</v>
      </c>
      <c r="AE916" t="s">
        <v>52</v>
      </c>
      <c r="AF916" t="s">
        <v>52</v>
      </c>
      <c r="AH916">
        <v>0</v>
      </c>
      <c r="AI916">
        <v>0</v>
      </c>
      <c r="AJ916" t="s">
        <v>52</v>
      </c>
      <c r="AK916">
        <v>0</v>
      </c>
      <c r="AL916" t="s">
        <v>52</v>
      </c>
      <c r="AM916" t="s">
        <v>52</v>
      </c>
      <c r="AN916">
        <v>0</v>
      </c>
      <c r="AO916">
        <v>0</v>
      </c>
      <c r="AP916" t="s">
        <v>52</v>
      </c>
      <c r="AQ916" t="s">
        <v>52</v>
      </c>
      <c r="AR916" t="s">
        <v>62</v>
      </c>
      <c r="AS916" t="s">
        <v>52</v>
      </c>
      <c r="AT916" t="s">
        <v>52</v>
      </c>
      <c r="AU916" t="s">
        <v>64</v>
      </c>
      <c r="AV916" t="s">
        <v>62</v>
      </c>
      <c r="AW916" t="s">
        <v>65</v>
      </c>
      <c r="AX916" t="s">
        <v>66</v>
      </c>
      <c r="AY916" t="s">
        <v>76</v>
      </c>
    </row>
    <row r="917" spans="1:51" hidden="1" x14ac:dyDescent="0.25">
      <c r="A917">
        <v>203126</v>
      </c>
      <c r="B917" t="s">
        <v>3514</v>
      </c>
      <c r="C917" t="e">
        <f>VLOOKUP(A917,[1]Customer_payment_journal_line!$AL:$BO,30,0)</f>
        <v>#N/A</v>
      </c>
      <c r="D917" t="s">
        <v>76</v>
      </c>
      <c r="E917" t="s">
        <v>3510</v>
      </c>
      <c r="F917" t="s">
        <v>3511</v>
      </c>
      <c r="G917" t="s">
        <v>3455</v>
      </c>
      <c r="H917" t="s">
        <v>69</v>
      </c>
      <c r="I917" t="s">
        <v>3515</v>
      </c>
      <c r="J917" t="s">
        <v>3512</v>
      </c>
      <c r="K917" t="s">
        <v>3513</v>
      </c>
      <c r="L917" t="s">
        <v>52</v>
      </c>
      <c r="M917">
        <v>0</v>
      </c>
      <c r="N917">
        <v>855</v>
      </c>
      <c r="O917" t="s">
        <v>61</v>
      </c>
      <c r="P917">
        <v>100</v>
      </c>
      <c r="Q917" t="s">
        <v>52</v>
      </c>
      <c r="R917" t="s">
        <v>52</v>
      </c>
      <c r="S917" t="s">
        <v>52</v>
      </c>
      <c r="T917" t="s">
        <v>52</v>
      </c>
      <c r="U917" t="s">
        <v>52</v>
      </c>
      <c r="V917" t="s">
        <v>62</v>
      </c>
      <c r="W917" t="s">
        <v>52</v>
      </c>
      <c r="Y917" t="s">
        <v>3516</v>
      </c>
      <c r="Z917" t="s">
        <v>62</v>
      </c>
      <c r="AB917" t="s">
        <v>3517</v>
      </c>
      <c r="AE917" t="s">
        <v>3518</v>
      </c>
      <c r="AF917" t="s">
        <v>52</v>
      </c>
      <c r="AH917">
        <v>0</v>
      </c>
      <c r="AI917">
        <v>0</v>
      </c>
      <c r="AJ917" t="s">
        <v>52</v>
      </c>
      <c r="AK917">
        <v>0</v>
      </c>
      <c r="AL917" t="s">
        <v>52</v>
      </c>
      <c r="AM917" t="s">
        <v>52</v>
      </c>
      <c r="AN917">
        <v>0</v>
      </c>
      <c r="AO917">
        <v>0</v>
      </c>
      <c r="AP917" t="s">
        <v>52</v>
      </c>
      <c r="AQ917" t="s">
        <v>52</v>
      </c>
      <c r="AR917" t="s">
        <v>62</v>
      </c>
      <c r="AS917" t="s">
        <v>52</v>
      </c>
      <c r="AT917" t="s">
        <v>74</v>
      </c>
      <c r="AU917" t="s">
        <v>64</v>
      </c>
      <c r="AV917" t="s">
        <v>62</v>
      </c>
      <c r="AW917" t="s">
        <v>65</v>
      </c>
      <c r="AX917" t="s">
        <v>66</v>
      </c>
      <c r="AY917" t="s">
        <v>76</v>
      </c>
    </row>
    <row r="918" spans="1:51" hidden="1" x14ac:dyDescent="0.25">
      <c r="A918">
        <v>203126</v>
      </c>
      <c r="B918" t="s">
        <v>3519</v>
      </c>
      <c r="C918" t="e">
        <f>VLOOKUP(A918,[1]Customer_payment_journal_line!$AL:$BO,30,0)</f>
        <v>#N/A</v>
      </c>
      <c r="D918" t="s">
        <v>76</v>
      </c>
      <c r="E918" t="s">
        <v>3510</v>
      </c>
      <c r="F918" t="s">
        <v>3511</v>
      </c>
      <c r="G918" t="s">
        <v>3455</v>
      </c>
      <c r="H918" t="s">
        <v>69</v>
      </c>
      <c r="I918" t="s">
        <v>3515</v>
      </c>
      <c r="J918" t="s">
        <v>3512</v>
      </c>
      <c r="K918" t="s">
        <v>3513</v>
      </c>
      <c r="L918" t="s">
        <v>52</v>
      </c>
      <c r="M918">
        <v>0</v>
      </c>
      <c r="N918">
        <v>5130</v>
      </c>
      <c r="O918" t="s">
        <v>61</v>
      </c>
      <c r="P918">
        <v>100</v>
      </c>
      <c r="Q918" t="s">
        <v>52</v>
      </c>
      <c r="R918" t="s">
        <v>52</v>
      </c>
      <c r="S918" t="s">
        <v>52</v>
      </c>
      <c r="T918" t="s">
        <v>52</v>
      </c>
      <c r="U918" t="s">
        <v>52</v>
      </c>
      <c r="V918" t="s">
        <v>62</v>
      </c>
      <c r="W918" t="s">
        <v>52</v>
      </c>
      <c r="Y918" t="s">
        <v>3516</v>
      </c>
      <c r="Z918" t="s">
        <v>62</v>
      </c>
      <c r="AB918" t="s">
        <v>3520</v>
      </c>
      <c r="AE918" t="s">
        <v>3521</v>
      </c>
      <c r="AF918" t="s">
        <v>52</v>
      </c>
      <c r="AH918">
        <v>0</v>
      </c>
      <c r="AI918">
        <v>0</v>
      </c>
      <c r="AJ918" t="s">
        <v>52</v>
      </c>
      <c r="AK918">
        <v>0</v>
      </c>
      <c r="AL918" t="s">
        <v>52</v>
      </c>
      <c r="AM918" t="s">
        <v>52</v>
      </c>
      <c r="AN918">
        <v>0</v>
      </c>
      <c r="AO918">
        <v>0</v>
      </c>
      <c r="AP918" t="s">
        <v>52</v>
      </c>
      <c r="AQ918" t="s">
        <v>52</v>
      </c>
      <c r="AR918" t="s">
        <v>62</v>
      </c>
      <c r="AS918" t="s">
        <v>52</v>
      </c>
      <c r="AT918" t="s">
        <v>74</v>
      </c>
      <c r="AU918" t="s">
        <v>64</v>
      </c>
      <c r="AV918" t="s">
        <v>62</v>
      </c>
      <c r="AW918" t="s">
        <v>65</v>
      </c>
      <c r="AX918" t="s">
        <v>66</v>
      </c>
      <c r="AY918" t="s">
        <v>76</v>
      </c>
    </row>
    <row r="919" spans="1:51" hidden="1" x14ac:dyDescent="0.25">
      <c r="A919">
        <v>203127</v>
      </c>
      <c r="B919" t="s">
        <v>3522</v>
      </c>
      <c r="C919" t="e">
        <f>VLOOKUP(A919,[1]Customer_payment_journal_line!$AL:$BO,30,0)</f>
        <v>#N/A</v>
      </c>
      <c r="D919" t="s">
        <v>644</v>
      </c>
      <c r="E919" t="s">
        <v>3523</v>
      </c>
      <c r="F919" t="s">
        <v>3524</v>
      </c>
      <c r="G919" t="s">
        <v>3455</v>
      </c>
      <c r="H919" t="s">
        <v>210</v>
      </c>
      <c r="I919" t="s">
        <v>3525</v>
      </c>
      <c r="K919" t="s">
        <v>3513</v>
      </c>
      <c r="L919" t="s">
        <v>52</v>
      </c>
      <c r="M919">
        <v>350</v>
      </c>
      <c r="N919">
        <v>0</v>
      </c>
      <c r="O919" t="s">
        <v>126</v>
      </c>
      <c r="P919">
        <v>5285</v>
      </c>
      <c r="Q919" t="s">
        <v>52</v>
      </c>
      <c r="R919" t="s">
        <v>52</v>
      </c>
      <c r="S919" t="s">
        <v>52</v>
      </c>
      <c r="T919" t="s">
        <v>52</v>
      </c>
      <c r="U919" t="s">
        <v>52</v>
      </c>
      <c r="V919" t="s">
        <v>62</v>
      </c>
      <c r="W919" t="s">
        <v>63</v>
      </c>
      <c r="Y919" t="s">
        <v>52</v>
      </c>
      <c r="AB919" t="s">
        <v>3526</v>
      </c>
      <c r="AE919" t="s">
        <v>3527</v>
      </c>
      <c r="AF919" t="s">
        <v>1278</v>
      </c>
      <c r="AG919" t="s">
        <v>3528</v>
      </c>
      <c r="AH919">
        <v>0</v>
      </c>
      <c r="AI919">
        <v>0</v>
      </c>
      <c r="AJ919" t="s">
        <v>52</v>
      </c>
      <c r="AK919">
        <v>0</v>
      </c>
      <c r="AL919" t="s">
        <v>52</v>
      </c>
      <c r="AM919" t="s">
        <v>52</v>
      </c>
      <c r="AN919">
        <v>0</v>
      </c>
      <c r="AO919">
        <v>0</v>
      </c>
      <c r="AP919" t="s">
        <v>52</v>
      </c>
      <c r="AQ919" t="s">
        <v>52</v>
      </c>
      <c r="AR919" t="s">
        <v>62</v>
      </c>
      <c r="AS919" t="s">
        <v>52</v>
      </c>
      <c r="AT919" t="s">
        <v>52</v>
      </c>
      <c r="AU919" t="s">
        <v>64</v>
      </c>
      <c r="AV919" t="s">
        <v>62</v>
      </c>
      <c r="AW919" t="s">
        <v>65</v>
      </c>
      <c r="AX919" t="s">
        <v>66</v>
      </c>
      <c r="AY919" t="s">
        <v>654</v>
      </c>
    </row>
    <row r="920" spans="1:51" hidden="1" x14ac:dyDescent="0.25">
      <c r="A920">
        <v>203127</v>
      </c>
      <c r="B920" t="s">
        <v>3529</v>
      </c>
      <c r="C920" t="e">
        <f>VLOOKUP(A920,[1]Customer_payment_journal_line!$AL:$BO,30,0)</f>
        <v>#N/A</v>
      </c>
      <c r="D920" t="s">
        <v>644</v>
      </c>
      <c r="E920" t="s">
        <v>3523</v>
      </c>
      <c r="F920" t="s">
        <v>3524</v>
      </c>
      <c r="G920" t="s">
        <v>3455</v>
      </c>
      <c r="H920" t="s">
        <v>69</v>
      </c>
      <c r="I920" t="s">
        <v>3515</v>
      </c>
      <c r="J920" t="s">
        <v>3512</v>
      </c>
      <c r="K920" t="s">
        <v>3513</v>
      </c>
      <c r="L920" t="s">
        <v>52</v>
      </c>
      <c r="M920">
        <v>0</v>
      </c>
      <c r="N920">
        <v>350</v>
      </c>
      <c r="O920" t="s">
        <v>126</v>
      </c>
      <c r="P920">
        <v>5285</v>
      </c>
      <c r="Q920" t="s">
        <v>52</v>
      </c>
      <c r="R920" t="s">
        <v>52</v>
      </c>
      <c r="S920" t="s">
        <v>52</v>
      </c>
      <c r="T920" t="s">
        <v>52</v>
      </c>
      <c r="U920" t="s">
        <v>52</v>
      </c>
      <c r="V920" t="s">
        <v>62</v>
      </c>
      <c r="W920" t="s">
        <v>52</v>
      </c>
      <c r="Y920" t="s">
        <v>3516</v>
      </c>
      <c r="Z920" t="s">
        <v>62</v>
      </c>
      <c r="AB920" t="s">
        <v>3526</v>
      </c>
      <c r="AE920" t="s">
        <v>3527</v>
      </c>
      <c r="AF920" t="s">
        <v>1278</v>
      </c>
      <c r="AG920" t="s">
        <v>3528</v>
      </c>
      <c r="AH920">
        <v>0</v>
      </c>
      <c r="AI920">
        <v>0</v>
      </c>
      <c r="AJ920" t="s">
        <v>52</v>
      </c>
      <c r="AK920">
        <v>0</v>
      </c>
      <c r="AL920" t="s">
        <v>52</v>
      </c>
      <c r="AM920" t="s">
        <v>52</v>
      </c>
      <c r="AN920">
        <v>0</v>
      </c>
      <c r="AO920">
        <v>0</v>
      </c>
      <c r="AP920" t="s">
        <v>52</v>
      </c>
      <c r="AQ920" t="s">
        <v>52</v>
      </c>
      <c r="AR920" t="s">
        <v>62</v>
      </c>
      <c r="AS920" t="s">
        <v>52</v>
      </c>
      <c r="AT920" t="s">
        <v>74</v>
      </c>
      <c r="AU920" t="s">
        <v>64</v>
      </c>
      <c r="AV920" t="s">
        <v>62</v>
      </c>
      <c r="AW920" t="s">
        <v>65</v>
      </c>
      <c r="AX920" t="s">
        <v>66</v>
      </c>
      <c r="AY920" t="s">
        <v>654</v>
      </c>
    </row>
    <row r="921" spans="1:51" hidden="1" x14ac:dyDescent="0.25">
      <c r="A921">
        <v>203130</v>
      </c>
      <c r="B921" t="s">
        <v>3530</v>
      </c>
      <c r="C921" t="e">
        <f>VLOOKUP(A921,[1]Customer_payment_journal_line!$AL:$BO,30,0)</f>
        <v>#N/A</v>
      </c>
      <c r="D921" t="s">
        <v>159</v>
      </c>
      <c r="E921" t="s">
        <v>3531</v>
      </c>
      <c r="F921" t="s">
        <v>3532</v>
      </c>
      <c r="G921" t="s">
        <v>3455</v>
      </c>
      <c r="H921" t="s">
        <v>80</v>
      </c>
      <c r="I921" t="s">
        <v>766</v>
      </c>
      <c r="J921" t="s">
        <v>3533</v>
      </c>
      <c r="K921" t="s">
        <v>3534</v>
      </c>
      <c r="L921" t="s">
        <v>52</v>
      </c>
      <c r="M921">
        <v>700</v>
      </c>
      <c r="N921">
        <v>0</v>
      </c>
      <c r="O921" t="s">
        <v>126</v>
      </c>
      <c r="P921">
        <v>5285</v>
      </c>
      <c r="Q921" t="s">
        <v>52</v>
      </c>
      <c r="R921" t="s">
        <v>52</v>
      </c>
      <c r="S921" t="s">
        <v>52</v>
      </c>
      <c r="T921" t="s">
        <v>52</v>
      </c>
      <c r="U921" t="s">
        <v>52</v>
      </c>
      <c r="V921" t="s">
        <v>62</v>
      </c>
      <c r="W921" t="s">
        <v>52</v>
      </c>
      <c r="Y921" t="s">
        <v>52</v>
      </c>
      <c r="AB921" t="s">
        <v>52</v>
      </c>
      <c r="AE921" t="s">
        <v>52</v>
      </c>
      <c r="AF921" t="s">
        <v>52</v>
      </c>
      <c r="AH921">
        <v>0</v>
      </c>
      <c r="AI921">
        <v>0</v>
      </c>
      <c r="AJ921" t="s">
        <v>52</v>
      </c>
      <c r="AK921">
        <v>0</v>
      </c>
      <c r="AL921" t="s">
        <v>52</v>
      </c>
      <c r="AM921" t="s">
        <v>52</v>
      </c>
      <c r="AN921">
        <v>0</v>
      </c>
      <c r="AO921">
        <v>0</v>
      </c>
      <c r="AP921" t="s">
        <v>52</v>
      </c>
      <c r="AQ921" t="s">
        <v>52</v>
      </c>
      <c r="AR921" t="s">
        <v>62</v>
      </c>
      <c r="AS921" t="s">
        <v>52</v>
      </c>
      <c r="AT921" t="s">
        <v>52</v>
      </c>
      <c r="AU921" t="s">
        <v>64</v>
      </c>
      <c r="AV921" t="s">
        <v>62</v>
      </c>
      <c r="AW921" t="s">
        <v>65</v>
      </c>
      <c r="AX921" t="s">
        <v>66</v>
      </c>
      <c r="AY921" t="s">
        <v>165</v>
      </c>
    </row>
    <row r="922" spans="1:51" hidden="1" x14ac:dyDescent="0.25">
      <c r="A922">
        <v>203130</v>
      </c>
      <c r="B922" t="s">
        <v>3535</v>
      </c>
      <c r="C922" t="e">
        <f>VLOOKUP(A922,[1]Customer_payment_journal_line!$AL:$BO,30,0)</f>
        <v>#N/A</v>
      </c>
      <c r="D922" t="s">
        <v>159</v>
      </c>
      <c r="E922" t="s">
        <v>3531</v>
      </c>
      <c r="F922" t="s">
        <v>3532</v>
      </c>
      <c r="G922" t="s">
        <v>3455</v>
      </c>
      <c r="H922" t="s">
        <v>69</v>
      </c>
      <c r="I922" t="s">
        <v>3536</v>
      </c>
      <c r="J922" t="s">
        <v>3533</v>
      </c>
      <c r="K922" t="s">
        <v>3534</v>
      </c>
      <c r="L922" t="s">
        <v>52</v>
      </c>
      <c r="M922">
        <v>0</v>
      </c>
      <c r="N922">
        <v>700</v>
      </c>
      <c r="O922" t="s">
        <v>126</v>
      </c>
      <c r="P922">
        <v>5285</v>
      </c>
      <c r="Q922" t="s">
        <v>52</v>
      </c>
      <c r="R922" t="s">
        <v>52</v>
      </c>
      <c r="S922" t="s">
        <v>52</v>
      </c>
      <c r="T922" t="s">
        <v>52</v>
      </c>
      <c r="U922" t="s">
        <v>52</v>
      </c>
      <c r="V922" t="s">
        <v>62</v>
      </c>
      <c r="W922" t="s">
        <v>52</v>
      </c>
      <c r="Y922" t="s">
        <v>3537</v>
      </c>
      <c r="Z922" t="s">
        <v>62</v>
      </c>
      <c r="AB922" t="s">
        <v>3538</v>
      </c>
      <c r="AE922" t="s">
        <v>3539</v>
      </c>
      <c r="AF922" t="s">
        <v>52</v>
      </c>
      <c r="AH922">
        <v>0</v>
      </c>
      <c r="AI922">
        <v>0</v>
      </c>
      <c r="AJ922" t="s">
        <v>52</v>
      </c>
      <c r="AK922">
        <v>0</v>
      </c>
      <c r="AL922" t="s">
        <v>52</v>
      </c>
      <c r="AM922" t="s">
        <v>52</v>
      </c>
      <c r="AN922">
        <v>0</v>
      </c>
      <c r="AO922">
        <v>0</v>
      </c>
      <c r="AP922" t="s">
        <v>52</v>
      </c>
      <c r="AQ922" t="s">
        <v>52</v>
      </c>
      <c r="AR922" t="s">
        <v>62</v>
      </c>
      <c r="AS922" t="s">
        <v>52</v>
      </c>
      <c r="AT922" t="s">
        <v>74</v>
      </c>
      <c r="AU922" t="s">
        <v>64</v>
      </c>
      <c r="AV922" t="s">
        <v>62</v>
      </c>
      <c r="AW922" t="s">
        <v>65</v>
      </c>
      <c r="AX922" t="s">
        <v>66</v>
      </c>
      <c r="AY922" t="s">
        <v>165</v>
      </c>
    </row>
    <row r="923" spans="1:51" hidden="1" x14ac:dyDescent="0.25">
      <c r="A923">
        <v>203138</v>
      </c>
      <c r="B923" t="s">
        <v>3540</v>
      </c>
      <c r="C923" t="e">
        <f>VLOOKUP(A923,[1]Customer_payment_journal_line!$AL:$BO,30,0)</f>
        <v>#N/A</v>
      </c>
      <c r="D923" t="s">
        <v>76</v>
      </c>
      <c r="E923" t="s">
        <v>3541</v>
      </c>
      <c r="F923" t="s">
        <v>3542</v>
      </c>
      <c r="G923" t="s">
        <v>3455</v>
      </c>
      <c r="H923" t="s">
        <v>80</v>
      </c>
      <c r="I923" t="s">
        <v>81</v>
      </c>
      <c r="J923" t="s">
        <v>3543</v>
      </c>
      <c r="K923" t="s">
        <v>3544</v>
      </c>
      <c r="L923" t="s">
        <v>52</v>
      </c>
      <c r="M923">
        <v>3591</v>
      </c>
      <c r="N923">
        <v>0</v>
      </c>
      <c r="O923" t="s">
        <v>61</v>
      </c>
      <c r="P923">
        <v>100</v>
      </c>
      <c r="Q923" t="s">
        <v>52</v>
      </c>
      <c r="R923" t="s">
        <v>52</v>
      </c>
      <c r="S923" t="s">
        <v>52</v>
      </c>
      <c r="T923" t="s">
        <v>52</v>
      </c>
      <c r="U923" t="s">
        <v>52</v>
      </c>
      <c r="V923" t="s">
        <v>62</v>
      </c>
      <c r="W923" t="s">
        <v>52</v>
      </c>
      <c r="Y923" t="s">
        <v>52</v>
      </c>
      <c r="AB923" t="s">
        <v>52</v>
      </c>
      <c r="AE923" t="s">
        <v>52</v>
      </c>
      <c r="AF923" t="s">
        <v>52</v>
      </c>
      <c r="AH923">
        <v>0</v>
      </c>
      <c r="AI923">
        <v>0</v>
      </c>
      <c r="AJ923" t="s">
        <v>52</v>
      </c>
      <c r="AK923">
        <v>0</v>
      </c>
      <c r="AL923" t="s">
        <v>52</v>
      </c>
      <c r="AM923" t="s">
        <v>52</v>
      </c>
      <c r="AN923">
        <v>0</v>
      </c>
      <c r="AO923">
        <v>0</v>
      </c>
      <c r="AP923" t="s">
        <v>52</v>
      </c>
      <c r="AQ923" t="s">
        <v>52</v>
      </c>
      <c r="AR923" t="s">
        <v>62</v>
      </c>
      <c r="AS923" t="s">
        <v>52</v>
      </c>
      <c r="AT923" t="s">
        <v>52</v>
      </c>
      <c r="AU923" t="s">
        <v>64</v>
      </c>
      <c r="AV923" t="s">
        <v>62</v>
      </c>
      <c r="AW923" t="s">
        <v>65</v>
      </c>
      <c r="AX923" t="s">
        <v>66</v>
      </c>
      <c r="AY923" t="s">
        <v>76</v>
      </c>
    </row>
    <row r="924" spans="1:51" hidden="1" x14ac:dyDescent="0.25">
      <c r="A924">
        <v>203138</v>
      </c>
      <c r="B924" t="s">
        <v>3545</v>
      </c>
      <c r="C924" t="e">
        <f>VLOOKUP(A924,[1]Customer_payment_journal_line!$AL:$BO,30,0)</f>
        <v>#N/A</v>
      </c>
      <c r="D924" t="s">
        <v>76</v>
      </c>
      <c r="E924" t="s">
        <v>3541</v>
      </c>
      <c r="F924" t="s">
        <v>3542</v>
      </c>
      <c r="G924" t="s">
        <v>3455</v>
      </c>
      <c r="H924" t="s">
        <v>69</v>
      </c>
      <c r="I924" t="s">
        <v>3546</v>
      </c>
      <c r="J924" t="s">
        <v>3543</v>
      </c>
      <c r="K924" t="s">
        <v>3544</v>
      </c>
      <c r="L924" t="s">
        <v>52</v>
      </c>
      <c r="M924">
        <v>0</v>
      </c>
      <c r="N924">
        <v>855</v>
      </c>
      <c r="O924" t="s">
        <v>61</v>
      </c>
      <c r="P924">
        <v>100</v>
      </c>
      <c r="Q924" t="s">
        <v>52</v>
      </c>
      <c r="R924" t="s">
        <v>52</v>
      </c>
      <c r="S924" t="s">
        <v>52</v>
      </c>
      <c r="T924" t="s">
        <v>52</v>
      </c>
      <c r="U924" t="s">
        <v>52</v>
      </c>
      <c r="V924" t="s">
        <v>62</v>
      </c>
      <c r="W924" t="s">
        <v>52</v>
      </c>
      <c r="Y924" t="s">
        <v>3547</v>
      </c>
      <c r="Z924" t="s">
        <v>62</v>
      </c>
      <c r="AB924" t="s">
        <v>3548</v>
      </c>
      <c r="AE924" t="s">
        <v>3549</v>
      </c>
      <c r="AF924" t="s">
        <v>52</v>
      </c>
      <c r="AH924">
        <v>0</v>
      </c>
      <c r="AI924">
        <v>0</v>
      </c>
      <c r="AJ924" t="s">
        <v>52</v>
      </c>
      <c r="AK924">
        <v>0</v>
      </c>
      <c r="AL924" t="s">
        <v>52</v>
      </c>
      <c r="AM924" t="s">
        <v>52</v>
      </c>
      <c r="AN924">
        <v>0</v>
      </c>
      <c r="AO924">
        <v>0</v>
      </c>
      <c r="AP924" t="s">
        <v>52</v>
      </c>
      <c r="AQ924" t="s">
        <v>52</v>
      </c>
      <c r="AR924" t="s">
        <v>62</v>
      </c>
      <c r="AS924" t="s">
        <v>52</v>
      </c>
      <c r="AT924" t="s">
        <v>74</v>
      </c>
      <c r="AU924" t="s">
        <v>64</v>
      </c>
      <c r="AV924" t="s">
        <v>62</v>
      </c>
      <c r="AW924" t="s">
        <v>65</v>
      </c>
      <c r="AX924" t="s">
        <v>66</v>
      </c>
      <c r="AY924" t="s">
        <v>76</v>
      </c>
    </row>
    <row r="925" spans="1:51" hidden="1" x14ac:dyDescent="0.25">
      <c r="A925">
        <v>203138</v>
      </c>
      <c r="B925" t="s">
        <v>3550</v>
      </c>
      <c r="C925" t="e">
        <f>VLOOKUP(A925,[1]Customer_payment_journal_line!$AL:$BO,30,0)</f>
        <v>#N/A</v>
      </c>
      <c r="D925" t="s">
        <v>76</v>
      </c>
      <c r="E925" t="s">
        <v>3541</v>
      </c>
      <c r="F925" t="s">
        <v>3542</v>
      </c>
      <c r="G925" t="s">
        <v>3455</v>
      </c>
      <c r="H925" t="s">
        <v>69</v>
      </c>
      <c r="I925" t="s">
        <v>3546</v>
      </c>
      <c r="J925" t="s">
        <v>3543</v>
      </c>
      <c r="K925" t="s">
        <v>3544</v>
      </c>
      <c r="L925" t="s">
        <v>52</v>
      </c>
      <c r="M925">
        <v>0</v>
      </c>
      <c r="N925">
        <v>2736</v>
      </c>
      <c r="O925" t="s">
        <v>61</v>
      </c>
      <c r="P925">
        <v>100</v>
      </c>
      <c r="Q925" t="s">
        <v>52</v>
      </c>
      <c r="R925" t="s">
        <v>52</v>
      </c>
      <c r="S925" t="s">
        <v>52</v>
      </c>
      <c r="T925" t="s">
        <v>52</v>
      </c>
      <c r="U925" t="s">
        <v>52</v>
      </c>
      <c r="V925" t="s">
        <v>62</v>
      </c>
      <c r="W925" t="s">
        <v>52</v>
      </c>
      <c r="Y925" t="s">
        <v>3547</v>
      </c>
      <c r="Z925" t="s">
        <v>62</v>
      </c>
      <c r="AB925" t="s">
        <v>3551</v>
      </c>
      <c r="AE925" t="s">
        <v>3552</v>
      </c>
      <c r="AF925" t="s">
        <v>52</v>
      </c>
      <c r="AH925">
        <v>0</v>
      </c>
      <c r="AI925">
        <v>0</v>
      </c>
      <c r="AJ925" t="s">
        <v>52</v>
      </c>
      <c r="AK925">
        <v>0</v>
      </c>
      <c r="AL925" t="s">
        <v>52</v>
      </c>
      <c r="AM925" t="s">
        <v>52</v>
      </c>
      <c r="AN925">
        <v>0</v>
      </c>
      <c r="AO925">
        <v>0</v>
      </c>
      <c r="AP925" t="s">
        <v>52</v>
      </c>
      <c r="AQ925" t="s">
        <v>52</v>
      </c>
      <c r="AR925" t="s">
        <v>62</v>
      </c>
      <c r="AS925" t="s">
        <v>52</v>
      </c>
      <c r="AT925" t="s">
        <v>74</v>
      </c>
      <c r="AU925" t="s">
        <v>64</v>
      </c>
      <c r="AV925" t="s">
        <v>62</v>
      </c>
      <c r="AW925" t="s">
        <v>65</v>
      </c>
      <c r="AX925" t="s">
        <v>66</v>
      </c>
      <c r="AY925" t="s">
        <v>76</v>
      </c>
    </row>
    <row r="926" spans="1:51" hidden="1" x14ac:dyDescent="0.25">
      <c r="A926">
        <v>203153</v>
      </c>
      <c r="B926" t="s">
        <v>3553</v>
      </c>
      <c r="C926" t="e">
        <f>VLOOKUP(A926,[1]Customer_payment_journal_line!$AL:$BO,30,0)</f>
        <v>#N/A</v>
      </c>
      <c r="D926" t="s">
        <v>76</v>
      </c>
      <c r="E926" t="s">
        <v>3554</v>
      </c>
      <c r="F926" t="s">
        <v>3555</v>
      </c>
      <c r="G926" t="s">
        <v>3455</v>
      </c>
      <c r="H926" t="s">
        <v>80</v>
      </c>
      <c r="I926" t="s">
        <v>81</v>
      </c>
      <c r="J926" t="s">
        <v>3556</v>
      </c>
      <c r="K926" t="s">
        <v>3557</v>
      </c>
      <c r="L926" t="s">
        <v>52</v>
      </c>
      <c r="M926">
        <v>6840</v>
      </c>
      <c r="N926">
        <v>0</v>
      </c>
      <c r="O926" t="s">
        <v>61</v>
      </c>
      <c r="P926">
        <v>100</v>
      </c>
      <c r="Q926" t="s">
        <v>52</v>
      </c>
      <c r="R926" t="s">
        <v>52</v>
      </c>
      <c r="S926" t="s">
        <v>52</v>
      </c>
      <c r="T926" t="s">
        <v>52</v>
      </c>
      <c r="U926" t="s">
        <v>52</v>
      </c>
      <c r="V926" t="s">
        <v>62</v>
      </c>
      <c r="W926" t="s">
        <v>52</v>
      </c>
      <c r="Y926" t="s">
        <v>52</v>
      </c>
      <c r="AB926" t="s">
        <v>52</v>
      </c>
      <c r="AE926" t="s">
        <v>52</v>
      </c>
      <c r="AF926" t="s">
        <v>52</v>
      </c>
      <c r="AH926">
        <v>0</v>
      </c>
      <c r="AI926">
        <v>0</v>
      </c>
      <c r="AJ926" t="s">
        <v>52</v>
      </c>
      <c r="AK926">
        <v>0</v>
      </c>
      <c r="AL926" t="s">
        <v>52</v>
      </c>
      <c r="AM926" t="s">
        <v>52</v>
      </c>
      <c r="AN926">
        <v>0</v>
      </c>
      <c r="AO926">
        <v>0</v>
      </c>
      <c r="AP926" t="s">
        <v>52</v>
      </c>
      <c r="AQ926" t="s">
        <v>52</v>
      </c>
      <c r="AR926" t="s">
        <v>62</v>
      </c>
      <c r="AS926" t="s">
        <v>52</v>
      </c>
      <c r="AT926" t="s">
        <v>52</v>
      </c>
      <c r="AU926" t="s">
        <v>64</v>
      </c>
      <c r="AV926" t="s">
        <v>62</v>
      </c>
      <c r="AW926" t="s">
        <v>65</v>
      </c>
      <c r="AX926" t="s">
        <v>66</v>
      </c>
      <c r="AY926" t="s">
        <v>76</v>
      </c>
    </row>
    <row r="927" spans="1:51" hidden="1" x14ac:dyDescent="0.25">
      <c r="A927">
        <v>203153</v>
      </c>
      <c r="B927" t="s">
        <v>3558</v>
      </c>
      <c r="C927" t="e">
        <f>VLOOKUP(A927,[1]Customer_payment_journal_line!$AL:$BO,30,0)</f>
        <v>#N/A</v>
      </c>
      <c r="D927" t="s">
        <v>76</v>
      </c>
      <c r="E927" t="s">
        <v>3554</v>
      </c>
      <c r="F927" t="s">
        <v>3555</v>
      </c>
      <c r="G927" t="s">
        <v>3455</v>
      </c>
      <c r="H927" t="s">
        <v>69</v>
      </c>
      <c r="I927" t="s">
        <v>3559</v>
      </c>
      <c r="J927" t="s">
        <v>3556</v>
      </c>
      <c r="K927" t="s">
        <v>3557</v>
      </c>
      <c r="L927" t="s">
        <v>52</v>
      </c>
      <c r="M927">
        <v>0</v>
      </c>
      <c r="N927">
        <v>6840</v>
      </c>
      <c r="O927" t="s">
        <v>61</v>
      </c>
      <c r="P927">
        <v>100</v>
      </c>
      <c r="Q927" t="s">
        <v>52</v>
      </c>
      <c r="R927" t="s">
        <v>52</v>
      </c>
      <c r="S927" t="s">
        <v>52</v>
      </c>
      <c r="T927" t="s">
        <v>52</v>
      </c>
      <c r="U927" t="s">
        <v>52</v>
      </c>
      <c r="V927" t="s">
        <v>62</v>
      </c>
      <c r="W927" t="s">
        <v>52</v>
      </c>
      <c r="Y927" t="s">
        <v>3560</v>
      </c>
      <c r="Z927" t="s">
        <v>62</v>
      </c>
      <c r="AB927" t="s">
        <v>3561</v>
      </c>
      <c r="AE927" t="s">
        <v>3562</v>
      </c>
      <c r="AF927" t="s">
        <v>52</v>
      </c>
      <c r="AH927">
        <v>0</v>
      </c>
      <c r="AI927">
        <v>0</v>
      </c>
      <c r="AJ927" t="s">
        <v>52</v>
      </c>
      <c r="AK927">
        <v>0</v>
      </c>
      <c r="AL927" t="s">
        <v>52</v>
      </c>
      <c r="AM927" t="s">
        <v>52</v>
      </c>
      <c r="AN927">
        <v>0</v>
      </c>
      <c r="AO927">
        <v>0</v>
      </c>
      <c r="AP927" t="s">
        <v>52</v>
      </c>
      <c r="AQ927" t="s">
        <v>52</v>
      </c>
      <c r="AR927" t="s">
        <v>62</v>
      </c>
      <c r="AS927" t="s">
        <v>52</v>
      </c>
      <c r="AT927" t="s">
        <v>74</v>
      </c>
      <c r="AU927" t="s">
        <v>64</v>
      </c>
      <c r="AV927" t="s">
        <v>62</v>
      </c>
      <c r="AW927" t="s">
        <v>65</v>
      </c>
      <c r="AX927" t="s">
        <v>66</v>
      </c>
      <c r="AY927" t="s">
        <v>76</v>
      </c>
    </row>
    <row r="928" spans="1:51" hidden="1" x14ac:dyDescent="0.25">
      <c r="A928">
        <v>203155</v>
      </c>
      <c r="B928" t="s">
        <v>3563</v>
      </c>
      <c r="C928" t="e">
        <f>VLOOKUP(A928,[1]Customer_payment_journal_line!$AL:$BO,30,0)</f>
        <v>#N/A</v>
      </c>
      <c r="D928" t="s">
        <v>76</v>
      </c>
      <c r="E928" t="s">
        <v>3564</v>
      </c>
      <c r="F928" t="s">
        <v>3565</v>
      </c>
      <c r="G928" t="s">
        <v>3455</v>
      </c>
      <c r="H928" t="s">
        <v>80</v>
      </c>
      <c r="I928" t="s">
        <v>81</v>
      </c>
      <c r="J928" t="s">
        <v>3566</v>
      </c>
      <c r="K928" t="s">
        <v>2496</v>
      </c>
      <c r="L928" t="s">
        <v>52</v>
      </c>
      <c r="M928">
        <v>1710</v>
      </c>
      <c r="N928">
        <v>0</v>
      </c>
      <c r="O928" t="s">
        <v>61</v>
      </c>
      <c r="P928">
        <v>100</v>
      </c>
      <c r="Q928" t="s">
        <v>52</v>
      </c>
      <c r="R928" t="s">
        <v>52</v>
      </c>
      <c r="S928" t="s">
        <v>52</v>
      </c>
      <c r="T928" t="s">
        <v>52</v>
      </c>
      <c r="U928" t="s">
        <v>52</v>
      </c>
      <c r="V928" t="s">
        <v>62</v>
      </c>
      <c r="W928" t="s">
        <v>52</v>
      </c>
      <c r="Y928" t="s">
        <v>52</v>
      </c>
      <c r="AB928" t="s">
        <v>52</v>
      </c>
      <c r="AE928" t="s">
        <v>52</v>
      </c>
      <c r="AF928" t="s">
        <v>52</v>
      </c>
      <c r="AH928">
        <v>0</v>
      </c>
      <c r="AI928">
        <v>0</v>
      </c>
      <c r="AJ928" t="s">
        <v>52</v>
      </c>
      <c r="AK928">
        <v>0</v>
      </c>
      <c r="AL928" t="s">
        <v>52</v>
      </c>
      <c r="AM928" t="s">
        <v>52</v>
      </c>
      <c r="AN928">
        <v>0</v>
      </c>
      <c r="AO928">
        <v>0</v>
      </c>
      <c r="AP928" t="s">
        <v>52</v>
      </c>
      <c r="AQ928" t="s">
        <v>52</v>
      </c>
      <c r="AR928" t="s">
        <v>62</v>
      </c>
      <c r="AS928" t="s">
        <v>52</v>
      </c>
      <c r="AT928" t="s">
        <v>52</v>
      </c>
      <c r="AU928" t="s">
        <v>64</v>
      </c>
      <c r="AV928" t="s">
        <v>62</v>
      </c>
      <c r="AW928" t="s">
        <v>65</v>
      </c>
      <c r="AX928" t="s">
        <v>66</v>
      </c>
      <c r="AY928" t="s">
        <v>76</v>
      </c>
    </row>
    <row r="929" spans="1:51" hidden="1" x14ac:dyDescent="0.25">
      <c r="A929">
        <v>203155</v>
      </c>
      <c r="B929" t="s">
        <v>3567</v>
      </c>
      <c r="C929" t="e">
        <f>VLOOKUP(A929,[1]Customer_payment_journal_line!$AL:$BO,30,0)</f>
        <v>#N/A</v>
      </c>
      <c r="D929" t="s">
        <v>76</v>
      </c>
      <c r="E929" t="s">
        <v>3564</v>
      </c>
      <c r="F929" t="s">
        <v>3565</v>
      </c>
      <c r="G929" t="s">
        <v>3455</v>
      </c>
      <c r="H929" t="s">
        <v>69</v>
      </c>
      <c r="I929" t="s">
        <v>431</v>
      </c>
      <c r="J929" t="s">
        <v>3566</v>
      </c>
      <c r="K929" t="s">
        <v>2496</v>
      </c>
      <c r="L929" t="s">
        <v>52</v>
      </c>
      <c r="M929">
        <v>0</v>
      </c>
      <c r="N929">
        <v>1710</v>
      </c>
      <c r="O929" t="s">
        <v>61</v>
      </c>
      <c r="P929">
        <v>100</v>
      </c>
      <c r="Q929" t="s">
        <v>52</v>
      </c>
      <c r="R929" t="s">
        <v>52</v>
      </c>
      <c r="S929" t="s">
        <v>52</v>
      </c>
      <c r="T929" t="s">
        <v>52</v>
      </c>
      <c r="U929" t="s">
        <v>52</v>
      </c>
      <c r="V929" t="s">
        <v>62</v>
      </c>
      <c r="W929" t="s">
        <v>52</v>
      </c>
      <c r="Y929" t="s">
        <v>432</v>
      </c>
      <c r="Z929" t="s">
        <v>62</v>
      </c>
      <c r="AB929" t="s">
        <v>3568</v>
      </c>
      <c r="AE929" t="s">
        <v>3569</v>
      </c>
      <c r="AF929" t="s">
        <v>52</v>
      </c>
      <c r="AH929">
        <v>0</v>
      </c>
      <c r="AI929">
        <v>0</v>
      </c>
      <c r="AJ929" t="s">
        <v>52</v>
      </c>
      <c r="AK929">
        <v>0</v>
      </c>
      <c r="AL929" t="s">
        <v>52</v>
      </c>
      <c r="AM929" t="s">
        <v>52</v>
      </c>
      <c r="AN929">
        <v>0</v>
      </c>
      <c r="AO929">
        <v>0</v>
      </c>
      <c r="AP929" t="s">
        <v>52</v>
      </c>
      <c r="AQ929" t="s">
        <v>52</v>
      </c>
      <c r="AR929" t="s">
        <v>62</v>
      </c>
      <c r="AS929" t="s">
        <v>52</v>
      </c>
      <c r="AT929" t="s">
        <v>74</v>
      </c>
      <c r="AU929" t="s">
        <v>64</v>
      </c>
      <c r="AV929" t="s">
        <v>62</v>
      </c>
      <c r="AW929" t="s">
        <v>65</v>
      </c>
      <c r="AX929" t="s">
        <v>66</v>
      </c>
      <c r="AY929" t="s">
        <v>76</v>
      </c>
    </row>
    <row r="930" spans="1:51" hidden="1" x14ac:dyDescent="0.25">
      <c r="A930">
        <v>203162</v>
      </c>
      <c r="B930" t="s">
        <v>3570</v>
      </c>
      <c r="C930" t="e">
        <f>VLOOKUP(A930,[1]Customer_payment_journal_line!$AL:$BO,30,0)</f>
        <v>#N/A</v>
      </c>
      <c r="D930" t="s">
        <v>159</v>
      </c>
      <c r="E930" t="s">
        <v>3571</v>
      </c>
      <c r="F930" t="s">
        <v>3572</v>
      </c>
      <c r="G930" t="s">
        <v>3455</v>
      </c>
      <c r="H930" t="s">
        <v>80</v>
      </c>
      <c r="I930" t="s">
        <v>3573</v>
      </c>
      <c r="J930" t="s">
        <v>3574</v>
      </c>
      <c r="K930" t="s">
        <v>3117</v>
      </c>
      <c r="L930" t="s">
        <v>52</v>
      </c>
      <c r="M930">
        <v>240</v>
      </c>
      <c r="N930">
        <v>0</v>
      </c>
      <c r="O930" t="s">
        <v>178</v>
      </c>
      <c r="P930">
        <v>5085</v>
      </c>
      <c r="Q930" t="s">
        <v>52</v>
      </c>
      <c r="R930" t="s">
        <v>52</v>
      </c>
      <c r="S930" t="s">
        <v>52</v>
      </c>
      <c r="T930" t="s">
        <v>52</v>
      </c>
      <c r="U930" t="s">
        <v>52</v>
      </c>
      <c r="V930" t="s">
        <v>62</v>
      </c>
      <c r="W930" t="s">
        <v>52</v>
      </c>
      <c r="Y930" t="s">
        <v>52</v>
      </c>
      <c r="AB930" t="s">
        <v>52</v>
      </c>
      <c r="AE930" t="s">
        <v>52</v>
      </c>
      <c r="AF930" t="s">
        <v>52</v>
      </c>
      <c r="AH930">
        <v>0</v>
      </c>
      <c r="AI930">
        <v>0</v>
      </c>
      <c r="AJ930" t="s">
        <v>52</v>
      </c>
      <c r="AK930">
        <v>0</v>
      </c>
      <c r="AL930" t="s">
        <v>52</v>
      </c>
      <c r="AM930" t="s">
        <v>52</v>
      </c>
      <c r="AN930">
        <v>0</v>
      </c>
      <c r="AO930">
        <v>0</v>
      </c>
      <c r="AP930" t="s">
        <v>52</v>
      </c>
      <c r="AQ930" t="s">
        <v>52</v>
      </c>
      <c r="AR930" t="s">
        <v>62</v>
      </c>
      <c r="AS930" t="s">
        <v>52</v>
      </c>
      <c r="AT930" t="s">
        <v>52</v>
      </c>
      <c r="AU930" t="s">
        <v>64</v>
      </c>
      <c r="AV930" t="s">
        <v>62</v>
      </c>
      <c r="AW930" t="s">
        <v>65</v>
      </c>
      <c r="AX930" t="s">
        <v>66</v>
      </c>
      <c r="AY930" t="s">
        <v>165</v>
      </c>
    </row>
    <row r="931" spans="1:51" hidden="1" x14ac:dyDescent="0.25">
      <c r="A931">
        <v>203162</v>
      </c>
      <c r="B931" t="s">
        <v>3575</v>
      </c>
      <c r="C931" t="e">
        <f>VLOOKUP(A931,[1]Customer_payment_journal_line!$AL:$BO,30,0)</f>
        <v>#N/A</v>
      </c>
      <c r="D931" t="s">
        <v>159</v>
      </c>
      <c r="E931" t="s">
        <v>3571</v>
      </c>
      <c r="F931" t="s">
        <v>3572</v>
      </c>
      <c r="G931" t="s">
        <v>3455</v>
      </c>
      <c r="H931" t="s">
        <v>69</v>
      </c>
      <c r="I931" t="s">
        <v>3576</v>
      </c>
      <c r="J931" t="s">
        <v>3574</v>
      </c>
      <c r="K931" t="s">
        <v>3117</v>
      </c>
      <c r="L931" t="s">
        <v>52</v>
      </c>
      <c r="M931">
        <v>0</v>
      </c>
      <c r="N931">
        <v>240</v>
      </c>
      <c r="O931" t="s">
        <v>178</v>
      </c>
      <c r="P931">
        <v>5085</v>
      </c>
      <c r="Q931" t="s">
        <v>52</v>
      </c>
      <c r="R931" t="s">
        <v>52</v>
      </c>
      <c r="S931" t="s">
        <v>52</v>
      </c>
      <c r="T931" t="s">
        <v>52</v>
      </c>
      <c r="U931" t="s">
        <v>52</v>
      </c>
      <c r="V931" t="s">
        <v>62</v>
      </c>
      <c r="W931" t="s">
        <v>52</v>
      </c>
      <c r="Y931" t="s">
        <v>3577</v>
      </c>
      <c r="Z931" t="s">
        <v>62</v>
      </c>
      <c r="AB931" t="s">
        <v>3578</v>
      </c>
      <c r="AE931" t="s">
        <v>3579</v>
      </c>
      <c r="AF931" t="s">
        <v>52</v>
      </c>
      <c r="AH931">
        <v>0</v>
      </c>
      <c r="AI931">
        <v>0</v>
      </c>
      <c r="AJ931" t="s">
        <v>52</v>
      </c>
      <c r="AK931">
        <v>0</v>
      </c>
      <c r="AL931" t="s">
        <v>52</v>
      </c>
      <c r="AM931" t="s">
        <v>52</v>
      </c>
      <c r="AN931">
        <v>0</v>
      </c>
      <c r="AO931">
        <v>0</v>
      </c>
      <c r="AP931" t="s">
        <v>52</v>
      </c>
      <c r="AQ931" t="s">
        <v>52</v>
      </c>
      <c r="AR931" t="s">
        <v>62</v>
      </c>
      <c r="AS931" t="s">
        <v>52</v>
      </c>
      <c r="AT931" t="s">
        <v>74</v>
      </c>
      <c r="AU931" t="s">
        <v>64</v>
      </c>
      <c r="AV931" t="s">
        <v>62</v>
      </c>
      <c r="AW931" t="s">
        <v>65</v>
      </c>
      <c r="AX931" t="s">
        <v>66</v>
      </c>
      <c r="AY931" t="s">
        <v>165</v>
      </c>
    </row>
    <row r="932" spans="1:51" hidden="1" x14ac:dyDescent="0.25">
      <c r="A932">
        <v>203163</v>
      </c>
      <c r="B932" t="s">
        <v>3580</v>
      </c>
      <c r="C932" t="e">
        <f>VLOOKUP(A932,[1]Customer_payment_journal_line!$AL:$BO,30,0)</f>
        <v>#N/A</v>
      </c>
      <c r="D932" t="s">
        <v>76</v>
      </c>
      <c r="E932" t="s">
        <v>3581</v>
      </c>
      <c r="F932" t="s">
        <v>3582</v>
      </c>
      <c r="G932" t="s">
        <v>3455</v>
      </c>
      <c r="H932" t="s">
        <v>80</v>
      </c>
      <c r="I932" t="s">
        <v>81</v>
      </c>
      <c r="J932" t="s">
        <v>3583</v>
      </c>
      <c r="K932" t="s">
        <v>3584</v>
      </c>
      <c r="L932" t="s">
        <v>52</v>
      </c>
      <c r="M932">
        <v>3990</v>
      </c>
      <c r="N932">
        <v>0</v>
      </c>
      <c r="O932" t="s">
        <v>61</v>
      </c>
      <c r="P932">
        <v>100</v>
      </c>
      <c r="Q932" t="s">
        <v>52</v>
      </c>
      <c r="R932" t="s">
        <v>52</v>
      </c>
      <c r="S932" t="s">
        <v>52</v>
      </c>
      <c r="T932" t="s">
        <v>52</v>
      </c>
      <c r="U932" t="s">
        <v>52</v>
      </c>
      <c r="V932" t="s">
        <v>62</v>
      </c>
      <c r="W932" t="s">
        <v>52</v>
      </c>
      <c r="Y932" t="s">
        <v>52</v>
      </c>
      <c r="AB932" t="s">
        <v>52</v>
      </c>
      <c r="AE932" t="s">
        <v>52</v>
      </c>
      <c r="AF932" t="s">
        <v>52</v>
      </c>
      <c r="AH932">
        <v>0</v>
      </c>
      <c r="AI932">
        <v>0</v>
      </c>
      <c r="AJ932" t="s">
        <v>52</v>
      </c>
      <c r="AK932">
        <v>0</v>
      </c>
      <c r="AL932" t="s">
        <v>52</v>
      </c>
      <c r="AM932" t="s">
        <v>52</v>
      </c>
      <c r="AN932">
        <v>0</v>
      </c>
      <c r="AO932">
        <v>0</v>
      </c>
      <c r="AP932" t="s">
        <v>52</v>
      </c>
      <c r="AQ932" t="s">
        <v>52</v>
      </c>
      <c r="AR932" t="s">
        <v>62</v>
      </c>
      <c r="AS932" t="s">
        <v>52</v>
      </c>
      <c r="AT932" t="s">
        <v>52</v>
      </c>
      <c r="AU932" t="s">
        <v>64</v>
      </c>
      <c r="AV932" t="s">
        <v>62</v>
      </c>
      <c r="AW932" t="s">
        <v>65</v>
      </c>
      <c r="AX932" t="s">
        <v>66</v>
      </c>
      <c r="AY932" t="s">
        <v>76</v>
      </c>
    </row>
    <row r="933" spans="1:51" hidden="1" x14ac:dyDescent="0.25">
      <c r="A933">
        <v>203163</v>
      </c>
      <c r="B933" t="s">
        <v>3585</v>
      </c>
      <c r="C933" t="e">
        <f>VLOOKUP(A933,[1]Customer_payment_journal_line!$AL:$BO,30,0)</f>
        <v>#N/A</v>
      </c>
      <c r="D933" t="s">
        <v>76</v>
      </c>
      <c r="E933" t="s">
        <v>3581</v>
      </c>
      <c r="F933" t="s">
        <v>3582</v>
      </c>
      <c r="G933" t="s">
        <v>3455</v>
      </c>
      <c r="H933" t="s">
        <v>69</v>
      </c>
      <c r="I933" t="s">
        <v>3586</v>
      </c>
      <c r="J933" t="s">
        <v>3583</v>
      </c>
      <c r="K933" t="s">
        <v>3584</v>
      </c>
      <c r="L933" t="s">
        <v>52</v>
      </c>
      <c r="M933">
        <v>0</v>
      </c>
      <c r="N933">
        <v>3990</v>
      </c>
      <c r="O933" t="s">
        <v>61</v>
      </c>
      <c r="P933">
        <v>100</v>
      </c>
      <c r="Q933" t="s">
        <v>52</v>
      </c>
      <c r="R933" t="s">
        <v>52</v>
      </c>
      <c r="S933" t="s">
        <v>52</v>
      </c>
      <c r="T933" t="s">
        <v>52</v>
      </c>
      <c r="U933" t="s">
        <v>52</v>
      </c>
      <c r="V933" t="s">
        <v>62</v>
      </c>
      <c r="W933" t="s">
        <v>52</v>
      </c>
      <c r="Y933" t="s">
        <v>3587</v>
      </c>
      <c r="Z933" t="s">
        <v>62</v>
      </c>
      <c r="AB933" t="s">
        <v>3588</v>
      </c>
      <c r="AE933" t="s">
        <v>3589</v>
      </c>
      <c r="AF933" t="s">
        <v>52</v>
      </c>
      <c r="AH933">
        <v>0</v>
      </c>
      <c r="AI933">
        <v>0</v>
      </c>
      <c r="AJ933" t="s">
        <v>52</v>
      </c>
      <c r="AK933">
        <v>0</v>
      </c>
      <c r="AL933" t="s">
        <v>52</v>
      </c>
      <c r="AM933" t="s">
        <v>52</v>
      </c>
      <c r="AN933">
        <v>0</v>
      </c>
      <c r="AO933">
        <v>0</v>
      </c>
      <c r="AP933" t="s">
        <v>52</v>
      </c>
      <c r="AQ933" t="s">
        <v>52</v>
      </c>
      <c r="AR933" t="s">
        <v>62</v>
      </c>
      <c r="AS933" t="s">
        <v>52</v>
      </c>
      <c r="AT933" t="s">
        <v>74</v>
      </c>
      <c r="AU933" t="s">
        <v>64</v>
      </c>
      <c r="AV933" t="s">
        <v>62</v>
      </c>
      <c r="AW933" t="s">
        <v>65</v>
      </c>
      <c r="AX933" t="s">
        <v>66</v>
      </c>
      <c r="AY933" t="s">
        <v>76</v>
      </c>
    </row>
    <row r="934" spans="1:51" hidden="1" x14ac:dyDescent="0.25">
      <c r="A934">
        <v>203164</v>
      </c>
      <c r="B934" t="s">
        <v>3590</v>
      </c>
      <c r="C934" t="e">
        <f>VLOOKUP(A934,[1]Customer_payment_journal_line!$AL:$BO,30,0)</f>
        <v>#N/A</v>
      </c>
      <c r="D934" t="s">
        <v>76</v>
      </c>
      <c r="E934" t="s">
        <v>3591</v>
      </c>
      <c r="F934" t="s">
        <v>3592</v>
      </c>
      <c r="G934" t="s">
        <v>3455</v>
      </c>
      <c r="H934" t="s">
        <v>80</v>
      </c>
      <c r="I934" t="s">
        <v>81</v>
      </c>
      <c r="J934" t="s">
        <v>3593</v>
      </c>
      <c r="K934" t="s">
        <v>3594</v>
      </c>
      <c r="L934" t="s">
        <v>52</v>
      </c>
      <c r="M934">
        <v>6840</v>
      </c>
      <c r="N934">
        <v>0</v>
      </c>
      <c r="O934" t="s">
        <v>61</v>
      </c>
      <c r="P934">
        <v>100</v>
      </c>
      <c r="Q934" t="s">
        <v>52</v>
      </c>
      <c r="R934" t="s">
        <v>52</v>
      </c>
      <c r="S934" t="s">
        <v>52</v>
      </c>
      <c r="T934" t="s">
        <v>52</v>
      </c>
      <c r="U934" t="s">
        <v>52</v>
      </c>
      <c r="V934" t="s">
        <v>62</v>
      </c>
      <c r="W934" t="s">
        <v>52</v>
      </c>
      <c r="Y934" t="s">
        <v>52</v>
      </c>
      <c r="AB934" t="s">
        <v>52</v>
      </c>
      <c r="AE934" t="s">
        <v>52</v>
      </c>
      <c r="AF934" t="s">
        <v>52</v>
      </c>
      <c r="AH934">
        <v>0</v>
      </c>
      <c r="AI934">
        <v>0</v>
      </c>
      <c r="AJ934" t="s">
        <v>52</v>
      </c>
      <c r="AK934">
        <v>0</v>
      </c>
      <c r="AL934" t="s">
        <v>52</v>
      </c>
      <c r="AM934" t="s">
        <v>52</v>
      </c>
      <c r="AN934">
        <v>0</v>
      </c>
      <c r="AO934">
        <v>0</v>
      </c>
      <c r="AP934" t="s">
        <v>52</v>
      </c>
      <c r="AQ934" t="s">
        <v>52</v>
      </c>
      <c r="AR934" t="s">
        <v>62</v>
      </c>
      <c r="AS934" t="s">
        <v>52</v>
      </c>
      <c r="AT934" t="s">
        <v>52</v>
      </c>
      <c r="AU934" t="s">
        <v>64</v>
      </c>
      <c r="AV934" t="s">
        <v>62</v>
      </c>
      <c r="AW934" t="s">
        <v>65</v>
      </c>
      <c r="AX934" t="s">
        <v>66</v>
      </c>
      <c r="AY934" t="s">
        <v>76</v>
      </c>
    </row>
    <row r="935" spans="1:51" hidden="1" x14ac:dyDescent="0.25">
      <c r="A935">
        <v>203164</v>
      </c>
      <c r="B935" t="s">
        <v>3595</v>
      </c>
      <c r="C935" t="e">
        <f>VLOOKUP(A935,[1]Customer_payment_journal_line!$AL:$BO,30,0)</f>
        <v>#N/A</v>
      </c>
      <c r="D935" t="s">
        <v>76</v>
      </c>
      <c r="E935" t="s">
        <v>3591</v>
      </c>
      <c r="F935" t="s">
        <v>3592</v>
      </c>
      <c r="G935" t="s">
        <v>3455</v>
      </c>
      <c r="H935" t="s">
        <v>69</v>
      </c>
      <c r="I935" t="s">
        <v>3596</v>
      </c>
      <c r="J935" t="s">
        <v>3593</v>
      </c>
      <c r="K935" t="s">
        <v>3594</v>
      </c>
      <c r="L935" t="s">
        <v>52</v>
      </c>
      <c r="M935">
        <v>0</v>
      </c>
      <c r="N935">
        <v>6840</v>
      </c>
      <c r="O935" t="s">
        <v>61</v>
      </c>
      <c r="P935">
        <v>100</v>
      </c>
      <c r="Q935" t="s">
        <v>52</v>
      </c>
      <c r="R935" t="s">
        <v>52</v>
      </c>
      <c r="S935" t="s">
        <v>52</v>
      </c>
      <c r="T935" t="s">
        <v>52</v>
      </c>
      <c r="U935" t="s">
        <v>52</v>
      </c>
      <c r="V935" t="s">
        <v>62</v>
      </c>
      <c r="W935" t="s">
        <v>52</v>
      </c>
      <c r="Y935" t="s">
        <v>3597</v>
      </c>
      <c r="Z935" t="s">
        <v>62</v>
      </c>
      <c r="AB935" t="s">
        <v>3598</v>
      </c>
      <c r="AE935" t="s">
        <v>3599</v>
      </c>
      <c r="AF935" t="s">
        <v>52</v>
      </c>
      <c r="AH935">
        <v>0</v>
      </c>
      <c r="AI935">
        <v>0</v>
      </c>
      <c r="AJ935" t="s">
        <v>52</v>
      </c>
      <c r="AK935">
        <v>0</v>
      </c>
      <c r="AL935" t="s">
        <v>52</v>
      </c>
      <c r="AM935" t="s">
        <v>52</v>
      </c>
      <c r="AN935">
        <v>0</v>
      </c>
      <c r="AO935">
        <v>0</v>
      </c>
      <c r="AP935" t="s">
        <v>52</v>
      </c>
      <c r="AQ935" t="s">
        <v>52</v>
      </c>
      <c r="AR935" t="s">
        <v>62</v>
      </c>
      <c r="AS935" t="s">
        <v>52</v>
      </c>
      <c r="AT935" t="s">
        <v>74</v>
      </c>
      <c r="AU935" t="s">
        <v>64</v>
      </c>
      <c r="AV935" t="s">
        <v>62</v>
      </c>
      <c r="AW935" t="s">
        <v>65</v>
      </c>
      <c r="AX935" t="s">
        <v>66</v>
      </c>
      <c r="AY935" t="s">
        <v>76</v>
      </c>
    </row>
    <row r="936" spans="1:51" hidden="1" x14ac:dyDescent="0.25">
      <c r="A936">
        <v>401256</v>
      </c>
      <c r="B936" t="s">
        <v>3600</v>
      </c>
      <c r="C936" t="e">
        <f>VLOOKUP(A936,[1]Customer_payment_journal_line!$AL:$BO,30,0)</f>
        <v>#N/A</v>
      </c>
      <c r="D936" t="s">
        <v>644</v>
      </c>
      <c r="E936" t="s">
        <v>3601</v>
      </c>
      <c r="F936" t="s">
        <v>3602</v>
      </c>
      <c r="G936" t="s">
        <v>3455</v>
      </c>
      <c r="H936" t="s">
        <v>210</v>
      </c>
      <c r="I936" t="s">
        <v>3603</v>
      </c>
      <c r="K936" t="s">
        <v>3604</v>
      </c>
      <c r="L936" t="s">
        <v>52</v>
      </c>
      <c r="M936">
        <v>570</v>
      </c>
      <c r="N936">
        <v>0</v>
      </c>
      <c r="O936" t="s">
        <v>61</v>
      </c>
      <c r="P936">
        <v>100</v>
      </c>
      <c r="Q936" t="s">
        <v>52</v>
      </c>
      <c r="R936" t="s">
        <v>52</v>
      </c>
      <c r="S936" t="s">
        <v>52</v>
      </c>
      <c r="T936" t="s">
        <v>52</v>
      </c>
      <c r="U936" t="s">
        <v>52</v>
      </c>
      <c r="V936" t="s">
        <v>62</v>
      </c>
      <c r="W936" t="s">
        <v>63</v>
      </c>
      <c r="Y936" t="s">
        <v>52</v>
      </c>
      <c r="AB936" t="s">
        <v>3605</v>
      </c>
      <c r="AE936" t="s">
        <v>3606</v>
      </c>
      <c r="AF936" t="s">
        <v>632</v>
      </c>
      <c r="AG936" t="s">
        <v>3607</v>
      </c>
      <c r="AH936">
        <v>0</v>
      </c>
      <c r="AI936">
        <v>0</v>
      </c>
      <c r="AJ936" t="s">
        <v>52</v>
      </c>
      <c r="AK936">
        <v>0</v>
      </c>
      <c r="AL936" t="s">
        <v>52</v>
      </c>
      <c r="AM936" t="s">
        <v>52</v>
      </c>
      <c r="AN936">
        <v>0</v>
      </c>
      <c r="AO936">
        <v>0</v>
      </c>
      <c r="AP936" t="s">
        <v>52</v>
      </c>
      <c r="AQ936" t="s">
        <v>52</v>
      </c>
      <c r="AR936" t="s">
        <v>62</v>
      </c>
      <c r="AS936" t="s">
        <v>52</v>
      </c>
      <c r="AT936" t="s">
        <v>52</v>
      </c>
      <c r="AU936" t="s">
        <v>64</v>
      </c>
      <c r="AV936" t="s">
        <v>62</v>
      </c>
      <c r="AW936" t="s">
        <v>65</v>
      </c>
      <c r="AX936" t="s">
        <v>66</v>
      </c>
      <c r="AY936" t="s">
        <v>654</v>
      </c>
    </row>
    <row r="937" spans="1:51" hidden="1" x14ac:dyDescent="0.25">
      <c r="A937">
        <v>401256</v>
      </c>
      <c r="B937" t="s">
        <v>3608</v>
      </c>
      <c r="C937" t="e">
        <f>VLOOKUP(A937,[1]Customer_payment_journal_line!$AL:$BO,30,0)</f>
        <v>#N/A</v>
      </c>
      <c r="D937" t="s">
        <v>644</v>
      </c>
      <c r="E937" t="s">
        <v>3601</v>
      </c>
      <c r="F937" t="s">
        <v>3602</v>
      </c>
      <c r="G937" t="s">
        <v>3455</v>
      </c>
      <c r="H937" t="s">
        <v>69</v>
      </c>
      <c r="I937" t="s">
        <v>3609</v>
      </c>
      <c r="J937" t="s">
        <v>3610</v>
      </c>
      <c r="K937" t="s">
        <v>3604</v>
      </c>
      <c r="L937" t="s">
        <v>52</v>
      </c>
      <c r="M937">
        <v>0</v>
      </c>
      <c r="N937">
        <v>570</v>
      </c>
      <c r="O937" t="s">
        <v>61</v>
      </c>
      <c r="P937">
        <v>100</v>
      </c>
      <c r="Q937" t="s">
        <v>52</v>
      </c>
      <c r="R937" t="s">
        <v>52</v>
      </c>
      <c r="S937" t="s">
        <v>52</v>
      </c>
      <c r="T937" t="s">
        <v>52</v>
      </c>
      <c r="U937" t="s">
        <v>52</v>
      </c>
      <c r="V937" t="s">
        <v>62</v>
      </c>
      <c r="W937" t="s">
        <v>52</v>
      </c>
      <c r="Y937" t="s">
        <v>3611</v>
      </c>
      <c r="Z937" t="s">
        <v>62</v>
      </c>
      <c r="AB937" t="s">
        <v>3605</v>
      </c>
      <c r="AE937" t="s">
        <v>3606</v>
      </c>
      <c r="AF937" t="s">
        <v>632</v>
      </c>
      <c r="AG937" t="s">
        <v>3607</v>
      </c>
      <c r="AH937">
        <v>0</v>
      </c>
      <c r="AI937">
        <v>0</v>
      </c>
      <c r="AJ937" t="s">
        <v>52</v>
      </c>
      <c r="AK937">
        <v>0</v>
      </c>
      <c r="AL937" t="s">
        <v>52</v>
      </c>
      <c r="AM937" t="s">
        <v>52</v>
      </c>
      <c r="AN937">
        <v>0</v>
      </c>
      <c r="AO937">
        <v>0</v>
      </c>
      <c r="AP937" t="s">
        <v>52</v>
      </c>
      <c r="AQ937" t="s">
        <v>52</v>
      </c>
      <c r="AR937" t="s">
        <v>62</v>
      </c>
      <c r="AS937" t="s">
        <v>52</v>
      </c>
      <c r="AT937" t="s">
        <v>74</v>
      </c>
      <c r="AU937" t="s">
        <v>64</v>
      </c>
      <c r="AV937" t="s">
        <v>62</v>
      </c>
      <c r="AW937" t="s">
        <v>65</v>
      </c>
      <c r="AX937" t="s">
        <v>66</v>
      </c>
      <c r="AY937" t="s">
        <v>654</v>
      </c>
    </row>
    <row r="938" spans="1:51" hidden="1" x14ac:dyDescent="0.25">
      <c r="A938">
        <v>401258</v>
      </c>
      <c r="B938" t="s">
        <v>3612</v>
      </c>
      <c r="C938" t="e">
        <f>VLOOKUP(A938,[1]Customer_payment_journal_line!$AL:$BO,30,0)</f>
        <v>#N/A</v>
      </c>
      <c r="D938" t="s">
        <v>644</v>
      </c>
      <c r="E938" t="s">
        <v>3613</v>
      </c>
      <c r="F938" t="s">
        <v>3614</v>
      </c>
      <c r="G938" t="s">
        <v>3455</v>
      </c>
      <c r="H938" t="s">
        <v>210</v>
      </c>
      <c r="I938" t="s">
        <v>3603</v>
      </c>
      <c r="K938" t="s">
        <v>3615</v>
      </c>
      <c r="L938" t="s">
        <v>52</v>
      </c>
      <c r="M938">
        <v>570</v>
      </c>
      <c r="N938">
        <v>0</v>
      </c>
      <c r="O938" t="s">
        <v>61</v>
      </c>
      <c r="P938">
        <v>100</v>
      </c>
      <c r="Q938" t="s">
        <v>52</v>
      </c>
      <c r="R938" t="s">
        <v>52</v>
      </c>
      <c r="S938" t="s">
        <v>52</v>
      </c>
      <c r="T938" t="s">
        <v>52</v>
      </c>
      <c r="U938" t="s">
        <v>52</v>
      </c>
      <c r="V938" t="s">
        <v>62</v>
      </c>
      <c r="W938" t="s">
        <v>63</v>
      </c>
      <c r="Y938" t="s">
        <v>52</v>
      </c>
      <c r="AB938" t="s">
        <v>3616</v>
      </c>
      <c r="AE938" t="s">
        <v>3617</v>
      </c>
      <c r="AF938" t="s">
        <v>632</v>
      </c>
      <c r="AG938" t="s">
        <v>3607</v>
      </c>
      <c r="AH938">
        <v>0</v>
      </c>
      <c r="AI938">
        <v>0</v>
      </c>
      <c r="AJ938" t="s">
        <v>52</v>
      </c>
      <c r="AK938">
        <v>0</v>
      </c>
      <c r="AL938" t="s">
        <v>52</v>
      </c>
      <c r="AM938" t="s">
        <v>52</v>
      </c>
      <c r="AN938">
        <v>0</v>
      </c>
      <c r="AO938">
        <v>0</v>
      </c>
      <c r="AP938" t="s">
        <v>52</v>
      </c>
      <c r="AQ938" t="s">
        <v>52</v>
      </c>
      <c r="AR938" t="s">
        <v>62</v>
      </c>
      <c r="AS938" t="s">
        <v>52</v>
      </c>
      <c r="AT938" t="s">
        <v>52</v>
      </c>
      <c r="AU938" t="s">
        <v>64</v>
      </c>
      <c r="AV938" t="s">
        <v>62</v>
      </c>
      <c r="AW938" t="s">
        <v>65</v>
      </c>
      <c r="AX938" t="s">
        <v>66</v>
      </c>
      <c r="AY938" t="s">
        <v>654</v>
      </c>
    </row>
    <row r="939" spans="1:51" hidden="1" x14ac:dyDescent="0.25">
      <c r="A939">
        <v>401258</v>
      </c>
      <c r="B939" t="s">
        <v>3618</v>
      </c>
      <c r="C939" t="e">
        <f>VLOOKUP(A939,[1]Customer_payment_journal_line!$AL:$BO,30,0)</f>
        <v>#N/A</v>
      </c>
      <c r="D939" t="s">
        <v>644</v>
      </c>
      <c r="E939" t="s">
        <v>3613</v>
      </c>
      <c r="F939" t="s">
        <v>3614</v>
      </c>
      <c r="G939" t="s">
        <v>3455</v>
      </c>
      <c r="H939" t="s">
        <v>69</v>
      </c>
      <c r="I939" t="s">
        <v>3609</v>
      </c>
      <c r="J939" t="s">
        <v>3610</v>
      </c>
      <c r="K939" t="s">
        <v>3615</v>
      </c>
      <c r="L939" t="s">
        <v>52</v>
      </c>
      <c r="M939">
        <v>0</v>
      </c>
      <c r="N939">
        <v>570</v>
      </c>
      <c r="O939" t="s">
        <v>61</v>
      </c>
      <c r="P939">
        <v>100</v>
      </c>
      <c r="Q939" t="s">
        <v>52</v>
      </c>
      <c r="R939" t="s">
        <v>52</v>
      </c>
      <c r="S939" t="s">
        <v>52</v>
      </c>
      <c r="T939" t="s">
        <v>52</v>
      </c>
      <c r="U939" t="s">
        <v>52</v>
      </c>
      <c r="V939" t="s">
        <v>62</v>
      </c>
      <c r="W939" t="s">
        <v>52</v>
      </c>
      <c r="Y939" t="s">
        <v>3611</v>
      </c>
      <c r="Z939" t="s">
        <v>62</v>
      </c>
      <c r="AB939" t="s">
        <v>3616</v>
      </c>
      <c r="AE939" t="s">
        <v>3617</v>
      </c>
      <c r="AF939" t="s">
        <v>632</v>
      </c>
      <c r="AG939" t="s">
        <v>3607</v>
      </c>
      <c r="AH939">
        <v>0</v>
      </c>
      <c r="AI939">
        <v>0</v>
      </c>
      <c r="AJ939" t="s">
        <v>52</v>
      </c>
      <c r="AK939">
        <v>0</v>
      </c>
      <c r="AL939" t="s">
        <v>52</v>
      </c>
      <c r="AM939" t="s">
        <v>52</v>
      </c>
      <c r="AN939">
        <v>0</v>
      </c>
      <c r="AO939">
        <v>0</v>
      </c>
      <c r="AP939" t="s">
        <v>52</v>
      </c>
      <c r="AQ939" t="s">
        <v>52</v>
      </c>
      <c r="AR939" t="s">
        <v>62</v>
      </c>
      <c r="AS939" t="s">
        <v>52</v>
      </c>
      <c r="AT939" t="s">
        <v>74</v>
      </c>
      <c r="AU939" t="s">
        <v>64</v>
      </c>
      <c r="AV939" t="s">
        <v>62</v>
      </c>
      <c r="AW939" t="s">
        <v>65</v>
      </c>
      <c r="AX939" t="s">
        <v>66</v>
      </c>
      <c r="AY939" t="s">
        <v>654</v>
      </c>
    </row>
    <row r="940" spans="1:51" hidden="1" x14ac:dyDescent="0.25">
      <c r="A940">
        <v>401259</v>
      </c>
      <c r="B940" t="s">
        <v>3619</v>
      </c>
      <c r="C940" t="e">
        <f>VLOOKUP(A940,[1]Customer_payment_journal_line!$AL:$BO,30,0)</f>
        <v>#N/A</v>
      </c>
      <c r="D940" t="s">
        <v>644</v>
      </c>
      <c r="E940" t="s">
        <v>3620</v>
      </c>
      <c r="F940" t="s">
        <v>3621</v>
      </c>
      <c r="G940" t="s">
        <v>3455</v>
      </c>
      <c r="H940" t="s">
        <v>210</v>
      </c>
      <c r="I940" t="s">
        <v>3603</v>
      </c>
      <c r="K940" t="s">
        <v>3622</v>
      </c>
      <c r="L940" t="s">
        <v>52</v>
      </c>
      <c r="M940">
        <v>570</v>
      </c>
      <c r="N940">
        <v>0</v>
      </c>
      <c r="O940" t="s">
        <v>61</v>
      </c>
      <c r="P940">
        <v>100</v>
      </c>
      <c r="Q940" t="s">
        <v>52</v>
      </c>
      <c r="R940" t="s">
        <v>52</v>
      </c>
      <c r="S940" t="s">
        <v>52</v>
      </c>
      <c r="T940" t="s">
        <v>52</v>
      </c>
      <c r="U940" t="s">
        <v>52</v>
      </c>
      <c r="V940" t="s">
        <v>62</v>
      </c>
      <c r="W940" t="s">
        <v>63</v>
      </c>
      <c r="Y940" t="s">
        <v>52</v>
      </c>
      <c r="AB940" t="s">
        <v>3623</v>
      </c>
      <c r="AE940" t="s">
        <v>3624</v>
      </c>
      <c r="AF940" t="s">
        <v>632</v>
      </c>
      <c r="AG940" t="s">
        <v>3607</v>
      </c>
      <c r="AH940">
        <v>0</v>
      </c>
      <c r="AI940">
        <v>0</v>
      </c>
      <c r="AJ940" t="s">
        <v>52</v>
      </c>
      <c r="AK940">
        <v>0</v>
      </c>
      <c r="AL940" t="s">
        <v>52</v>
      </c>
      <c r="AM940" t="s">
        <v>52</v>
      </c>
      <c r="AN940">
        <v>0</v>
      </c>
      <c r="AO940">
        <v>0</v>
      </c>
      <c r="AP940" t="s">
        <v>52</v>
      </c>
      <c r="AQ940" t="s">
        <v>52</v>
      </c>
      <c r="AR940" t="s">
        <v>62</v>
      </c>
      <c r="AS940" t="s">
        <v>52</v>
      </c>
      <c r="AT940" t="s">
        <v>52</v>
      </c>
      <c r="AU940" t="s">
        <v>64</v>
      </c>
      <c r="AV940" t="s">
        <v>62</v>
      </c>
      <c r="AW940" t="s">
        <v>65</v>
      </c>
      <c r="AX940" t="s">
        <v>66</v>
      </c>
      <c r="AY940" t="s">
        <v>654</v>
      </c>
    </row>
    <row r="941" spans="1:51" hidden="1" x14ac:dyDescent="0.25">
      <c r="A941">
        <v>401259</v>
      </c>
      <c r="B941" t="s">
        <v>3625</v>
      </c>
      <c r="C941" t="e">
        <f>VLOOKUP(A941,[1]Customer_payment_journal_line!$AL:$BO,30,0)</f>
        <v>#N/A</v>
      </c>
      <c r="D941" t="s">
        <v>644</v>
      </c>
      <c r="E941" t="s">
        <v>3620</v>
      </c>
      <c r="F941" t="s">
        <v>3621</v>
      </c>
      <c r="G941" t="s">
        <v>3455</v>
      </c>
      <c r="H941" t="s">
        <v>69</v>
      </c>
      <c r="I941" t="s">
        <v>3609</v>
      </c>
      <c r="J941" t="s">
        <v>3610</v>
      </c>
      <c r="K941" t="s">
        <v>3622</v>
      </c>
      <c r="L941" t="s">
        <v>52</v>
      </c>
      <c r="M941">
        <v>0</v>
      </c>
      <c r="N941">
        <v>570</v>
      </c>
      <c r="O941" t="s">
        <v>61</v>
      </c>
      <c r="P941">
        <v>100</v>
      </c>
      <c r="Q941" t="s">
        <v>52</v>
      </c>
      <c r="R941" t="s">
        <v>52</v>
      </c>
      <c r="S941" t="s">
        <v>52</v>
      </c>
      <c r="T941" t="s">
        <v>52</v>
      </c>
      <c r="U941" t="s">
        <v>52</v>
      </c>
      <c r="V941" t="s">
        <v>62</v>
      </c>
      <c r="W941" t="s">
        <v>52</v>
      </c>
      <c r="Y941" t="s">
        <v>3611</v>
      </c>
      <c r="Z941" t="s">
        <v>62</v>
      </c>
      <c r="AB941" t="s">
        <v>3623</v>
      </c>
      <c r="AE941" t="s">
        <v>3624</v>
      </c>
      <c r="AF941" t="s">
        <v>632</v>
      </c>
      <c r="AG941" t="s">
        <v>3607</v>
      </c>
      <c r="AH941">
        <v>0</v>
      </c>
      <c r="AI941">
        <v>0</v>
      </c>
      <c r="AJ941" t="s">
        <v>52</v>
      </c>
      <c r="AK941">
        <v>0</v>
      </c>
      <c r="AL941" t="s">
        <v>52</v>
      </c>
      <c r="AM941" t="s">
        <v>52</v>
      </c>
      <c r="AN941">
        <v>0</v>
      </c>
      <c r="AO941">
        <v>0</v>
      </c>
      <c r="AP941" t="s">
        <v>52</v>
      </c>
      <c r="AQ941" t="s">
        <v>52</v>
      </c>
      <c r="AR941" t="s">
        <v>62</v>
      </c>
      <c r="AS941" t="s">
        <v>52</v>
      </c>
      <c r="AT941" t="s">
        <v>74</v>
      </c>
      <c r="AU941" t="s">
        <v>64</v>
      </c>
      <c r="AV941" t="s">
        <v>62</v>
      </c>
      <c r="AW941" t="s">
        <v>65</v>
      </c>
      <c r="AX941" t="s">
        <v>66</v>
      </c>
      <c r="AY941" t="s">
        <v>654</v>
      </c>
    </row>
    <row r="942" spans="1:51" hidden="1" x14ac:dyDescent="0.25">
      <c r="A942">
        <v>404084</v>
      </c>
      <c r="B942" t="s">
        <v>3626</v>
      </c>
      <c r="C942" t="e">
        <f>VLOOKUP(A942,[1]Customer_payment_journal_line!$AL:$BO,30,0)</f>
        <v>#N/A</v>
      </c>
      <c r="D942" t="s">
        <v>76</v>
      </c>
      <c r="E942" t="s">
        <v>3627</v>
      </c>
      <c r="F942" t="s">
        <v>3628</v>
      </c>
      <c r="G942" t="s">
        <v>3455</v>
      </c>
      <c r="H942" t="s">
        <v>80</v>
      </c>
      <c r="I942" t="s">
        <v>81</v>
      </c>
      <c r="J942" t="s">
        <v>2643</v>
      </c>
      <c r="K942" t="s">
        <v>3629</v>
      </c>
      <c r="L942" t="s">
        <v>52</v>
      </c>
      <c r="M942">
        <v>2565</v>
      </c>
      <c r="N942">
        <v>0</v>
      </c>
      <c r="O942" t="s">
        <v>61</v>
      </c>
      <c r="P942">
        <v>100</v>
      </c>
      <c r="Q942" t="s">
        <v>52</v>
      </c>
      <c r="R942" t="s">
        <v>52</v>
      </c>
      <c r="S942" t="s">
        <v>52</v>
      </c>
      <c r="T942" t="s">
        <v>52</v>
      </c>
      <c r="U942" t="s">
        <v>52</v>
      </c>
      <c r="V942" t="s">
        <v>62</v>
      </c>
      <c r="W942" t="s">
        <v>52</v>
      </c>
      <c r="Y942" t="s">
        <v>52</v>
      </c>
      <c r="AB942" t="s">
        <v>52</v>
      </c>
      <c r="AE942" t="s">
        <v>52</v>
      </c>
      <c r="AF942" t="s">
        <v>52</v>
      </c>
      <c r="AH942">
        <v>0</v>
      </c>
      <c r="AI942">
        <v>0</v>
      </c>
      <c r="AJ942" t="s">
        <v>52</v>
      </c>
      <c r="AK942">
        <v>0</v>
      </c>
      <c r="AL942" t="s">
        <v>52</v>
      </c>
      <c r="AM942" t="s">
        <v>52</v>
      </c>
      <c r="AN942">
        <v>0</v>
      </c>
      <c r="AO942">
        <v>0</v>
      </c>
      <c r="AP942" t="s">
        <v>52</v>
      </c>
      <c r="AQ942" t="s">
        <v>52</v>
      </c>
      <c r="AR942" t="s">
        <v>62</v>
      </c>
      <c r="AS942" t="s">
        <v>52</v>
      </c>
      <c r="AT942" t="s">
        <v>52</v>
      </c>
      <c r="AU942" t="s">
        <v>64</v>
      </c>
      <c r="AV942" t="s">
        <v>62</v>
      </c>
      <c r="AW942" t="s">
        <v>65</v>
      </c>
      <c r="AX942" t="s">
        <v>66</v>
      </c>
      <c r="AY942" t="s">
        <v>76</v>
      </c>
    </row>
    <row r="943" spans="1:51" hidden="1" x14ac:dyDescent="0.25">
      <c r="A943">
        <v>404084</v>
      </c>
      <c r="B943" t="s">
        <v>3630</v>
      </c>
      <c r="C943" t="e">
        <f>VLOOKUP(A943,[1]Customer_payment_journal_line!$AL:$BO,30,0)</f>
        <v>#N/A</v>
      </c>
      <c r="D943" t="s">
        <v>76</v>
      </c>
      <c r="E943" t="s">
        <v>3627</v>
      </c>
      <c r="F943" t="s">
        <v>3628</v>
      </c>
      <c r="G943" t="s">
        <v>3455</v>
      </c>
      <c r="H943" t="s">
        <v>69</v>
      </c>
      <c r="I943" t="s">
        <v>1621</v>
      </c>
      <c r="J943" t="s">
        <v>2643</v>
      </c>
      <c r="K943" t="s">
        <v>3629</v>
      </c>
      <c r="L943" t="s">
        <v>52</v>
      </c>
      <c r="M943">
        <v>0</v>
      </c>
      <c r="N943">
        <v>855</v>
      </c>
      <c r="O943" t="s">
        <v>61</v>
      </c>
      <c r="P943">
        <v>100</v>
      </c>
      <c r="Q943" t="s">
        <v>52</v>
      </c>
      <c r="R943" t="s">
        <v>52</v>
      </c>
      <c r="S943" t="s">
        <v>52</v>
      </c>
      <c r="T943" t="s">
        <v>52</v>
      </c>
      <c r="U943" t="s">
        <v>52</v>
      </c>
      <c r="V943" t="s">
        <v>62</v>
      </c>
      <c r="W943" t="s">
        <v>52</v>
      </c>
      <c r="Y943" t="s">
        <v>1622</v>
      </c>
      <c r="Z943" t="s">
        <v>62</v>
      </c>
      <c r="AB943" t="s">
        <v>3631</v>
      </c>
      <c r="AE943" t="s">
        <v>3632</v>
      </c>
      <c r="AF943" t="s">
        <v>52</v>
      </c>
      <c r="AH943">
        <v>0</v>
      </c>
      <c r="AI943">
        <v>0</v>
      </c>
      <c r="AJ943" t="s">
        <v>52</v>
      </c>
      <c r="AK943">
        <v>0</v>
      </c>
      <c r="AL943" t="s">
        <v>52</v>
      </c>
      <c r="AM943" t="s">
        <v>52</v>
      </c>
      <c r="AN943">
        <v>0</v>
      </c>
      <c r="AO943">
        <v>0</v>
      </c>
      <c r="AP943" t="s">
        <v>52</v>
      </c>
      <c r="AQ943" t="s">
        <v>52</v>
      </c>
      <c r="AR943" t="s">
        <v>62</v>
      </c>
      <c r="AS943" t="s">
        <v>52</v>
      </c>
      <c r="AT943" t="s">
        <v>74</v>
      </c>
      <c r="AU943" t="s">
        <v>64</v>
      </c>
      <c r="AV943" t="s">
        <v>62</v>
      </c>
      <c r="AW943" t="s">
        <v>65</v>
      </c>
      <c r="AX943" t="s">
        <v>66</v>
      </c>
      <c r="AY943" t="s">
        <v>76</v>
      </c>
    </row>
    <row r="944" spans="1:51" hidden="1" x14ac:dyDescent="0.25">
      <c r="A944">
        <v>404084</v>
      </c>
      <c r="B944" t="s">
        <v>3633</v>
      </c>
      <c r="C944" t="e">
        <f>VLOOKUP(A944,[1]Customer_payment_journal_line!$AL:$BO,30,0)</f>
        <v>#N/A</v>
      </c>
      <c r="D944" t="s">
        <v>76</v>
      </c>
      <c r="E944" t="s">
        <v>3627</v>
      </c>
      <c r="F944" t="s">
        <v>3628</v>
      </c>
      <c r="G944" t="s">
        <v>3455</v>
      </c>
      <c r="H944" t="s">
        <v>69</v>
      </c>
      <c r="I944" t="s">
        <v>1621</v>
      </c>
      <c r="J944" t="s">
        <v>2643</v>
      </c>
      <c r="K944" t="s">
        <v>3629</v>
      </c>
      <c r="L944" t="s">
        <v>52</v>
      </c>
      <c r="M944">
        <v>0</v>
      </c>
      <c r="N944">
        <v>1710</v>
      </c>
      <c r="O944" t="s">
        <v>61</v>
      </c>
      <c r="P944">
        <v>100</v>
      </c>
      <c r="Q944" t="s">
        <v>52</v>
      </c>
      <c r="R944" t="s">
        <v>52</v>
      </c>
      <c r="S944" t="s">
        <v>52</v>
      </c>
      <c r="T944" t="s">
        <v>52</v>
      </c>
      <c r="U944" t="s">
        <v>52</v>
      </c>
      <c r="V944" t="s">
        <v>62</v>
      </c>
      <c r="W944" t="s">
        <v>52</v>
      </c>
      <c r="Y944" t="s">
        <v>1622</v>
      </c>
      <c r="Z944" t="s">
        <v>62</v>
      </c>
      <c r="AB944" t="s">
        <v>3634</v>
      </c>
      <c r="AE944" t="s">
        <v>3635</v>
      </c>
      <c r="AF944" t="s">
        <v>52</v>
      </c>
      <c r="AH944">
        <v>0</v>
      </c>
      <c r="AI944">
        <v>0</v>
      </c>
      <c r="AJ944" t="s">
        <v>52</v>
      </c>
      <c r="AK944">
        <v>0</v>
      </c>
      <c r="AL944" t="s">
        <v>52</v>
      </c>
      <c r="AM944" t="s">
        <v>52</v>
      </c>
      <c r="AN944">
        <v>0</v>
      </c>
      <c r="AO944">
        <v>0</v>
      </c>
      <c r="AP944" t="s">
        <v>52</v>
      </c>
      <c r="AQ944" t="s">
        <v>52</v>
      </c>
      <c r="AR944" t="s">
        <v>62</v>
      </c>
      <c r="AS944" t="s">
        <v>52</v>
      </c>
      <c r="AT944" t="s">
        <v>74</v>
      </c>
      <c r="AU944" t="s">
        <v>64</v>
      </c>
      <c r="AV944" t="s">
        <v>62</v>
      </c>
      <c r="AW944" t="s">
        <v>65</v>
      </c>
      <c r="AX944" t="s">
        <v>66</v>
      </c>
      <c r="AY944" t="s">
        <v>76</v>
      </c>
    </row>
    <row r="945" spans="1:51" hidden="1" x14ac:dyDescent="0.25">
      <c r="A945">
        <v>406056</v>
      </c>
      <c r="B945" t="s">
        <v>3636</v>
      </c>
      <c r="C945" t="e">
        <f>VLOOKUP(A945,[1]Customer_payment_journal_line!$AL:$BO,30,0)</f>
        <v>#N/A</v>
      </c>
      <c r="D945" t="s">
        <v>159</v>
      </c>
      <c r="E945" t="s">
        <v>3637</v>
      </c>
      <c r="F945" t="s">
        <v>3638</v>
      </c>
      <c r="G945" t="s">
        <v>3455</v>
      </c>
      <c r="H945" t="s">
        <v>80</v>
      </c>
      <c r="I945" t="s">
        <v>3014</v>
      </c>
      <c r="J945" t="s">
        <v>3639</v>
      </c>
      <c r="K945" t="s">
        <v>3640</v>
      </c>
      <c r="L945" t="s">
        <v>52</v>
      </c>
      <c r="M945">
        <v>825</v>
      </c>
      <c r="N945">
        <v>0</v>
      </c>
      <c r="O945" t="s">
        <v>178</v>
      </c>
      <c r="P945">
        <v>5085</v>
      </c>
      <c r="Q945" t="s">
        <v>52</v>
      </c>
      <c r="R945" t="s">
        <v>52</v>
      </c>
      <c r="S945" t="s">
        <v>52</v>
      </c>
      <c r="T945" t="s">
        <v>52</v>
      </c>
      <c r="U945" t="s">
        <v>52</v>
      </c>
      <c r="V945" t="s">
        <v>62</v>
      </c>
      <c r="W945" t="s">
        <v>52</v>
      </c>
      <c r="Y945" t="s">
        <v>52</v>
      </c>
      <c r="AB945" t="s">
        <v>52</v>
      </c>
      <c r="AE945" t="s">
        <v>52</v>
      </c>
      <c r="AF945" t="s">
        <v>52</v>
      </c>
      <c r="AH945">
        <v>0</v>
      </c>
      <c r="AI945">
        <v>0</v>
      </c>
      <c r="AJ945" t="s">
        <v>52</v>
      </c>
      <c r="AK945">
        <v>0</v>
      </c>
      <c r="AL945" t="s">
        <v>52</v>
      </c>
      <c r="AM945" t="s">
        <v>52</v>
      </c>
      <c r="AN945">
        <v>0</v>
      </c>
      <c r="AO945">
        <v>0</v>
      </c>
      <c r="AP945" t="s">
        <v>52</v>
      </c>
      <c r="AQ945" t="s">
        <v>52</v>
      </c>
      <c r="AR945" t="s">
        <v>62</v>
      </c>
      <c r="AS945" t="s">
        <v>52</v>
      </c>
      <c r="AT945" t="s">
        <v>52</v>
      </c>
      <c r="AU945" t="s">
        <v>64</v>
      </c>
      <c r="AV945" t="s">
        <v>62</v>
      </c>
      <c r="AW945" t="s">
        <v>65</v>
      </c>
      <c r="AX945" t="s">
        <v>66</v>
      </c>
      <c r="AY945" t="s">
        <v>165</v>
      </c>
    </row>
    <row r="946" spans="1:51" hidden="1" x14ac:dyDescent="0.25">
      <c r="A946">
        <v>406056</v>
      </c>
      <c r="B946" t="s">
        <v>3641</v>
      </c>
      <c r="C946" t="e">
        <f>VLOOKUP(A946,[1]Customer_payment_journal_line!$AL:$BO,30,0)</f>
        <v>#N/A</v>
      </c>
      <c r="D946" t="s">
        <v>159</v>
      </c>
      <c r="E946" t="s">
        <v>3637</v>
      </c>
      <c r="F946" t="s">
        <v>3638</v>
      </c>
      <c r="G946" t="s">
        <v>3455</v>
      </c>
      <c r="H946" t="s">
        <v>69</v>
      </c>
      <c r="I946" t="s">
        <v>3642</v>
      </c>
      <c r="J946" t="s">
        <v>3639</v>
      </c>
      <c r="K946" t="s">
        <v>3640</v>
      </c>
      <c r="L946" t="s">
        <v>52</v>
      </c>
      <c r="M946">
        <v>0</v>
      </c>
      <c r="N946">
        <v>825</v>
      </c>
      <c r="O946" t="s">
        <v>178</v>
      </c>
      <c r="P946">
        <v>5085</v>
      </c>
      <c r="Q946" t="s">
        <v>52</v>
      </c>
      <c r="R946" t="s">
        <v>52</v>
      </c>
      <c r="S946" t="s">
        <v>52</v>
      </c>
      <c r="T946" t="s">
        <v>52</v>
      </c>
      <c r="U946" t="s">
        <v>52</v>
      </c>
      <c r="V946" t="s">
        <v>62</v>
      </c>
      <c r="W946" t="s">
        <v>52</v>
      </c>
      <c r="Y946" t="s">
        <v>3643</v>
      </c>
      <c r="Z946" t="s">
        <v>62</v>
      </c>
      <c r="AB946" t="s">
        <v>3644</v>
      </c>
      <c r="AE946" t="s">
        <v>3645</v>
      </c>
      <c r="AF946" t="s">
        <v>52</v>
      </c>
      <c r="AH946">
        <v>0</v>
      </c>
      <c r="AI946">
        <v>0</v>
      </c>
      <c r="AJ946" t="s">
        <v>52</v>
      </c>
      <c r="AK946">
        <v>0</v>
      </c>
      <c r="AL946" t="s">
        <v>52</v>
      </c>
      <c r="AM946" t="s">
        <v>52</v>
      </c>
      <c r="AN946">
        <v>0</v>
      </c>
      <c r="AO946">
        <v>0</v>
      </c>
      <c r="AP946" t="s">
        <v>52</v>
      </c>
      <c r="AQ946" t="s">
        <v>52</v>
      </c>
      <c r="AR946" t="s">
        <v>62</v>
      </c>
      <c r="AS946" t="s">
        <v>52</v>
      </c>
      <c r="AT946" t="s">
        <v>74</v>
      </c>
      <c r="AU946" t="s">
        <v>64</v>
      </c>
      <c r="AV946" t="s">
        <v>62</v>
      </c>
      <c r="AW946" t="s">
        <v>65</v>
      </c>
      <c r="AX946" t="s">
        <v>66</v>
      </c>
      <c r="AY946" t="s">
        <v>165</v>
      </c>
    </row>
    <row r="947" spans="1:51" hidden="1" x14ac:dyDescent="0.25">
      <c r="A947">
        <v>406057</v>
      </c>
      <c r="B947" t="s">
        <v>3646</v>
      </c>
      <c r="C947" t="e">
        <f>VLOOKUP(A947,[1]Customer_payment_journal_line!$AL:$BO,30,0)</f>
        <v>#N/A</v>
      </c>
      <c r="D947" t="s">
        <v>644</v>
      </c>
      <c r="E947" t="s">
        <v>3647</v>
      </c>
      <c r="F947" t="s">
        <v>3648</v>
      </c>
      <c r="G947" t="s">
        <v>3455</v>
      </c>
      <c r="H947" t="s">
        <v>210</v>
      </c>
      <c r="I947" t="s">
        <v>3603</v>
      </c>
      <c r="K947" t="s">
        <v>3649</v>
      </c>
      <c r="L947" t="s">
        <v>52</v>
      </c>
      <c r="M947">
        <v>570</v>
      </c>
      <c r="N947">
        <v>0</v>
      </c>
      <c r="O947" t="s">
        <v>61</v>
      </c>
      <c r="P947">
        <v>100</v>
      </c>
      <c r="Q947" t="s">
        <v>52</v>
      </c>
      <c r="R947" t="s">
        <v>52</v>
      </c>
      <c r="S947" t="s">
        <v>52</v>
      </c>
      <c r="T947" t="s">
        <v>52</v>
      </c>
      <c r="U947" t="s">
        <v>52</v>
      </c>
      <c r="V947" t="s">
        <v>62</v>
      </c>
      <c r="W947" t="s">
        <v>63</v>
      </c>
      <c r="Y947" t="s">
        <v>52</v>
      </c>
      <c r="AB947" t="s">
        <v>3650</v>
      </c>
      <c r="AE947" t="s">
        <v>3651</v>
      </c>
      <c r="AF947" t="s">
        <v>632</v>
      </c>
      <c r="AG947" t="s">
        <v>3607</v>
      </c>
      <c r="AH947">
        <v>0</v>
      </c>
      <c r="AI947">
        <v>0</v>
      </c>
      <c r="AJ947" t="s">
        <v>52</v>
      </c>
      <c r="AK947">
        <v>0</v>
      </c>
      <c r="AL947" t="s">
        <v>52</v>
      </c>
      <c r="AM947" t="s">
        <v>52</v>
      </c>
      <c r="AN947">
        <v>0</v>
      </c>
      <c r="AO947">
        <v>0</v>
      </c>
      <c r="AP947" t="s">
        <v>52</v>
      </c>
      <c r="AQ947" t="s">
        <v>52</v>
      </c>
      <c r="AR947" t="s">
        <v>62</v>
      </c>
      <c r="AS947" t="s">
        <v>52</v>
      </c>
      <c r="AT947" t="s">
        <v>52</v>
      </c>
      <c r="AU947" t="s">
        <v>64</v>
      </c>
      <c r="AV947" t="s">
        <v>62</v>
      </c>
      <c r="AW947" t="s">
        <v>65</v>
      </c>
      <c r="AX947" t="s">
        <v>66</v>
      </c>
      <c r="AY947" t="s">
        <v>654</v>
      </c>
    </row>
    <row r="948" spans="1:51" hidden="1" x14ac:dyDescent="0.25">
      <c r="A948">
        <v>406057</v>
      </c>
      <c r="B948" t="s">
        <v>3652</v>
      </c>
      <c r="C948" t="e">
        <f>VLOOKUP(A948,[1]Customer_payment_journal_line!$AL:$BO,30,0)</f>
        <v>#N/A</v>
      </c>
      <c r="D948" t="s">
        <v>644</v>
      </c>
      <c r="E948" t="s">
        <v>3647</v>
      </c>
      <c r="F948" t="s">
        <v>3648</v>
      </c>
      <c r="G948" t="s">
        <v>3455</v>
      </c>
      <c r="H948" t="s">
        <v>69</v>
      </c>
      <c r="I948" t="s">
        <v>3609</v>
      </c>
      <c r="J948" t="s">
        <v>3610</v>
      </c>
      <c r="K948" t="s">
        <v>3649</v>
      </c>
      <c r="L948" t="s">
        <v>52</v>
      </c>
      <c r="M948">
        <v>0</v>
      </c>
      <c r="N948">
        <v>570</v>
      </c>
      <c r="O948" t="s">
        <v>61</v>
      </c>
      <c r="P948">
        <v>100</v>
      </c>
      <c r="Q948" t="s">
        <v>52</v>
      </c>
      <c r="R948" t="s">
        <v>52</v>
      </c>
      <c r="S948" t="s">
        <v>52</v>
      </c>
      <c r="T948" t="s">
        <v>52</v>
      </c>
      <c r="U948" t="s">
        <v>52</v>
      </c>
      <c r="V948" t="s">
        <v>62</v>
      </c>
      <c r="W948" t="s">
        <v>52</v>
      </c>
      <c r="Y948" t="s">
        <v>3611</v>
      </c>
      <c r="Z948" t="s">
        <v>62</v>
      </c>
      <c r="AB948" t="s">
        <v>3650</v>
      </c>
      <c r="AE948" t="s">
        <v>3651</v>
      </c>
      <c r="AF948" t="s">
        <v>632</v>
      </c>
      <c r="AG948" t="s">
        <v>3607</v>
      </c>
      <c r="AH948">
        <v>0</v>
      </c>
      <c r="AI948">
        <v>0</v>
      </c>
      <c r="AJ948" t="s">
        <v>52</v>
      </c>
      <c r="AK948">
        <v>0</v>
      </c>
      <c r="AL948" t="s">
        <v>52</v>
      </c>
      <c r="AM948" t="s">
        <v>52</v>
      </c>
      <c r="AN948">
        <v>0</v>
      </c>
      <c r="AO948">
        <v>0</v>
      </c>
      <c r="AP948" t="s">
        <v>52</v>
      </c>
      <c r="AQ948" t="s">
        <v>52</v>
      </c>
      <c r="AR948" t="s">
        <v>62</v>
      </c>
      <c r="AS948" t="s">
        <v>52</v>
      </c>
      <c r="AT948" t="s">
        <v>74</v>
      </c>
      <c r="AU948" t="s">
        <v>64</v>
      </c>
      <c r="AV948" t="s">
        <v>62</v>
      </c>
      <c r="AW948" t="s">
        <v>65</v>
      </c>
      <c r="AX948" t="s">
        <v>66</v>
      </c>
      <c r="AY948" t="s">
        <v>654</v>
      </c>
    </row>
    <row r="949" spans="1:51" hidden="1" x14ac:dyDescent="0.25">
      <c r="A949">
        <v>406058</v>
      </c>
      <c r="B949" t="s">
        <v>3653</v>
      </c>
      <c r="C949" t="e">
        <f>VLOOKUP(A949,[1]Customer_payment_journal_line!$AL:$BO,30,0)</f>
        <v>#N/A</v>
      </c>
      <c r="D949" t="s">
        <v>644</v>
      </c>
      <c r="E949" t="s">
        <v>3654</v>
      </c>
      <c r="F949" t="s">
        <v>3655</v>
      </c>
      <c r="G949" t="s">
        <v>3455</v>
      </c>
      <c r="H949" t="s">
        <v>210</v>
      </c>
      <c r="I949" t="s">
        <v>3603</v>
      </c>
      <c r="K949" t="s">
        <v>3656</v>
      </c>
      <c r="L949" t="s">
        <v>52</v>
      </c>
      <c r="M949">
        <v>570</v>
      </c>
      <c r="N949">
        <v>0</v>
      </c>
      <c r="O949" t="s">
        <v>61</v>
      </c>
      <c r="P949">
        <v>100</v>
      </c>
      <c r="Q949" t="s">
        <v>52</v>
      </c>
      <c r="R949" t="s">
        <v>52</v>
      </c>
      <c r="S949" t="s">
        <v>52</v>
      </c>
      <c r="T949" t="s">
        <v>52</v>
      </c>
      <c r="U949" t="s">
        <v>52</v>
      </c>
      <c r="V949" t="s">
        <v>62</v>
      </c>
      <c r="W949" t="s">
        <v>63</v>
      </c>
      <c r="Y949" t="s">
        <v>52</v>
      </c>
      <c r="AB949" t="s">
        <v>3657</v>
      </c>
      <c r="AE949" t="s">
        <v>3658</v>
      </c>
      <c r="AF949" t="s">
        <v>632</v>
      </c>
      <c r="AG949" t="s">
        <v>3607</v>
      </c>
      <c r="AH949">
        <v>0</v>
      </c>
      <c r="AI949">
        <v>0</v>
      </c>
      <c r="AJ949" t="s">
        <v>52</v>
      </c>
      <c r="AK949">
        <v>0</v>
      </c>
      <c r="AL949" t="s">
        <v>52</v>
      </c>
      <c r="AM949" t="s">
        <v>52</v>
      </c>
      <c r="AN949">
        <v>0</v>
      </c>
      <c r="AO949">
        <v>0</v>
      </c>
      <c r="AP949" t="s">
        <v>52</v>
      </c>
      <c r="AQ949" t="s">
        <v>52</v>
      </c>
      <c r="AR949" t="s">
        <v>62</v>
      </c>
      <c r="AS949" t="s">
        <v>52</v>
      </c>
      <c r="AT949" t="s">
        <v>52</v>
      </c>
      <c r="AU949" t="s">
        <v>64</v>
      </c>
      <c r="AV949" t="s">
        <v>62</v>
      </c>
      <c r="AW949" t="s">
        <v>65</v>
      </c>
      <c r="AX949" t="s">
        <v>66</v>
      </c>
      <c r="AY949" t="s">
        <v>654</v>
      </c>
    </row>
    <row r="950" spans="1:51" hidden="1" x14ac:dyDescent="0.25">
      <c r="A950">
        <v>406058</v>
      </c>
      <c r="B950" t="s">
        <v>3659</v>
      </c>
      <c r="C950" t="e">
        <f>VLOOKUP(A950,[1]Customer_payment_journal_line!$AL:$BO,30,0)</f>
        <v>#N/A</v>
      </c>
      <c r="D950" t="s">
        <v>644</v>
      </c>
      <c r="E950" t="s">
        <v>3654</v>
      </c>
      <c r="F950" t="s">
        <v>3655</v>
      </c>
      <c r="G950" t="s">
        <v>3455</v>
      </c>
      <c r="H950" t="s">
        <v>69</v>
      </c>
      <c r="I950" t="s">
        <v>3609</v>
      </c>
      <c r="J950" t="s">
        <v>3610</v>
      </c>
      <c r="K950" t="s">
        <v>3656</v>
      </c>
      <c r="L950" t="s">
        <v>52</v>
      </c>
      <c r="M950">
        <v>0</v>
      </c>
      <c r="N950">
        <v>570</v>
      </c>
      <c r="O950" t="s">
        <v>61</v>
      </c>
      <c r="P950">
        <v>100</v>
      </c>
      <c r="Q950" t="s">
        <v>52</v>
      </c>
      <c r="R950" t="s">
        <v>52</v>
      </c>
      <c r="S950" t="s">
        <v>52</v>
      </c>
      <c r="T950" t="s">
        <v>52</v>
      </c>
      <c r="U950" t="s">
        <v>52</v>
      </c>
      <c r="V950" t="s">
        <v>62</v>
      </c>
      <c r="W950" t="s">
        <v>52</v>
      </c>
      <c r="Y950" t="s">
        <v>3611</v>
      </c>
      <c r="Z950" t="s">
        <v>62</v>
      </c>
      <c r="AB950" t="s">
        <v>3657</v>
      </c>
      <c r="AE950" t="s">
        <v>3658</v>
      </c>
      <c r="AF950" t="s">
        <v>632</v>
      </c>
      <c r="AG950" t="s">
        <v>3607</v>
      </c>
      <c r="AH950">
        <v>0</v>
      </c>
      <c r="AI950">
        <v>0</v>
      </c>
      <c r="AJ950" t="s">
        <v>52</v>
      </c>
      <c r="AK950">
        <v>0</v>
      </c>
      <c r="AL950" t="s">
        <v>52</v>
      </c>
      <c r="AM950" t="s">
        <v>52</v>
      </c>
      <c r="AN950">
        <v>0</v>
      </c>
      <c r="AO950">
        <v>0</v>
      </c>
      <c r="AP950" t="s">
        <v>52</v>
      </c>
      <c r="AQ950" t="s">
        <v>52</v>
      </c>
      <c r="AR950" t="s">
        <v>62</v>
      </c>
      <c r="AS950" t="s">
        <v>52</v>
      </c>
      <c r="AT950" t="s">
        <v>74</v>
      </c>
      <c r="AU950" t="s">
        <v>64</v>
      </c>
      <c r="AV950" t="s">
        <v>62</v>
      </c>
      <c r="AW950" t="s">
        <v>65</v>
      </c>
      <c r="AX950" t="s">
        <v>66</v>
      </c>
      <c r="AY950" t="s">
        <v>654</v>
      </c>
    </row>
    <row r="951" spans="1:51" hidden="1" x14ac:dyDescent="0.25">
      <c r="A951">
        <v>406059</v>
      </c>
      <c r="B951" t="s">
        <v>3660</v>
      </c>
      <c r="C951" t="e">
        <f>VLOOKUP(A951,[1]Customer_payment_journal_line!$AL:$BO,30,0)</f>
        <v>#N/A</v>
      </c>
      <c r="D951" t="s">
        <v>644</v>
      </c>
      <c r="E951" t="s">
        <v>3661</v>
      </c>
      <c r="F951" t="s">
        <v>3662</v>
      </c>
      <c r="G951" t="s">
        <v>3455</v>
      </c>
      <c r="H951" t="s">
        <v>210</v>
      </c>
      <c r="I951" t="s">
        <v>3603</v>
      </c>
      <c r="K951" t="s">
        <v>3663</v>
      </c>
      <c r="L951" t="s">
        <v>52</v>
      </c>
      <c r="M951">
        <v>570</v>
      </c>
      <c r="N951">
        <v>0</v>
      </c>
      <c r="O951" t="s">
        <v>61</v>
      </c>
      <c r="P951">
        <v>100</v>
      </c>
      <c r="Q951" t="s">
        <v>52</v>
      </c>
      <c r="R951" t="s">
        <v>52</v>
      </c>
      <c r="S951" t="s">
        <v>52</v>
      </c>
      <c r="T951" t="s">
        <v>52</v>
      </c>
      <c r="U951" t="s">
        <v>52</v>
      </c>
      <c r="V951" t="s">
        <v>62</v>
      </c>
      <c r="W951" t="s">
        <v>63</v>
      </c>
      <c r="Y951" t="s">
        <v>52</v>
      </c>
      <c r="AB951" t="s">
        <v>3664</v>
      </c>
      <c r="AE951" t="s">
        <v>3665</v>
      </c>
      <c r="AF951" t="s">
        <v>632</v>
      </c>
      <c r="AG951" t="s">
        <v>3607</v>
      </c>
      <c r="AH951">
        <v>0</v>
      </c>
      <c r="AI951">
        <v>0</v>
      </c>
      <c r="AJ951" t="s">
        <v>52</v>
      </c>
      <c r="AK951">
        <v>0</v>
      </c>
      <c r="AL951" t="s">
        <v>52</v>
      </c>
      <c r="AM951" t="s">
        <v>52</v>
      </c>
      <c r="AN951">
        <v>0</v>
      </c>
      <c r="AO951">
        <v>0</v>
      </c>
      <c r="AP951" t="s">
        <v>52</v>
      </c>
      <c r="AQ951" t="s">
        <v>52</v>
      </c>
      <c r="AR951" t="s">
        <v>62</v>
      </c>
      <c r="AS951" t="s">
        <v>52</v>
      </c>
      <c r="AT951" t="s">
        <v>52</v>
      </c>
      <c r="AU951" t="s">
        <v>64</v>
      </c>
      <c r="AV951" t="s">
        <v>62</v>
      </c>
      <c r="AW951" t="s">
        <v>65</v>
      </c>
      <c r="AX951" t="s">
        <v>66</v>
      </c>
      <c r="AY951" t="s">
        <v>654</v>
      </c>
    </row>
    <row r="952" spans="1:51" hidden="1" x14ac:dyDescent="0.25">
      <c r="A952">
        <v>406059</v>
      </c>
      <c r="B952" t="s">
        <v>3666</v>
      </c>
      <c r="C952" t="e">
        <f>VLOOKUP(A952,[1]Customer_payment_journal_line!$AL:$BO,30,0)</f>
        <v>#N/A</v>
      </c>
      <c r="D952" t="s">
        <v>644</v>
      </c>
      <c r="E952" t="s">
        <v>3661</v>
      </c>
      <c r="F952" t="s">
        <v>3662</v>
      </c>
      <c r="G952" t="s">
        <v>3455</v>
      </c>
      <c r="H952" t="s">
        <v>69</v>
      </c>
      <c r="I952" t="s">
        <v>3609</v>
      </c>
      <c r="J952" t="s">
        <v>3610</v>
      </c>
      <c r="K952" t="s">
        <v>3663</v>
      </c>
      <c r="L952" t="s">
        <v>52</v>
      </c>
      <c r="M952">
        <v>0</v>
      </c>
      <c r="N952">
        <v>570</v>
      </c>
      <c r="O952" t="s">
        <v>61</v>
      </c>
      <c r="P952">
        <v>100</v>
      </c>
      <c r="Q952" t="s">
        <v>52</v>
      </c>
      <c r="R952" t="s">
        <v>52</v>
      </c>
      <c r="S952" t="s">
        <v>52</v>
      </c>
      <c r="T952" t="s">
        <v>52</v>
      </c>
      <c r="U952" t="s">
        <v>52</v>
      </c>
      <c r="V952" t="s">
        <v>62</v>
      </c>
      <c r="W952" t="s">
        <v>52</v>
      </c>
      <c r="Y952" t="s">
        <v>3611</v>
      </c>
      <c r="Z952" t="s">
        <v>62</v>
      </c>
      <c r="AB952" t="s">
        <v>3664</v>
      </c>
      <c r="AE952" t="s">
        <v>3665</v>
      </c>
      <c r="AF952" t="s">
        <v>632</v>
      </c>
      <c r="AG952" t="s">
        <v>3607</v>
      </c>
      <c r="AH952">
        <v>0</v>
      </c>
      <c r="AI952">
        <v>0</v>
      </c>
      <c r="AJ952" t="s">
        <v>52</v>
      </c>
      <c r="AK952">
        <v>0</v>
      </c>
      <c r="AL952" t="s">
        <v>52</v>
      </c>
      <c r="AM952" t="s">
        <v>52</v>
      </c>
      <c r="AN952">
        <v>0</v>
      </c>
      <c r="AO952">
        <v>0</v>
      </c>
      <c r="AP952" t="s">
        <v>52</v>
      </c>
      <c r="AQ952" t="s">
        <v>52</v>
      </c>
      <c r="AR952" t="s">
        <v>62</v>
      </c>
      <c r="AS952" t="s">
        <v>52</v>
      </c>
      <c r="AT952" t="s">
        <v>74</v>
      </c>
      <c r="AU952" t="s">
        <v>64</v>
      </c>
      <c r="AV952" t="s">
        <v>62</v>
      </c>
      <c r="AW952" t="s">
        <v>65</v>
      </c>
      <c r="AX952" t="s">
        <v>66</v>
      </c>
      <c r="AY952" t="s">
        <v>654</v>
      </c>
    </row>
    <row r="953" spans="1:51" hidden="1" x14ac:dyDescent="0.25">
      <c r="A953">
        <v>406060</v>
      </c>
      <c r="B953" t="s">
        <v>3667</v>
      </c>
      <c r="C953" t="e">
        <f>VLOOKUP(A953,[1]Customer_payment_journal_line!$AL:$BO,30,0)</f>
        <v>#N/A</v>
      </c>
      <c r="D953" t="s">
        <v>76</v>
      </c>
      <c r="E953" t="s">
        <v>3668</v>
      </c>
      <c r="F953" t="s">
        <v>3669</v>
      </c>
      <c r="G953" t="s">
        <v>3455</v>
      </c>
      <c r="H953" t="s">
        <v>80</v>
      </c>
      <c r="I953" t="s">
        <v>81</v>
      </c>
      <c r="J953" t="s">
        <v>3670</v>
      </c>
      <c r="K953" t="s">
        <v>3671</v>
      </c>
      <c r="L953" t="s">
        <v>52</v>
      </c>
      <c r="M953">
        <v>2633.4</v>
      </c>
      <c r="N953">
        <v>0</v>
      </c>
      <c r="O953" t="s">
        <v>61</v>
      </c>
      <c r="P953">
        <v>100</v>
      </c>
      <c r="Q953" t="s">
        <v>52</v>
      </c>
      <c r="R953" t="s">
        <v>52</v>
      </c>
      <c r="S953" t="s">
        <v>52</v>
      </c>
      <c r="T953" t="s">
        <v>52</v>
      </c>
      <c r="U953" t="s">
        <v>52</v>
      </c>
      <c r="V953" t="s">
        <v>62</v>
      </c>
      <c r="W953" t="s">
        <v>52</v>
      </c>
      <c r="Y953" t="s">
        <v>52</v>
      </c>
      <c r="AB953" t="s">
        <v>52</v>
      </c>
      <c r="AE953" t="s">
        <v>52</v>
      </c>
      <c r="AF953" t="s">
        <v>52</v>
      </c>
      <c r="AH953">
        <v>0</v>
      </c>
      <c r="AI953">
        <v>0</v>
      </c>
      <c r="AJ953" t="s">
        <v>52</v>
      </c>
      <c r="AK953">
        <v>0</v>
      </c>
      <c r="AL953" t="s">
        <v>52</v>
      </c>
      <c r="AM953" t="s">
        <v>52</v>
      </c>
      <c r="AN953">
        <v>0</v>
      </c>
      <c r="AO953">
        <v>0</v>
      </c>
      <c r="AP953" t="s">
        <v>52</v>
      </c>
      <c r="AQ953" t="s">
        <v>52</v>
      </c>
      <c r="AR953" t="s">
        <v>62</v>
      </c>
      <c r="AS953" t="s">
        <v>52</v>
      </c>
      <c r="AT953" t="s">
        <v>52</v>
      </c>
      <c r="AU953" t="s">
        <v>64</v>
      </c>
      <c r="AV953" t="s">
        <v>62</v>
      </c>
      <c r="AW953" t="s">
        <v>65</v>
      </c>
      <c r="AX953" t="s">
        <v>66</v>
      </c>
      <c r="AY953" t="s">
        <v>76</v>
      </c>
    </row>
    <row r="954" spans="1:51" hidden="1" x14ac:dyDescent="0.25">
      <c r="A954">
        <v>406060</v>
      </c>
      <c r="B954" t="s">
        <v>3672</v>
      </c>
      <c r="C954" t="e">
        <f>VLOOKUP(A954,[1]Customer_payment_journal_line!$AL:$BO,30,0)</f>
        <v>#N/A</v>
      </c>
      <c r="D954" t="s">
        <v>76</v>
      </c>
      <c r="E954" t="s">
        <v>3668</v>
      </c>
      <c r="F954" t="s">
        <v>3669</v>
      </c>
      <c r="G954" t="s">
        <v>3455</v>
      </c>
      <c r="H954" t="s">
        <v>69</v>
      </c>
      <c r="I954" t="s">
        <v>3673</v>
      </c>
      <c r="J954" t="s">
        <v>3670</v>
      </c>
      <c r="K954" t="s">
        <v>3671</v>
      </c>
      <c r="L954" t="s">
        <v>52</v>
      </c>
      <c r="M954">
        <v>0</v>
      </c>
      <c r="N954">
        <v>855</v>
      </c>
      <c r="O954" t="s">
        <v>61</v>
      </c>
      <c r="P954">
        <v>100</v>
      </c>
      <c r="Q954" t="s">
        <v>52</v>
      </c>
      <c r="R954" t="s">
        <v>52</v>
      </c>
      <c r="S954" t="s">
        <v>52</v>
      </c>
      <c r="T954" t="s">
        <v>52</v>
      </c>
      <c r="U954" t="s">
        <v>52</v>
      </c>
      <c r="V954" t="s">
        <v>62</v>
      </c>
      <c r="W954" t="s">
        <v>52</v>
      </c>
      <c r="Y954" t="s">
        <v>3674</v>
      </c>
      <c r="Z954" t="s">
        <v>62</v>
      </c>
      <c r="AB954" t="s">
        <v>3675</v>
      </c>
      <c r="AE954" t="s">
        <v>3676</v>
      </c>
      <c r="AF954" t="s">
        <v>52</v>
      </c>
      <c r="AH954">
        <v>0</v>
      </c>
      <c r="AI954">
        <v>0</v>
      </c>
      <c r="AJ954" t="s">
        <v>52</v>
      </c>
      <c r="AK954">
        <v>0</v>
      </c>
      <c r="AL954" t="s">
        <v>52</v>
      </c>
      <c r="AM954" t="s">
        <v>52</v>
      </c>
      <c r="AN954">
        <v>0</v>
      </c>
      <c r="AO954">
        <v>0</v>
      </c>
      <c r="AP954" t="s">
        <v>52</v>
      </c>
      <c r="AQ954" t="s">
        <v>52</v>
      </c>
      <c r="AR954" t="s">
        <v>62</v>
      </c>
      <c r="AS954" t="s">
        <v>52</v>
      </c>
      <c r="AT954" t="s">
        <v>74</v>
      </c>
      <c r="AU954" t="s">
        <v>64</v>
      </c>
      <c r="AV954" t="s">
        <v>62</v>
      </c>
      <c r="AW954" t="s">
        <v>65</v>
      </c>
      <c r="AX954" t="s">
        <v>66</v>
      </c>
      <c r="AY954" t="s">
        <v>76</v>
      </c>
    </row>
    <row r="955" spans="1:51" hidden="1" x14ac:dyDescent="0.25">
      <c r="A955">
        <v>406060</v>
      </c>
      <c r="B955" t="s">
        <v>3677</v>
      </c>
      <c r="C955" t="e">
        <f>VLOOKUP(A955,[1]Customer_payment_journal_line!$AL:$BO,30,0)</f>
        <v>#N/A</v>
      </c>
      <c r="D955" t="s">
        <v>76</v>
      </c>
      <c r="E955" t="s">
        <v>3668</v>
      </c>
      <c r="F955" t="s">
        <v>3669</v>
      </c>
      <c r="G955" t="s">
        <v>3455</v>
      </c>
      <c r="H955" t="s">
        <v>69</v>
      </c>
      <c r="I955" t="s">
        <v>3673</v>
      </c>
      <c r="J955" t="s">
        <v>3670</v>
      </c>
      <c r="K955" t="s">
        <v>3671</v>
      </c>
      <c r="L955" t="s">
        <v>52</v>
      </c>
      <c r="M955">
        <v>0</v>
      </c>
      <c r="N955">
        <v>1778.4</v>
      </c>
      <c r="O955" t="s">
        <v>61</v>
      </c>
      <c r="P955">
        <v>100</v>
      </c>
      <c r="Q955" t="s">
        <v>52</v>
      </c>
      <c r="R955" t="s">
        <v>52</v>
      </c>
      <c r="S955" t="s">
        <v>52</v>
      </c>
      <c r="T955" t="s">
        <v>52</v>
      </c>
      <c r="U955" t="s">
        <v>52</v>
      </c>
      <c r="V955" t="s">
        <v>62</v>
      </c>
      <c r="W955" t="s">
        <v>52</v>
      </c>
      <c r="Y955" t="s">
        <v>3674</v>
      </c>
      <c r="Z955" t="s">
        <v>62</v>
      </c>
      <c r="AB955" t="s">
        <v>3678</v>
      </c>
      <c r="AE955" t="s">
        <v>3679</v>
      </c>
      <c r="AF955" t="s">
        <v>52</v>
      </c>
      <c r="AH955">
        <v>0</v>
      </c>
      <c r="AI955">
        <v>0</v>
      </c>
      <c r="AJ955" t="s">
        <v>52</v>
      </c>
      <c r="AK955">
        <v>0</v>
      </c>
      <c r="AL955" t="s">
        <v>52</v>
      </c>
      <c r="AM955" t="s">
        <v>52</v>
      </c>
      <c r="AN955">
        <v>0</v>
      </c>
      <c r="AO955">
        <v>0</v>
      </c>
      <c r="AP955" t="s">
        <v>52</v>
      </c>
      <c r="AQ955" t="s">
        <v>52</v>
      </c>
      <c r="AR955" t="s">
        <v>62</v>
      </c>
      <c r="AS955" t="s">
        <v>52</v>
      </c>
      <c r="AT955" t="s">
        <v>74</v>
      </c>
      <c r="AU955" t="s">
        <v>64</v>
      </c>
      <c r="AV955" t="s">
        <v>62</v>
      </c>
      <c r="AW955" t="s">
        <v>65</v>
      </c>
      <c r="AX955" t="s">
        <v>66</v>
      </c>
      <c r="AY955" t="s">
        <v>76</v>
      </c>
    </row>
    <row r="956" spans="1:51" hidden="1" x14ac:dyDescent="0.25">
      <c r="A956">
        <v>406061</v>
      </c>
      <c r="B956" t="s">
        <v>3680</v>
      </c>
      <c r="C956" t="e">
        <f>VLOOKUP(A956,[1]Customer_payment_journal_line!$AL:$BO,30,0)</f>
        <v>#N/A</v>
      </c>
      <c r="D956" t="s">
        <v>159</v>
      </c>
      <c r="E956" t="s">
        <v>3681</v>
      </c>
      <c r="F956" t="s">
        <v>3682</v>
      </c>
      <c r="G956" t="s">
        <v>3455</v>
      </c>
      <c r="H956" t="s">
        <v>80</v>
      </c>
      <c r="I956" t="s">
        <v>3683</v>
      </c>
      <c r="J956" t="s">
        <v>3684</v>
      </c>
      <c r="K956" t="s">
        <v>3440</v>
      </c>
      <c r="L956" t="s">
        <v>52</v>
      </c>
      <c r="M956">
        <v>351</v>
      </c>
      <c r="N956">
        <v>0</v>
      </c>
      <c r="O956" t="s">
        <v>178</v>
      </c>
      <c r="P956">
        <v>5085</v>
      </c>
      <c r="Q956" t="s">
        <v>52</v>
      </c>
      <c r="R956" t="s">
        <v>52</v>
      </c>
      <c r="S956" t="s">
        <v>52</v>
      </c>
      <c r="T956" t="s">
        <v>52</v>
      </c>
      <c r="U956" t="s">
        <v>52</v>
      </c>
      <c r="V956" t="s">
        <v>62</v>
      </c>
      <c r="W956" t="s">
        <v>52</v>
      </c>
      <c r="Y956" t="s">
        <v>52</v>
      </c>
      <c r="AB956" t="s">
        <v>52</v>
      </c>
      <c r="AE956" t="s">
        <v>52</v>
      </c>
      <c r="AF956" t="s">
        <v>52</v>
      </c>
      <c r="AH956">
        <v>0</v>
      </c>
      <c r="AI956">
        <v>0</v>
      </c>
      <c r="AJ956" t="s">
        <v>52</v>
      </c>
      <c r="AK956">
        <v>0</v>
      </c>
      <c r="AL956" t="s">
        <v>52</v>
      </c>
      <c r="AM956" t="s">
        <v>52</v>
      </c>
      <c r="AN956">
        <v>0</v>
      </c>
      <c r="AO956">
        <v>0</v>
      </c>
      <c r="AP956" t="s">
        <v>52</v>
      </c>
      <c r="AQ956" t="s">
        <v>52</v>
      </c>
      <c r="AR956" t="s">
        <v>62</v>
      </c>
      <c r="AS956" t="s">
        <v>52</v>
      </c>
      <c r="AT956" t="s">
        <v>52</v>
      </c>
      <c r="AU956" t="s">
        <v>64</v>
      </c>
      <c r="AV956" t="s">
        <v>62</v>
      </c>
      <c r="AW956" t="s">
        <v>65</v>
      </c>
      <c r="AX956" t="s">
        <v>66</v>
      </c>
      <c r="AY956" t="s">
        <v>165</v>
      </c>
    </row>
    <row r="957" spans="1:51" hidden="1" x14ac:dyDescent="0.25">
      <c r="A957">
        <v>406061</v>
      </c>
      <c r="B957" t="s">
        <v>3685</v>
      </c>
      <c r="C957" t="e">
        <f>VLOOKUP(A957,[1]Customer_payment_journal_line!$AL:$BO,30,0)</f>
        <v>#N/A</v>
      </c>
      <c r="D957" t="s">
        <v>159</v>
      </c>
      <c r="E957" t="s">
        <v>3681</v>
      </c>
      <c r="F957" t="s">
        <v>3682</v>
      </c>
      <c r="G957" t="s">
        <v>3455</v>
      </c>
      <c r="H957" t="s">
        <v>69</v>
      </c>
      <c r="I957" t="s">
        <v>3686</v>
      </c>
      <c r="J957" t="s">
        <v>3684</v>
      </c>
      <c r="K957" t="s">
        <v>3440</v>
      </c>
      <c r="L957" t="s">
        <v>52</v>
      </c>
      <c r="M957">
        <v>0</v>
      </c>
      <c r="N957">
        <v>351</v>
      </c>
      <c r="O957" t="s">
        <v>178</v>
      </c>
      <c r="P957">
        <v>5085</v>
      </c>
      <c r="Q957" t="s">
        <v>52</v>
      </c>
      <c r="R957" t="s">
        <v>52</v>
      </c>
      <c r="S957" t="s">
        <v>52</v>
      </c>
      <c r="T957" t="s">
        <v>52</v>
      </c>
      <c r="U957" t="s">
        <v>52</v>
      </c>
      <c r="V957" t="s">
        <v>62</v>
      </c>
      <c r="W957" t="s">
        <v>52</v>
      </c>
      <c r="Y957" t="s">
        <v>3687</v>
      </c>
      <c r="Z957" t="s">
        <v>62</v>
      </c>
      <c r="AB957" t="s">
        <v>3688</v>
      </c>
      <c r="AE957" t="s">
        <v>3689</v>
      </c>
      <c r="AF957" t="s">
        <v>52</v>
      </c>
      <c r="AH957">
        <v>0</v>
      </c>
      <c r="AI957">
        <v>0</v>
      </c>
      <c r="AJ957" t="s">
        <v>52</v>
      </c>
      <c r="AK957">
        <v>0</v>
      </c>
      <c r="AL957" t="s">
        <v>52</v>
      </c>
      <c r="AM957" t="s">
        <v>52</v>
      </c>
      <c r="AN957">
        <v>0</v>
      </c>
      <c r="AO957">
        <v>0</v>
      </c>
      <c r="AP957" t="s">
        <v>52</v>
      </c>
      <c r="AQ957" t="s">
        <v>52</v>
      </c>
      <c r="AR957" t="s">
        <v>62</v>
      </c>
      <c r="AS957" t="s">
        <v>52</v>
      </c>
      <c r="AT957" t="s">
        <v>74</v>
      </c>
      <c r="AU957" t="s">
        <v>64</v>
      </c>
      <c r="AV957" t="s">
        <v>62</v>
      </c>
      <c r="AW957" t="s">
        <v>65</v>
      </c>
      <c r="AX957" t="s">
        <v>66</v>
      </c>
      <c r="AY957" t="s">
        <v>165</v>
      </c>
    </row>
    <row r="958" spans="1:51" hidden="1" x14ac:dyDescent="0.25">
      <c r="A958">
        <v>406064</v>
      </c>
      <c r="B958" t="s">
        <v>3690</v>
      </c>
      <c r="C958" t="e">
        <f>VLOOKUP(A958,[1]Customer_payment_journal_line!$AL:$BO,30,0)</f>
        <v>#N/A</v>
      </c>
      <c r="D958" t="s">
        <v>159</v>
      </c>
      <c r="E958" t="s">
        <v>3691</v>
      </c>
      <c r="F958" t="s">
        <v>3692</v>
      </c>
      <c r="G958" t="s">
        <v>3455</v>
      </c>
      <c r="H958" t="s">
        <v>80</v>
      </c>
      <c r="I958" t="s">
        <v>2259</v>
      </c>
      <c r="J958" t="s">
        <v>3693</v>
      </c>
      <c r="K958" t="s">
        <v>3694</v>
      </c>
      <c r="L958" t="s">
        <v>52</v>
      </c>
      <c r="M958">
        <v>665</v>
      </c>
      <c r="N958">
        <v>0</v>
      </c>
      <c r="O958" t="s">
        <v>178</v>
      </c>
      <c r="P958">
        <v>5085</v>
      </c>
      <c r="Q958" t="s">
        <v>52</v>
      </c>
      <c r="R958" t="s">
        <v>52</v>
      </c>
      <c r="S958" t="s">
        <v>52</v>
      </c>
      <c r="T958" t="s">
        <v>52</v>
      </c>
      <c r="U958" t="s">
        <v>52</v>
      </c>
      <c r="V958" t="s">
        <v>62</v>
      </c>
      <c r="W958" t="s">
        <v>52</v>
      </c>
      <c r="Y958" t="s">
        <v>52</v>
      </c>
      <c r="AB958" t="s">
        <v>52</v>
      </c>
      <c r="AE958" t="s">
        <v>52</v>
      </c>
      <c r="AF958" t="s">
        <v>52</v>
      </c>
      <c r="AH958">
        <v>0</v>
      </c>
      <c r="AI958">
        <v>0</v>
      </c>
      <c r="AJ958" t="s">
        <v>52</v>
      </c>
      <c r="AK958">
        <v>0</v>
      </c>
      <c r="AL958" t="s">
        <v>52</v>
      </c>
      <c r="AM958" t="s">
        <v>52</v>
      </c>
      <c r="AN958">
        <v>0</v>
      </c>
      <c r="AO958">
        <v>0</v>
      </c>
      <c r="AP958" t="s">
        <v>52</v>
      </c>
      <c r="AQ958" t="s">
        <v>52</v>
      </c>
      <c r="AR958" t="s">
        <v>62</v>
      </c>
      <c r="AS958" t="s">
        <v>52</v>
      </c>
      <c r="AT958" t="s">
        <v>52</v>
      </c>
      <c r="AU958" t="s">
        <v>64</v>
      </c>
      <c r="AV958" t="s">
        <v>62</v>
      </c>
      <c r="AW958" t="s">
        <v>65</v>
      </c>
      <c r="AX958" t="s">
        <v>66</v>
      </c>
      <c r="AY958" t="s">
        <v>165</v>
      </c>
    </row>
    <row r="959" spans="1:51" hidden="1" x14ac:dyDescent="0.25">
      <c r="A959">
        <v>406064</v>
      </c>
      <c r="B959" t="s">
        <v>3695</v>
      </c>
      <c r="C959" t="e">
        <f>VLOOKUP(A959,[1]Customer_payment_journal_line!$AL:$BO,30,0)</f>
        <v>#N/A</v>
      </c>
      <c r="D959" t="s">
        <v>159</v>
      </c>
      <c r="E959" t="s">
        <v>3691</v>
      </c>
      <c r="F959" t="s">
        <v>3692</v>
      </c>
      <c r="G959" t="s">
        <v>3455</v>
      </c>
      <c r="H959" t="s">
        <v>69</v>
      </c>
      <c r="I959" t="s">
        <v>3696</v>
      </c>
      <c r="J959" t="s">
        <v>3693</v>
      </c>
      <c r="K959" t="s">
        <v>3694</v>
      </c>
      <c r="L959" t="s">
        <v>52</v>
      </c>
      <c r="M959">
        <v>0</v>
      </c>
      <c r="N959">
        <v>105</v>
      </c>
      <c r="O959" t="s">
        <v>178</v>
      </c>
      <c r="P959">
        <v>5085</v>
      </c>
      <c r="Q959" t="s">
        <v>52</v>
      </c>
      <c r="R959" t="s">
        <v>52</v>
      </c>
      <c r="S959" t="s">
        <v>52</v>
      </c>
      <c r="T959" t="s">
        <v>52</v>
      </c>
      <c r="U959" t="s">
        <v>52</v>
      </c>
      <c r="V959" t="s">
        <v>62</v>
      </c>
      <c r="W959" t="s">
        <v>52</v>
      </c>
      <c r="Y959" t="s">
        <v>3697</v>
      </c>
      <c r="Z959" t="s">
        <v>62</v>
      </c>
      <c r="AB959" t="s">
        <v>3698</v>
      </c>
      <c r="AE959" t="s">
        <v>3699</v>
      </c>
      <c r="AF959" t="s">
        <v>52</v>
      </c>
      <c r="AH959">
        <v>0</v>
      </c>
      <c r="AI959">
        <v>0</v>
      </c>
      <c r="AJ959" t="s">
        <v>52</v>
      </c>
      <c r="AK959">
        <v>0</v>
      </c>
      <c r="AL959" t="s">
        <v>52</v>
      </c>
      <c r="AM959" t="s">
        <v>52</v>
      </c>
      <c r="AN959">
        <v>0</v>
      </c>
      <c r="AO959">
        <v>0</v>
      </c>
      <c r="AP959" t="s">
        <v>52</v>
      </c>
      <c r="AQ959" t="s">
        <v>52</v>
      </c>
      <c r="AR959" t="s">
        <v>62</v>
      </c>
      <c r="AS959" t="s">
        <v>52</v>
      </c>
      <c r="AT959" t="s">
        <v>74</v>
      </c>
      <c r="AU959" t="s">
        <v>64</v>
      </c>
      <c r="AV959" t="s">
        <v>62</v>
      </c>
      <c r="AW959" t="s">
        <v>65</v>
      </c>
      <c r="AX959" t="s">
        <v>66</v>
      </c>
      <c r="AY959" t="s">
        <v>165</v>
      </c>
    </row>
    <row r="960" spans="1:51" hidden="1" x14ac:dyDescent="0.25">
      <c r="A960">
        <v>406064</v>
      </c>
      <c r="B960" t="s">
        <v>3700</v>
      </c>
      <c r="C960" t="e">
        <f>VLOOKUP(A960,[1]Customer_payment_journal_line!$AL:$BO,30,0)</f>
        <v>#N/A</v>
      </c>
      <c r="D960" t="s">
        <v>159</v>
      </c>
      <c r="E960" t="s">
        <v>3691</v>
      </c>
      <c r="F960" t="s">
        <v>3692</v>
      </c>
      <c r="G960" t="s">
        <v>3455</v>
      </c>
      <c r="H960" t="s">
        <v>69</v>
      </c>
      <c r="I960" t="s">
        <v>3696</v>
      </c>
      <c r="J960" t="s">
        <v>3693</v>
      </c>
      <c r="K960" t="s">
        <v>3694</v>
      </c>
      <c r="L960" t="s">
        <v>52</v>
      </c>
      <c r="M960">
        <v>0</v>
      </c>
      <c r="N960">
        <v>280</v>
      </c>
      <c r="O960" t="s">
        <v>178</v>
      </c>
      <c r="P960">
        <v>5085</v>
      </c>
      <c r="Q960" t="s">
        <v>52</v>
      </c>
      <c r="R960" t="s">
        <v>52</v>
      </c>
      <c r="S960" t="s">
        <v>52</v>
      </c>
      <c r="T960" t="s">
        <v>52</v>
      </c>
      <c r="U960" t="s">
        <v>52</v>
      </c>
      <c r="V960" t="s">
        <v>62</v>
      </c>
      <c r="W960" t="s">
        <v>52</v>
      </c>
      <c r="Y960" t="s">
        <v>3697</v>
      </c>
      <c r="Z960" t="s">
        <v>62</v>
      </c>
      <c r="AB960" t="s">
        <v>3701</v>
      </c>
      <c r="AE960" t="s">
        <v>3702</v>
      </c>
      <c r="AF960" t="s">
        <v>52</v>
      </c>
      <c r="AH960">
        <v>0</v>
      </c>
      <c r="AI960">
        <v>0</v>
      </c>
      <c r="AJ960" t="s">
        <v>52</v>
      </c>
      <c r="AK960">
        <v>0</v>
      </c>
      <c r="AL960" t="s">
        <v>52</v>
      </c>
      <c r="AM960" t="s">
        <v>52</v>
      </c>
      <c r="AN960">
        <v>0</v>
      </c>
      <c r="AO960">
        <v>0</v>
      </c>
      <c r="AP960" t="s">
        <v>52</v>
      </c>
      <c r="AQ960" t="s">
        <v>52</v>
      </c>
      <c r="AR960" t="s">
        <v>62</v>
      </c>
      <c r="AS960" t="s">
        <v>52</v>
      </c>
      <c r="AT960" t="s">
        <v>74</v>
      </c>
      <c r="AU960" t="s">
        <v>64</v>
      </c>
      <c r="AV960" t="s">
        <v>62</v>
      </c>
      <c r="AW960" t="s">
        <v>65</v>
      </c>
      <c r="AX960" t="s">
        <v>66</v>
      </c>
      <c r="AY960" t="s">
        <v>165</v>
      </c>
    </row>
    <row r="961" spans="1:51" hidden="1" x14ac:dyDescent="0.25">
      <c r="A961">
        <v>406064</v>
      </c>
      <c r="B961" t="s">
        <v>3703</v>
      </c>
      <c r="C961" t="e">
        <f>VLOOKUP(A961,[1]Customer_payment_journal_line!$AL:$BO,30,0)</f>
        <v>#N/A</v>
      </c>
      <c r="D961" t="s">
        <v>159</v>
      </c>
      <c r="E961" t="s">
        <v>3691</v>
      </c>
      <c r="F961" t="s">
        <v>3692</v>
      </c>
      <c r="G961" t="s">
        <v>3455</v>
      </c>
      <c r="H961" t="s">
        <v>69</v>
      </c>
      <c r="I961" t="s">
        <v>3696</v>
      </c>
      <c r="J961" t="s">
        <v>3693</v>
      </c>
      <c r="K961" t="s">
        <v>3694</v>
      </c>
      <c r="L961" t="s">
        <v>52</v>
      </c>
      <c r="M961">
        <v>0</v>
      </c>
      <c r="N961">
        <v>280</v>
      </c>
      <c r="O961" t="s">
        <v>178</v>
      </c>
      <c r="P961">
        <v>5085</v>
      </c>
      <c r="Q961" t="s">
        <v>52</v>
      </c>
      <c r="R961" t="s">
        <v>52</v>
      </c>
      <c r="S961" t="s">
        <v>52</v>
      </c>
      <c r="T961" t="s">
        <v>52</v>
      </c>
      <c r="U961" t="s">
        <v>52</v>
      </c>
      <c r="V961" t="s">
        <v>62</v>
      </c>
      <c r="W961" t="s">
        <v>52</v>
      </c>
      <c r="Y961" t="s">
        <v>3697</v>
      </c>
      <c r="Z961" t="s">
        <v>62</v>
      </c>
      <c r="AB961" t="s">
        <v>3704</v>
      </c>
      <c r="AE961" t="s">
        <v>3705</v>
      </c>
      <c r="AF961" t="s">
        <v>52</v>
      </c>
      <c r="AH961">
        <v>0</v>
      </c>
      <c r="AI961">
        <v>0</v>
      </c>
      <c r="AJ961" t="s">
        <v>52</v>
      </c>
      <c r="AK961">
        <v>0</v>
      </c>
      <c r="AL961" t="s">
        <v>52</v>
      </c>
      <c r="AM961" t="s">
        <v>52</v>
      </c>
      <c r="AN961">
        <v>0</v>
      </c>
      <c r="AO961">
        <v>0</v>
      </c>
      <c r="AP961" t="s">
        <v>52</v>
      </c>
      <c r="AQ961" t="s">
        <v>52</v>
      </c>
      <c r="AR961" t="s">
        <v>62</v>
      </c>
      <c r="AS961" t="s">
        <v>52</v>
      </c>
      <c r="AT961" t="s">
        <v>74</v>
      </c>
      <c r="AU961" t="s">
        <v>64</v>
      </c>
      <c r="AV961" t="s">
        <v>62</v>
      </c>
      <c r="AW961" t="s">
        <v>65</v>
      </c>
      <c r="AX961" t="s">
        <v>66</v>
      </c>
      <c r="AY961" t="s">
        <v>165</v>
      </c>
    </row>
    <row r="962" spans="1:51" hidden="1" x14ac:dyDescent="0.25">
      <c r="A962">
        <v>406065</v>
      </c>
      <c r="B962" t="s">
        <v>3706</v>
      </c>
      <c r="C962" t="e">
        <f>VLOOKUP(A962,[1]Customer_payment_journal_line!$AL:$BO,30,0)</f>
        <v>#N/A</v>
      </c>
      <c r="D962" t="s">
        <v>76</v>
      </c>
      <c r="E962" t="s">
        <v>3707</v>
      </c>
      <c r="F962" t="s">
        <v>3708</v>
      </c>
      <c r="G962" t="s">
        <v>3455</v>
      </c>
      <c r="H962" t="s">
        <v>80</v>
      </c>
      <c r="I962" t="s">
        <v>81</v>
      </c>
      <c r="J962" t="s">
        <v>3693</v>
      </c>
      <c r="K962" t="s">
        <v>3694</v>
      </c>
      <c r="L962" t="s">
        <v>52</v>
      </c>
      <c r="M962">
        <v>14478</v>
      </c>
      <c r="N962">
        <v>0</v>
      </c>
      <c r="O962" t="s">
        <v>61</v>
      </c>
      <c r="P962">
        <v>100</v>
      </c>
      <c r="Q962" t="s">
        <v>52</v>
      </c>
      <c r="R962" t="s">
        <v>52</v>
      </c>
      <c r="S962" t="s">
        <v>52</v>
      </c>
      <c r="T962" t="s">
        <v>52</v>
      </c>
      <c r="U962" t="s">
        <v>52</v>
      </c>
      <c r="V962" t="s">
        <v>62</v>
      </c>
      <c r="W962" t="s">
        <v>52</v>
      </c>
      <c r="Y962" t="s">
        <v>52</v>
      </c>
      <c r="AB962" t="s">
        <v>52</v>
      </c>
      <c r="AE962" t="s">
        <v>52</v>
      </c>
      <c r="AF962" t="s">
        <v>52</v>
      </c>
      <c r="AH962">
        <v>0</v>
      </c>
      <c r="AI962">
        <v>0</v>
      </c>
      <c r="AJ962" t="s">
        <v>52</v>
      </c>
      <c r="AK962">
        <v>0</v>
      </c>
      <c r="AL962" t="s">
        <v>52</v>
      </c>
      <c r="AM962" t="s">
        <v>52</v>
      </c>
      <c r="AN962">
        <v>0</v>
      </c>
      <c r="AO962">
        <v>0</v>
      </c>
      <c r="AP962" t="s">
        <v>52</v>
      </c>
      <c r="AQ962" t="s">
        <v>52</v>
      </c>
      <c r="AR962" t="s">
        <v>62</v>
      </c>
      <c r="AS962" t="s">
        <v>52</v>
      </c>
      <c r="AT962" t="s">
        <v>52</v>
      </c>
      <c r="AU962" t="s">
        <v>64</v>
      </c>
      <c r="AV962" t="s">
        <v>62</v>
      </c>
      <c r="AW962" t="s">
        <v>65</v>
      </c>
      <c r="AX962" t="s">
        <v>66</v>
      </c>
      <c r="AY962" t="s">
        <v>76</v>
      </c>
    </row>
    <row r="963" spans="1:51" hidden="1" x14ac:dyDescent="0.25">
      <c r="A963">
        <v>406065</v>
      </c>
      <c r="B963" t="s">
        <v>3709</v>
      </c>
      <c r="C963" t="e">
        <f>VLOOKUP(A963,[1]Customer_payment_journal_line!$AL:$BO,30,0)</f>
        <v>#N/A</v>
      </c>
      <c r="D963" t="s">
        <v>76</v>
      </c>
      <c r="E963" t="s">
        <v>3707</v>
      </c>
      <c r="F963" t="s">
        <v>3708</v>
      </c>
      <c r="G963" t="s">
        <v>3455</v>
      </c>
      <c r="H963" t="s">
        <v>69</v>
      </c>
      <c r="I963" t="s">
        <v>3696</v>
      </c>
      <c r="J963" t="s">
        <v>3693</v>
      </c>
      <c r="K963" t="s">
        <v>3694</v>
      </c>
      <c r="L963" t="s">
        <v>52</v>
      </c>
      <c r="M963">
        <v>0</v>
      </c>
      <c r="N963">
        <v>1881</v>
      </c>
      <c r="O963" t="s">
        <v>61</v>
      </c>
      <c r="P963">
        <v>100</v>
      </c>
      <c r="Q963" t="s">
        <v>52</v>
      </c>
      <c r="R963" t="s">
        <v>52</v>
      </c>
      <c r="S963" t="s">
        <v>52</v>
      </c>
      <c r="T963" t="s">
        <v>52</v>
      </c>
      <c r="U963" t="s">
        <v>52</v>
      </c>
      <c r="V963" t="s">
        <v>62</v>
      </c>
      <c r="W963" t="s">
        <v>52</v>
      </c>
      <c r="Y963" t="s">
        <v>3697</v>
      </c>
      <c r="Z963" t="s">
        <v>62</v>
      </c>
      <c r="AB963" t="s">
        <v>3710</v>
      </c>
      <c r="AE963" t="s">
        <v>3711</v>
      </c>
      <c r="AF963" t="s">
        <v>52</v>
      </c>
      <c r="AH963">
        <v>0</v>
      </c>
      <c r="AI963">
        <v>0</v>
      </c>
      <c r="AJ963" t="s">
        <v>52</v>
      </c>
      <c r="AK963">
        <v>0</v>
      </c>
      <c r="AL963" t="s">
        <v>52</v>
      </c>
      <c r="AM963" t="s">
        <v>52</v>
      </c>
      <c r="AN963">
        <v>0</v>
      </c>
      <c r="AO963">
        <v>0</v>
      </c>
      <c r="AP963" t="s">
        <v>52</v>
      </c>
      <c r="AQ963" t="s">
        <v>52</v>
      </c>
      <c r="AR963" t="s">
        <v>62</v>
      </c>
      <c r="AS963" t="s">
        <v>52</v>
      </c>
      <c r="AT963" t="s">
        <v>74</v>
      </c>
      <c r="AU963" t="s">
        <v>64</v>
      </c>
      <c r="AV963" t="s">
        <v>62</v>
      </c>
      <c r="AW963" t="s">
        <v>65</v>
      </c>
      <c r="AX963" t="s">
        <v>66</v>
      </c>
      <c r="AY963" t="s">
        <v>76</v>
      </c>
    </row>
    <row r="964" spans="1:51" hidden="1" x14ac:dyDescent="0.25">
      <c r="A964">
        <v>406065</v>
      </c>
      <c r="B964" t="s">
        <v>3712</v>
      </c>
      <c r="C964" t="e">
        <f>VLOOKUP(A964,[1]Customer_payment_journal_line!$AL:$BO,30,0)</f>
        <v>#N/A</v>
      </c>
      <c r="D964" t="s">
        <v>76</v>
      </c>
      <c r="E964" t="s">
        <v>3707</v>
      </c>
      <c r="F964" t="s">
        <v>3708</v>
      </c>
      <c r="G964" t="s">
        <v>3455</v>
      </c>
      <c r="H964" t="s">
        <v>69</v>
      </c>
      <c r="I964" t="s">
        <v>3696</v>
      </c>
      <c r="J964" t="s">
        <v>3693</v>
      </c>
      <c r="K964" t="s">
        <v>3694</v>
      </c>
      <c r="L964" t="s">
        <v>52</v>
      </c>
      <c r="M964">
        <v>0</v>
      </c>
      <c r="N964">
        <v>855</v>
      </c>
      <c r="O964" t="s">
        <v>61</v>
      </c>
      <c r="P964">
        <v>100</v>
      </c>
      <c r="Q964" t="s">
        <v>52</v>
      </c>
      <c r="R964" t="s">
        <v>52</v>
      </c>
      <c r="S964" t="s">
        <v>52</v>
      </c>
      <c r="T964" t="s">
        <v>52</v>
      </c>
      <c r="U964" t="s">
        <v>52</v>
      </c>
      <c r="V964" t="s">
        <v>62</v>
      </c>
      <c r="W964" t="s">
        <v>52</v>
      </c>
      <c r="Y964" t="s">
        <v>3697</v>
      </c>
      <c r="Z964" t="s">
        <v>62</v>
      </c>
      <c r="AB964" t="s">
        <v>3713</v>
      </c>
      <c r="AE964" t="s">
        <v>3714</v>
      </c>
      <c r="AF964" t="s">
        <v>52</v>
      </c>
      <c r="AH964">
        <v>0</v>
      </c>
      <c r="AI964">
        <v>0</v>
      </c>
      <c r="AJ964" t="s">
        <v>52</v>
      </c>
      <c r="AK964">
        <v>0</v>
      </c>
      <c r="AL964" t="s">
        <v>52</v>
      </c>
      <c r="AM964" t="s">
        <v>52</v>
      </c>
      <c r="AN964">
        <v>0</v>
      </c>
      <c r="AO964">
        <v>0</v>
      </c>
      <c r="AP964" t="s">
        <v>52</v>
      </c>
      <c r="AQ964" t="s">
        <v>52</v>
      </c>
      <c r="AR964" t="s">
        <v>62</v>
      </c>
      <c r="AS964" t="s">
        <v>52</v>
      </c>
      <c r="AT964" t="s">
        <v>74</v>
      </c>
      <c r="AU964" t="s">
        <v>64</v>
      </c>
      <c r="AV964" t="s">
        <v>62</v>
      </c>
      <c r="AW964" t="s">
        <v>65</v>
      </c>
      <c r="AX964" t="s">
        <v>66</v>
      </c>
      <c r="AY964" t="s">
        <v>76</v>
      </c>
    </row>
    <row r="965" spans="1:51" hidden="1" x14ac:dyDescent="0.25">
      <c r="A965">
        <v>406065</v>
      </c>
      <c r="B965" t="s">
        <v>3715</v>
      </c>
      <c r="C965" t="e">
        <f>VLOOKUP(A965,[1]Customer_payment_journal_line!$AL:$BO,30,0)</f>
        <v>#N/A</v>
      </c>
      <c r="D965" t="s">
        <v>76</v>
      </c>
      <c r="E965" t="s">
        <v>3707</v>
      </c>
      <c r="F965" t="s">
        <v>3708</v>
      </c>
      <c r="G965" t="s">
        <v>3455</v>
      </c>
      <c r="H965" t="s">
        <v>69</v>
      </c>
      <c r="I965" t="s">
        <v>3696</v>
      </c>
      <c r="J965" t="s">
        <v>3693</v>
      </c>
      <c r="K965" t="s">
        <v>3694</v>
      </c>
      <c r="L965" t="s">
        <v>52</v>
      </c>
      <c r="M965">
        <v>0</v>
      </c>
      <c r="N965">
        <v>5016</v>
      </c>
      <c r="O965" t="s">
        <v>61</v>
      </c>
      <c r="P965">
        <v>100</v>
      </c>
      <c r="Q965" t="s">
        <v>52</v>
      </c>
      <c r="R965" t="s">
        <v>52</v>
      </c>
      <c r="S965" t="s">
        <v>52</v>
      </c>
      <c r="T965" t="s">
        <v>52</v>
      </c>
      <c r="U965" t="s">
        <v>52</v>
      </c>
      <c r="V965" t="s">
        <v>62</v>
      </c>
      <c r="W965" t="s">
        <v>52</v>
      </c>
      <c r="Y965" t="s">
        <v>3697</v>
      </c>
      <c r="Z965" t="s">
        <v>62</v>
      </c>
      <c r="AB965" t="s">
        <v>3716</v>
      </c>
      <c r="AE965" t="s">
        <v>3717</v>
      </c>
      <c r="AF965" t="s">
        <v>52</v>
      </c>
      <c r="AH965">
        <v>0</v>
      </c>
      <c r="AI965">
        <v>0</v>
      </c>
      <c r="AJ965" t="s">
        <v>52</v>
      </c>
      <c r="AK965">
        <v>0</v>
      </c>
      <c r="AL965" t="s">
        <v>52</v>
      </c>
      <c r="AM965" t="s">
        <v>52</v>
      </c>
      <c r="AN965">
        <v>0</v>
      </c>
      <c r="AO965">
        <v>0</v>
      </c>
      <c r="AP965" t="s">
        <v>52</v>
      </c>
      <c r="AQ965" t="s">
        <v>52</v>
      </c>
      <c r="AR965" t="s">
        <v>62</v>
      </c>
      <c r="AS965" t="s">
        <v>52</v>
      </c>
      <c r="AT965" t="s">
        <v>74</v>
      </c>
      <c r="AU965" t="s">
        <v>64</v>
      </c>
      <c r="AV965" t="s">
        <v>62</v>
      </c>
      <c r="AW965" t="s">
        <v>65</v>
      </c>
      <c r="AX965" t="s">
        <v>66</v>
      </c>
      <c r="AY965" t="s">
        <v>76</v>
      </c>
    </row>
    <row r="966" spans="1:51" hidden="1" x14ac:dyDescent="0.25">
      <c r="A966">
        <v>406065</v>
      </c>
      <c r="B966" t="s">
        <v>3718</v>
      </c>
      <c r="C966" t="e">
        <f>VLOOKUP(A966,[1]Customer_payment_journal_line!$AL:$BO,30,0)</f>
        <v>#N/A</v>
      </c>
      <c r="D966" t="s">
        <v>76</v>
      </c>
      <c r="E966" t="s">
        <v>3707</v>
      </c>
      <c r="F966" t="s">
        <v>3708</v>
      </c>
      <c r="G966" t="s">
        <v>3455</v>
      </c>
      <c r="H966" t="s">
        <v>69</v>
      </c>
      <c r="I966" t="s">
        <v>3696</v>
      </c>
      <c r="J966" t="s">
        <v>3693</v>
      </c>
      <c r="K966" t="s">
        <v>3694</v>
      </c>
      <c r="L966" t="s">
        <v>52</v>
      </c>
      <c r="M966">
        <v>0</v>
      </c>
      <c r="N966">
        <v>855</v>
      </c>
      <c r="O966" t="s">
        <v>61</v>
      </c>
      <c r="P966">
        <v>100</v>
      </c>
      <c r="Q966" t="s">
        <v>52</v>
      </c>
      <c r="R966" t="s">
        <v>52</v>
      </c>
      <c r="S966" t="s">
        <v>52</v>
      </c>
      <c r="T966" t="s">
        <v>52</v>
      </c>
      <c r="U966" t="s">
        <v>52</v>
      </c>
      <c r="V966" t="s">
        <v>62</v>
      </c>
      <c r="W966" t="s">
        <v>52</v>
      </c>
      <c r="Y966" t="s">
        <v>3697</v>
      </c>
      <c r="Z966" t="s">
        <v>62</v>
      </c>
      <c r="AB966" t="s">
        <v>3719</v>
      </c>
      <c r="AE966" t="s">
        <v>3720</v>
      </c>
      <c r="AF966" t="s">
        <v>52</v>
      </c>
      <c r="AH966">
        <v>0</v>
      </c>
      <c r="AI966">
        <v>0</v>
      </c>
      <c r="AJ966" t="s">
        <v>52</v>
      </c>
      <c r="AK966">
        <v>0</v>
      </c>
      <c r="AL966" t="s">
        <v>52</v>
      </c>
      <c r="AM966" t="s">
        <v>52</v>
      </c>
      <c r="AN966">
        <v>0</v>
      </c>
      <c r="AO966">
        <v>0</v>
      </c>
      <c r="AP966" t="s">
        <v>52</v>
      </c>
      <c r="AQ966" t="s">
        <v>52</v>
      </c>
      <c r="AR966" t="s">
        <v>62</v>
      </c>
      <c r="AS966" t="s">
        <v>52</v>
      </c>
      <c r="AT966" t="s">
        <v>74</v>
      </c>
      <c r="AU966" t="s">
        <v>64</v>
      </c>
      <c r="AV966" t="s">
        <v>62</v>
      </c>
      <c r="AW966" t="s">
        <v>65</v>
      </c>
      <c r="AX966" t="s">
        <v>66</v>
      </c>
      <c r="AY966" t="s">
        <v>76</v>
      </c>
    </row>
    <row r="967" spans="1:51" hidden="1" x14ac:dyDescent="0.25">
      <c r="A967">
        <v>406065</v>
      </c>
      <c r="B967" t="s">
        <v>3721</v>
      </c>
      <c r="C967" t="e">
        <f>VLOOKUP(A967,[1]Customer_payment_journal_line!$AL:$BO,30,0)</f>
        <v>#N/A</v>
      </c>
      <c r="D967" t="s">
        <v>76</v>
      </c>
      <c r="E967" t="s">
        <v>3707</v>
      </c>
      <c r="F967" t="s">
        <v>3708</v>
      </c>
      <c r="G967" t="s">
        <v>3455</v>
      </c>
      <c r="H967" t="s">
        <v>69</v>
      </c>
      <c r="I967" t="s">
        <v>3696</v>
      </c>
      <c r="J967" t="s">
        <v>3693</v>
      </c>
      <c r="K967" t="s">
        <v>3694</v>
      </c>
      <c r="L967" t="s">
        <v>52</v>
      </c>
      <c r="M967">
        <v>0</v>
      </c>
      <c r="N967">
        <v>855</v>
      </c>
      <c r="O967" t="s">
        <v>61</v>
      </c>
      <c r="P967">
        <v>100</v>
      </c>
      <c r="Q967" t="s">
        <v>52</v>
      </c>
      <c r="R967" t="s">
        <v>52</v>
      </c>
      <c r="S967" t="s">
        <v>52</v>
      </c>
      <c r="T967" t="s">
        <v>52</v>
      </c>
      <c r="U967" t="s">
        <v>52</v>
      </c>
      <c r="V967" t="s">
        <v>62</v>
      </c>
      <c r="W967" t="s">
        <v>52</v>
      </c>
      <c r="Y967" t="s">
        <v>3697</v>
      </c>
      <c r="Z967" t="s">
        <v>62</v>
      </c>
      <c r="AB967" t="s">
        <v>3722</v>
      </c>
      <c r="AE967" t="s">
        <v>3723</v>
      </c>
      <c r="AF967" t="s">
        <v>52</v>
      </c>
      <c r="AH967">
        <v>0</v>
      </c>
      <c r="AI967">
        <v>0</v>
      </c>
      <c r="AJ967" t="s">
        <v>52</v>
      </c>
      <c r="AK967">
        <v>0</v>
      </c>
      <c r="AL967" t="s">
        <v>52</v>
      </c>
      <c r="AM967" t="s">
        <v>52</v>
      </c>
      <c r="AN967">
        <v>0</v>
      </c>
      <c r="AO967">
        <v>0</v>
      </c>
      <c r="AP967" t="s">
        <v>52</v>
      </c>
      <c r="AQ967" t="s">
        <v>52</v>
      </c>
      <c r="AR967" t="s">
        <v>62</v>
      </c>
      <c r="AS967" t="s">
        <v>52</v>
      </c>
      <c r="AT967" t="s">
        <v>74</v>
      </c>
      <c r="AU967" t="s">
        <v>64</v>
      </c>
      <c r="AV967" t="s">
        <v>62</v>
      </c>
      <c r="AW967" t="s">
        <v>65</v>
      </c>
      <c r="AX967" t="s">
        <v>66</v>
      </c>
      <c r="AY967" t="s">
        <v>76</v>
      </c>
    </row>
    <row r="968" spans="1:51" hidden="1" x14ac:dyDescent="0.25">
      <c r="A968">
        <v>406065</v>
      </c>
      <c r="B968" t="s">
        <v>3724</v>
      </c>
      <c r="C968" t="e">
        <f>VLOOKUP(A968,[1]Customer_payment_journal_line!$AL:$BO,30,0)</f>
        <v>#N/A</v>
      </c>
      <c r="D968" t="s">
        <v>76</v>
      </c>
      <c r="E968" t="s">
        <v>3707</v>
      </c>
      <c r="F968" t="s">
        <v>3708</v>
      </c>
      <c r="G968" t="s">
        <v>3455</v>
      </c>
      <c r="H968" t="s">
        <v>69</v>
      </c>
      <c r="I968" t="s">
        <v>3696</v>
      </c>
      <c r="J968" t="s">
        <v>3693</v>
      </c>
      <c r="K968" t="s">
        <v>3694</v>
      </c>
      <c r="L968" t="s">
        <v>52</v>
      </c>
      <c r="M968">
        <v>0</v>
      </c>
      <c r="N968">
        <v>5016</v>
      </c>
      <c r="O968" t="s">
        <v>61</v>
      </c>
      <c r="P968">
        <v>100</v>
      </c>
      <c r="Q968" t="s">
        <v>52</v>
      </c>
      <c r="R968" t="s">
        <v>52</v>
      </c>
      <c r="S968" t="s">
        <v>52</v>
      </c>
      <c r="T968" t="s">
        <v>52</v>
      </c>
      <c r="U968" t="s">
        <v>52</v>
      </c>
      <c r="V968" t="s">
        <v>62</v>
      </c>
      <c r="W968" t="s">
        <v>52</v>
      </c>
      <c r="Y968" t="s">
        <v>3697</v>
      </c>
      <c r="Z968" t="s">
        <v>62</v>
      </c>
      <c r="AB968" t="s">
        <v>3725</v>
      </c>
      <c r="AE968" t="s">
        <v>3726</v>
      </c>
      <c r="AF968" t="s">
        <v>52</v>
      </c>
      <c r="AH968">
        <v>0</v>
      </c>
      <c r="AI968">
        <v>0</v>
      </c>
      <c r="AJ968" t="s">
        <v>52</v>
      </c>
      <c r="AK968">
        <v>0</v>
      </c>
      <c r="AL968" t="s">
        <v>52</v>
      </c>
      <c r="AM968" t="s">
        <v>52</v>
      </c>
      <c r="AN968">
        <v>0</v>
      </c>
      <c r="AO968">
        <v>0</v>
      </c>
      <c r="AP968" t="s">
        <v>52</v>
      </c>
      <c r="AQ968" t="s">
        <v>52</v>
      </c>
      <c r="AR968" t="s">
        <v>62</v>
      </c>
      <c r="AS968" t="s">
        <v>52</v>
      </c>
      <c r="AT968" t="s">
        <v>74</v>
      </c>
      <c r="AU968" t="s">
        <v>64</v>
      </c>
      <c r="AV968" t="s">
        <v>62</v>
      </c>
      <c r="AW968" t="s">
        <v>65</v>
      </c>
      <c r="AX968" t="s">
        <v>66</v>
      </c>
      <c r="AY968" t="s">
        <v>76</v>
      </c>
    </row>
    <row r="969" spans="1:51" hidden="1" x14ac:dyDescent="0.25">
      <c r="A969">
        <v>406068</v>
      </c>
      <c r="B969" t="s">
        <v>3727</v>
      </c>
      <c r="C969" t="e">
        <f>VLOOKUP(A969,[1]Customer_payment_journal_line!$AL:$BO,30,0)</f>
        <v>#N/A</v>
      </c>
      <c r="D969" t="s">
        <v>159</v>
      </c>
      <c r="E969" t="s">
        <v>3728</v>
      </c>
      <c r="F969" t="s">
        <v>3729</v>
      </c>
      <c r="G969" t="s">
        <v>3455</v>
      </c>
      <c r="H969" t="s">
        <v>80</v>
      </c>
      <c r="I969" t="s">
        <v>162</v>
      </c>
      <c r="J969" t="s">
        <v>3730</v>
      </c>
      <c r="K969" t="s">
        <v>3731</v>
      </c>
      <c r="L969" t="s">
        <v>52</v>
      </c>
      <c r="M969">
        <v>6555</v>
      </c>
      <c r="N969">
        <v>0</v>
      </c>
      <c r="O969" t="s">
        <v>61</v>
      </c>
      <c r="P969">
        <v>100</v>
      </c>
      <c r="Q969" t="s">
        <v>52</v>
      </c>
      <c r="R969" t="s">
        <v>52</v>
      </c>
      <c r="S969" t="s">
        <v>52</v>
      </c>
      <c r="T969" t="s">
        <v>52</v>
      </c>
      <c r="U969" t="s">
        <v>52</v>
      </c>
      <c r="V969" t="s">
        <v>62</v>
      </c>
      <c r="W969" t="s">
        <v>52</v>
      </c>
      <c r="Y969" t="s">
        <v>52</v>
      </c>
      <c r="AB969" t="s">
        <v>52</v>
      </c>
      <c r="AE969" t="s">
        <v>52</v>
      </c>
      <c r="AF969" t="s">
        <v>52</v>
      </c>
      <c r="AH969">
        <v>0</v>
      </c>
      <c r="AI969">
        <v>0</v>
      </c>
      <c r="AJ969" t="s">
        <v>52</v>
      </c>
      <c r="AK969">
        <v>0</v>
      </c>
      <c r="AL969" t="s">
        <v>52</v>
      </c>
      <c r="AM969" t="s">
        <v>52</v>
      </c>
      <c r="AN969">
        <v>0</v>
      </c>
      <c r="AO969">
        <v>0</v>
      </c>
      <c r="AP969" t="s">
        <v>52</v>
      </c>
      <c r="AQ969" t="s">
        <v>52</v>
      </c>
      <c r="AR969" t="s">
        <v>62</v>
      </c>
      <c r="AS969" t="s">
        <v>52</v>
      </c>
      <c r="AT969" t="s">
        <v>52</v>
      </c>
      <c r="AU969" t="s">
        <v>64</v>
      </c>
      <c r="AV969" t="s">
        <v>62</v>
      </c>
      <c r="AW969" t="s">
        <v>65</v>
      </c>
      <c r="AX969" t="s">
        <v>66</v>
      </c>
      <c r="AY969" t="s">
        <v>165</v>
      </c>
    </row>
    <row r="970" spans="1:51" hidden="1" x14ac:dyDescent="0.25">
      <c r="A970">
        <v>406068</v>
      </c>
      <c r="B970" t="s">
        <v>3732</v>
      </c>
      <c r="C970" t="e">
        <f>VLOOKUP(A970,[1]Customer_payment_journal_line!$AL:$BO,30,0)</f>
        <v>#N/A</v>
      </c>
      <c r="D970" t="s">
        <v>159</v>
      </c>
      <c r="E970" t="s">
        <v>3728</v>
      </c>
      <c r="F970" t="s">
        <v>3729</v>
      </c>
      <c r="G970" t="s">
        <v>3455</v>
      </c>
      <c r="H970" t="s">
        <v>69</v>
      </c>
      <c r="I970" t="s">
        <v>3733</v>
      </c>
      <c r="J970" t="s">
        <v>3730</v>
      </c>
      <c r="K970" t="s">
        <v>3731</v>
      </c>
      <c r="L970" t="s">
        <v>52</v>
      </c>
      <c r="M970">
        <v>0</v>
      </c>
      <c r="N970">
        <v>855</v>
      </c>
      <c r="O970" t="s">
        <v>61</v>
      </c>
      <c r="P970">
        <v>100</v>
      </c>
      <c r="Q970" t="s">
        <v>52</v>
      </c>
      <c r="R970" t="s">
        <v>52</v>
      </c>
      <c r="S970" t="s">
        <v>52</v>
      </c>
      <c r="T970" t="s">
        <v>52</v>
      </c>
      <c r="U970" t="s">
        <v>52</v>
      </c>
      <c r="V970" t="s">
        <v>62</v>
      </c>
      <c r="W970" t="s">
        <v>52</v>
      </c>
      <c r="Y970" t="s">
        <v>3734</v>
      </c>
      <c r="Z970" t="s">
        <v>62</v>
      </c>
      <c r="AB970" t="s">
        <v>3735</v>
      </c>
      <c r="AE970" t="s">
        <v>3736</v>
      </c>
      <c r="AF970" t="s">
        <v>52</v>
      </c>
      <c r="AH970">
        <v>0</v>
      </c>
      <c r="AI970">
        <v>0</v>
      </c>
      <c r="AJ970" t="s">
        <v>52</v>
      </c>
      <c r="AK970">
        <v>0</v>
      </c>
      <c r="AL970" t="s">
        <v>52</v>
      </c>
      <c r="AM970" t="s">
        <v>52</v>
      </c>
      <c r="AN970">
        <v>0</v>
      </c>
      <c r="AO970">
        <v>0</v>
      </c>
      <c r="AP970" t="s">
        <v>52</v>
      </c>
      <c r="AQ970" t="s">
        <v>52</v>
      </c>
      <c r="AR970" t="s">
        <v>62</v>
      </c>
      <c r="AS970" t="s">
        <v>52</v>
      </c>
      <c r="AT970" t="s">
        <v>74</v>
      </c>
      <c r="AU970" t="s">
        <v>64</v>
      </c>
      <c r="AV970" t="s">
        <v>62</v>
      </c>
      <c r="AW970" t="s">
        <v>65</v>
      </c>
      <c r="AX970" t="s">
        <v>66</v>
      </c>
      <c r="AY970" t="s">
        <v>165</v>
      </c>
    </row>
    <row r="971" spans="1:51" hidden="1" x14ac:dyDescent="0.25">
      <c r="A971">
        <v>406068</v>
      </c>
      <c r="B971" t="s">
        <v>3737</v>
      </c>
      <c r="C971" t="e">
        <f>VLOOKUP(A971,[1]Customer_payment_journal_line!$AL:$BO,30,0)</f>
        <v>#N/A</v>
      </c>
      <c r="D971" t="s">
        <v>159</v>
      </c>
      <c r="E971" t="s">
        <v>3728</v>
      </c>
      <c r="F971" t="s">
        <v>3729</v>
      </c>
      <c r="G971" t="s">
        <v>3455</v>
      </c>
      <c r="H971" t="s">
        <v>69</v>
      </c>
      <c r="I971" t="s">
        <v>3733</v>
      </c>
      <c r="J971" t="s">
        <v>3730</v>
      </c>
      <c r="K971" t="s">
        <v>3731</v>
      </c>
      <c r="L971" t="s">
        <v>52</v>
      </c>
      <c r="M971">
        <v>0</v>
      </c>
      <c r="N971">
        <v>5700</v>
      </c>
      <c r="O971" t="s">
        <v>61</v>
      </c>
      <c r="P971">
        <v>100</v>
      </c>
      <c r="Q971" t="s">
        <v>52</v>
      </c>
      <c r="R971" t="s">
        <v>52</v>
      </c>
      <c r="S971" t="s">
        <v>52</v>
      </c>
      <c r="T971" t="s">
        <v>52</v>
      </c>
      <c r="U971" t="s">
        <v>52</v>
      </c>
      <c r="V971" t="s">
        <v>62</v>
      </c>
      <c r="W971" t="s">
        <v>52</v>
      </c>
      <c r="Y971" t="s">
        <v>3734</v>
      </c>
      <c r="Z971" t="s">
        <v>62</v>
      </c>
      <c r="AB971" t="s">
        <v>3738</v>
      </c>
      <c r="AE971" t="s">
        <v>3739</v>
      </c>
      <c r="AF971" t="s">
        <v>52</v>
      </c>
      <c r="AH971">
        <v>0</v>
      </c>
      <c r="AI971">
        <v>0</v>
      </c>
      <c r="AJ971" t="s">
        <v>52</v>
      </c>
      <c r="AK971">
        <v>0</v>
      </c>
      <c r="AL971" t="s">
        <v>52</v>
      </c>
      <c r="AM971" t="s">
        <v>52</v>
      </c>
      <c r="AN971">
        <v>0</v>
      </c>
      <c r="AO971">
        <v>0</v>
      </c>
      <c r="AP971" t="s">
        <v>52</v>
      </c>
      <c r="AQ971" t="s">
        <v>52</v>
      </c>
      <c r="AR971" t="s">
        <v>62</v>
      </c>
      <c r="AS971" t="s">
        <v>52</v>
      </c>
      <c r="AT971" t="s">
        <v>74</v>
      </c>
      <c r="AU971" t="s">
        <v>64</v>
      </c>
      <c r="AV971" t="s">
        <v>62</v>
      </c>
      <c r="AW971" t="s">
        <v>65</v>
      </c>
      <c r="AX971" t="s">
        <v>66</v>
      </c>
      <c r="AY971" t="s">
        <v>165</v>
      </c>
    </row>
    <row r="972" spans="1:51" hidden="1" x14ac:dyDescent="0.25">
      <c r="A972">
        <v>406070</v>
      </c>
      <c r="B972" t="s">
        <v>3740</v>
      </c>
      <c r="C972" t="e">
        <f>VLOOKUP(A972,[1]Customer_payment_journal_line!$AL:$BO,30,0)</f>
        <v>#N/A</v>
      </c>
      <c r="D972" t="s">
        <v>76</v>
      </c>
      <c r="E972" t="s">
        <v>3741</v>
      </c>
      <c r="F972" t="s">
        <v>3742</v>
      </c>
      <c r="G972" t="s">
        <v>3455</v>
      </c>
      <c r="H972" t="s">
        <v>80</v>
      </c>
      <c r="I972" t="s">
        <v>81</v>
      </c>
      <c r="J972" t="s">
        <v>3743</v>
      </c>
      <c r="K972" t="s">
        <v>3744</v>
      </c>
      <c r="L972" t="s">
        <v>52</v>
      </c>
      <c r="M972">
        <v>2565</v>
      </c>
      <c r="N972">
        <v>0</v>
      </c>
      <c r="O972" t="s">
        <v>61</v>
      </c>
      <c r="P972">
        <v>100</v>
      </c>
      <c r="Q972" t="s">
        <v>52</v>
      </c>
      <c r="R972" t="s">
        <v>52</v>
      </c>
      <c r="S972" t="s">
        <v>52</v>
      </c>
      <c r="T972" t="s">
        <v>52</v>
      </c>
      <c r="U972" t="s">
        <v>52</v>
      </c>
      <c r="V972" t="s">
        <v>62</v>
      </c>
      <c r="W972" t="s">
        <v>52</v>
      </c>
      <c r="Y972" t="s">
        <v>52</v>
      </c>
      <c r="AB972" t="s">
        <v>52</v>
      </c>
      <c r="AE972" t="s">
        <v>52</v>
      </c>
      <c r="AF972" t="s">
        <v>52</v>
      </c>
      <c r="AH972">
        <v>0</v>
      </c>
      <c r="AI972">
        <v>0</v>
      </c>
      <c r="AJ972" t="s">
        <v>52</v>
      </c>
      <c r="AK972">
        <v>0</v>
      </c>
      <c r="AL972" t="s">
        <v>52</v>
      </c>
      <c r="AM972" t="s">
        <v>52</v>
      </c>
      <c r="AN972">
        <v>0</v>
      </c>
      <c r="AO972">
        <v>0</v>
      </c>
      <c r="AP972" t="s">
        <v>52</v>
      </c>
      <c r="AQ972" t="s">
        <v>52</v>
      </c>
      <c r="AR972" t="s">
        <v>62</v>
      </c>
      <c r="AS972" t="s">
        <v>52</v>
      </c>
      <c r="AT972" t="s">
        <v>52</v>
      </c>
      <c r="AU972" t="s">
        <v>64</v>
      </c>
      <c r="AV972" t="s">
        <v>62</v>
      </c>
      <c r="AW972" t="s">
        <v>65</v>
      </c>
      <c r="AX972" t="s">
        <v>66</v>
      </c>
      <c r="AY972" t="s">
        <v>76</v>
      </c>
    </row>
    <row r="973" spans="1:51" hidden="1" x14ac:dyDescent="0.25">
      <c r="A973">
        <v>406070</v>
      </c>
      <c r="B973" t="s">
        <v>3745</v>
      </c>
      <c r="C973" t="e">
        <f>VLOOKUP(A973,[1]Customer_payment_journal_line!$AL:$BO,30,0)</f>
        <v>#N/A</v>
      </c>
      <c r="D973" t="s">
        <v>76</v>
      </c>
      <c r="E973" t="s">
        <v>3741</v>
      </c>
      <c r="F973" t="s">
        <v>3742</v>
      </c>
      <c r="G973" t="s">
        <v>3455</v>
      </c>
      <c r="H973" t="s">
        <v>69</v>
      </c>
      <c r="I973" t="s">
        <v>3746</v>
      </c>
      <c r="J973" t="s">
        <v>3743</v>
      </c>
      <c r="K973" t="s">
        <v>3744</v>
      </c>
      <c r="L973" t="s">
        <v>52</v>
      </c>
      <c r="M973">
        <v>0</v>
      </c>
      <c r="N973">
        <v>855</v>
      </c>
      <c r="O973" t="s">
        <v>61</v>
      </c>
      <c r="P973">
        <v>100</v>
      </c>
      <c r="Q973" t="s">
        <v>52</v>
      </c>
      <c r="R973" t="s">
        <v>52</v>
      </c>
      <c r="S973" t="s">
        <v>52</v>
      </c>
      <c r="T973" t="s">
        <v>52</v>
      </c>
      <c r="U973" t="s">
        <v>52</v>
      </c>
      <c r="V973" t="s">
        <v>62</v>
      </c>
      <c r="W973" t="s">
        <v>52</v>
      </c>
      <c r="Y973" t="s">
        <v>3747</v>
      </c>
      <c r="Z973" t="s">
        <v>62</v>
      </c>
      <c r="AB973" t="s">
        <v>3748</v>
      </c>
      <c r="AE973" t="s">
        <v>3749</v>
      </c>
      <c r="AF973" t="s">
        <v>52</v>
      </c>
      <c r="AH973">
        <v>0</v>
      </c>
      <c r="AI973">
        <v>0</v>
      </c>
      <c r="AJ973" t="s">
        <v>52</v>
      </c>
      <c r="AK973">
        <v>0</v>
      </c>
      <c r="AL973" t="s">
        <v>52</v>
      </c>
      <c r="AM973" t="s">
        <v>52</v>
      </c>
      <c r="AN973">
        <v>0</v>
      </c>
      <c r="AO973">
        <v>0</v>
      </c>
      <c r="AP973" t="s">
        <v>52</v>
      </c>
      <c r="AQ973" t="s">
        <v>52</v>
      </c>
      <c r="AR973" t="s">
        <v>62</v>
      </c>
      <c r="AS973" t="s">
        <v>52</v>
      </c>
      <c r="AT973" t="s">
        <v>74</v>
      </c>
      <c r="AU973" t="s">
        <v>64</v>
      </c>
      <c r="AV973" t="s">
        <v>62</v>
      </c>
      <c r="AW973" t="s">
        <v>65</v>
      </c>
      <c r="AX973" t="s">
        <v>66</v>
      </c>
      <c r="AY973" t="s">
        <v>76</v>
      </c>
    </row>
    <row r="974" spans="1:51" hidden="1" x14ac:dyDescent="0.25">
      <c r="A974">
        <v>406070</v>
      </c>
      <c r="B974" t="s">
        <v>3750</v>
      </c>
      <c r="C974" t="e">
        <f>VLOOKUP(A974,[1]Customer_payment_journal_line!$AL:$BO,30,0)</f>
        <v>#N/A</v>
      </c>
      <c r="D974" t="s">
        <v>76</v>
      </c>
      <c r="E974" t="s">
        <v>3741</v>
      </c>
      <c r="F974" t="s">
        <v>3742</v>
      </c>
      <c r="G974" t="s">
        <v>3455</v>
      </c>
      <c r="H974" t="s">
        <v>69</v>
      </c>
      <c r="I974" t="s">
        <v>3746</v>
      </c>
      <c r="J974" t="s">
        <v>3743</v>
      </c>
      <c r="K974" t="s">
        <v>3744</v>
      </c>
      <c r="L974" t="s">
        <v>52</v>
      </c>
      <c r="M974">
        <v>0</v>
      </c>
      <c r="N974">
        <v>1710</v>
      </c>
      <c r="O974" t="s">
        <v>61</v>
      </c>
      <c r="P974">
        <v>100</v>
      </c>
      <c r="Q974" t="s">
        <v>52</v>
      </c>
      <c r="R974" t="s">
        <v>52</v>
      </c>
      <c r="S974" t="s">
        <v>52</v>
      </c>
      <c r="T974" t="s">
        <v>52</v>
      </c>
      <c r="U974" t="s">
        <v>52</v>
      </c>
      <c r="V974" t="s">
        <v>62</v>
      </c>
      <c r="W974" t="s">
        <v>52</v>
      </c>
      <c r="Y974" t="s">
        <v>3747</v>
      </c>
      <c r="Z974" t="s">
        <v>62</v>
      </c>
      <c r="AB974" t="s">
        <v>3751</v>
      </c>
      <c r="AE974" t="s">
        <v>3752</v>
      </c>
      <c r="AF974" t="s">
        <v>52</v>
      </c>
      <c r="AH974">
        <v>0</v>
      </c>
      <c r="AI974">
        <v>0</v>
      </c>
      <c r="AJ974" t="s">
        <v>52</v>
      </c>
      <c r="AK974">
        <v>0</v>
      </c>
      <c r="AL974" t="s">
        <v>52</v>
      </c>
      <c r="AM974" t="s">
        <v>52</v>
      </c>
      <c r="AN974">
        <v>0</v>
      </c>
      <c r="AO974">
        <v>0</v>
      </c>
      <c r="AP974" t="s">
        <v>52</v>
      </c>
      <c r="AQ974" t="s">
        <v>52</v>
      </c>
      <c r="AR974" t="s">
        <v>62</v>
      </c>
      <c r="AS974" t="s">
        <v>52</v>
      </c>
      <c r="AT974" t="s">
        <v>74</v>
      </c>
      <c r="AU974" t="s">
        <v>64</v>
      </c>
      <c r="AV974" t="s">
        <v>62</v>
      </c>
      <c r="AW974" t="s">
        <v>65</v>
      </c>
      <c r="AX974" t="s">
        <v>66</v>
      </c>
      <c r="AY974" t="s">
        <v>76</v>
      </c>
    </row>
    <row r="975" spans="1:51" hidden="1" x14ac:dyDescent="0.25">
      <c r="A975">
        <v>406071</v>
      </c>
      <c r="B975" t="s">
        <v>3753</v>
      </c>
      <c r="C975" t="e">
        <f>VLOOKUP(A975,[1]Customer_payment_journal_line!$AL:$BO,30,0)</f>
        <v>#N/A</v>
      </c>
      <c r="D975" t="s">
        <v>76</v>
      </c>
      <c r="E975" t="s">
        <v>3754</v>
      </c>
      <c r="F975" t="s">
        <v>3755</v>
      </c>
      <c r="G975" t="s">
        <v>3455</v>
      </c>
      <c r="H975" t="s">
        <v>80</v>
      </c>
      <c r="I975" t="s">
        <v>81</v>
      </c>
      <c r="J975" t="s">
        <v>3129</v>
      </c>
      <c r="K975" t="s">
        <v>3756</v>
      </c>
      <c r="L975" t="s">
        <v>52</v>
      </c>
      <c r="M975">
        <v>11388.6</v>
      </c>
      <c r="N975">
        <v>0</v>
      </c>
      <c r="O975" t="s">
        <v>61</v>
      </c>
      <c r="P975">
        <v>100</v>
      </c>
      <c r="Q975" t="s">
        <v>52</v>
      </c>
      <c r="R975" t="s">
        <v>52</v>
      </c>
      <c r="S975" t="s">
        <v>52</v>
      </c>
      <c r="T975" t="s">
        <v>52</v>
      </c>
      <c r="U975" t="s">
        <v>52</v>
      </c>
      <c r="V975" t="s">
        <v>62</v>
      </c>
      <c r="W975" t="s">
        <v>52</v>
      </c>
      <c r="Y975" t="s">
        <v>52</v>
      </c>
      <c r="AB975" t="s">
        <v>52</v>
      </c>
      <c r="AE975" t="s">
        <v>52</v>
      </c>
      <c r="AF975" t="s">
        <v>52</v>
      </c>
      <c r="AH975">
        <v>0</v>
      </c>
      <c r="AI975">
        <v>0</v>
      </c>
      <c r="AJ975" t="s">
        <v>52</v>
      </c>
      <c r="AK975">
        <v>0</v>
      </c>
      <c r="AL975" t="s">
        <v>52</v>
      </c>
      <c r="AM975" t="s">
        <v>52</v>
      </c>
      <c r="AN975">
        <v>0</v>
      </c>
      <c r="AO975">
        <v>0</v>
      </c>
      <c r="AP975" t="s">
        <v>52</v>
      </c>
      <c r="AQ975" t="s">
        <v>52</v>
      </c>
      <c r="AR975" t="s">
        <v>62</v>
      </c>
      <c r="AS975" t="s">
        <v>52</v>
      </c>
      <c r="AT975" t="s">
        <v>52</v>
      </c>
      <c r="AU975" t="s">
        <v>64</v>
      </c>
      <c r="AV975" t="s">
        <v>62</v>
      </c>
      <c r="AW975" t="s">
        <v>65</v>
      </c>
      <c r="AX975" t="s">
        <v>66</v>
      </c>
      <c r="AY975" t="s">
        <v>76</v>
      </c>
    </row>
    <row r="976" spans="1:51" hidden="1" x14ac:dyDescent="0.25">
      <c r="A976">
        <v>406071</v>
      </c>
      <c r="B976" t="s">
        <v>3757</v>
      </c>
      <c r="C976" t="e">
        <f>VLOOKUP(A976,[1]Customer_payment_journal_line!$AL:$BO,30,0)</f>
        <v>#N/A</v>
      </c>
      <c r="D976" t="s">
        <v>76</v>
      </c>
      <c r="E976" t="s">
        <v>3754</v>
      </c>
      <c r="F976" t="s">
        <v>3755</v>
      </c>
      <c r="G976" t="s">
        <v>3455</v>
      </c>
      <c r="H976" t="s">
        <v>69</v>
      </c>
      <c r="I976" t="s">
        <v>3132</v>
      </c>
      <c r="J976" t="s">
        <v>3129</v>
      </c>
      <c r="K976" t="s">
        <v>3756</v>
      </c>
      <c r="L976" t="s">
        <v>52</v>
      </c>
      <c r="M976">
        <v>0</v>
      </c>
      <c r="N976">
        <v>855</v>
      </c>
      <c r="O976" t="s">
        <v>61</v>
      </c>
      <c r="P976">
        <v>100</v>
      </c>
      <c r="Q976" t="s">
        <v>52</v>
      </c>
      <c r="R976" t="s">
        <v>52</v>
      </c>
      <c r="S976" t="s">
        <v>52</v>
      </c>
      <c r="T976" t="s">
        <v>52</v>
      </c>
      <c r="U976" t="s">
        <v>52</v>
      </c>
      <c r="V976" t="s">
        <v>62</v>
      </c>
      <c r="W976" t="s">
        <v>52</v>
      </c>
      <c r="Y976" t="s">
        <v>3133</v>
      </c>
      <c r="Z976" t="s">
        <v>62</v>
      </c>
      <c r="AB976" t="s">
        <v>3758</v>
      </c>
      <c r="AE976" t="s">
        <v>3759</v>
      </c>
      <c r="AF976" t="s">
        <v>52</v>
      </c>
      <c r="AH976">
        <v>0</v>
      </c>
      <c r="AI976">
        <v>0</v>
      </c>
      <c r="AJ976" t="s">
        <v>52</v>
      </c>
      <c r="AK976">
        <v>0</v>
      </c>
      <c r="AL976" t="s">
        <v>52</v>
      </c>
      <c r="AM976" t="s">
        <v>52</v>
      </c>
      <c r="AN976">
        <v>0</v>
      </c>
      <c r="AO976">
        <v>0</v>
      </c>
      <c r="AP976" t="s">
        <v>52</v>
      </c>
      <c r="AQ976" t="s">
        <v>52</v>
      </c>
      <c r="AR976" t="s">
        <v>62</v>
      </c>
      <c r="AS976" t="s">
        <v>52</v>
      </c>
      <c r="AT976" t="s">
        <v>74</v>
      </c>
      <c r="AU976" t="s">
        <v>64</v>
      </c>
      <c r="AV976" t="s">
        <v>62</v>
      </c>
      <c r="AW976" t="s">
        <v>65</v>
      </c>
      <c r="AX976" t="s">
        <v>66</v>
      </c>
      <c r="AY976" t="s">
        <v>76</v>
      </c>
    </row>
    <row r="977" spans="1:51" hidden="1" x14ac:dyDescent="0.25">
      <c r="A977">
        <v>406071</v>
      </c>
      <c r="B977" t="s">
        <v>3760</v>
      </c>
      <c r="C977" t="e">
        <f>VLOOKUP(A977,[1]Customer_payment_journal_line!$AL:$BO,30,0)</f>
        <v>#N/A</v>
      </c>
      <c r="D977" t="s">
        <v>76</v>
      </c>
      <c r="E977" t="s">
        <v>3754</v>
      </c>
      <c r="F977" t="s">
        <v>3755</v>
      </c>
      <c r="G977" t="s">
        <v>3455</v>
      </c>
      <c r="H977" t="s">
        <v>69</v>
      </c>
      <c r="I977" t="s">
        <v>3132</v>
      </c>
      <c r="J977" t="s">
        <v>3129</v>
      </c>
      <c r="K977" t="s">
        <v>3756</v>
      </c>
      <c r="L977" t="s">
        <v>52</v>
      </c>
      <c r="M977">
        <v>0</v>
      </c>
      <c r="N977">
        <v>10533.6</v>
      </c>
      <c r="O977" t="s">
        <v>61</v>
      </c>
      <c r="P977">
        <v>100</v>
      </c>
      <c r="Q977" t="s">
        <v>52</v>
      </c>
      <c r="R977" t="s">
        <v>52</v>
      </c>
      <c r="S977" t="s">
        <v>52</v>
      </c>
      <c r="T977" t="s">
        <v>52</v>
      </c>
      <c r="U977" t="s">
        <v>52</v>
      </c>
      <c r="V977" t="s">
        <v>62</v>
      </c>
      <c r="W977" t="s">
        <v>52</v>
      </c>
      <c r="Y977" t="s">
        <v>3133</v>
      </c>
      <c r="Z977" t="s">
        <v>62</v>
      </c>
      <c r="AB977" t="s">
        <v>3761</v>
      </c>
      <c r="AE977" t="s">
        <v>3762</v>
      </c>
      <c r="AF977" t="s">
        <v>52</v>
      </c>
      <c r="AH977">
        <v>0</v>
      </c>
      <c r="AI977">
        <v>0</v>
      </c>
      <c r="AJ977" t="s">
        <v>52</v>
      </c>
      <c r="AK977">
        <v>0</v>
      </c>
      <c r="AL977" t="s">
        <v>52</v>
      </c>
      <c r="AM977" t="s">
        <v>52</v>
      </c>
      <c r="AN977">
        <v>0</v>
      </c>
      <c r="AO977">
        <v>0</v>
      </c>
      <c r="AP977" t="s">
        <v>52</v>
      </c>
      <c r="AQ977" t="s">
        <v>52</v>
      </c>
      <c r="AR977" t="s">
        <v>62</v>
      </c>
      <c r="AS977" t="s">
        <v>52</v>
      </c>
      <c r="AT977" t="s">
        <v>74</v>
      </c>
      <c r="AU977" t="s">
        <v>64</v>
      </c>
      <c r="AV977" t="s">
        <v>62</v>
      </c>
      <c r="AW977" t="s">
        <v>65</v>
      </c>
      <c r="AX977" t="s">
        <v>66</v>
      </c>
      <c r="AY977" t="s">
        <v>76</v>
      </c>
    </row>
    <row r="978" spans="1:51" hidden="1" x14ac:dyDescent="0.25">
      <c r="A978">
        <v>406072</v>
      </c>
      <c r="B978" t="s">
        <v>3763</v>
      </c>
      <c r="C978" t="e">
        <f>VLOOKUP(A978,[1]Customer_payment_journal_line!$AL:$BO,30,0)</f>
        <v>#N/A</v>
      </c>
      <c r="D978" t="s">
        <v>76</v>
      </c>
      <c r="E978" t="s">
        <v>3764</v>
      </c>
      <c r="F978" t="s">
        <v>3765</v>
      </c>
      <c r="G978" t="s">
        <v>3455</v>
      </c>
      <c r="H978" t="s">
        <v>80</v>
      </c>
      <c r="I978" t="s">
        <v>81</v>
      </c>
      <c r="J978" t="s">
        <v>3766</v>
      </c>
      <c r="K978" t="s">
        <v>3767</v>
      </c>
      <c r="L978" t="s">
        <v>52</v>
      </c>
      <c r="M978">
        <v>3363</v>
      </c>
      <c r="N978">
        <v>0</v>
      </c>
      <c r="O978" t="s">
        <v>61</v>
      </c>
      <c r="P978">
        <v>100</v>
      </c>
      <c r="Q978" t="s">
        <v>52</v>
      </c>
      <c r="R978" t="s">
        <v>52</v>
      </c>
      <c r="S978" t="s">
        <v>52</v>
      </c>
      <c r="T978" t="s">
        <v>52</v>
      </c>
      <c r="U978" t="s">
        <v>52</v>
      </c>
      <c r="V978" t="s">
        <v>62</v>
      </c>
      <c r="W978" t="s">
        <v>52</v>
      </c>
      <c r="Y978" t="s">
        <v>52</v>
      </c>
      <c r="AB978" t="s">
        <v>52</v>
      </c>
      <c r="AE978" t="s">
        <v>52</v>
      </c>
      <c r="AF978" t="s">
        <v>52</v>
      </c>
      <c r="AH978">
        <v>0</v>
      </c>
      <c r="AI978">
        <v>0</v>
      </c>
      <c r="AJ978" t="s">
        <v>52</v>
      </c>
      <c r="AK978">
        <v>0</v>
      </c>
      <c r="AL978" t="s">
        <v>52</v>
      </c>
      <c r="AM978" t="s">
        <v>52</v>
      </c>
      <c r="AN978">
        <v>0</v>
      </c>
      <c r="AO978">
        <v>0</v>
      </c>
      <c r="AP978" t="s">
        <v>52</v>
      </c>
      <c r="AQ978" t="s">
        <v>52</v>
      </c>
      <c r="AR978" t="s">
        <v>62</v>
      </c>
      <c r="AS978" t="s">
        <v>52</v>
      </c>
      <c r="AT978" t="s">
        <v>52</v>
      </c>
      <c r="AU978" t="s">
        <v>64</v>
      </c>
      <c r="AV978" t="s">
        <v>62</v>
      </c>
      <c r="AW978" t="s">
        <v>65</v>
      </c>
      <c r="AX978" t="s">
        <v>66</v>
      </c>
      <c r="AY978" t="s">
        <v>76</v>
      </c>
    </row>
    <row r="979" spans="1:51" hidden="1" x14ac:dyDescent="0.25">
      <c r="A979">
        <v>406072</v>
      </c>
      <c r="B979" t="s">
        <v>3768</v>
      </c>
      <c r="C979" t="e">
        <f>VLOOKUP(A979,[1]Customer_payment_journal_line!$AL:$BO,30,0)</f>
        <v>#N/A</v>
      </c>
      <c r="D979" t="s">
        <v>76</v>
      </c>
      <c r="E979" t="s">
        <v>3764</v>
      </c>
      <c r="F979" t="s">
        <v>3765</v>
      </c>
      <c r="G979" t="s">
        <v>3455</v>
      </c>
      <c r="H979" t="s">
        <v>69</v>
      </c>
      <c r="I979" t="s">
        <v>3769</v>
      </c>
      <c r="J979" t="s">
        <v>3766</v>
      </c>
      <c r="K979" t="s">
        <v>3767</v>
      </c>
      <c r="L979" t="s">
        <v>52</v>
      </c>
      <c r="M979">
        <v>0</v>
      </c>
      <c r="N979">
        <v>855</v>
      </c>
      <c r="O979" t="s">
        <v>61</v>
      </c>
      <c r="P979">
        <v>100</v>
      </c>
      <c r="Q979" t="s">
        <v>52</v>
      </c>
      <c r="R979" t="s">
        <v>52</v>
      </c>
      <c r="S979" t="s">
        <v>52</v>
      </c>
      <c r="T979" t="s">
        <v>52</v>
      </c>
      <c r="U979" t="s">
        <v>52</v>
      </c>
      <c r="V979" t="s">
        <v>62</v>
      </c>
      <c r="W979" t="s">
        <v>52</v>
      </c>
      <c r="Y979" t="s">
        <v>3770</v>
      </c>
      <c r="Z979" t="s">
        <v>62</v>
      </c>
      <c r="AB979" t="s">
        <v>3771</v>
      </c>
      <c r="AE979" t="s">
        <v>3772</v>
      </c>
      <c r="AF979" t="s">
        <v>52</v>
      </c>
      <c r="AH979">
        <v>0</v>
      </c>
      <c r="AI979">
        <v>0</v>
      </c>
      <c r="AJ979" t="s">
        <v>52</v>
      </c>
      <c r="AK979">
        <v>0</v>
      </c>
      <c r="AL979" t="s">
        <v>52</v>
      </c>
      <c r="AM979" t="s">
        <v>52</v>
      </c>
      <c r="AN979">
        <v>0</v>
      </c>
      <c r="AO979">
        <v>0</v>
      </c>
      <c r="AP979" t="s">
        <v>52</v>
      </c>
      <c r="AQ979" t="s">
        <v>52</v>
      </c>
      <c r="AR979" t="s">
        <v>62</v>
      </c>
      <c r="AS979" t="s">
        <v>52</v>
      </c>
      <c r="AT979" t="s">
        <v>74</v>
      </c>
      <c r="AU979" t="s">
        <v>64</v>
      </c>
      <c r="AV979" t="s">
        <v>62</v>
      </c>
      <c r="AW979" t="s">
        <v>65</v>
      </c>
      <c r="AX979" t="s">
        <v>66</v>
      </c>
      <c r="AY979" t="s">
        <v>76</v>
      </c>
    </row>
    <row r="980" spans="1:51" hidden="1" x14ac:dyDescent="0.25">
      <c r="A980">
        <v>406072</v>
      </c>
      <c r="B980" t="s">
        <v>3773</v>
      </c>
      <c r="C980" t="e">
        <f>VLOOKUP(A980,[1]Customer_payment_journal_line!$AL:$BO,30,0)</f>
        <v>#N/A</v>
      </c>
      <c r="D980" t="s">
        <v>76</v>
      </c>
      <c r="E980" t="s">
        <v>3764</v>
      </c>
      <c r="F980" t="s">
        <v>3765</v>
      </c>
      <c r="G980" t="s">
        <v>3455</v>
      </c>
      <c r="H980" t="s">
        <v>69</v>
      </c>
      <c r="I980" t="s">
        <v>3769</v>
      </c>
      <c r="J980" t="s">
        <v>3766</v>
      </c>
      <c r="K980" t="s">
        <v>3767</v>
      </c>
      <c r="L980" t="s">
        <v>52</v>
      </c>
      <c r="M980">
        <v>0</v>
      </c>
      <c r="N980">
        <v>2508</v>
      </c>
      <c r="O980" t="s">
        <v>61</v>
      </c>
      <c r="P980">
        <v>100</v>
      </c>
      <c r="Q980" t="s">
        <v>52</v>
      </c>
      <c r="R980" t="s">
        <v>52</v>
      </c>
      <c r="S980" t="s">
        <v>52</v>
      </c>
      <c r="T980" t="s">
        <v>52</v>
      </c>
      <c r="U980" t="s">
        <v>52</v>
      </c>
      <c r="V980" t="s">
        <v>62</v>
      </c>
      <c r="W980" t="s">
        <v>52</v>
      </c>
      <c r="Y980" t="s">
        <v>3770</v>
      </c>
      <c r="Z980" t="s">
        <v>62</v>
      </c>
      <c r="AB980" t="s">
        <v>3774</v>
      </c>
      <c r="AE980" t="s">
        <v>3775</v>
      </c>
      <c r="AF980" t="s">
        <v>52</v>
      </c>
      <c r="AH980">
        <v>0</v>
      </c>
      <c r="AI980">
        <v>0</v>
      </c>
      <c r="AJ980" t="s">
        <v>52</v>
      </c>
      <c r="AK980">
        <v>0</v>
      </c>
      <c r="AL980" t="s">
        <v>52</v>
      </c>
      <c r="AM980" t="s">
        <v>52</v>
      </c>
      <c r="AN980">
        <v>0</v>
      </c>
      <c r="AO980">
        <v>0</v>
      </c>
      <c r="AP980" t="s">
        <v>52</v>
      </c>
      <c r="AQ980" t="s">
        <v>52</v>
      </c>
      <c r="AR980" t="s">
        <v>62</v>
      </c>
      <c r="AS980" t="s">
        <v>52</v>
      </c>
      <c r="AT980" t="s">
        <v>74</v>
      </c>
      <c r="AU980" t="s">
        <v>64</v>
      </c>
      <c r="AV980" t="s">
        <v>62</v>
      </c>
      <c r="AW980" t="s">
        <v>65</v>
      </c>
      <c r="AX980" t="s">
        <v>66</v>
      </c>
      <c r="AY980" t="s">
        <v>76</v>
      </c>
    </row>
    <row r="981" spans="1:51" hidden="1" x14ac:dyDescent="0.25">
      <c r="A981">
        <v>406074</v>
      </c>
      <c r="B981" t="s">
        <v>3776</v>
      </c>
      <c r="C981" t="e">
        <f>VLOOKUP(A981,[1]Customer_payment_journal_line!$AL:$BO,30,0)</f>
        <v>#N/A</v>
      </c>
      <c r="D981" t="s">
        <v>76</v>
      </c>
      <c r="E981" t="s">
        <v>3777</v>
      </c>
      <c r="F981" t="s">
        <v>3778</v>
      </c>
      <c r="G981" t="s">
        <v>3455</v>
      </c>
      <c r="H981" t="s">
        <v>80</v>
      </c>
      <c r="I981" t="s">
        <v>81</v>
      </c>
      <c r="J981" t="s">
        <v>3779</v>
      </c>
      <c r="K981" t="s">
        <v>3780</v>
      </c>
      <c r="L981" t="s">
        <v>52</v>
      </c>
      <c r="M981">
        <v>4845</v>
      </c>
      <c r="N981">
        <v>0</v>
      </c>
      <c r="O981" t="s">
        <v>61</v>
      </c>
      <c r="P981">
        <v>100</v>
      </c>
      <c r="Q981" t="s">
        <v>52</v>
      </c>
      <c r="R981" t="s">
        <v>52</v>
      </c>
      <c r="S981" t="s">
        <v>52</v>
      </c>
      <c r="T981" t="s">
        <v>52</v>
      </c>
      <c r="U981" t="s">
        <v>52</v>
      </c>
      <c r="V981" t="s">
        <v>62</v>
      </c>
      <c r="W981" t="s">
        <v>52</v>
      </c>
      <c r="Y981" t="s">
        <v>52</v>
      </c>
      <c r="AB981" t="s">
        <v>52</v>
      </c>
      <c r="AE981" t="s">
        <v>52</v>
      </c>
      <c r="AF981" t="s">
        <v>52</v>
      </c>
      <c r="AH981">
        <v>0</v>
      </c>
      <c r="AI981">
        <v>0</v>
      </c>
      <c r="AJ981" t="s">
        <v>52</v>
      </c>
      <c r="AK981">
        <v>0</v>
      </c>
      <c r="AL981" t="s">
        <v>52</v>
      </c>
      <c r="AM981" t="s">
        <v>52</v>
      </c>
      <c r="AN981">
        <v>0</v>
      </c>
      <c r="AO981">
        <v>0</v>
      </c>
      <c r="AP981" t="s">
        <v>52</v>
      </c>
      <c r="AQ981" t="s">
        <v>52</v>
      </c>
      <c r="AR981" t="s">
        <v>62</v>
      </c>
      <c r="AS981" t="s">
        <v>52</v>
      </c>
      <c r="AT981" t="s">
        <v>52</v>
      </c>
      <c r="AU981" t="s">
        <v>64</v>
      </c>
      <c r="AV981" t="s">
        <v>62</v>
      </c>
      <c r="AW981" t="s">
        <v>65</v>
      </c>
      <c r="AX981" t="s">
        <v>66</v>
      </c>
      <c r="AY981" t="s">
        <v>76</v>
      </c>
    </row>
    <row r="982" spans="1:51" hidden="1" x14ac:dyDescent="0.25">
      <c r="A982">
        <v>406074</v>
      </c>
      <c r="B982" t="s">
        <v>3781</v>
      </c>
      <c r="C982" t="e">
        <f>VLOOKUP(A982,[1]Customer_payment_journal_line!$AL:$BO,30,0)</f>
        <v>#N/A</v>
      </c>
      <c r="D982" t="s">
        <v>76</v>
      </c>
      <c r="E982" t="s">
        <v>3777</v>
      </c>
      <c r="F982" t="s">
        <v>3778</v>
      </c>
      <c r="G982" t="s">
        <v>3455</v>
      </c>
      <c r="H982" t="s">
        <v>69</v>
      </c>
      <c r="I982" t="s">
        <v>3782</v>
      </c>
      <c r="J982" t="s">
        <v>3779</v>
      </c>
      <c r="K982" t="s">
        <v>3780</v>
      </c>
      <c r="L982" t="s">
        <v>52</v>
      </c>
      <c r="M982">
        <v>0</v>
      </c>
      <c r="N982">
        <v>855</v>
      </c>
      <c r="O982" t="s">
        <v>61</v>
      </c>
      <c r="P982">
        <v>100</v>
      </c>
      <c r="Q982" t="s">
        <v>52</v>
      </c>
      <c r="R982" t="s">
        <v>52</v>
      </c>
      <c r="S982" t="s">
        <v>52</v>
      </c>
      <c r="T982" t="s">
        <v>52</v>
      </c>
      <c r="U982" t="s">
        <v>52</v>
      </c>
      <c r="V982" t="s">
        <v>62</v>
      </c>
      <c r="W982" t="s">
        <v>52</v>
      </c>
      <c r="Y982" t="s">
        <v>3783</v>
      </c>
      <c r="Z982" t="s">
        <v>62</v>
      </c>
      <c r="AB982" t="s">
        <v>3784</v>
      </c>
      <c r="AE982" t="s">
        <v>3785</v>
      </c>
      <c r="AF982" t="s">
        <v>52</v>
      </c>
      <c r="AH982">
        <v>0</v>
      </c>
      <c r="AI982">
        <v>0</v>
      </c>
      <c r="AJ982" t="s">
        <v>52</v>
      </c>
      <c r="AK982">
        <v>0</v>
      </c>
      <c r="AL982" t="s">
        <v>52</v>
      </c>
      <c r="AM982" t="s">
        <v>52</v>
      </c>
      <c r="AN982">
        <v>0</v>
      </c>
      <c r="AO982">
        <v>0</v>
      </c>
      <c r="AP982" t="s">
        <v>52</v>
      </c>
      <c r="AQ982" t="s">
        <v>52</v>
      </c>
      <c r="AR982" t="s">
        <v>62</v>
      </c>
      <c r="AS982" t="s">
        <v>52</v>
      </c>
      <c r="AT982" t="s">
        <v>74</v>
      </c>
      <c r="AU982" t="s">
        <v>64</v>
      </c>
      <c r="AV982" t="s">
        <v>62</v>
      </c>
      <c r="AW982" t="s">
        <v>65</v>
      </c>
      <c r="AX982" t="s">
        <v>66</v>
      </c>
      <c r="AY982" t="s">
        <v>76</v>
      </c>
    </row>
    <row r="983" spans="1:51" hidden="1" x14ac:dyDescent="0.25">
      <c r="A983">
        <v>406074</v>
      </c>
      <c r="B983" t="s">
        <v>3786</v>
      </c>
      <c r="C983" t="e">
        <f>VLOOKUP(A983,[1]Customer_payment_journal_line!$AL:$BO,30,0)</f>
        <v>#N/A</v>
      </c>
      <c r="D983" t="s">
        <v>76</v>
      </c>
      <c r="E983" t="s">
        <v>3777</v>
      </c>
      <c r="F983" t="s">
        <v>3778</v>
      </c>
      <c r="G983" t="s">
        <v>3455</v>
      </c>
      <c r="H983" t="s">
        <v>69</v>
      </c>
      <c r="I983" t="s">
        <v>3782</v>
      </c>
      <c r="J983" t="s">
        <v>3779</v>
      </c>
      <c r="K983" t="s">
        <v>3780</v>
      </c>
      <c r="L983" t="s">
        <v>52</v>
      </c>
      <c r="M983">
        <v>0</v>
      </c>
      <c r="N983">
        <v>3990</v>
      </c>
      <c r="O983" t="s">
        <v>61</v>
      </c>
      <c r="P983">
        <v>100</v>
      </c>
      <c r="Q983" t="s">
        <v>52</v>
      </c>
      <c r="R983" t="s">
        <v>52</v>
      </c>
      <c r="S983" t="s">
        <v>52</v>
      </c>
      <c r="T983" t="s">
        <v>52</v>
      </c>
      <c r="U983" t="s">
        <v>52</v>
      </c>
      <c r="V983" t="s">
        <v>62</v>
      </c>
      <c r="W983" t="s">
        <v>52</v>
      </c>
      <c r="Y983" t="s">
        <v>3783</v>
      </c>
      <c r="Z983" t="s">
        <v>62</v>
      </c>
      <c r="AB983" t="s">
        <v>3787</v>
      </c>
      <c r="AE983" t="s">
        <v>3788</v>
      </c>
      <c r="AF983" t="s">
        <v>52</v>
      </c>
      <c r="AH983">
        <v>0</v>
      </c>
      <c r="AI983">
        <v>0</v>
      </c>
      <c r="AJ983" t="s">
        <v>52</v>
      </c>
      <c r="AK983">
        <v>0</v>
      </c>
      <c r="AL983" t="s">
        <v>52</v>
      </c>
      <c r="AM983" t="s">
        <v>52</v>
      </c>
      <c r="AN983">
        <v>0</v>
      </c>
      <c r="AO983">
        <v>0</v>
      </c>
      <c r="AP983" t="s">
        <v>52</v>
      </c>
      <c r="AQ983" t="s">
        <v>52</v>
      </c>
      <c r="AR983" t="s">
        <v>62</v>
      </c>
      <c r="AS983" t="s">
        <v>52</v>
      </c>
      <c r="AT983" t="s">
        <v>74</v>
      </c>
      <c r="AU983" t="s">
        <v>64</v>
      </c>
      <c r="AV983" t="s">
        <v>62</v>
      </c>
      <c r="AW983" t="s">
        <v>65</v>
      </c>
      <c r="AX983" t="s">
        <v>66</v>
      </c>
      <c r="AY983" t="s">
        <v>76</v>
      </c>
    </row>
    <row r="984" spans="1:51" hidden="1" x14ac:dyDescent="0.25">
      <c r="A984">
        <v>406040</v>
      </c>
      <c r="B984" t="s">
        <v>3789</v>
      </c>
      <c r="C984" t="e">
        <f>VLOOKUP(A984,[1]Customer_payment_journal_line!$AL:$BO,30,0)</f>
        <v>#N/A</v>
      </c>
      <c r="D984" t="s">
        <v>53</v>
      </c>
      <c r="E984" t="s">
        <v>3790</v>
      </c>
      <c r="F984" t="s">
        <v>3791</v>
      </c>
      <c r="G984" t="s">
        <v>3455</v>
      </c>
      <c r="H984" t="s">
        <v>201</v>
      </c>
      <c r="I984" t="s">
        <v>58</v>
      </c>
      <c r="J984" t="s">
        <v>202</v>
      </c>
      <c r="K984" t="s">
        <v>3792</v>
      </c>
      <c r="L984" t="s">
        <v>52</v>
      </c>
      <c r="M984">
        <v>4240</v>
      </c>
      <c r="N984">
        <v>0</v>
      </c>
      <c r="O984" t="s">
        <v>61</v>
      </c>
      <c r="P984">
        <v>100</v>
      </c>
      <c r="Q984" t="s">
        <v>52</v>
      </c>
      <c r="R984" t="s">
        <v>52</v>
      </c>
      <c r="S984" t="s">
        <v>52</v>
      </c>
      <c r="T984" t="s">
        <v>52</v>
      </c>
      <c r="U984" t="s">
        <v>52</v>
      </c>
      <c r="V984" t="s">
        <v>62</v>
      </c>
      <c r="W984" t="s">
        <v>63</v>
      </c>
      <c r="Y984" t="s">
        <v>52</v>
      </c>
      <c r="AB984" t="s">
        <v>3793</v>
      </c>
      <c r="AE984" t="s">
        <v>3793</v>
      </c>
      <c r="AF984" t="s">
        <v>52</v>
      </c>
      <c r="AH984">
        <v>0</v>
      </c>
      <c r="AI984">
        <v>0</v>
      </c>
      <c r="AJ984" t="s">
        <v>52</v>
      </c>
      <c r="AK984">
        <v>0</v>
      </c>
      <c r="AL984" t="s">
        <v>52</v>
      </c>
      <c r="AM984" t="s">
        <v>52</v>
      </c>
      <c r="AN984">
        <v>0</v>
      </c>
      <c r="AO984">
        <v>0</v>
      </c>
      <c r="AP984" t="s">
        <v>52</v>
      </c>
      <c r="AQ984" t="s">
        <v>52</v>
      </c>
      <c r="AR984" t="s">
        <v>62</v>
      </c>
      <c r="AS984" t="s">
        <v>52</v>
      </c>
      <c r="AT984" t="s">
        <v>52</v>
      </c>
      <c r="AU984" t="s">
        <v>64</v>
      </c>
      <c r="AV984" t="s">
        <v>62</v>
      </c>
      <c r="AW984" t="s">
        <v>65</v>
      </c>
      <c r="AX984" t="s">
        <v>66</v>
      </c>
      <c r="AY984" t="s">
        <v>67</v>
      </c>
    </row>
    <row r="985" spans="1:51" hidden="1" x14ac:dyDescent="0.25">
      <c r="A985">
        <v>406040</v>
      </c>
      <c r="B985" t="s">
        <v>3794</v>
      </c>
      <c r="C985" t="e">
        <f>VLOOKUP(A985,[1]Customer_payment_journal_line!$AL:$BO,30,0)</f>
        <v>#N/A</v>
      </c>
      <c r="D985" t="s">
        <v>53</v>
      </c>
      <c r="E985" t="s">
        <v>3790</v>
      </c>
      <c r="F985" t="s">
        <v>3791</v>
      </c>
      <c r="G985" t="s">
        <v>3455</v>
      </c>
      <c r="H985" t="s">
        <v>201</v>
      </c>
      <c r="I985" t="s">
        <v>516</v>
      </c>
      <c r="J985" t="s">
        <v>202</v>
      </c>
      <c r="K985" t="s">
        <v>3792</v>
      </c>
      <c r="L985" t="s">
        <v>52</v>
      </c>
      <c r="M985">
        <v>800</v>
      </c>
      <c r="N985">
        <v>0</v>
      </c>
      <c r="O985" t="s">
        <v>178</v>
      </c>
      <c r="P985">
        <v>5085</v>
      </c>
      <c r="Q985" t="s">
        <v>52</v>
      </c>
      <c r="R985" t="s">
        <v>52</v>
      </c>
      <c r="S985" t="s">
        <v>52</v>
      </c>
      <c r="T985" t="s">
        <v>52</v>
      </c>
      <c r="U985" t="s">
        <v>52</v>
      </c>
      <c r="V985" t="s">
        <v>62</v>
      </c>
      <c r="W985" t="s">
        <v>63</v>
      </c>
      <c r="Y985" t="s">
        <v>52</v>
      </c>
      <c r="AB985" t="s">
        <v>3793</v>
      </c>
      <c r="AE985" t="s">
        <v>3793</v>
      </c>
      <c r="AF985" t="s">
        <v>52</v>
      </c>
      <c r="AH985">
        <v>0</v>
      </c>
      <c r="AI985">
        <v>0</v>
      </c>
      <c r="AJ985" t="s">
        <v>52</v>
      </c>
      <c r="AK985">
        <v>0</v>
      </c>
      <c r="AL985" t="s">
        <v>52</v>
      </c>
      <c r="AM985" t="s">
        <v>52</v>
      </c>
      <c r="AN985">
        <v>0</v>
      </c>
      <c r="AO985">
        <v>0</v>
      </c>
      <c r="AP985" t="s">
        <v>52</v>
      </c>
      <c r="AQ985" t="s">
        <v>52</v>
      </c>
      <c r="AR985" t="s">
        <v>62</v>
      </c>
      <c r="AS985" t="s">
        <v>52</v>
      </c>
      <c r="AT985" t="s">
        <v>52</v>
      </c>
      <c r="AU985" t="s">
        <v>64</v>
      </c>
      <c r="AV985" t="s">
        <v>62</v>
      </c>
      <c r="AW985" t="s">
        <v>65</v>
      </c>
      <c r="AX985" t="s">
        <v>66</v>
      </c>
      <c r="AY985" t="s">
        <v>67</v>
      </c>
    </row>
    <row r="986" spans="1:51" hidden="1" x14ac:dyDescent="0.25">
      <c r="A986">
        <v>406040</v>
      </c>
      <c r="B986" t="s">
        <v>3795</v>
      </c>
      <c r="C986" t="e">
        <f>VLOOKUP(A986,[1]Customer_payment_journal_line!$AL:$BO,30,0)</f>
        <v>#N/A</v>
      </c>
      <c r="D986" t="s">
        <v>53</v>
      </c>
      <c r="E986" t="s">
        <v>3790</v>
      </c>
      <c r="F986" t="s">
        <v>3791</v>
      </c>
      <c r="G986" t="s">
        <v>3455</v>
      </c>
      <c r="H986" t="s">
        <v>69</v>
      </c>
      <c r="I986" t="s">
        <v>3796</v>
      </c>
      <c r="J986" t="s">
        <v>3797</v>
      </c>
      <c r="K986" t="s">
        <v>3792</v>
      </c>
      <c r="L986" t="s">
        <v>52</v>
      </c>
      <c r="M986">
        <v>0</v>
      </c>
      <c r="N986">
        <v>880</v>
      </c>
      <c r="O986" t="s">
        <v>178</v>
      </c>
      <c r="P986">
        <v>5085</v>
      </c>
      <c r="Q986" t="s">
        <v>52</v>
      </c>
      <c r="R986" t="s">
        <v>52</v>
      </c>
      <c r="S986" t="s">
        <v>52</v>
      </c>
      <c r="T986" t="s">
        <v>52</v>
      </c>
      <c r="U986" t="s">
        <v>52</v>
      </c>
      <c r="V986" t="s">
        <v>62</v>
      </c>
      <c r="W986" t="s">
        <v>52</v>
      </c>
      <c r="Y986" t="s">
        <v>3798</v>
      </c>
      <c r="Z986" t="s">
        <v>62</v>
      </c>
      <c r="AB986" t="s">
        <v>3793</v>
      </c>
      <c r="AE986" t="s">
        <v>3793</v>
      </c>
      <c r="AF986" t="s">
        <v>52</v>
      </c>
      <c r="AH986">
        <v>0</v>
      </c>
      <c r="AI986">
        <v>0</v>
      </c>
      <c r="AJ986" t="s">
        <v>52</v>
      </c>
      <c r="AK986">
        <v>0</v>
      </c>
      <c r="AL986" t="s">
        <v>52</v>
      </c>
      <c r="AM986" t="s">
        <v>52</v>
      </c>
      <c r="AN986">
        <v>0</v>
      </c>
      <c r="AO986">
        <v>0</v>
      </c>
      <c r="AP986" t="s">
        <v>52</v>
      </c>
      <c r="AQ986" t="s">
        <v>52</v>
      </c>
      <c r="AR986" t="s">
        <v>62</v>
      </c>
      <c r="AS986" t="s">
        <v>52</v>
      </c>
      <c r="AT986" t="s">
        <v>74</v>
      </c>
      <c r="AU986" t="s">
        <v>64</v>
      </c>
      <c r="AV986" t="s">
        <v>62</v>
      </c>
      <c r="AW986" t="s">
        <v>65</v>
      </c>
      <c r="AX986" t="s">
        <v>66</v>
      </c>
      <c r="AY986" t="s">
        <v>67</v>
      </c>
    </row>
    <row r="987" spans="1:51" hidden="1" x14ac:dyDescent="0.25">
      <c r="A987">
        <v>406040</v>
      </c>
      <c r="B987" t="s">
        <v>3799</v>
      </c>
      <c r="C987" t="e">
        <f>VLOOKUP(A987,[1]Customer_payment_journal_line!$AL:$BO,30,0)</f>
        <v>#N/A</v>
      </c>
      <c r="D987" t="s">
        <v>53</v>
      </c>
      <c r="E987" t="s">
        <v>3790</v>
      </c>
      <c r="F987" t="s">
        <v>3791</v>
      </c>
      <c r="G987" t="s">
        <v>3455</v>
      </c>
      <c r="H987" t="s">
        <v>210</v>
      </c>
      <c r="I987" t="s">
        <v>3800</v>
      </c>
      <c r="J987" t="s">
        <v>52</v>
      </c>
      <c r="K987" t="s">
        <v>3792</v>
      </c>
      <c r="L987" t="s">
        <v>52</v>
      </c>
      <c r="M987">
        <v>0</v>
      </c>
      <c r="N987">
        <v>172</v>
      </c>
      <c r="O987" t="s">
        <v>61</v>
      </c>
      <c r="P987">
        <v>100</v>
      </c>
      <c r="Q987" t="s">
        <v>52</v>
      </c>
      <c r="R987" t="s">
        <v>52</v>
      </c>
      <c r="S987" t="s">
        <v>52</v>
      </c>
      <c r="T987" t="s">
        <v>52</v>
      </c>
      <c r="U987" t="s">
        <v>52</v>
      </c>
      <c r="V987" t="s">
        <v>62</v>
      </c>
      <c r="W987" t="s">
        <v>63</v>
      </c>
      <c r="Y987" t="s">
        <v>3798</v>
      </c>
      <c r="AB987" t="s">
        <v>3793</v>
      </c>
      <c r="AE987" t="s">
        <v>3793</v>
      </c>
      <c r="AF987" t="s">
        <v>52</v>
      </c>
      <c r="AH987">
        <v>0</v>
      </c>
      <c r="AI987">
        <v>0</v>
      </c>
      <c r="AJ987" t="s">
        <v>52</v>
      </c>
      <c r="AK987">
        <v>0</v>
      </c>
      <c r="AL987" t="s">
        <v>52</v>
      </c>
      <c r="AM987" t="s">
        <v>52</v>
      </c>
      <c r="AN987">
        <v>0</v>
      </c>
      <c r="AO987">
        <v>0</v>
      </c>
      <c r="AP987" t="s">
        <v>52</v>
      </c>
      <c r="AQ987" t="s">
        <v>52</v>
      </c>
      <c r="AR987" t="s">
        <v>62</v>
      </c>
      <c r="AS987" t="s">
        <v>52</v>
      </c>
      <c r="AT987" t="s">
        <v>52</v>
      </c>
      <c r="AU987" t="s">
        <v>64</v>
      </c>
      <c r="AV987" t="s">
        <v>62</v>
      </c>
      <c r="AW987" t="s">
        <v>65</v>
      </c>
      <c r="AX987" t="s">
        <v>66</v>
      </c>
      <c r="AY987" t="s">
        <v>67</v>
      </c>
    </row>
    <row r="988" spans="1:51" hidden="1" x14ac:dyDescent="0.25">
      <c r="A988">
        <v>406041</v>
      </c>
      <c r="B988" t="s">
        <v>3801</v>
      </c>
      <c r="C988" t="e">
        <f>VLOOKUP(A988,[1]Customer_payment_journal_line!$AL:$BO,30,0)</f>
        <v>#N/A</v>
      </c>
      <c r="D988" t="s">
        <v>53</v>
      </c>
      <c r="E988" t="s">
        <v>3802</v>
      </c>
      <c r="F988" t="s">
        <v>3803</v>
      </c>
      <c r="G988" t="s">
        <v>3455</v>
      </c>
      <c r="H988" t="s">
        <v>57</v>
      </c>
      <c r="I988" t="s">
        <v>58</v>
      </c>
      <c r="J988" t="s">
        <v>3804</v>
      </c>
      <c r="K988" t="s">
        <v>3792</v>
      </c>
      <c r="L988" t="s">
        <v>52</v>
      </c>
      <c r="M988">
        <v>5643</v>
      </c>
      <c r="N988">
        <v>0</v>
      </c>
      <c r="O988" t="s">
        <v>61</v>
      </c>
      <c r="P988">
        <v>100</v>
      </c>
      <c r="Q988" t="s">
        <v>52</v>
      </c>
      <c r="R988" t="s">
        <v>52</v>
      </c>
      <c r="S988" t="s">
        <v>52</v>
      </c>
      <c r="T988" t="s">
        <v>52</v>
      </c>
      <c r="U988" t="s">
        <v>52</v>
      </c>
      <c r="V988" t="s">
        <v>62</v>
      </c>
      <c r="W988" t="s">
        <v>63</v>
      </c>
      <c r="Y988" t="s">
        <v>52</v>
      </c>
      <c r="AB988" t="s">
        <v>52</v>
      </c>
      <c r="AE988" t="s">
        <v>52</v>
      </c>
      <c r="AF988" t="s">
        <v>52</v>
      </c>
      <c r="AH988">
        <v>0</v>
      </c>
      <c r="AI988">
        <v>0</v>
      </c>
      <c r="AJ988" t="s">
        <v>52</v>
      </c>
      <c r="AK988">
        <v>0</v>
      </c>
      <c r="AL988" t="s">
        <v>52</v>
      </c>
      <c r="AM988" t="s">
        <v>52</v>
      </c>
      <c r="AN988">
        <v>0</v>
      </c>
      <c r="AO988">
        <v>0</v>
      </c>
      <c r="AP988" t="s">
        <v>52</v>
      </c>
      <c r="AQ988" t="s">
        <v>52</v>
      </c>
      <c r="AR988" t="s">
        <v>62</v>
      </c>
      <c r="AS988" t="s">
        <v>52</v>
      </c>
      <c r="AT988" t="s">
        <v>52</v>
      </c>
      <c r="AU988" t="s">
        <v>64</v>
      </c>
      <c r="AV988" t="s">
        <v>62</v>
      </c>
      <c r="AW988" t="s">
        <v>65</v>
      </c>
      <c r="AX988" t="s">
        <v>66</v>
      </c>
      <c r="AY988" t="s">
        <v>67</v>
      </c>
    </row>
    <row r="989" spans="1:51" hidden="1" x14ac:dyDescent="0.25">
      <c r="A989">
        <v>406041</v>
      </c>
      <c r="B989" t="s">
        <v>3805</v>
      </c>
      <c r="C989" t="e">
        <f>VLOOKUP(A989,[1]Customer_payment_journal_line!$AL:$BO,30,0)</f>
        <v>#N/A</v>
      </c>
      <c r="D989" t="s">
        <v>53</v>
      </c>
      <c r="E989" t="s">
        <v>3802</v>
      </c>
      <c r="F989" t="s">
        <v>3803</v>
      </c>
      <c r="G989" t="s">
        <v>3455</v>
      </c>
      <c r="H989" t="s">
        <v>69</v>
      </c>
      <c r="I989" t="s">
        <v>3796</v>
      </c>
      <c r="J989" t="s">
        <v>3804</v>
      </c>
      <c r="K989" t="s">
        <v>3792</v>
      </c>
      <c r="L989" t="s">
        <v>52</v>
      </c>
      <c r="M989">
        <v>0</v>
      </c>
      <c r="N989">
        <v>5643</v>
      </c>
      <c r="O989" t="s">
        <v>61</v>
      </c>
      <c r="P989">
        <v>100</v>
      </c>
      <c r="Q989" t="s">
        <v>52</v>
      </c>
      <c r="R989" t="s">
        <v>52</v>
      </c>
      <c r="S989" t="s">
        <v>52</v>
      </c>
      <c r="T989" t="s">
        <v>52</v>
      </c>
      <c r="U989" t="s">
        <v>52</v>
      </c>
      <c r="V989" t="s">
        <v>62</v>
      </c>
      <c r="W989" t="s">
        <v>52</v>
      </c>
      <c r="Y989" t="s">
        <v>3798</v>
      </c>
      <c r="Z989" t="s">
        <v>62</v>
      </c>
      <c r="AB989" t="s">
        <v>3806</v>
      </c>
      <c r="AE989" t="s">
        <v>3807</v>
      </c>
      <c r="AF989" t="s">
        <v>52</v>
      </c>
      <c r="AH989">
        <v>0</v>
      </c>
      <c r="AI989">
        <v>0</v>
      </c>
      <c r="AJ989" t="s">
        <v>52</v>
      </c>
      <c r="AK989">
        <v>0</v>
      </c>
      <c r="AL989" t="s">
        <v>52</v>
      </c>
      <c r="AM989" t="s">
        <v>52</v>
      </c>
      <c r="AN989">
        <v>0</v>
      </c>
      <c r="AO989">
        <v>0</v>
      </c>
      <c r="AP989" t="s">
        <v>52</v>
      </c>
      <c r="AQ989" t="s">
        <v>52</v>
      </c>
      <c r="AR989" t="s">
        <v>62</v>
      </c>
      <c r="AS989" t="s">
        <v>52</v>
      </c>
      <c r="AT989" t="s">
        <v>74</v>
      </c>
      <c r="AU989" t="s">
        <v>64</v>
      </c>
      <c r="AV989" t="s">
        <v>62</v>
      </c>
      <c r="AW989" t="s">
        <v>65</v>
      </c>
      <c r="AX989" t="s">
        <v>66</v>
      </c>
      <c r="AY989" t="s">
        <v>67</v>
      </c>
    </row>
    <row r="990" spans="1:51" hidden="1" x14ac:dyDescent="0.25">
      <c r="A990">
        <v>406042</v>
      </c>
      <c r="B990" t="s">
        <v>3808</v>
      </c>
      <c r="C990" t="e">
        <f>VLOOKUP(A990,[1]Customer_payment_journal_line!$AL:$BO,30,0)</f>
        <v>#N/A</v>
      </c>
      <c r="D990" t="s">
        <v>53</v>
      </c>
      <c r="E990" t="s">
        <v>3809</v>
      </c>
      <c r="F990" t="s">
        <v>3810</v>
      </c>
      <c r="G990" t="s">
        <v>3455</v>
      </c>
      <c r="H990" t="s">
        <v>57</v>
      </c>
      <c r="I990" t="s">
        <v>58</v>
      </c>
      <c r="J990" t="s">
        <v>3804</v>
      </c>
      <c r="K990" t="s">
        <v>3792</v>
      </c>
      <c r="L990" t="s">
        <v>52</v>
      </c>
      <c r="M990">
        <v>855</v>
      </c>
      <c r="N990">
        <v>0</v>
      </c>
      <c r="O990" t="s">
        <v>61</v>
      </c>
      <c r="P990">
        <v>100</v>
      </c>
      <c r="Q990" t="s">
        <v>52</v>
      </c>
      <c r="R990" t="s">
        <v>52</v>
      </c>
      <c r="S990" t="s">
        <v>52</v>
      </c>
      <c r="T990" t="s">
        <v>52</v>
      </c>
      <c r="U990" t="s">
        <v>52</v>
      </c>
      <c r="V990" t="s">
        <v>62</v>
      </c>
      <c r="W990" t="s">
        <v>63</v>
      </c>
      <c r="Y990" t="s">
        <v>52</v>
      </c>
      <c r="AB990" t="s">
        <v>52</v>
      </c>
      <c r="AE990" t="s">
        <v>52</v>
      </c>
      <c r="AF990" t="s">
        <v>52</v>
      </c>
      <c r="AH990">
        <v>0</v>
      </c>
      <c r="AI990">
        <v>0</v>
      </c>
      <c r="AJ990" t="s">
        <v>52</v>
      </c>
      <c r="AK990">
        <v>0</v>
      </c>
      <c r="AL990" t="s">
        <v>52</v>
      </c>
      <c r="AM990" t="s">
        <v>52</v>
      </c>
      <c r="AN990">
        <v>0</v>
      </c>
      <c r="AO990">
        <v>0</v>
      </c>
      <c r="AP990" t="s">
        <v>52</v>
      </c>
      <c r="AQ990" t="s">
        <v>52</v>
      </c>
      <c r="AR990" t="s">
        <v>62</v>
      </c>
      <c r="AS990" t="s">
        <v>52</v>
      </c>
      <c r="AT990" t="s">
        <v>52</v>
      </c>
      <c r="AU990" t="s">
        <v>64</v>
      </c>
      <c r="AV990" t="s">
        <v>62</v>
      </c>
      <c r="AW990" t="s">
        <v>65</v>
      </c>
      <c r="AX990" t="s">
        <v>66</v>
      </c>
      <c r="AY990" t="s">
        <v>67</v>
      </c>
    </row>
    <row r="991" spans="1:51" hidden="1" x14ac:dyDescent="0.25">
      <c r="A991">
        <v>406042</v>
      </c>
      <c r="B991" t="s">
        <v>3811</v>
      </c>
      <c r="C991" t="e">
        <f>VLOOKUP(A991,[1]Customer_payment_journal_line!$AL:$BO,30,0)</f>
        <v>#N/A</v>
      </c>
      <c r="D991" t="s">
        <v>53</v>
      </c>
      <c r="E991" t="s">
        <v>3809</v>
      </c>
      <c r="F991" t="s">
        <v>3810</v>
      </c>
      <c r="G991" t="s">
        <v>3455</v>
      </c>
      <c r="H991" t="s">
        <v>69</v>
      </c>
      <c r="I991" t="s">
        <v>3796</v>
      </c>
      <c r="J991" t="s">
        <v>3804</v>
      </c>
      <c r="K991" t="s">
        <v>3792</v>
      </c>
      <c r="L991" t="s">
        <v>52</v>
      </c>
      <c r="M991">
        <v>0</v>
      </c>
      <c r="N991">
        <v>855</v>
      </c>
      <c r="O991" t="s">
        <v>61</v>
      </c>
      <c r="P991">
        <v>100</v>
      </c>
      <c r="Q991" t="s">
        <v>52</v>
      </c>
      <c r="R991" t="s">
        <v>52</v>
      </c>
      <c r="S991" t="s">
        <v>52</v>
      </c>
      <c r="T991" t="s">
        <v>52</v>
      </c>
      <c r="U991" t="s">
        <v>52</v>
      </c>
      <c r="V991" t="s">
        <v>62</v>
      </c>
      <c r="W991" t="s">
        <v>52</v>
      </c>
      <c r="Y991" t="s">
        <v>3798</v>
      </c>
      <c r="Z991" t="s">
        <v>62</v>
      </c>
      <c r="AB991" t="s">
        <v>3812</v>
      </c>
      <c r="AE991" t="s">
        <v>3813</v>
      </c>
      <c r="AF991" t="s">
        <v>52</v>
      </c>
      <c r="AH991">
        <v>0</v>
      </c>
      <c r="AI991">
        <v>0</v>
      </c>
      <c r="AJ991" t="s">
        <v>52</v>
      </c>
      <c r="AK991">
        <v>0</v>
      </c>
      <c r="AL991" t="s">
        <v>52</v>
      </c>
      <c r="AM991" t="s">
        <v>52</v>
      </c>
      <c r="AN991">
        <v>0</v>
      </c>
      <c r="AO991">
        <v>0</v>
      </c>
      <c r="AP991" t="s">
        <v>52</v>
      </c>
      <c r="AQ991" t="s">
        <v>52</v>
      </c>
      <c r="AR991" t="s">
        <v>62</v>
      </c>
      <c r="AS991" t="s">
        <v>52</v>
      </c>
      <c r="AT991" t="s">
        <v>74</v>
      </c>
      <c r="AU991" t="s">
        <v>64</v>
      </c>
      <c r="AV991" t="s">
        <v>62</v>
      </c>
      <c r="AW991" t="s">
        <v>65</v>
      </c>
      <c r="AX991" t="s">
        <v>66</v>
      </c>
      <c r="AY991" t="s">
        <v>67</v>
      </c>
    </row>
    <row r="992" spans="1:51" hidden="1" x14ac:dyDescent="0.25">
      <c r="A992">
        <v>317152</v>
      </c>
      <c r="B992" t="s">
        <v>3814</v>
      </c>
      <c r="C992" t="e">
        <f>VLOOKUP(A992,[1]Customer_payment_journal_line!$AL:$BO,30,0)</f>
        <v>#N/A</v>
      </c>
      <c r="D992" t="s">
        <v>53</v>
      </c>
      <c r="E992" t="s">
        <v>3815</v>
      </c>
      <c r="F992" t="s">
        <v>3816</v>
      </c>
      <c r="G992" t="s">
        <v>3455</v>
      </c>
      <c r="H992" t="s">
        <v>201</v>
      </c>
      <c r="I992" t="s">
        <v>58</v>
      </c>
      <c r="J992" t="s">
        <v>202</v>
      </c>
      <c r="K992" t="s">
        <v>3457</v>
      </c>
      <c r="L992" t="s">
        <v>52</v>
      </c>
      <c r="M992">
        <v>325</v>
      </c>
      <c r="N992">
        <v>0</v>
      </c>
      <c r="O992" t="s">
        <v>61</v>
      </c>
      <c r="P992">
        <v>100</v>
      </c>
      <c r="Q992" t="s">
        <v>52</v>
      </c>
      <c r="R992" t="s">
        <v>52</v>
      </c>
      <c r="S992" t="s">
        <v>52</v>
      </c>
      <c r="T992" t="s">
        <v>52</v>
      </c>
      <c r="U992" t="s">
        <v>52</v>
      </c>
      <c r="V992" t="s">
        <v>62</v>
      </c>
      <c r="W992" t="s">
        <v>63</v>
      </c>
      <c r="Y992" t="s">
        <v>52</v>
      </c>
      <c r="AB992" t="s">
        <v>3817</v>
      </c>
      <c r="AE992" t="s">
        <v>3817</v>
      </c>
      <c r="AF992" t="s">
        <v>52</v>
      </c>
      <c r="AH992">
        <v>0</v>
      </c>
      <c r="AI992">
        <v>0</v>
      </c>
      <c r="AJ992" t="s">
        <v>52</v>
      </c>
      <c r="AK992">
        <v>0</v>
      </c>
      <c r="AL992" t="s">
        <v>52</v>
      </c>
      <c r="AM992" t="s">
        <v>52</v>
      </c>
      <c r="AN992">
        <v>0</v>
      </c>
      <c r="AO992">
        <v>0</v>
      </c>
      <c r="AP992" t="s">
        <v>52</v>
      </c>
      <c r="AQ992" t="s">
        <v>52</v>
      </c>
      <c r="AR992" t="s">
        <v>62</v>
      </c>
      <c r="AS992" t="s">
        <v>52</v>
      </c>
      <c r="AT992" t="s">
        <v>52</v>
      </c>
      <c r="AU992" t="s">
        <v>64</v>
      </c>
      <c r="AV992" t="s">
        <v>62</v>
      </c>
      <c r="AW992" t="s">
        <v>65</v>
      </c>
      <c r="AX992" t="s">
        <v>66</v>
      </c>
      <c r="AY992" t="s">
        <v>67</v>
      </c>
    </row>
    <row r="993" spans="1:51" hidden="1" x14ac:dyDescent="0.25">
      <c r="A993">
        <v>317152</v>
      </c>
      <c r="B993" t="s">
        <v>3818</v>
      </c>
      <c r="C993" t="e">
        <f>VLOOKUP(A993,[1]Customer_payment_journal_line!$AL:$BO,30,0)</f>
        <v>#N/A</v>
      </c>
      <c r="D993" t="s">
        <v>53</v>
      </c>
      <c r="E993" t="s">
        <v>3815</v>
      </c>
      <c r="F993" t="s">
        <v>3816</v>
      </c>
      <c r="G993" t="s">
        <v>3455</v>
      </c>
      <c r="H993" t="s">
        <v>69</v>
      </c>
      <c r="I993" t="s">
        <v>769</v>
      </c>
      <c r="J993" t="s">
        <v>948</v>
      </c>
      <c r="K993" t="s">
        <v>3457</v>
      </c>
      <c r="L993" t="s">
        <v>52</v>
      </c>
      <c r="M993">
        <v>0</v>
      </c>
      <c r="N993">
        <v>5</v>
      </c>
      <c r="O993" t="s">
        <v>3490</v>
      </c>
      <c r="P993">
        <v>6380</v>
      </c>
      <c r="Q993" t="s">
        <v>52</v>
      </c>
      <c r="R993" t="s">
        <v>52</v>
      </c>
      <c r="S993" t="s">
        <v>52</v>
      </c>
      <c r="T993" t="s">
        <v>52</v>
      </c>
      <c r="U993" t="s">
        <v>52</v>
      </c>
      <c r="V993" t="s">
        <v>62</v>
      </c>
      <c r="W993" t="s">
        <v>52</v>
      </c>
      <c r="Y993" t="s">
        <v>771</v>
      </c>
      <c r="Z993" t="s">
        <v>62</v>
      </c>
      <c r="AB993" t="s">
        <v>3817</v>
      </c>
      <c r="AE993" t="s">
        <v>3817</v>
      </c>
      <c r="AF993" t="s">
        <v>52</v>
      </c>
      <c r="AH993">
        <v>0</v>
      </c>
      <c r="AI993">
        <v>0</v>
      </c>
      <c r="AJ993" t="s">
        <v>52</v>
      </c>
      <c r="AK993">
        <v>0</v>
      </c>
      <c r="AL993" t="s">
        <v>52</v>
      </c>
      <c r="AM993" t="s">
        <v>52</v>
      </c>
      <c r="AN993">
        <v>0</v>
      </c>
      <c r="AO993">
        <v>0</v>
      </c>
      <c r="AP993" t="s">
        <v>52</v>
      </c>
      <c r="AQ993" t="s">
        <v>52</v>
      </c>
      <c r="AR993" t="s">
        <v>62</v>
      </c>
      <c r="AS993" t="s">
        <v>52</v>
      </c>
      <c r="AT993" t="s">
        <v>74</v>
      </c>
      <c r="AU993" t="s">
        <v>64</v>
      </c>
      <c r="AV993" t="s">
        <v>62</v>
      </c>
      <c r="AW993" t="s">
        <v>65</v>
      </c>
      <c r="AX993" t="s">
        <v>66</v>
      </c>
      <c r="AY993" t="s">
        <v>67</v>
      </c>
    </row>
    <row r="994" spans="1:51" hidden="1" x14ac:dyDescent="0.25">
      <c r="A994">
        <v>317152</v>
      </c>
      <c r="B994" t="s">
        <v>3819</v>
      </c>
      <c r="C994" t="e">
        <f>VLOOKUP(A994,[1]Customer_payment_journal_line!$AL:$BO,30,0)</f>
        <v>#N/A</v>
      </c>
      <c r="D994" t="s">
        <v>53</v>
      </c>
      <c r="E994" t="s">
        <v>3815</v>
      </c>
      <c r="F994" t="s">
        <v>3816</v>
      </c>
      <c r="G994" t="s">
        <v>3455</v>
      </c>
      <c r="H994" t="s">
        <v>210</v>
      </c>
      <c r="I994" t="s">
        <v>950</v>
      </c>
      <c r="J994" t="s">
        <v>52</v>
      </c>
      <c r="K994" t="s">
        <v>3457</v>
      </c>
      <c r="L994" t="s">
        <v>52</v>
      </c>
      <c r="M994">
        <v>0</v>
      </c>
      <c r="N994">
        <v>6</v>
      </c>
      <c r="O994" t="s">
        <v>61</v>
      </c>
      <c r="P994">
        <v>100</v>
      </c>
      <c r="Q994" t="s">
        <v>52</v>
      </c>
      <c r="R994" t="s">
        <v>52</v>
      </c>
      <c r="S994" t="s">
        <v>52</v>
      </c>
      <c r="T994" t="s">
        <v>52</v>
      </c>
      <c r="U994" t="s">
        <v>52</v>
      </c>
      <c r="V994" t="s">
        <v>62</v>
      </c>
      <c r="W994" t="s">
        <v>63</v>
      </c>
      <c r="Y994" t="s">
        <v>771</v>
      </c>
      <c r="AB994" t="s">
        <v>3817</v>
      </c>
      <c r="AE994" t="s">
        <v>3817</v>
      </c>
      <c r="AF994" t="s">
        <v>52</v>
      </c>
      <c r="AH994">
        <v>0</v>
      </c>
      <c r="AI994">
        <v>0</v>
      </c>
      <c r="AJ994" t="s">
        <v>52</v>
      </c>
      <c r="AK994">
        <v>0</v>
      </c>
      <c r="AL994" t="s">
        <v>52</v>
      </c>
      <c r="AM994" t="s">
        <v>52</v>
      </c>
      <c r="AN994">
        <v>0</v>
      </c>
      <c r="AO994">
        <v>0</v>
      </c>
      <c r="AP994" t="s">
        <v>52</v>
      </c>
      <c r="AQ994" t="s">
        <v>52</v>
      </c>
      <c r="AR994" t="s">
        <v>62</v>
      </c>
      <c r="AS994" t="s">
        <v>52</v>
      </c>
      <c r="AT994" t="s">
        <v>52</v>
      </c>
      <c r="AU994" t="s">
        <v>64</v>
      </c>
      <c r="AV994" t="s">
        <v>62</v>
      </c>
      <c r="AW994" t="s">
        <v>65</v>
      </c>
      <c r="AX994" t="s">
        <v>66</v>
      </c>
      <c r="AY994" t="s">
        <v>67</v>
      </c>
    </row>
    <row r="995" spans="1:51" hidden="1" x14ac:dyDescent="0.25">
      <c r="A995">
        <v>406043</v>
      </c>
      <c r="B995" t="s">
        <v>3820</v>
      </c>
      <c r="C995" t="e">
        <f>VLOOKUP(A995,[1]Customer_payment_journal_line!$AL:$BO,30,0)</f>
        <v>#N/A</v>
      </c>
      <c r="D995" t="s">
        <v>53</v>
      </c>
      <c r="E995" t="s">
        <v>3821</v>
      </c>
      <c r="F995" t="s">
        <v>3822</v>
      </c>
      <c r="G995" t="s">
        <v>3455</v>
      </c>
      <c r="H995" t="s">
        <v>57</v>
      </c>
      <c r="I995" t="s">
        <v>58</v>
      </c>
      <c r="J995" t="s">
        <v>3823</v>
      </c>
      <c r="K995" t="s">
        <v>3824</v>
      </c>
      <c r="L995" t="s">
        <v>52</v>
      </c>
      <c r="M995">
        <v>4200</v>
      </c>
      <c r="N995">
        <v>0</v>
      </c>
      <c r="O995" t="s">
        <v>61</v>
      </c>
      <c r="P995">
        <v>100</v>
      </c>
      <c r="Q995" t="s">
        <v>52</v>
      </c>
      <c r="R995" t="s">
        <v>52</v>
      </c>
      <c r="S995" t="s">
        <v>52</v>
      </c>
      <c r="T995" t="s">
        <v>52</v>
      </c>
      <c r="U995" t="s">
        <v>52</v>
      </c>
      <c r="V995" t="s">
        <v>62</v>
      </c>
      <c r="W995" t="s">
        <v>63</v>
      </c>
      <c r="Y995" t="s">
        <v>52</v>
      </c>
      <c r="AB995" t="s">
        <v>52</v>
      </c>
      <c r="AE995" t="s">
        <v>52</v>
      </c>
      <c r="AF995" t="s">
        <v>52</v>
      </c>
      <c r="AH995">
        <v>0</v>
      </c>
      <c r="AI995">
        <v>0</v>
      </c>
      <c r="AJ995" t="s">
        <v>52</v>
      </c>
      <c r="AK995">
        <v>0</v>
      </c>
      <c r="AL995" t="s">
        <v>52</v>
      </c>
      <c r="AM995" t="s">
        <v>52</v>
      </c>
      <c r="AN995">
        <v>0</v>
      </c>
      <c r="AO995">
        <v>0</v>
      </c>
      <c r="AP995" t="s">
        <v>52</v>
      </c>
      <c r="AQ995" t="s">
        <v>52</v>
      </c>
      <c r="AR995" t="s">
        <v>62</v>
      </c>
      <c r="AS995" t="s">
        <v>52</v>
      </c>
      <c r="AT995" t="s">
        <v>52</v>
      </c>
      <c r="AU995" t="s">
        <v>64</v>
      </c>
      <c r="AV995" t="s">
        <v>62</v>
      </c>
      <c r="AW995" t="s">
        <v>65</v>
      </c>
      <c r="AX995" t="s">
        <v>66</v>
      </c>
      <c r="AY995" t="s">
        <v>67</v>
      </c>
    </row>
    <row r="996" spans="1:51" hidden="1" x14ac:dyDescent="0.25">
      <c r="A996">
        <v>406043</v>
      </c>
      <c r="B996" t="s">
        <v>3825</v>
      </c>
      <c r="C996" t="e">
        <f>VLOOKUP(A996,[1]Customer_payment_journal_line!$AL:$BO,30,0)</f>
        <v>#N/A</v>
      </c>
      <c r="D996" t="s">
        <v>53</v>
      </c>
      <c r="E996" t="s">
        <v>3821</v>
      </c>
      <c r="F996" t="s">
        <v>3822</v>
      </c>
      <c r="G996" t="s">
        <v>3455</v>
      </c>
      <c r="H996" t="s">
        <v>69</v>
      </c>
      <c r="I996" t="s">
        <v>3826</v>
      </c>
      <c r="J996" t="s">
        <v>3823</v>
      </c>
      <c r="K996" t="s">
        <v>3824</v>
      </c>
      <c r="L996" t="s">
        <v>52</v>
      </c>
      <c r="M996">
        <v>0</v>
      </c>
      <c r="N996">
        <v>4200</v>
      </c>
      <c r="O996" t="s">
        <v>61</v>
      </c>
      <c r="P996">
        <v>100</v>
      </c>
      <c r="Q996" t="s">
        <v>52</v>
      </c>
      <c r="R996" t="s">
        <v>52</v>
      </c>
      <c r="S996" t="s">
        <v>52</v>
      </c>
      <c r="T996" t="s">
        <v>52</v>
      </c>
      <c r="U996" t="s">
        <v>52</v>
      </c>
      <c r="V996" t="s">
        <v>62</v>
      </c>
      <c r="W996" t="s">
        <v>52</v>
      </c>
      <c r="Y996" t="s">
        <v>3827</v>
      </c>
      <c r="Z996" t="s">
        <v>62</v>
      </c>
      <c r="AB996" t="s">
        <v>3828</v>
      </c>
      <c r="AE996" t="s">
        <v>3829</v>
      </c>
      <c r="AF996" t="s">
        <v>52</v>
      </c>
      <c r="AH996">
        <v>0</v>
      </c>
      <c r="AI996">
        <v>0</v>
      </c>
      <c r="AJ996" t="s">
        <v>52</v>
      </c>
      <c r="AK996">
        <v>0</v>
      </c>
      <c r="AL996" t="s">
        <v>52</v>
      </c>
      <c r="AM996" t="s">
        <v>52</v>
      </c>
      <c r="AN996">
        <v>0</v>
      </c>
      <c r="AO996">
        <v>0</v>
      </c>
      <c r="AP996" t="s">
        <v>52</v>
      </c>
      <c r="AQ996" t="s">
        <v>52</v>
      </c>
      <c r="AR996" t="s">
        <v>62</v>
      </c>
      <c r="AS996" t="s">
        <v>52</v>
      </c>
      <c r="AT996" t="s">
        <v>74</v>
      </c>
      <c r="AU996" t="s">
        <v>64</v>
      </c>
      <c r="AV996" t="s">
        <v>62</v>
      </c>
      <c r="AW996" t="s">
        <v>65</v>
      </c>
      <c r="AX996" t="s">
        <v>66</v>
      </c>
      <c r="AY996" t="s">
        <v>67</v>
      </c>
    </row>
    <row r="997" spans="1:51" hidden="1" x14ac:dyDescent="0.25">
      <c r="A997">
        <v>406044</v>
      </c>
      <c r="B997" t="s">
        <v>3830</v>
      </c>
      <c r="C997" t="e">
        <f>VLOOKUP(A997,[1]Customer_payment_journal_line!$AL:$BO,30,0)</f>
        <v>#N/A</v>
      </c>
      <c r="D997" t="s">
        <v>53</v>
      </c>
      <c r="E997" t="s">
        <v>3831</v>
      </c>
      <c r="F997" t="s">
        <v>3832</v>
      </c>
      <c r="G997" t="s">
        <v>3455</v>
      </c>
      <c r="H997" t="s">
        <v>57</v>
      </c>
      <c r="I997" t="s">
        <v>58</v>
      </c>
      <c r="J997" t="s">
        <v>3823</v>
      </c>
      <c r="K997" t="s">
        <v>3824</v>
      </c>
      <c r="L997" t="s">
        <v>52</v>
      </c>
      <c r="M997">
        <v>855</v>
      </c>
      <c r="N997">
        <v>0</v>
      </c>
      <c r="O997" t="s">
        <v>61</v>
      </c>
      <c r="P997">
        <v>100</v>
      </c>
      <c r="Q997" t="s">
        <v>52</v>
      </c>
      <c r="R997" t="s">
        <v>52</v>
      </c>
      <c r="S997" t="s">
        <v>52</v>
      </c>
      <c r="T997" t="s">
        <v>52</v>
      </c>
      <c r="U997" t="s">
        <v>52</v>
      </c>
      <c r="V997" t="s">
        <v>62</v>
      </c>
      <c r="W997" t="s">
        <v>63</v>
      </c>
      <c r="Y997" t="s">
        <v>52</v>
      </c>
      <c r="AB997" t="s">
        <v>52</v>
      </c>
      <c r="AE997" t="s">
        <v>52</v>
      </c>
      <c r="AF997" t="s">
        <v>52</v>
      </c>
      <c r="AH997">
        <v>0</v>
      </c>
      <c r="AI997">
        <v>0</v>
      </c>
      <c r="AJ997" t="s">
        <v>52</v>
      </c>
      <c r="AK997">
        <v>0</v>
      </c>
      <c r="AL997" t="s">
        <v>52</v>
      </c>
      <c r="AM997" t="s">
        <v>52</v>
      </c>
      <c r="AN997">
        <v>0</v>
      </c>
      <c r="AO997">
        <v>0</v>
      </c>
      <c r="AP997" t="s">
        <v>52</v>
      </c>
      <c r="AQ997" t="s">
        <v>52</v>
      </c>
      <c r="AR997" t="s">
        <v>62</v>
      </c>
      <c r="AS997" t="s">
        <v>52</v>
      </c>
      <c r="AT997" t="s">
        <v>52</v>
      </c>
      <c r="AU997" t="s">
        <v>64</v>
      </c>
      <c r="AV997" t="s">
        <v>62</v>
      </c>
      <c r="AW997" t="s">
        <v>65</v>
      </c>
      <c r="AX997" t="s">
        <v>66</v>
      </c>
      <c r="AY997" t="s">
        <v>67</v>
      </c>
    </row>
    <row r="998" spans="1:51" hidden="1" x14ac:dyDescent="0.25">
      <c r="A998">
        <v>406044</v>
      </c>
      <c r="B998" t="s">
        <v>3833</v>
      </c>
      <c r="C998" t="e">
        <f>VLOOKUP(A998,[1]Customer_payment_journal_line!$AL:$BO,30,0)</f>
        <v>#N/A</v>
      </c>
      <c r="D998" t="s">
        <v>53</v>
      </c>
      <c r="E998" t="s">
        <v>3831</v>
      </c>
      <c r="F998" t="s">
        <v>3832</v>
      </c>
      <c r="G998" t="s">
        <v>3455</v>
      </c>
      <c r="H998" t="s">
        <v>69</v>
      </c>
      <c r="I998" t="s">
        <v>3826</v>
      </c>
      <c r="J998" t="s">
        <v>3823</v>
      </c>
      <c r="K998" t="s">
        <v>3824</v>
      </c>
      <c r="L998" t="s">
        <v>52</v>
      </c>
      <c r="M998">
        <v>0</v>
      </c>
      <c r="N998">
        <v>855</v>
      </c>
      <c r="O998" t="s">
        <v>61</v>
      </c>
      <c r="P998">
        <v>100</v>
      </c>
      <c r="Q998" t="s">
        <v>52</v>
      </c>
      <c r="R998" t="s">
        <v>52</v>
      </c>
      <c r="S998" t="s">
        <v>52</v>
      </c>
      <c r="T998" t="s">
        <v>52</v>
      </c>
      <c r="U998" t="s">
        <v>52</v>
      </c>
      <c r="V998" t="s">
        <v>62</v>
      </c>
      <c r="W998" t="s">
        <v>52</v>
      </c>
      <c r="Y998" t="s">
        <v>3827</v>
      </c>
      <c r="Z998" t="s">
        <v>62</v>
      </c>
      <c r="AB998" t="s">
        <v>3834</v>
      </c>
      <c r="AE998" t="s">
        <v>3835</v>
      </c>
      <c r="AF998" t="s">
        <v>52</v>
      </c>
      <c r="AH998">
        <v>0</v>
      </c>
      <c r="AI998">
        <v>0</v>
      </c>
      <c r="AJ998" t="s">
        <v>52</v>
      </c>
      <c r="AK998">
        <v>0</v>
      </c>
      <c r="AL998" t="s">
        <v>52</v>
      </c>
      <c r="AM998" t="s">
        <v>52</v>
      </c>
      <c r="AN998">
        <v>0</v>
      </c>
      <c r="AO998">
        <v>0</v>
      </c>
      <c r="AP998" t="s">
        <v>52</v>
      </c>
      <c r="AQ998" t="s">
        <v>52</v>
      </c>
      <c r="AR998" t="s">
        <v>62</v>
      </c>
      <c r="AS998" t="s">
        <v>52</v>
      </c>
      <c r="AT998" t="s">
        <v>74</v>
      </c>
      <c r="AU998" t="s">
        <v>64</v>
      </c>
      <c r="AV998" t="s">
        <v>62</v>
      </c>
      <c r="AW998" t="s">
        <v>65</v>
      </c>
      <c r="AX998" t="s">
        <v>66</v>
      </c>
      <c r="AY998" t="s">
        <v>67</v>
      </c>
    </row>
    <row r="999" spans="1:51" hidden="1" x14ac:dyDescent="0.25">
      <c r="A999">
        <v>406045</v>
      </c>
      <c r="B999" t="s">
        <v>3836</v>
      </c>
      <c r="C999" t="e">
        <f>VLOOKUP(A999,[1]Customer_payment_journal_line!$AL:$BO,30,0)</f>
        <v>#N/A</v>
      </c>
      <c r="D999" t="s">
        <v>53</v>
      </c>
      <c r="E999" t="s">
        <v>3837</v>
      </c>
      <c r="F999" t="s">
        <v>3838</v>
      </c>
      <c r="G999" t="s">
        <v>3455</v>
      </c>
      <c r="H999" t="s">
        <v>57</v>
      </c>
      <c r="I999" t="s">
        <v>516</v>
      </c>
      <c r="J999" t="s">
        <v>3823</v>
      </c>
      <c r="K999" t="s">
        <v>3824</v>
      </c>
      <c r="L999" t="s">
        <v>52</v>
      </c>
      <c r="M999">
        <v>25</v>
      </c>
      <c r="N999">
        <v>0</v>
      </c>
      <c r="O999" t="s">
        <v>178</v>
      </c>
      <c r="P999">
        <v>5085</v>
      </c>
      <c r="Q999" t="s">
        <v>52</v>
      </c>
      <c r="R999" t="s">
        <v>52</v>
      </c>
      <c r="S999" t="s">
        <v>52</v>
      </c>
      <c r="T999" t="s">
        <v>52</v>
      </c>
      <c r="U999" t="s">
        <v>52</v>
      </c>
      <c r="V999" t="s">
        <v>62</v>
      </c>
      <c r="W999" t="s">
        <v>63</v>
      </c>
      <c r="Y999" t="s">
        <v>52</v>
      </c>
      <c r="AB999" t="s">
        <v>52</v>
      </c>
      <c r="AE999" t="s">
        <v>52</v>
      </c>
      <c r="AF999" t="s">
        <v>52</v>
      </c>
      <c r="AH999">
        <v>0</v>
      </c>
      <c r="AI999">
        <v>0</v>
      </c>
      <c r="AJ999" t="s">
        <v>52</v>
      </c>
      <c r="AK999">
        <v>0</v>
      </c>
      <c r="AL999" t="s">
        <v>52</v>
      </c>
      <c r="AM999" t="s">
        <v>52</v>
      </c>
      <c r="AN999">
        <v>0</v>
      </c>
      <c r="AO999">
        <v>0</v>
      </c>
      <c r="AP999" t="s">
        <v>52</v>
      </c>
      <c r="AQ999" t="s">
        <v>52</v>
      </c>
      <c r="AR999" t="s">
        <v>62</v>
      </c>
      <c r="AS999" t="s">
        <v>52</v>
      </c>
      <c r="AT999" t="s">
        <v>52</v>
      </c>
      <c r="AU999" t="s">
        <v>64</v>
      </c>
      <c r="AV999" t="s">
        <v>62</v>
      </c>
      <c r="AW999" t="s">
        <v>65</v>
      </c>
      <c r="AX999" t="s">
        <v>66</v>
      </c>
      <c r="AY999" t="s">
        <v>67</v>
      </c>
    </row>
    <row r="1000" spans="1:51" hidden="1" x14ac:dyDescent="0.25">
      <c r="A1000">
        <v>406045</v>
      </c>
      <c r="B1000" t="s">
        <v>3839</v>
      </c>
      <c r="C1000" t="e">
        <f>VLOOKUP(A1000,[1]Customer_payment_journal_line!$AL:$BO,30,0)</f>
        <v>#N/A</v>
      </c>
      <c r="D1000" t="s">
        <v>53</v>
      </c>
      <c r="E1000" t="s">
        <v>3837</v>
      </c>
      <c r="F1000" t="s">
        <v>3838</v>
      </c>
      <c r="G1000" t="s">
        <v>3455</v>
      </c>
      <c r="H1000" t="s">
        <v>69</v>
      </c>
      <c r="I1000" t="s">
        <v>3826</v>
      </c>
      <c r="J1000" t="s">
        <v>3823</v>
      </c>
      <c r="K1000" t="s">
        <v>3824</v>
      </c>
      <c r="L1000" t="s">
        <v>52</v>
      </c>
      <c r="M1000">
        <v>0</v>
      </c>
      <c r="N1000">
        <v>25</v>
      </c>
      <c r="O1000" t="s">
        <v>178</v>
      </c>
      <c r="P1000">
        <v>5085</v>
      </c>
      <c r="Q1000" t="s">
        <v>52</v>
      </c>
      <c r="R1000" t="s">
        <v>52</v>
      </c>
      <c r="S1000" t="s">
        <v>52</v>
      </c>
      <c r="T1000" t="s">
        <v>52</v>
      </c>
      <c r="U1000" t="s">
        <v>52</v>
      </c>
      <c r="V1000" t="s">
        <v>62</v>
      </c>
      <c r="W1000" t="s">
        <v>52</v>
      </c>
      <c r="Y1000" t="s">
        <v>3827</v>
      </c>
      <c r="Z1000" t="s">
        <v>62</v>
      </c>
      <c r="AB1000" t="s">
        <v>3840</v>
      </c>
      <c r="AE1000" t="s">
        <v>3841</v>
      </c>
      <c r="AF1000" t="s">
        <v>52</v>
      </c>
      <c r="AH1000">
        <v>0</v>
      </c>
      <c r="AI1000">
        <v>0</v>
      </c>
      <c r="AJ1000" t="s">
        <v>52</v>
      </c>
      <c r="AK1000">
        <v>0</v>
      </c>
      <c r="AL1000" t="s">
        <v>52</v>
      </c>
      <c r="AM1000" t="s">
        <v>52</v>
      </c>
      <c r="AN1000">
        <v>0</v>
      </c>
      <c r="AO1000">
        <v>0</v>
      </c>
      <c r="AP1000" t="s">
        <v>52</v>
      </c>
      <c r="AQ1000" t="s">
        <v>52</v>
      </c>
      <c r="AR1000" t="s">
        <v>62</v>
      </c>
      <c r="AS1000" t="s">
        <v>52</v>
      </c>
      <c r="AT1000" t="s">
        <v>74</v>
      </c>
      <c r="AU1000" t="s">
        <v>64</v>
      </c>
      <c r="AV1000" t="s">
        <v>62</v>
      </c>
      <c r="AW1000" t="s">
        <v>65</v>
      </c>
      <c r="AX1000" t="s">
        <v>66</v>
      </c>
      <c r="AY1000" t="s">
        <v>67</v>
      </c>
    </row>
    <row r="1001" spans="1:51" hidden="1" x14ac:dyDescent="0.25">
      <c r="A1001">
        <v>203067</v>
      </c>
      <c r="B1001" t="s">
        <v>3842</v>
      </c>
      <c r="C1001" t="e">
        <f>VLOOKUP(A1001,[1]Customer_payment_journal_line!$AL:$BO,30,0)</f>
        <v>#N/A</v>
      </c>
      <c r="D1001" t="s">
        <v>53</v>
      </c>
      <c r="E1001" t="s">
        <v>3843</v>
      </c>
      <c r="F1001" t="s">
        <v>3844</v>
      </c>
      <c r="G1001" t="s">
        <v>3455</v>
      </c>
      <c r="H1001" t="s">
        <v>57</v>
      </c>
      <c r="I1001" t="s">
        <v>319</v>
      </c>
      <c r="J1001" t="s">
        <v>3845</v>
      </c>
      <c r="K1001" t="s">
        <v>795</v>
      </c>
      <c r="L1001" t="s">
        <v>52</v>
      </c>
      <c r="M1001">
        <v>37494.6</v>
      </c>
      <c r="N1001">
        <v>0</v>
      </c>
      <c r="O1001" t="s">
        <v>61</v>
      </c>
      <c r="P1001">
        <v>100</v>
      </c>
      <c r="Q1001" t="s">
        <v>52</v>
      </c>
      <c r="R1001" t="s">
        <v>52</v>
      </c>
      <c r="S1001" t="s">
        <v>52</v>
      </c>
      <c r="T1001" t="s">
        <v>52</v>
      </c>
      <c r="U1001" t="s">
        <v>52</v>
      </c>
      <c r="V1001" t="s">
        <v>62</v>
      </c>
      <c r="W1001" t="s">
        <v>63</v>
      </c>
      <c r="Y1001" t="s">
        <v>52</v>
      </c>
      <c r="AB1001" t="s">
        <v>52</v>
      </c>
      <c r="AE1001" t="s">
        <v>52</v>
      </c>
      <c r="AF1001" t="s">
        <v>52</v>
      </c>
      <c r="AH1001">
        <v>0</v>
      </c>
      <c r="AI1001">
        <v>0</v>
      </c>
      <c r="AJ1001" t="s">
        <v>52</v>
      </c>
      <c r="AK1001">
        <v>0</v>
      </c>
      <c r="AL1001" t="s">
        <v>52</v>
      </c>
      <c r="AM1001" t="s">
        <v>52</v>
      </c>
      <c r="AN1001">
        <v>0</v>
      </c>
      <c r="AO1001">
        <v>0</v>
      </c>
      <c r="AP1001" t="s">
        <v>52</v>
      </c>
      <c r="AQ1001" t="s">
        <v>52</v>
      </c>
      <c r="AR1001" t="s">
        <v>62</v>
      </c>
      <c r="AS1001" t="s">
        <v>52</v>
      </c>
      <c r="AT1001" t="s">
        <v>52</v>
      </c>
      <c r="AU1001" t="s">
        <v>64</v>
      </c>
      <c r="AV1001" t="s">
        <v>62</v>
      </c>
      <c r="AW1001" t="s">
        <v>65</v>
      </c>
      <c r="AX1001" t="s">
        <v>66</v>
      </c>
      <c r="AY1001" t="s">
        <v>67</v>
      </c>
    </row>
    <row r="1002" spans="1:51" hidden="1" x14ac:dyDescent="0.25">
      <c r="A1002">
        <v>203067</v>
      </c>
      <c r="B1002" t="s">
        <v>3846</v>
      </c>
      <c r="C1002" t="e">
        <f>VLOOKUP(A1002,[1]Customer_payment_journal_line!$AL:$BO,30,0)</f>
        <v>#N/A</v>
      </c>
      <c r="D1002" t="s">
        <v>53</v>
      </c>
      <c r="E1002" t="s">
        <v>3843</v>
      </c>
      <c r="F1002" t="s">
        <v>3844</v>
      </c>
      <c r="G1002" t="s">
        <v>3455</v>
      </c>
      <c r="H1002" t="s">
        <v>69</v>
      </c>
      <c r="I1002" t="s">
        <v>956</v>
      </c>
      <c r="J1002" t="s">
        <v>3845</v>
      </c>
      <c r="K1002" t="s">
        <v>795</v>
      </c>
      <c r="L1002" t="s">
        <v>52</v>
      </c>
      <c r="M1002">
        <v>0</v>
      </c>
      <c r="N1002">
        <v>37494.6</v>
      </c>
      <c r="O1002" t="s">
        <v>61</v>
      </c>
      <c r="P1002">
        <v>100</v>
      </c>
      <c r="Q1002" t="s">
        <v>52</v>
      </c>
      <c r="R1002" t="s">
        <v>52</v>
      </c>
      <c r="S1002" t="s">
        <v>52</v>
      </c>
      <c r="T1002" t="s">
        <v>52</v>
      </c>
      <c r="U1002" t="s">
        <v>52</v>
      </c>
      <c r="V1002" t="s">
        <v>62</v>
      </c>
      <c r="W1002" t="s">
        <v>52</v>
      </c>
      <c r="Y1002" t="s">
        <v>957</v>
      </c>
      <c r="Z1002" t="s">
        <v>62</v>
      </c>
      <c r="AB1002" t="s">
        <v>3847</v>
      </c>
      <c r="AE1002" t="s">
        <v>3848</v>
      </c>
      <c r="AF1002" t="s">
        <v>52</v>
      </c>
      <c r="AH1002">
        <v>0</v>
      </c>
      <c r="AI1002">
        <v>0</v>
      </c>
      <c r="AJ1002" t="s">
        <v>52</v>
      </c>
      <c r="AK1002">
        <v>0</v>
      </c>
      <c r="AL1002" t="s">
        <v>52</v>
      </c>
      <c r="AM1002" t="s">
        <v>52</v>
      </c>
      <c r="AN1002">
        <v>0</v>
      </c>
      <c r="AO1002">
        <v>0</v>
      </c>
      <c r="AP1002" t="s">
        <v>52</v>
      </c>
      <c r="AQ1002" t="s">
        <v>52</v>
      </c>
      <c r="AR1002" t="s">
        <v>62</v>
      </c>
      <c r="AS1002" t="s">
        <v>52</v>
      </c>
      <c r="AT1002" t="s">
        <v>74</v>
      </c>
      <c r="AU1002" t="s">
        <v>64</v>
      </c>
      <c r="AV1002" t="s">
        <v>62</v>
      </c>
      <c r="AW1002" t="s">
        <v>65</v>
      </c>
      <c r="AX1002" t="s">
        <v>66</v>
      </c>
      <c r="AY1002" t="s">
        <v>67</v>
      </c>
    </row>
    <row r="1003" spans="1:51" hidden="1" x14ac:dyDescent="0.25">
      <c r="A1003">
        <v>203068</v>
      </c>
      <c r="B1003" t="s">
        <v>3849</v>
      </c>
      <c r="C1003" t="e">
        <f>VLOOKUP(A1003,[1]Customer_payment_journal_line!$AL:$BO,30,0)</f>
        <v>#N/A</v>
      </c>
      <c r="D1003" t="s">
        <v>53</v>
      </c>
      <c r="E1003" t="s">
        <v>3850</v>
      </c>
      <c r="F1003" t="s">
        <v>3851</v>
      </c>
      <c r="G1003" t="s">
        <v>3455</v>
      </c>
      <c r="H1003" t="s">
        <v>57</v>
      </c>
      <c r="I1003" t="s">
        <v>319</v>
      </c>
      <c r="J1003" t="s">
        <v>3852</v>
      </c>
      <c r="K1003" t="s">
        <v>795</v>
      </c>
      <c r="L1003" t="s">
        <v>52</v>
      </c>
      <c r="M1003">
        <v>5118.6000000000004</v>
      </c>
      <c r="N1003">
        <v>0</v>
      </c>
      <c r="O1003" t="s">
        <v>61</v>
      </c>
      <c r="P1003">
        <v>100</v>
      </c>
      <c r="Q1003" t="s">
        <v>52</v>
      </c>
      <c r="R1003" t="s">
        <v>52</v>
      </c>
      <c r="S1003" t="s">
        <v>52</v>
      </c>
      <c r="T1003" t="s">
        <v>52</v>
      </c>
      <c r="U1003" t="s">
        <v>52</v>
      </c>
      <c r="V1003" t="s">
        <v>62</v>
      </c>
      <c r="W1003" t="s">
        <v>63</v>
      </c>
      <c r="Y1003" t="s">
        <v>52</v>
      </c>
      <c r="AB1003" t="s">
        <v>52</v>
      </c>
      <c r="AE1003" t="s">
        <v>52</v>
      </c>
      <c r="AF1003" t="s">
        <v>52</v>
      </c>
      <c r="AH1003">
        <v>0</v>
      </c>
      <c r="AI1003">
        <v>0</v>
      </c>
      <c r="AJ1003" t="s">
        <v>52</v>
      </c>
      <c r="AK1003">
        <v>0</v>
      </c>
      <c r="AL1003" t="s">
        <v>52</v>
      </c>
      <c r="AM1003" t="s">
        <v>52</v>
      </c>
      <c r="AN1003">
        <v>0</v>
      </c>
      <c r="AO1003">
        <v>0</v>
      </c>
      <c r="AP1003" t="s">
        <v>52</v>
      </c>
      <c r="AQ1003" t="s">
        <v>52</v>
      </c>
      <c r="AR1003" t="s">
        <v>62</v>
      </c>
      <c r="AS1003" t="s">
        <v>52</v>
      </c>
      <c r="AT1003" t="s">
        <v>52</v>
      </c>
      <c r="AU1003" t="s">
        <v>64</v>
      </c>
      <c r="AV1003" t="s">
        <v>62</v>
      </c>
      <c r="AW1003" t="s">
        <v>65</v>
      </c>
      <c r="AX1003" t="s">
        <v>66</v>
      </c>
      <c r="AY1003" t="s">
        <v>67</v>
      </c>
    </row>
    <row r="1004" spans="1:51" hidden="1" x14ac:dyDescent="0.25">
      <c r="A1004">
        <v>203068</v>
      </c>
      <c r="B1004" t="s">
        <v>3853</v>
      </c>
      <c r="C1004" t="e">
        <f>VLOOKUP(A1004,[1]Customer_payment_journal_line!$AL:$BO,30,0)</f>
        <v>#N/A</v>
      </c>
      <c r="D1004" t="s">
        <v>53</v>
      </c>
      <c r="E1004" t="s">
        <v>3850</v>
      </c>
      <c r="F1004" t="s">
        <v>3851</v>
      </c>
      <c r="G1004" t="s">
        <v>3455</v>
      </c>
      <c r="H1004" t="s">
        <v>69</v>
      </c>
      <c r="I1004" t="s">
        <v>956</v>
      </c>
      <c r="J1004" t="s">
        <v>3852</v>
      </c>
      <c r="K1004" t="s">
        <v>795</v>
      </c>
      <c r="L1004" t="s">
        <v>52</v>
      </c>
      <c r="M1004">
        <v>0</v>
      </c>
      <c r="N1004">
        <v>5118.6000000000004</v>
      </c>
      <c r="O1004" t="s">
        <v>61</v>
      </c>
      <c r="P1004">
        <v>100</v>
      </c>
      <c r="Q1004" t="s">
        <v>52</v>
      </c>
      <c r="R1004" t="s">
        <v>52</v>
      </c>
      <c r="S1004" t="s">
        <v>52</v>
      </c>
      <c r="T1004" t="s">
        <v>52</v>
      </c>
      <c r="U1004" t="s">
        <v>52</v>
      </c>
      <c r="V1004" t="s">
        <v>62</v>
      </c>
      <c r="W1004" t="s">
        <v>52</v>
      </c>
      <c r="Y1004" t="s">
        <v>957</v>
      </c>
      <c r="Z1004" t="s">
        <v>62</v>
      </c>
      <c r="AB1004" t="s">
        <v>3854</v>
      </c>
      <c r="AE1004" t="s">
        <v>3855</v>
      </c>
      <c r="AF1004" t="s">
        <v>52</v>
      </c>
      <c r="AH1004">
        <v>0</v>
      </c>
      <c r="AI1004">
        <v>0</v>
      </c>
      <c r="AJ1004" t="s">
        <v>52</v>
      </c>
      <c r="AK1004">
        <v>0</v>
      </c>
      <c r="AL1004" t="s">
        <v>52</v>
      </c>
      <c r="AM1004" t="s">
        <v>52</v>
      </c>
      <c r="AN1004">
        <v>0</v>
      </c>
      <c r="AO1004">
        <v>0</v>
      </c>
      <c r="AP1004" t="s">
        <v>52</v>
      </c>
      <c r="AQ1004" t="s">
        <v>52</v>
      </c>
      <c r="AR1004" t="s">
        <v>62</v>
      </c>
      <c r="AS1004" t="s">
        <v>52</v>
      </c>
      <c r="AT1004" t="s">
        <v>74</v>
      </c>
      <c r="AU1004" t="s">
        <v>64</v>
      </c>
      <c r="AV1004" t="s">
        <v>62</v>
      </c>
      <c r="AW1004" t="s">
        <v>65</v>
      </c>
      <c r="AX1004" t="s">
        <v>66</v>
      </c>
      <c r="AY1004" t="s">
        <v>67</v>
      </c>
    </row>
    <row r="1005" spans="1:51" hidden="1" x14ac:dyDescent="0.25">
      <c r="A1005">
        <v>406046</v>
      </c>
      <c r="B1005" t="s">
        <v>3856</v>
      </c>
      <c r="C1005" t="e">
        <f>VLOOKUP(A1005,[1]Customer_payment_journal_line!$AL:$BO,30,0)</f>
        <v>#N/A</v>
      </c>
      <c r="D1005" t="s">
        <v>53</v>
      </c>
      <c r="E1005" t="s">
        <v>3857</v>
      </c>
      <c r="F1005" t="s">
        <v>3858</v>
      </c>
      <c r="G1005" t="s">
        <v>3455</v>
      </c>
      <c r="H1005" t="s">
        <v>57</v>
      </c>
      <c r="I1005" t="s">
        <v>58</v>
      </c>
      <c r="J1005" t="s">
        <v>3859</v>
      </c>
      <c r="K1005" t="s">
        <v>3860</v>
      </c>
      <c r="L1005" t="s">
        <v>52</v>
      </c>
      <c r="M1005">
        <v>2280</v>
      </c>
      <c r="N1005">
        <v>0</v>
      </c>
      <c r="O1005" t="s">
        <v>61</v>
      </c>
      <c r="P1005">
        <v>100</v>
      </c>
      <c r="Q1005" t="s">
        <v>52</v>
      </c>
      <c r="R1005" t="s">
        <v>52</v>
      </c>
      <c r="S1005" t="s">
        <v>52</v>
      </c>
      <c r="T1005" t="s">
        <v>52</v>
      </c>
      <c r="U1005" t="s">
        <v>52</v>
      </c>
      <c r="V1005" t="s">
        <v>62</v>
      </c>
      <c r="W1005" t="s">
        <v>63</v>
      </c>
      <c r="Y1005" t="s">
        <v>52</v>
      </c>
      <c r="AB1005" t="s">
        <v>52</v>
      </c>
      <c r="AE1005" t="s">
        <v>52</v>
      </c>
      <c r="AF1005" t="s">
        <v>52</v>
      </c>
      <c r="AH1005">
        <v>0</v>
      </c>
      <c r="AI1005">
        <v>0</v>
      </c>
      <c r="AJ1005" t="s">
        <v>52</v>
      </c>
      <c r="AK1005">
        <v>0</v>
      </c>
      <c r="AL1005" t="s">
        <v>52</v>
      </c>
      <c r="AM1005" t="s">
        <v>52</v>
      </c>
      <c r="AN1005">
        <v>0</v>
      </c>
      <c r="AO1005">
        <v>0</v>
      </c>
      <c r="AP1005" t="s">
        <v>52</v>
      </c>
      <c r="AQ1005" t="s">
        <v>52</v>
      </c>
      <c r="AR1005" t="s">
        <v>62</v>
      </c>
      <c r="AS1005" t="s">
        <v>52</v>
      </c>
      <c r="AT1005" t="s">
        <v>52</v>
      </c>
      <c r="AU1005" t="s">
        <v>64</v>
      </c>
      <c r="AV1005" t="s">
        <v>62</v>
      </c>
      <c r="AW1005" t="s">
        <v>65</v>
      </c>
      <c r="AX1005" t="s">
        <v>66</v>
      </c>
      <c r="AY1005" t="s">
        <v>67</v>
      </c>
    </row>
    <row r="1006" spans="1:51" hidden="1" x14ac:dyDescent="0.25">
      <c r="A1006">
        <v>406046</v>
      </c>
      <c r="B1006" t="s">
        <v>3861</v>
      </c>
      <c r="C1006" t="e">
        <f>VLOOKUP(A1006,[1]Customer_payment_journal_line!$AL:$BO,30,0)</f>
        <v>#N/A</v>
      </c>
      <c r="D1006" t="s">
        <v>53</v>
      </c>
      <c r="E1006" t="s">
        <v>3857</v>
      </c>
      <c r="F1006" t="s">
        <v>3858</v>
      </c>
      <c r="G1006" t="s">
        <v>3455</v>
      </c>
      <c r="H1006" t="s">
        <v>69</v>
      </c>
      <c r="I1006" t="s">
        <v>3642</v>
      </c>
      <c r="J1006" t="s">
        <v>3859</v>
      </c>
      <c r="K1006" t="s">
        <v>3860</v>
      </c>
      <c r="L1006" t="s">
        <v>52</v>
      </c>
      <c r="M1006">
        <v>0</v>
      </c>
      <c r="N1006">
        <v>2280</v>
      </c>
      <c r="O1006" t="s">
        <v>61</v>
      </c>
      <c r="P1006">
        <v>100</v>
      </c>
      <c r="Q1006" t="s">
        <v>52</v>
      </c>
      <c r="R1006" t="s">
        <v>52</v>
      </c>
      <c r="S1006" t="s">
        <v>52</v>
      </c>
      <c r="T1006" t="s">
        <v>52</v>
      </c>
      <c r="U1006" t="s">
        <v>52</v>
      </c>
      <c r="V1006" t="s">
        <v>62</v>
      </c>
      <c r="W1006" t="s">
        <v>52</v>
      </c>
      <c r="Y1006" t="s">
        <v>3643</v>
      </c>
      <c r="Z1006" t="s">
        <v>62</v>
      </c>
      <c r="AB1006" t="s">
        <v>3862</v>
      </c>
      <c r="AE1006" t="s">
        <v>3863</v>
      </c>
      <c r="AF1006" t="s">
        <v>52</v>
      </c>
      <c r="AH1006">
        <v>0</v>
      </c>
      <c r="AI1006">
        <v>0</v>
      </c>
      <c r="AJ1006" t="s">
        <v>52</v>
      </c>
      <c r="AK1006">
        <v>0</v>
      </c>
      <c r="AL1006" t="s">
        <v>52</v>
      </c>
      <c r="AM1006" t="s">
        <v>52</v>
      </c>
      <c r="AN1006">
        <v>0</v>
      </c>
      <c r="AO1006">
        <v>0</v>
      </c>
      <c r="AP1006" t="s">
        <v>52</v>
      </c>
      <c r="AQ1006" t="s">
        <v>52</v>
      </c>
      <c r="AR1006" t="s">
        <v>62</v>
      </c>
      <c r="AS1006" t="s">
        <v>52</v>
      </c>
      <c r="AT1006" t="s">
        <v>74</v>
      </c>
      <c r="AU1006" t="s">
        <v>64</v>
      </c>
      <c r="AV1006" t="s">
        <v>62</v>
      </c>
      <c r="AW1006" t="s">
        <v>65</v>
      </c>
      <c r="AX1006" t="s">
        <v>66</v>
      </c>
      <c r="AY1006" t="s">
        <v>67</v>
      </c>
    </row>
    <row r="1007" spans="1:51" hidden="1" x14ac:dyDescent="0.25">
      <c r="A1007">
        <v>406047</v>
      </c>
      <c r="B1007" t="s">
        <v>3864</v>
      </c>
      <c r="C1007" t="e">
        <f>VLOOKUP(A1007,[1]Customer_payment_journal_line!$AL:$BO,30,0)</f>
        <v>#N/A</v>
      </c>
      <c r="D1007" t="s">
        <v>53</v>
      </c>
      <c r="E1007" t="s">
        <v>3865</v>
      </c>
      <c r="F1007" t="s">
        <v>3866</v>
      </c>
      <c r="G1007" t="s">
        <v>3455</v>
      </c>
      <c r="H1007" t="s">
        <v>57</v>
      </c>
      <c r="I1007" t="s">
        <v>58</v>
      </c>
      <c r="J1007" t="s">
        <v>3859</v>
      </c>
      <c r="K1007" t="s">
        <v>3860</v>
      </c>
      <c r="L1007" t="s">
        <v>52</v>
      </c>
      <c r="M1007">
        <v>855</v>
      </c>
      <c r="N1007">
        <v>0</v>
      </c>
      <c r="O1007" t="s">
        <v>61</v>
      </c>
      <c r="P1007">
        <v>100</v>
      </c>
      <c r="Q1007" t="s">
        <v>52</v>
      </c>
      <c r="R1007" t="s">
        <v>52</v>
      </c>
      <c r="S1007" t="s">
        <v>52</v>
      </c>
      <c r="T1007" t="s">
        <v>52</v>
      </c>
      <c r="U1007" t="s">
        <v>52</v>
      </c>
      <c r="V1007" t="s">
        <v>62</v>
      </c>
      <c r="W1007" t="s">
        <v>63</v>
      </c>
      <c r="Y1007" t="s">
        <v>52</v>
      </c>
      <c r="AB1007" t="s">
        <v>52</v>
      </c>
      <c r="AE1007" t="s">
        <v>52</v>
      </c>
      <c r="AF1007" t="s">
        <v>52</v>
      </c>
      <c r="AH1007">
        <v>0</v>
      </c>
      <c r="AI1007">
        <v>0</v>
      </c>
      <c r="AJ1007" t="s">
        <v>52</v>
      </c>
      <c r="AK1007">
        <v>0</v>
      </c>
      <c r="AL1007" t="s">
        <v>52</v>
      </c>
      <c r="AM1007" t="s">
        <v>52</v>
      </c>
      <c r="AN1007">
        <v>0</v>
      </c>
      <c r="AO1007">
        <v>0</v>
      </c>
      <c r="AP1007" t="s">
        <v>52</v>
      </c>
      <c r="AQ1007" t="s">
        <v>52</v>
      </c>
      <c r="AR1007" t="s">
        <v>62</v>
      </c>
      <c r="AS1007" t="s">
        <v>52</v>
      </c>
      <c r="AT1007" t="s">
        <v>52</v>
      </c>
      <c r="AU1007" t="s">
        <v>64</v>
      </c>
      <c r="AV1007" t="s">
        <v>62</v>
      </c>
      <c r="AW1007" t="s">
        <v>65</v>
      </c>
      <c r="AX1007" t="s">
        <v>66</v>
      </c>
      <c r="AY1007" t="s">
        <v>67</v>
      </c>
    </row>
    <row r="1008" spans="1:51" hidden="1" x14ac:dyDescent="0.25">
      <c r="A1008">
        <v>406047</v>
      </c>
      <c r="B1008" t="s">
        <v>3867</v>
      </c>
      <c r="C1008" t="e">
        <f>VLOOKUP(A1008,[1]Customer_payment_journal_line!$AL:$BO,30,0)</f>
        <v>#N/A</v>
      </c>
      <c r="D1008" t="s">
        <v>53</v>
      </c>
      <c r="E1008" t="s">
        <v>3865</v>
      </c>
      <c r="F1008" t="s">
        <v>3866</v>
      </c>
      <c r="G1008" t="s">
        <v>3455</v>
      </c>
      <c r="H1008" t="s">
        <v>69</v>
      </c>
      <c r="I1008" t="s">
        <v>3642</v>
      </c>
      <c r="J1008" t="s">
        <v>3859</v>
      </c>
      <c r="K1008" t="s">
        <v>3860</v>
      </c>
      <c r="L1008" t="s">
        <v>52</v>
      </c>
      <c r="M1008">
        <v>0</v>
      </c>
      <c r="N1008">
        <v>855</v>
      </c>
      <c r="O1008" t="s">
        <v>61</v>
      </c>
      <c r="P1008">
        <v>100</v>
      </c>
      <c r="Q1008" t="s">
        <v>52</v>
      </c>
      <c r="R1008" t="s">
        <v>52</v>
      </c>
      <c r="S1008" t="s">
        <v>52</v>
      </c>
      <c r="T1008" t="s">
        <v>52</v>
      </c>
      <c r="U1008" t="s">
        <v>52</v>
      </c>
      <c r="V1008" t="s">
        <v>62</v>
      </c>
      <c r="W1008" t="s">
        <v>52</v>
      </c>
      <c r="Y1008" t="s">
        <v>3643</v>
      </c>
      <c r="Z1008" t="s">
        <v>62</v>
      </c>
      <c r="AB1008" t="s">
        <v>3868</v>
      </c>
      <c r="AE1008" t="s">
        <v>3869</v>
      </c>
      <c r="AF1008" t="s">
        <v>52</v>
      </c>
      <c r="AH1008">
        <v>0</v>
      </c>
      <c r="AI1008">
        <v>0</v>
      </c>
      <c r="AJ1008" t="s">
        <v>52</v>
      </c>
      <c r="AK1008">
        <v>0</v>
      </c>
      <c r="AL1008" t="s">
        <v>52</v>
      </c>
      <c r="AM1008" t="s">
        <v>52</v>
      </c>
      <c r="AN1008">
        <v>0</v>
      </c>
      <c r="AO1008">
        <v>0</v>
      </c>
      <c r="AP1008" t="s">
        <v>52</v>
      </c>
      <c r="AQ1008" t="s">
        <v>52</v>
      </c>
      <c r="AR1008" t="s">
        <v>62</v>
      </c>
      <c r="AS1008" t="s">
        <v>52</v>
      </c>
      <c r="AT1008" t="s">
        <v>74</v>
      </c>
      <c r="AU1008" t="s">
        <v>64</v>
      </c>
      <c r="AV1008" t="s">
        <v>62</v>
      </c>
      <c r="AW1008" t="s">
        <v>65</v>
      </c>
      <c r="AX1008" t="s">
        <v>66</v>
      </c>
      <c r="AY1008" t="s">
        <v>67</v>
      </c>
    </row>
    <row r="1009" spans="1:51" hidden="1" x14ac:dyDescent="0.25">
      <c r="A1009">
        <v>406048</v>
      </c>
      <c r="B1009" t="s">
        <v>3870</v>
      </c>
      <c r="C1009" t="e">
        <f>VLOOKUP(A1009,[1]Customer_payment_journal_line!$AL:$BO,30,0)</f>
        <v>#N/A</v>
      </c>
      <c r="D1009" t="s">
        <v>53</v>
      </c>
      <c r="E1009" t="s">
        <v>3871</v>
      </c>
      <c r="F1009" t="s">
        <v>3872</v>
      </c>
      <c r="G1009" t="s">
        <v>3455</v>
      </c>
      <c r="H1009" t="s">
        <v>57</v>
      </c>
      <c r="I1009" t="s">
        <v>58</v>
      </c>
      <c r="J1009" t="s">
        <v>3859</v>
      </c>
      <c r="K1009" t="s">
        <v>3873</v>
      </c>
      <c r="L1009" t="s">
        <v>52</v>
      </c>
      <c r="M1009">
        <v>10488</v>
      </c>
      <c r="N1009">
        <v>0</v>
      </c>
      <c r="O1009" t="s">
        <v>61</v>
      </c>
      <c r="P1009">
        <v>100</v>
      </c>
      <c r="Q1009" t="s">
        <v>52</v>
      </c>
      <c r="R1009" t="s">
        <v>52</v>
      </c>
      <c r="S1009" t="s">
        <v>52</v>
      </c>
      <c r="T1009" t="s">
        <v>52</v>
      </c>
      <c r="U1009" t="s">
        <v>52</v>
      </c>
      <c r="V1009" t="s">
        <v>62</v>
      </c>
      <c r="W1009" t="s">
        <v>63</v>
      </c>
      <c r="Y1009" t="s">
        <v>52</v>
      </c>
      <c r="AB1009" t="s">
        <v>52</v>
      </c>
      <c r="AE1009" t="s">
        <v>52</v>
      </c>
      <c r="AF1009" t="s">
        <v>52</v>
      </c>
      <c r="AH1009">
        <v>0</v>
      </c>
      <c r="AI1009">
        <v>0</v>
      </c>
      <c r="AJ1009" t="s">
        <v>52</v>
      </c>
      <c r="AK1009">
        <v>0</v>
      </c>
      <c r="AL1009" t="s">
        <v>52</v>
      </c>
      <c r="AM1009" t="s">
        <v>52</v>
      </c>
      <c r="AN1009">
        <v>0</v>
      </c>
      <c r="AO1009">
        <v>0</v>
      </c>
      <c r="AP1009" t="s">
        <v>52</v>
      </c>
      <c r="AQ1009" t="s">
        <v>52</v>
      </c>
      <c r="AR1009" t="s">
        <v>62</v>
      </c>
      <c r="AS1009" t="s">
        <v>52</v>
      </c>
      <c r="AT1009" t="s">
        <v>52</v>
      </c>
      <c r="AU1009" t="s">
        <v>64</v>
      </c>
      <c r="AV1009" t="s">
        <v>62</v>
      </c>
      <c r="AW1009" t="s">
        <v>65</v>
      </c>
      <c r="AX1009" t="s">
        <v>66</v>
      </c>
      <c r="AY1009" t="s">
        <v>67</v>
      </c>
    </row>
    <row r="1010" spans="1:51" hidden="1" x14ac:dyDescent="0.25">
      <c r="A1010">
        <v>406048</v>
      </c>
      <c r="B1010" t="s">
        <v>3874</v>
      </c>
      <c r="C1010" t="e">
        <f>VLOOKUP(A1010,[1]Customer_payment_journal_line!$AL:$BO,30,0)</f>
        <v>#N/A</v>
      </c>
      <c r="D1010" t="s">
        <v>53</v>
      </c>
      <c r="E1010" t="s">
        <v>3871</v>
      </c>
      <c r="F1010" t="s">
        <v>3872</v>
      </c>
      <c r="G1010" t="s">
        <v>3455</v>
      </c>
      <c r="H1010" t="s">
        <v>69</v>
      </c>
      <c r="I1010" t="s">
        <v>3642</v>
      </c>
      <c r="J1010" t="s">
        <v>3859</v>
      </c>
      <c r="K1010" t="s">
        <v>3873</v>
      </c>
      <c r="L1010" t="s">
        <v>52</v>
      </c>
      <c r="M1010">
        <v>0</v>
      </c>
      <c r="N1010">
        <v>10488</v>
      </c>
      <c r="O1010" t="s">
        <v>61</v>
      </c>
      <c r="P1010">
        <v>100</v>
      </c>
      <c r="Q1010" t="s">
        <v>52</v>
      </c>
      <c r="R1010" t="s">
        <v>52</v>
      </c>
      <c r="S1010" t="s">
        <v>52</v>
      </c>
      <c r="T1010" t="s">
        <v>52</v>
      </c>
      <c r="U1010" t="s">
        <v>52</v>
      </c>
      <c r="V1010" t="s">
        <v>62</v>
      </c>
      <c r="W1010" t="s">
        <v>52</v>
      </c>
      <c r="Y1010" t="s">
        <v>3643</v>
      </c>
      <c r="Z1010" t="s">
        <v>62</v>
      </c>
      <c r="AB1010" t="s">
        <v>3875</v>
      </c>
      <c r="AE1010" t="s">
        <v>3876</v>
      </c>
      <c r="AF1010" t="s">
        <v>52</v>
      </c>
      <c r="AH1010">
        <v>0</v>
      </c>
      <c r="AI1010">
        <v>0</v>
      </c>
      <c r="AJ1010" t="s">
        <v>52</v>
      </c>
      <c r="AK1010">
        <v>0</v>
      </c>
      <c r="AL1010" t="s">
        <v>52</v>
      </c>
      <c r="AM1010" t="s">
        <v>52</v>
      </c>
      <c r="AN1010">
        <v>0</v>
      </c>
      <c r="AO1010">
        <v>0</v>
      </c>
      <c r="AP1010" t="s">
        <v>52</v>
      </c>
      <c r="AQ1010" t="s">
        <v>52</v>
      </c>
      <c r="AR1010" t="s">
        <v>62</v>
      </c>
      <c r="AS1010" t="s">
        <v>52</v>
      </c>
      <c r="AT1010" t="s">
        <v>74</v>
      </c>
      <c r="AU1010" t="s">
        <v>64</v>
      </c>
      <c r="AV1010" t="s">
        <v>62</v>
      </c>
      <c r="AW1010" t="s">
        <v>65</v>
      </c>
      <c r="AX1010" t="s">
        <v>66</v>
      </c>
      <c r="AY1010" t="s">
        <v>67</v>
      </c>
    </row>
    <row r="1011" spans="1:51" hidden="1" x14ac:dyDescent="0.25">
      <c r="A1011">
        <v>406049</v>
      </c>
      <c r="B1011" t="s">
        <v>3877</v>
      </c>
      <c r="C1011" t="e">
        <f>VLOOKUP(A1011,[1]Customer_payment_journal_line!$AL:$BO,30,0)</f>
        <v>#N/A</v>
      </c>
      <c r="D1011" t="s">
        <v>53</v>
      </c>
      <c r="E1011" t="s">
        <v>3878</v>
      </c>
      <c r="F1011" t="s">
        <v>3879</v>
      </c>
      <c r="G1011" t="s">
        <v>3455</v>
      </c>
      <c r="H1011" t="s">
        <v>57</v>
      </c>
      <c r="I1011" t="s">
        <v>58</v>
      </c>
      <c r="J1011" t="s">
        <v>3859</v>
      </c>
      <c r="K1011" t="s">
        <v>3873</v>
      </c>
      <c r="L1011" t="s">
        <v>52</v>
      </c>
      <c r="M1011">
        <v>855</v>
      </c>
      <c r="N1011">
        <v>0</v>
      </c>
      <c r="O1011" t="s">
        <v>61</v>
      </c>
      <c r="P1011">
        <v>100</v>
      </c>
      <c r="Q1011" t="s">
        <v>52</v>
      </c>
      <c r="R1011" t="s">
        <v>52</v>
      </c>
      <c r="S1011" t="s">
        <v>52</v>
      </c>
      <c r="T1011" t="s">
        <v>52</v>
      </c>
      <c r="U1011" t="s">
        <v>52</v>
      </c>
      <c r="V1011" t="s">
        <v>62</v>
      </c>
      <c r="W1011" t="s">
        <v>63</v>
      </c>
      <c r="Y1011" t="s">
        <v>52</v>
      </c>
      <c r="AB1011" t="s">
        <v>52</v>
      </c>
      <c r="AE1011" t="s">
        <v>52</v>
      </c>
      <c r="AF1011" t="s">
        <v>52</v>
      </c>
      <c r="AH1011">
        <v>0</v>
      </c>
      <c r="AI1011">
        <v>0</v>
      </c>
      <c r="AJ1011" t="s">
        <v>52</v>
      </c>
      <c r="AK1011">
        <v>0</v>
      </c>
      <c r="AL1011" t="s">
        <v>52</v>
      </c>
      <c r="AM1011" t="s">
        <v>52</v>
      </c>
      <c r="AN1011">
        <v>0</v>
      </c>
      <c r="AO1011">
        <v>0</v>
      </c>
      <c r="AP1011" t="s">
        <v>52</v>
      </c>
      <c r="AQ1011" t="s">
        <v>52</v>
      </c>
      <c r="AR1011" t="s">
        <v>62</v>
      </c>
      <c r="AS1011" t="s">
        <v>52</v>
      </c>
      <c r="AT1011" t="s">
        <v>52</v>
      </c>
      <c r="AU1011" t="s">
        <v>64</v>
      </c>
      <c r="AV1011" t="s">
        <v>62</v>
      </c>
      <c r="AW1011" t="s">
        <v>65</v>
      </c>
      <c r="AX1011" t="s">
        <v>66</v>
      </c>
      <c r="AY1011" t="s">
        <v>67</v>
      </c>
    </row>
    <row r="1012" spans="1:51" hidden="1" x14ac:dyDescent="0.25">
      <c r="A1012">
        <v>406049</v>
      </c>
      <c r="B1012" t="s">
        <v>3880</v>
      </c>
      <c r="C1012" t="e">
        <f>VLOOKUP(A1012,[1]Customer_payment_journal_line!$AL:$BO,30,0)</f>
        <v>#N/A</v>
      </c>
      <c r="D1012" t="s">
        <v>53</v>
      </c>
      <c r="E1012" t="s">
        <v>3878</v>
      </c>
      <c r="F1012" t="s">
        <v>3879</v>
      </c>
      <c r="G1012" t="s">
        <v>3455</v>
      </c>
      <c r="H1012" t="s">
        <v>69</v>
      </c>
      <c r="I1012" t="s">
        <v>3642</v>
      </c>
      <c r="J1012" t="s">
        <v>3859</v>
      </c>
      <c r="K1012" t="s">
        <v>3873</v>
      </c>
      <c r="L1012" t="s">
        <v>52</v>
      </c>
      <c r="M1012">
        <v>0</v>
      </c>
      <c r="N1012">
        <v>855</v>
      </c>
      <c r="O1012" t="s">
        <v>61</v>
      </c>
      <c r="P1012">
        <v>100</v>
      </c>
      <c r="Q1012" t="s">
        <v>52</v>
      </c>
      <c r="R1012" t="s">
        <v>52</v>
      </c>
      <c r="S1012" t="s">
        <v>52</v>
      </c>
      <c r="T1012" t="s">
        <v>52</v>
      </c>
      <c r="U1012" t="s">
        <v>52</v>
      </c>
      <c r="V1012" t="s">
        <v>62</v>
      </c>
      <c r="W1012" t="s">
        <v>52</v>
      </c>
      <c r="Y1012" t="s">
        <v>3643</v>
      </c>
      <c r="Z1012" t="s">
        <v>62</v>
      </c>
      <c r="AB1012" t="s">
        <v>3881</v>
      </c>
      <c r="AE1012" t="s">
        <v>3882</v>
      </c>
      <c r="AF1012" t="s">
        <v>52</v>
      </c>
      <c r="AH1012">
        <v>0</v>
      </c>
      <c r="AI1012">
        <v>0</v>
      </c>
      <c r="AJ1012" t="s">
        <v>52</v>
      </c>
      <c r="AK1012">
        <v>0</v>
      </c>
      <c r="AL1012" t="s">
        <v>52</v>
      </c>
      <c r="AM1012" t="s">
        <v>52</v>
      </c>
      <c r="AN1012">
        <v>0</v>
      </c>
      <c r="AO1012">
        <v>0</v>
      </c>
      <c r="AP1012" t="s">
        <v>52</v>
      </c>
      <c r="AQ1012" t="s">
        <v>52</v>
      </c>
      <c r="AR1012" t="s">
        <v>62</v>
      </c>
      <c r="AS1012" t="s">
        <v>52</v>
      </c>
      <c r="AT1012" t="s">
        <v>74</v>
      </c>
      <c r="AU1012" t="s">
        <v>64</v>
      </c>
      <c r="AV1012" t="s">
        <v>62</v>
      </c>
      <c r="AW1012" t="s">
        <v>65</v>
      </c>
      <c r="AX1012" t="s">
        <v>66</v>
      </c>
      <c r="AY1012" t="s">
        <v>67</v>
      </c>
    </row>
    <row r="1013" spans="1:51" hidden="1" x14ac:dyDescent="0.25">
      <c r="A1013">
        <v>203077</v>
      </c>
      <c r="B1013" t="s">
        <v>3883</v>
      </c>
      <c r="C1013" t="e">
        <f>VLOOKUP(A1013,[1]Customer_payment_journal_line!$AL:$BO,30,0)</f>
        <v>#N/A</v>
      </c>
      <c r="D1013" t="s">
        <v>53</v>
      </c>
      <c r="E1013" t="s">
        <v>3884</v>
      </c>
      <c r="F1013" t="s">
        <v>3885</v>
      </c>
      <c r="G1013" t="s">
        <v>3455</v>
      </c>
      <c r="H1013" t="s">
        <v>57</v>
      </c>
      <c r="I1013" t="s">
        <v>58</v>
      </c>
      <c r="J1013" t="s">
        <v>2525</v>
      </c>
      <c r="K1013" t="s">
        <v>3886</v>
      </c>
      <c r="L1013" t="s">
        <v>52</v>
      </c>
      <c r="M1013">
        <v>3078</v>
      </c>
      <c r="N1013">
        <v>0</v>
      </c>
      <c r="O1013" t="s">
        <v>61</v>
      </c>
      <c r="P1013">
        <v>100</v>
      </c>
      <c r="Q1013" t="s">
        <v>52</v>
      </c>
      <c r="R1013" t="s">
        <v>52</v>
      </c>
      <c r="S1013" t="s">
        <v>52</v>
      </c>
      <c r="T1013" t="s">
        <v>52</v>
      </c>
      <c r="U1013" t="s">
        <v>52</v>
      </c>
      <c r="V1013" t="s">
        <v>62</v>
      </c>
      <c r="W1013" t="s">
        <v>63</v>
      </c>
      <c r="Y1013" t="s">
        <v>52</v>
      </c>
      <c r="AB1013" t="s">
        <v>52</v>
      </c>
      <c r="AE1013" t="s">
        <v>52</v>
      </c>
      <c r="AF1013" t="s">
        <v>52</v>
      </c>
      <c r="AH1013">
        <v>0</v>
      </c>
      <c r="AI1013">
        <v>0</v>
      </c>
      <c r="AJ1013" t="s">
        <v>52</v>
      </c>
      <c r="AK1013">
        <v>0</v>
      </c>
      <c r="AL1013" t="s">
        <v>52</v>
      </c>
      <c r="AM1013" t="s">
        <v>52</v>
      </c>
      <c r="AN1013">
        <v>0</v>
      </c>
      <c r="AO1013">
        <v>0</v>
      </c>
      <c r="AP1013" t="s">
        <v>52</v>
      </c>
      <c r="AQ1013" t="s">
        <v>52</v>
      </c>
      <c r="AR1013" t="s">
        <v>62</v>
      </c>
      <c r="AS1013" t="s">
        <v>52</v>
      </c>
      <c r="AT1013" t="s">
        <v>52</v>
      </c>
      <c r="AU1013" t="s">
        <v>64</v>
      </c>
      <c r="AV1013" t="s">
        <v>62</v>
      </c>
      <c r="AW1013" t="s">
        <v>65</v>
      </c>
      <c r="AX1013" t="s">
        <v>66</v>
      </c>
      <c r="AY1013" t="s">
        <v>67</v>
      </c>
    </row>
    <row r="1014" spans="1:51" hidden="1" x14ac:dyDescent="0.25">
      <c r="A1014">
        <v>203077</v>
      </c>
      <c r="B1014" t="s">
        <v>3887</v>
      </c>
      <c r="C1014" t="e">
        <f>VLOOKUP(A1014,[1]Customer_payment_journal_line!$AL:$BO,30,0)</f>
        <v>#N/A</v>
      </c>
      <c r="D1014" t="s">
        <v>53</v>
      </c>
      <c r="E1014" t="s">
        <v>3884</v>
      </c>
      <c r="F1014" t="s">
        <v>3885</v>
      </c>
      <c r="G1014" t="s">
        <v>3455</v>
      </c>
      <c r="H1014" t="s">
        <v>69</v>
      </c>
      <c r="I1014" t="s">
        <v>339</v>
      </c>
      <c r="J1014" t="s">
        <v>2525</v>
      </c>
      <c r="K1014" t="s">
        <v>3886</v>
      </c>
      <c r="L1014" t="s">
        <v>52</v>
      </c>
      <c r="M1014">
        <v>0</v>
      </c>
      <c r="N1014">
        <v>3078</v>
      </c>
      <c r="O1014" t="s">
        <v>61</v>
      </c>
      <c r="P1014">
        <v>100</v>
      </c>
      <c r="Q1014" t="s">
        <v>52</v>
      </c>
      <c r="R1014" t="s">
        <v>52</v>
      </c>
      <c r="S1014" t="s">
        <v>52</v>
      </c>
      <c r="T1014" t="s">
        <v>52</v>
      </c>
      <c r="U1014" t="s">
        <v>52</v>
      </c>
      <c r="V1014" t="s">
        <v>62</v>
      </c>
      <c r="W1014" t="s">
        <v>52</v>
      </c>
      <c r="Y1014" t="s">
        <v>340</v>
      </c>
      <c r="Z1014" t="s">
        <v>62</v>
      </c>
      <c r="AB1014" t="s">
        <v>3888</v>
      </c>
      <c r="AE1014" t="s">
        <v>3889</v>
      </c>
      <c r="AF1014" t="s">
        <v>52</v>
      </c>
      <c r="AH1014">
        <v>0</v>
      </c>
      <c r="AI1014">
        <v>0</v>
      </c>
      <c r="AJ1014" t="s">
        <v>52</v>
      </c>
      <c r="AK1014">
        <v>0</v>
      </c>
      <c r="AL1014" t="s">
        <v>52</v>
      </c>
      <c r="AM1014" t="s">
        <v>52</v>
      </c>
      <c r="AN1014">
        <v>0</v>
      </c>
      <c r="AO1014">
        <v>0</v>
      </c>
      <c r="AP1014" t="s">
        <v>52</v>
      </c>
      <c r="AQ1014" t="s">
        <v>52</v>
      </c>
      <c r="AR1014" t="s">
        <v>62</v>
      </c>
      <c r="AS1014" t="s">
        <v>52</v>
      </c>
      <c r="AT1014" t="s">
        <v>74</v>
      </c>
      <c r="AU1014" t="s">
        <v>64</v>
      </c>
      <c r="AV1014" t="s">
        <v>62</v>
      </c>
      <c r="AW1014" t="s">
        <v>65</v>
      </c>
      <c r="AX1014" t="s">
        <v>66</v>
      </c>
      <c r="AY1014" t="s">
        <v>67</v>
      </c>
    </row>
    <row r="1015" spans="1:51" hidden="1" x14ac:dyDescent="0.25">
      <c r="A1015">
        <v>203078</v>
      </c>
      <c r="B1015" t="s">
        <v>3890</v>
      </c>
      <c r="C1015" t="e">
        <f>VLOOKUP(A1015,[1]Customer_payment_journal_line!$AL:$BO,30,0)</f>
        <v>#N/A</v>
      </c>
      <c r="D1015" t="s">
        <v>53</v>
      </c>
      <c r="E1015" t="s">
        <v>3891</v>
      </c>
      <c r="F1015" t="s">
        <v>3892</v>
      </c>
      <c r="G1015" t="s">
        <v>3455</v>
      </c>
      <c r="H1015" t="s">
        <v>57</v>
      </c>
      <c r="I1015" t="s">
        <v>58</v>
      </c>
      <c r="J1015" t="s">
        <v>2525</v>
      </c>
      <c r="K1015" t="s">
        <v>3886</v>
      </c>
      <c r="L1015" t="s">
        <v>52</v>
      </c>
      <c r="M1015">
        <v>855</v>
      </c>
      <c r="N1015">
        <v>0</v>
      </c>
      <c r="O1015" t="s">
        <v>61</v>
      </c>
      <c r="P1015">
        <v>100</v>
      </c>
      <c r="Q1015" t="s">
        <v>52</v>
      </c>
      <c r="R1015" t="s">
        <v>52</v>
      </c>
      <c r="S1015" t="s">
        <v>52</v>
      </c>
      <c r="T1015" t="s">
        <v>52</v>
      </c>
      <c r="U1015" t="s">
        <v>52</v>
      </c>
      <c r="V1015" t="s">
        <v>62</v>
      </c>
      <c r="W1015" t="s">
        <v>63</v>
      </c>
      <c r="Y1015" t="s">
        <v>52</v>
      </c>
      <c r="AB1015" t="s">
        <v>52</v>
      </c>
      <c r="AE1015" t="s">
        <v>52</v>
      </c>
      <c r="AF1015" t="s">
        <v>52</v>
      </c>
      <c r="AH1015">
        <v>0</v>
      </c>
      <c r="AI1015">
        <v>0</v>
      </c>
      <c r="AJ1015" t="s">
        <v>52</v>
      </c>
      <c r="AK1015">
        <v>0</v>
      </c>
      <c r="AL1015" t="s">
        <v>52</v>
      </c>
      <c r="AM1015" t="s">
        <v>52</v>
      </c>
      <c r="AN1015">
        <v>0</v>
      </c>
      <c r="AO1015">
        <v>0</v>
      </c>
      <c r="AP1015" t="s">
        <v>52</v>
      </c>
      <c r="AQ1015" t="s">
        <v>52</v>
      </c>
      <c r="AR1015" t="s">
        <v>62</v>
      </c>
      <c r="AS1015" t="s">
        <v>52</v>
      </c>
      <c r="AT1015" t="s">
        <v>52</v>
      </c>
      <c r="AU1015" t="s">
        <v>64</v>
      </c>
      <c r="AV1015" t="s">
        <v>62</v>
      </c>
      <c r="AW1015" t="s">
        <v>65</v>
      </c>
      <c r="AX1015" t="s">
        <v>66</v>
      </c>
      <c r="AY1015" t="s">
        <v>67</v>
      </c>
    </row>
    <row r="1016" spans="1:51" hidden="1" x14ac:dyDescent="0.25">
      <c r="A1016">
        <v>203078</v>
      </c>
      <c r="B1016" t="s">
        <v>3893</v>
      </c>
      <c r="C1016" t="e">
        <f>VLOOKUP(A1016,[1]Customer_payment_journal_line!$AL:$BO,30,0)</f>
        <v>#N/A</v>
      </c>
      <c r="D1016" t="s">
        <v>53</v>
      </c>
      <c r="E1016" t="s">
        <v>3891</v>
      </c>
      <c r="F1016" t="s">
        <v>3892</v>
      </c>
      <c r="G1016" t="s">
        <v>3455</v>
      </c>
      <c r="H1016" t="s">
        <v>69</v>
      </c>
      <c r="I1016" t="s">
        <v>339</v>
      </c>
      <c r="J1016" t="s">
        <v>2525</v>
      </c>
      <c r="K1016" t="s">
        <v>3886</v>
      </c>
      <c r="L1016" t="s">
        <v>52</v>
      </c>
      <c r="M1016">
        <v>0</v>
      </c>
      <c r="N1016">
        <v>855</v>
      </c>
      <c r="O1016" t="s">
        <v>61</v>
      </c>
      <c r="P1016">
        <v>100</v>
      </c>
      <c r="Q1016" t="s">
        <v>52</v>
      </c>
      <c r="R1016" t="s">
        <v>52</v>
      </c>
      <c r="S1016" t="s">
        <v>52</v>
      </c>
      <c r="T1016" t="s">
        <v>52</v>
      </c>
      <c r="U1016" t="s">
        <v>52</v>
      </c>
      <c r="V1016" t="s">
        <v>62</v>
      </c>
      <c r="W1016" t="s">
        <v>52</v>
      </c>
      <c r="Y1016" t="s">
        <v>340</v>
      </c>
      <c r="Z1016" t="s">
        <v>62</v>
      </c>
      <c r="AB1016" t="s">
        <v>3894</v>
      </c>
      <c r="AE1016" t="s">
        <v>3895</v>
      </c>
      <c r="AF1016" t="s">
        <v>52</v>
      </c>
      <c r="AH1016">
        <v>0</v>
      </c>
      <c r="AI1016">
        <v>0</v>
      </c>
      <c r="AJ1016" t="s">
        <v>52</v>
      </c>
      <c r="AK1016">
        <v>0</v>
      </c>
      <c r="AL1016" t="s">
        <v>52</v>
      </c>
      <c r="AM1016" t="s">
        <v>52</v>
      </c>
      <c r="AN1016">
        <v>0</v>
      </c>
      <c r="AO1016">
        <v>0</v>
      </c>
      <c r="AP1016" t="s">
        <v>52</v>
      </c>
      <c r="AQ1016" t="s">
        <v>52</v>
      </c>
      <c r="AR1016" t="s">
        <v>62</v>
      </c>
      <c r="AS1016" t="s">
        <v>52</v>
      </c>
      <c r="AT1016" t="s">
        <v>74</v>
      </c>
      <c r="AU1016" t="s">
        <v>64</v>
      </c>
      <c r="AV1016" t="s">
        <v>62</v>
      </c>
      <c r="AW1016" t="s">
        <v>65</v>
      </c>
      <c r="AX1016" t="s">
        <v>66</v>
      </c>
      <c r="AY1016" t="s">
        <v>67</v>
      </c>
    </row>
    <row r="1017" spans="1:51" hidden="1" x14ac:dyDescent="0.25">
      <c r="A1017">
        <v>406050</v>
      </c>
      <c r="B1017" t="s">
        <v>3896</v>
      </c>
      <c r="C1017" t="e">
        <f>VLOOKUP(A1017,[1]Customer_payment_journal_line!$AL:$BO,30,0)</f>
        <v>#N/A</v>
      </c>
      <c r="D1017" t="s">
        <v>53</v>
      </c>
      <c r="E1017" t="s">
        <v>3897</v>
      </c>
      <c r="F1017" t="s">
        <v>3898</v>
      </c>
      <c r="G1017" t="s">
        <v>3455</v>
      </c>
      <c r="H1017" t="s">
        <v>57</v>
      </c>
      <c r="I1017" t="s">
        <v>58</v>
      </c>
      <c r="J1017" t="s">
        <v>2883</v>
      </c>
      <c r="K1017" t="s">
        <v>3899</v>
      </c>
      <c r="L1017" t="s">
        <v>52</v>
      </c>
      <c r="M1017">
        <v>29218.2</v>
      </c>
      <c r="N1017">
        <v>0</v>
      </c>
      <c r="O1017" t="s">
        <v>61</v>
      </c>
      <c r="P1017">
        <v>100</v>
      </c>
      <c r="Q1017" t="s">
        <v>52</v>
      </c>
      <c r="R1017" t="s">
        <v>52</v>
      </c>
      <c r="S1017" t="s">
        <v>52</v>
      </c>
      <c r="T1017" t="s">
        <v>52</v>
      </c>
      <c r="U1017" t="s">
        <v>52</v>
      </c>
      <c r="V1017" t="s">
        <v>62</v>
      </c>
      <c r="W1017" t="s">
        <v>63</v>
      </c>
      <c r="Y1017" t="s">
        <v>52</v>
      </c>
      <c r="AB1017" t="s">
        <v>52</v>
      </c>
      <c r="AE1017" t="s">
        <v>52</v>
      </c>
      <c r="AF1017" t="s">
        <v>52</v>
      </c>
      <c r="AH1017">
        <v>0</v>
      </c>
      <c r="AI1017">
        <v>0</v>
      </c>
      <c r="AJ1017" t="s">
        <v>52</v>
      </c>
      <c r="AK1017">
        <v>0</v>
      </c>
      <c r="AL1017" t="s">
        <v>52</v>
      </c>
      <c r="AM1017" t="s">
        <v>52</v>
      </c>
      <c r="AN1017">
        <v>0</v>
      </c>
      <c r="AO1017">
        <v>0</v>
      </c>
      <c r="AP1017" t="s">
        <v>52</v>
      </c>
      <c r="AQ1017" t="s">
        <v>52</v>
      </c>
      <c r="AR1017" t="s">
        <v>62</v>
      </c>
      <c r="AS1017" t="s">
        <v>52</v>
      </c>
      <c r="AT1017" t="s">
        <v>52</v>
      </c>
      <c r="AU1017" t="s">
        <v>64</v>
      </c>
      <c r="AV1017" t="s">
        <v>62</v>
      </c>
      <c r="AW1017" t="s">
        <v>65</v>
      </c>
      <c r="AX1017" t="s">
        <v>66</v>
      </c>
      <c r="AY1017" t="s">
        <v>67</v>
      </c>
    </row>
    <row r="1018" spans="1:51" hidden="1" x14ac:dyDescent="0.25">
      <c r="A1018">
        <v>406050</v>
      </c>
      <c r="B1018" t="s">
        <v>3900</v>
      </c>
      <c r="C1018" t="e">
        <f>VLOOKUP(A1018,[1]Customer_payment_journal_line!$AL:$BO,30,0)</f>
        <v>#N/A</v>
      </c>
      <c r="D1018" t="s">
        <v>53</v>
      </c>
      <c r="E1018" t="s">
        <v>3897</v>
      </c>
      <c r="F1018" t="s">
        <v>3898</v>
      </c>
      <c r="G1018" t="s">
        <v>3455</v>
      </c>
      <c r="H1018" t="s">
        <v>69</v>
      </c>
      <c r="I1018" t="s">
        <v>2886</v>
      </c>
      <c r="J1018" t="s">
        <v>2883</v>
      </c>
      <c r="K1018" t="s">
        <v>3899</v>
      </c>
      <c r="L1018" t="s">
        <v>52</v>
      </c>
      <c r="M1018">
        <v>0</v>
      </c>
      <c r="N1018">
        <v>29218.2</v>
      </c>
      <c r="O1018" t="s">
        <v>61</v>
      </c>
      <c r="P1018">
        <v>100</v>
      </c>
      <c r="Q1018" t="s">
        <v>52</v>
      </c>
      <c r="R1018" t="s">
        <v>52</v>
      </c>
      <c r="S1018" t="s">
        <v>52</v>
      </c>
      <c r="T1018" t="s">
        <v>52</v>
      </c>
      <c r="U1018" t="s">
        <v>52</v>
      </c>
      <c r="V1018" t="s">
        <v>62</v>
      </c>
      <c r="W1018" t="s">
        <v>52</v>
      </c>
      <c r="Y1018" t="s">
        <v>2887</v>
      </c>
      <c r="Z1018" t="s">
        <v>62</v>
      </c>
      <c r="AB1018" t="s">
        <v>3901</v>
      </c>
      <c r="AE1018" t="s">
        <v>3902</v>
      </c>
      <c r="AF1018" t="s">
        <v>52</v>
      </c>
      <c r="AH1018">
        <v>0</v>
      </c>
      <c r="AI1018">
        <v>0</v>
      </c>
      <c r="AJ1018" t="s">
        <v>52</v>
      </c>
      <c r="AK1018">
        <v>0</v>
      </c>
      <c r="AL1018" t="s">
        <v>52</v>
      </c>
      <c r="AM1018" t="s">
        <v>52</v>
      </c>
      <c r="AN1018">
        <v>0</v>
      </c>
      <c r="AO1018">
        <v>0</v>
      </c>
      <c r="AP1018" t="s">
        <v>52</v>
      </c>
      <c r="AQ1018" t="s">
        <v>52</v>
      </c>
      <c r="AR1018" t="s">
        <v>62</v>
      </c>
      <c r="AS1018" t="s">
        <v>52</v>
      </c>
      <c r="AT1018" t="s">
        <v>74</v>
      </c>
      <c r="AU1018" t="s">
        <v>64</v>
      </c>
      <c r="AV1018" t="s">
        <v>62</v>
      </c>
      <c r="AW1018" t="s">
        <v>65</v>
      </c>
      <c r="AX1018" t="s">
        <v>66</v>
      </c>
      <c r="AY1018" t="s">
        <v>67</v>
      </c>
    </row>
    <row r="1019" spans="1:51" hidden="1" x14ac:dyDescent="0.25">
      <c r="A1019">
        <v>406051</v>
      </c>
      <c r="B1019" t="s">
        <v>3903</v>
      </c>
      <c r="C1019" t="e">
        <f>VLOOKUP(A1019,[1]Customer_payment_journal_line!$AL:$BO,30,0)</f>
        <v>#N/A</v>
      </c>
      <c r="D1019" t="s">
        <v>53</v>
      </c>
      <c r="E1019" t="s">
        <v>3904</v>
      </c>
      <c r="F1019" t="s">
        <v>3905</v>
      </c>
      <c r="G1019" t="s">
        <v>3455</v>
      </c>
      <c r="H1019" t="s">
        <v>57</v>
      </c>
      <c r="I1019" t="s">
        <v>58</v>
      </c>
      <c r="J1019" t="s">
        <v>2883</v>
      </c>
      <c r="K1019" t="s">
        <v>3899</v>
      </c>
      <c r="L1019" t="s">
        <v>52</v>
      </c>
      <c r="M1019">
        <v>855</v>
      </c>
      <c r="N1019">
        <v>0</v>
      </c>
      <c r="O1019" t="s">
        <v>61</v>
      </c>
      <c r="P1019">
        <v>100</v>
      </c>
      <c r="Q1019" t="s">
        <v>52</v>
      </c>
      <c r="R1019" t="s">
        <v>52</v>
      </c>
      <c r="S1019" t="s">
        <v>52</v>
      </c>
      <c r="T1019" t="s">
        <v>52</v>
      </c>
      <c r="U1019" t="s">
        <v>52</v>
      </c>
      <c r="V1019" t="s">
        <v>62</v>
      </c>
      <c r="W1019" t="s">
        <v>63</v>
      </c>
      <c r="Y1019" t="s">
        <v>52</v>
      </c>
      <c r="AB1019" t="s">
        <v>52</v>
      </c>
      <c r="AE1019" t="s">
        <v>52</v>
      </c>
      <c r="AF1019" t="s">
        <v>52</v>
      </c>
      <c r="AH1019">
        <v>0</v>
      </c>
      <c r="AI1019">
        <v>0</v>
      </c>
      <c r="AJ1019" t="s">
        <v>52</v>
      </c>
      <c r="AK1019">
        <v>0</v>
      </c>
      <c r="AL1019" t="s">
        <v>52</v>
      </c>
      <c r="AM1019" t="s">
        <v>52</v>
      </c>
      <c r="AN1019">
        <v>0</v>
      </c>
      <c r="AO1019">
        <v>0</v>
      </c>
      <c r="AP1019" t="s">
        <v>52</v>
      </c>
      <c r="AQ1019" t="s">
        <v>52</v>
      </c>
      <c r="AR1019" t="s">
        <v>62</v>
      </c>
      <c r="AS1019" t="s">
        <v>52</v>
      </c>
      <c r="AT1019" t="s">
        <v>52</v>
      </c>
      <c r="AU1019" t="s">
        <v>64</v>
      </c>
      <c r="AV1019" t="s">
        <v>62</v>
      </c>
      <c r="AW1019" t="s">
        <v>65</v>
      </c>
      <c r="AX1019" t="s">
        <v>66</v>
      </c>
      <c r="AY1019" t="s">
        <v>67</v>
      </c>
    </row>
    <row r="1020" spans="1:51" hidden="1" x14ac:dyDescent="0.25">
      <c r="A1020">
        <v>406051</v>
      </c>
      <c r="B1020" t="s">
        <v>3906</v>
      </c>
      <c r="C1020" t="e">
        <f>VLOOKUP(A1020,[1]Customer_payment_journal_line!$AL:$BO,30,0)</f>
        <v>#N/A</v>
      </c>
      <c r="D1020" t="s">
        <v>53</v>
      </c>
      <c r="E1020" t="s">
        <v>3904</v>
      </c>
      <c r="F1020" t="s">
        <v>3905</v>
      </c>
      <c r="G1020" t="s">
        <v>3455</v>
      </c>
      <c r="H1020" t="s">
        <v>69</v>
      </c>
      <c r="I1020" t="s">
        <v>2886</v>
      </c>
      <c r="J1020" t="s">
        <v>2883</v>
      </c>
      <c r="K1020" t="s">
        <v>3899</v>
      </c>
      <c r="L1020" t="s">
        <v>52</v>
      </c>
      <c r="M1020">
        <v>0</v>
      </c>
      <c r="N1020">
        <v>855</v>
      </c>
      <c r="O1020" t="s">
        <v>61</v>
      </c>
      <c r="P1020">
        <v>100</v>
      </c>
      <c r="Q1020" t="s">
        <v>52</v>
      </c>
      <c r="R1020" t="s">
        <v>52</v>
      </c>
      <c r="S1020" t="s">
        <v>52</v>
      </c>
      <c r="T1020" t="s">
        <v>52</v>
      </c>
      <c r="U1020" t="s">
        <v>52</v>
      </c>
      <c r="V1020" t="s">
        <v>62</v>
      </c>
      <c r="W1020" t="s">
        <v>52</v>
      </c>
      <c r="Y1020" t="s">
        <v>2887</v>
      </c>
      <c r="Z1020" t="s">
        <v>62</v>
      </c>
      <c r="AB1020" t="s">
        <v>3907</v>
      </c>
      <c r="AE1020" t="s">
        <v>3908</v>
      </c>
      <c r="AF1020" t="s">
        <v>52</v>
      </c>
      <c r="AH1020">
        <v>0</v>
      </c>
      <c r="AI1020">
        <v>0</v>
      </c>
      <c r="AJ1020" t="s">
        <v>52</v>
      </c>
      <c r="AK1020">
        <v>0</v>
      </c>
      <c r="AL1020" t="s">
        <v>52</v>
      </c>
      <c r="AM1020" t="s">
        <v>52</v>
      </c>
      <c r="AN1020">
        <v>0</v>
      </c>
      <c r="AO1020">
        <v>0</v>
      </c>
      <c r="AP1020" t="s">
        <v>52</v>
      </c>
      <c r="AQ1020" t="s">
        <v>52</v>
      </c>
      <c r="AR1020" t="s">
        <v>62</v>
      </c>
      <c r="AS1020" t="s">
        <v>52</v>
      </c>
      <c r="AT1020" t="s">
        <v>74</v>
      </c>
      <c r="AU1020" t="s">
        <v>64</v>
      </c>
      <c r="AV1020" t="s">
        <v>62</v>
      </c>
      <c r="AW1020" t="s">
        <v>65</v>
      </c>
      <c r="AX1020" t="s">
        <v>66</v>
      </c>
      <c r="AY1020" t="s">
        <v>67</v>
      </c>
    </row>
    <row r="1021" spans="1:51" hidden="1" x14ac:dyDescent="0.25">
      <c r="A1021">
        <v>401648</v>
      </c>
      <c r="B1021" t="s">
        <v>3909</v>
      </c>
      <c r="C1021" t="e">
        <f>VLOOKUP(A1021,[1]Customer_payment_journal_line!$AL:$BO,30,0)</f>
        <v>#N/A</v>
      </c>
      <c r="D1021" t="s">
        <v>53</v>
      </c>
      <c r="E1021" t="s">
        <v>3910</v>
      </c>
      <c r="F1021" t="s">
        <v>3911</v>
      </c>
      <c r="G1021" t="s">
        <v>3455</v>
      </c>
      <c r="H1021" t="s">
        <v>57</v>
      </c>
      <c r="I1021" t="s">
        <v>58</v>
      </c>
      <c r="J1021" t="s">
        <v>3912</v>
      </c>
      <c r="K1021" t="s">
        <v>3913</v>
      </c>
      <c r="L1021" t="s">
        <v>52</v>
      </c>
      <c r="M1021">
        <v>10624.8</v>
      </c>
      <c r="N1021">
        <v>0</v>
      </c>
      <c r="O1021" t="s">
        <v>61</v>
      </c>
      <c r="P1021">
        <v>100</v>
      </c>
      <c r="Q1021" t="s">
        <v>52</v>
      </c>
      <c r="R1021" t="s">
        <v>52</v>
      </c>
      <c r="S1021" t="s">
        <v>52</v>
      </c>
      <c r="T1021" t="s">
        <v>52</v>
      </c>
      <c r="U1021" t="s">
        <v>52</v>
      </c>
      <c r="V1021" t="s">
        <v>62</v>
      </c>
      <c r="W1021" t="s">
        <v>63</v>
      </c>
      <c r="Y1021" t="s">
        <v>52</v>
      </c>
      <c r="AB1021" t="s">
        <v>52</v>
      </c>
      <c r="AE1021" t="s">
        <v>52</v>
      </c>
      <c r="AF1021" t="s">
        <v>52</v>
      </c>
      <c r="AH1021">
        <v>0</v>
      </c>
      <c r="AI1021">
        <v>0</v>
      </c>
      <c r="AJ1021" t="s">
        <v>52</v>
      </c>
      <c r="AK1021">
        <v>0</v>
      </c>
      <c r="AL1021" t="s">
        <v>52</v>
      </c>
      <c r="AM1021" t="s">
        <v>52</v>
      </c>
      <c r="AN1021">
        <v>0</v>
      </c>
      <c r="AO1021">
        <v>0</v>
      </c>
      <c r="AP1021" t="s">
        <v>52</v>
      </c>
      <c r="AQ1021" t="s">
        <v>52</v>
      </c>
      <c r="AR1021" t="s">
        <v>62</v>
      </c>
      <c r="AS1021" t="s">
        <v>52</v>
      </c>
      <c r="AT1021" t="s">
        <v>52</v>
      </c>
      <c r="AU1021" t="s">
        <v>64</v>
      </c>
      <c r="AV1021" t="s">
        <v>62</v>
      </c>
      <c r="AW1021" t="s">
        <v>65</v>
      </c>
      <c r="AX1021" t="s">
        <v>66</v>
      </c>
      <c r="AY1021" t="s">
        <v>67</v>
      </c>
    </row>
    <row r="1022" spans="1:51" hidden="1" x14ac:dyDescent="0.25">
      <c r="A1022">
        <v>401648</v>
      </c>
      <c r="B1022" t="s">
        <v>3914</v>
      </c>
      <c r="C1022" t="e">
        <f>VLOOKUP(A1022,[1]Customer_payment_journal_line!$AL:$BO,30,0)</f>
        <v>#N/A</v>
      </c>
      <c r="D1022" t="s">
        <v>53</v>
      </c>
      <c r="E1022" t="s">
        <v>3910</v>
      </c>
      <c r="F1022" t="s">
        <v>3911</v>
      </c>
      <c r="G1022" t="s">
        <v>3455</v>
      </c>
      <c r="H1022" t="s">
        <v>69</v>
      </c>
      <c r="I1022" t="s">
        <v>2886</v>
      </c>
      <c r="J1022" t="s">
        <v>3912</v>
      </c>
      <c r="K1022" t="s">
        <v>3913</v>
      </c>
      <c r="L1022" t="s">
        <v>52</v>
      </c>
      <c r="M1022">
        <v>0</v>
      </c>
      <c r="N1022">
        <v>10624.8</v>
      </c>
      <c r="O1022" t="s">
        <v>61</v>
      </c>
      <c r="P1022">
        <v>100</v>
      </c>
      <c r="Q1022" t="s">
        <v>52</v>
      </c>
      <c r="R1022" t="s">
        <v>52</v>
      </c>
      <c r="S1022" t="s">
        <v>52</v>
      </c>
      <c r="T1022" t="s">
        <v>52</v>
      </c>
      <c r="U1022" t="s">
        <v>52</v>
      </c>
      <c r="V1022" t="s">
        <v>62</v>
      </c>
      <c r="W1022" t="s">
        <v>52</v>
      </c>
      <c r="Y1022" t="s">
        <v>2887</v>
      </c>
      <c r="Z1022" t="s">
        <v>62</v>
      </c>
      <c r="AB1022" t="s">
        <v>3915</v>
      </c>
      <c r="AE1022" t="s">
        <v>3916</v>
      </c>
      <c r="AF1022" t="s">
        <v>52</v>
      </c>
      <c r="AH1022">
        <v>0</v>
      </c>
      <c r="AI1022">
        <v>0</v>
      </c>
      <c r="AJ1022" t="s">
        <v>52</v>
      </c>
      <c r="AK1022">
        <v>0</v>
      </c>
      <c r="AL1022" t="s">
        <v>52</v>
      </c>
      <c r="AM1022" t="s">
        <v>52</v>
      </c>
      <c r="AN1022">
        <v>0</v>
      </c>
      <c r="AO1022">
        <v>0</v>
      </c>
      <c r="AP1022" t="s">
        <v>52</v>
      </c>
      <c r="AQ1022" t="s">
        <v>52</v>
      </c>
      <c r="AR1022" t="s">
        <v>62</v>
      </c>
      <c r="AS1022" t="s">
        <v>52</v>
      </c>
      <c r="AT1022" t="s">
        <v>74</v>
      </c>
      <c r="AU1022" t="s">
        <v>64</v>
      </c>
      <c r="AV1022" t="s">
        <v>62</v>
      </c>
      <c r="AW1022" t="s">
        <v>65</v>
      </c>
      <c r="AX1022" t="s">
        <v>66</v>
      </c>
      <c r="AY1022" t="s">
        <v>67</v>
      </c>
    </row>
    <row r="1023" spans="1:51" hidden="1" x14ac:dyDescent="0.25">
      <c r="A1023">
        <v>403001</v>
      </c>
      <c r="B1023" t="s">
        <v>3917</v>
      </c>
      <c r="C1023" t="e">
        <f>VLOOKUP(A1023,[1]Customer_payment_journal_line!$AL:$BO,30,0)</f>
        <v>#N/A</v>
      </c>
      <c r="D1023" t="s">
        <v>53</v>
      </c>
      <c r="E1023" t="s">
        <v>3918</v>
      </c>
      <c r="F1023" t="s">
        <v>3919</v>
      </c>
      <c r="G1023" t="s">
        <v>3455</v>
      </c>
      <c r="H1023" t="s">
        <v>57</v>
      </c>
      <c r="I1023" t="s">
        <v>58</v>
      </c>
      <c r="J1023" t="s">
        <v>3912</v>
      </c>
      <c r="K1023" t="s">
        <v>3913</v>
      </c>
      <c r="L1023" t="s">
        <v>52</v>
      </c>
      <c r="M1023">
        <v>855</v>
      </c>
      <c r="N1023">
        <v>0</v>
      </c>
      <c r="O1023" t="s">
        <v>61</v>
      </c>
      <c r="P1023">
        <v>100</v>
      </c>
      <c r="Q1023" t="s">
        <v>52</v>
      </c>
      <c r="R1023" t="s">
        <v>52</v>
      </c>
      <c r="S1023" t="s">
        <v>52</v>
      </c>
      <c r="T1023" t="s">
        <v>52</v>
      </c>
      <c r="U1023" t="s">
        <v>52</v>
      </c>
      <c r="V1023" t="s">
        <v>62</v>
      </c>
      <c r="W1023" t="s">
        <v>63</v>
      </c>
      <c r="Y1023" t="s">
        <v>52</v>
      </c>
      <c r="AB1023" t="s">
        <v>52</v>
      </c>
      <c r="AE1023" t="s">
        <v>52</v>
      </c>
      <c r="AF1023" t="s">
        <v>52</v>
      </c>
      <c r="AH1023">
        <v>0</v>
      </c>
      <c r="AI1023">
        <v>0</v>
      </c>
      <c r="AJ1023" t="s">
        <v>52</v>
      </c>
      <c r="AK1023">
        <v>0</v>
      </c>
      <c r="AL1023" t="s">
        <v>52</v>
      </c>
      <c r="AM1023" t="s">
        <v>52</v>
      </c>
      <c r="AN1023">
        <v>0</v>
      </c>
      <c r="AO1023">
        <v>0</v>
      </c>
      <c r="AP1023" t="s">
        <v>52</v>
      </c>
      <c r="AQ1023" t="s">
        <v>52</v>
      </c>
      <c r="AR1023" t="s">
        <v>62</v>
      </c>
      <c r="AS1023" t="s">
        <v>52</v>
      </c>
      <c r="AT1023" t="s">
        <v>52</v>
      </c>
      <c r="AU1023" t="s">
        <v>64</v>
      </c>
      <c r="AV1023" t="s">
        <v>62</v>
      </c>
      <c r="AW1023" t="s">
        <v>65</v>
      </c>
      <c r="AX1023" t="s">
        <v>66</v>
      </c>
      <c r="AY1023" t="s">
        <v>67</v>
      </c>
    </row>
    <row r="1024" spans="1:51" hidden="1" x14ac:dyDescent="0.25">
      <c r="A1024">
        <v>403001</v>
      </c>
      <c r="B1024" t="s">
        <v>3920</v>
      </c>
      <c r="C1024" t="e">
        <f>VLOOKUP(A1024,[1]Customer_payment_journal_line!$AL:$BO,30,0)</f>
        <v>#N/A</v>
      </c>
      <c r="D1024" t="s">
        <v>53</v>
      </c>
      <c r="E1024" t="s">
        <v>3918</v>
      </c>
      <c r="F1024" t="s">
        <v>3919</v>
      </c>
      <c r="G1024" t="s">
        <v>3455</v>
      </c>
      <c r="H1024" t="s">
        <v>69</v>
      </c>
      <c r="I1024" t="s">
        <v>2886</v>
      </c>
      <c r="J1024" t="s">
        <v>3912</v>
      </c>
      <c r="K1024" t="s">
        <v>3913</v>
      </c>
      <c r="L1024" t="s">
        <v>52</v>
      </c>
      <c r="M1024">
        <v>0</v>
      </c>
      <c r="N1024">
        <v>855</v>
      </c>
      <c r="O1024" t="s">
        <v>61</v>
      </c>
      <c r="P1024">
        <v>100</v>
      </c>
      <c r="Q1024" t="s">
        <v>52</v>
      </c>
      <c r="R1024" t="s">
        <v>52</v>
      </c>
      <c r="S1024" t="s">
        <v>52</v>
      </c>
      <c r="T1024" t="s">
        <v>52</v>
      </c>
      <c r="U1024" t="s">
        <v>52</v>
      </c>
      <c r="V1024" t="s">
        <v>62</v>
      </c>
      <c r="W1024" t="s">
        <v>52</v>
      </c>
      <c r="Y1024" t="s">
        <v>2887</v>
      </c>
      <c r="Z1024" t="s">
        <v>62</v>
      </c>
      <c r="AB1024" t="s">
        <v>3921</v>
      </c>
      <c r="AE1024" t="s">
        <v>3922</v>
      </c>
      <c r="AF1024" t="s">
        <v>52</v>
      </c>
      <c r="AH1024">
        <v>0</v>
      </c>
      <c r="AI1024">
        <v>0</v>
      </c>
      <c r="AJ1024" t="s">
        <v>52</v>
      </c>
      <c r="AK1024">
        <v>0</v>
      </c>
      <c r="AL1024" t="s">
        <v>52</v>
      </c>
      <c r="AM1024" t="s">
        <v>52</v>
      </c>
      <c r="AN1024">
        <v>0</v>
      </c>
      <c r="AO1024">
        <v>0</v>
      </c>
      <c r="AP1024" t="s">
        <v>52</v>
      </c>
      <c r="AQ1024" t="s">
        <v>52</v>
      </c>
      <c r="AR1024" t="s">
        <v>62</v>
      </c>
      <c r="AS1024" t="s">
        <v>52</v>
      </c>
      <c r="AT1024" t="s">
        <v>74</v>
      </c>
      <c r="AU1024" t="s">
        <v>64</v>
      </c>
      <c r="AV1024" t="s">
        <v>62</v>
      </c>
      <c r="AW1024" t="s">
        <v>65</v>
      </c>
      <c r="AX1024" t="s">
        <v>66</v>
      </c>
      <c r="AY1024" t="s">
        <v>67</v>
      </c>
    </row>
    <row r="1025" spans="1:51" hidden="1" x14ac:dyDescent="0.25">
      <c r="A1025">
        <v>406052</v>
      </c>
      <c r="B1025" t="s">
        <v>3923</v>
      </c>
      <c r="C1025" t="e">
        <f>VLOOKUP(A1025,[1]Customer_payment_journal_line!$AL:$BO,30,0)</f>
        <v>#N/A</v>
      </c>
      <c r="D1025" t="s">
        <v>53</v>
      </c>
      <c r="E1025" t="s">
        <v>3924</v>
      </c>
      <c r="F1025" t="s">
        <v>3925</v>
      </c>
      <c r="G1025" t="s">
        <v>3455</v>
      </c>
      <c r="H1025" t="s">
        <v>57</v>
      </c>
      <c r="I1025" t="s">
        <v>516</v>
      </c>
      <c r="J1025" t="s">
        <v>3859</v>
      </c>
      <c r="K1025" t="s">
        <v>3860</v>
      </c>
      <c r="L1025" t="s">
        <v>52</v>
      </c>
      <c r="M1025">
        <v>50</v>
      </c>
      <c r="N1025">
        <v>0</v>
      </c>
      <c r="O1025" t="s">
        <v>178</v>
      </c>
      <c r="P1025">
        <v>5085</v>
      </c>
      <c r="Q1025" t="s">
        <v>52</v>
      </c>
      <c r="R1025" t="s">
        <v>52</v>
      </c>
      <c r="S1025" t="s">
        <v>52</v>
      </c>
      <c r="T1025" t="s">
        <v>52</v>
      </c>
      <c r="U1025" t="s">
        <v>52</v>
      </c>
      <c r="V1025" t="s">
        <v>62</v>
      </c>
      <c r="W1025" t="s">
        <v>63</v>
      </c>
      <c r="Y1025" t="s">
        <v>52</v>
      </c>
      <c r="AB1025" t="s">
        <v>52</v>
      </c>
      <c r="AE1025" t="s">
        <v>52</v>
      </c>
      <c r="AF1025" t="s">
        <v>52</v>
      </c>
      <c r="AH1025">
        <v>0</v>
      </c>
      <c r="AI1025">
        <v>0</v>
      </c>
      <c r="AJ1025" t="s">
        <v>52</v>
      </c>
      <c r="AK1025">
        <v>0</v>
      </c>
      <c r="AL1025" t="s">
        <v>52</v>
      </c>
      <c r="AM1025" t="s">
        <v>52</v>
      </c>
      <c r="AN1025">
        <v>0</v>
      </c>
      <c r="AO1025">
        <v>0</v>
      </c>
      <c r="AP1025" t="s">
        <v>52</v>
      </c>
      <c r="AQ1025" t="s">
        <v>52</v>
      </c>
      <c r="AR1025" t="s">
        <v>62</v>
      </c>
      <c r="AS1025" t="s">
        <v>52</v>
      </c>
      <c r="AT1025" t="s">
        <v>52</v>
      </c>
      <c r="AU1025" t="s">
        <v>64</v>
      </c>
      <c r="AV1025" t="s">
        <v>62</v>
      </c>
      <c r="AW1025" t="s">
        <v>65</v>
      </c>
      <c r="AX1025" t="s">
        <v>66</v>
      </c>
      <c r="AY1025" t="s">
        <v>67</v>
      </c>
    </row>
    <row r="1026" spans="1:51" hidden="1" x14ac:dyDescent="0.25">
      <c r="A1026">
        <v>406052</v>
      </c>
      <c r="B1026" t="s">
        <v>3926</v>
      </c>
      <c r="C1026" t="e">
        <f>VLOOKUP(A1026,[1]Customer_payment_journal_line!$AL:$BO,30,0)</f>
        <v>#N/A</v>
      </c>
      <c r="D1026" t="s">
        <v>53</v>
      </c>
      <c r="E1026" t="s">
        <v>3924</v>
      </c>
      <c r="F1026" t="s">
        <v>3925</v>
      </c>
      <c r="G1026" t="s">
        <v>3455</v>
      </c>
      <c r="H1026" t="s">
        <v>69</v>
      </c>
      <c r="I1026" t="s">
        <v>3642</v>
      </c>
      <c r="J1026" t="s">
        <v>3859</v>
      </c>
      <c r="K1026" t="s">
        <v>3860</v>
      </c>
      <c r="L1026" t="s">
        <v>52</v>
      </c>
      <c r="M1026">
        <v>0</v>
      </c>
      <c r="N1026">
        <v>50</v>
      </c>
      <c r="O1026" t="s">
        <v>178</v>
      </c>
      <c r="P1026">
        <v>5085</v>
      </c>
      <c r="Q1026" t="s">
        <v>52</v>
      </c>
      <c r="R1026" t="s">
        <v>52</v>
      </c>
      <c r="S1026" t="s">
        <v>52</v>
      </c>
      <c r="T1026" t="s">
        <v>52</v>
      </c>
      <c r="U1026" t="s">
        <v>52</v>
      </c>
      <c r="V1026" t="s">
        <v>62</v>
      </c>
      <c r="W1026" t="s">
        <v>52</v>
      </c>
      <c r="Y1026" t="s">
        <v>3643</v>
      </c>
      <c r="Z1026" t="s">
        <v>62</v>
      </c>
      <c r="AB1026" t="s">
        <v>3927</v>
      </c>
      <c r="AE1026" t="s">
        <v>3928</v>
      </c>
      <c r="AF1026" t="s">
        <v>52</v>
      </c>
      <c r="AH1026">
        <v>0</v>
      </c>
      <c r="AI1026">
        <v>0</v>
      </c>
      <c r="AJ1026" t="s">
        <v>52</v>
      </c>
      <c r="AK1026">
        <v>0</v>
      </c>
      <c r="AL1026" t="s">
        <v>52</v>
      </c>
      <c r="AM1026" t="s">
        <v>52</v>
      </c>
      <c r="AN1026">
        <v>0</v>
      </c>
      <c r="AO1026">
        <v>0</v>
      </c>
      <c r="AP1026" t="s">
        <v>52</v>
      </c>
      <c r="AQ1026" t="s">
        <v>52</v>
      </c>
      <c r="AR1026" t="s">
        <v>62</v>
      </c>
      <c r="AS1026" t="s">
        <v>52</v>
      </c>
      <c r="AT1026" t="s">
        <v>74</v>
      </c>
      <c r="AU1026" t="s">
        <v>64</v>
      </c>
      <c r="AV1026" t="s">
        <v>62</v>
      </c>
      <c r="AW1026" t="s">
        <v>65</v>
      </c>
      <c r="AX1026" t="s">
        <v>66</v>
      </c>
      <c r="AY1026" t="s">
        <v>67</v>
      </c>
    </row>
    <row r="1027" spans="1:51" hidden="1" x14ac:dyDescent="0.25">
      <c r="A1027">
        <v>406053</v>
      </c>
      <c r="B1027" t="s">
        <v>3929</v>
      </c>
      <c r="C1027" t="e">
        <f>VLOOKUP(A1027,[1]Customer_payment_journal_line!$AL:$BO,30,0)</f>
        <v>#N/A</v>
      </c>
      <c r="D1027" t="s">
        <v>53</v>
      </c>
      <c r="E1027" t="s">
        <v>3930</v>
      </c>
      <c r="F1027" t="s">
        <v>3931</v>
      </c>
      <c r="G1027" t="s">
        <v>3455</v>
      </c>
      <c r="H1027" t="s">
        <v>57</v>
      </c>
      <c r="I1027" t="s">
        <v>516</v>
      </c>
      <c r="J1027" t="s">
        <v>3859</v>
      </c>
      <c r="K1027" t="s">
        <v>3873</v>
      </c>
      <c r="L1027" t="s">
        <v>52</v>
      </c>
      <c r="M1027">
        <v>690</v>
      </c>
      <c r="N1027">
        <v>0</v>
      </c>
      <c r="O1027" t="s">
        <v>178</v>
      </c>
      <c r="P1027">
        <v>5085</v>
      </c>
      <c r="Q1027" t="s">
        <v>52</v>
      </c>
      <c r="R1027" t="s">
        <v>52</v>
      </c>
      <c r="S1027" t="s">
        <v>52</v>
      </c>
      <c r="T1027" t="s">
        <v>52</v>
      </c>
      <c r="U1027" t="s">
        <v>52</v>
      </c>
      <c r="V1027" t="s">
        <v>62</v>
      </c>
      <c r="W1027" t="s">
        <v>63</v>
      </c>
      <c r="Y1027" t="s">
        <v>52</v>
      </c>
      <c r="AB1027" t="s">
        <v>52</v>
      </c>
      <c r="AE1027" t="s">
        <v>52</v>
      </c>
      <c r="AF1027" t="s">
        <v>52</v>
      </c>
      <c r="AH1027">
        <v>0</v>
      </c>
      <c r="AI1027">
        <v>0</v>
      </c>
      <c r="AJ1027" t="s">
        <v>52</v>
      </c>
      <c r="AK1027">
        <v>0</v>
      </c>
      <c r="AL1027" t="s">
        <v>52</v>
      </c>
      <c r="AM1027" t="s">
        <v>52</v>
      </c>
      <c r="AN1027">
        <v>0</v>
      </c>
      <c r="AO1027">
        <v>0</v>
      </c>
      <c r="AP1027" t="s">
        <v>52</v>
      </c>
      <c r="AQ1027" t="s">
        <v>52</v>
      </c>
      <c r="AR1027" t="s">
        <v>62</v>
      </c>
      <c r="AS1027" t="s">
        <v>52</v>
      </c>
      <c r="AT1027" t="s">
        <v>52</v>
      </c>
      <c r="AU1027" t="s">
        <v>64</v>
      </c>
      <c r="AV1027" t="s">
        <v>62</v>
      </c>
      <c r="AW1027" t="s">
        <v>65</v>
      </c>
      <c r="AX1027" t="s">
        <v>66</v>
      </c>
      <c r="AY1027" t="s">
        <v>67</v>
      </c>
    </row>
    <row r="1028" spans="1:51" hidden="1" x14ac:dyDescent="0.25">
      <c r="A1028">
        <v>406053</v>
      </c>
      <c r="B1028" t="s">
        <v>3932</v>
      </c>
      <c r="C1028" t="e">
        <f>VLOOKUP(A1028,[1]Customer_payment_journal_line!$AL:$BO,30,0)</f>
        <v>#N/A</v>
      </c>
      <c r="D1028" t="s">
        <v>53</v>
      </c>
      <c r="E1028" t="s">
        <v>3930</v>
      </c>
      <c r="F1028" t="s">
        <v>3931</v>
      </c>
      <c r="G1028" t="s">
        <v>3455</v>
      </c>
      <c r="H1028" t="s">
        <v>69</v>
      </c>
      <c r="I1028" t="s">
        <v>3642</v>
      </c>
      <c r="J1028" t="s">
        <v>3859</v>
      </c>
      <c r="K1028" t="s">
        <v>3873</v>
      </c>
      <c r="L1028" t="s">
        <v>52</v>
      </c>
      <c r="M1028">
        <v>0</v>
      </c>
      <c r="N1028">
        <v>690</v>
      </c>
      <c r="O1028" t="s">
        <v>178</v>
      </c>
      <c r="P1028">
        <v>5085</v>
      </c>
      <c r="Q1028" t="s">
        <v>52</v>
      </c>
      <c r="R1028" t="s">
        <v>52</v>
      </c>
      <c r="S1028" t="s">
        <v>52</v>
      </c>
      <c r="T1028" t="s">
        <v>52</v>
      </c>
      <c r="U1028" t="s">
        <v>52</v>
      </c>
      <c r="V1028" t="s">
        <v>62</v>
      </c>
      <c r="W1028" t="s">
        <v>52</v>
      </c>
      <c r="Y1028" t="s">
        <v>3643</v>
      </c>
      <c r="Z1028" t="s">
        <v>62</v>
      </c>
      <c r="AB1028" t="s">
        <v>3933</v>
      </c>
      <c r="AE1028" t="s">
        <v>3934</v>
      </c>
      <c r="AF1028" t="s">
        <v>52</v>
      </c>
      <c r="AH1028">
        <v>0</v>
      </c>
      <c r="AI1028">
        <v>0</v>
      </c>
      <c r="AJ1028" t="s">
        <v>52</v>
      </c>
      <c r="AK1028">
        <v>0</v>
      </c>
      <c r="AL1028" t="s">
        <v>52</v>
      </c>
      <c r="AM1028" t="s">
        <v>52</v>
      </c>
      <c r="AN1028">
        <v>0</v>
      </c>
      <c r="AO1028">
        <v>0</v>
      </c>
      <c r="AP1028" t="s">
        <v>52</v>
      </c>
      <c r="AQ1028" t="s">
        <v>52</v>
      </c>
      <c r="AR1028" t="s">
        <v>62</v>
      </c>
      <c r="AS1028" t="s">
        <v>52</v>
      </c>
      <c r="AT1028" t="s">
        <v>74</v>
      </c>
      <c r="AU1028" t="s">
        <v>64</v>
      </c>
      <c r="AV1028" t="s">
        <v>62</v>
      </c>
      <c r="AW1028" t="s">
        <v>65</v>
      </c>
      <c r="AX1028" t="s">
        <v>66</v>
      </c>
      <c r="AY1028" t="s">
        <v>67</v>
      </c>
    </row>
    <row r="1029" spans="1:51" hidden="1" x14ac:dyDescent="0.25">
      <c r="A1029">
        <v>406054</v>
      </c>
      <c r="B1029" t="s">
        <v>3935</v>
      </c>
      <c r="C1029" t="e">
        <f>VLOOKUP(A1029,[1]Customer_payment_journal_line!$AL:$BO,30,0)</f>
        <v>#N/A</v>
      </c>
      <c r="D1029" t="s">
        <v>53</v>
      </c>
      <c r="E1029" t="s">
        <v>3936</v>
      </c>
      <c r="F1029" t="s">
        <v>3937</v>
      </c>
      <c r="G1029" t="s">
        <v>3455</v>
      </c>
      <c r="H1029" t="s">
        <v>57</v>
      </c>
      <c r="I1029" t="s">
        <v>58</v>
      </c>
      <c r="J1029" t="s">
        <v>3639</v>
      </c>
      <c r="K1029" t="s">
        <v>3640</v>
      </c>
      <c r="L1029" t="s">
        <v>52</v>
      </c>
      <c r="M1029">
        <v>15048</v>
      </c>
      <c r="N1029">
        <v>0</v>
      </c>
      <c r="O1029" t="s">
        <v>61</v>
      </c>
      <c r="P1029">
        <v>100</v>
      </c>
      <c r="Q1029" t="s">
        <v>52</v>
      </c>
      <c r="R1029" t="s">
        <v>52</v>
      </c>
      <c r="S1029" t="s">
        <v>52</v>
      </c>
      <c r="T1029" t="s">
        <v>52</v>
      </c>
      <c r="U1029" t="s">
        <v>52</v>
      </c>
      <c r="V1029" t="s">
        <v>62</v>
      </c>
      <c r="W1029" t="s">
        <v>63</v>
      </c>
      <c r="Y1029" t="s">
        <v>52</v>
      </c>
      <c r="AB1029" t="s">
        <v>52</v>
      </c>
      <c r="AE1029" t="s">
        <v>52</v>
      </c>
      <c r="AF1029" t="s">
        <v>52</v>
      </c>
      <c r="AH1029">
        <v>0</v>
      </c>
      <c r="AI1029">
        <v>0</v>
      </c>
      <c r="AJ1029" t="s">
        <v>52</v>
      </c>
      <c r="AK1029">
        <v>0</v>
      </c>
      <c r="AL1029" t="s">
        <v>52</v>
      </c>
      <c r="AM1029" t="s">
        <v>52</v>
      </c>
      <c r="AN1029">
        <v>0</v>
      </c>
      <c r="AO1029">
        <v>0</v>
      </c>
      <c r="AP1029" t="s">
        <v>52</v>
      </c>
      <c r="AQ1029" t="s">
        <v>52</v>
      </c>
      <c r="AR1029" t="s">
        <v>62</v>
      </c>
      <c r="AS1029" t="s">
        <v>52</v>
      </c>
      <c r="AT1029" t="s">
        <v>52</v>
      </c>
      <c r="AU1029" t="s">
        <v>64</v>
      </c>
      <c r="AV1029" t="s">
        <v>62</v>
      </c>
      <c r="AW1029" t="s">
        <v>65</v>
      </c>
      <c r="AX1029" t="s">
        <v>66</v>
      </c>
      <c r="AY1029" t="s">
        <v>67</v>
      </c>
    </row>
    <row r="1030" spans="1:51" hidden="1" x14ac:dyDescent="0.25">
      <c r="A1030">
        <v>406054</v>
      </c>
      <c r="B1030" t="s">
        <v>3938</v>
      </c>
      <c r="C1030" t="e">
        <f>VLOOKUP(A1030,[1]Customer_payment_journal_line!$AL:$BO,30,0)</f>
        <v>#N/A</v>
      </c>
      <c r="D1030" t="s">
        <v>53</v>
      </c>
      <c r="E1030" t="s">
        <v>3936</v>
      </c>
      <c r="F1030" t="s">
        <v>3937</v>
      </c>
      <c r="G1030" t="s">
        <v>3455</v>
      </c>
      <c r="H1030" t="s">
        <v>69</v>
      </c>
      <c r="I1030" t="s">
        <v>3642</v>
      </c>
      <c r="J1030" t="s">
        <v>3639</v>
      </c>
      <c r="K1030" t="s">
        <v>3640</v>
      </c>
      <c r="L1030" t="s">
        <v>52</v>
      </c>
      <c r="M1030">
        <v>0</v>
      </c>
      <c r="N1030">
        <v>15048</v>
      </c>
      <c r="O1030" t="s">
        <v>61</v>
      </c>
      <c r="P1030">
        <v>100</v>
      </c>
      <c r="Q1030" t="s">
        <v>52</v>
      </c>
      <c r="R1030" t="s">
        <v>52</v>
      </c>
      <c r="S1030" t="s">
        <v>52</v>
      </c>
      <c r="T1030" t="s">
        <v>52</v>
      </c>
      <c r="U1030" t="s">
        <v>52</v>
      </c>
      <c r="V1030" t="s">
        <v>62</v>
      </c>
      <c r="W1030" t="s">
        <v>52</v>
      </c>
      <c r="Y1030" t="s">
        <v>3643</v>
      </c>
      <c r="Z1030" t="s">
        <v>62</v>
      </c>
      <c r="AB1030" t="s">
        <v>3939</v>
      </c>
      <c r="AE1030" t="s">
        <v>3940</v>
      </c>
      <c r="AF1030" t="s">
        <v>52</v>
      </c>
      <c r="AH1030">
        <v>0</v>
      </c>
      <c r="AI1030">
        <v>0</v>
      </c>
      <c r="AJ1030" t="s">
        <v>52</v>
      </c>
      <c r="AK1030">
        <v>0</v>
      </c>
      <c r="AL1030" t="s">
        <v>52</v>
      </c>
      <c r="AM1030" t="s">
        <v>52</v>
      </c>
      <c r="AN1030">
        <v>0</v>
      </c>
      <c r="AO1030">
        <v>0</v>
      </c>
      <c r="AP1030" t="s">
        <v>52</v>
      </c>
      <c r="AQ1030" t="s">
        <v>52</v>
      </c>
      <c r="AR1030" t="s">
        <v>62</v>
      </c>
      <c r="AS1030" t="s">
        <v>52</v>
      </c>
      <c r="AT1030" t="s">
        <v>74</v>
      </c>
      <c r="AU1030" t="s">
        <v>64</v>
      </c>
      <c r="AV1030" t="s">
        <v>62</v>
      </c>
      <c r="AW1030" t="s">
        <v>65</v>
      </c>
      <c r="AX1030" t="s">
        <v>66</v>
      </c>
      <c r="AY1030" t="s">
        <v>67</v>
      </c>
    </row>
    <row r="1031" spans="1:51" hidden="1" x14ac:dyDescent="0.25">
      <c r="A1031">
        <v>406055</v>
      </c>
      <c r="B1031" t="s">
        <v>3941</v>
      </c>
      <c r="C1031" t="e">
        <f>VLOOKUP(A1031,[1]Customer_payment_journal_line!$AL:$BO,30,0)</f>
        <v>#N/A</v>
      </c>
      <c r="D1031" t="s">
        <v>53</v>
      </c>
      <c r="E1031" t="s">
        <v>3942</v>
      </c>
      <c r="F1031" t="s">
        <v>3943</v>
      </c>
      <c r="G1031" t="s">
        <v>3455</v>
      </c>
      <c r="H1031" t="s">
        <v>57</v>
      </c>
      <c r="I1031" t="s">
        <v>58</v>
      </c>
      <c r="J1031" t="s">
        <v>3639</v>
      </c>
      <c r="K1031" t="s">
        <v>3640</v>
      </c>
      <c r="L1031" t="s">
        <v>52</v>
      </c>
      <c r="M1031">
        <v>855</v>
      </c>
      <c r="N1031">
        <v>0</v>
      </c>
      <c r="O1031" t="s">
        <v>61</v>
      </c>
      <c r="P1031">
        <v>100</v>
      </c>
      <c r="Q1031" t="s">
        <v>52</v>
      </c>
      <c r="R1031" t="s">
        <v>52</v>
      </c>
      <c r="S1031" t="s">
        <v>52</v>
      </c>
      <c r="T1031" t="s">
        <v>52</v>
      </c>
      <c r="U1031" t="s">
        <v>52</v>
      </c>
      <c r="V1031" t="s">
        <v>62</v>
      </c>
      <c r="W1031" t="s">
        <v>63</v>
      </c>
      <c r="Y1031" t="s">
        <v>52</v>
      </c>
      <c r="AB1031" t="s">
        <v>52</v>
      </c>
      <c r="AE1031" t="s">
        <v>52</v>
      </c>
      <c r="AF1031" t="s">
        <v>52</v>
      </c>
      <c r="AH1031">
        <v>0</v>
      </c>
      <c r="AI1031">
        <v>0</v>
      </c>
      <c r="AJ1031" t="s">
        <v>52</v>
      </c>
      <c r="AK1031">
        <v>0</v>
      </c>
      <c r="AL1031" t="s">
        <v>52</v>
      </c>
      <c r="AM1031" t="s">
        <v>52</v>
      </c>
      <c r="AN1031">
        <v>0</v>
      </c>
      <c r="AO1031">
        <v>0</v>
      </c>
      <c r="AP1031" t="s">
        <v>52</v>
      </c>
      <c r="AQ1031" t="s">
        <v>52</v>
      </c>
      <c r="AR1031" t="s">
        <v>62</v>
      </c>
      <c r="AS1031" t="s">
        <v>52</v>
      </c>
      <c r="AT1031" t="s">
        <v>52</v>
      </c>
      <c r="AU1031" t="s">
        <v>64</v>
      </c>
      <c r="AV1031" t="s">
        <v>62</v>
      </c>
      <c r="AW1031" t="s">
        <v>65</v>
      </c>
      <c r="AX1031" t="s">
        <v>66</v>
      </c>
      <c r="AY1031" t="s">
        <v>67</v>
      </c>
    </row>
    <row r="1032" spans="1:51" hidden="1" x14ac:dyDescent="0.25">
      <c r="A1032">
        <v>406055</v>
      </c>
      <c r="B1032" t="s">
        <v>3944</v>
      </c>
      <c r="C1032" t="e">
        <f>VLOOKUP(A1032,[1]Customer_payment_journal_line!$AL:$BO,30,0)</f>
        <v>#N/A</v>
      </c>
      <c r="D1032" t="s">
        <v>53</v>
      </c>
      <c r="E1032" t="s">
        <v>3942</v>
      </c>
      <c r="F1032" t="s">
        <v>3943</v>
      </c>
      <c r="G1032" t="s">
        <v>3455</v>
      </c>
      <c r="H1032" t="s">
        <v>69</v>
      </c>
      <c r="I1032" t="s">
        <v>3642</v>
      </c>
      <c r="J1032" t="s">
        <v>3639</v>
      </c>
      <c r="K1032" t="s">
        <v>3640</v>
      </c>
      <c r="L1032" t="s">
        <v>52</v>
      </c>
      <c r="M1032">
        <v>0</v>
      </c>
      <c r="N1032">
        <v>855</v>
      </c>
      <c r="O1032" t="s">
        <v>61</v>
      </c>
      <c r="P1032">
        <v>100</v>
      </c>
      <c r="Q1032" t="s">
        <v>52</v>
      </c>
      <c r="R1032" t="s">
        <v>52</v>
      </c>
      <c r="S1032" t="s">
        <v>52</v>
      </c>
      <c r="T1032" t="s">
        <v>52</v>
      </c>
      <c r="U1032" t="s">
        <v>52</v>
      </c>
      <c r="V1032" t="s">
        <v>62</v>
      </c>
      <c r="W1032" t="s">
        <v>52</v>
      </c>
      <c r="Y1032" t="s">
        <v>3643</v>
      </c>
      <c r="Z1032" t="s">
        <v>62</v>
      </c>
      <c r="AB1032" t="s">
        <v>3945</v>
      </c>
      <c r="AE1032" t="s">
        <v>3946</v>
      </c>
      <c r="AF1032" t="s">
        <v>52</v>
      </c>
      <c r="AH1032">
        <v>0</v>
      </c>
      <c r="AI1032">
        <v>0</v>
      </c>
      <c r="AJ1032" t="s">
        <v>52</v>
      </c>
      <c r="AK1032">
        <v>0</v>
      </c>
      <c r="AL1032" t="s">
        <v>52</v>
      </c>
      <c r="AM1032" t="s">
        <v>52</v>
      </c>
      <c r="AN1032">
        <v>0</v>
      </c>
      <c r="AO1032">
        <v>0</v>
      </c>
      <c r="AP1032" t="s">
        <v>52</v>
      </c>
      <c r="AQ1032" t="s">
        <v>52</v>
      </c>
      <c r="AR1032" t="s">
        <v>62</v>
      </c>
      <c r="AS1032" t="s">
        <v>52</v>
      </c>
      <c r="AT1032" t="s">
        <v>74</v>
      </c>
      <c r="AU1032" t="s">
        <v>64</v>
      </c>
      <c r="AV1032" t="s">
        <v>62</v>
      </c>
      <c r="AW1032" t="s">
        <v>65</v>
      </c>
      <c r="AX1032" t="s">
        <v>66</v>
      </c>
      <c r="AY1032" t="s">
        <v>67</v>
      </c>
    </row>
    <row r="1033" spans="1:51" hidden="1" x14ac:dyDescent="0.25">
      <c r="A1033">
        <v>203094</v>
      </c>
      <c r="B1033" t="s">
        <v>3947</v>
      </c>
      <c r="C1033" t="e">
        <f>VLOOKUP(A1033,[1]Customer_payment_journal_line!$AL:$BO,30,0)</f>
        <v>#N/A</v>
      </c>
      <c r="D1033" t="s">
        <v>53</v>
      </c>
      <c r="E1033" t="s">
        <v>3948</v>
      </c>
      <c r="F1033" t="s">
        <v>3949</v>
      </c>
      <c r="G1033" t="s">
        <v>3455</v>
      </c>
      <c r="H1033" t="s">
        <v>57</v>
      </c>
      <c r="I1033" t="s">
        <v>58</v>
      </c>
      <c r="J1033" t="s">
        <v>3950</v>
      </c>
      <c r="K1033" t="s">
        <v>3951</v>
      </c>
      <c r="L1033" t="s">
        <v>52</v>
      </c>
      <c r="M1033">
        <v>2850</v>
      </c>
      <c r="N1033">
        <v>0</v>
      </c>
      <c r="O1033" t="s">
        <v>61</v>
      </c>
      <c r="P1033">
        <v>100</v>
      </c>
      <c r="Q1033" t="s">
        <v>52</v>
      </c>
      <c r="R1033" t="s">
        <v>52</v>
      </c>
      <c r="S1033" t="s">
        <v>52</v>
      </c>
      <c r="T1033" t="s">
        <v>52</v>
      </c>
      <c r="U1033" t="s">
        <v>52</v>
      </c>
      <c r="V1033" t="s">
        <v>62</v>
      </c>
      <c r="W1033" t="s">
        <v>63</v>
      </c>
      <c r="Y1033" t="s">
        <v>52</v>
      </c>
      <c r="AB1033" t="s">
        <v>52</v>
      </c>
      <c r="AE1033" t="s">
        <v>52</v>
      </c>
      <c r="AF1033" t="s">
        <v>52</v>
      </c>
      <c r="AH1033">
        <v>0</v>
      </c>
      <c r="AI1033">
        <v>0</v>
      </c>
      <c r="AJ1033" t="s">
        <v>52</v>
      </c>
      <c r="AK1033">
        <v>0</v>
      </c>
      <c r="AL1033" t="s">
        <v>52</v>
      </c>
      <c r="AM1033" t="s">
        <v>52</v>
      </c>
      <c r="AN1033">
        <v>0</v>
      </c>
      <c r="AO1033">
        <v>0</v>
      </c>
      <c r="AP1033" t="s">
        <v>52</v>
      </c>
      <c r="AQ1033" t="s">
        <v>52</v>
      </c>
      <c r="AR1033" t="s">
        <v>62</v>
      </c>
      <c r="AS1033" t="s">
        <v>52</v>
      </c>
      <c r="AT1033" t="s">
        <v>52</v>
      </c>
      <c r="AU1033" t="s">
        <v>64</v>
      </c>
      <c r="AV1033" t="s">
        <v>62</v>
      </c>
      <c r="AW1033" t="s">
        <v>65</v>
      </c>
      <c r="AX1033" t="s">
        <v>66</v>
      </c>
      <c r="AY1033" t="s">
        <v>67</v>
      </c>
    </row>
    <row r="1034" spans="1:51" hidden="1" x14ac:dyDescent="0.25">
      <c r="A1034">
        <v>203094</v>
      </c>
      <c r="B1034" t="s">
        <v>3952</v>
      </c>
      <c r="C1034" t="e">
        <f>VLOOKUP(A1034,[1]Customer_payment_journal_line!$AL:$BO,30,0)</f>
        <v>#N/A</v>
      </c>
      <c r="D1034" t="s">
        <v>53</v>
      </c>
      <c r="E1034" t="s">
        <v>3948</v>
      </c>
      <c r="F1034" t="s">
        <v>3949</v>
      </c>
      <c r="G1034" t="s">
        <v>3455</v>
      </c>
      <c r="H1034" t="s">
        <v>69</v>
      </c>
      <c r="I1034" t="s">
        <v>529</v>
      </c>
      <c r="J1034" t="s">
        <v>3950</v>
      </c>
      <c r="K1034" t="s">
        <v>3951</v>
      </c>
      <c r="L1034" t="s">
        <v>52</v>
      </c>
      <c r="M1034">
        <v>0</v>
      </c>
      <c r="N1034">
        <v>2850</v>
      </c>
      <c r="O1034" t="s">
        <v>61</v>
      </c>
      <c r="P1034">
        <v>100</v>
      </c>
      <c r="Q1034" t="s">
        <v>52</v>
      </c>
      <c r="R1034" t="s">
        <v>52</v>
      </c>
      <c r="S1034" t="s">
        <v>52</v>
      </c>
      <c r="T1034" t="s">
        <v>52</v>
      </c>
      <c r="U1034" t="s">
        <v>52</v>
      </c>
      <c r="V1034" t="s">
        <v>62</v>
      </c>
      <c r="W1034" t="s">
        <v>52</v>
      </c>
      <c r="Y1034" t="s">
        <v>530</v>
      </c>
      <c r="Z1034" t="s">
        <v>62</v>
      </c>
      <c r="AB1034" t="s">
        <v>3953</v>
      </c>
      <c r="AE1034" t="s">
        <v>3954</v>
      </c>
      <c r="AF1034" t="s">
        <v>52</v>
      </c>
      <c r="AH1034">
        <v>0</v>
      </c>
      <c r="AI1034">
        <v>0</v>
      </c>
      <c r="AJ1034" t="s">
        <v>52</v>
      </c>
      <c r="AK1034">
        <v>0</v>
      </c>
      <c r="AL1034" t="s">
        <v>52</v>
      </c>
      <c r="AM1034" t="s">
        <v>52</v>
      </c>
      <c r="AN1034">
        <v>0</v>
      </c>
      <c r="AO1034">
        <v>0</v>
      </c>
      <c r="AP1034" t="s">
        <v>52</v>
      </c>
      <c r="AQ1034" t="s">
        <v>52</v>
      </c>
      <c r="AR1034" t="s">
        <v>62</v>
      </c>
      <c r="AS1034" t="s">
        <v>52</v>
      </c>
      <c r="AT1034" t="s">
        <v>74</v>
      </c>
      <c r="AU1034" t="s">
        <v>64</v>
      </c>
      <c r="AV1034" t="s">
        <v>62</v>
      </c>
      <c r="AW1034" t="s">
        <v>65</v>
      </c>
      <c r="AX1034" t="s">
        <v>66</v>
      </c>
      <c r="AY1034" t="s">
        <v>67</v>
      </c>
    </row>
    <row r="1035" spans="1:51" hidden="1" x14ac:dyDescent="0.25">
      <c r="A1035">
        <v>203095</v>
      </c>
      <c r="B1035" t="s">
        <v>3955</v>
      </c>
      <c r="C1035" t="e">
        <f>VLOOKUP(A1035,[1]Customer_payment_journal_line!$AL:$BO,30,0)</f>
        <v>#N/A</v>
      </c>
      <c r="D1035" t="s">
        <v>53</v>
      </c>
      <c r="E1035" t="s">
        <v>3956</v>
      </c>
      <c r="F1035" t="s">
        <v>3957</v>
      </c>
      <c r="G1035" t="s">
        <v>3455</v>
      </c>
      <c r="H1035" t="s">
        <v>57</v>
      </c>
      <c r="I1035" t="s">
        <v>58</v>
      </c>
      <c r="J1035" t="s">
        <v>3958</v>
      </c>
      <c r="K1035" t="s">
        <v>3959</v>
      </c>
      <c r="L1035" t="s">
        <v>52</v>
      </c>
      <c r="M1035">
        <v>3192</v>
      </c>
      <c r="N1035">
        <v>0</v>
      </c>
      <c r="O1035" t="s">
        <v>61</v>
      </c>
      <c r="P1035">
        <v>100</v>
      </c>
      <c r="Q1035" t="s">
        <v>52</v>
      </c>
      <c r="R1035" t="s">
        <v>52</v>
      </c>
      <c r="S1035" t="s">
        <v>52</v>
      </c>
      <c r="T1035" t="s">
        <v>52</v>
      </c>
      <c r="U1035" t="s">
        <v>52</v>
      </c>
      <c r="V1035" t="s">
        <v>62</v>
      </c>
      <c r="W1035" t="s">
        <v>63</v>
      </c>
      <c r="Y1035" t="s">
        <v>52</v>
      </c>
      <c r="AB1035" t="s">
        <v>52</v>
      </c>
      <c r="AE1035" t="s">
        <v>52</v>
      </c>
      <c r="AF1035" t="s">
        <v>52</v>
      </c>
      <c r="AH1035">
        <v>0</v>
      </c>
      <c r="AI1035">
        <v>0</v>
      </c>
      <c r="AJ1035" t="s">
        <v>52</v>
      </c>
      <c r="AK1035">
        <v>0</v>
      </c>
      <c r="AL1035" t="s">
        <v>52</v>
      </c>
      <c r="AM1035" t="s">
        <v>52</v>
      </c>
      <c r="AN1035">
        <v>0</v>
      </c>
      <c r="AO1035">
        <v>0</v>
      </c>
      <c r="AP1035" t="s">
        <v>52</v>
      </c>
      <c r="AQ1035" t="s">
        <v>52</v>
      </c>
      <c r="AR1035" t="s">
        <v>62</v>
      </c>
      <c r="AS1035" t="s">
        <v>52</v>
      </c>
      <c r="AT1035" t="s">
        <v>52</v>
      </c>
      <c r="AU1035" t="s">
        <v>64</v>
      </c>
      <c r="AV1035" t="s">
        <v>62</v>
      </c>
      <c r="AW1035" t="s">
        <v>65</v>
      </c>
      <c r="AX1035" t="s">
        <v>66</v>
      </c>
      <c r="AY1035" t="s">
        <v>67</v>
      </c>
    </row>
    <row r="1036" spans="1:51" hidden="1" x14ac:dyDescent="0.25">
      <c r="A1036">
        <v>203095</v>
      </c>
      <c r="B1036" t="s">
        <v>3960</v>
      </c>
      <c r="C1036" t="e">
        <f>VLOOKUP(A1036,[1]Customer_payment_journal_line!$AL:$BO,30,0)</f>
        <v>#N/A</v>
      </c>
      <c r="D1036" t="s">
        <v>53</v>
      </c>
      <c r="E1036" t="s">
        <v>3956</v>
      </c>
      <c r="F1036" t="s">
        <v>3957</v>
      </c>
      <c r="G1036" t="s">
        <v>3455</v>
      </c>
      <c r="H1036" t="s">
        <v>69</v>
      </c>
      <c r="I1036" t="s">
        <v>529</v>
      </c>
      <c r="J1036" t="s">
        <v>3958</v>
      </c>
      <c r="K1036" t="s">
        <v>3959</v>
      </c>
      <c r="L1036" t="s">
        <v>52</v>
      </c>
      <c r="M1036">
        <v>0</v>
      </c>
      <c r="N1036">
        <v>3192</v>
      </c>
      <c r="O1036" t="s">
        <v>61</v>
      </c>
      <c r="P1036">
        <v>100</v>
      </c>
      <c r="Q1036" t="s">
        <v>52</v>
      </c>
      <c r="R1036" t="s">
        <v>52</v>
      </c>
      <c r="S1036" t="s">
        <v>52</v>
      </c>
      <c r="T1036" t="s">
        <v>52</v>
      </c>
      <c r="U1036" t="s">
        <v>52</v>
      </c>
      <c r="V1036" t="s">
        <v>62</v>
      </c>
      <c r="W1036" t="s">
        <v>52</v>
      </c>
      <c r="Y1036" t="s">
        <v>530</v>
      </c>
      <c r="Z1036" t="s">
        <v>62</v>
      </c>
      <c r="AB1036" t="s">
        <v>3961</v>
      </c>
      <c r="AE1036" t="s">
        <v>3962</v>
      </c>
      <c r="AF1036" t="s">
        <v>52</v>
      </c>
      <c r="AH1036">
        <v>0</v>
      </c>
      <c r="AI1036">
        <v>0</v>
      </c>
      <c r="AJ1036" t="s">
        <v>52</v>
      </c>
      <c r="AK1036">
        <v>0</v>
      </c>
      <c r="AL1036" t="s">
        <v>52</v>
      </c>
      <c r="AM1036" t="s">
        <v>52</v>
      </c>
      <c r="AN1036">
        <v>0</v>
      </c>
      <c r="AO1036">
        <v>0</v>
      </c>
      <c r="AP1036" t="s">
        <v>52</v>
      </c>
      <c r="AQ1036" t="s">
        <v>52</v>
      </c>
      <c r="AR1036" t="s">
        <v>62</v>
      </c>
      <c r="AS1036" t="s">
        <v>52</v>
      </c>
      <c r="AT1036" t="s">
        <v>74</v>
      </c>
      <c r="AU1036" t="s">
        <v>64</v>
      </c>
      <c r="AV1036" t="s">
        <v>62</v>
      </c>
      <c r="AW1036" t="s">
        <v>65</v>
      </c>
      <c r="AX1036" t="s">
        <v>66</v>
      </c>
      <c r="AY1036" t="s">
        <v>67</v>
      </c>
    </row>
    <row r="1037" spans="1:51" hidden="1" x14ac:dyDescent="0.25">
      <c r="A1037">
        <v>203096</v>
      </c>
      <c r="B1037" t="s">
        <v>3963</v>
      </c>
      <c r="C1037" t="e">
        <f>VLOOKUP(A1037,[1]Customer_payment_journal_line!$AL:$BO,30,0)</f>
        <v>#N/A</v>
      </c>
      <c r="D1037" t="s">
        <v>53</v>
      </c>
      <c r="E1037" t="s">
        <v>3964</v>
      </c>
      <c r="F1037" t="s">
        <v>3965</v>
      </c>
      <c r="G1037" t="s">
        <v>3455</v>
      </c>
      <c r="H1037" t="s">
        <v>57</v>
      </c>
      <c r="I1037" t="s">
        <v>58</v>
      </c>
      <c r="J1037" t="s">
        <v>3958</v>
      </c>
      <c r="K1037" t="s">
        <v>3959</v>
      </c>
      <c r="L1037" t="s">
        <v>52</v>
      </c>
      <c r="M1037">
        <v>855</v>
      </c>
      <c r="N1037">
        <v>0</v>
      </c>
      <c r="O1037" t="s">
        <v>61</v>
      </c>
      <c r="P1037">
        <v>100</v>
      </c>
      <c r="Q1037" t="s">
        <v>52</v>
      </c>
      <c r="R1037" t="s">
        <v>52</v>
      </c>
      <c r="S1037" t="s">
        <v>52</v>
      </c>
      <c r="T1037" t="s">
        <v>52</v>
      </c>
      <c r="U1037" t="s">
        <v>52</v>
      </c>
      <c r="V1037" t="s">
        <v>62</v>
      </c>
      <c r="W1037" t="s">
        <v>63</v>
      </c>
      <c r="Y1037" t="s">
        <v>52</v>
      </c>
      <c r="AB1037" t="s">
        <v>52</v>
      </c>
      <c r="AE1037" t="s">
        <v>52</v>
      </c>
      <c r="AF1037" t="s">
        <v>52</v>
      </c>
      <c r="AH1037">
        <v>0</v>
      </c>
      <c r="AI1037">
        <v>0</v>
      </c>
      <c r="AJ1037" t="s">
        <v>52</v>
      </c>
      <c r="AK1037">
        <v>0</v>
      </c>
      <c r="AL1037" t="s">
        <v>52</v>
      </c>
      <c r="AM1037" t="s">
        <v>52</v>
      </c>
      <c r="AN1037">
        <v>0</v>
      </c>
      <c r="AO1037">
        <v>0</v>
      </c>
      <c r="AP1037" t="s">
        <v>52</v>
      </c>
      <c r="AQ1037" t="s">
        <v>52</v>
      </c>
      <c r="AR1037" t="s">
        <v>62</v>
      </c>
      <c r="AS1037" t="s">
        <v>52</v>
      </c>
      <c r="AT1037" t="s">
        <v>52</v>
      </c>
      <c r="AU1037" t="s">
        <v>64</v>
      </c>
      <c r="AV1037" t="s">
        <v>62</v>
      </c>
      <c r="AW1037" t="s">
        <v>65</v>
      </c>
      <c r="AX1037" t="s">
        <v>66</v>
      </c>
      <c r="AY1037" t="s">
        <v>67</v>
      </c>
    </row>
    <row r="1038" spans="1:51" hidden="1" x14ac:dyDescent="0.25">
      <c r="A1038">
        <v>203096</v>
      </c>
      <c r="B1038" t="s">
        <v>3966</v>
      </c>
      <c r="C1038" t="e">
        <f>VLOOKUP(A1038,[1]Customer_payment_journal_line!$AL:$BO,30,0)</f>
        <v>#N/A</v>
      </c>
      <c r="D1038" t="s">
        <v>53</v>
      </c>
      <c r="E1038" t="s">
        <v>3964</v>
      </c>
      <c r="F1038" t="s">
        <v>3965</v>
      </c>
      <c r="G1038" t="s">
        <v>3455</v>
      </c>
      <c r="H1038" t="s">
        <v>69</v>
      </c>
      <c r="I1038" t="s">
        <v>529</v>
      </c>
      <c r="J1038" t="s">
        <v>3958</v>
      </c>
      <c r="K1038" t="s">
        <v>3959</v>
      </c>
      <c r="L1038" t="s">
        <v>52</v>
      </c>
      <c r="M1038">
        <v>0</v>
      </c>
      <c r="N1038">
        <v>855</v>
      </c>
      <c r="O1038" t="s">
        <v>61</v>
      </c>
      <c r="P1038">
        <v>100</v>
      </c>
      <c r="Q1038" t="s">
        <v>52</v>
      </c>
      <c r="R1038" t="s">
        <v>52</v>
      </c>
      <c r="S1038" t="s">
        <v>52</v>
      </c>
      <c r="T1038" t="s">
        <v>52</v>
      </c>
      <c r="U1038" t="s">
        <v>52</v>
      </c>
      <c r="V1038" t="s">
        <v>62</v>
      </c>
      <c r="W1038" t="s">
        <v>52</v>
      </c>
      <c r="Y1038" t="s">
        <v>530</v>
      </c>
      <c r="Z1038" t="s">
        <v>62</v>
      </c>
      <c r="AB1038" t="s">
        <v>3967</v>
      </c>
      <c r="AE1038" t="s">
        <v>3968</v>
      </c>
      <c r="AF1038" t="s">
        <v>52</v>
      </c>
      <c r="AH1038">
        <v>0</v>
      </c>
      <c r="AI1038">
        <v>0</v>
      </c>
      <c r="AJ1038" t="s">
        <v>52</v>
      </c>
      <c r="AK1038">
        <v>0</v>
      </c>
      <c r="AL1038" t="s">
        <v>52</v>
      </c>
      <c r="AM1038" t="s">
        <v>52</v>
      </c>
      <c r="AN1038">
        <v>0</v>
      </c>
      <c r="AO1038">
        <v>0</v>
      </c>
      <c r="AP1038" t="s">
        <v>52</v>
      </c>
      <c r="AQ1038" t="s">
        <v>52</v>
      </c>
      <c r="AR1038" t="s">
        <v>62</v>
      </c>
      <c r="AS1038" t="s">
        <v>52</v>
      </c>
      <c r="AT1038" t="s">
        <v>74</v>
      </c>
      <c r="AU1038" t="s">
        <v>64</v>
      </c>
      <c r="AV1038" t="s">
        <v>62</v>
      </c>
      <c r="AW1038" t="s">
        <v>65</v>
      </c>
      <c r="AX1038" t="s">
        <v>66</v>
      </c>
      <c r="AY1038" t="s">
        <v>67</v>
      </c>
    </row>
    <row r="1039" spans="1:51" hidden="1" x14ac:dyDescent="0.25">
      <c r="A1039">
        <v>203099</v>
      </c>
      <c r="B1039" t="s">
        <v>3969</v>
      </c>
      <c r="C1039" t="e">
        <f>VLOOKUP(A1039,[1]Customer_payment_journal_line!$AL:$BO,30,0)</f>
        <v>#N/A</v>
      </c>
      <c r="D1039" t="s">
        <v>53</v>
      </c>
      <c r="E1039" t="s">
        <v>3970</v>
      </c>
      <c r="F1039" t="s">
        <v>3971</v>
      </c>
      <c r="G1039" t="s">
        <v>3455</v>
      </c>
      <c r="H1039" t="s">
        <v>57</v>
      </c>
      <c r="I1039" t="s">
        <v>58</v>
      </c>
      <c r="J1039" t="s">
        <v>603</v>
      </c>
      <c r="K1039" t="s">
        <v>3489</v>
      </c>
      <c r="L1039" t="s">
        <v>52</v>
      </c>
      <c r="M1039">
        <v>1000</v>
      </c>
      <c r="N1039">
        <v>0</v>
      </c>
      <c r="O1039" t="s">
        <v>61</v>
      </c>
      <c r="P1039">
        <v>100</v>
      </c>
      <c r="Q1039" t="s">
        <v>52</v>
      </c>
      <c r="R1039" t="s">
        <v>52</v>
      </c>
      <c r="S1039" t="s">
        <v>52</v>
      </c>
      <c r="T1039" t="s">
        <v>52</v>
      </c>
      <c r="U1039" t="s">
        <v>52</v>
      </c>
      <c r="V1039" t="s">
        <v>62</v>
      </c>
      <c r="W1039" t="s">
        <v>63</v>
      </c>
      <c r="Y1039" t="s">
        <v>52</v>
      </c>
      <c r="AB1039" t="s">
        <v>52</v>
      </c>
      <c r="AE1039" t="s">
        <v>52</v>
      </c>
      <c r="AF1039" t="s">
        <v>52</v>
      </c>
      <c r="AH1039">
        <v>0</v>
      </c>
      <c r="AI1039">
        <v>0</v>
      </c>
      <c r="AJ1039" t="s">
        <v>52</v>
      </c>
      <c r="AK1039">
        <v>0</v>
      </c>
      <c r="AL1039" t="s">
        <v>52</v>
      </c>
      <c r="AM1039" t="s">
        <v>52</v>
      </c>
      <c r="AN1039">
        <v>0</v>
      </c>
      <c r="AO1039">
        <v>0</v>
      </c>
      <c r="AP1039" t="s">
        <v>52</v>
      </c>
      <c r="AQ1039" t="s">
        <v>52</v>
      </c>
      <c r="AR1039" t="s">
        <v>62</v>
      </c>
      <c r="AS1039" t="s">
        <v>52</v>
      </c>
      <c r="AT1039" t="s">
        <v>52</v>
      </c>
      <c r="AU1039" t="s">
        <v>64</v>
      </c>
      <c r="AV1039" t="s">
        <v>62</v>
      </c>
      <c r="AW1039" t="s">
        <v>65</v>
      </c>
      <c r="AX1039" t="s">
        <v>66</v>
      </c>
      <c r="AY1039" t="s">
        <v>67</v>
      </c>
    </row>
    <row r="1040" spans="1:51" hidden="1" x14ac:dyDescent="0.25">
      <c r="A1040">
        <v>203099</v>
      </c>
      <c r="B1040" t="s">
        <v>3972</v>
      </c>
      <c r="C1040" t="e">
        <f>VLOOKUP(A1040,[1]Customer_payment_journal_line!$AL:$BO,30,0)</f>
        <v>#N/A</v>
      </c>
      <c r="D1040" t="s">
        <v>53</v>
      </c>
      <c r="E1040" t="s">
        <v>3970</v>
      </c>
      <c r="F1040" t="s">
        <v>3971</v>
      </c>
      <c r="G1040" t="s">
        <v>3455</v>
      </c>
      <c r="H1040" t="s">
        <v>69</v>
      </c>
      <c r="I1040" t="s">
        <v>595</v>
      </c>
      <c r="J1040" t="s">
        <v>603</v>
      </c>
      <c r="K1040" t="s">
        <v>3489</v>
      </c>
      <c r="L1040" t="s">
        <v>52</v>
      </c>
      <c r="M1040">
        <v>0</v>
      </c>
      <c r="N1040">
        <v>1000</v>
      </c>
      <c r="O1040" t="s">
        <v>61</v>
      </c>
      <c r="P1040">
        <v>100</v>
      </c>
      <c r="Q1040" t="s">
        <v>52</v>
      </c>
      <c r="R1040" t="s">
        <v>52</v>
      </c>
      <c r="S1040" t="s">
        <v>52</v>
      </c>
      <c r="T1040" t="s">
        <v>52</v>
      </c>
      <c r="U1040" t="s">
        <v>52</v>
      </c>
      <c r="V1040" t="s">
        <v>62</v>
      </c>
      <c r="W1040" t="s">
        <v>52</v>
      </c>
      <c r="Y1040" t="s">
        <v>597</v>
      </c>
      <c r="Z1040" t="s">
        <v>62</v>
      </c>
      <c r="AB1040" t="s">
        <v>3973</v>
      </c>
      <c r="AE1040" t="s">
        <v>3974</v>
      </c>
      <c r="AF1040" t="s">
        <v>52</v>
      </c>
      <c r="AH1040">
        <v>0</v>
      </c>
      <c r="AI1040">
        <v>0</v>
      </c>
      <c r="AJ1040" t="s">
        <v>52</v>
      </c>
      <c r="AK1040">
        <v>0</v>
      </c>
      <c r="AL1040" t="s">
        <v>52</v>
      </c>
      <c r="AM1040" t="s">
        <v>52</v>
      </c>
      <c r="AN1040">
        <v>0</v>
      </c>
      <c r="AO1040">
        <v>0</v>
      </c>
      <c r="AP1040" t="s">
        <v>52</v>
      </c>
      <c r="AQ1040" t="s">
        <v>52</v>
      </c>
      <c r="AR1040" t="s">
        <v>62</v>
      </c>
      <c r="AS1040" t="s">
        <v>52</v>
      </c>
      <c r="AT1040" t="s">
        <v>74</v>
      </c>
      <c r="AU1040" t="s">
        <v>64</v>
      </c>
      <c r="AV1040" t="s">
        <v>62</v>
      </c>
      <c r="AW1040" t="s">
        <v>65</v>
      </c>
      <c r="AX1040" t="s">
        <v>66</v>
      </c>
      <c r="AY1040" t="s">
        <v>67</v>
      </c>
    </row>
    <row r="1041" spans="1:51" hidden="1" x14ac:dyDescent="0.25">
      <c r="A1041">
        <v>203100</v>
      </c>
      <c r="B1041" t="s">
        <v>3975</v>
      </c>
      <c r="C1041" t="e">
        <f>VLOOKUP(A1041,[1]Customer_payment_journal_line!$AL:$BO,30,0)</f>
        <v>#N/A</v>
      </c>
      <c r="D1041" t="s">
        <v>53</v>
      </c>
      <c r="E1041" t="s">
        <v>3976</v>
      </c>
      <c r="F1041" t="s">
        <v>3977</v>
      </c>
      <c r="G1041" t="s">
        <v>3455</v>
      </c>
      <c r="H1041" t="s">
        <v>57</v>
      </c>
      <c r="I1041" t="s">
        <v>58</v>
      </c>
      <c r="J1041" t="s">
        <v>603</v>
      </c>
      <c r="K1041" t="s">
        <v>3489</v>
      </c>
      <c r="L1041" t="s">
        <v>52</v>
      </c>
      <c r="M1041">
        <v>855</v>
      </c>
      <c r="N1041">
        <v>0</v>
      </c>
      <c r="O1041" t="s">
        <v>61</v>
      </c>
      <c r="P1041">
        <v>100</v>
      </c>
      <c r="Q1041" t="s">
        <v>52</v>
      </c>
      <c r="R1041" t="s">
        <v>52</v>
      </c>
      <c r="S1041" t="s">
        <v>52</v>
      </c>
      <c r="T1041" t="s">
        <v>52</v>
      </c>
      <c r="U1041" t="s">
        <v>52</v>
      </c>
      <c r="V1041" t="s">
        <v>62</v>
      </c>
      <c r="W1041" t="s">
        <v>63</v>
      </c>
      <c r="Y1041" t="s">
        <v>52</v>
      </c>
      <c r="AB1041" t="s">
        <v>52</v>
      </c>
      <c r="AE1041" t="s">
        <v>52</v>
      </c>
      <c r="AF1041" t="s">
        <v>52</v>
      </c>
      <c r="AH1041">
        <v>0</v>
      </c>
      <c r="AI1041">
        <v>0</v>
      </c>
      <c r="AJ1041" t="s">
        <v>52</v>
      </c>
      <c r="AK1041">
        <v>0</v>
      </c>
      <c r="AL1041" t="s">
        <v>52</v>
      </c>
      <c r="AM1041" t="s">
        <v>52</v>
      </c>
      <c r="AN1041">
        <v>0</v>
      </c>
      <c r="AO1041">
        <v>0</v>
      </c>
      <c r="AP1041" t="s">
        <v>52</v>
      </c>
      <c r="AQ1041" t="s">
        <v>52</v>
      </c>
      <c r="AR1041" t="s">
        <v>62</v>
      </c>
      <c r="AS1041" t="s">
        <v>52</v>
      </c>
      <c r="AT1041" t="s">
        <v>52</v>
      </c>
      <c r="AU1041" t="s">
        <v>64</v>
      </c>
      <c r="AV1041" t="s">
        <v>62</v>
      </c>
      <c r="AW1041" t="s">
        <v>65</v>
      </c>
      <c r="AX1041" t="s">
        <v>66</v>
      </c>
      <c r="AY1041" t="s">
        <v>67</v>
      </c>
    </row>
    <row r="1042" spans="1:51" hidden="1" x14ac:dyDescent="0.25">
      <c r="A1042">
        <v>203100</v>
      </c>
      <c r="B1042" t="s">
        <v>3978</v>
      </c>
      <c r="C1042" t="e">
        <f>VLOOKUP(A1042,[1]Customer_payment_journal_line!$AL:$BO,30,0)</f>
        <v>#N/A</v>
      </c>
      <c r="D1042" t="s">
        <v>53</v>
      </c>
      <c r="E1042" t="s">
        <v>3976</v>
      </c>
      <c r="F1042" t="s">
        <v>3977</v>
      </c>
      <c r="G1042" t="s">
        <v>3455</v>
      </c>
      <c r="H1042" t="s">
        <v>69</v>
      </c>
      <c r="I1042" t="s">
        <v>595</v>
      </c>
      <c r="J1042" t="s">
        <v>603</v>
      </c>
      <c r="K1042" t="s">
        <v>3489</v>
      </c>
      <c r="L1042" t="s">
        <v>52</v>
      </c>
      <c r="M1042">
        <v>0</v>
      </c>
      <c r="N1042">
        <v>855</v>
      </c>
      <c r="O1042" t="s">
        <v>61</v>
      </c>
      <c r="P1042">
        <v>100</v>
      </c>
      <c r="Q1042" t="s">
        <v>52</v>
      </c>
      <c r="R1042" t="s">
        <v>52</v>
      </c>
      <c r="S1042" t="s">
        <v>52</v>
      </c>
      <c r="T1042" t="s">
        <v>52</v>
      </c>
      <c r="U1042" t="s">
        <v>52</v>
      </c>
      <c r="V1042" t="s">
        <v>62</v>
      </c>
      <c r="W1042" t="s">
        <v>52</v>
      </c>
      <c r="Y1042" t="s">
        <v>597</v>
      </c>
      <c r="Z1042" t="s">
        <v>62</v>
      </c>
      <c r="AB1042" t="s">
        <v>3979</v>
      </c>
      <c r="AE1042" t="s">
        <v>3980</v>
      </c>
      <c r="AF1042" t="s">
        <v>52</v>
      </c>
      <c r="AH1042">
        <v>0</v>
      </c>
      <c r="AI1042">
        <v>0</v>
      </c>
      <c r="AJ1042" t="s">
        <v>52</v>
      </c>
      <c r="AK1042">
        <v>0</v>
      </c>
      <c r="AL1042" t="s">
        <v>52</v>
      </c>
      <c r="AM1042" t="s">
        <v>52</v>
      </c>
      <c r="AN1042">
        <v>0</v>
      </c>
      <c r="AO1042">
        <v>0</v>
      </c>
      <c r="AP1042" t="s">
        <v>52</v>
      </c>
      <c r="AQ1042" t="s">
        <v>52</v>
      </c>
      <c r="AR1042" t="s">
        <v>62</v>
      </c>
      <c r="AS1042" t="s">
        <v>52</v>
      </c>
      <c r="AT1042" t="s">
        <v>74</v>
      </c>
      <c r="AU1042" t="s">
        <v>64</v>
      </c>
      <c r="AV1042" t="s">
        <v>62</v>
      </c>
      <c r="AW1042" t="s">
        <v>65</v>
      </c>
      <c r="AX1042" t="s">
        <v>66</v>
      </c>
      <c r="AY1042" t="s">
        <v>67</v>
      </c>
    </row>
    <row r="1043" spans="1:51" hidden="1" x14ac:dyDescent="0.25">
      <c r="A1043">
        <v>203104</v>
      </c>
      <c r="B1043" t="s">
        <v>3981</v>
      </c>
      <c r="C1043" t="e">
        <f>VLOOKUP(A1043,[1]Customer_payment_journal_line!$AL:$BO,30,0)</f>
        <v>#N/A</v>
      </c>
      <c r="D1043" t="s">
        <v>53</v>
      </c>
      <c r="E1043" t="s">
        <v>3982</v>
      </c>
      <c r="F1043" t="s">
        <v>3983</v>
      </c>
      <c r="G1043" t="s">
        <v>3455</v>
      </c>
      <c r="H1043" t="s">
        <v>57</v>
      </c>
      <c r="I1043" t="s">
        <v>319</v>
      </c>
      <c r="J1043" t="s">
        <v>3984</v>
      </c>
      <c r="K1043" t="s">
        <v>826</v>
      </c>
      <c r="L1043" t="s">
        <v>52</v>
      </c>
      <c r="M1043">
        <v>11222.5</v>
      </c>
      <c r="N1043">
        <v>0</v>
      </c>
      <c r="O1043" t="s">
        <v>61</v>
      </c>
      <c r="P1043">
        <v>100</v>
      </c>
      <c r="Q1043" t="s">
        <v>52</v>
      </c>
      <c r="R1043" t="s">
        <v>52</v>
      </c>
      <c r="S1043" t="s">
        <v>52</v>
      </c>
      <c r="T1043" t="s">
        <v>52</v>
      </c>
      <c r="U1043" t="s">
        <v>52</v>
      </c>
      <c r="V1043" t="s">
        <v>62</v>
      </c>
      <c r="W1043" t="s">
        <v>63</v>
      </c>
      <c r="Y1043" t="s">
        <v>52</v>
      </c>
      <c r="AB1043" t="s">
        <v>52</v>
      </c>
      <c r="AE1043" t="s">
        <v>52</v>
      </c>
      <c r="AF1043" t="s">
        <v>52</v>
      </c>
      <c r="AH1043">
        <v>0</v>
      </c>
      <c r="AI1043">
        <v>0</v>
      </c>
      <c r="AJ1043" t="s">
        <v>52</v>
      </c>
      <c r="AK1043">
        <v>0</v>
      </c>
      <c r="AL1043" t="s">
        <v>52</v>
      </c>
      <c r="AM1043" t="s">
        <v>52</v>
      </c>
      <c r="AN1043">
        <v>0</v>
      </c>
      <c r="AO1043">
        <v>0</v>
      </c>
      <c r="AP1043" t="s">
        <v>52</v>
      </c>
      <c r="AQ1043" t="s">
        <v>52</v>
      </c>
      <c r="AR1043" t="s">
        <v>62</v>
      </c>
      <c r="AS1043" t="s">
        <v>52</v>
      </c>
      <c r="AT1043" t="s">
        <v>52</v>
      </c>
      <c r="AU1043" t="s">
        <v>64</v>
      </c>
      <c r="AV1043" t="s">
        <v>62</v>
      </c>
      <c r="AW1043" t="s">
        <v>65</v>
      </c>
      <c r="AX1043" t="s">
        <v>66</v>
      </c>
      <c r="AY1043" t="s">
        <v>67</v>
      </c>
    </row>
    <row r="1044" spans="1:51" hidden="1" x14ac:dyDescent="0.25">
      <c r="A1044">
        <v>203104</v>
      </c>
      <c r="B1044" t="s">
        <v>3985</v>
      </c>
      <c r="C1044" t="e">
        <f>VLOOKUP(A1044,[1]Customer_payment_journal_line!$AL:$BO,30,0)</f>
        <v>#N/A</v>
      </c>
      <c r="D1044" t="s">
        <v>53</v>
      </c>
      <c r="E1044" t="s">
        <v>3982</v>
      </c>
      <c r="F1044" t="s">
        <v>3983</v>
      </c>
      <c r="G1044" t="s">
        <v>3455</v>
      </c>
      <c r="H1044" t="s">
        <v>69</v>
      </c>
      <c r="I1044" t="s">
        <v>737</v>
      </c>
      <c r="J1044" t="s">
        <v>3984</v>
      </c>
      <c r="K1044" t="s">
        <v>826</v>
      </c>
      <c r="L1044" t="s">
        <v>52</v>
      </c>
      <c r="M1044">
        <v>0</v>
      </c>
      <c r="N1044">
        <v>11222.5</v>
      </c>
      <c r="O1044" t="s">
        <v>61</v>
      </c>
      <c r="P1044">
        <v>100</v>
      </c>
      <c r="Q1044" t="s">
        <v>52</v>
      </c>
      <c r="R1044" t="s">
        <v>52</v>
      </c>
      <c r="S1044" t="s">
        <v>52</v>
      </c>
      <c r="T1044" t="s">
        <v>52</v>
      </c>
      <c r="U1044" t="s">
        <v>52</v>
      </c>
      <c r="V1044" t="s">
        <v>62</v>
      </c>
      <c r="W1044" t="s">
        <v>52</v>
      </c>
      <c r="Y1044" t="s">
        <v>738</v>
      </c>
      <c r="Z1044" t="s">
        <v>62</v>
      </c>
      <c r="AB1044" t="s">
        <v>3986</v>
      </c>
      <c r="AE1044" t="s">
        <v>3987</v>
      </c>
      <c r="AF1044" t="s">
        <v>52</v>
      </c>
      <c r="AH1044">
        <v>0</v>
      </c>
      <c r="AI1044">
        <v>0</v>
      </c>
      <c r="AJ1044" t="s">
        <v>52</v>
      </c>
      <c r="AK1044">
        <v>0</v>
      </c>
      <c r="AL1044" t="s">
        <v>52</v>
      </c>
      <c r="AM1044" t="s">
        <v>52</v>
      </c>
      <c r="AN1044">
        <v>0</v>
      </c>
      <c r="AO1044">
        <v>0</v>
      </c>
      <c r="AP1044" t="s">
        <v>52</v>
      </c>
      <c r="AQ1044" t="s">
        <v>52</v>
      </c>
      <c r="AR1044" t="s">
        <v>62</v>
      </c>
      <c r="AS1044" t="s">
        <v>52</v>
      </c>
      <c r="AT1044" t="s">
        <v>74</v>
      </c>
      <c r="AU1044" t="s">
        <v>64</v>
      </c>
      <c r="AV1044" t="s">
        <v>62</v>
      </c>
      <c r="AW1044" t="s">
        <v>65</v>
      </c>
      <c r="AX1044" t="s">
        <v>66</v>
      </c>
      <c r="AY1044" t="s">
        <v>67</v>
      </c>
    </row>
    <row r="1045" spans="1:51" hidden="1" x14ac:dyDescent="0.25">
      <c r="A1045">
        <v>203105</v>
      </c>
      <c r="B1045" t="s">
        <v>3988</v>
      </c>
      <c r="C1045" t="e">
        <f>VLOOKUP(A1045,[1]Customer_payment_journal_line!$AL:$BO,30,0)</f>
        <v>#N/A</v>
      </c>
      <c r="D1045" t="s">
        <v>53</v>
      </c>
      <c r="E1045" t="s">
        <v>3989</v>
      </c>
      <c r="F1045" t="s">
        <v>3990</v>
      </c>
      <c r="G1045" t="s">
        <v>3455</v>
      </c>
      <c r="H1045" t="s">
        <v>57</v>
      </c>
      <c r="I1045" t="s">
        <v>319</v>
      </c>
      <c r="J1045" t="s">
        <v>3991</v>
      </c>
      <c r="K1045" t="s">
        <v>826</v>
      </c>
      <c r="L1045" t="s">
        <v>52</v>
      </c>
      <c r="M1045">
        <v>5118.6000000000004</v>
      </c>
      <c r="N1045">
        <v>0</v>
      </c>
      <c r="O1045" t="s">
        <v>61</v>
      </c>
      <c r="P1045">
        <v>100</v>
      </c>
      <c r="Q1045" t="s">
        <v>52</v>
      </c>
      <c r="R1045" t="s">
        <v>52</v>
      </c>
      <c r="S1045" t="s">
        <v>52</v>
      </c>
      <c r="T1045" t="s">
        <v>52</v>
      </c>
      <c r="U1045" t="s">
        <v>52</v>
      </c>
      <c r="V1045" t="s">
        <v>62</v>
      </c>
      <c r="W1045" t="s">
        <v>63</v>
      </c>
      <c r="Y1045" t="s">
        <v>52</v>
      </c>
      <c r="AB1045" t="s">
        <v>52</v>
      </c>
      <c r="AE1045" t="s">
        <v>52</v>
      </c>
      <c r="AF1045" t="s">
        <v>52</v>
      </c>
      <c r="AH1045">
        <v>0</v>
      </c>
      <c r="AI1045">
        <v>0</v>
      </c>
      <c r="AJ1045" t="s">
        <v>52</v>
      </c>
      <c r="AK1045">
        <v>0</v>
      </c>
      <c r="AL1045" t="s">
        <v>52</v>
      </c>
      <c r="AM1045" t="s">
        <v>52</v>
      </c>
      <c r="AN1045">
        <v>0</v>
      </c>
      <c r="AO1045">
        <v>0</v>
      </c>
      <c r="AP1045" t="s">
        <v>52</v>
      </c>
      <c r="AQ1045" t="s">
        <v>52</v>
      </c>
      <c r="AR1045" t="s">
        <v>62</v>
      </c>
      <c r="AS1045" t="s">
        <v>52</v>
      </c>
      <c r="AT1045" t="s">
        <v>52</v>
      </c>
      <c r="AU1045" t="s">
        <v>64</v>
      </c>
      <c r="AV1045" t="s">
        <v>62</v>
      </c>
      <c r="AW1045" t="s">
        <v>65</v>
      </c>
      <c r="AX1045" t="s">
        <v>66</v>
      </c>
      <c r="AY1045" t="s">
        <v>67</v>
      </c>
    </row>
    <row r="1046" spans="1:51" hidden="1" x14ac:dyDescent="0.25">
      <c r="A1046">
        <v>203105</v>
      </c>
      <c r="B1046" t="s">
        <v>3992</v>
      </c>
      <c r="C1046" t="e">
        <f>VLOOKUP(A1046,[1]Customer_payment_journal_line!$AL:$BO,30,0)</f>
        <v>#N/A</v>
      </c>
      <c r="D1046" t="s">
        <v>53</v>
      </c>
      <c r="E1046" t="s">
        <v>3989</v>
      </c>
      <c r="F1046" t="s">
        <v>3990</v>
      </c>
      <c r="G1046" t="s">
        <v>3455</v>
      </c>
      <c r="H1046" t="s">
        <v>69</v>
      </c>
      <c r="I1046" t="s">
        <v>737</v>
      </c>
      <c r="J1046" t="s">
        <v>3991</v>
      </c>
      <c r="K1046" t="s">
        <v>826</v>
      </c>
      <c r="L1046" t="s">
        <v>52</v>
      </c>
      <c r="M1046">
        <v>0</v>
      </c>
      <c r="N1046">
        <v>5118.6000000000004</v>
      </c>
      <c r="O1046" t="s">
        <v>61</v>
      </c>
      <c r="P1046">
        <v>100</v>
      </c>
      <c r="Q1046" t="s">
        <v>52</v>
      </c>
      <c r="R1046" t="s">
        <v>52</v>
      </c>
      <c r="S1046" t="s">
        <v>52</v>
      </c>
      <c r="T1046" t="s">
        <v>52</v>
      </c>
      <c r="U1046" t="s">
        <v>52</v>
      </c>
      <c r="V1046" t="s">
        <v>62</v>
      </c>
      <c r="W1046" t="s">
        <v>52</v>
      </c>
      <c r="Y1046" t="s">
        <v>738</v>
      </c>
      <c r="Z1046" t="s">
        <v>62</v>
      </c>
      <c r="AB1046" t="s">
        <v>3993</v>
      </c>
      <c r="AE1046" t="s">
        <v>3994</v>
      </c>
      <c r="AF1046" t="s">
        <v>52</v>
      </c>
      <c r="AH1046">
        <v>0</v>
      </c>
      <c r="AI1046">
        <v>0</v>
      </c>
      <c r="AJ1046" t="s">
        <v>52</v>
      </c>
      <c r="AK1046">
        <v>0</v>
      </c>
      <c r="AL1046" t="s">
        <v>52</v>
      </c>
      <c r="AM1046" t="s">
        <v>52</v>
      </c>
      <c r="AN1046">
        <v>0</v>
      </c>
      <c r="AO1046">
        <v>0</v>
      </c>
      <c r="AP1046" t="s">
        <v>52</v>
      </c>
      <c r="AQ1046" t="s">
        <v>52</v>
      </c>
      <c r="AR1046" t="s">
        <v>62</v>
      </c>
      <c r="AS1046" t="s">
        <v>52</v>
      </c>
      <c r="AT1046" t="s">
        <v>74</v>
      </c>
      <c r="AU1046" t="s">
        <v>64</v>
      </c>
      <c r="AV1046" t="s">
        <v>62</v>
      </c>
      <c r="AW1046" t="s">
        <v>65</v>
      </c>
      <c r="AX1046" t="s">
        <v>66</v>
      </c>
      <c r="AY1046" t="s">
        <v>67</v>
      </c>
    </row>
    <row r="1047" spans="1:51" hidden="1" x14ac:dyDescent="0.25">
      <c r="A1047">
        <v>203106</v>
      </c>
      <c r="B1047" t="s">
        <v>3995</v>
      </c>
      <c r="C1047" t="e">
        <f>VLOOKUP(A1047,[1]Customer_payment_journal_line!$AL:$BO,30,0)</f>
        <v>#N/A</v>
      </c>
      <c r="D1047" t="s">
        <v>53</v>
      </c>
      <c r="E1047" t="s">
        <v>3996</v>
      </c>
      <c r="F1047" t="s">
        <v>3997</v>
      </c>
      <c r="G1047" t="s">
        <v>3455</v>
      </c>
      <c r="H1047" t="s">
        <v>57</v>
      </c>
      <c r="I1047" t="s">
        <v>319</v>
      </c>
      <c r="J1047" t="s">
        <v>3991</v>
      </c>
      <c r="K1047" t="s">
        <v>826</v>
      </c>
      <c r="L1047" t="s">
        <v>52</v>
      </c>
      <c r="M1047">
        <v>3990</v>
      </c>
      <c r="N1047">
        <v>0</v>
      </c>
      <c r="O1047" t="s">
        <v>61</v>
      </c>
      <c r="P1047">
        <v>100</v>
      </c>
      <c r="Q1047" t="s">
        <v>52</v>
      </c>
      <c r="R1047" t="s">
        <v>52</v>
      </c>
      <c r="S1047" t="s">
        <v>52</v>
      </c>
      <c r="T1047" t="s">
        <v>52</v>
      </c>
      <c r="U1047" t="s">
        <v>52</v>
      </c>
      <c r="V1047" t="s">
        <v>62</v>
      </c>
      <c r="W1047" t="s">
        <v>63</v>
      </c>
      <c r="Y1047" t="s">
        <v>52</v>
      </c>
      <c r="AB1047" t="s">
        <v>52</v>
      </c>
      <c r="AE1047" t="s">
        <v>52</v>
      </c>
      <c r="AF1047" t="s">
        <v>52</v>
      </c>
      <c r="AH1047">
        <v>0</v>
      </c>
      <c r="AI1047">
        <v>0</v>
      </c>
      <c r="AJ1047" t="s">
        <v>52</v>
      </c>
      <c r="AK1047">
        <v>0</v>
      </c>
      <c r="AL1047" t="s">
        <v>52</v>
      </c>
      <c r="AM1047" t="s">
        <v>52</v>
      </c>
      <c r="AN1047">
        <v>0</v>
      </c>
      <c r="AO1047">
        <v>0</v>
      </c>
      <c r="AP1047" t="s">
        <v>52</v>
      </c>
      <c r="AQ1047" t="s">
        <v>52</v>
      </c>
      <c r="AR1047" t="s">
        <v>62</v>
      </c>
      <c r="AS1047" t="s">
        <v>52</v>
      </c>
      <c r="AT1047" t="s">
        <v>52</v>
      </c>
      <c r="AU1047" t="s">
        <v>64</v>
      </c>
      <c r="AV1047" t="s">
        <v>62</v>
      </c>
      <c r="AW1047" t="s">
        <v>65</v>
      </c>
      <c r="AX1047" t="s">
        <v>66</v>
      </c>
      <c r="AY1047" t="s">
        <v>67</v>
      </c>
    </row>
    <row r="1048" spans="1:51" hidden="1" x14ac:dyDescent="0.25">
      <c r="A1048">
        <v>203106</v>
      </c>
      <c r="B1048" t="s">
        <v>3998</v>
      </c>
      <c r="C1048" t="e">
        <f>VLOOKUP(A1048,[1]Customer_payment_journal_line!$AL:$BO,30,0)</f>
        <v>#N/A</v>
      </c>
      <c r="D1048" t="s">
        <v>53</v>
      </c>
      <c r="E1048" t="s">
        <v>3996</v>
      </c>
      <c r="F1048" t="s">
        <v>3997</v>
      </c>
      <c r="G1048" t="s">
        <v>3455</v>
      </c>
      <c r="H1048" t="s">
        <v>69</v>
      </c>
      <c r="I1048" t="s">
        <v>737</v>
      </c>
      <c r="J1048" t="s">
        <v>3991</v>
      </c>
      <c r="K1048" t="s">
        <v>826</v>
      </c>
      <c r="L1048" t="s">
        <v>52</v>
      </c>
      <c r="M1048">
        <v>0</v>
      </c>
      <c r="N1048">
        <v>3990</v>
      </c>
      <c r="O1048" t="s">
        <v>61</v>
      </c>
      <c r="P1048">
        <v>100</v>
      </c>
      <c r="Q1048" t="s">
        <v>52</v>
      </c>
      <c r="R1048" t="s">
        <v>52</v>
      </c>
      <c r="S1048" t="s">
        <v>52</v>
      </c>
      <c r="T1048" t="s">
        <v>52</v>
      </c>
      <c r="U1048" t="s">
        <v>52</v>
      </c>
      <c r="V1048" t="s">
        <v>62</v>
      </c>
      <c r="W1048" t="s">
        <v>52</v>
      </c>
      <c r="Y1048" t="s">
        <v>738</v>
      </c>
      <c r="Z1048" t="s">
        <v>62</v>
      </c>
      <c r="AB1048" t="s">
        <v>3999</v>
      </c>
      <c r="AE1048" t="s">
        <v>4000</v>
      </c>
      <c r="AF1048" t="s">
        <v>52</v>
      </c>
      <c r="AH1048">
        <v>0</v>
      </c>
      <c r="AI1048">
        <v>0</v>
      </c>
      <c r="AJ1048" t="s">
        <v>52</v>
      </c>
      <c r="AK1048">
        <v>0</v>
      </c>
      <c r="AL1048" t="s">
        <v>52</v>
      </c>
      <c r="AM1048" t="s">
        <v>52</v>
      </c>
      <c r="AN1048">
        <v>0</v>
      </c>
      <c r="AO1048">
        <v>0</v>
      </c>
      <c r="AP1048" t="s">
        <v>52</v>
      </c>
      <c r="AQ1048" t="s">
        <v>52</v>
      </c>
      <c r="AR1048" t="s">
        <v>62</v>
      </c>
      <c r="AS1048" t="s">
        <v>52</v>
      </c>
      <c r="AT1048" t="s">
        <v>74</v>
      </c>
      <c r="AU1048" t="s">
        <v>64</v>
      </c>
      <c r="AV1048" t="s">
        <v>62</v>
      </c>
      <c r="AW1048" t="s">
        <v>65</v>
      </c>
      <c r="AX1048" t="s">
        <v>66</v>
      </c>
      <c r="AY1048" t="s">
        <v>67</v>
      </c>
    </row>
    <row r="1049" spans="1:51" hidden="1" x14ac:dyDescent="0.25">
      <c r="A1049">
        <v>406062</v>
      </c>
      <c r="B1049" t="s">
        <v>4001</v>
      </c>
      <c r="C1049" t="e">
        <f>VLOOKUP(A1049,[1]Customer_payment_journal_line!$AL:$BO,30,0)</f>
        <v>#N/A</v>
      </c>
      <c r="D1049" t="s">
        <v>53</v>
      </c>
      <c r="E1049" t="s">
        <v>4002</v>
      </c>
      <c r="F1049" t="s">
        <v>4003</v>
      </c>
      <c r="G1049" t="s">
        <v>3455</v>
      </c>
      <c r="H1049" t="s">
        <v>57</v>
      </c>
      <c r="I1049" t="s">
        <v>58</v>
      </c>
      <c r="J1049" t="s">
        <v>4004</v>
      </c>
      <c r="K1049" t="s">
        <v>4005</v>
      </c>
      <c r="L1049" t="s">
        <v>52</v>
      </c>
      <c r="M1049">
        <v>10374</v>
      </c>
      <c r="N1049">
        <v>0</v>
      </c>
      <c r="O1049" t="s">
        <v>61</v>
      </c>
      <c r="P1049">
        <v>100</v>
      </c>
      <c r="Q1049" t="s">
        <v>52</v>
      </c>
      <c r="R1049" t="s">
        <v>52</v>
      </c>
      <c r="S1049" t="s">
        <v>52</v>
      </c>
      <c r="T1049" t="s">
        <v>52</v>
      </c>
      <c r="U1049" t="s">
        <v>52</v>
      </c>
      <c r="V1049" t="s">
        <v>62</v>
      </c>
      <c r="W1049" t="s">
        <v>63</v>
      </c>
      <c r="Y1049" t="s">
        <v>52</v>
      </c>
      <c r="AB1049" t="s">
        <v>52</v>
      </c>
      <c r="AE1049" t="s">
        <v>52</v>
      </c>
      <c r="AF1049" t="s">
        <v>52</v>
      </c>
      <c r="AH1049">
        <v>0</v>
      </c>
      <c r="AI1049">
        <v>0</v>
      </c>
      <c r="AJ1049" t="s">
        <v>52</v>
      </c>
      <c r="AK1049">
        <v>0</v>
      </c>
      <c r="AL1049" t="s">
        <v>52</v>
      </c>
      <c r="AM1049" t="s">
        <v>52</v>
      </c>
      <c r="AN1049">
        <v>0</v>
      </c>
      <c r="AO1049">
        <v>0</v>
      </c>
      <c r="AP1049" t="s">
        <v>52</v>
      </c>
      <c r="AQ1049" t="s">
        <v>52</v>
      </c>
      <c r="AR1049" t="s">
        <v>62</v>
      </c>
      <c r="AS1049" t="s">
        <v>52</v>
      </c>
      <c r="AT1049" t="s">
        <v>52</v>
      </c>
      <c r="AU1049" t="s">
        <v>64</v>
      </c>
      <c r="AV1049" t="s">
        <v>62</v>
      </c>
      <c r="AW1049" t="s">
        <v>65</v>
      </c>
      <c r="AX1049" t="s">
        <v>66</v>
      </c>
      <c r="AY1049" t="s">
        <v>67</v>
      </c>
    </row>
    <row r="1050" spans="1:51" hidden="1" x14ac:dyDescent="0.25">
      <c r="A1050">
        <v>406062</v>
      </c>
      <c r="B1050" t="s">
        <v>4006</v>
      </c>
      <c r="C1050" t="e">
        <f>VLOOKUP(A1050,[1]Customer_payment_journal_line!$AL:$BO,30,0)</f>
        <v>#N/A</v>
      </c>
      <c r="D1050" t="s">
        <v>53</v>
      </c>
      <c r="E1050" t="s">
        <v>4002</v>
      </c>
      <c r="F1050" t="s">
        <v>4003</v>
      </c>
      <c r="G1050" t="s">
        <v>3455</v>
      </c>
      <c r="H1050" t="s">
        <v>69</v>
      </c>
      <c r="I1050" t="s">
        <v>4007</v>
      </c>
      <c r="J1050" t="s">
        <v>4004</v>
      </c>
      <c r="K1050" t="s">
        <v>4005</v>
      </c>
      <c r="L1050" t="s">
        <v>52</v>
      </c>
      <c r="M1050">
        <v>0</v>
      </c>
      <c r="N1050">
        <v>10374</v>
      </c>
      <c r="O1050" t="s">
        <v>61</v>
      </c>
      <c r="P1050">
        <v>100</v>
      </c>
      <c r="Q1050" t="s">
        <v>52</v>
      </c>
      <c r="R1050" t="s">
        <v>52</v>
      </c>
      <c r="S1050" t="s">
        <v>52</v>
      </c>
      <c r="T1050" t="s">
        <v>52</v>
      </c>
      <c r="U1050" t="s">
        <v>52</v>
      </c>
      <c r="V1050" t="s">
        <v>62</v>
      </c>
      <c r="W1050" t="s">
        <v>52</v>
      </c>
      <c r="Y1050" t="s">
        <v>4008</v>
      </c>
      <c r="Z1050" t="s">
        <v>62</v>
      </c>
      <c r="AB1050" t="s">
        <v>4009</v>
      </c>
      <c r="AE1050" t="s">
        <v>4010</v>
      </c>
      <c r="AF1050" t="s">
        <v>52</v>
      </c>
      <c r="AH1050">
        <v>0</v>
      </c>
      <c r="AI1050">
        <v>0</v>
      </c>
      <c r="AJ1050" t="s">
        <v>52</v>
      </c>
      <c r="AK1050">
        <v>0</v>
      </c>
      <c r="AL1050" t="s">
        <v>52</v>
      </c>
      <c r="AM1050" t="s">
        <v>52</v>
      </c>
      <c r="AN1050">
        <v>0</v>
      </c>
      <c r="AO1050">
        <v>0</v>
      </c>
      <c r="AP1050" t="s">
        <v>52</v>
      </c>
      <c r="AQ1050" t="s">
        <v>52</v>
      </c>
      <c r="AR1050" t="s">
        <v>62</v>
      </c>
      <c r="AS1050" t="s">
        <v>52</v>
      </c>
      <c r="AT1050" t="s">
        <v>74</v>
      </c>
      <c r="AU1050" t="s">
        <v>64</v>
      </c>
      <c r="AV1050" t="s">
        <v>62</v>
      </c>
      <c r="AW1050" t="s">
        <v>65</v>
      </c>
      <c r="AX1050" t="s">
        <v>66</v>
      </c>
      <c r="AY1050" t="s">
        <v>67</v>
      </c>
    </row>
    <row r="1051" spans="1:51" hidden="1" x14ac:dyDescent="0.25">
      <c r="A1051">
        <v>406063</v>
      </c>
      <c r="B1051" t="s">
        <v>4011</v>
      </c>
      <c r="C1051" t="e">
        <f>VLOOKUP(A1051,[1]Customer_payment_journal_line!$AL:$BO,30,0)</f>
        <v>#N/A</v>
      </c>
      <c r="D1051" t="s">
        <v>53</v>
      </c>
      <c r="E1051" t="s">
        <v>4012</v>
      </c>
      <c r="F1051" t="s">
        <v>4013</v>
      </c>
      <c r="G1051" t="s">
        <v>3455</v>
      </c>
      <c r="H1051" t="s">
        <v>57</v>
      </c>
      <c r="I1051" t="s">
        <v>58</v>
      </c>
      <c r="J1051" t="s">
        <v>4004</v>
      </c>
      <c r="K1051" t="s">
        <v>4005</v>
      </c>
      <c r="L1051" t="s">
        <v>52</v>
      </c>
      <c r="M1051">
        <v>855</v>
      </c>
      <c r="N1051">
        <v>0</v>
      </c>
      <c r="O1051" t="s">
        <v>61</v>
      </c>
      <c r="P1051">
        <v>100</v>
      </c>
      <c r="Q1051" t="s">
        <v>52</v>
      </c>
      <c r="R1051" t="s">
        <v>52</v>
      </c>
      <c r="S1051" t="s">
        <v>52</v>
      </c>
      <c r="T1051" t="s">
        <v>52</v>
      </c>
      <c r="U1051" t="s">
        <v>52</v>
      </c>
      <c r="V1051" t="s">
        <v>62</v>
      </c>
      <c r="W1051" t="s">
        <v>63</v>
      </c>
      <c r="Y1051" t="s">
        <v>52</v>
      </c>
      <c r="AB1051" t="s">
        <v>52</v>
      </c>
      <c r="AE1051" t="s">
        <v>52</v>
      </c>
      <c r="AF1051" t="s">
        <v>52</v>
      </c>
      <c r="AH1051">
        <v>0</v>
      </c>
      <c r="AI1051">
        <v>0</v>
      </c>
      <c r="AJ1051" t="s">
        <v>52</v>
      </c>
      <c r="AK1051">
        <v>0</v>
      </c>
      <c r="AL1051" t="s">
        <v>52</v>
      </c>
      <c r="AM1051" t="s">
        <v>52</v>
      </c>
      <c r="AN1051">
        <v>0</v>
      </c>
      <c r="AO1051">
        <v>0</v>
      </c>
      <c r="AP1051" t="s">
        <v>52</v>
      </c>
      <c r="AQ1051" t="s">
        <v>52</v>
      </c>
      <c r="AR1051" t="s">
        <v>62</v>
      </c>
      <c r="AS1051" t="s">
        <v>52</v>
      </c>
      <c r="AT1051" t="s">
        <v>52</v>
      </c>
      <c r="AU1051" t="s">
        <v>64</v>
      </c>
      <c r="AV1051" t="s">
        <v>62</v>
      </c>
      <c r="AW1051" t="s">
        <v>65</v>
      </c>
      <c r="AX1051" t="s">
        <v>66</v>
      </c>
      <c r="AY1051" t="s">
        <v>67</v>
      </c>
    </row>
    <row r="1052" spans="1:51" hidden="1" x14ac:dyDescent="0.25">
      <c r="A1052">
        <v>406063</v>
      </c>
      <c r="B1052" t="s">
        <v>4014</v>
      </c>
      <c r="C1052" t="e">
        <f>VLOOKUP(A1052,[1]Customer_payment_journal_line!$AL:$BO,30,0)</f>
        <v>#N/A</v>
      </c>
      <c r="D1052" t="s">
        <v>53</v>
      </c>
      <c r="E1052" t="s">
        <v>4012</v>
      </c>
      <c r="F1052" t="s">
        <v>4013</v>
      </c>
      <c r="G1052" t="s">
        <v>3455</v>
      </c>
      <c r="H1052" t="s">
        <v>69</v>
      </c>
      <c r="I1052" t="s">
        <v>4007</v>
      </c>
      <c r="J1052" t="s">
        <v>4004</v>
      </c>
      <c r="K1052" t="s">
        <v>4005</v>
      </c>
      <c r="L1052" t="s">
        <v>52</v>
      </c>
      <c r="M1052">
        <v>0</v>
      </c>
      <c r="N1052">
        <v>855</v>
      </c>
      <c r="O1052" t="s">
        <v>61</v>
      </c>
      <c r="P1052">
        <v>100</v>
      </c>
      <c r="Q1052" t="s">
        <v>52</v>
      </c>
      <c r="R1052" t="s">
        <v>52</v>
      </c>
      <c r="S1052" t="s">
        <v>52</v>
      </c>
      <c r="T1052" t="s">
        <v>52</v>
      </c>
      <c r="U1052" t="s">
        <v>52</v>
      </c>
      <c r="V1052" t="s">
        <v>62</v>
      </c>
      <c r="W1052" t="s">
        <v>52</v>
      </c>
      <c r="Y1052" t="s">
        <v>4008</v>
      </c>
      <c r="Z1052" t="s">
        <v>62</v>
      </c>
      <c r="AB1052" t="s">
        <v>4015</v>
      </c>
      <c r="AE1052" t="s">
        <v>4016</v>
      </c>
      <c r="AF1052" t="s">
        <v>52</v>
      </c>
      <c r="AH1052">
        <v>0</v>
      </c>
      <c r="AI1052">
        <v>0</v>
      </c>
      <c r="AJ1052" t="s">
        <v>52</v>
      </c>
      <c r="AK1052">
        <v>0</v>
      </c>
      <c r="AL1052" t="s">
        <v>52</v>
      </c>
      <c r="AM1052" t="s">
        <v>52</v>
      </c>
      <c r="AN1052">
        <v>0</v>
      </c>
      <c r="AO1052">
        <v>0</v>
      </c>
      <c r="AP1052" t="s">
        <v>52</v>
      </c>
      <c r="AQ1052" t="s">
        <v>52</v>
      </c>
      <c r="AR1052" t="s">
        <v>62</v>
      </c>
      <c r="AS1052" t="s">
        <v>52</v>
      </c>
      <c r="AT1052" t="s">
        <v>74</v>
      </c>
      <c r="AU1052" t="s">
        <v>64</v>
      </c>
      <c r="AV1052" t="s">
        <v>62</v>
      </c>
      <c r="AW1052" t="s">
        <v>65</v>
      </c>
      <c r="AX1052" t="s">
        <v>66</v>
      </c>
      <c r="AY1052" t="s">
        <v>67</v>
      </c>
    </row>
    <row r="1053" spans="1:51" hidden="1" x14ac:dyDescent="0.25">
      <c r="A1053">
        <v>203128</v>
      </c>
      <c r="B1053" t="s">
        <v>4017</v>
      </c>
      <c r="C1053" t="e">
        <f>VLOOKUP(A1053,[1]Customer_payment_journal_line!$AL:$BO,30,0)</f>
        <v>#N/A</v>
      </c>
      <c r="D1053" t="s">
        <v>53</v>
      </c>
      <c r="E1053" t="s">
        <v>4018</v>
      </c>
      <c r="F1053" t="s">
        <v>4019</v>
      </c>
      <c r="G1053" t="s">
        <v>3455</v>
      </c>
      <c r="H1053" t="s">
        <v>57</v>
      </c>
      <c r="I1053" t="s">
        <v>58</v>
      </c>
      <c r="J1053" t="s">
        <v>3533</v>
      </c>
      <c r="K1053" t="s">
        <v>3534</v>
      </c>
      <c r="L1053" t="s">
        <v>52</v>
      </c>
      <c r="M1053">
        <v>4560</v>
      </c>
      <c r="N1053">
        <v>0</v>
      </c>
      <c r="O1053" t="s">
        <v>61</v>
      </c>
      <c r="P1053">
        <v>100</v>
      </c>
      <c r="Q1053" t="s">
        <v>52</v>
      </c>
      <c r="R1053" t="s">
        <v>52</v>
      </c>
      <c r="S1053" t="s">
        <v>52</v>
      </c>
      <c r="T1053" t="s">
        <v>52</v>
      </c>
      <c r="U1053" t="s">
        <v>52</v>
      </c>
      <c r="V1053" t="s">
        <v>62</v>
      </c>
      <c r="W1053" t="s">
        <v>63</v>
      </c>
      <c r="Y1053" t="s">
        <v>52</v>
      </c>
      <c r="AB1053" t="s">
        <v>52</v>
      </c>
      <c r="AE1053" t="s">
        <v>52</v>
      </c>
      <c r="AF1053" t="s">
        <v>52</v>
      </c>
      <c r="AH1053">
        <v>0</v>
      </c>
      <c r="AI1053">
        <v>0</v>
      </c>
      <c r="AJ1053" t="s">
        <v>52</v>
      </c>
      <c r="AK1053">
        <v>0</v>
      </c>
      <c r="AL1053" t="s">
        <v>52</v>
      </c>
      <c r="AM1053" t="s">
        <v>52</v>
      </c>
      <c r="AN1053">
        <v>0</v>
      </c>
      <c r="AO1053">
        <v>0</v>
      </c>
      <c r="AP1053" t="s">
        <v>52</v>
      </c>
      <c r="AQ1053" t="s">
        <v>52</v>
      </c>
      <c r="AR1053" t="s">
        <v>62</v>
      </c>
      <c r="AS1053" t="s">
        <v>52</v>
      </c>
      <c r="AT1053" t="s">
        <v>52</v>
      </c>
      <c r="AU1053" t="s">
        <v>64</v>
      </c>
      <c r="AV1053" t="s">
        <v>62</v>
      </c>
      <c r="AW1053" t="s">
        <v>65</v>
      </c>
      <c r="AX1053" t="s">
        <v>66</v>
      </c>
      <c r="AY1053" t="s">
        <v>67</v>
      </c>
    </row>
    <row r="1054" spans="1:51" hidden="1" x14ac:dyDescent="0.25">
      <c r="A1054">
        <v>203128</v>
      </c>
      <c r="B1054" t="s">
        <v>4020</v>
      </c>
      <c r="C1054" t="e">
        <f>VLOOKUP(A1054,[1]Customer_payment_journal_line!$AL:$BO,30,0)</f>
        <v>#N/A</v>
      </c>
      <c r="D1054" t="s">
        <v>53</v>
      </c>
      <c r="E1054" t="s">
        <v>4018</v>
      </c>
      <c r="F1054" t="s">
        <v>4019</v>
      </c>
      <c r="G1054" t="s">
        <v>3455</v>
      </c>
      <c r="H1054" t="s">
        <v>69</v>
      </c>
      <c r="I1054" t="s">
        <v>3536</v>
      </c>
      <c r="J1054" t="s">
        <v>3533</v>
      </c>
      <c r="K1054" t="s">
        <v>3534</v>
      </c>
      <c r="L1054" t="s">
        <v>52</v>
      </c>
      <c r="M1054">
        <v>0</v>
      </c>
      <c r="N1054">
        <v>4560</v>
      </c>
      <c r="O1054" t="s">
        <v>61</v>
      </c>
      <c r="P1054">
        <v>100</v>
      </c>
      <c r="Q1054" t="s">
        <v>52</v>
      </c>
      <c r="R1054" t="s">
        <v>52</v>
      </c>
      <c r="S1054" t="s">
        <v>52</v>
      </c>
      <c r="T1054" t="s">
        <v>52</v>
      </c>
      <c r="U1054" t="s">
        <v>52</v>
      </c>
      <c r="V1054" t="s">
        <v>62</v>
      </c>
      <c r="W1054" t="s">
        <v>52</v>
      </c>
      <c r="Y1054" t="s">
        <v>3537</v>
      </c>
      <c r="Z1054" t="s">
        <v>62</v>
      </c>
      <c r="AB1054" t="s">
        <v>4021</v>
      </c>
      <c r="AE1054" t="s">
        <v>4022</v>
      </c>
      <c r="AF1054" t="s">
        <v>52</v>
      </c>
      <c r="AH1054">
        <v>0</v>
      </c>
      <c r="AI1054">
        <v>0</v>
      </c>
      <c r="AJ1054" t="s">
        <v>52</v>
      </c>
      <c r="AK1054">
        <v>0</v>
      </c>
      <c r="AL1054" t="s">
        <v>52</v>
      </c>
      <c r="AM1054" t="s">
        <v>52</v>
      </c>
      <c r="AN1054">
        <v>0</v>
      </c>
      <c r="AO1054">
        <v>0</v>
      </c>
      <c r="AP1054" t="s">
        <v>52</v>
      </c>
      <c r="AQ1054" t="s">
        <v>52</v>
      </c>
      <c r="AR1054" t="s">
        <v>62</v>
      </c>
      <c r="AS1054" t="s">
        <v>52</v>
      </c>
      <c r="AT1054" t="s">
        <v>74</v>
      </c>
      <c r="AU1054" t="s">
        <v>64</v>
      </c>
      <c r="AV1054" t="s">
        <v>62</v>
      </c>
      <c r="AW1054" t="s">
        <v>65</v>
      </c>
      <c r="AX1054" t="s">
        <v>66</v>
      </c>
      <c r="AY1054" t="s">
        <v>67</v>
      </c>
    </row>
    <row r="1055" spans="1:51" hidden="1" x14ac:dyDescent="0.25">
      <c r="A1055">
        <v>203129</v>
      </c>
      <c r="B1055" t="s">
        <v>4023</v>
      </c>
      <c r="C1055" t="e">
        <f>VLOOKUP(A1055,[1]Customer_payment_journal_line!$AL:$BO,30,0)</f>
        <v>#N/A</v>
      </c>
      <c r="D1055" t="s">
        <v>53</v>
      </c>
      <c r="E1055" t="s">
        <v>4024</v>
      </c>
      <c r="F1055" t="s">
        <v>4025</v>
      </c>
      <c r="G1055" t="s">
        <v>3455</v>
      </c>
      <c r="H1055" t="s">
        <v>57</v>
      </c>
      <c r="I1055" t="s">
        <v>58</v>
      </c>
      <c r="J1055" t="s">
        <v>3533</v>
      </c>
      <c r="K1055" t="s">
        <v>3534</v>
      </c>
      <c r="L1055" t="s">
        <v>52</v>
      </c>
      <c r="M1055">
        <v>855</v>
      </c>
      <c r="N1055">
        <v>0</v>
      </c>
      <c r="O1055" t="s">
        <v>61</v>
      </c>
      <c r="P1055">
        <v>100</v>
      </c>
      <c r="Q1055" t="s">
        <v>52</v>
      </c>
      <c r="R1055" t="s">
        <v>52</v>
      </c>
      <c r="S1055" t="s">
        <v>52</v>
      </c>
      <c r="T1055" t="s">
        <v>52</v>
      </c>
      <c r="U1055" t="s">
        <v>52</v>
      </c>
      <c r="V1055" t="s">
        <v>62</v>
      </c>
      <c r="W1055" t="s">
        <v>63</v>
      </c>
      <c r="Y1055" t="s">
        <v>52</v>
      </c>
      <c r="AB1055" t="s">
        <v>52</v>
      </c>
      <c r="AE1055" t="s">
        <v>52</v>
      </c>
      <c r="AF1055" t="s">
        <v>52</v>
      </c>
      <c r="AH1055">
        <v>0</v>
      </c>
      <c r="AI1055">
        <v>0</v>
      </c>
      <c r="AJ1055" t="s">
        <v>52</v>
      </c>
      <c r="AK1055">
        <v>0</v>
      </c>
      <c r="AL1055" t="s">
        <v>52</v>
      </c>
      <c r="AM1055" t="s">
        <v>52</v>
      </c>
      <c r="AN1055">
        <v>0</v>
      </c>
      <c r="AO1055">
        <v>0</v>
      </c>
      <c r="AP1055" t="s">
        <v>52</v>
      </c>
      <c r="AQ1055" t="s">
        <v>52</v>
      </c>
      <c r="AR1055" t="s">
        <v>62</v>
      </c>
      <c r="AS1055" t="s">
        <v>52</v>
      </c>
      <c r="AT1055" t="s">
        <v>52</v>
      </c>
      <c r="AU1055" t="s">
        <v>64</v>
      </c>
      <c r="AV1055" t="s">
        <v>62</v>
      </c>
      <c r="AW1055" t="s">
        <v>65</v>
      </c>
      <c r="AX1055" t="s">
        <v>66</v>
      </c>
      <c r="AY1055" t="s">
        <v>67</v>
      </c>
    </row>
    <row r="1056" spans="1:51" hidden="1" x14ac:dyDescent="0.25">
      <c r="A1056">
        <v>203129</v>
      </c>
      <c r="B1056" t="s">
        <v>4026</v>
      </c>
      <c r="C1056" t="e">
        <f>VLOOKUP(A1056,[1]Customer_payment_journal_line!$AL:$BO,30,0)</f>
        <v>#N/A</v>
      </c>
      <c r="D1056" t="s">
        <v>53</v>
      </c>
      <c r="E1056" t="s">
        <v>4024</v>
      </c>
      <c r="F1056" t="s">
        <v>4025</v>
      </c>
      <c r="G1056" t="s">
        <v>3455</v>
      </c>
      <c r="H1056" t="s">
        <v>69</v>
      </c>
      <c r="I1056" t="s">
        <v>3536</v>
      </c>
      <c r="J1056" t="s">
        <v>3533</v>
      </c>
      <c r="K1056" t="s">
        <v>3534</v>
      </c>
      <c r="L1056" t="s">
        <v>52</v>
      </c>
      <c r="M1056">
        <v>0</v>
      </c>
      <c r="N1056">
        <v>855</v>
      </c>
      <c r="O1056" t="s">
        <v>61</v>
      </c>
      <c r="P1056">
        <v>100</v>
      </c>
      <c r="Q1056" t="s">
        <v>52</v>
      </c>
      <c r="R1056" t="s">
        <v>52</v>
      </c>
      <c r="S1056" t="s">
        <v>52</v>
      </c>
      <c r="T1056" t="s">
        <v>52</v>
      </c>
      <c r="U1056" t="s">
        <v>52</v>
      </c>
      <c r="V1056" t="s">
        <v>62</v>
      </c>
      <c r="W1056" t="s">
        <v>52</v>
      </c>
      <c r="Y1056" t="s">
        <v>3537</v>
      </c>
      <c r="Z1056" t="s">
        <v>62</v>
      </c>
      <c r="AB1056" t="s">
        <v>4027</v>
      </c>
      <c r="AE1056" t="s">
        <v>4028</v>
      </c>
      <c r="AF1056" t="s">
        <v>52</v>
      </c>
      <c r="AH1056">
        <v>0</v>
      </c>
      <c r="AI1056">
        <v>0</v>
      </c>
      <c r="AJ1056" t="s">
        <v>52</v>
      </c>
      <c r="AK1056">
        <v>0</v>
      </c>
      <c r="AL1056" t="s">
        <v>52</v>
      </c>
      <c r="AM1056" t="s">
        <v>52</v>
      </c>
      <c r="AN1056">
        <v>0</v>
      </c>
      <c r="AO1056">
        <v>0</v>
      </c>
      <c r="AP1056" t="s">
        <v>52</v>
      </c>
      <c r="AQ1056" t="s">
        <v>52</v>
      </c>
      <c r="AR1056" t="s">
        <v>62</v>
      </c>
      <c r="AS1056" t="s">
        <v>52</v>
      </c>
      <c r="AT1056" t="s">
        <v>74</v>
      </c>
      <c r="AU1056" t="s">
        <v>64</v>
      </c>
      <c r="AV1056" t="s">
        <v>62</v>
      </c>
      <c r="AW1056" t="s">
        <v>65</v>
      </c>
      <c r="AX1056" t="s">
        <v>66</v>
      </c>
      <c r="AY1056" t="s">
        <v>67</v>
      </c>
    </row>
    <row r="1057" spans="1:51" hidden="1" x14ac:dyDescent="0.25">
      <c r="A1057">
        <v>402632</v>
      </c>
      <c r="B1057" t="s">
        <v>4029</v>
      </c>
      <c r="C1057" t="e">
        <f>VLOOKUP(A1057,[1]Customer_payment_journal_line!$AL:$BO,30,0)</f>
        <v>#N/A</v>
      </c>
      <c r="D1057" t="s">
        <v>53</v>
      </c>
      <c r="E1057" t="s">
        <v>4030</v>
      </c>
      <c r="F1057" t="s">
        <v>4031</v>
      </c>
      <c r="G1057" t="s">
        <v>3455</v>
      </c>
      <c r="H1057" t="s">
        <v>57</v>
      </c>
      <c r="I1057" t="s">
        <v>58</v>
      </c>
      <c r="J1057" t="s">
        <v>3859</v>
      </c>
      <c r="K1057" t="s">
        <v>4032</v>
      </c>
      <c r="L1057" t="s">
        <v>52</v>
      </c>
      <c r="M1057">
        <v>4104</v>
      </c>
      <c r="N1057">
        <v>0</v>
      </c>
      <c r="O1057" t="s">
        <v>61</v>
      </c>
      <c r="P1057">
        <v>100</v>
      </c>
      <c r="Q1057" t="s">
        <v>52</v>
      </c>
      <c r="R1057" t="s">
        <v>52</v>
      </c>
      <c r="S1057" t="s">
        <v>52</v>
      </c>
      <c r="T1057" t="s">
        <v>52</v>
      </c>
      <c r="U1057" t="s">
        <v>52</v>
      </c>
      <c r="V1057" t="s">
        <v>62</v>
      </c>
      <c r="W1057" t="s">
        <v>63</v>
      </c>
      <c r="Y1057" t="s">
        <v>52</v>
      </c>
      <c r="AB1057" t="s">
        <v>52</v>
      </c>
      <c r="AE1057" t="s">
        <v>52</v>
      </c>
      <c r="AF1057" t="s">
        <v>52</v>
      </c>
      <c r="AH1057">
        <v>0</v>
      </c>
      <c r="AI1057">
        <v>0</v>
      </c>
      <c r="AJ1057" t="s">
        <v>52</v>
      </c>
      <c r="AK1057">
        <v>0</v>
      </c>
      <c r="AL1057" t="s">
        <v>52</v>
      </c>
      <c r="AM1057" t="s">
        <v>52</v>
      </c>
      <c r="AN1057">
        <v>0</v>
      </c>
      <c r="AO1057">
        <v>0</v>
      </c>
      <c r="AP1057" t="s">
        <v>52</v>
      </c>
      <c r="AQ1057" t="s">
        <v>52</v>
      </c>
      <c r="AR1057" t="s">
        <v>62</v>
      </c>
      <c r="AS1057" t="s">
        <v>52</v>
      </c>
      <c r="AT1057" t="s">
        <v>52</v>
      </c>
      <c r="AU1057" t="s">
        <v>64</v>
      </c>
      <c r="AV1057" t="s">
        <v>62</v>
      </c>
      <c r="AW1057" t="s">
        <v>65</v>
      </c>
      <c r="AX1057" t="s">
        <v>66</v>
      </c>
      <c r="AY1057" t="s">
        <v>67</v>
      </c>
    </row>
    <row r="1058" spans="1:51" hidden="1" x14ac:dyDescent="0.25">
      <c r="A1058">
        <v>402632</v>
      </c>
      <c r="B1058" t="s">
        <v>4033</v>
      </c>
      <c r="C1058" t="e">
        <f>VLOOKUP(A1058,[1]Customer_payment_journal_line!$AL:$BO,30,0)</f>
        <v>#N/A</v>
      </c>
      <c r="D1058" t="s">
        <v>53</v>
      </c>
      <c r="E1058" t="s">
        <v>4030</v>
      </c>
      <c r="F1058" t="s">
        <v>4031</v>
      </c>
      <c r="G1058" t="s">
        <v>3455</v>
      </c>
      <c r="H1058" t="s">
        <v>69</v>
      </c>
      <c r="I1058" t="s">
        <v>3642</v>
      </c>
      <c r="J1058" t="s">
        <v>3859</v>
      </c>
      <c r="K1058" t="s">
        <v>4032</v>
      </c>
      <c r="L1058" t="s">
        <v>52</v>
      </c>
      <c r="M1058">
        <v>0</v>
      </c>
      <c r="N1058">
        <v>4104</v>
      </c>
      <c r="O1058" t="s">
        <v>61</v>
      </c>
      <c r="P1058">
        <v>100</v>
      </c>
      <c r="Q1058" t="s">
        <v>52</v>
      </c>
      <c r="R1058" t="s">
        <v>52</v>
      </c>
      <c r="S1058" t="s">
        <v>52</v>
      </c>
      <c r="T1058" t="s">
        <v>52</v>
      </c>
      <c r="U1058" t="s">
        <v>52</v>
      </c>
      <c r="V1058" t="s">
        <v>62</v>
      </c>
      <c r="W1058" t="s">
        <v>52</v>
      </c>
      <c r="Y1058" t="s">
        <v>3643</v>
      </c>
      <c r="Z1058" t="s">
        <v>62</v>
      </c>
      <c r="AB1058" t="s">
        <v>4034</v>
      </c>
      <c r="AE1058" t="s">
        <v>4035</v>
      </c>
      <c r="AF1058" t="s">
        <v>52</v>
      </c>
      <c r="AH1058">
        <v>0</v>
      </c>
      <c r="AI1058">
        <v>0</v>
      </c>
      <c r="AJ1058" t="s">
        <v>52</v>
      </c>
      <c r="AK1058">
        <v>0</v>
      </c>
      <c r="AL1058" t="s">
        <v>52</v>
      </c>
      <c r="AM1058" t="s">
        <v>52</v>
      </c>
      <c r="AN1058">
        <v>0</v>
      </c>
      <c r="AO1058">
        <v>0</v>
      </c>
      <c r="AP1058" t="s">
        <v>52</v>
      </c>
      <c r="AQ1058" t="s">
        <v>52</v>
      </c>
      <c r="AR1058" t="s">
        <v>62</v>
      </c>
      <c r="AS1058" t="s">
        <v>52</v>
      </c>
      <c r="AT1058" t="s">
        <v>74</v>
      </c>
      <c r="AU1058" t="s">
        <v>64</v>
      </c>
      <c r="AV1058" t="s">
        <v>62</v>
      </c>
      <c r="AW1058" t="s">
        <v>65</v>
      </c>
      <c r="AX1058" t="s">
        <v>66</v>
      </c>
      <c r="AY1058" t="s">
        <v>67</v>
      </c>
    </row>
    <row r="1059" spans="1:51" hidden="1" x14ac:dyDescent="0.25">
      <c r="A1059">
        <v>404629</v>
      </c>
      <c r="B1059" t="s">
        <v>4036</v>
      </c>
      <c r="C1059" t="e">
        <f>VLOOKUP(A1059,[1]Customer_payment_journal_line!$AL:$BO,30,0)</f>
        <v>#N/A</v>
      </c>
      <c r="D1059" t="s">
        <v>53</v>
      </c>
      <c r="E1059" t="s">
        <v>4037</v>
      </c>
      <c r="F1059" t="s">
        <v>4038</v>
      </c>
      <c r="G1059" t="s">
        <v>3455</v>
      </c>
      <c r="H1059" t="s">
        <v>57</v>
      </c>
      <c r="I1059" t="s">
        <v>58</v>
      </c>
      <c r="J1059" t="s">
        <v>3859</v>
      </c>
      <c r="K1059" t="s">
        <v>4032</v>
      </c>
      <c r="L1059" t="s">
        <v>52</v>
      </c>
      <c r="M1059">
        <v>855</v>
      </c>
      <c r="N1059">
        <v>0</v>
      </c>
      <c r="O1059" t="s">
        <v>61</v>
      </c>
      <c r="P1059">
        <v>100</v>
      </c>
      <c r="Q1059" t="s">
        <v>52</v>
      </c>
      <c r="R1059" t="s">
        <v>52</v>
      </c>
      <c r="S1059" t="s">
        <v>52</v>
      </c>
      <c r="T1059" t="s">
        <v>52</v>
      </c>
      <c r="U1059" t="s">
        <v>52</v>
      </c>
      <c r="V1059" t="s">
        <v>62</v>
      </c>
      <c r="W1059" t="s">
        <v>63</v>
      </c>
      <c r="Y1059" t="s">
        <v>52</v>
      </c>
      <c r="AB1059" t="s">
        <v>52</v>
      </c>
      <c r="AE1059" t="s">
        <v>52</v>
      </c>
      <c r="AF1059" t="s">
        <v>52</v>
      </c>
      <c r="AH1059">
        <v>0</v>
      </c>
      <c r="AI1059">
        <v>0</v>
      </c>
      <c r="AJ1059" t="s">
        <v>52</v>
      </c>
      <c r="AK1059">
        <v>0</v>
      </c>
      <c r="AL1059" t="s">
        <v>52</v>
      </c>
      <c r="AM1059" t="s">
        <v>52</v>
      </c>
      <c r="AN1059">
        <v>0</v>
      </c>
      <c r="AO1059">
        <v>0</v>
      </c>
      <c r="AP1059" t="s">
        <v>52</v>
      </c>
      <c r="AQ1059" t="s">
        <v>52</v>
      </c>
      <c r="AR1059" t="s">
        <v>62</v>
      </c>
      <c r="AS1059" t="s">
        <v>52</v>
      </c>
      <c r="AT1059" t="s">
        <v>52</v>
      </c>
      <c r="AU1059" t="s">
        <v>64</v>
      </c>
      <c r="AV1059" t="s">
        <v>62</v>
      </c>
      <c r="AW1059" t="s">
        <v>65</v>
      </c>
      <c r="AX1059" t="s">
        <v>66</v>
      </c>
      <c r="AY1059" t="s">
        <v>67</v>
      </c>
    </row>
    <row r="1060" spans="1:51" hidden="1" x14ac:dyDescent="0.25">
      <c r="A1060">
        <v>404629</v>
      </c>
      <c r="B1060" t="s">
        <v>4039</v>
      </c>
      <c r="C1060" t="e">
        <f>VLOOKUP(A1060,[1]Customer_payment_journal_line!$AL:$BO,30,0)</f>
        <v>#N/A</v>
      </c>
      <c r="D1060" t="s">
        <v>53</v>
      </c>
      <c r="E1060" t="s">
        <v>4037</v>
      </c>
      <c r="F1060" t="s">
        <v>4038</v>
      </c>
      <c r="G1060" t="s">
        <v>3455</v>
      </c>
      <c r="H1060" t="s">
        <v>69</v>
      </c>
      <c r="I1060" t="s">
        <v>3642</v>
      </c>
      <c r="J1060" t="s">
        <v>3859</v>
      </c>
      <c r="K1060" t="s">
        <v>4032</v>
      </c>
      <c r="L1060" t="s">
        <v>52</v>
      </c>
      <c r="M1060">
        <v>0</v>
      </c>
      <c r="N1060">
        <v>855</v>
      </c>
      <c r="O1060" t="s">
        <v>61</v>
      </c>
      <c r="P1060">
        <v>100</v>
      </c>
      <c r="Q1060" t="s">
        <v>52</v>
      </c>
      <c r="R1060" t="s">
        <v>52</v>
      </c>
      <c r="S1060" t="s">
        <v>52</v>
      </c>
      <c r="T1060" t="s">
        <v>52</v>
      </c>
      <c r="U1060" t="s">
        <v>52</v>
      </c>
      <c r="V1060" t="s">
        <v>62</v>
      </c>
      <c r="W1060" t="s">
        <v>52</v>
      </c>
      <c r="Y1060" t="s">
        <v>3643</v>
      </c>
      <c r="Z1060" t="s">
        <v>62</v>
      </c>
      <c r="AB1060" t="s">
        <v>4040</v>
      </c>
      <c r="AE1060" t="s">
        <v>4041</v>
      </c>
      <c r="AF1060" t="s">
        <v>52</v>
      </c>
      <c r="AH1060">
        <v>0</v>
      </c>
      <c r="AI1060">
        <v>0</v>
      </c>
      <c r="AJ1060" t="s">
        <v>52</v>
      </c>
      <c r="AK1060">
        <v>0</v>
      </c>
      <c r="AL1060" t="s">
        <v>52</v>
      </c>
      <c r="AM1060" t="s">
        <v>52</v>
      </c>
      <c r="AN1060">
        <v>0</v>
      </c>
      <c r="AO1060">
        <v>0</v>
      </c>
      <c r="AP1060" t="s">
        <v>52</v>
      </c>
      <c r="AQ1060" t="s">
        <v>52</v>
      </c>
      <c r="AR1060" t="s">
        <v>62</v>
      </c>
      <c r="AS1060" t="s">
        <v>52</v>
      </c>
      <c r="AT1060" t="s">
        <v>74</v>
      </c>
      <c r="AU1060" t="s">
        <v>64</v>
      </c>
      <c r="AV1060" t="s">
        <v>62</v>
      </c>
      <c r="AW1060" t="s">
        <v>65</v>
      </c>
      <c r="AX1060" t="s">
        <v>66</v>
      </c>
      <c r="AY1060" t="s">
        <v>67</v>
      </c>
    </row>
    <row r="1061" spans="1:51" hidden="1" x14ac:dyDescent="0.25">
      <c r="A1061">
        <v>402478</v>
      </c>
      <c r="B1061" t="s">
        <v>4042</v>
      </c>
      <c r="C1061" t="e">
        <f>VLOOKUP(A1061,[1]Customer_payment_journal_line!$AL:$BO,30,0)</f>
        <v>#N/A</v>
      </c>
      <c r="D1061" t="s">
        <v>53</v>
      </c>
      <c r="E1061" t="s">
        <v>4043</v>
      </c>
      <c r="F1061" t="s">
        <v>4044</v>
      </c>
      <c r="G1061" t="s">
        <v>3455</v>
      </c>
      <c r="H1061" t="s">
        <v>57</v>
      </c>
      <c r="I1061" t="s">
        <v>516</v>
      </c>
      <c r="J1061" t="s">
        <v>3859</v>
      </c>
      <c r="K1061" t="s">
        <v>4032</v>
      </c>
      <c r="L1061" t="s">
        <v>52</v>
      </c>
      <c r="M1061">
        <v>45</v>
      </c>
      <c r="N1061">
        <v>0</v>
      </c>
      <c r="O1061" t="s">
        <v>178</v>
      </c>
      <c r="P1061">
        <v>5085</v>
      </c>
      <c r="Q1061" t="s">
        <v>52</v>
      </c>
      <c r="R1061" t="s">
        <v>52</v>
      </c>
      <c r="S1061" t="s">
        <v>52</v>
      </c>
      <c r="T1061" t="s">
        <v>52</v>
      </c>
      <c r="U1061" t="s">
        <v>52</v>
      </c>
      <c r="V1061" t="s">
        <v>62</v>
      </c>
      <c r="W1061" t="s">
        <v>63</v>
      </c>
      <c r="Y1061" t="s">
        <v>52</v>
      </c>
      <c r="AB1061" t="s">
        <v>52</v>
      </c>
      <c r="AE1061" t="s">
        <v>52</v>
      </c>
      <c r="AF1061" t="s">
        <v>52</v>
      </c>
      <c r="AH1061">
        <v>0</v>
      </c>
      <c r="AI1061">
        <v>0</v>
      </c>
      <c r="AJ1061" t="s">
        <v>52</v>
      </c>
      <c r="AK1061">
        <v>0</v>
      </c>
      <c r="AL1061" t="s">
        <v>52</v>
      </c>
      <c r="AM1061" t="s">
        <v>52</v>
      </c>
      <c r="AN1061">
        <v>0</v>
      </c>
      <c r="AO1061">
        <v>0</v>
      </c>
      <c r="AP1061" t="s">
        <v>52</v>
      </c>
      <c r="AQ1061" t="s">
        <v>52</v>
      </c>
      <c r="AR1061" t="s">
        <v>62</v>
      </c>
      <c r="AS1061" t="s">
        <v>52</v>
      </c>
      <c r="AT1061" t="s">
        <v>52</v>
      </c>
      <c r="AU1061" t="s">
        <v>64</v>
      </c>
      <c r="AV1061" t="s">
        <v>62</v>
      </c>
      <c r="AW1061" t="s">
        <v>65</v>
      </c>
      <c r="AX1061" t="s">
        <v>66</v>
      </c>
      <c r="AY1061" t="s">
        <v>67</v>
      </c>
    </row>
    <row r="1062" spans="1:51" hidden="1" x14ac:dyDescent="0.25">
      <c r="A1062">
        <v>402478</v>
      </c>
      <c r="B1062" t="s">
        <v>4045</v>
      </c>
      <c r="C1062" t="e">
        <f>VLOOKUP(A1062,[1]Customer_payment_journal_line!$AL:$BO,30,0)</f>
        <v>#N/A</v>
      </c>
      <c r="D1062" t="s">
        <v>53</v>
      </c>
      <c r="E1062" t="s">
        <v>4043</v>
      </c>
      <c r="F1062" t="s">
        <v>4044</v>
      </c>
      <c r="G1062" t="s">
        <v>3455</v>
      </c>
      <c r="H1062" t="s">
        <v>69</v>
      </c>
      <c r="I1062" t="s">
        <v>3642</v>
      </c>
      <c r="J1062" t="s">
        <v>3859</v>
      </c>
      <c r="K1062" t="s">
        <v>4032</v>
      </c>
      <c r="L1062" t="s">
        <v>52</v>
      </c>
      <c r="M1062">
        <v>0</v>
      </c>
      <c r="N1062">
        <v>45</v>
      </c>
      <c r="O1062" t="s">
        <v>178</v>
      </c>
      <c r="P1062">
        <v>5085</v>
      </c>
      <c r="Q1062" t="s">
        <v>52</v>
      </c>
      <c r="R1062" t="s">
        <v>52</v>
      </c>
      <c r="S1062" t="s">
        <v>52</v>
      </c>
      <c r="T1062" t="s">
        <v>52</v>
      </c>
      <c r="U1062" t="s">
        <v>52</v>
      </c>
      <c r="V1062" t="s">
        <v>62</v>
      </c>
      <c r="W1062" t="s">
        <v>52</v>
      </c>
      <c r="Y1062" t="s">
        <v>3643</v>
      </c>
      <c r="Z1062" t="s">
        <v>62</v>
      </c>
      <c r="AB1062" t="s">
        <v>4046</v>
      </c>
      <c r="AE1062" t="s">
        <v>4047</v>
      </c>
      <c r="AF1062" t="s">
        <v>52</v>
      </c>
      <c r="AH1062">
        <v>0</v>
      </c>
      <c r="AI1062">
        <v>0</v>
      </c>
      <c r="AJ1062" t="s">
        <v>52</v>
      </c>
      <c r="AK1062">
        <v>0</v>
      </c>
      <c r="AL1062" t="s">
        <v>52</v>
      </c>
      <c r="AM1062" t="s">
        <v>52</v>
      </c>
      <c r="AN1062">
        <v>0</v>
      </c>
      <c r="AO1062">
        <v>0</v>
      </c>
      <c r="AP1062" t="s">
        <v>52</v>
      </c>
      <c r="AQ1062" t="s">
        <v>52</v>
      </c>
      <c r="AR1062" t="s">
        <v>62</v>
      </c>
      <c r="AS1062" t="s">
        <v>52</v>
      </c>
      <c r="AT1062" t="s">
        <v>74</v>
      </c>
      <c r="AU1062" t="s">
        <v>64</v>
      </c>
      <c r="AV1062" t="s">
        <v>62</v>
      </c>
      <c r="AW1062" t="s">
        <v>65</v>
      </c>
      <c r="AX1062" t="s">
        <v>66</v>
      </c>
      <c r="AY1062" t="s">
        <v>67</v>
      </c>
    </row>
    <row r="1063" spans="1:51" hidden="1" x14ac:dyDescent="0.25">
      <c r="A1063">
        <v>317153</v>
      </c>
      <c r="B1063" t="s">
        <v>4048</v>
      </c>
      <c r="C1063" t="e">
        <f>VLOOKUP(A1063,[1]Customer_payment_journal_line!$AL:$BO,30,0)</f>
        <v>#N/A</v>
      </c>
      <c r="D1063" t="s">
        <v>76</v>
      </c>
      <c r="E1063" t="s">
        <v>4049</v>
      </c>
      <c r="F1063" t="s">
        <v>4050</v>
      </c>
      <c r="G1063" t="s">
        <v>3455</v>
      </c>
      <c r="H1063" t="s">
        <v>80</v>
      </c>
      <c r="I1063" t="s">
        <v>81</v>
      </c>
      <c r="J1063" t="s">
        <v>202</v>
      </c>
      <c r="K1063" t="s">
        <v>3544</v>
      </c>
      <c r="L1063" t="s">
        <v>52</v>
      </c>
      <c r="M1063">
        <v>2280</v>
      </c>
      <c r="N1063">
        <v>0</v>
      </c>
      <c r="O1063" t="s">
        <v>61</v>
      </c>
      <c r="P1063">
        <v>100</v>
      </c>
      <c r="Q1063" t="s">
        <v>52</v>
      </c>
      <c r="R1063" t="s">
        <v>52</v>
      </c>
      <c r="S1063" t="s">
        <v>52</v>
      </c>
      <c r="T1063" t="s">
        <v>52</v>
      </c>
      <c r="U1063" t="s">
        <v>52</v>
      </c>
      <c r="V1063" t="s">
        <v>62</v>
      </c>
      <c r="W1063" t="s">
        <v>52</v>
      </c>
      <c r="Y1063" t="s">
        <v>52</v>
      </c>
      <c r="AB1063" t="s">
        <v>4051</v>
      </c>
      <c r="AE1063" t="s">
        <v>4051</v>
      </c>
      <c r="AF1063" t="s">
        <v>52</v>
      </c>
      <c r="AH1063">
        <v>0</v>
      </c>
      <c r="AI1063">
        <v>0</v>
      </c>
      <c r="AJ1063" t="s">
        <v>52</v>
      </c>
      <c r="AK1063">
        <v>0</v>
      </c>
      <c r="AL1063" t="s">
        <v>52</v>
      </c>
      <c r="AM1063" t="s">
        <v>52</v>
      </c>
      <c r="AN1063">
        <v>0</v>
      </c>
      <c r="AO1063">
        <v>0</v>
      </c>
      <c r="AP1063" t="s">
        <v>52</v>
      </c>
      <c r="AQ1063" t="s">
        <v>52</v>
      </c>
      <c r="AR1063" t="s">
        <v>62</v>
      </c>
      <c r="AS1063" t="s">
        <v>52</v>
      </c>
      <c r="AT1063" t="s">
        <v>52</v>
      </c>
      <c r="AU1063" t="s">
        <v>64</v>
      </c>
      <c r="AV1063" t="s">
        <v>62</v>
      </c>
      <c r="AW1063" t="s">
        <v>65</v>
      </c>
      <c r="AX1063" t="s">
        <v>66</v>
      </c>
      <c r="AY1063" t="s">
        <v>76</v>
      </c>
    </row>
    <row r="1064" spans="1:51" hidden="1" x14ac:dyDescent="0.25">
      <c r="A1064">
        <v>317153</v>
      </c>
      <c r="B1064" t="s">
        <v>4052</v>
      </c>
      <c r="C1064" t="e">
        <f>VLOOKUP(A1064,[1]Customer_payment_journal_line!$AL:$BO,30,0)</f>
        <v>#N/A</v>
      </c>
      <c r="D1064" t="s">
        <v>76</v>
      </c>
      <c r="E1064" t="s">
        <v>4049</v>
      </c>
      <c r="F1064" t="s">
        <v>4050</v>
      </c>
      <c r="G1064" t="s">
        <v>3455</v>
      </c>
      <c r="H1064" t="s">
        <v>69</v>
      </c>
      <c r="I1064" t="s">
        <v>3546</v>
      </c>
      <c r="J1064" t="s">
        <v>4053</v>
      </c>
      <c r="K1064" t="s">
        <v>3544</v>
      </c>
      <c r="L1064" t="s">
        <v>52</v>
      </c>
      <c r="M1064">
        <v>0</v>
      </c>
      <c r="N1064">
        <v>40</v>
      </c>
      <c r="O1064" t="s">
        <v>126</v>
      </c>
      <c r="P1064">
        <v>5285</v>
      </c>
      <c r="Q1064" t="s">
        <v>52</v>
      </c>
      <c r="R1064" t="s">
        <v>52</v>
      </c>
      <c r="S1064" t="s">
        <v>52</v>
      </c>
      <c r="T1064" t="s">
        <v>52</v>
      </c>
      <c r="U1064" t="s">
        <v>52</v>
      </c>
      <c r="V1064" t="s">
        <v>62</v>
      </c>
      <c r="W1064" t="s">
        <v>52</v>
      </c>
      <c r="Y1064" t="s">
        <v>3547</v>
      </c>
      <c r="Z1064" t="s">
        <v>62</v>
      </c>
      <c r="AB1064" t="s">
        <v>4051</v>
      </c>
      <c r="AE1064" t="s">
        <v>4051</v>
      </c>
      <c r="AF1064" t="s">
        <v>52</v>
      </c>
      <c r="AH1064">
        <v>0</v>
      </c>
      <c r="AI1064">
        <v>0</v>
      </c>
      <c r="AJ1064" t="s">
        <v>52</v>
      </c>
      <c r="AK1064">
        <v>0</v>
      </c>
      <c r="AL1064" t="s">
        <v>52</v>
      </c>
      <c r="AM1064" t="s">
        <v>52</v>
      </c>
      <c r="AN1064">
        <v>0</v>
      </c>
      <c r="AO1064">
        <v>0</v>
      </c>
      <c r="AP1064" t="s">
        <v>52</v>
      </c>
      <c r="AQ1064" t="s">
        <v>52</v>
      </c>
      <c r="AR1064" t="s">
        <v>62</v>
      </c>
      <c r="AS1064" t="s">
        <v>52</v>
      </c>
      <c r="AT1064" t="s">
        <v>74</v>
      </c>
      <c r="AU1064" t="s">
        <v>64</v>
      </c>
      <c r="AV1064" t="s">
        <v>62</v>
      </c>
      <c r="AW1064" t="s">
        <v>65</v>
      </c>
      <c r="AX1064" t="s">
        <v>66</v>
      </c>
      <c r="AY1064" t="s">
        <v>76</v>
      </c>
    </row>
    <row r="1065" spans="1:51" hidden="1" x14ac:dyDescent="0.25">
      <c r="A1065">
        <v>317153</v>
      </c>
      <c r="B1065" t="s">
        <v>4054</v>
      </c>
      <c r="C1065" t="e">
        <f>VLOOKUP(A1065,[1]Customer_payment_journal_line!$AL:$BO,30,0)</f>
        <v>#N/A</v>
      </c>
      <c r="D1065" t="s">
        <v>76</v>
      </c>
      <c r="E1065" t="s">
        <v>4049</v>
      </c>
      <c r="F1065" t="s">
        <v>4050</v>
      </c>
      <c r="G1065" t="s">
        <v>3455</v>
      </c>
      <c r="H1065" t="s">
        <v>210</v>
      </c>
      <c r="I1065" t="s">
        <v>4055</v>
      </c>
      <c r="J1065" t="s">
        <v>52</v>
      </c>
      <c r="K1065" t="s">
        <v>3544</v>
      </c>
      <c r="L1065" t="s">
        <v>52</v>
      </c>
      <c r="M1065">
        <v>0</v>
      </c>
      <c r="N1065">
        <v>166</v>
      </c>
      <c r="O1065" t="s">
        <v>61</v>
      </c>
      <c r="P1065">
        <v>100</v>
      </c>
      <c r="Q1065" t="s">
        <v>52</v>
      </c>
      <c r="R1065" t="s">
        <v>52</v>
      </c>
      <c r="S1065" t="s">
        <v>52</v>
      </c>
      <c r="T1065" t="s">
        <v>52</v>
      </c>
      <c r="U1065" t="s">
        <v>52</v>
      </c>
      <c r="V1065" t="s">
        <v>62</v>
      </c>
      <c r="W1065" t="s">
        <v>63</v>
      </c>
      <c r="Y1065" t="s">
        <v>3547</v>
      </c>
      <c r="AB1065" t="s">
        <v>4051</v>
      </c>
      <c r="AE1065" t="s">
        <v>4051</v>
      </c>
      <c r="AF1065" t="s">
        <v>52</v>
      </c>
      <c r="AH1065">
        <v>0</v>
      </c>
      <c r="AI1065">
        <v>0</v>
      </c>
      <c r="AJ1065" t="s">
        <v>52</v>
      </c>
      <c r="AK1065">
        <v>0</v>
      </c>
      <c r="AL1065" t="s">
        <v>52</v>
      </c>
      <c r="AM1065" t="s">
        <v>52</v>
      </c>
      <c r="AN1065">
        <v>0</v>
      </c>
      <c r="AO1065">
        <v>0</v>
      </c>
      <c r="AP1065" t="s">
        <v>52</v>
      </c>
      <c r="AQ1065" t="s">
        <v>52</v>
      </c>
      <c r="AR1065" t="s">
        <v>62</v>
      </c>
      <c r="AS1065" t="s">
        <v>52</v>
      </c>
      <c r="AT1065" t="s">
        <v>52</v>
      </c>
      <c r="AU1065" t="s">
        <v>64</v>
      </c>
      <c r="AV1065" t="s">
        <v>62</v>
      </c>
      <c r="AW1065" t="s">
        <v>65</v>
      </c>
      <c r="AX1065" t="s">
        <v>66</v>
      </c>
      <c r="AY1065" t="s">
        <v>76</v>
      </c>
    </row>
    <row r="1066" spans="1:51" hidden="1" x14ac:dyDescent="0.25">
      <c r="A1066">
        <v>406066</v>
      </c>
      <c r="B1066" t="s">
        <v>4056</v>
      </c>
      <c r="C1066" t="e">
        <f>VLOOKUP(A1066,[1]Customer_payment_journal_line!$AL:$BO,30,0)</f>
        <v>#N/A</v>
      </c>
      <c r="D1066" t="s">
        <v>53</v>
      </c>
      <c r="E1066" t="s">
        <v>4057</v>
      </c>
      <c r="F1066" t="s">
        <v>4058</v>
      </c>
      <c r="G1066" t="s">
        <v>3455</v>
      </c>
      <c r="H1066" t="s">
        <v>57</v>
      </c>
      <c r="I1066" t="s">
        <v>1349</v>
      </c>
      <c r="J1066" t="s">
        <v>4059</v>
      </c>
      <c r="K1066" t="s">
        <v>2510</v>
      </c>
      <c r="L1066" t="s">
        <v>52</v>
      </c>
      <c r="M1066">
        <v>6840</v>
      </c>
      <c r="N1066">
        <v>0</v>
      </c>
      <c r="O1066" t="s">
        <v>61</v>
      </c>
      <c r="P1066">
        <v>100</v>
      </c>
      <c r="Q1066" t="s">
        <v>52</v>
      </c>
      <c r="R1066" t="s">
        <v>52</v>
      </c>
      <c r="S1066" t="s">
        <v>52</v>
      </c>
      <c r="T1066" t="s">
        <v>52</v>
      </c>
      <c r="U1066" t="s">
        <v>52</v>
      </c>
      <c r="V1066" t="s">
        <v>62</v>
      </c>
      <c r="W1066" t="s">
        <v>63</v>
      </c>
      <c r="Y1066" t="s">
        <v>52</v>
      </c>
      <c r="AB1066" t="s">
        <v>52</v>
      </c>
      <c r="AE1066" t="s">
        <v>52</v>
      </c>
      <c r="AF1066" t="s">
        <v>52</v>
      </c>
      <c r="AH1066">
        <v>0</v>
      </c>
      <c r="AI1066">
        <v>0</v>
      </c>
      <c r="AJ1066" t="s">
        <v>52</v>
      </c>
      <c r="AK1066">
        <v>0</v>
      </c>
      <c r="AL1066" t="s">
        <v>52</v>
      </c>
      <c r="AM1066" t="s">
        <v>52</v>
      </c>
      <c r="AN1066">
        <v>0</v>
      </c>
      <c r="AO1066">
        <v>0</v>
      </c>
      <c r="AP1066" t="s">
        <v>52</v>
      </c>
      <c r="AQ1066" t="s">
        <v>52</v>
      </c>
      <c r="AR1066" t="s">
        <v>62</v>
      </c>
      <c r="AS1066" t="s">
        <v>52</v>
      </c>
      <c r="AT1066" t="s">
        <v>52</v>
      </c>
      <c r="AU1066" t="s">
        <v>64</v>
      </c>
      <c r="AV1066" t="s">
        <v>62</v>
      </c>
      <c r="AW1066" t="s">
        <v>65</v>
      </c>
      <c r="AX1066" t="s">
        <v>66</v>
      </c>
      <c r="AY1066" t="s">
        <v>67</v>
      </c>
    </row>
    <row r="1067" spans="1:51" hidden="1" x14ac:dyDescent="0.25">
      <c r="A1067">
        <v>406066</v>
      </c>
      <c r="B1067" t="s">
        <v>4060</v>
      </c>
      <c r="C1067" t="e">
        <f>VLOOKUP(A1067,[1]Customer_payment_journal_line!$AL:$BO,30,0)</f>
        <v>#N/A</v>
      </c>
      <c r="D1067" t="s">
        <v>53</v>
      </c>
      <c r="E1067" t="s">
        <v>4057</v>
      </c>
      <c r="F1067" t="s">
        <v>4058</v>
      </c>
      <c r="G1067" t="s">
        <v>3455</v>
      </c>
      <c r="H1067" t="s">
        <v>69</v>
      </c>
      <c r="I1067" t="s">
        <v>2512</v>
      </c>
      <c r="J1067" t="s">
        <v>4059</v>
      </c>
      <c r="K1067" t="s">
        <v>2510</v>
      </c>
      <c r="L1067" t="s">
        <v>52</v>
      </c>
      <c r="M1067">
        <v>0</v>
      </c>
      <c r="N1067">
        <v>6840</v>
      </c>
      <c r="O1067" t="s">
        <v>61</v>
      </c>
      <c r="P1067">
        <v>100</v>
      </c>
      <c r="Q1067" t="s">
        <v>52</v>
      </c>
      <c r="R1067" t="s">
        <v>52</v>
      </c>
      <c r="S1067" t="s">
        <v>52</v>
      </c>
      <c r="T1067" t="s">
        <v>52</v>
      </c>
      <c r="U1067" t="s">
        <v>52</v>
      </c>
      <c r="V1067" t="s">
        <v>62</v>
      </c>
      <c r="W1067" t="s">
        <v>52</v>
      </c>
      <c r="Y1067" t="s">
        <v>2513</v>
      </c>
      <c r="Z1067" t="s">
        <v>62</v>
      </c>
      <c r="AB1067" t="s">
        <v>4061</v>
      </c>
      <c r="AE1067" t="s">
        <v>4062</v>
      </c>
      <c r="AF1067" t="s">
        <v>52</v>
      </c>
      <c r="AH1067">
        <v>0</v>
      </c>
      <c r="AI1067">
        <v>0</v>
      </c>
      <c r="AJ1067" t="s">
        <v>52</v>
      </c>
      <c r="AK1067">
        <v>0</v>
      </c>
      <c r="AL1067" t="s">
        <v>52</v>
      </c>
      <c r="AM1067" t="s">
        <v>52</v>
      </c>
      <c r="AN1067">
        <v>0</v>
      </c>
      <c r="AO1067">
        <v>0</v>
      </c>
      <c r="AP1067" t="s">
        <v>52</v>
      </c>
      <c r="AQ1067" t="s">
        <v>52</v>
      </c>
      <c r="AR1067" t="s">
        <v>62</v>
      </c>
      <c r="AS1067" t="s">
        <v>52</v>
      </c>
      <c r="AT1067" t="s">
        <v>74</v>
      </c>
      <c r="AU1067" t="s">
        <v>64</v>
      </c>
      <c r="AV1067" t="s">
        <v>62</v>
      </c>
      <c r="AW1067" t="s">
        <v>65</v>
      </c>
      <c r="AX1067" t="s">
        <v>66</v>
      </c>
      <c r="AY1067" t="s">
        <v>67</v>
      </c>
    </row>
    <row r="1068" spans="1:51" hidden="1" x14ac:dyDescent="0.25">
      <c r="A1068">
        <v>406067</v>
      </c>
      <c r="B1068" t="s">
        <v>4063</v>
      </c>
      <c r="C1068" t="e">
        <f>VLOOKUP(A1068,[1]Customer_payment_journal_line!$AL:$BO,30,0)</f>
        <v>#N/A</v>
      </c>
      <c r="D1068" t="s">
        <v>53</v>
      </c>
      <c r="E1068" t="s">
        <v>4064</v>
      </c>
      <c r="F1068" t="s">
        <v>4065</v>
      </c>
      <c r="G1068" t="s">
        <v>3455</v>
      </c>
      <c r="H1068" t="s">
        <v>57</v>
      </c>
      <c r="I1068" t="s">
        <v>1349</v>
      </c>
      <c r="J1068" t="s">
        <v>4066</v>
      </c>
      <c r="K1068" t="s">
        <v>1649</v>
      </c>
      <c r="L1068" t="s">
        <v>52</v>
      </c>
      <c r="M1068">
        <v>10220.1</v>
      </c>
      <c r="N1068">
        <v>0</v>
      </c>
      <c r="O1068" t="s">
        <v>61</v>
      </c>
      <c r="P1068">
        <v>100</v>
      </c>
      <c r="Q1068" t="s">
        <v>52</v>
      </c>
      <c r="R1068" t="s">
        <v>52</v>
      </c>
      <c r="S1068" t="s">
        <v>52</v>
      </c>
      <c r="T1068" t="s">
        <v>52</v>
      </c>
      <c r="U1068" t="s">
        <v>52</v>
      </c>
      <c r="V1068" t="s">
        <v>62</v>
      </c>
      <c r="W1068" t="s">
        <v>63</v>
      </c>
      <c r="Y1068" t="s">
        <v>52</v>
      </c>
      <c r="AB1068" t="s">
        <v>52</v>
      </c>
      <c r="AE1068" t="s">
        <v>52</v>
      </c>
      <c r="AF1068" t="s">
        <v>52</v>
      </c>
      <c r="AH1068">
        <v>0</v>
      </c>
      <c r="AI1068">
        <v>0</v>
      </c>
      <c r="AJ1068" t="s">
        <v>52</v>
      </c>
      <c r="AK1068">
        <v>0</v>
      </c>
      <c r="AL1068" t="s">
        <v>52</v>
      </c>
      <c r="AM1068" t="s">
        <v>52</v>
      </c>
      <c r="AN1068">
        <v>0</v>
      </c>
      <c r="AO1068">
        <v>0</v>
      </c>
      <c r="AP1068" t="s">
        <v>52</v>
      </c>
      <c r="AQ1068" t="s">
        <v>52</v>
      </c>
      <c r="AR1068" t="s">
        <v>62</v>
      </c>
      <c r="AS1068" t="s">
        <v>52</v>
      </c>
      <c r="AT1068" t="s">
        <v>52</v>
      </c>
      <c r="AU1068" t="s">
        <v>64</v>
      </c>
      <c r="AV1068" t="s">
        <v>62</v>
      </c>
      <c r="AW1068" t="s">
        <v>65</v>
      </c>
      <c r="AX1068" t="s">
        <v>66</v>
      </c>
      <c r="AY1068" t="s">
        <v>67</v>
      </c>
    </row>
    <row r="1069" spans="1:51" hidden="1" x14ac:dyDescent="0.25">
      <c r="A1069">
        <v>406067</v>
      </c>
      <c r="B1069" t="s">
        <v>4067</v>
      </c>
      <c r="C1069" t="e">
        <f>VLOOKUP(A1069,[1]Customer_payment_journal_line!$AL:$BO,30,0)</f>
        <v>#N/A</v>
      </c>
      <c r="D1069" t="s">
        <v>53</v>
      </c>
      <c r="E1069" t="s">
        <v>4064</v>
      </c>
      <c r="F1069" t="s">
        <v>4065</v>
      </c>
      <c r="G1069" t="s">
        <v>3455</v>
      </c>
      <c r="H1069" t="s">
        <v>69</v>
      </c>
      <c r="I1069" t="s">
        <v>1651</v>
      </c>
      <c r="J1069" t="s">
        <v>4066</v>
      </c>
      <c r="K1069" t="s">
        <v>1649</v>
      </c>
      <c r="L1069" t="s">
        <v>52</v>
      </c>
      <c r="M1069">
        <v>0</v>
      </c>
      <c r="N1069">
        <v>10220.1</v>
      </c>
      <c r="O1069" t="s">
        <v>61</v>
      </c>
      <c r="P1069">
        <v>100</v>
      </c>
      <c r="Q1069" t="s">
        <v>52</v>
      </c>
      <c r="R1069" t="s">
        <v>52</v>
      </c>
      <c r="S1069" t="s">
        <v>52</v>
      </c>
      <c r="T1069" t="s">
        <v>52</v>
      </c>
      <c r="U1069" t="s">
        <v>52</v>
      </c>
      <c r="V1069" t="s">
        <v>62</v>
      </c>
      <c r="W1069" t="s">
        <v>52</v>
      </c>
      <c r="Y1069" t="s">
        <v>1652</v>
      </c>
      <c r="Z1069" t="s">
        <v>62</v>
      </c>
      <c r="AB1069" t="s">
        <v>4068</v>
      </c>
      <c r="AE1069" t="s">
        <v>4069</v>
      </c>
      <c r="AF1069" t="s">
        <v>52</v>
      </c>
      <c r="AH1069">
        <v>0</v>
      </c>
      <c r="AI1069">
        <v>0</v>
      </c>
      <c r="AJ1069" t="s">
        <v>52</v>
      </c>
      <c r="AK1069">
        <v>0</v>
      </c>
      <c r="AL1069" t="s">
        <v>52</v>
      </c>
      <c r="AM1069" t="s">
        <v>52</v>
      </c>
      <c r="AN1069">
        <v>0</v>
      </c>
      <c r="AO1069">
        <v>0</v>
      </c>
      <c r="AP1069" t="s">
        <v>52</v>
      </c>
      <c r="AQ1069" t="s">
        <v>52</v>
      </c>
      <c r="AR1069" t="s">
        <v>62</v>
      </c>
      <c r="AS1069" t="s">
        <v>52</v>
      </c>
      <c r="AT1069" t="s">
        <v>74</v>
      </c>
      <c r="AU1069" t="s">
        <v>64</v>
      </c>
      <c r="AV1069" t="s">
        <v>62</v>
      </c>
      <c r="AW1069" t="s">
        <v>65</v>
      </c>
      <c r="AX1069" t="s">
        <v>66</v>
      </c>
      <c r="AY1069" t="s">
        <v>67</v>
      </c>
    </row>
    <row r="1070" spans="1:51" hidden="1" x14ac:dyDescent="0.25">
      <c r="A1070">
        <v>203154</v>
      </c>
      <c r="B1070" t="s">
        <v>4070</v>
      </c>
      <c r="C1070" t="e">
        <f>VLOOKUP(A1070,[1]Customer_payment_journal_line!$AL:$BO,30,0)</f>
        <v>#N/A</v>
      </c>
      <c r="D1070" t="s">
        <v>53</v>
      </c>
      <c r="E1070" t="s">
        <v>4071</v>
      </c>
      <c r="F1070" t="s">
        <v>4072</v>
      </c>
      <c r="G1070" t="s">
        <v>3455</v>
      </c>
      <c r="H1070" t="s">
        <v>57</v>
      </c>
      <c r="I1070" t="s">
        <v>58</v>
      </c>
      <c r="J1070" t="s">
        <v>2249</v>
      </c>
      <c r="K1070" t="s">
        <v>4073</v>
      </c>
      <c r="L1070" t="s">
        <v>52</v>
      </c>
      <c r="M1070">
        <v>2850</v>
      </c>
      <c r="N1070">
        <v>0</v>
      </c>
      <c r="O1070" t="s">
        <v>61</v>
      </c>
      <c r="P1070">
        <v>100</v>
      </c>
      <c r="Q1070" t="s">
        <v>52</v>
      </c>
      <c r="R1070" t="s">
        <v>52</v>
      </c>
      <c r="S1070" t="s">
        <v>52</v>
      </c>
      <c r="T1070" t="s">
        <v>52</v>
      </c>
      <c r="U1070" t="s">
        <v>52</v>
      </c>
      <c r="V1070" t="s">
        <v>62</v>
      </c>
      <c r="W1070" t="s">
        <v>63</v>
      </c>
      <c r="Y1070" t="s">
        <v>52</v>
      </c>
      <c r="AB1070" t="s">
        <v>52</v>
      </c>
      <c r="AE1070" t="s">
        <v>52</v>
      </c>
      <c r="AF1070" t="s">
        <v>52</v>
      </c>
      <c r="AH1070">
        <v>0</v>
      </c>
      <c r="AI1070">
        <v>0</v>
      </c>
      <c r="AJ1070" t="s">
        <v>52</v>
      </c>
      <c r="AK1070">
        <v>0</v>
      </c>
      <c r="AL1070" t="s">
        <v>52</v>
      </c>
      <c r="AM1070" t="s">
        <v>52</v>
      </c>
      <c r="AN1070">
        <v>0</v>
      </c>
      <c r="AO1070">
        <v>0</v>
      </c>
      <c r="AP1070" t="s">
        <v>52</v>
      </c>
      <c r="AQ1070" t="s">
        <v>52</v>
      </c>
      <c r="AR1070" t="s">
        <v>62</v>
      </c>
      <c r="AS1070" t="s">
        <v>52</v>
      </c>
      <c r="AT1070" t="s">
        <v>52</v>
      </c>
      <c r="AU1070" t="s">
        <v>64</v>
      </c>
      <c r="AV1070" t="s">
        <v>62</v>
      </c>
      <c r="AW1070" t="s">
        <v>65</v>
      </c>
      <c r="AX1070" t="s">
        <v>66</v>
      </c>
      <c r="AY1070" t="s">
        <v>67</v>
      </c>
    </row>
    <row r="1071" spans="1:51" hidden="1" x14ac:dyDescent="0.25">
      <c r="A1071">
        <v>203154</v>
      </c>
      <c r="B1071" t="s">
        <v>4074</v>
      </c>
      <c r="C1071" t="e">
        <f>VLOOKUP(A1071,[1]Customer_payment_journal_line!$AL:$BO,30,0)</f>
        <v>#N/A</v>
      </c>
      <c r="D1071" t="s">
        <v>53</v>
      </c>
      <c r="E1071" t="s">
        <v>4071</v>
      </c>
      <c r="F1071" t="s">
        <v>4072</v>
      </c>
      <c r="G1071" t="s">
        <v>3455</v>
      </c>
      <c r="H1071" t="s">
        <v>69</v>
      </c>
      <c r="I1071" t="s">
        <v>2252</v>
      </c>
      <c r="J1071" t="s">
        <v>2249</v>
      </c>
      <c r="K1071" t="s">
        <v>4073</v>
      </c>
      <c r="L1071" t="s">
        <v>52</v>
      </c>
      <c r="M1071">
        <v>0</v>
      </c>
      <c r="N1071">
        <v>2850</v>
      </c>
      <c r="O1071" t="s">
        <v>61</v>
      </c>
      <c r="P1071">
        <v>100</v>
      </c>
      <c r="Q1071" t="s">
        <v>52</v>
      </c>
      <c r="R1071" t="s">
        <v>52</v>
      </c>
      <c r="S1071" t="s">
        <v>52</v>
      </c>
      <c r="T1071" t="s">
        <v>52</v>
      </c>
      <c r="U1071" t="s">
        <v>52</v>
      </c>
      <c r="V1071" t="s">
        <v>62</v>
      </c>
      <c r="W1071" t="s">
        <v>52</v>
      </c>
      <c r="Y1071" t="s">
        <v>2253</v>
      </c>
      <c r="Z1071" t="s">
        <v>62</v>
      </c>
      <c r="AB1071" t="s">
        <v>4075</v>
      </c>
      <c r="AE1071" t="s">
        <v>4076</v>
      </c>
      <c r="AF1071" t="s">
        <v>52</v>
      </c>
      <c r="AH1071">
        <v>0</v>
      </c>
      <c r="AI1071">
        <v>0</v>
      </c>
      <c r="AJ1071" t="s">
        <v>52</v>
      </c>
      <c r="AK1071">
        <v>0</v>
      </c>
      <c r="AL1071" t="s">
        <v>52</v>
      </c>
      <c r="AM1071" t="s">
        <v>52</v>
      </c>
      <c r="AN1071">
        <v>0</v>
      </c>
      <c r="AO1071">
        <v>0</v>
      </c>
      <c r="AP1071" t="s">
        <v>52</v>
      </c>
      <c r="AQ1071" t="s">
        <v>52</v>
      </c>
      <c r="AR1071" t="s">
        <v>62</v>
      </c>
      <c r="AS1071" t="s">
        <v>52</v>
      </c>
      <c r="AT1071" t="s">
        <v>74</v>
      </c>
      <c r="AU1071" t="s">
        <v>64</v>
      </c>
      <c r="AV1071" t="s">
        <v>62</v>
      </c>
      <c r="AW1071" t="s">
        <v>65</v>
      </c>
      <c r="AX1071" t="s">
        <v>66</v>
      </c>
      <c r="AY1071" t="s">
        <v>67</v>
      </c>
    </row>
    <row r="1072" spans="1:51" hidden="1" x14ac:dyDescent="0.25">
      <c r="A1072">
        <v>406069</v>
      </c>
      <c r="B1072" t="s">
        <v>4077</v>
      </c>
      <c r="C1072" t="e">
        <f>VLOOKUP(A1072,[1]Customer_payment_journal_line!$AL:$BO,30,0)</f>
        <v>#N/A</v>
      </c>
      <c r="D1072" t="s">
        <v>159</v>
      </c>
      <c r="E1072" t="s">
        <v>4078</v>
      </c>
      <c r="F1072" t="s">
        <v>4079</v>
      </c>
      <c r="G1072" t="s">
        <v>3455</v>
      </c>
      <c r="H1072" t="s">
        <v>80</v>
      </c>
      <c r="I1072" t="s">
        <v>177</v>
      </c>
      <c r="J1072" t="s">
        <v>3730</v>
      </c>
      <c r="K1072" t="s">
        <v>3731</v>
      </c>
      <c r="L1072" t="s">
        <v>52</v>
      </c>
      <c r="M1072">
        <v>550</v>
      </c>
      <c r="N1072">
        <v>0</v>
      </c>
      <c r="O1072" t="s">
        <v>178</v>
      </c>
      <c r="P1072">
        <v>5085</v>
      </c>
      <c r="Q1072" t="s">
        <v>52</v>
      </c>
      <c r="R1072" t="s">
        <v>52</v>
      </c>
      <c r="S1072" t="s">
        <v>52</v>
      </c>
      <c r="T1072" t="s">
        <v>52</v>
      </c>
      <c r="U1072" t="s">
        <v>52</v>
      </c>
      <c r="V1072" t="s">
        <v>62</v>
      </c>
      <c r="W1072" t="s">
        <v>52</v>
      </c>
      <c r="Y1072" t="s">
        <v>52</v>
      </c>
      <c r="AB1072" t="s">
        <v>52</v>
      </c>
      <c r="AE1072" t="s">
        <v>52</v>
      </c>
      <c r="AF1072" t="s">
        <v>52</v>
      </c>
      <c r="AG1072" t="s">
        <v>52</v>
      </c>
      <c r="AH1072">
        <v>0</v>
      </c>
      <c r="AI1072">
        <v>0</v>
      </c>
      <c r="AJ1072" t="s">
        <v>52</v>
      </c>
      <c r="AK1072">
        <v>0</v>
      </c>
      <c r="AL1072" t="s">
        <v>52</v>
      </c>
      <c r="AM1072" t="s">
        <v>52</v>
      </c>
      <c r="AN1072">
        <v>0</v>
      </c>
      <c r="AO1072">
        <v>0</v>
      </c>
      <c r="AP1072" t="s">
        <v>52</v>
      </c>
      <c r="AQ1072" t="s">
        <v>52</v>
      </c>
      <c r="AR1072" t="s">
        <v>62</v>
      </c>
      <c r="AS1072" t="s">
        <v>52</v>
      </c>
      <c r="AT1072" t="s">
        <v>52</v>
      </c>
      <c r="AU1072" t="s">
        <v>64</v>
      </c>
      <c r="AV1072" t="s">
        <v>62</v>
      </c>
      <c r="AW1072" t="s">
        <v>65</v>
      </c>
      <c r="AX1072" t="s">
        <v>66</v>
      </c>
      <c r="AY1072" t="s">
        <v>165</v>
      </c>
    </row>
    <row r="1073" spans="1:51" hidden="1" x14ac:dyDescent="0.25">
      <c r="A1073">
        <v>406069</v>
      </c>
      <c r="B1073" t="s">
        <v>4080</v>
      </c>
      <c r="C1073" t="e">
        <f>VLOOKUP(A1073,[1]Customer_payment_journal_line!$AL:$BO,30,0)</f>
        <v>#N/A</v>
      </c>
      <c r="D1073" t="s">
        <v>159</v>
      </c>
      <c r="E1073" t="s">
        <v>4078</v>
      </c>
      <c r="F1073" t="s">
        <v>4079</v>
      </c>
      <c r="G1073" t="s">
        <v>3455</v>
      </c>
      <c r="H1073" t="s">
        <v>69</v>
      </c>
      <c r="I1073" t="s">
        <v>3733</v>
      </c>
      <c r="J1073" t="s">
        <v>3730</v>
      </c>
      <c r="K1073" t="s">
        <v>3731</v>
      </c>
      <c r="L1073" t="s">
        <v>52</v>
      </c>
      <c r="M1073">
        <v>0</v>
      </c>
      <c r="N1073">
        <v>550</v>
      </c>
      <c r="O1073" t="s">
        <v>178</v>
      </c>
      <c r="P1073">
        <v>5085</v>
      </c>
      <c r="Q1073" t="s">
        <v>52</v>
      </c>
      <c r="R1073" t="s">
        <v>52</v>
      </c>
      <c r="S1073" t="s">
        <v>52</v>
      </c>
      <c r="T1073" t="s">
        <v>52</v>
      </c>
      <c r="U1073" t="s">
        <v>52</v>
      </c>
      <c r="V1073" t="s">
        <v>62</v>
      </c>
      <c r="W1073" t="s">
        <v>52</v>
      </c>
      <c r="Y1073" t="s">
        <v>3734</v>
      </c>
      <c r="Z1073" t="s">
        <v>62</v>
      </c>
      <c r="AB1073" t="s">
        <v>4081</v>
      </c>
      <c r="AE1073" t="s">
        <v>4082</v>
      </c>
      <c r="AF1073" t="s">
        <v>52</v>
      </c>
      <c r="AG1073" t="s">
        <v>52</v>
      </c>
      <c r="AH1073">
        <v>0</v>
      </c>
      <c r="AI1073">
        <v>0</v>
      </c>
      <c r="AJ1073" t="s">
        <v>52</v>
      </c>
      <c r="AK1073">
        <v>0</v>
      </c>
      <c r="AL1073" t="s">
        <v>52</v>
      </c>
      <c r="AM1073" t="s">
        <v>52</v>
      </c>
      <c r="AN1073">
        <v>0</v>
      </c>
      <c r="AO1073">
        <v>0</v>
      </c>
      <c r="AP1073" t="s">
        <v>52</v>
      </c>
      <c r="AQ1073" t="s">
        <v>52</v>
      </c>
      <c r="AR1073" t="s">
        <v>62</v>
      </c>
      <c r="AS1073" t="s">
        <v>52</v>
      </c>
      <c r="AT1073" t="s">
        <v>74</v>
      </c>
      <c r="AU1073" t="s">
        <v>64</v>
      </c>
      <c r="AV1073" t="s">
        <v>62</v>
      </c>
      <c r="AW1073" t="s">
        <v>65</v>
      </c>
      <c r="AX1073" t="s">
        <v>66</v>
      </c>
      <c r="AY1073" t="s">
        <v>165</v>
      </c>
    </row>
    <row r="1074" spans="1:51" hidden="1" x14ac:dyDescent="0.25">
      <c r="A1074">
        <v>203158</v>
      </c>
      <c r="B1074" t="s">
        <v>4083</v>
      </c>
      <c r="C1074" t="e">
        <f>VLOOKUP(A1074,[1]Customer_payment_journal_line!$AL:$BO,30,0)</f>
        <v>#N/A</v>
      </c>
      <c r="D1074" t="s">
        <v>53</v>
      </c>
      <c r="E1074" t="s">
        <v>4084</v>
      </c>
      <c r="F1074" t="s">
        <v>4085</v>
      </c>
      <c r="G1074" t="s">
        <v>3455</v>
      </c>
      <c r="H1074" t="s">
        <v>57</v>
      </c>
      <c r="I1074" t="s">
        <v>58</v>
      </c>
      <c r="J1074" t="s">
        <v>4086</v>
      </c>
      <c r="K1074" t="s">
        <v>4087</v>
      </c>
      <c r="L1074" t="s">
        <v>52</v>
      </c>
      <c r="M1074">
        <v>10260</v>
      </c>
      <c r="N1074">
        <v>0</v>
      </c>
      <c r="O1074" t="s">
        <v>61</v>
      </c>
      <c r="P1074">
        <v>100</v>
      </c>
      <c r="Q1074" t="s">
        <v>52</v>
      </c>
      <c r="R1074" t="s">
        <v>52</v>
      </c>
      <c r="S1074" t="s">
        <v>52</v>
      </c>
      <c r="T1074" t="s">
        <v>52</v>
      </c>
      <c r="U1074" t="s">
        <v>52</v>
      </c>
      <c r="V1074" t="s">
        <v>62</v>
      </c>
      <c r="W1074" t="s">
        <v>63</v>
      </c>
      <c r="Y1074" t="s">
        <v>52</v>
      </c>
      <c r="AB1074" t="s">
        <v>52</v>
      </c>
      <c r="AE1074" t="s">
        <v>52</v>
      </c>
      <c r="AF1074" t="s">
        <v>52</v>
      </c>
      <c r="AH1074">
        <v>0</v>
      </c>
      <c r="AI1074">
        <v>0</v>
      </c>
      <c r="AJ1074" t="s">
        <v>52</v>
      </c>
      <c r="AK1074">
        <v>0</v>
      </c>
      <c r="AL1074" t="s">
        <v>52</v>
      </c>
      <c r="AM1074" t="s">
        <v>52</v>
      </c>
      <c r="AN1074">
        <v>0</v>
      </c>
      <c r="AO1074">
        <v>0</v>
      </c>
      <c r="AP1074" t="s">
        <v>52</v>
      </c>
      <c r="AQ1074" t="s">
        <v>52</v>
      </c>
      <c r="AR1074" t="s">
        <v>62</v>
      </c>
      <c r="AS1074" t="s">
        <v>52</v>
      </c>
      <c r="AT1074" t="s">
        <v>52</v>
      </c>
      <c r="AU1074" t="s">
        <v>64</v>
      </c>
      <c r="AV1074" t="s">
        <v>62</v>
      </c>
      <c r="AW1074" t="s">
        <v>65</v>
      </c>
      <c r="AX1074" t="s">
        <v>66</v>
      </c>
      <c r="AY1074" t="s">
        <v>67</v>
      </c>
    </row>
    <row r="1075" spans="1:51" hidden="1" x14ac:dyDescent="0.25">
      <c r="A1075">
        <v>203158</v>
      </c>
      <c r="B1075" t="s">
        <v>4088</v>
      </c>
      <c r="C1075" t="e">
        <f>VLOOKUP(A1075,[1]Customer_payment_journal_line!$AL:$BO,30,0)</f>
        <v>#N/A</v>
      </c>
      <c r="D1075" t="s">
        <v>53</v>
      </c>
      <c r="E1075" t="s">
        <v>4084</v>
      </c>
      <c r="F1075" t="s">
        <v>4085</v>
      </c>
      <c r="G1075" t="s">
        <v>3455</v>
      </c>
      <c r="H1075" t="s">
        <v>69</v>
      </c>
      <c r="I1075" t="s">
        <v>1187</v>
      </c>
      <c r="J1075" t="s">
        <v>4086</v>
      </c>
      <c r="K1075" t="s">
        <v>4087</v>
      </c>
      <c r="L1075" t="s">
        <v>52</v>
      </c>
      <c r="M1075">
        <v>0</v>
      </c>
      <c r="N1075">
        <v>10260</v>
      </c>
      <c r="O1075" t="s">
        <v>61</v>
      </c>
      <c r="P1075">
        <v>100</v>
      </c>
      <c r="Q1075" t="s">
        <v>52</v>
      </c>
      <c r="R1075" t="s">
        <v>52</v>
      </c>
      <c r="S1075" t="s">
        <v>52</v>
      </c>
      <c r="T1075" t="s">
        <v>52</v>
      </c>
      <c r="U1075" t="s">
        <v>52</v>
      </c>
      <c r="V1075" t="s">
        <v>62</v>
      </c>
      <c r="W1075" t="s">
        <v>52</v>
      </c>
      <c r="Y1075" t="s">
        <v>1188</v>
      </c>
      <c r="Z1075" t="s">
        <v>62</v>
      </c>
      <c r="AB1075" t="s">
        <v>4089</v>
      </c>
      <c r="AE1075" t="s">
        <v>4090</v>
      </c>
      <c r="AF1075" t="s">
        <v>52</v>
      </c>
      <c r="AH1075">
        <v>0</v>
      </c>
      <c r="AI1075">
        <v>0</v>
      </c>
      <c r="AJ1075" t="s">
        <v>52</v>
      </c>
      <c r="AK1075">
        <v>0</v>
      </c>
      <c r="AL1075" t="s">
        <v>52</v>
      </c>
      <c r="AM1075" t="s">
        <v>52</v>
      </c>
      <c r="AN1075">
        <v>0</v>
      </c>
      <c r="AO1075">
        <v>0</v>
      </c>
      <c r="AP1075" t="s">
        <v>52</v>
      </c>
      <c r="AQ1075" t="s">
        <v>52</v>
      </c>
      <c r="AR1075" t="s">
        <v>62</v>
      </c>
      <c r="AS1075" t="s">
        <v>52</v>
      </c>
      <c r="AT1075" t="s">
        <v>74</v>
      </c>
      <c r="AU1075" t="s">
        <v>64</v>
      </c>
      <c r="AV1075" t="s">
        <v>62</v>
      </c>
      <c r="AW1075" t="s">
        <v>65</v>
      </c>
      <c r="AX1075" t="s">
        <v>66</v>
      </c>
      <c r="AY1075" t="s">
        <v>67</v>
      </c>
    </row>
    <row r="1076" spans="1:51" hidden="1" x14ac:dyDescent="0.25">
      <c r="A1076">
        <v>203159</v>
      </c>
      <c r="B1076" t="s">
        <v>4091</v>
      </c>
      <c r="C1076" t="e">
        <f>VLOOKUP(A1076,[1]Customer_payment_journal_line!$AL:$BO,30,0)</f>
        <v>#N/A</v>
      </c>
      <c r="D1076" t="s">
        <v>53</v>
      </c>
      <c r="E1076" t="s">
        <v>4092</v>
      </c>
      <c r="F1076" t="s">
        <v>4093</v>
      </c>
      <c r="G1076" t="s">
        <v>3455</v>
      </c>
      <c r="H1076" t="s">
        <v>57</v>
      </c>
      <c r="I1076" t="s">
        <v>58</v>
      </c>
      <c r="J1076" t="s">
        <v>4086</v>
      </c>
      <c r="K1076" t="s">
        <v>4087</v>
      </c>
      <c r="L1076" t="s">
        <v>52</v>
      </c>
      <c r="M1076">
        <v>855</v>
      </c>
      <c r="N1076">
        <v>0</v>
      </c>
      <c r="O1076" t="s">
        <v>61</v>
      </c>
      <c r="P1076">
        <v>100</v>
      </c>
      <c r="Q1076" t="s">
        <v>52</v>
      </c>
      <c r="R1076" t="s">
        <v>52</v>
      </c>
      <c r="S1076" t="s">
        <v>52</v>
      </c>
      <c r="T1076" t="s">
        <v>52</v>
      </c>
      <c r="U1076" t="s">
        <v>52</v>
      </c>
      <c r="V1076" t="s">
        <v>62</v>
      </c>
      <c r="W1076" t="s">
        <v>63</v>
      </c>
      <c r="Y1076" t="s">
        <v>52</v>
      </c>
      <c r="AB1076" t="s">
        <v>52</v>
      </c>
      <c r="AE1076" t="s">
        <v>52</v>
      </c>
      <c r="AF1076" t="s">
        <v>52</v>
      </c>
      <c r="AH1076">
        <v>0</v>
      </c>
      <c r="AI1076">
        <v>0</v>
      </c>
      <c r="AJ1076" t="s">
        <v>52</v>
      </c>
      <c r="AK1076">
        <v>0</v>
      </c>
      <c r="AL1076" t="s">
        <v>52</v>
      </c>
      <c r="AM1076" t="s">
        <v>52</v>
      </c>
      <c r="AN1076">
        <v>0</v>
      </c>
      <c r="AO1076">
        <v>0</v>
      </c>
      <c r="AP1076" t="s">
        <v>52</v>
      </c>
      <c r="AQ1076" t="s">
        <v>52</v>
      </c>
      <c r="AR1076" t="s">
        <v>62</v>
      </c>
      <c r="AS1076" t="s">
        <v>52</v>
      </c>
      <c r="AT1076" t="s">
        <v>52</v>
      </c>
      <c r="AU1076" t="s">
        <v>64</v>
      </c>
      <c r="AV1076" t="s">
        <v>62</v>
      </c>
      <c r="AW1076" t="s">
        <v>65</v>
      </c>
      <c r="AX1076" t="s">
        <v>66</v>
      </c>
      <c r="AY1076" t="s">
        <v>67</v>
      </c>
    </row>
    <row r="1077" spans="1:51" hidden="1" x14ac:dyDescent="0.25">
      <c r="A1077">
        <v>203159</v>
      </c>
      <c r="B1077" t="s">
        <v>4094</v>
      </c>
      <c r="C1077" t="e">
        <f>VLOOKUP(A1077,[1]Customer_payment_journal_line!$AL:$BO,30,0)</f>
        <v>#N/A</v>
      </c>
      <c r="D1077" t="s">
        <v>53</v>
      </c>
      <c r="E1077" t="s">
        <v>4092</v>
      </c>
      <c r="F1077" t="s">
        <v>4093</v>
      </c>
      <c r="G1077" t="s">
        <v>3455</v>
      </c>
      <c r="H1077" t="s">
        <v>69</v>
      </c>
      <c r="I1077" t="s">
        <v>1187</v>
      </c>
      <c r="J1077" t="s">
        <v>4086</v>
      </c>
      <c r="K1077" t="s">
        <v>4087</v>
      </c>
      <c r="L1077" t="s">
        <v>52</v>
      </c>
      <c r="M1077">
        <v>0</v>
      </c>
      <c r="N1077">
        <v>855</v>
      </c>
      <c r="O1077" t="s">
        <v>61</v>
      </c>
      <c r="P1077">
        <v>100</v>
      </c>
      <c r="Q1077" t="s">
        <v>52</v>
      </c>
      <c r="R1077" t="s">
        <v>52</v>
      </c>
      <c r="S1077" t="s">
        <v>52</v>
      </c>
      <c r="T1077" t="s">
        <v>52</v>
      </c>
      <c r="U1077" t="s">
        <v>52</v>
      </c>
      <c r="V1077" t="s">
        <v>62</v>
      </c>
      <c r="W1077" t="s">
        <v>52</v>
      </c>
      <c r="Y1077" t="s">
        <v>1188</v>
      </c>
      <c r="Z1077" t="s">
        <v>62</v>
      </c>
      <c r="AB1077" t="s">
        <v>4095</v>
      </c>
      <c r="AE1077" t="s">
        <v>4096</v>
      </c>
      <c r="AF1077" t="s">
        <v>52</v>
      </c>
      <c r="AH1077">
        <v>0</v>
      </c>
      <c r="AI1077">
        <v>0</v>
      </c>
      <c r="AJ1077" t="s">
        <v>52</v>
      </c>
      <c r="AK1077">
        <v>0</v>
      </c>
      <c r="AL1077" t="s">
        <v>52</v>
      </c>
      <c r="AM1077" t="s">
        <v>52</v>
      </c>
      <c r="AN1077">
        <v>0</v>
      </c>
      <c r="AO1077">
        <v>0</v>
      </c>
      <c r="AP1077" t="s">
        <v>52</v>
      </c>
      <c r="AQ1077" t="s">
        <v>52</v>
      </c>
      <c r="AR1077" t="s">
        <v>62</v>
      </c>
      <c r="AS1077" t="s">
        <v>52</v>
      </c>
      <c r="AT1077" t="s">
        <v>74</v>
      </c>
      <c r="AU1077" t="s">
        <v>64</v>
      </c>
      <c r="AV1077" t="s">
        <v>62</v>
      </c>
      <c r="AW1077" t="s">
        <v>65</v>
      </c>
      <c r="AX1077" t="s">
        <v>66</v>
      </c>
      <c r="AY1077" t="s">
        <v>67</v>
      </c>
    </row>
    <row r="1078" spans="1:51" hidden="1" x14ac:dyDescent="0.25">
      <c r="A1078">
        <v>406073</v>
      </c>
      <c r="B1078" t="s">
        <v>4097</v>
      </c>
      <c r="C1078" t="e">
        <f>VLOOKUP(A1078,[1]Customer_payment_journal_line!$AL:$BO,30,0)</f>
        <v>#N/A</v>
      </c>
      <c r="D1078" t="s">
        <v>53</v>
      </c>
      <c r="E1078" t="s">
        <v>4098</v>
      </c>
      <c r="F1078" t="s">
        <v>4099</v>
      </c>
      <c r="G1078" t="s">
        <v>3455</v>
      </c>
      <c r="H1078" t="s">
        <v>201</v>
      </c>
      <c r="I1078" t="s">
        <v>516</v>
      </c>
      <c r="J1078" t="s">
        <v>202</v>
      </c>
      <c r="K1078" t="s">
        <v>3744</v>
      </c>
      <c r="L1078" t="s">
        <v>52</v>
      </c>
      <c r="M1078">
        <v>100</v>
      </c>
      <c r="N1078">
        <v>0</v>
      </c>
      <c r="O1078" t="s">
        <v>178</v>
      </c>
      <c r="P1078">
        <v>5085</v>
      </c>
      <c r="Q1078" t="s">
        <v>52</v>
      </c>
      <c r="R1078" t="s">
        <v>52</v>
      </c>
      <c r="S1078" t="s">
        <v>52</v>
      </c>
      <c r="T1078" t="s">
        <v>52</v>
      </c>
      <c r="U1078" t="s">
        <v>52</v>
      </c>
      <c r="V1078" t="s">
        <v>62</v>
      </c>
      <c r="W1078" t="s">
        <v>63</v>
      </c>
      <c r="Y1078" t="s">
        <v>52</v>
      </c>
      <c r="AB1078" t="s">
        <v>4100</v>
      </c>
      <c r="AE1078" t="s">
        <v>4100</v>
      </c>
      <c r="AF1078" t="s">
        <v>52</v>
      </c>
      <c r="AH1078">
        <v>0</v>
      </c>
      <c r="AI1078">
        <v>0</v>
      </c>
      <c r="AJ1078" t="s">
        <v>52</v>
      </c>
      <c r="AK1078">
        <v>0</v>
      </c>
      <c r="AL1078" t="s">
        <v>52</v>
      </c>
      <c r="AM1078" t="s">
        <v>52</v>
      </c>
      <c r="AN1078">
        <v>0</v>
      </c>
      <c r="AO1078">
        <v>0</v>
      </c>
      <c r="AP1078" t="s">
        <v>52</v>
      </c>
      <c r="AQ1078" t="s">
        <v>52</v>
      </c>
      <c r="AR1078" t="s">
        <v>62</v>
      </c>
      <c r="AS1078" t="s">
        <v>52</v>
      </c>
      <c r="AT1078" t="s">
        <v>52</v>
      </c>
      <c r="AU1078" t="s">
        <v>64</v>
      </c>
      <c r="AV1078" t="s">
        <v>62</v>
      </c>
      <c r="AW1078" t="s">
        <v>65</v>
      </c>
      <c r="AX1078" t="s">
        <v>66</v>
      </c>
      <c r="AY1078" t="s">
        <v>67</v>
      </c>
    </row>
    <row r="1079" spans="1:51" hidden="1" x14ac:dyDescent="0.25">
      <c r="A1079">
        <v>406073</v>
      </c>
      <c r="B1079" t="s">
        <v>4101</v>
      </c>
      <c r="C1079" t="e">
        <f>VLOOKUP(A1079,[1]Customer_payment_journal_line!$AL:$BO,30,0)</f>
        <v>#N/A</v>
      </c>
      <c r="D1079" t="s">
        <v>53</v>
      </c>
      <c r="E1079" t="s">
        <v>4098</v>
      </c>
      <c r="F1079" t="s">
        <v>4099</v>
      </c>
      <c r="G1079" t="s">
        <v>3455</v>
      </c>
      <c r="H1079" t="s">
        <v>201</v>
      </c>
      <c r="I1079" t="s">
        <v>58</v>
      </c>
      <c r="J1079" t="s">
        <v>202</v>
      </c>
      <c r="K1079" t="s">
        <v>3744</v>
      </c>
      <c r="L1079" t="s">
        <v>52</v>
      </c>
      <c r="M1079">
        <v>1325</v>
      </c>
      <c r="N1079">
        <v>0</v>
      </c>
      <c r="O1079" t="s">
        <v>61</v>
      </c>
      <c r="P1079">
        <v>100</v>
      </c>
      <c r="Q1079" t="s">
        <v>52</v>
      </c>
      <c r="R1079" t="s">
        <v>52</v>
      </c>
      <c r="S1079" t="s">
        <v>52</v>
      </c>
      <c r="T1079" t="s">
        <v>52</v>
      </c>
      <c r="U1079" t="s">
        <v>52</v>
      </c>
      <c r="V1079" t="s">
        <v>62</v>
      </c>
      <c r="W1079" t="s">
        <v>63</v>
      </c>
      <c r="Y1079" t="s">
        <v>52</v>
      </c>
      <c r="AB1079" t="s">
        <v>4100</v>
      </c>
      <c r="AE1079" t="s">
        <v>4100</v>
      </c>
      <c r="AF1079" t="s">
        <v>52</v>
      </c>
      <c r="AH1079">
        <v>0</v>
      </c>
      <c r="AI1079">
        <v>0</v>
      </c>
      <c r="AJ1079" t="s">
        <v>52</v>
      </c>
      <c r="AK1079">
        <v>0</v>
      </c>
      <c r="AL1079" t="s">
        <v>52</v>
      </c>
      <c r="AM1079" t="s">
        <v>52</v>
      </c>
      <c r="AN1079">
        <v>0</v>
      </c>
      <c r="AO1079">
        <v>0</v>
      </c>
      <c r="AP1079" t="s">
        <v>52</v>
      </c>
      <c r="AQ1079" t="s">
        <v>52</v>
      </c>
      <c r="AR1079" t="s">
        <v>62</v>
      </c>
      <c r="AS1079" t="s">
        <v>52</v>
      </c>
      <c r="AT1079" t="s">
        <v>52</v>
      </c>
      <c r="AU1079" t="s">
        <v>64</v>
      </c>
      <c r="AV1079" t="s">
        <v>62</v>
      </c>
      <c r="AW1079" t="s">
        <v>65</v>
      </c>
      <c r="AX1079" t="s">
        <v>66</v>
      </c>
      <c r="AY1079" t="s">
        <v>67</v>
      </c>
    </row>
    <row r="1080" spans="1:51" hidden="1" x14ac:dyDescent="0.25">
      <c r="A1080">
        <v>406073</v>
      </c>
      <c r="B1080" t="s">
        <v>4102</v>
      </c>
      <c r="C1080" t="e">
        <f>VLOOKUP(A1080,[1]Customer_payment_journal_line!$AL:$BO,30,0)</f>
        <v>#N/A</v>
      </c>
      <c r="D1080" t="s">
        <v>53</v>
      </c>
      <c r="E1080" t="s">
        <v>4098</v>
      </c>
      <c r="F1080" t="s">
        <v>4099</v>
      </c>
      <c r="G1080" t="s">
        <v>3455</v>
      </c>
      <c r="H1080" t="s">
        <v>69</v>
      </c>
      <c r="I1080" t="s">
        <v>3746</v>
      </c>
      <c r="J1080" t="s">
        <v>4103</v>
      </c>
      <c r="K1080" t="s">
        <v>3744</v>
      </c>
      <c r="L1080" t="s">
        <v>52</v>
      </c>
      <c r="M1080">
        <v>0</v>
      </c>
      <c r="N1080">
        <v>120</v>
      </c>
      <c r="O1080" t="s">
        <v>126</v>
      </c>
      <c r="P1080">
        <v>5285</v>
      </c>
      <c r="Q1080" t="s">
        <v>52</v>
      </c>
      <c r="R1080" t="s">
        <v>52</v>
      </c>
      <c r="S1080" t="s">
        <v>52</v>
      </c>
      <c r="T1080" t="s">
        <v>52</v>
      </c>
      <c r="U1080" t="s">
        <v>52</v>
      </c>
      <c r="V1080" t="s">
        <v>62</v>
      </c>
      <c r="W1080" t="s">
        <v>52</v>
      </c>
      <c r="Y1080" t="s">
        <v>3747</v>
      </c>
      <c r="Z1080" t="s">
        <v>62</v>
      </c>
      <c r="AB1080" t="s">
        <v>4100</v>
      </c>
      <c r="AE1080" t="s">
        <v>4100</v>
      </c>
      <c r="AF1080" t="s">
        <v>52</v>
      </c>
      <c r="AH1080">
        <v>0</v>
      </c>
      <c r="AI1080">
        <v>0</v>
      </c>
      <c r="AJ1080" t="s">
        <v>52</v>
      </c>
      <c r="AK1080">
        <v>0</v>
      </c>
      <c r="AL1080" t="s">
        <v>52</v>
      </c>
      <c r="AM1080" t="s">
        <v>52</v>
      </c>
      <c r="AN1080">
        <v>0</v>
      </c>
      <c r="AO1080">
        <v>0</v>
      </c>
      <c r="AP1080" t="s">
        <v>52</v>
      </c>
      <c r="AQ1080" t="s">
        <v>52</v>
      </c>
      <c r="AR1080" t="s">
        <v>62</v>
      </c>
      <c r="AS1080" t="s">
        <v>52</v>
      </c>
      <c r="AT1080" t="s">
        <v>74</v>
      </c>
      <c r="AU1080" t="s">
        <v>64</v>
      </c>
      <c r="AV1080" t="s">
        <v>62</v>
      </c>
      <c r="AW1080" t="s">
        <v>65</v>
      </c>
      <c r="AX1080" t="s">
        <v>66</v>
      </c>
      <c r="AY1080" t="s">
        <v>67</v>
      </c>
    </row>
    <row r="1081" spans="1:51" hidden="1" x14ac:dyDescent="0.25">
      <c r="A1081">
        <v>406073</v>
      </c>
      <c r="B1081" t="s">
        <v>4104</v>
      </c>
      <c r="C1081" t="e">
        <f>VLOOKUP(A1081,[1]Customer_payment_journal_line!$AL:$BO,30,0)</f>
        <v>#N/A</v>
      </c>
      <c r="D1081" t="s">
        <v>53</v>
      </c>
      <c r="E1081" t="s">
        <v>4098</v>
      </c>
      <c r="F1081" t="s">
        <v>4099</v>
      </c>
      <c r="G1081" t="s">
        <v>3455</v>
      </c>
      <c r="H1081" t="s">
        <v>210</v>
      </c>
      <c r="I1081" t="s">
        <v>4105</v>
      </c>
      <c r="J1081" t="s">
        <v>52</v>
      </c>
      <c r="K1081" t="s">
        <v>3744</v>
      </c>
      <c r="L1081" t="s">
        <v>52</v>
      </c>
      <c r="M1081">
        <v>0</v>
      </c>
      <c r="N1081">
        <v>68</v>
      </c>
      <c r="O1081" t="s">
        <v>61</v>
      </c>
      <c r="P1081">
        <v>100</v>
      </c>
      <c r="Q1081" t="s">
        <v>52</v>
      </c>
      <c r="R1081" t="s">
        <v>52</v>
      </c>
      <c r="S1081" t="s">
        <v>52</v>
      </c>
      <c r="T1081" t="s">
        <v>52</v>
      </c>
      <c r="U1081" t="s">
        <v>52</v>
      </c>
      <c r="V1081" t="s">
        <v>62</v>
      </c>
      <c r="W1081" t="s">
        <v>63</v>
      </c>
      <c r="Y1081" t="s">
        <v>3747</v>
      </c>
      <c r="AB1081" t="s">
        <v>4100</v>
      </c>
      <c r="AE1081" t="s">
        <v>4100</v>
      </c>
      <c r="AF1081" t="s">
        <v>52</v>
      </c>
      <c r="AH1081">
        <v>0</v>
      </c>
      <c r="AI1081">
        <v>0</v>
      </c>
      <c r="AJ1081" t="s">
        <v>52</v>
      </c>
      <c r="AK1081">
        <v>0</v>
      </c>
      <c r="AL1081" t="s">
        <v>52</v>
      </c>
      <c r="AM1081" t="s">
        <v>52</v>
      </c>
      <c r="AN1081">
        <v>0</v>
      </c>
      <c r="AO1081">
        <v>0</v>
      </c>
      <c r="AP1081" t="s">
        <v>52</v>
      </c>
      <c r="AQ1081" t="s">
        <v>52</v>
      </c>
      <c r="AR1081" t="s">
        <v>62</v>
      </c>
      <c r="AS1081" t="s">
        <v>52</v>
      </c>
      <c r="AT1081" t="s">
        <v>52</v>
      </c>
      <c r="AU1081" t="s">
        <v>64</v>
      </c>
      <c r="AV1081" t="s">
        <v>62</v>
      </c>
      <c r="AW1081" t="s">
        <v>65</v>
      </c>
      <c r="AX1081" t="s">
        <v>66</v>
      </c>
      <c r="AY1081" t="s">
        <v>67</v>
      </c>
    </row>
    <row r="1082" spans="1:51" hidden="1" x14ac:dyDescent="0.25">
      <c r="A1082">
        <v>203169</v>
      </c>
      <c r="B1082" t="s">
        <v>4106</v>
      </c>
      <c r="C1082" t="e">
        <f>VLOOKUP(A1082,[1]Customer_payment_journal_line!$AL:$BO,30,0)</f>
        <v>#N/A</v>
      </c>
      <c r="D1082" t="s">
        <v>159</v>
      </c>
      <c r="E1082" t="s">
        <v>4107</v>
      </c>
      <c r="F1082" t="s">
        <v>4108</v>
      </c>
      <c r="G1082" t="s">
        <v>3455</v>
      </c>
      <c r="H1082" t="s">
        <v>80</v>
      </c>
      <c r="I1082" t="s">
        <v>269</v>
      </c>
      <c r="J1082" t="s">
        <v>4109</v>
      </c>
      <c r="K1082" t="s">
        <v>4110</v>
      </c>
      <c r="L1082" t="s">
        <v>52</v>
      </c>
      <c r="M1082">
        <v>5370</v>
      </c>
      <c r="N1082">
        <v>0</v>
      </c>
      <c r="O1082" t="s">
        <v>178</v>
      </c>
      <c r="P1082">
        <v>5085</v>
      </c>
      <c r="Q1082" t="s">
        <v>52</v>
      </c>
      <c r="R1082" t="s">
        <v>52</v>
      </c>
      <c r="S1082" t="s">
        <v>52</v>
      </c>
      <c r="T1082" t="s">
        <v>52</v>
      </c>
      <c r="U1082" t="s">
        <v>52</v>
      </c>
      <c r="V1082" t="s">
        <v>62</v>
      </c>
      <c r="W1082" t="s">
        <v>52</v>
      </c>
      <c r="Y1082" t="s">
        <v>52</v>
      </c>
      <c r="AB1082" t="s">
        <v>52</v>
      </c>
      <c r="AE1082" t="s">
        <v>52</v>
      </c>
      <c r="AF1082" t="s">
        <v>52</v>
      </c>
      <c r="AH1082">
        <v>0</v>
      </c>
      <c r="AI1082">
        <v>0</v>
      </c>
      <c r="AJ1082" t="s">
        <v>52</v>
      </c>
      <c r="AK1082">
        <v>0</v>
      </c>
      <c r="AL1082" t="s">
        <v>52</v>
      </c>
      <c r="AM1082" t="s">
        <v>52</v>
      </c>
      <c r="AN1082">
        <v>0</v>
      </c>
      <c r="AO1082">
        <v>0</v>
      </c>
      <c r="AP1082" t="s">
        <v>52</v>
      </c>
      <c r="AQ1082" t="s">
        <v>52</v>
      </c>
      <c r="AR1082" t="s">
        <v>62</v>
      </c>
      <c r="AS1082" t="s">
        <v>52</v>
      </c>
      <c r="AT1082" t="s">
        <v>52</v>
      </c>
      <c r="AU1082" t="s">
        <v>64</v>
      </c>
      <c r="AV1082" t="s">
        <v>62</v>
      </c>
      <c r="AW1082" t="s">
        <v>65</v>
      </c>
      <c r="AX1082" t="s">
        <v>66</v>
      </c>
      <c r="AY1082" t="s">
        <v>165</v>
      </c>
    </row>
    <row r="1083" spans="1:51" hidden="1" x14ac:dyDescent="0.25">
      <c r="A1083">
        <v>203169</v>
      </c>
      <c r="B1083" t="s">
        <v>4111</v>
      </c>
      <c r="C1083" t="e">
        <f>VLOOKUP(A1083,[1]Customer_payment_journal_line!$AL:$BO,30,0)</f>
        <v>#N/A</v>
      </c>
      <c r="D1083" t="s">
        <v>159</v>
      </c>
      <c r="E1083" t="s">
        <v>4107</v>
      </c>
      <c r="F1083" t="s">
        <v>4108</v>
      </c>
      <c r="G1083" t="s">
        <v>3455</v>
      </c>
      <c r="H1083" t="s">
        <v>69</v>
      </c>
      <c r="I1083" t="s">
        <v>4112</v>
      </c>
      <c r="J1083" t="s">
        <v>4109</v>
      </c>
      <c r="K1083" t="s">
        <v>4110</v>
      </c>
      <c r="L1083" t="s">
        <v>52</v>
      </c>
      <c r="M1083">
        <v>0</v>
      </c>
      <c r="N1083">
        <v>5370</v>
      </c>
      <c r="O1083" t="s">
        <v>178</v>
      </c>
      <c r="P1083">
        <v>5085</v>
      </c>
      <c r="Q1083" t="s">
        <v>52</v>
      </c>
      <c r="R1083" t="s">
        <v>52</v>
      </c>
      <c r="S1083" t="s">
        <v>52</v>
      </c>
      <c r="T1083" t="s">
        <v>52</v>
      </c>
      <c r="U1083" t="s">
        <v>52</v>
      </c>
      <c r="V1083" t="s">
        <v>62</v>
      </c>
      <c r="W1083" t="s">
        <v>52</v>
      </c>
      <c r="Y1083" t="s">
        <v>4113</v>
      </c>
      <c r="Z1083" t="s">
        <v>62</v>
      </c>
      <c r="AB1083" t="s">
        <v>4114</v>
      </c>
      <c r="AE1083" t="s">
        <v>4115</v>
      </c>
      <c r="AF1083" t="s">
        <v>52</v>
      </c>
      <c r="AH1083">
        <v>0</v>
      </c>
      <c r="AI1083">
        <v>0</v>
      </c>
      <c r="AJ1083" t="s">
        <v>52</v>
      </c>
      <c r="AK1083">
        <v>0</v>
      </c>
      <c r="AL1083" t="s">
        <v>52</v>
      </c>
      <c r="AM1083" t="s">
        <v>52</v>
      </c>
      <c r="AN1083">
        <v>0</v>
      </c>
      <c r="AO1083">
        <v>0</v>
      </c>
      <c r="AP1083" t="s">
        <v>52</v>
      </c>
      <c r="AQ1083" t="s">
        <v>52</v>
      </c>
      <c r="AR1083" t="s">
        <v>62</v>
      </c>
      <c r="AS1083" t="s">
        <v>52</v>
      </c>
      <c r="AT1083" t="s">
        <v>74</v>
      </c>
      <c r="AU1083" t="s">
        <v>64</v>
      </c>
      <c r="AV1083" t="s">
        <v>62</v>
      </c>
      <c r="AW1083" t="s">
        <v>65</v>
      </c>
      <c r="AX1083" t="s">
        <v>66</v>
      </c>
      <c r="AY1083" t="s">
        <v>165</v>
      </c>
    </row>
    <row r="1084" spans="1:51" hidden="1" x14ac:dyDescent="0.25">
      <c r="A1084">
        <v>203170</v>
      </c>
      <c r="B1084" t="s">
        <v>4116</v>
      </c>
      <c r="C1084" t="e">
        <f>VLOOKUP(A1084,[1]Customer_payment_journal_line!$AL:$BO,30,0)</f>
        <v>#N/A</v>
      </c>
      <c r="D1084" t="s">
        <v>159</v>
      </c>
      <c r="E1084" t="s">
        <v>4117</v>
      </c>
      <c r="F1084" t="s">
        <v>4118</v>
      </c>
      <c r="G1084" t="s">
        <v>3455</v>
      </c>
      <c r="H1084" t="s">
        <v>80</v>
      </c>
      <c r="I1084" t="s">
        <v>269</v>
      </c>
      <c r="J1084" t="s">
        <v>4109</v>
      </c>
      <c r="K1084" t="s">
        <v>4119</v>
      </c>
      <c r="L1084" t="s">
        <v>52</v>
      </c>
      <c r="M1084">
        <v>800</v>
      </c>
      <c r="N1084">
        <v>0</v>
      </c>
      <c r="O1084" t="s">
        <v>178</v>
      </c>
      <c r="P1084">
        <v>5085</v>
      </c>
      <c r="Q1084" t="s">
        <v>52</v>
      </c>
      <c r="R1084" t="s">
        <v>52</v>
      </c>
      <c r="S1084" t="s">
        <v>52</v>
      </c>
      <c r="T1084" t="s">
        <v>52</v>
      </c>
      <c r="U1084" t="s">
        <v>52</v>
      </c>
      <c r="V1084" t="s">
        <v>62</v>
      </c>
      <c r="W1084" t="s">
        <v>52</v>
      </c>
      <c r="Y1084" t="s">
        <v>52</v>
      </c>
      <c r="AB1084" t="s">
        <v>52</v>
      </c>
      <c r="AE1084" t="s">
        <v>52</v>
      </c>
      <c r="AF1084" t="s">
        <v>52</v>
      </c>
      <c r="AH1084">
        <v>0</v>
      </c>
      <c r="AI1084">
        <v>0</v>
      </c>
      <c r="AJ1084" t="s">
        <v>52</v>
      </c>
      <c r="AK1084">
        <v>0</v>
      </c>
      <c r="AL1084" t="s">
        <v>52</v>
      </c>
      <c r="AM1084" t="s">
        <v>52</v>
      </c>
      <c r="AN1084">
        <v>0</v>
      </c>
      <c r="AO1084">
        <v>0</v>
      </c>
      <c r="AP1084" t="s">
        <v>52</v>
      </c>
      <c r="AQ1084" t="s">
        <v>52</v>
      </c>
      <c r="AR1084" t="s">
        <v>62</v>
      </c>
      <c r="AS1084" t="s">
        <v>52</v>
      </c>
      <c r="AT1084" t="s">
        <v>52</v>
      </c>
      <c r="AU1084" t="s">
        <v>64</v>
      </c>
      <c r="AV1084" t="s">
        <v>62</v>
      </c>
      <c r="AW1084" t="s">
        <v>65</v>
      </c>
      <c r="AX1084" t="s">
        <v>66</v>
      </c>
      <c r="AY1084" t="s">
        <v>165</v>
      </c>
    </row>
    <row r="1085" spans="1:51" hidden="1" x14ac:dyDescent="0.25">
      <c r="A1085">
        <v>203170</v>
      </c>
      <c r="B1085" t="s">
        <v>4120</v>
      </c>
      <c r="C1085" t="e">
        <f>VLOOKUP(A1085,[1]Customer_payment_journal_line!$AL:$BO,30,0)</f>
        <v>#N/A</v>
      </c>
      <c r="D1085" t="s">
        <v>159</v>
      </c>
      <c r="E1085" t="s">
        <v>4117</v>
      </c>
      <c r="F1085" t="s">
        <v>4118</v>
      </c>
      <c r="G1085" t="s">
        <v>3455</v>
      </c>
      <c r="H1085" t="s">
        <v>69</v>
      </c>
      <c r="I1085" t="s">
        <v>4112</v>
      </c>
      <c r="J1085" t="s">
        <v>4109</v>
      </c>
      <c r="K1085" t="s">
        <v>4119</v>
      </c>
      <c r="L1085" t="s">
        <v>52</v>
      </c>
      <c r="M1085">
        <v>0</v>
      </c>
      <c r="N1085">
        <v>800</v>
      </c>
      <c r="O1085" t="s">
        <v>178</v>
      </c>
      <c r="P1085">
        <v>5085</v>
      </c>
      <c r="Q1085" t="s">
        <v>52</v>
      </c>
      <c r="R1085" t="s">
        <v>52</v>
      </c>
      <c r="S1085" t="s">
        <v>52</v>
      </c>
      <c r="T1085" t="s">
        <v>52</v>
      </c>
      <c r="U1085" t="s">
        <v>52</v>
      </c>
      <c r="V1085" t="s">
        <v>62</v>
      </c>
      <c r="W1085" t="s">
        <v>52</v>
      </c>
      <c r="Y1085" t="s">
        <v>4113</v>
      </c>
      <c r="Z1085" t="s">
        <v>62</v>
      </c>
      <c r="AB1085" t="s">
        <v>4121</v>
      </c>
      <c r="AE1085" t="s">
        <v>4122</v>
      </c>
      <c r="AF1085" t="s">
        <v>52</v>
      </c>
      <c r="AH1085">
        <v>0</v>
      </c>
      <c r="AI1085">
        <v>0</v>
      </c>
      <c r="AJ1085" t="s">
        <v>52</v>
      </c>
      <c r="AK1085">
        <v>0</v>
      </c>
      <c r="AL1085" t="s">
        <v>52</v>
      </c>
      <c r="AM1085" t="s">
        <v>52</v>
      </c>
      <c r="AN1085">
        <v>0</v>
      </c>
      <c r="AO1085">
        <v>0</v>
      </c>
      <c r="AP1085" t="s">
        <v>52</v>
      </c>
      <c r="AQ1085" t="s">
        <v>52</v>
      </c>
      <c r="AR1085" t="s">
        <v>62</v>
      </c>
      <c r="AS1085" t="s">
        <v>52</v>
      </c>
      <c r="AT1085" t="s">
        <v>74</v>
      </c>
      <c r="AU1085" t="s">
        <v>64</v>
      </c>
      <c r="AV1085" t="s">
        <v>62</v>
      </c>
      <c r="AW1085" t="s">
        <v>65</v>
      </c>
      <c r="AX1085" t="s">
        <v>66</v>
      </c>
      <c r="AY1085" t="s">
        <v>165</v>
      </c>
    </row>
    <row r="1086" spans="1:51" hidden="1" x14ac:dyDescent="0.25">
      <c r="A1086">
        <v>203184</v>
      </c>
      <c r="B1086" t="s">
        <v>4123</v>
      </c>
      <c r="C1086" t="e">
        <f>VLOOKUP(A1086,[1]Customer_payment_journal_line!$AL:$BO,30,0)</f>
        <v>#N/A</v>
      </c>
      <c r="D1086" t="s">
        <v>644</v>
      </c>
      <c r="E1086" t="s">
        <v>4124</v>
      </c>
      <c r="F1086" t="s">
        <v>4125</v>
      </c>
      <c r="G1086" t="s">
        <v>4126</v>
      </c>
      <c r="H1086" t="s">
        <v>210</v>
      </c>
      <c r="I1086" t="s">
        <v>4127</v>
      </c>
      <c r="K1086" t="s">
        <v>3158</v>
      </c>
      <c r="L1086" t="s">
        <v>52</v>
      </c>
      <c r="M1086">
        <v>34604.239999999998</v>
      </c>
      <c r="N1086">
        <v>0</v>
      </c>
      <c r="O1086" t="s">
        <v>61</v>
      </c>
      <c r="P1086">
        <v>100</v>
      </c>
      <c r="Q1086" t="s">
        <v>52</v>
      </c>
      <c r="R1086" t="s">
        <v>52</v>
      </c>
      <c r="S1086" t="s">
        <v>52</v>
      </c>
      <c r="T1086" t="s">
        <v>52</v>
      </c>
      <c r="U1086" t="s">
        <v>52</v>
      </c>
      <c r="V1086" t="s">
        <v>62</v>
      </c>
      <c r="W1086" t="s">
        <v>63</v>
      </c>
      <c r="Y1086" t="s">
        <v>52</v>
      </c>
      <c r="AB1086" t="s">
        <v>4128</v>
      </c>
      <c r="AE1086" t="s">
        <v>4129</v>
      </c>
      <c r="AF1086" t="s">
        <v>632</v>
      </c>
      <c r="AG1086" t="s">
        <v>4130</v>
      </c>
      <c r="AH1086">
        <v>0</v>
      </c>
      <c r="AI1086">
        <v>0</v>
      </c>
      <c r="AJ1086" t="s">
        <v>52</v>
      </c>
      <c r="AK1086">
        <v>0</v>
      </c>
      <c r="AL1086" t="s">
        <v>52</v>
      </c>
      <c r="AM1086" t="s">
        <v>52</v>
      </c>
      <c r="AN1086">
        <v>0</v>
      </c>
      <c r="AO1086">
        <v>0</v>
      </c>
      <c r="AP1086" t="s">
        <v>52</v>
      </c>
      <c r="AQ1086" t="s">
        <v>52</v>
      </c>
      <c r="AR1086" t="s">
        <v>62</v>
      </c>
      <c r="AS1086" t="s">
        <v>52</v>
      </c>
      <c r="AT1086" t="s">
        <v>52</v>
      </c>
      <c r="AU1086" t="s">
        <v>64</v>
      </c>
      <c r="AV1086" t="s">
        <v>62</v>
      </c>
      <c r="AW1086" t="s">
        <v>65</v>
      </c>
      <c r="AX1086" t="s">
        <v>66</v>
      </c>
      <c r="AY1086" t="s">
        <v>654</v>
      </c>
    </row>
    <row r="1087" spans="1:51" hidden="1" x14ac:dyDescent="0.25">
      <c r="A1087">
        <v>203184</v>
      </c>
      <c r="B1087" t="s">
        <v>4131</v>
      </c>
      <c r="C1087" t="e">
        <f>VLOOKUP(A1087,[1]Customer_payment_journal_line!$AL:$BO,30,0)</f>
        <v>#N/A</v>
      </c>
      <c r="D1087" t="s">
        <v>644</v>
      </c>
      <c r="E1087" t="s">
        <v>4124</v>
      </c>
      <c r="F1087" t="s">
        <v>4125</v>
      </c>
      <c r="G1087" t="s">
        <v>4126</v>
      </c>
      <c r="H1087" t="s">
        <v>69</v>
      </c>
      <c r="I1087" t="s">
        <v>4132</v>
      </c>
      <c r="J1087" t="s">
        <v>4133</v>
      </c>
      <c r="K1087" t="s">
        <v>3158</v>
      </c>
      <c r="L1087" t="s">
        <v>52</v>
      </c>
      <c r="M1087">
        <v>0</v>
      </c>
      <c r="N1087">
        <v>33749.24</v>
      </c>
      <c r="O1087" t="s">
        <v>61</v>
      </c>
      <c r="P1087">
        <v>100</v>
      </c>
      <c r="Q1087" t="s">
        <v>52</v>
      </c>
      <c r="R1087" t="s">
        <v>52</v>
      </c>
      <c r="S1087" t="s">
        <v>52</v>
      </c>
      <c r="T1087" t="s">
        <v>52</v>
      </c>
      <c r="U1087" t="s">
        <v>52</v>
      </c>
      <c r="V1087" t="s">
        <v>62</v>
      </c>
      <c r="W1087" t="s">
        <v>52</v>
      </c>
      <c r="Y1087" t="s">
        <v>4134</v>
      </c>
      <c r="Z1087" t="s">
        <v>62</v>
      </c>
      <c r="AB1087" t="s">
        <v>4128</v>
      </c>
      <c r="AE1087" t="s">
        <v>4129</v>
      </c>
      <c r="AF1087" t="s">
        <v>632</v>
      </c>
      <c r="AG1087" t="s">
        <v>4130</v>
      </c>
      <c r="AH1087">
        <v>0</v>
      </c>
      <c r="AI1087">
        <v>0</v>
      </c>
      <c r="AJ1087" t="s">
        <v>52</v>
      </c>
      <c r="AK1087">
        <v>0</v>
      </c>
      <c r="AL1087" t="s">
        <v>52</v>
      </c>
      <c r="AM1087" t="s">
        <v>52</v>
      </c>
      <c r="AN1087">
        <v>0</v>
      </c>
      <c r="AO1087">
        <v>0</v>
      </c>
      <c r="AP1087" t="s">
        <v>52</v>
      </c>
      <c r="AQ1087" t="s">
        <v>52</v>
      </c>
      <c r="AR1087" t="s">
        <v>62</v>
      </c>
      <c r="AS1087" t="s">
        <v>52</v>
      </c>
      <c r="AT1087" t="s">
        <v>74</v>
      </c>
      <c r="AU1087" t="s">
        <v>64</v>
      </c>
      <c r="AV1087" t="s">
        <v>62</v>
      </c>
      <c r="AW1087" t="s">
        <v>65</v>
      </c>
      <c r="AX1087" t="s">
        <v>66</v>
      </c>
      <c r="AY1087" t="s">
        <v>654</v>
      </c>
    </row>
    <row r="1088" spans="1:51" hidden="1" x14ac:dyDescent="0.25">
      <c r="A1088">
        <v>203184</v>
      </c>
      <c r="B1088" t="s">
        <v>4135</v>
      </c>
      <c r="C1088" t="e">
        <f>VLOOKUP(A1088,[1]Customer_payment_journal_line!$AL:$BO,30,0)</f>
        <v>#N/A</v>
      </c>
      <c r="D1088" t="s">
        <v>644</v>
      </c>
      <c r="E1088" t="s">
        <v>4124</v>
      </c>
      <c r="F1088" t="s">
        <v>4125</v>
      </c>
      <c r="G1088" t="s">
        <v>4126</v>
      </c>
      <c r="H1088" t="s">
        <v>69</v>
      </c>
      <c r="I1088" t="s">
        <v>4132</v>
      </c>
      <c r="J1088" t="s">
        <v>4133</v>
      </c>
      <c r="K1088" t="s">
        <v>3158</v>
      </c>
      <c r="L1088" t="s">
        <v>52</v>
      </c>
      <c r="M1088">
        <v>0</v>
      </c>
      <c r="N1088">
        <v>855</v>
      </c>
      <c r="O1088" t="s">
        <v>61</v>
      </c>
      <c r="P1088">
        <v>100</v>
      </c>
      <c r="Q1088" t="s">
        <v>52</v>
      </c>
      <c r="R1088" t="s">
        <v>52</v>
      </c>
      <c r="S1088" t="s">
        <v>52</v>
      </c>
      <c r="T1088" t="s">
        <v>52</v>
      </c>
      <c r="U1088" t="s">
        <v>52</v>
      </c>
      <c r="V1088" t="s">
        <v>62</v>
      </c>
      <c r="W1088" t="s">
        <v>52</v>
      </c>
      <c r="Y1088" t="s">
        <v>4134</v>
      </c>
      <c r="Z1088" t="s">
        <v>62</v>
      </c>
      <c r="AB1088" t="s">
        <v>4136</v>
      </c>
      <c r="AE1088" t="s">
        <v>4137</v>
      </c>
      <c r="AF1088" t="s">
        <v>632</v>
      </c>
      <c r="AG1088" t="s">
        <v>4130</v>
      </c>
      <c r="AH1088">
        <v>0</v>
      </c>
      <c r="AI1088">
        <v>0</v>
      </c>
      <c r="AJ1088" t="s">
        <v>52</v>
      </c>
      <c r="AK1088">
        <v>0</v>
      </c>
      <c r="AL1088" t="s">
        <v>52</v>
      </c>
      <c r="AM1088" t="s">
        <v>52</v>
      </c>
      <c r="AN1088">
        <v>0</v>
      </c>
      <c r="AO1088">
        <v>0</v>
      </c>
      <c r="AP1088" t="s">
        <v>52</v>
      </c>
      <c r="AQ1088" t="s">
        <v>52</v>
      </c>
      <c r="AR1088" t="s">
        <v>62</v>
      </c>
      <c r="AS1088" t="s">
        <v>52</v>
      </c>
      <c r="AT1088" t="s">
        <v>74</v>
      </c>
      <c r="AU1088" t="s">
        <v>64</v>
      </c>
      <c r="AV1088" t="s">
        <v>62</v>
      </c>
      <c r="AW1088" t="s">
        <v>65</v>
      </c>
      <c r="AX1088" t="s">
        <v>66</v>
      </c>
      <c r="AY1088" t="s">
        <v>654</v>
      </c>
    </row>
    <row r="1089" spans="1:51" hidden="1" x14ac:dyDescent="0.25">
      <c r="A1089">
        <v>203205</v>
      </c>
      <c r="B1089" t="s">
        <v>4138</v>
      </c>
      <c r="C1089" t="e">
        <f>VLOOKUP(A1089,[1]Customer_payment_journal_line!$AL:$BO,30,0)</f>
        <v>#N/A</v>
      </c>
      <c r="D1089" t="s">
        <v>76</v>
      </c>
      <c r="E1089" t="s">
        <v>4139</v>
      </c>
      <c r="F1089" t="s">
        <v>4140</v>
      </c>
      <c r="G1089" t="s">
        <v>4126</v>
      </c>
      <c r="H1089" t="s">
        <v>80</v>
      </c>
      <c r="I1089" t="s">
        <v>81</v>
      </c>
      <c r="J1089" t="s">
        <v>4141</v>
      </c>
      <c r="K1089" t="s">
        <v>4142</v>
      </c>
      <c r="L1089" t="s">
        <v>52</v>
      </c>
      <c r="M1089">
        <v>20235</v>
      </c>
      <c r="N1089">
        <v>0</v>
      </c>
      <c r="O1089" t="s">
        <v>61</v>
      </c>
      <c r="P1089">
        <v>100</v>
      </c>
      <c r="Q1089" t="s">
        <v>52</v>
      </c>
      <c r="R1089" t="s">
        <v>52</v>
      </c>
      <c r="S1089" t="s">
        <v>52</v>
      </c>
      <c r="T1089" t="s">
        <v>52</v>
      </c>
      <c r="U1089" t="s">
        <v>52</v>
      </c>
      <c r="V1089" t="s">
        <v>62</v>
      </c>
      <c r="W1089" t="s">
        <v>52</v>
      </c>
      <c r="Y1089" t="s">
        <v>52</v>
      </c>
      <c r="AB1089" t="s">
        <v>52</v>
      </c>
      <c r="AE1089" t="s">
        <v>52</v>
      </c>
      <c r="AF1089" t="s">
        <v>52</v>
      </c>
      <c r="AH1089">
        <v>0</v>
      </c>
      <c r="AI1089">
        <v>0</v>
      </c>
      <c r="AJ1089" t="s">
        <v>52</v>
      </c>
      <c r="AK1089">
        <v>0</v>
      </c>
      <c r="AL1089" t="s">
        <v>52</v>
      </c>
      <c r="AM1089" t="s">
        <v>52</v>
      </c>
      <c r="AN1089">
        <v>0</v>
      </c>
      <c r="AO1089">
        <v>0</v>
      </c>
      <c r="AP1089" t="s">
        <v>52</v>
      </c>
      <c r="AQ1089" t="s">
        <v>52</v>
      </c>
      <c r="AR1089" t="s">
        <v>62</v>
      </c>
      <c r="AS1089" t="s">
        <v>52</v>
      </c>
      <c r="AT1089" t="s">
        <v>52</v>
      </c>
      <c r="AU1089" t="s">
        <v>64</v>
      </c>
      <c r="AV1089" t="s">
        <v>62</v>
      </c>
      <c r="AW1089" t="s">
        <v>65</v>
      </c>
      <c r="AX1089" t="s">
        <v>66</v>
      </c>
      <c r="AY1089" t="s">
        <v>76</v>
      </c>
    </row>
    <row r="1090" spans="1:51" hidden="1" x14ac:dyDescent="0.25">
      <c r="A1090">
        <v>203205</v>
      </c>
      <c r="B1090" t="s">
        <v>4143</v>
      </c>
      <c r="C1090" t="e">
        <f>VLOOKUP(A1090,[1]Customer_payment_journal_line!$AL:$BO,30,0)</f>
        <v>#N/A</v>
      </c>
      <c r="D1090" t="s">
        <v>76</v>
      </c>
      <c r="E1090" t="s">
        <v>4139</v>
      </c>
      <c r="F1090" t="s">
        <v>4140</v>
      </c>
      <c r="G1090" t="s">
        <v>4126</v>
      </c>
      <c r="H1090" t="s">
        <v>69</v>
      </c>
      <c r="I1090" t="s">
        <v>4144</v>
      </c>
      <c r="J1090" t="s">
        <v>4141</v>
      </c>
      <c r="K1090" t="s">
        <v>4142</v>
      </c>
      <c r="L1090" t="s">
        <v>52</v>
      </c>
      <c r="M1090">
        <v>0</v>
      </c>
      <c r="N1090">
        <v>855</v>
      </c>
      <c r="O1090" t="s">
        <v>61</v>
      </c>
      <c r="P1090">
        <v>100</v>
      </c>
      <c r="Q1090" t="s">
        <v>52</v>
      </c>
      <c r="R1090" t="s">
        <v>52</v>
      </c>
      <c r="S1090" t="s">
        <v>52</v>
      </c>
      <c r="T1090" t="s">
        <v>52</v>
      </c>
      <c r="U1090" t="s">
        <v>52</v>
      </c>
      <c r="V1090" t="s">
        <v>62</v>
      </c>
      <c r="W1090" t="s">
        <v>52</v>
      </c>
      <c r="Y1090" t="s">
        <v>4145</v>
      </c>
      <c r="Z1090" t="s">
        <v>62</v>
      </c>
      <c r="AB1090" t="s">
        <v>4146</v>
      </c>
      <c r="AE1090" t="s">
        <v>4147</v>
      </c>
      <c r="AF1090" t="s">
        <v>52</v>
      </c>
      <c r="AH1090">
        <v>0</v>
      </c>
      <c r="AI1090">
        <v>0</v>
      </c>
      <c r="AJ1090" t="s">
        <v>52</v>
      </c>
      <c r="AK1090">
        <v>0</v>
      </c>
      <c r="AL1090" t="s">
        <v>52</v>
      </c>
      <c r="AM1090" t="s">
        <v>52</v>
      </c>
      <c r="AN1090">
        <v>0</v>
      </c>
      <c r="AO1090">
        <v>0</v>
      </c>
      <c r="AP1090" t="s">
        <v>52</v>
      </c>
      <c r="AQ1090" t="s">
        <v>52</v>
      </c>
      <c r="AR1090" t="s">
        <v>62</v>
      </c>
      <c r="AS1090" t="s">
        <v>52</v>
      </c>
      <c r="AT1090" t="s">
        <v>74</v>
      </c>
      <c r="AU1090" t="s">
        <v>64</v>
      </c>
      <c r="AV1090" t="s">
        <v>62</v>
      </c>
      <c r="AW1090" t="s">
        <v>65</v>
      </c>
      <c r="AX1090" t="s">
        <v>66</v>
      </c>
      <c r="AY1090" t="s">
        <v>76</v>
      </c>
    </row>
    <row r="1091" spans="1:51" hidden="1" x14ac:dyDescent="0.25">
      <c r="A1091">
        <v>203205</v>
      </c>
      <c r="B1091" t="s">
        <v>4148</v>
      </c>
      <c r="C1091" t="e">
        <f>VLOOKUP(A1091,[1]Customer_payment_journal_line!$AL:$BO,30,0)</f>
        <v>#N/A</v>
      </c>
      <c r="D1091" t="s">
        <v>76</v>
      </c>
      <c r="E1091" t="s">
        <v>4139</v>
      </c>
      <c r="F1091" t="s">
        <v>4140</v>
      </c>
      <c r="G1091" t="s">
        <v>4126</v>
      </c>
      <c r="H1091" t="s">
        <v>69</v>
      </c>
      <c r="I1091" t="s">
        <v>4144</v>
      </c>
      <c r="J1091" t="s">
        <v>4141</v>
      </c>
      <c r="K1091" t="s">
        <v>4142</v>
      </c>
      <c r="L1091" t="s">
        <v>52</v>
      </c>
      <c r="M1091">
        <v>0</v>
      </c>
      <c r="N1091">
        <v>7980</v>
      </c>
      <c r="O1091" t="s">
        <v>61</v>
      </c>
      <c r="P1091">
        <v>100</v>
      </c>
      <c r="Q1091" t="s">
        <v>52</v>
      </c>
      <c r="R1091" t="s">
        <v>52</v>
      </c>
      <c r="S1091" t="s">
        <v>52</v>
      </c>
      <c r="T1091" t="s">
        <v>52</v>
      </c>
      <c r="U1091" t="s">
        <v>52</v>
      </c>
      <c r="V1091" t="s">
        <v>62</v>
      </c>
      <c r="W1091" t="s">
        <v>52</v>
      </c>
      <c r="Y1091" t="s">
        <v>4145</v>
      </c>
      <c r="Z1091" t="s">
        <v>62</v>
      </c>
      <c r="AB1091" t="s">
        <v>4149</v>
      </c>
      <c r="AE1091" t="s">
        <v>4150</v>
      </c>
      <c r="AF1091" t="s">
        <v>52</v>
      </c>
      <c r="AH1091">
        <v>0</v>
      </c>
      <c r="AI1091">
        <v>0</v>
      </c>
      <c r="AJ1091" t="s">
        <v>52</v>
      </c>
      <c r="AK1091">
        <v>0</v>
      </c>
      <c r="AL1091" t="s">
        <v>52</v>
      </c>
      <c r="AM1091" t="s">
        <v>52</v>
      </c>
      <c r="AN1091">
        <v>0</v>
      </c>
      <c r="AO1091">
        <v>0</v>
      </c>
      <c r="AP1091" t="s">
        <v>52</v>
      </c>
      <c r="AQ1091" t="s">
        <v>52</v>
      </c>
      <c r="AR1091" t="s">
        <v>62</v>
      </c>
      <c r="AS1091" t="s">
        <v>52</v>
      </c>
      <c r="AT1091" t="s">
        <v>74</v>
      </c>
      <c r="AU1091" t="s">
        <v>64</v>
      </c>
      <c r="AV1091" t="s">
        <v>62</v>
      </c>
      <c r="AW1091" t="s">
        <v>65</v>
      </c>
      <c r="AX1091" t="s">
        <v>66</v>
      </c>
      <c r="AY1091" t="s">
        <v>76</v>
      </c>
    </row>
    <row r="1092" spans="1:51" hidden="1" x14ac:dyDescent="0.25">
      <c r="A1092">
        <v>203205</v>
      </c>
      <c r="B1092" t="s">
        <v>4151</v>
      </c>
      <c r="C1092" t="e">
        <f>VLOOKUP(A1092,[1]Customer_payment_journal_line!$AL:$BO,30,0)</f>
        <v>#N/A</v>
      </c>
      <c r="D1092" t="s">
        <v>76</v>
      </c>
      <c r="E1092" t="s">
        <v>4139</v>
      </c>
      <c r="F1092" t="s">
        <v>4140</v>
      </c>
      <c r="G1092" t="s">
        <v>4126</v>
      </c>
      <c r="H1092" t="s">
        <v>69</v>
      </c>
      <c r="I1092" t="s">
        <v>4144</v>
      </c>
      <c r="J1092" t="s">
        <v>4141</v>
      </c>
      <c r="K1092" t="s">
        <v>4142</v>
      </c>
      <c r="L1092" t="s">
        <v>52</v>
      </c>
      <c r="M1092">
        <v>0</v>
      </c>
      <c r="N1092">
        <v>855</v>
      </c>
      <c r="O1092" t="s">
        <v>61</v>
      </c>
      <c r="P1092">
        <v>100</v>
      </c>
      <c r="Q1092" t="s">
        <v>52</v>
      </c>
      <c r="R1092" t="s">
        <v>52</v>
      </c>
      <c r="S1092" t="s">
        <v>52</v>
      </c>
      <c r="T1092" t="s">
        <v>52</v>
      </c>
      <c r="U1092" t="s">
        <v>52</v>
      </c>
      <c r="V1092" t="s">
        <v>62</v>
      </c>
      <c r="W1092" t="s">
        <v>52</v>
      </c>
      <c r="Y1092" t="s">
        <v>4145</v>
      </c>
      <c r="Z1092" t="s">
        <v>62</v>
      </c>
      <c r="AB1092" t="s">
        <v>4152</v>
      </c>
      <c r="AE1092" t="s">
        <v>4153</v>
      </c>
      <c r="AF1092" t="s">
        <v>52</v>
      </c>
      <c r="AH1092">
        <v>0</v>
      </c>
      <c r="AI1092">
        <v>0</v>
      </c>
      <c r="AJ1092" t="s">
        <v>52</v>
      </c>
      <c r="AK1092">
        <v>0</v>
      </c>
      <c r="AL1092" t="s">
        <v>52</v>
      </c>
      <c r="AM1092" t="s">
        <v>52</v>
      </c>
      <c r="AN1092">
        <v>0</v>
      </c>
      <c r="AO1092">
        <v>0</v>
      </c>
      <c r="AP1092" t="s">
        <v>52</v>
      </c>
      <c r="AQ1092" t="s">
        <v>52</v>
      </c>
      <c r="AR1092" t="s">
        <v>62</v>
      </c>
      <c r="AS1092" t="s">
        <v>52</v>
      </c>
      <c r="AT1092" t="s">
        <v>74</v>
      </c>
      <c r="AU1092" t="s">
        <v>64</v>
      </c>
      <c r="AV1092" t="s">
        <v>62</v>
      </c>
      <c r="AW1092" t="s">
        <v>65</v>
      </c>
      <c r="AX1092" t="s">
        <v>66</v>
      </c>
      <c r="AY1092" t="s">
        <v>76</v>
      </c>
    </row>
    <row r="1093" spans="1:51" hidden="1" x14ac:dyDescent="0.25">
      <c r="A1093">
        <v>203205</v>
      </c>
      <c r="B1093" t="s">
        <v>4154</v>
      </c>
      <c r="C1093" t="e">
        <f>VLOOKUP(A1093,[1]Customer_payment_journal_line!$AL:$BO,30,0)</f>
        <v>#N/A</v>
      </c>
      <c r="D1093" t="s">
        <v>76</v>
      </c>
      <c r="E1093" t="s">
        <v>4139</v>
      </c>
      <c r="F1093" t="s">
        <v>4140</v>
      </c>
      <c r="G1093" t="s">
        <v>4126</v>
      </c>
      <c r="H1093" t="s">
        <v>69</v>
      </c>
      <c r="I1093" t="s">
        <v>4144</v>
      </c>
      <c r="J1093" t="s">
        <v>4141</v>
      </c>
      <c r="K1093" t="s">
        <v>4142</v>
      </c>
      <c r="L1093" t="s">
        <v>52</v>
      </c>
      <c r="M1093">
        <v>0</v>
      </c>
      <c r="N1093">
        <v>7980</v>
      </c>
      <c r="O1093" t="s">
        <v>61</v>
      </c>
      <c r="P1093">
        <v>100</v>
      </c>
      <c r="Q1093" t="s">
        <v>52</v>
      </c>
      <c r="R1093" t="s">
        <v>52</v>
      </c>
      <c r="S1093" t="s">
        <v>52</v>
      </c>
      <c r="T1093" t="s">
        <v>52</v>
      </c>
      <c r="U1093" t="s">
        <v>52</v>
      </c>
      <c r="V1093" t="s">
        <v>62</v>
      </c>
      <c r="W1093" t="s">
        <v>52</v>
      </c>
      <c r="Y1093" t="s">
        <v>4145</v>
      </c>
      <c r="Z1093" t="s">
        <v>62</v>
      </c>
      <c r="AB1093" t="s">
        <v>4155</v>
      </c>
      <c r="AE1093" t="s">
        <v>4156</v>
      </c>
      <c r="AF1093" t="s">
        <v>52</v>
      </c>
      <c r="AH1093">
        <v>0</v>
      </c>
      <c r="AI1093">
        <v>0</v>
      </c>
      <c r="AJ1093" t="s">
        <v>52</v>
      </c>
      <c r="AK1093">
        <v>0</v>
      </c>
      <c r="AL1093" t="s">
        <v>52</v>
      </c>
      <c r="AM1093" t="s">
        <v>52</v>
      </c>
      <c r="AN1093">
        <v>0</v>
      </c>
      <c r="AO1093">
        <v>0</v>
      </c>
      <c r="AP1093" t="s">
        <v>52</v>
      </c>
      <c r="AQ1093" t="s">
        <v>52</v>
      </c>
      <c r="AR1093" t="s">
        <v>62</v>
      </c>
      <c r="AS1093" t="s">
        <v>52</v>
      </c>
      <c r="AT1093" t="s">
        <v>74</v>
      </c>
      <c r="AU1093" t="s">
        <v>64</v>
      </c>
      <c r="AV1093" t="s">
        <v>62</v>
      </c>
      <c r="AW1093" t="s">
        <v>65</v>
      </c>
      <c r="AX1093" t="s">
        <v>66</v>
      </c>
      <c r="AY1093" t="s">
        <v>76</v>
      </c>
    </row>
    <row r="1094" spans="1:51" hidden="1" x14ac:dyDescent="0.25">
      <c r="A1094">
        <v>203205</v>
      </c>
      <c r="B1094" t="s">
        <v>4157</v>
      </c>
      <c r="C1094" t="e">
        <f>VLOOKUP(A1094,[1]Customer_payment_journal_line!$AL:$BO,30,0)</f>
        <v>#N/A</v>
      </c>
      <c r="D1094" t="s">
        <v>76</v>
      </c>
      <c r="E1094" t="s">
        <v>4139</v>
      </c>
      <c r="F1094" t="s">
        <v>4140</v>
      </c>
      <c r="G1094" t="s">
        <v>4126</v>
      </c>
      <c r="H1094" t="s">
        <v>69</v>
      </c>
      <c r="I1094" t="s">
        <v>4144</v>
      </c>
      <c r="J1094" t="s">
        <v>4141</v>
      </c>
      <c r="K1094" t="s">
        <v>4142</v>
      </c>
      <c r="L1094" t="s">
        <v>52</v>
      </c>
      <c r="M1094">
        <v>0</v>
      </c>
      <c r="N1094">
        <v>855</v>
      </c>
      <c r="O1094" t="s">
        <v>61</v>
      </c>
      <c r="P1094">
        <v>100</v>
      </c>
      <c r="Q1094" t="s">
        <v>52</v>
      </c>
      <c r="R1094" t="s">
        <v>52</v>
      </c>
      <c r="S1094" t="s">
        <v>52</v>
      </c>
      <c r="T1094" t="s">
        <v>52</v>
      </c>
      <c r="U1094" t="s">
        <v>52</v>
      </c>
      <c r="V1094" t="s">
        <v>62</v>
      </c>
      <c r="W1094" t="s">
        <v>52</v>
      </c>
      <c r="Y1094" t="s">
        <v>4145</v>
      </c>
      <c r="Z1094" t="s">
        <v>62</v>
      </c>
      <c r="AB1094" t="s">
        <v>4158</v>
      </c>
      <c r="AE1094" t="s">
        <v>4159</v>
      </c>
      <c r="AF1094" t="s">
        <v>52</v>
      </c>
      <c r="AH1094">
        <v>0</v>
      </c>
      <c r="AI1094">
        <v>0</v>
      </c>
      <c r="AJ1094" t="s">
        <v>52</v>
      </c>
      <c r="AK1094">
        <v>0</v>
      </c>
      <c r="AL1094" t="s">
        <v>52</v>
      </c>
      <c r="AM1094" t="s">
        <v>52</v>
      </c>
      <c r="AN1094">
        <v>0</v>
      </c>
      <c r="AO1094">
        <v>0</v>
      </c>
      <c r="AP1094" t="s">
        <v>52</v>
      </c>
      <c r="AQ1094" t="s">
        <v>52</v>
      </c>
      <c r="AR1094" t="s">
        <v>62</v>
      </c>
      <c r="AS1094" t="s">
        <v>52</v>
      </c>
      <c r="AT1094" t="s">
        <v>74</v>
      </c>
      <c r="AU1094" t="s">
        <v>64</v>
      </c>
      <c r="AV1094" t="s">
        <v>62</v>
      </c>
      <c r="AW1094" t="s">
        <v>65</v>
      </c>
      <c r="AX1094" t="s">
        <v>66</v>
      </c>
      <c r="AY1094" t="s">
        <v>76</v>
      </c>
    </row>
    <row r="1095" spans="1:51" hidden="1" x14ac:dyDescent="0.25">
      <c r="A1095">
        <v>203205</v>
      </c>
      <c r="B1095" t="s">
        <v>4160</v>
      </c>
      <c r="C1095" t="e">
        <f>VLOOKUP(A1095,[1]Customer_payment_journal_line!$AL:$BO,30,0)</f>
        <v>#N/A</v>
      </c>
      <c r="D1095" t="s">
        <v>76</v>
      </c>
      <c r="E1095" t="s">
        <v>4139</v>
      </c>
      <c r="F1095" t="s">
        <v>4140</v>
      </c>
      <c r="G1095" t="s">
        <v>4126</v>
      </c>
      <c r="H1095" t="s">
        <v>69</v>
      </c>
      <c r="I1095" t="s">
        <v>4144</v>
      </c>
      <c r="J1095" t="s">
        <v>4141</v>
      </c>
      <c r="K1095" t="s">
        <v>4142</v>
      </c>
      <c r="L1095" t="s">
        <v>52</v>
      </c>
      <c r="M1095">
        <v>0</v>
      </c>
      <c r="N1095">
        <v>1710</v>
      </c>
      <c r="O1095" t="s">
        <v>61</v>
      </c>
      <c r="P1095">
        <v>100</v>
      </c>
      <c r="Q1095" t="s">
        <v>52</v>
      </c>
      <c r="R1095" t="s">
        <v>52</v>
      </c>
      <c r="S1095" t="s">
        <v>52</v>
      </c>
      <c r="T1095" t="s">
        <v>52</v>
      </c>
      <c r="U1095" t="s">
        <v>52</v>
      </c>
      <c r="V1095" t="s">
        <v>62</v>
      </c>
      <c r="W1095" t="s">
        <v>52</v>
      </c>
      <c r="Y1095" t="s">
        <v>4145</v>
      </c>
      <c r="Z1095" t="s">
        <v>62</v>
      </c>
      <c r="AB1095" t="s">
        <v>4161</v>
      </c>
      <c r="AE1095" t="s">
        <v>4162</v>
      </c>
      <c r="AF1095" t="s">
        <v>52</v>
      </c>
      <c r="AH1095">
        <v>0</v>
      </c>
      <c r="AI1095">
        <v>0</v>
      </c>
      <c r="AJ1095" t="s">
        <v>52</v>
      </c>
      <c r="AK1095">
        <v>0</v>
      </c>
      <c r="AL1095" t="s">
        <v>52</v>
      </c>
      <c r="AM1095" t="s">
        <v>52</v>
      </c>
      <c r="AN1095">
        <v>0</v>
      </c>
      <c r="AO1095">
        <v>0</v>
      </c>
      <c r="AP1095" t="s">
        <v>52</v>
      </c>
      <c r="AQ1095" t="s">
        <v>52</v>
      </c>
      <c r="AR1095" t="s">
        <v>62</v>
      </c>
      <c r="AS1095" t="s">
        <v>52</v>
      </c>
      <c r="AT1095" t="s">
        <v>74</v>
      </c>
      <c r="AU1095" t="s">
        <v>64</v>
      </c>
      <c r="AV1095" t="s">
        <v>62</v>
      </c>
      <c r="AW1095" t="s">
        <v>65</v>
      </c>
      <c r="AX1095" t="s">
        <v>66</v>
      </c>
      <c r="AY1095" t="s">
        <v>76</v>
      </c>
    </row>
    <row r="1096" spans="1:51" hidden="1" x14ac:dyDescent="0.25">
      <c r="A1096">
        <v>203208</v>
      </c>
      <c r="B1096" t="s">
        <v>4163</v>
      </c>
      <c r="C1096" t="e">
        <f>VLOOKUP(A1096,[1]Customer_payment_journal_line!$AL:$BO,30,0)</f>
        <v>#N/A</v>
      </c>
      <c r="D1096" t="s">
        <v>159</v>
      </c>
      <c r="E1096" t="s">
        <v>4164</v>
      </c>
      <c r="F1096" t="s">
        <v>4165</v>
      </c>
      <c r="G1096" t="s">
        <v>4126</v>
      </c>
      <c r="H1096" t="s">
        <v>80</v>
      </c>
      <c r="I1096" t="s">
        <v>177</v>
      </c>
      <c r="J1096" t="s">
        <v>4141</v>
      </c>
      <c r="K1096" t="s">
        <v>4142</v>
      </c>
      <c r="L1096" t="s">
        <v>52</v>
      </c>
      <c r="M1096">
        <v>90</v>
      </c>
      <c r="N1096">
        <v>0</v>
      </c>
      <c r="O1096" t="s">
        <v>178</v>
      </c>
      <c r="P1096">
        <v>5085</v>
      </c>
      <c r="Q1096" t="s">
        <v>52</v>
      </c>
      <c r="R1096" t="s">
        <v>52</v>
      </c>
      <c r="S1096" t="s">
        <v>52</v>
      </c>
      <c r="T1096" t="s">
        <v>52</v>
      </c>
      <c r="U1096" t="s">
        <v>52</v>
      </c>
      <c r="V1096" t="s">
        <v>62</v>
      </c>
      <c r="W1096" t="s">
        <v>52</v>
      </c>
      <c r="Y1096" t="s">
        <v>52</v>
      </c>
      <c r="AB1096" t="s">
        <v>52</v>
      </c>
      <c r="AE1096" t="s">
        <v>52</v>
      </c>
      <c r="AF1096" t="s">
        <v>52</v>
      </c>
      <c r="AH1096">
        <v>0</v>
      </c>
      <c r="AI1096">
        <v>0</v>
      </c>
      <c r="AJ1096" t="s">
        <v>52</v>
      </c>
      <c r="AK1096">
        <v>0</v>
      </c>
      <c r="AL1096" t="s">
        <v>52</v>
      </c>
      <c r="AM1096" t="s">
        <v>52</v>
      </c>
      <c r="AN1096">
        <v>0</v>
      </c>
      <c r="AO1096">
        <v>0</v>
      </c>
      <c r="AP1096" t="s">
        <v>52</v>
      </c>
      <c r="AQ1096" t="s">
        <v>52</v>
      </c>
      <c r="AR1096" t="s">
        <v>62</v>
      </c>
      <c r="AS1096" t="s">
        <v>52</v>
      </c>
      <c r="AT1096" t="s">
        <v>52</v>
      </c>
      <c r="AU1096" t="s">
        <v>64</v>
      </c>
      <c r="AV1096" t="s">
        <v>62</v>
      </c>
      <c r="AW1096" t="s">
        <v>65</v>
      </c>
      <c r="AX1096" t="s">
        <v>66</v>
      </c>
      <c r="AY1096" t="s">
        <v>165</v>
      </c>
    </row>
    <row r="1097" spans="1:51" hidden="1" x14ac:dyDescent="0.25">
      <c r="A1097">
        <v>203208</v>
      </c>
      <c r="B1097" t="s">
        <v>4166</v>
      </c>
      <c r="C1097" t="e">
        <f>VLOOKUP(A1097,[1]Customer_payment_journal_line!$AL:$BO,30,0)</f>
        <v>#N/A</v>
      </c>
      <c r="D1097" t="s">
        <v>159</v>
      </c>
      <c r="E1097" t="s">
        <v>4164</v>
      </c>
      <c r="F1097" t="s">
        <v>4165</v>
      </c>
      <c r="G1097" t="s">
        <v>4126</v>
      </c>
      <c r="H1097" t="s">
        <v>69</v>
      </c>
      <c r="I1097" t="s">
        <v>4144</v>
      </c>
      <c r="J1097" t="s">
        <v>4141</v>
      </c>
      <c r="K1097" t="s">
        <v>4142</v>
      </c>
      <c r="L1097" t="s">
        <v>52</v>
      </c>
      <c r="M1097">
        <v>0</v>
      </c>
      <c r="N1097">
        <v>90</v>
      </c>
      <c r="O1097" t="s">
        <v>178</v>
      </c>
      <c r="P1097">
        <v>5085</v>
      </c>
      <c r="Q1097" t="s">
        <v>52</v>
      </c>
      <c r="R1097" t="s">
        <v>52</v>
      </c>
      <c r="S1097" t="s">
        <v>52</v>
      </c>
      <c r="T1097" t="s">
        <v>52</v>
      </c>
      <c r="U1097" t="s">
        <v>52</v>
      </c>
      <c r="V1097" t="s">
        <v>62</v>
      </c>
      <c r="W1097" t="s">
        <v>52</v>
      </c>
      <c r="Y1097" t="s">
        <v>4145</v>
      </c>
      <c r="Z1097" t="s">
        <v>62</v>
      </c>
      <c r="AB1097" t="s">
        <v>4167</v>
      </c>
      <c r="AE1097" t="s">
        <v>4168</v>
      </c>
      <c r="AF1097" t="s">
        <v>52</v>
      </c>
      <c r="AH1097">
        <v>0</v>
      </c>
      <c r="AI1097">
        <v>0</v>
      </c>
      <c r="AJ1097" t="s">
        <v>52</v>
      </c>
      <c r="AK1097">
        <v>0</v>
      </c>
      <c r="AL1097" t="s">
        <v>52</v>
      </c>
      <c r="AM1097" t="s">
        <v>52</v>
      </c>
      <c r="AN1097">
        <v>0</v>
      </c>
      <c r="AO1097">
        <v>0</v>
      </c>
      <c r="AP1097" t="s">
        <v>52</v>
      </c>
      <c r="AQ1097" t="s">
        <v>52</v>
      </c>
      <c r="AR1097" t="s">
        <v>62</v>
      </c>
      <c r="AS1097" t="s">
        <v>52</v>
      </c>
      <c r="AT1097" t="s">
        <v>74</v>
      </c>
      <c r="AU1097" t="s">
        <v>64</v>
      </c>
      <c r="AV1097" t="s">
        <v>62</v>
      </c>
      <c r="AW1097" t="s">
        <v>65</v>
      </c>
      <c r="AX1097" t="s">
        <v>66</v>
      </c>
      <c r="AY1097" t="s">
        <v>165</v>
      </c>
    </row>
    <row r="1098" spans="1:51" hidden="1" x14ac:dyDescent="0.25">
      <c r="A1098">
        <v>203235</v>
      </c>
      <c r="B1098" t="s">
        <v>4169</v>
      </c>
      <c r="C1098" t="e">
        <f>VLOOKUP(A1098,[1]Customer_payment_journal_line!$AL:$BO,30,0)</f>
        <v>#N/A</v>
      </c>
      <c r="D1098" t="s">
        <v>76</v>
      </c>
      <c r="E1098" t="s">
        <v>4170</v>
      </c>
      <c r="F1098" t="s">
        <v>4171</v>
      </c>
      <c r="G1098" t="s">
        <v>4126</v>
      </c>
      <c r="H1098" t="s">
        <v>80</v>
      </c>
      <c r="I1098" t="s">
        <v>81</v>
      </c>
      <c r="J1098" t="s">
        <v>4172</v>
      </c>
      <c r="K1098" t="s">
        <v>4173</v>
      </c>
      <c r="L1098" t="s">
        <v>52</v>
      </c>
      <c r="M1098">
        <v>855</v>
      </c>
      <c r="N1098">
        <v>0</v>
      </c>
      <c r="O1098" t="s">
        <v>61</v>
      </c>
      <c r="P1098">
        <v>100</v>
      </c>
      <c r="Q1098" t="s">
        <v>52</v>
      </c>
      <c r="R1098" t="s">
        <v>52</v>
      </c>
      <c r="S1098" t="s">
        <v>52</v>
      </c>
      <c r="T1098" t="s">
        <v>52</v>
      </c>
      <c r="U1098" t="s">
        <v>52</v>
      </c>
      <c r="V1098" t="s">
        <v>62</v>
      </c>
      <c r="W1098" t="s">
        <v>52</v>
      </c>
      <c r="Y1098" t="s">
        <v>52</v>
      </c>
      <c r="AB1098" t="s">
        <v>52</v>
      </c>
      <c r="AE1098" t="s">
        <v>52</v>
      </c>
      <c r="AF1098" t="s">
        <v>52</v>
      </c>
      <c r="AH1098">
        <v>0</v>
      </c>
      <c r="AI1098">
        <v>0</v>
      </c>
      <c r="AJ1098" t="s">
        <v>52</v>
      </c>
      <c r="AK1098">
        <v>0</v>
      </c>
      <c r="AL1098" t="s">
        <v>52</v>
      </c>
      <c r="AM1098" t="s">
        <v>52</v>
      </c>
      <c r="AN1098">
        <v>0</v>
      </c>
      <c r="AO1098">
        <v>0</v>
      </c>
      <c r="AP1098" t="s">
        <v>52</v>
      </c>
      <c r="AQ1098" t="s">
        <v>52</v>
      </c>
      <c r="AR1098" t="s">
        <v>62</v>
      </c>
      <c r="AS1098" t="s">
        <v>52</v>
      </c>
      <c r="AT1098" t="s">
        <v>52</v>
      </c>
      <c r="AU1098" t="s">
        <v>64</v>
      </c>
      <c r="AV1098" t="s">
        <v>62</v>
      </c>
      <c r="AW1098" t="s">
        <v>65</v>
      </c>
      <c r="AX1098" t="s">
        <v>66</v>
      </c>
      <c r="AY1098" t="s">
        <v>76</v>
      </c>
    </row>
    <row r="1099" spans="1:51" hidden="1" x14ac:dyDescent="0.25">
      <c r="A1099">
        <v>203235</v>
      </c>
      <c r="B1099" t="s">
        <v>4174</v>
      </c>
      <c r="C1099" t="e">
        <f>VLOOKUP(A1099,[1]Customer_payment_journal_line!$AL:$BO,30,0)</f>
        <v>#N/A</v>
      </c>
      <c r="D1099" t="s">
        <v>76</v>
      </c>
      <c r="E1099" t="s">
        <v>4170</v>
      </c>
      <c r="F1099" t="s">
        <v>4171</v>
      </c>
      <c r="G1099" t="s">
        <v>4126</v>
      </c>
      <c r="H1099" t="s">
        <v>69</v>
      </c>
      <c r="I1099" t="s">
        <v>395</v>
      </c>
      <c r="J1099" t="s">
        <v>4172</v>
      </c>
      <c r="K1099" t="s">
        <v>4173</v>
      </c>
      <c r="L1099" t="s">
        <v>52</v>
      </c>
      <c r="M1099">
        <v>0</v>
      </c>
      <c r="N1099">
        <v>855</v>
      </c>
      <c r="O1099" t="s">
        <v>61</v>
      </c>
      <c r="P1099">
        <v>100</v>
      </c>
      <c r="Q1099" t="s">
        <v>52</v>
      </c>
      <c r="R1099" t="s">
        <v>52</v>
      </c>
      <c r="S1099" t="s">
        <v>52</v>
      </c>
      <c r="T1099" t="s">
        <v>52</v>
      </c>
      <c r="U1099" t="s">
        <v>52</v>
      </c>
      <c r="V1099" t="s">
        <v>62</v>
      </c>
      <c r="W1099" t="s">
        <v>52</v>
      </c>
      <c r="Y1099" t="s">
        <v>396</v>
      </c>
      <c r="Z1099" t="s">
        <v>62</v>
      </c>
      <c r="AB1099" t="s">
        <v>4175</v>
      </c>
      <c r="AE1099" t="s">
        <v>4176</v>
      </c>
      <c r="AF1099" t="s">
        <v>52</v>
      </c>
      <c r="AH1099">
        <v>0</v>
      </c>
      <c r="AI1099">
        <v>0</v>
      </c>
      <c r="AJ1099" t="s">
        <v>52</v>
      </c>
      <c r="AK1099">
        <v>0</v>
      </c>
      <c r="AL1099" t="s">
        <v>52</v>
      </c>
      <c r="AM1099" t="s">
        <v>52</v>
      </c>
      <c r="AN1099">
        <v>0</v>
      </c>
      <c r="AO1099">
        <v>0</v>
      </c>
      <c r="AP1099" t="s">
        <v>52</v>
      </c>
      <c r="AQ1099" t="s">
        <v>52</v>
      </c>
      <c r="AR1099" t="s">
        <v>62</v>
      </c>
      <c r="AS1099" t="s">
        <v>52</v>
      </c>
      <c r="AT1099" t="s">
        <v>74</v>
      </c>
      <c r="AU1099" t="s">
        <v>64</v>
      </c>
      <c r="AV1099" t="s">
        <v>62</v>
      </c>
      <c r="AW1099" t="s">
        <v>65</v>
      </c>
      <c r="AX1099" t="s">
        <v>66</v>
      </c>
      <c r="AY1099" t="s">
        <v>76</v>
      </c>
    </row>
    <row r="1100" spans="1:51" hidden="1" x14ac:dyDescent="0.25">
      <c r="A1100">
        <v>203238</v>
      </c>
      <c r="B1100" t="s">
        <v>4177</v>
      </c>
      <c r="C1100" t="e">
        <f>VLOOKUP(A1100,[1]Customer_payment_journal_line!$AL:$BO,30,0)</f>
        <v>#N/A</v>
      </c>
      <c r="D1100" t="s">
        <v>159</v>
      </c>
      <c r="E1100" t="s">
        <v>4178</v>
      </c>
      <c r="F1100" t="s">
        <v>4179</v>
      </c>
      <c r="G1100" t="s">
        <v>4126</v>
      </c>
      <c r="H1100" t="s">
        <v>80</v>
      </c>
      <c r="I1100" t="s">
        <v>177</v>
      </c>
      <c r="J1100" t="s">
        <v>734</v>
      </c>
      <c r="K1100" t="s">
        <v>4180</v>
      </c>
      <c r="L1100" t="s">
        <v>52</v>
      </c>
      <c r="M1100">
        <v>624.04999999999995</v>
      </c>
      <c r="N1100">
        <v>0</v>
      </c>
      <c r="O1100" t="s">
        <v>178</v>
      </c>
      <c r="P1100">
        <v>5085</v>
      </c>
      <c r="Q1100" t="s">
        <v>52</v>
      </c>
      <c r="R1100" t="s">
        <v>52</v>
      </c>
      <c r="S1100" t="s">
        <v>52</v>
      </c>
      <c r="T1100" t="s">
        <v>52</v>
      </c>
      <c r="U1100" t="s">
        <v>52</v>
      </c>
      <c r="V1100" t="s">
        <v>62</v>
      </c>
      <c r="W1100" t="s">
        <v>52</v>
      </c>
      <c r="Y1100" t="s">
        <v>52</v>
      </c>
      <c r="AB1100" t="s">
        <v>52</v>
      </c>
      <c r="AE1100" t="s">
        <v>52</v>
      </c>
      <c r="AF1100" t="s">
        <v>52</v>
      </c>
      <c r="AH1100">
        <v>0</v>
      </c>
      <c r="AI1100">
        <v>0</v>
      </c>
      <c r="AJ1100" t="s">
        <v>52</v>
      </c>
      <c r="AK1100">
        <v>0</v>
      </c>
      <c r="AL1100" t="s">
        <v>52</v>
      </c>
      <c r="AM1100" t="s">
        <v>52</v>
      </c>
      <c r="AN1100">
        <v>0</v>
      </c>
      <c r="AO1100">
        <v>0</v>
      </c>
      <c r="AP1100" t="s">
        <v>52</v>
      </c>
      <c r="AQ1100" t="s">
        <v>52</v>
      </c>
      <c r="AR1100" t="s">
        <v>62</v>
      </c>
      <c r="AS1100" t="s">
        <v>52</v>
      </c>
      <c r="AT1100" t="s">
        <v>52</v>
      </c>
      <c r="AU1100" t="s">
        <v>64</v>
      </c>
      <c r="AV1100" t="s">
        <v>62</v>
      </c>
      <c r="AW1100" t="s">
        <v>65</v>
      </c>
      <c r="AX1100" t="s">
        <v>66</v>
      </c>
      <c r="AY1100" t="s">
        <v>165</v>
      </c>
    </row>
    <row r="1101" spans="1:51" hidden="1" x14ac:dyDescent="0.25">
      <c r="A1101">
        <v>203238</v>
      </c>
      <c r="B1101" t="s">
        <v>4181</v>
      </c>
      <c r="C1101" t="e">
        <f>VLOOKUP(A1101,[1]Customer_payment_journal_line!$AL:$BO,30,0)</f>
        <v>#N/A</v>
      </c>
      <c r="D1101" t="s">
        <v>159</v>
      </c>
      <c r="E1101" t="s">
        <v>4178</v>
      </c>
      <c r="F1101" t="s">
        <v>4179</v>
      </c>
      <c r="G1101" t="s">
        <v>4126</v>
      </c>
      <c r="H1101" t="s">
        <v>69</v>
      </c>
      <c r="I1101" t="s">
        <v>737</v>
      </c>
      <c r="J1101" t="s">
        <v>734</v>
      </c>
      <c r="K1101" t="s">
        <v>4180</v>
      </c>
      <c r="L1101" t="s">
        <v>52</v>
      </c>
      <c r="M1101">
        <v>0</v>
      </c>
      <c r="N1101">
        <v>624.04999999999995</v>
      </c>
      <c r="O1101" t="s">
        <v>178</v>
      </c>
      <c r="P1101">
        <v>5085</v>
      </c>
      <c r="Q1101" t="s">
        <v>52</v>
      </c>
      <c r="R1101" t="s">
        <v>52</v>
      </c>
      <c r="S1101" t="s">
        <v>52</v>
      </c>
      <c r="T1101" t="s">
        <v>52</v>
      </c>
      <c r="U1101" t="s">
        <v>52</v>
      </c>
      <c r="V1101" t="s">
        <v>62</v>
      </c>
      <c r="W1101" t="s">
        <v>52</v>
      </c>
      <c r="Y1101" t="s">
        <v>738</v>
      </c>
      <c r="Z1101" t="s">
        <v>62</v>
      </c>
      <c r="AB1101" t="s">
        <v>4182</v>
      </c>
      <c r="AE1101" t="s">
        <v>4183</v>
      </c>
      <c r="AF1101" t="s">
        <v>52</v>
      </c>
      <c r="AH1101">
        <v>0</v>
      </c>
      <c r="AI1101">
        <v>0</v>
      </c>
      <c r="AJ1101" t="s">
        <v>52</v>
      </c>
      <c r="AK1101">
        <v>0</v>
      </c>
      <c r="AL1101" t="s">
        <v>52</v>
      </c>
      <c r="AM1101" t="s">
        <v>52</v>
      </c>
      <c r="AN1101">
        <v>0</v>
      </c>
      <c r="AO1101">
        <v>0</v>
      </c>
      <c r="AP1101" t="s">
        <v>52</v>
      </c>
      <c r="AQ1101" t="s">
        <v>52</v>
      </c>
      <c r="AR1101" t="s">
        <v>62</v>
      </c>
      <c r="AS1101" t="s">
        <v>52</v>
      </c>
      <c r="AT1101" t="s">
        <v>74</v>
      </c>
      <c r="AU1101" t="s">
        <v>64</v>
      </c>
      <c r="AV1101" t="s">
        <v>62</v>
      </c>
      <c r="AW1101" t="s">
        <v>65</v>
      </c>
      <c r="AX1101" t="s">
        <v>66</v>
      </c>
      <c r="AY1101" t="s">
        <v>165</v>
      </c>
    </row>
    <row r="1102" spans="1:51" hidden="1" x14ac:dyDescent="0.25">
      <c r="A1102">
        <v>203256</v>
      </c>
      <c r="B1102" t="s">
        <v>4184</v>
      </c>
      <c r="C1102" t="str">
        <f>VLOOKUP(A1102,[1]Customer_payment_journal_line!$AL:$BO,30,0)</f>
        <v>CPay-000000070</v>
      </c>
      <c r="D1102" t="s">
        <v>53</v>
      </c>
      <c r="E1102" t="s">
        <v>4185</v>
      </c>
      <c r="F1102" t="s">
        <v>4186</v>
      </c>
      <c r="G1102" t="s">
        <v>4126</v>
      </c>
      <c r="H1102" t="s">
        <v>57</v>
      </c>
      <c r="I1102" t="s">
        <v>95</v>
      </c>
      <c r="J1102" t="s">
        <v>1491</v>
      </c>
      <c r="K1102" t="s">
        <v>4187</v>
      </c>
      <c r="L1102">
        <f>VLOOKUP(A1102,[1]Customer_payment_journal_line!$B:$L,11,0)</f>
        <v>262.2</v>
      </c>
      <c r="M1102" s="1">
        <v>262.2</v>
      </c>
      <c r="N1102" s="2">
        <f>L1102-M1102</f>
        <v>0</v>
      </c>
      <c r="O1102" t="s">
        <v>61</v>
      </c>
      <c r="P1102">
        <v>100</v>
      </c>
      <c r="Q1102" t="s">
        <v>52</v>
      </c>
      <c r="R1102" t="s">
        <v>52</v>
      </c>
      <c r="S1102" t="s">
        <v>52</v>
      </c>
      <c r="T1102" t="s">
        <v>52</v>
      </c>
      <c r="U1102" t="s">
        <v>52</v>
      </c>
      <c r="V1102" t="s">
        <v>62</v>
      </c>
      <c r="W1102" t="s">
        <v>63</v>
      </c>
      <c r="Y1102" t="s">
        <v>52</v>
      </c>
      <c r="AB1102" t="s">
        <v>52</v>
      </c>
      <c r="AE1102" t="s">
        <v>52</v>
      </c>
      <c r="AF1102" t="s">
        <v>52</v>
      </c>
      <c r="AH1102">
        <v>0</v>
      </c>
      <c r="AI1102">
        <v>0</v>
      </c>
      <c r="AJ1102" t="s">
        <v>52</v>
      </c>
      <c r="AK1102">
        <v>0</v>
      </c>
      <c r="AL1102" t="s">
        <v>52</v>
      </c>
      <c r="AM1102" t="s">
        <v>52</v>
      </c>
      <c r="AN1102">
        <v>0</v>
      </c>
      <c r="AO1102">
        <v>0</v>
      </c>
      <c r="AP1102" t="s">
        <v>52</v>
      </c>
      <c r="AQ1102" t="s">
        <v>52</v>
      </c>
      <c r="AR1102" t="s">
        <v>62</v>
      </c>
      <c r="AS1102" t="s">
        <v>52</v>
      </c>
      <c r="AT1102" t="s">
        <v>52</v>
      </c>
      <c r="AU1102" t="s">
        <v>64</v>
      </c>
      <c r="AV1102" t="s">
        <v>62</v>
      </c>
      <c r="AW1102" t="s">
        <v>65</v>
      </c>
      <c r="AX1102" t="s">
        <v>66</v>
      </c>
      <c r="AY1102" t="s">
        <v>67</v>
      </c>
    </row>
    <row r="1103" spans="1:51" hidden="1" x14ac:dyDescent="0.25">
      <c r="A1103">
        <v>203256</v>
      </c>
      <c r="B1103" t="s">
        <v>4188</v>
      </c>
      <c r="C1103" t="str">
        <f>VLOOKUP(A1103,[1]Customer_payment_journal_line!$AL:$BO,30,0)</f>
        <v>CPay-000000070</v>
      </c>
      <c r="D1103" t="s">
        <v>53</v>
      </c>
      <c r="E1103" t="s">
        <v>4185</v>
      </c>
      <c r="F1103" t="s">
        <v>4186</v>
      </c>
      <c r="G1103" t="s">
        <v>4126</v>
      </c>
      <c r="H1103" t="s">
        <v>69</v>
      </c>
      <c r="I1103" t="s">
        <v>1494</v>
      </c>
      <c r="J1103" t="s">
        <v>1491</v>
      </c>
      <c r="K1103" t="s">
        <v>4187</v>
      </c>
      <c r="L1103">
        <f>VLOOKUP(A1103,[1]Customer_payment_journal_line!$B:$L,11,0)</f>
        <v>262.2</v>
      </c>
      <c r="M1103" s="1">
        <v>0</v>
      </c>
      <c r="N1103">
        <v>262.2</v>
      </c>
      <c r="O1103" t="s">
        <v>61</v>
      </c>
      <c r="P1103">
        <v>100</v>
      </c>
      <c r="Q1103" t="s">
        <v>52</v>
      </c>
      <c r="R1103" t="s">
        <v>52</v>
      </c>
      <c r="S1103" t="s">
        <v>52</v>
      </c>
      <c r="T1103" t="s">
        <v>52</v>
      </c>
      <c r="U1103" t="s">
        <v>52</v>
      </c>
      <c r="V1103" t="s">
        <v>62</v>
      </c>
      <c r="W1103" t="s">
        <v>52</v>
      </c>
      <c r="Y1103" t="s">
        <v>1495</v>
      </c>
      <c r="Z1103" t="s">
        <v>62</v>
      </c>
      <c r="AB1103" t="s">
        <v>4189</v>
      </c>
      <c r="AE1103" t="s">
        <v>4190</v>
      </c>
      <c r="AF1103" t="s">
        <v>52</v>
      </c>
      <c r="AH1103">
        <v>0</v>
      </c>
      <c r="AI1103">
        <v>0</v>
      </c>
      <c r="AJ1103" t="s">
        <v>52</v>
      </c>
      <c r="AK1103">
        <v>0</v>
      </c>
      <c r="AL1103" t="s">
        <v>52</v>
      </c>
      <c r="AM1103" t="s">
        <v>52</v>
      </c>
      <c r="AN1103">
        <v>0</v>
      </c>
      <c r="AO1103">
        <v>0</v>
      </c>
      <c r="AP1103" t="s">
        <v>52</v>
      </c>
      <c r="AQ1103" t="s">
        <v>52</v>
      </c>
      <c r="AR1103" t="s">
        <v>62</v>
      </c>
      <c r="AS1103" t="s">
        <v>52</v>
      </c>
      <c r="AT1103" t="s">
        <v>74</v>
      </c>
      <c r="AU1103" t="s">
        <v>64</v>
      </c>
      <c r="AV1103" t="s">
        <v>62</v>
      </c>
      <c r="AW1103" t="s">
        <v>65</v>
      </c>
      <c r="AX1103" t="s">
        <v>66</v>
      </c>
      <c r="AY1103" t="s">
        <v>67</v>
      </c>
    </row>
    <row r="1104" spans="1:51" hidden="1" x14ac:dyDescent="0.25">
      <c r="A1104">
        <v>203257</v>
      </c>
      <c r="B1104" t="s">
        <v>4191</v>
      </c>
      <c r="C1104" t="str">
        <f>VLOOKUP(A1104,[1]Customer_payment_journal_line!$AL:$BO,30,0)</f>
        <v>CPay-000000071</v>
      </c>
      <c r="D1104" t="s">
        <v>53</v>
      </c>
      <c r="E1104" t="s">
        <v>4192</v>
      </c>
      <c r="F1104" t="s">
        <v>4193</v>
      </c>
      <c r="G1104" t="s">
        <v>4126</v>
      </c>
      <c r="H1104" t="s">
        <v>57</v>
      </c>
      <c r="I1104" t="s">
        <v>95</v>
      </c>
      <c r="J1104" t="s">
        <v>4194</v>
      </c>
      <c r="K1104" t="s">
        <v>4195</v>
      </c>
      <c r="L1104">
        <f>VLOOKUP(A1104,[1]Customer_payment_journal_line!$B:$L,11,0)</f>
        <v>1653</v>
      </c>
      <c r="M1104" s="1">
        <v>1653</v>
      </c>
      <c r="N1104" s="2">
        <f>L1104-M1104</f>
        <v>0</v>
      </c>
      <c r="O1104" t="s">
        <v>61</v>
      </c>
      <c r="P1104">
        <v>100</v>
      </c>
      <c r="Q1104" t="s">
        <v>52</v>
      </c>
      <c r="R1104" t="s">
        <v>52</v>
      </c>
      <c r="S1104" t="s">
        <v>52</v>
      </c>
      <c r="T1104" t="s">
        <v>52</v>
      </c>
      <c r="U1104" t="s">
        <v>52</v>
      </c>
      <c r="V1104" t="s">
        <v>62</v>
      </c>
      <c r="W1104" t="s">
        <v>63</v>
      </c>
      <c r="Y1104" t="s">
        <v>52</v>
      </c>
      <c r="AB1104" t="s">
        <v>52</v>
      </c>
      <c r="AE1104" t="s">
        <v>52</v>
      </c>
      <c r="AF1104" t="s">
        <v>52</v>
      </c>
      <c r="AH1104">
        <v>0</v>
      </c>
      <c r="AI1104">
        <v>0</v>
      </c>
      <c r="AJ1104" t="s">
        <v>52</v>
      </c>
      <c r="AK1104">
        <v>0</v>
      </c>
      <c r="AL1104" t="s">
        <v>52</v>
      </c>
      <c r="AM1104" t="s">
        <v>52</v>
      </c>
      <c r="AN1104">
        <v>0</v>
      </c>
      <c r="AO1104">
        <v>0</v>
      </c>
      <c r="AP1104" t="s">
        <v>52</v>
      </c>
      <c r="AQ1104" t="s">
        <v>52</v>
      </c>
      <c r="AR1104" t="s">
        <v>62</v>
      </c>
      <c r="AS1104" t="s">
        <v>52</v>
      </c>
      <c r="AT1104" t="s">
        <v>52</v>
      </c>
      <c r="AU1104" t="s">
        <v>64</v>
      </c>
      <c r="AV1104" t="s">
        <v>62</v>
      </c>
      <c r="AW1104" t="s">
        <v>65</v>
      </c>
      <c r="AX1104" t="s">
        <v>66</v>
      </c>
      <c r="AY1104" t="s">
        <v>67</v>
      </c>
    </row>
    <row r="1105" spans="1:51" hidden="1" x14ac:dyDescent="0.25">
      <c r="A1105">
        <v>203257</v>
      </c>
      <c r="B1105" t="s">
        <v>4196</v>
      </c>
      <c r="C1105" t="str">
        <f>VLOOKUP(A1105,[1]Customer_payment_journal_line!$AL:$BO,30,0)</f>
        <v>CPay-000000071</v>
      </c>
      <c r="D1105" t="s">
        <v>53</v>
      </c>
      <c r="E1105" t="s">
        <v>4192</v>
      </c>
      <c r="F1105" t="s">
        <v>4193</v>
      </c>
      <c r="G1105" t="s">
        <v>4126</v>
      </c>
      <c r="H1105" t="s">
        <v>69</v>
      </c>
      <c r="I1105" t="s">
        <v>1494</v>
      </c>
      <c r="J1105" t="s">
        <v>4194</v>
      </c>
      <c r="K1105" t="s">
        <v>4195</v>
      </c>
      <c r="L1105">
        <f>VLOOKUP(A1105,[1]Customer_payment_journal_line!$B:$L,11,0)</f>
        <v>1653</v>
      </c>
      <c r="M1105" s="1">
        <v>0</v>
      </c>
      <c r="N1105">
        <v>1653</v>
      </c>
      <c r="O1105" t="s">
        <v>61</v>
      </c>
      <c r="P1105">
        <v>100</v>
      </c>
      <c r="Q1105" t="s">
        <v>52</v>
      </c>
      <c r="R1105" t="s">
        <v>52</v>
      </c>
      <c r="S1105" t="s">
        <v>52</v>
      </c>
      <c r="T1105" t="s">
        <v>52</v>
      </c>
      <c r="U1105" t="s">
        <v>52</v>
      </c>
      <c r="V1105" t="s">
        <v>62</v>
      </c>
      <c r="W1105" t="s">
        <v>52</v>
      </c>
      <c r="Y1105" t="s">
        <v>1495</v>
      </c>
      <c r="Z1105" t="s">
        <v>62</v>
      </c>
      <c r="AB1105" t="s">
        <v>4197</v>
      </c>
      <c r="AE1105" t="s">
        <v>4198</v>
      </c>
      <c r="AF1105" t="s">
        <v>52</v>
      </c>
      <c r="AH1105">
        <v>0</v>
      </c>
      <c r="AI1105">
        <v>0</v>
      </c>
      <c r="AJ1105" t="s">
        <v>52</v>
      </c>
      <c r="AK1105">
        <v>0</v>
      </c>
      <c r="AL1105" t="s">
        <v>52</v>
      </c>
      <c r="AM1105" t="s">
        <v>52</v>
      </c>
      <c r="AN1105">
        <v>0</v>
      </c>
      <c r="AO1105">
        <v>0</v>
      </c>
      <c r="AP1105" t="s">
        <v>52</v>
      </c>
      <c r="AQ1105" t="s">
        <v>52</v>
      </c>
      <c r="AR1105" t="s">
        <v>62</v>
      </c>
      <c r="AS1105" t="s">
        <v>52</v>
      </c>
      <c r="AT1105" t="s">
        <v>74</v>
      </c>
      <c r="AU1105" t="s">
        <v>64</v>
      </c>
      <c r="AV1105" t="s">
        <v>62</v>
      </c>
      <c r="AW1105" t="s">
        <v>65</v>
      </c>
      <c r="AX1105" t="s">
        <v>66</v>
      </c>
      <c r="AY1105" t="s">
        <v>67</v>
      </c>
    </row>
    <row r="1106" spans="1:51" hidden="1" x14ac:dyDescent="0.25">
      <c r="A1106">
        <v>203261</v>
      </c>
      <c r="B1106" t="s">
        <v>4199</v>
      </c>
      <c r="C1106" t="e">
        <f>VLOOKUP(A1106,[1]Customer_payment_journal_line!$AL:$BO,30,0)</f>
        <v>#N/A</v>
      </c>
      <c r="D1106" t="s">
        <v>159</v>
      </c>
      <c r="E1106" t="s">
        <v>4200</v>
      </c>
      <c r="F1106" t="s">
        <v>4201</v>
      </c>
      <c r="G1106" t="s">
        <v>4126</v>
      </c>
      <c r="H1106" t="s">
        <v>80</v>
      </c>
      <c r="I1106" t="s">
        <v>269</v>
      </c>
      <c r="J1106" t="s">
        <v>4202</v>
      </c>
      <c r="K1106" t="s">
        <v>4203</v>
      </c>
      <c r="L1106" t="s">
        <v>52</v>
      </c>
      <c r="M1106">
        <v>20</v>
      </c>
      <c r="N1106">
        <v>0</v>
      </c>
      <c r="O1106" t="s">
        <v>178</v>
      </c>
      <c r="P1106">
        <v>5085</v>
      </c>
      <c r="Q1106" t="s">
        <v>52</v>
      </c>
      <c r="R1106" t="s">
        <v>52</v>
      </c>
      <c r="S1106" t="s">
        <v>52</v>
      </c>
      <c r="T1106" t="s">
        <v>52</v>
      </c>
      <c r="U1106" t="s">
        <v>52</v>
      </c>
      <c r="V1106" t="s">
        <v>62</v>
      </c>
      <c r="W1106" t="s">
        <v>52</v>
      </c>
      <c r="Y1106" t="s">
        <v>52</v>
      </c>
      <c r="AB1106" t="s">
        <v>52</v>
      </c>
      <c r="AE1106" t="s">
        <v>52</v>
      </c>
      <c r="AF1106" t="s">
        <v>52</v>
      </c>
      <c r="AH1106">
        <v>0</v>
      </c>
      <c r="AI1106">
        <v>0</v>
      </c>
      <c r="AJ1106" t="s">
        <v>52</v>
      </c>
      <c r="AK1106">
        <v>0</v>
      </c>
      <c r="AL1106" t="s">
        <v>52</v>
      </c>
      <c r="AM1106" t="s">
        <v>52</v>
      </c>
      <c r="AN1106">
        <v>0</v>
      </c>
      <c r="AO1106">
        <v>0</v>
      </c>
      <c r="AP1106" t="s">
        <v>52</v>
      </c>
      <c r="AQ1106" t="s">
        <v>52</v>
      </c>
      <c r="AR1106" t="s">
        <v>62</v>
      </c>
      <c r="AS1106" t="s">
        <v>52</v>
      </c>
      <c r="AT1106" t="s">
        <v>52</v>
      </c>
      <c r="AU1106" t="s">
        <v>64</v>
      </c>
      <c r="AV1106" t="s">
        <v>62</v>
      </c>
      <c r="AW1106" t="s">
        <v>65</v>
      </c>
      <c r="AX1106" t="s">
        <v>66</v>
      </c>
      <c r="AY1106" t="s">
        <v>165</v>
      </c>
    </row>
    <row r="1107" spans="1:51" hidden="1" x14ac:dyDescent="0.25">
      <c r="A1107">
        <v>203261</v>
      </c>
      <c r="B1107" t="s">
        <v>4204</v>
      </c>
      <c r="C1107" t="e">
        <f>VLOOKUP(A1107,[1]Customer_payment_journal_line!$AL:$BO,30,0)</f>
        <v>#N/A</v>
      </c>
      <c r="D1107" t="s">
        <v>159</v>
      </c>
      <c r="E1107" t="s">
        <v>4200</v>
      </c>
      <c r="F1107" t="s">
        <v>4201</v>
      </c>
      <c r="G1107" t="s">
        <v>4126</v>
      </c>
      <c r="H1107" t="s">
        <v>69</v>
      </c>
      <c r="I1107" t="s">
        <v>4205</v>
      </c>
      <c r="J1107" t="s">
        <v>4202</v>
      </c>
      <c r="K1107" t="s">
        <v>4203</v>
      </c>
      <c r="L1107" t="s">
        <v>52</v>
      </c>
      <c r="M1107">
        <v>0</v>
      </c>
      <c r="N1107">
        <v>20</v>
      </c>
      <c r="O1107" t="s">
        <v>178</v>
      </c>
      <c r="P1107">
        <v>5085</v>
      </c>
      <c r="Q1107" t="s">
        <v>52</v>
      </c>
      <c r="R1107" t="s">
        <v>52</v>
      </c>
      <c r="S1107" t="s">
        <v>52</v>
      </c>
      <c r="T1107" t="s">
        <v>52</v>
      </c>
      <c r="U1107" t="s">
        <v>52</v>
      </c>
      <c r="V1107" t="s">
        <v>62</v>
      </c>
      <c r="W1107" t="s">
        <v>52</v>
      </c>
      <c r="Y1107" t="s">
        <v>4206</v>
      </c>
      <c r="Z1107" t="s">
        <v>62</v>
      </c>
      <c r="AB1107" t="s">
        <v>4207</v>
      </c>
      <c r="AE1107" t="s">
        <v>4208</v>
      </c>
      <c r="AF1107" t="s">
        <v>52</v>
      </c>
      <c r="AH1107">
        <v>0</v>
      </c>
      <c r="AI1107">
        <v>0</v>
      </c>
      <c r="AJ1107" t="s">
        <v>52</v>
      </c>
      <c r="AK1107">
        <v>0</v>
      </c>
      <c r="AL1107" t="s">
        <v>52</v>
      </c>
      <c r="AM1107" t="s">
        <v>52</v>
      </c>
      <c r="AN1107">
        <v>0</v>
      </c>
      <c r="AO1107">
        <v>0</v>
      </c>
      <c r="AP1107" t="s">
        <v>52</v>
      </c>
      <c r="AQ1107" t="s">
        <v>52</v>
      </c>
      <c r="AR1107" t="s">
        <v>62</v>
      </c>
      <c r="AS1107" t="s">
        <v>52</v>
      </c>
      <c r="AT1107" t="s">
        <v>74</v>
      </c>
      <c r="AU1107" t="s">
        <v>64</v>
      </c>
      <c r="AV1107" t="s">
        <v>62</v>
      </c>
      <c r="AW1107" t="s">
        <v>65</v>
      </c>
      <c r="AX1107" t="s">
        <v>66</v>
      </c>
      <c r="AY1107" t="s">
        <v>165</v>
      </c>
    </row>
    <row r="1108" spans="1:51" hidden="1" x14ac:dyDescent="0.25">
      <c r="A1108">
        <v>203262</v>
      </c>
      <c r="B1108" t="s">
        <v>4209</v>
      </c>
      <c r="C1108" t="e">
        <f>VLOOKUP(A1108,[1]Customer_payment_journal_line!$AL:$BO,30,0)</f>
        <v>#N/A</v>
      </c>
      <c r="D1108" t="s">
        <v>159</v>
      </c>
      <c r="E1108" t="s">
        <v>4210</v>
      </c>
      <c r="F1108" t="s">
        <v>4211</v>
      </c>
      <c r="G1108" t="s">
        <v>4126</v>
      </c>
      <c r="H1108" t="s">
        <v>80</v>
      </c>
      <c r="I1108" t="s">
        <v>632</v>
      </c>
      <c r="J1108" t="s">
        <v>4202</v>
      </c>
      <c r="K1108" t="s">
        <v>4203</v>
      </c>
      <c r="L1108" t="s">
        <v>52</v>
      </c>
      <c r="M1108">
        <v>23058</v>
      </c>
      <c r="N1108">
        <v>0</v>
      </c>
      <c r="O1108" t="s">
        <v>61</v>
      </c>
      <c r="P1108">
        <v>100</v>
      </c>
      <c r="Q1108" t="s">
        <v>52</v>
      </c>
      <c r="R1108" t="s">
        <v>52</v>
      </c>
      <c r="S1108" t="s">
        <v>52</v>
      </c>
      <c r="T1108" t="s">
        <v>52</v>
      </c>
      <c r="U1108" t="s">
        <v>52</v>
      </c>
      <c r="V1108" t="s">
        <v>62</v>
      </c>
      <c r="W1108" t="s">
        <v>52</v>
      </c>
      <c r="Y1108" t="s">
        <v>52</v>
      </c>
      <c r="AB1108" t="s">
        <v>52</v>
      </c>
      <c r="AE1108" t="s">
        <v>52</v>
      </c>
      <c r="AF1108" t="s">
        <v>52</v>
      </c>
      <c r="AH1108">
        <v>0</v>
      </c>
      <c r="AI1108">
        <v>0</v>
      </c>
      <c r="AJ1108" t="s">
        <v>52</v>
      </c>
      <c r="AK1108">
        <v>0</v>
      </c>
      <c r="AL1108" t="s">
        <v>52</v>
      </c>
      <c r="AM1108" t="s">
        <v>52</v>
      </c>
      <c r="AN1108">
        <v>0</v>
      </c>
      <c r="AO1108">
        <v>0</v>
      </c>
      <c r="AP1108" t="s">
        <v>52</v>
      </c>
      <c r="AQ1108" t="s">
        <v>52</v>
      </c>
      <c r="AR1108" t="s">
        <v>62</v>
      </c>
      <c r="AS1108" t="s">
        <v>52</v>
      </c>
      <c r="AT1108" t="s">
        <v>52</v>
      </c>
      <c r="AU1108" t="s">
        <v>64</v>
      </c>
      <c r="AV1108" t="s">
        <v>62</v>
      </c>
      <c r="AW1108" t="s">
        <v>65</v>
      </c>
      <c r="AX1108" t="s">
        <v>66</v>
      </c>
      <c r="AY1108" t="s">
        <v>165</v>
      </c>
    </row>
    <row r="1109" spans="1:51" hidden="1" x14ac:dyDescent="0.25">
      <c r="A1109">
        <v>203262</v>
      </c>
      <c r="B1109" t="s">
        <v>4212</v>
      </c>
      <c r="C1109" t="e">
        <f>VLOOKUP(A1109,[1]Customer_payment_journal_line!$AL:$BO,30,0)</f>
        <v>#N/A</v>
      </c>
      <c r="D1109" t="s">
        <v>159</v>
      </c>
      <c r="E1109" t="s">
        <v>4210</v>
      </c>
      <c r="F1109" t="s">
        <v>4211</v>
      </c>
      <c r="G1109" t="s">
        <v>4126</v>
      </c>
      <c r="H1109" t="s">
        <v>69</v>
      </c>
      <c r="I1109" t="s">
        <v>4205</v>
      </c>
      <c r="J1109" t="s">
        <v>4202</v>
      </c>
      <c r="K1109" t="s">
        <v>4203</v>
      </c>
      <c r="L1109" t="s">
        <v>52</v>
      </c>
      <c r="M1109">
        <v>0</v>
      </c>
      <c r="N1109">
        <v>23058</v>
      </c>
      <c r="O1109" t="s">
        <v>61</v>
      </c>
      <c r="P1109">
        <v>100</v>
      </c>
      <c r="Q1109" t="s">
        <v>52</v>
      </c>
      <c r="R1109" t="s">
        <v>52</v>
      </c>
      <c r="S1109" t="s">
        <v>52</v>
      </c>
      <c r="T1109" t="s">
        <v>52</v>
      </c>
      <c r="U1109" t="s">
        <v>52</v>
      </c>
      <c r="V1109" t="s">
        <v>62</v>
      </c>
      <c r="W1109" t="s">
        <v>52</v>
      </c>
      <c r="Y1109" t="s">
        <v>4206</v>
      </c>
      <c r="Z1109" t="s">
        <v>62</v>
      </c>
      <c r="AB1109" t="s">
        <v>4213</v>
      </c>
      <c r="AE1109" t="s">
        <v>4214</v>
      </c>
      <c r="AF1109" t="s">
        <v>52</v>
      </c>
      <c r="AH1109">
        <v>0</v>
      </c>
      <c r="AI1109">
        <v>0</v>
      </c>
      <c r="AJ1109" t="s">
        <v>52</v>
      </c>
      <c r="AK1109">
        <v>0</v>
      </c>
      <c r="AL1109" t="s">
        <v>52</v>
      </c>
      <c r="AM1109" t="s">
        <v>52</v>
      </c>
      <c r="AN1109">
        <v>0</v>
      </c>
      <c r="AO1109">
        <v>0</v>
      </c>
      <c r="AP1109" t="s">
        <v>52</v>
      </c>
      <c r="AQ1109" t="s">
        <v>52</v>
      </c>
      <c r="AR1109" t="s">
        <v>62</v>
      </c>
      <c r="AS1109" t="s">
        <v>52</v>
      </c>
      <c r="AT1109" t="s">
        <v>74</v>
      </c>
      <c r="AU1109" t="s">
        <v>64</v>
      </c>
      <c r="AV1109" t="s">
        <v>62</v>
      </c>
      <c r="AW1109" t="s">
        <v>65</v>
      </c>
      <c r="AX1109" t="s">
        <v>66</v>
      </c>
      <c r="AY1109" t="s">
        <v>165</v>
      </c>
    </row>
    <row r="1110" spans="1:51" hidden="1" x14ac:dyDescent="0.25">
      <c r="A1110">
        <v>203263</v>
      </c>
      <c r="B1110" t="s">
        <v>4215</v>
      </c>
      <c r="C1110" t="str">
        <f>VLOOKUP(A1110,[1]Customer_payment_journal_line!$AL:$BO,30,0)</f>
        <v>CPay-000000072</v>
      </c>
      <c r="D1110" t="s">
        <v>53</v>
      </c>
      <c r="E1110" t="s">
        <v>4216</v>
      </c>
      <c r="F1110" t="s">
        <v>4217</v>
      </c>
      <c r="G1110" t="s">
        <v>4126</v>
      </c>
      <c r="H1110" t="s">
        <v>57</v>
      </c>
      <c r="I1110" t="s">
        <v>95</v>
      </c>
      <c r="J1110" t="s">
        <v>4218</v>
      </c>
      <c r="K1110" t="s">
        <v>4219</v>
      </c>
      <c r="L1110">
        <f>VLOOKUP(A1110,[1]Customer_payment_journal_line!$B:$L,11,0)</f>
        <v>1653</v>
      </c>
      <c r="M1110" s="1">
        <v>1653</v>
      </c>
      <c r="N1110" s="2">
        <f>L1110-M1110</f>
        <v>0</v>
      </c>
      <c r="O1110" t="s">
        <v>61</v>
      </c>
      <c r="P1110">
        <v>100</v>
      </c>
      <c r="Q1110" t="s">
        <v>52</v>
      </c>
      <c r="R1110" t="s">
        <v>52</v>
      </c>
      <c r="S1110" t="s">
        <v>52</v>
      </c>
      <c r="T1110" t="s">
        <v>52</v>
      </c>
      <c r="U1110" t="s">
        <v>52</v>
      </c>
      <c r="V1110" t="s">
        <v>62</v>
      </c>
      <c r="W1110" t="s">
        <v>63</v>
      </c>
      <c r="Y1110" t="s">
        <v>52</v>
      </c>
      <c r="AB1110" t="s">
        <v>52</v>
      </c>
      <c r="AE1110" t="s">
        <v>52</v>
      </c>
      <c r="AF1110" t="s">
        <v>52</v>
      </c>
      <c r="AH1110">
        <v>0</v>
      </c>
      <c r="AI1110">
        <v>0</v>
      </c>
      <c r="AJ1110" t="s">
        <v>52</v>
      </c>
      <c r="AK1110">
        <v>0</v>
      </c>
      <c r="AL1110" t="s">
        <v>52</v>
      </c>
      <c r="AM1110" t="s">
        <v>52</v>
      </c>
      <c r="AN1110">
        <v>0</v>
      </c>
      <c r="AO1110">
        <v>0</v>
      </c>
      <c r="AP1110" t="s">
        <v>52</v>
      </c>
      <c r="AQ1110" t="s">
        <v>52</v>
      </c>
      <c r="AR1110" t="s">
        <v>62</v>
      </c>
      <c r="AS1110" t="s">
        <v>52</v>
      </c>
      <c r="AT1110" t="s">
        <v>52</v>
      </c>
      <c r="AU1110" t="s">
        <v>64</v>
      </c>
      <c r="AV1110" t="s">
        <v>62</v>
      </c>
      <c r="AW1110" t="s">
        <v>65</v>
      </c>
      <c r="AX1110" t="s">
        <v>66</v>
      </c>
      <c r="AY1110" t="s">
        <v>67</v>
      </c>
    </row>
    <row r="1111" spans="1:51" hidden="1" x14ac:dyDescent="0.25">
      <c r="A1111">
        <v>203263</v>
      </c>
      <c r="B1111" t="s">
        <v>4220</v>
      </c>
      <c r="C1111" t="str">
        <f>VLOOKUP(A1111,[1]Customer_payment_journal_line!$AL:$BO,30,0)</f>
        <v>CPay-000000072</v>
      </c>
      <c r="D1111" t="s">
        <v>53</v>
      </c>
      <c r="E1111" t="s">
        <v>4216</v>
      </c>
      <c r="F1111" t="s">
        <v>4217</v>
      </c>
      <c r="G1111" t="s">
        <v>4126</v>
      </c>
      <c r="H1111" t="s">
        <v>69</v>
      </c>
      <c r="I1111" t="s">
        <v>1893</v>
      </c>
      <c r="J1111" t="s">
        <v>4218</v>
      </c>
      <c r="K1111" t="s">
        <v>4219</v>
      </c>
      <c r="L1111">
        <f>VLOOKUP(A1111,[1]Customer_payment_journal_line!$B:$L,11,0)</f>
        <v>1653</v>
      </c>
      <c r="M1111" s="1">
        <v>0</v>
      </c>
      <c r="N1111">
        <v>1653</v>
      </c>
      <c r="O1111" t="s">
        <v>61</v>
      </c>
      <c r="P1111">
        <v>100</v>
      </c>
      <c r="Q1111" t="s">
        <v>52</v>
      </c>
      <c r="R1111" t="s">
        <v>52</v>
      </c>
      <c r="S1111" t="s">
        <v>52</v>
      </c>
      <c r="T1111" t="s">
        <v>52</v>
      </c>
      <c r="U1111" t="s">
        <v>52</v>
      </c>
      <c r="V1111" t="s">
        <v>62</v>
      </c>
      <c r="W1111" t="s">
        <v>52</v>
      </c>
      <c r="Y1111" t="s">
        <v>1894</v>
      </c>
      <c r="Z1111" t="s">
        <v>62</v>
      </c>
      <c r="AB1111" t="s">
        <v>4221</v>
      </c>
      <c r="AE1111" t="s">
        <v>4222</v>
      </c>
      <c r="AF1111" t="s">
        <v>52</v>
      </c>
      <c r="AH1111">
        <v>0</v>
      </c>
      <c r="AI1111">
        <v>0</v>
      </c>
      <c r="AJ1111" t="s">
        <v>52</v>
      </c>
      <c r="AK1111">
        <v>0</v>
      </c>
      <c r="AL1111" t="s">
        <v>52</v>
      </c>
      <c r="AM1111" t="s">
        <v>52</v>
      </c>
      <c r="AN1111">
        <v>0</v>
      </c>
      <c r="AO1111">
        <v>0</v>
      </c>
      <c r="AP1111" t="s">
        <v>52</v>
      </c>
      <c r="AQ1111" t="s">
        <v>52</v>
      </c>
      <c r="AR1111" t="s">
        <v>62</v>
      </c>
      <c r="AS1111" t="s">
        <v>52</v>
      </c>
      <c r="AT1111" t="s">
        <v>74</v>
      </c>
      <c r="AU1111" t="s">
        <v>64</v>
      </c>
      <c r="AV1111" t="s">
        <v>62</v>
      </c>
      <c r="AW1111" t="s">
        <v>65</v>
      </c>
      <c r="AX1111" t="s">
        <v>66</v>
      </c>
      <c r="AY1111" t="s">
        <v>67</v>
      </c>
    </row>
    <row r="1112" spans="1:51" hidden="1" x14ac:dyDescent="0.25">
      <c r="A1112">
        <v>203264</v>
      </c>
      <c r="B1112" t="s">
        <v>4223</v>
      </c>
      <c r="C1112" t="str">
        <f>VLOOKUP(A1112,[1]Customer_payment_journal_line!$AL:$BO,30,0)</f>
        <v>CPay-000000073</v>
      </c>
      <c r="D1112" t="s">
        <v>53</v>
      </c>
      <c r="E1112" t="s">
        <v>4224</v>
      </c>
      <c r="F1112" t="s">
        <v>4225</v>
      </c>
      <c r="G1112" t="s">
        <v>4126</v>
      </c>
      <c r="H1112" t="s">
        <v>57</v>
      </c>
      <c r="I1112" t="s">
        <v>95</v>
      </c>
      <c r="J1112" t="s">
        <v>4218</v>
      </c>
      <c r="K1112" t="s">
        <v>4219</v>
      </c>
      <c r="L1112">
        <f>VLOOKUP(A1112,[1]Customer_payment_journal_line!$B:$L,11,0)</f>
        <v>1140</v>
      </c>
      <c r="M1112" s="1">
        <v>1140</v>
      </c>
      <c r="N1112" s="2">
        <f>L1112-M1112</f>
        <v>0</v>
      </c>
      <c r="O1112" t="s">
        <v>61</v>
      </c>
      <c r="P1112">
        <v>100</v>
      </c>
      <c r="Q1112" t="s">
        <v>52</v>
      </c>
      <c r="R1112" t="s">
        <v>52</v>
      </c>
      <c r="S1112" t="s">
        <v>52</v>
      </c>
      <c r="T1112" t="s">
        <v>52</v>
      </c>
      <c r="U1112" t="s">
        <v>52</v>
      </c>
      <c r="V1112" t="s">
        <v>62</v>
      </c>
      <c r="W1112" t="s">
        <v>63</v>
      </c>
      <c r="Y1112" t="s">
        <v>52</v>
      </c>
      <c r="AB1112" t="s">
        <v>52</v>
      </c>
      <c r="AE1112" t="s">
        <v>52</v>
      </c>
      <c r="AF1112" t="s">
        <v>52</v>
      </c>
      <c r="AH1112">
        <v>0</v>
      </c>
      <c r="AI1112">
        <v>0</v>
      </c>
      <c r="AJ1112" t="s">
        <v>52</v>
      </c>
      <c r="AK1112">
        <v>0</v>
      </c>
      <c r="AL1112" t="s">
        <v>52</v>
      </c>
      <c r="AM1112" t="s">
        <v>52</v>
      </c>
      <c r="AN1112">
        <v>0</v>
      </c>
      <c r="AO1112">
        <v>0</v>
      </c>
      <c r="AP1112" t="s">
        <v>52</v>
      </c>
      <c r="AQ1112" t="s">
        <v>52</v>
      </c>
      <c r="AR1112" t="s">
        <v>62</v>
      </c>
      <c r="AS1112" t="s">
        <v>52</v>
      </c>
      <c r="AT1112" t="s">
        <v>52</v>
      </c>
      <c r="AU1112" t="s">
        <v>64</v>
      </c>
      <c r="AV1112" t="s">
        <v>62</v>
      </c>
      <c r="AW1112" t="s">
        <v>65</v>
      </c>
      <c r="AX1112" t="s">
        <v>66</v>
      </c>
      <c r="AY1112" t="s">
        <v>67</v>
      </c>
    </row>
    <row r="1113" spans="1:51" hidden="1" x14ac:dyDescent="0.25">
      <c r="A1113">
        <v>203264</v>
      </c>
      <c r="B1113" t="s">
        <v>4226</v>
      </c>
      <c r="C1113" t="str">
        <f>VLOOKUP(A1113,[1]Customer_payment_journal_line!$AL:$BO,30,0)</f>
        <v>CPay-000000073</v>
      </c>
      <c r="D1113" t="s">
        <v>53</v>
      </c>
      <c r="E1113" t="s">
        <v>4224</v>
      </c>
      <c r="F1113" t="s">
        <v>4225</v>
      </c>
      <c r="G1113" t="s">
        <v>4126</v>
      </c>
      <c r="H1113" t="s">
        <v>69</v>
      </c>
      <c r="I1113" t="s">
        <v>1893</v>
      </c>
      <c r="J1113" t="s">
        <v>4218</v>
      </c>
      <c r="K1113" t="s">
        <v>4219</v>
      </c>
      <c r="L1113">
        <f>VLOOKUP(A1113,[1]Customer_payment_journal_line!$B:$L,11,0)</f>
        <v>1140</v>
      </c>
      <c r="M1113" s="1">
        <v>0</v>
      </c>
      <c r="N1113">
        <v>1140</v>
      </c>
      <c r="O1113" t="s">
        <v>61</v>
      </c>
      <c r="P1113">
        <v>100</v>
      </c>
      <c r="Q1113" t="s">
        <v>52</v>
      </c>
      <c r="R1113" t="s">
        <v>52</v>
      </c>
      <c r="S1113" t="s">
        <v>52</v>
      </c>
      <c r="T1113" t="s">
        <v>52</v>
      </c>
      <c r="U1113" t="s">
        <v>52</v>
      </c>
      <c r="V1113" t="s">
        <v>62</v>
      </c>
      <c r="W1113" t="s">
        <v>52</v>
      </c>
      <c r="Y1113" t="s">
        <v>1894</v>
      </c>
      <c r="Z1113" t="s">
        <v>62</v>
      </c>
      <c r="AB1113" t="s">
        <v>4227</v>
      </c>
      <c r="AE1113" t="s">
        <v>4228</v>
      </c>
      <c r="AF1113" t="s">
        <v>52</v>
      </c>
      <c r="AH1113">
        <v>0</v>
      </c>
      <c r="AI1113">
        <v>0</v>
      </c>
      <c r="AJ1113" t="s">
        <v>52</v>
      </c>
      <c r="AK1113">
        <v>0</v>
      </c>
      <c r="AL1113" t="s">
        <v>52</v>
      </c>
      <c r="AM1113" t="s">
        <v>52</v>
      </c>
      <c r="AN1113">
        <v>0</v>
      </c>
      <c r="AO1113">
        <v>0</v>
      </c>
      <c r="AP1113" t="s">
        <v>52</v>
      </c>
      <c r="AQ1113" t="s">
        <v>52</v>
      </c>
      <c r="AR1113" t="s">
        <v>62</v>
      </c>
      <c r="AS1113" t="s">
        <v>52</v>
      </c>
      <c r="AT1113" t="s">
        <v>74</v>
      </c>
      <c r="AU1113" t="s">
        <v>64</v>
      </c>
      <c r="AV1113" t="s">
        <v>62</v>
      </c>
      <c r="AW1113" t="s">
        <v>65</v>
      </c>
      <c r="AX1113" t="s">
        <v>66</v>
      </c>
      <c r="AY1113" t="s">
        <v>67</v>
      </c>
    </row>
    <row r="1114" spans="1:51" hidden="1" x14ac:dyDescent="0.25">
      <c r="A1114">
        <v>203265</v>
      </c>
      <c r="B1114" t="s">
        <v>4229</v>
      </c>
      <c r="C1114" t="str">
        <f>VLOOKUP(A1114,[1]Customer_payment_journal_line!$AL:$BO,30,0)</f>
        <v>CPay-000000074</v>
      </c>
      <c r="D1114" t="s">
        <v>53</v>
      </c>
      <c r="E1114" t="s">
        <v>4230</v>
      </c>
      <c r="F1114" t="s">
        <v>4231</v>
      </c>
      <c r="G1114" t="s">
        <v>4126</v>
      </c>
      <c r="H1114" t="s">
        <v>57</v>
      </c>
      <c r="I1114" t="s">
        <v>95</v>
      </c>
      <c r="J1114" t="s">
        <v>4218</v>
      </c>
      <c r="K1114" t="s">
        <v>4232</v>
      </c>
      <c r="L1114">
        <f>VLOOKUP(A1114,[1]Customer_payment_journal_line!$B:$L,11,0)</f>
        <v>1653</v>
      </c>
      <c r="M1114" s="1">
        <v>1653</v>
      </c>
      <c r="N1114" s="2">
        <f>L1114-M1114</f>
        <v>0</v>
      </c>
      <c r="O1114" t="s">
        <v>61</v>
      </c>
      <c r="P1114">
        <v>100</v>
      </c>
      <c r="Q1114" t="s">
        <v>52</v>
      </c>
      <c r="R1114" t="s">
        <v>52</v>
      </c>
      <c r="S1114" t="s">
        <v>52</v>
      </c>
      <c r="T1114" t="s">
        <v>52</v>
      </c>
      <c r="U1114" t="s">
        <v>52</v>
      </c>
      <c r="V1114" t="s">
        <v>62</v>
      </c>
      <c r="W1114" t="s">
        <v>63</v>
      </c>
      <c r="Y1114" t="s">
        <v>52</v>
      </c>
      <c r="AB1114" t="s">
        <v>52</v>
      </c>
      <c r="AE1114" t="s">
        <v>52</v>
      </c>
      <c r="AF1114" t="s">
        <v>52</v>
      </c>
      <c r="AH1114">
        <v>0</v>
      </c>
      <c r="AI1114">
        <v>0</v>
      </c>
      <c r="AJ1114" t="s">
        <v>52</v>
      </c>
      <c r="AK1114">
        <v>0</v>
      </c>
      <c r="AL1114" t="s">
        <v>52</v>
      </c>
      <c r="AM1114" t="s">
        <v>52</v>
      </c>
      <c r="AN1114">
        <v>0</v>
      </c>
      <c r="AO1114">
        <v>0</v>
      </c>
      <c r="AP1114" t="s">
        <v>52</v>
      </c>
      <c r="AQ1114" t="s">
        <v>52</v>
      </c>
      <c r="AR1114" t="s">
        <v>62</v>
      </c>
      <c r="AS1114" t="s">
        <v>52</v>
      </c>
      <c r="AT1114" t="s">
        <v>52</v>
      </c>
      <c r="AU1114" t="s">
        <v>64</v>
      </c>
      <c r="AV1114" t="s">
        <v>62</v>
      </c>
      <c r="AW1114" t="s">
        <v>65</v>
      </c>
      <c r="AX1114" t="s">
        <v>66</v>
      </c>
      <c r="AY1114" t="s">
        <v>67</v>
      </c>
    </row>
    <row r="1115" spans="1:51" hidden="1" x14ac:dyDescent="0.25">
      <c r="A1115">
        <v>203265</v>
      </c>
      <c r="B1115" t="s">
        <v>4233</v>
      </c>
      <c r="C1115" t="str">
        <f>VLOOKUP(A1115,[1]Customer_payment_journal_line!$AL:$BO,30,0)</f>
        <v>CPay-000000074</v>
      </c>
      <c r="D1115" t="s">
        <v>53</v>
      </c>
      <c r="E1115" t="s">
        <v>4230</v>
      </c>
      <c r="F1115" t="s">
        <v>4231</v>
      </c>
      <c r="G1115" t="s">
        <v>4126</v>
      </c>
      <c r="H1115" t="s">
        <v>69</v>
      </c>
      <c r="I1115" t="s">
        <v>1893</v>
      </c>
      <c r="J1115" t="s">
        <v>4218</v>
      </c>
      <c r="K1115" t="s">
        <v>4232</v>
      </c>
      <c r="L1115">
        <f>VLOOKUP(A1115,[1]Customer_payment_journal_line!$B:$L,11,0)</f>
        <v>1653</v>
      </c>
      <c r="M1115" s="1">
        <v>0</v>
      </c>
      <c r="N1115">
        <v>1653</v>
      </c>
      <c r="O1115" t="s">
        <v>61</v>
      </c>
      <c r="P1115">
        <v>100</v>
      </c>
      <c r="Q1115" t="s">
        <v>52</v>
      </c>
      <c r="R1115" t="s">
        <v>52</v>
      </c>
      <c r="S1115" t="s">
        <v>52</v>
      </c>
      <c r="T1115" t="s">
        <v>52</v>
      </c>
      <c r="U1115" t="s">
        <v>52</v>
      </c>
      <c r="V1115" t="s">
        <v>62</v>
      </c>
      <c r="W1115" t="s">
        <v>52</v>
      </c>
      <c r="Y1115" t="s">
        <v>1894</v>
      </c>
      <c r="Z1115" t="s">
        <v>62</v>
      </c>
      <c r="AB1115" t="s">
        <v>4234</v>
      </c>
      <c r="AE1115" t="s">
        <v>4235</v>
      </c>
      <c r="AF1115" t="s">
        <v>52</v>
      </c>
      <c r="AH1115">
        <v>0</v>
      </c>
      <c r="AI1115">
        <v>0</v>
      </c>
      <c r="AJ1115" t="s">
        <v>52</v>
      </c>
      <c r="AK1115">
        <v>0</v>
      </c>
      <c r="AL1115" t="s">
        <v>52</v>
      </c>
      <c r="AM1115" t="s">
        <v>52</v>
      </c>
      <c r="AN1115">
        <v>0</v>
      </c>
      <c r="AO1115">
        <v>0</v>
      </c>
      <c r="AP1115" t="s">
        <v>52</v>
      </c>
      <c r="AQ1115" t="s">
        <v>52</v>
      </c>
      <c r="AR1115" t="s">
        <v>62</v>
      </c>
      <c r="AS1115" t="s">
        <v>52</v>
      </c>
      <c r="AT1115" t="s">
        <v>74</v>
      </c>
      <c r="AU1115" t="s">
        <v>64</v>
      </c>
      <c r="AV1115" t="s">
        <v>62</v>
      </c>
      <c r="AW1115" t="s">
        <v>65</v>
      </c>
      <c r="AX1115" t="s">
        <v>66</v>
      </c>
      <c r="AY1115" t="s">
        <v>67</v>
      </c>
    </row>
    <row r="1116" spans="1:51" hidden="1" x14ac:dyDescent="0.25">
      <c r="A1116">
        <v>203266</v>
      </c>
      <c r="B1116" t="s">
        <v>4236</v>
      </c>
      <c r="C1116" t="str">
        <f>VLOOKUP(A1116,[1]Customer_payment_journal_line!$AL:$BO,30,0)</f>
        <v>CPay-000000075</v>
      </c>
      <c r="D1116" t="s">
        <v>53</v>
      </c>
      <c r="E1116" t="s">
        <v>4237</v>
      </c>
      <c r="F1116" t="s">
        <v>4238</v>
      </c>
      <c r="G1116" t="s">
        <v>4126</v>
      </c>
      <c r="H1116" t="s">
        <v>57</v>
      </c>
      <c r="I1116" t="s">
        <v>95</v>
      </c>
      <c r="J1116" t="s">
        <v>4218</v>
      </c>
      <c r="K1116" t="s">
        <v>4232</v>
      </c>
      <c r="L1116">
        <f>VLOOKUP(A1116,[1]Customer_payment_journal_line!$B:$L,11,0)</f>
        <v>1145.7</v>
      </c>
      <c r="M1116" s="1">
        <v>1145.7</v>
      </c>
      <c r="N1116" s="2">
        <f>L1116-M1116</f>
        <v>0</v>
      </c>
      <c r="O1116" t="s">
        <v>61</v>
      </c>
      <c r="P1116">
        <v>100</v>
      </c>
      <c r="Q1116" t="s">
        <v>52</v>
      </c>
      <c r="R1116" t="s">
        <v>52</v>
      </c>
      <c r="S1116" t="s">
        <v>52</v>
      </c>
      <c r="T1116" t="s">
        <v>52</v>
      </c>
      <c r="U1116" t="s">
        <v>52</v>
      </c>
      <c r="V1116" t="s">
        <v>62</v>
      </c>
      <c r="W1116" t="s">
        <v>63</v>
      </c>
      <c r="Y1116" t="s">
        <v>52</v>
      </c>
      <c r="AB1116" t="s">
        <v>52</v>
      </c>
      <c r="AE1116" t="s">
        <v>52</v>
      </c>
      <c r="AF1116" t="s">
        <v>52</v>
      </c>
      <c r="AH1116">
        <v>0</v>
      </c>
      <c r="AI1116">
        <v>0</v>
      </c>
      <c r="AJ1116" t="s">
        <v>52</v>
      </c>
      <c r="AK1116">
        <v>0</v>
      </c>
      <c r="AL1116" t="s">
        <v>52</v>
      </c>
      <c r="AM1116" t="s">
        <v>52</v>
      </c>
      <c r="AN1116">
        <v>0</v>
      </c>
      <c r="AO1116">
        <v>0</v>
      </c>
      <c r="AP1116" t="s">
        <v>52</v>
      </c>
      <c r="AQ1116" t="s">
        <v>52</v>
      </c>
      <c r="AR1116" t="s">
        <v>62</v>
      </c>
      <c r="AS1116" t="s">
        <v>52</v>
      </c>
      <c r="AT1116" t="s">
        <v>52</v>
      </c>
      <c r="AU1116" t="s">
        <v>64</v>
      </c>
      <c r="AV1116" t="s">
        <v>62</v>
      </c>
      <c r="AW1116" t="s">
        <v>65</v>
      </c>
      <c r="AX1116" t="s">
        <v>66</v>
      </c>
      <c r="AY1116" t="s">
        <v>67</v>
      </c>
    </row>
    <row r="1117" spans="1:51" hidden="1" x14ac:dyDescent="0.25">
      <c r="A1117">
        <v>203266</v>
      </c>
      <c r="B1117" t="s">
        <v>4239</v>
      </c>
      <c r="C1117" t="str">
        <f>VLOOKUP(A1117,[1]Customer_payment_journal_line!$AL:$BO,30,0)</f>
        <v>CPay-000000075</v>
      </c>
      <c r="D1117" t="s">
        <v>53</v>
      </c>
      <c r="E1117" t="s">
        <v>4237</v>
      </c>
      <c r="F1117" t="s">
        <v>4238</v>
      </c>
      <c r="G1117" t="s">
        <v>4126</v>
      </c>
      <c r="H1117" t="s">
        <v>69</v>
      </c>
      <c r="I1117" t="s">
        <v>1893</v>
      </c>
      <c r="J1117" t="s">
        <v>4218</v>
      </c>
      <c r="K1117" t="s">
        <v>4232</v>
      </c>
      <c r="L1117">
        <f>VLOOKUP(A1117,[1]Customer_payment_journal_line!$B:$L,11,0)</f>
        <v>1145.7</v>
      </c>
      <c r="M1117" s="1">
        <v>0</v>
      </c>
      <c r="N1117">
        <v>1145.7</v>
      </c>
      <c r="O1117" t="s">
        <v>61</v>
      </c>
      <c r="P1117">
        <v>100</v>
      </c>
      <c r="Q1117" t="s">
        <v>52</v>
      </c>
      <c r="R1117" t="s">
        <v>52</v>
      </c>
      <c r="S1117" t="s">
        <v>52</v>
      </c>
      <c r="T1117" t="s">
        <v>52</v>
      </c>
      <c r="U1117" t="s">
        <v>52</v>
      </c>
      <c r="V1117" t="s">
        <v>62</v>
      </c>
      <c r="W1117" t="s">
        <v>52</v>
      </c>
      <c r="Y1117" t="s">
        <v>1894</v>
      </c>
      <c r="Z1117" t="s">
        <v>62</v>
      </c>
      <c r="AB1117" t="s">
        <v>4240</v>
      </c>
      <c r="AE1117" t="s">
        <v>4241</v>
      </c>
      <c r="AF1117" t="s">
        <v>52</v>
      </c>
      <c r="AH1117">
        <v>0</v>
      </c>
      <c r="AI1117">
        <v>0</v>
      </c>
      <c r="AJ1117" t="s">
        <v>52</v>
      </c>
      <c r="AK1117">
        <v>0</v>
      </c>
      <c r="AL1117" t="s">
        <v>52</v>
      </c>
      <c r="AM1117" t="s">
        <v>52</v>
      </c>
      <c r="AN1117">
        <v>0</v>
      </c>
      <c r="AO1117">
        <v>0</v>
      </c>
      <c r="AP1117" t="s">
        <v>52</v>
      </c>
      <c r="AQ1117" t="s">
        <v>52</v>
      </c>
      <c r="AR1117" t="s">
        <v>62</v>
      </c>
      <c r="AS1117" t="s">
        <v>52</v>
      </c>
      <c r="AT1117" t="s">
        <v>74</v>
      </c>
      <c r="AU1117" t="s">
        <v>64</v>
      </c>
      <c r="AV1117" t="s">
        <v>62</v>
      </c>
      <c r="AW1117" t="s">
        <v>65</v>
      </c>
      <c r="AX1117" t="s">
        <v>66</v>
      </c>
      <c r="AY1117" t="s">
        <v>67</v>
      </c>
    </row>
    <row r="1118" spans="1:51" hidden="1" x14ac:dyDescent="0.25">
      <c r="A1118">
        <v>203269</v>
      </c>
      <c r="B1118" t="s">
        <v>4242</v>
      </c>
      <c r="C1118" t="e">
        <f>VLOOKUP(A1118,[1]Customer_payment_journal_line!$AL:$BO,30,0)</f>
        <v>#N/A</v>
      </c>
      <c r="D1118" t="s">
        <v>159</v>
      </c>
      <c r="E1118" t="s">
        <v>4243</v>
      </c>
      <c r="F1118" t="s">
        <v>4244</v>
      </c>
      <c r="G1118" t="s">
        <v>4126</v>
      </c>
      <c r="H1118" t="s">
        <v>80</v>
      </c>
      <c r="I1118" t="s">
        <v>3014</v>
      </c>
      <c r="J1118" t="s">
        <v>4245</v>
      </c>
      <c r="K1118" t="s">
        <v>4246</v>
      </c>
      <c r="L1118" t="s">
        <v>52</v>
      </c>
      <c r="M1118">
        <v>810</v>
      </c>
      <c r="N1118">
        <v>0</v>
      </c>
      <c r="O1118" t="s">
        <v>178</v>
      </c>
      <c r="P1118">
        <v>5085</v>
      </c>
      <c r="Q1118" t="s">
        <v>52</v>
      </c>
      <c r="R1118" t="s">
        <v>52</v>
      </c>
      <c r="S1118" t="s">
        <v>52</v>
      </c>
      <c r="T1118" t="s">
        <v>52</v>
      </c>
      <c r="U1118" t="s">
        <v>52</v>
      </c>
      <c r="V1118" t="s">
        <v>62</v>
      </c>
      <c r="W1118" t="s">
        <v>52</v>
      </c>
      <c r="Y1118" t="s">
        <v>52</v>
      </c>
      <c r="AB1118" t="s">
        <v>52</v>
      </c>
      <c r="AE1118" t="s">
        <v>52</v>
      </c>
      <c r="AF1118" t="s">
        <v>52</v>
      </c>
      <c r="AH1118">
        <v>0</v>
      </c>
      <c r="AI1118">
        <v>0</v>
      </c>
      <c r="AJ1118" t="s">
        <v>52</v>
      </c>
      <c r="AK1118">
        <v>0</v>
      </c>
      <c r="AL1118" t="s">
        <v>52</v>
      </c>
      <c r="AM1118" t="s">
        <v>52</v>
      </c>
      <c r="AN1118">
        <v>0</v>
      </c>
      <c r="AO1118">
        <v>0</v>
      </c>
      <c r="AP1118" t="s">
        <v>52</v>
      </c>
      <c r="AQ1118" t="s">
        <v>52</v>
      </c>
      <c r="AR1118" t="s">
        <v>62</v>
      </c>
      <c r="AS1118" t="s">
        <v>52</v>
      </c>
      <c r="AT1118" t="s">
        <v>52</v>
      </c>
      <c r="AU1118" t="s">
        <v>64</v>
      </c>
      <c r="AV1118" t="s">
        <v>62</v>
      </c>
      <c r="AW1118" t="s">
        <v>65</v>
      </c>
      <c r="AX1118" t="s">
        <v>66</v>
      </c>
      <c r="AY1118" t="s">
        <v>165</v>
      </c>
    </row>
    <row r="1119" spans="1:51" hidden="1" x14ac:dyDescent="0.25">
      <c r="A1119">
        <v>203269</v>
      </c>
      <c r="B1119" t="s">
        <v>4247</v>
      </c>
      <c r="C1119" t="e">
        <f>VLOOKUP(A1119,[1]Customer_payment_journal_line!$AL:$BO,30,0)</f>
        <v>#N/A</v>
      </c>
      <c r="D1119" t="s">
        <v>159</v>
      </c>
      <c r="E1119" t="s">
        <v>4243</v>
      </c>
      <c r="F1119" t="s">
        <v>4244</v>
      </c>
      <c r="G1119" t="s">
        <v>4126</v>
      </c>
      <c r="H1119" t="s">
        <v>69</v>
      </c>
      <c r="I1119" t="s">
        <v>4248</v>
      </c>
      <c r="J1119" t="s">
        <v>4245</v>
      </c>
      <c r="K1119" t="s">
        <v>4246</v>
      </c>
      <c r="L1119" t="s">
        <v>52</v>
      </c>
      <c r="M1119">
        <v>0</v>
      </c>
      <c r="N1119">
        <v>810</v>
      </c>
      <c r="O1119" t="s">
        <v>178</v>
      </c>
      <c r="P1119">
        <v>5085</v>
      </c>
      <c r="Q1119" t="s">
        <v>52</v>
      </c>
      <c r="R1119" t="s">
        <v>52</v>
      </c>
      <c r="S1119" t="s">
        <v>52</v>
      </c>
      <c r="T1119" t="s">
        <v>52</v>
      </c>
      <c r="U1119" t="s">
        <v>52</v>
      </c>
      <c r="V1119" t="s">
        <v>62</v>
      </c>
      <c r="W1119" t="s">
        <v>52</v>
      </c>
      <c r="Y1119" t="s">
        <v>4249</v>
      </c>
      <c r="Z1119" t="s">
        <v>62</v>
      </c>
      <c r="AB1119" t="s">
        <v>4250</v>
      </c>
      <c r="AE1119" t="s">
        <v>4251</v>
      </c>
      <c r="AF1119" t="s">
        <v>52</v>
      </c>
      <c r="AH1119">
        <v>0</v>
      </c>
      <c r="AI1119">
        <v>0</v>
      </c>
      <c r="AJ1119" t="s">
        <v>52</v>
      </c>
      <c r="AK1119">
        <v>0</v>
      </c>
      <c r="AL1119" t="s">
        <v>52</v>
      </c>
      <c r="AM1119" t="s">
        <v>52</v>
      </c>
      <c r="AN1119">
        <v>0</v>
      </c>
      <c r="AO1119">
        <v>0</v>
      </c>
      <c r="AP1119" t="s">
        <v>52</v>
      </c>
      <c r="AQ1119" t="s">
        <v>52</v>
      </c>
      <c r="AR1119" t="s">
        <v>62</v>
      </c>
      <c r="AS1119" t="s">
        <v>52</v>
      </c>
      <c r="AT1119" t="s">
        <v>74</v>
      </c>
      <c r="AU1119" t="s">
        <v>64</v>
      </c>
      <c r="AV1119" t="s">
        <v>62</v>
      </c>
      <c r="AW1119" t="s">
        <v>65</v>
      </c>
      <c r="AX1119" t="s">
        <v>66</v>
      </c>
      <c r="AY1119" t="s">
        <v>165</v>
      </c>
    </row>
    <row r="1120" spans="1:51" hidden="1" x14ac:dyDescent="0.25">
      <c r="A1120">
        <v>203278</v>
      </c>
      <c r="B1120" t="s">
        <v>4252</v>
      </c>
      <c r="C1120" t="str">
        <f>VLOOKUP(A1120,[1]Customer_payment_journal_line!$AL:$BO,30,0)</f>
        <v>CPay-000000076</v>
      </c>
      <c r="D1120" t="s">
        <v>53</v>
      </c>
      <c r="E1120" t="s">
        <v>4253</v>
      </c>
      <c r="F1120" t="s">
        <v>4254</v>
      </c>
      <c r="G1120" t="s">
        <v>4126</v>
      </c>
      <c r="H1120" t="s">
        <v>57</v>
      </c>
      <c r="I1120" t="s">
        <v>95</v>
      </c>
      <c r="J1120" t="s">
        <v>4255</v>
      </c>
      <c r="K1120" t="s">
        <v>4256</v>
      </c>
      <c r="L1120">
        <f>VLOOKUP(A1120,[1]Customer_payment_journal_line!$B:$L,11,0)</f>
        <v>1450</v>
      </c>
      <c r="M1120" s="1">
        <v>1450</v>
      </c>
      <c r="N1120" s="2">
        <f>L1120-M1120</f>
        <v>0</v>
      </c>
      <c r="O1120" t="s">
        <v>61</v>
      </c>
      <c r="P1120">
        <v>100</v>
      </c>
      <c r="Q1120" t="s">
        <v>52</v>
      </c>
      <c r="R1120" t="s">
        <v>52</v>
      </c>
      <c r="S1120" t="s">
        <v>52</v>
      </c>
      <c r="T1120" t="s">
        <v>52</v>
      </c>
      <c r="U1120" t="s">
        <v>52</v>
      </c>
      <c r="V1120" t="s">
        <v>62</v>
      </c>
      <c r="W1120" t="s">
        <v>63</v>
      </c>
      <c r="Y1120" t="s">
        <v>52</v>
      </c>
      <c r="AB1120" t="s">
        <v>52</v>
      </c>
      <c r="AE1120" t="s">
        <v>52</v>
      </c>
      <c r="AF1120" t="s">
        <v>52</v>
      </c>
      <c r="AH1120">
        <v>0</v>
      </c>
      <c r="AI1120">
        <v>0</v>
      </c>
      <c r="AJ1120" t="s">
        <v>52</v>
      </c>
      <c r="AK1120">
        <v>0</v>
      </c>
      <c r="AL1120" t="s">
        <v>52</v>
      </c>
      <c r="AM1120" t="s">
        <v>52</v>
      </c>
      <c r="AN1120">
        <v>0</v>
      </c>
      <c r="AO1120">
        <v>0</v>
      </c>
      <c r="AP1120" t="s">
        <v>52</v>
      </c>
      <c r="AQ1120" t="s">
        <v>52</v>
      </c>
      <c r="AR1120" t="s">
        <v>62</v>
      </c>
      <c r="AS1120" t="s">
        <v>52</v>
      </c>
      <c r="AT1120" t="s">
        <v>52</v>
      </c>
      <c r="AU1120" t="s">
        <v>64</v>
      </c>
      <c r="AV1120" t="s">
        <v>62</v>
      </c>
      <c r="AW1120" t="s">
        <v>65</v>
      </c>
      <c r="AX1120" t="s">
        <v>66</v>
      </c>
      <c r="AY1120" t="s">
        <v>67</v>
      </c>
    </row>
    <row r="1121" spans="1:51" hidden="1" x14ac:dyDescent="0.25">
      <c r="A1121">
        <v>203278</v>
      </c>
      <c r="B1121" t="s">
        <v>4257</v>
      </c>
      <c r="C1121" t="str">
        <f>VLOOKUP(A1121,[1]Customer_payment_journal_line!$AL:$BO,30,0)</f>
        <v>CPay-000000076</v>
      </c>
      <c r="D1121" t="s">
        <v>53</v>
      </c>
      <c r="E1121" t="s">
        <v>4253</v>
      </c>
      <c r="F1121" t="s">
        <v>4254</v>
      </c>
      <c r="G1121" t="s">
        <v>4126</v>
      </c>
      <c r="H1121" t="s">
        <v>69</v>
      </c>
      <c r="I1121" t="s">
        <v>4258</v>
      </c>
      <c r="J1121" t="s">
        <v>4255</v>
      </c>
      <c r="K1121" t="s">
        <v>4256</v>
      </c>
      <c r="L1121">
        <f>VLOOKUP(A1121,[1]Customer_payment_journal_line!$B:$L,11,0)</f>
        <v>1450</v>
      </c>
      <c r="M1121" s="1">
        <v>0</v>
      </c>
      <c r="N1121">
        <v>1450</v>
      </c>
      <c r="O1121" t="s">
        <v>61</v>
      </c>
      <c r="P1121">
        <v>100</v>
      </c>
      <c r="Q1121" t="s">
        <v>52</v>
      </c>
      <c r="R1121" t="s">
        <v>52</v>
      </c>
      <c r="S1121" t="s">
        <v>52</v>
      </c>
      <c r="T1121" t="s">
        <v>52</v>
      </c>
      <c r="U1121" t="s">
        <v>52</v>
      </c>
      <c r="V1121" t="s">
        <v>62</v>
      </c>
      <c r="W1121" t="s">
        <v>52</v>
      </c>
      <c r="Y1121" t="s">
        <v>4259</v>
      </c>
      <c r="Z1121" t="s">
        <v>62</v>
      </c>
      <c r="AB1121" t="s">
        <v>4260</v>
      </c>
      <c r="AE1121" t="s">
        <v>4261</v>
      </c>
      <c r="AF1121" t="s">
        <v>52</v>
      </c>
      <c r="AH1121">
        <v>0</v>
      </c>
      <c r="AI1121">
        <v>0</v>
      </c>
      <c r="AJ1121" t="s">
        <v>52</v>
      </c>
      <c r="AK1121">
        <v>0</v>
      </c>
      <c r="AL1121" t="s">
        <v>52</v>
      </c>
      <c r="AM1121" t="s">
        <v>52</v>
      </c>
      <c r="AN1121">
        <v>0</v>
      </c>
      <c r="AO1121">
        <v>0</v>
      </c>
      <c r="AP1121" t="s">
        <v>52</v>
      </c>
      <c r="AQ1121" t="s">
        <v>52</v>
      </c>
      <c r="AR1121" t="s">
        <v>62</v>
      </c>
      <c r="AS1121" t="s">
        <v>52</v>
      </c>
      <c r="AT1121" t="s">
        <v>74</v>
      </c>
      <c r="AU1121" t="s">
        <v>64</v>
      </c>
      <c r="AV1121" t="s">
        <v>62</v>
      </c>
      <c r="AW1121" t="s">
        <v>65</v>
      </c>
      <c r="AX1121" t="s">
        <v>66</v>
      </c>
      <c r="AY1121" t="s">
        <v>67</v>
      </c>
    </row>
    <row r="1122" spans="1:51" hidden="1" x14ac:dyDescent="0.25">
      <c r="A1122">
        <v>203281</v>
      </c>
      <c r="B1122" t="s">
        <v>4262</v>
      </c>
      <c r="C1122" t="str">
        <f>VLOOKUP(A1122,[1]Customer_payment_journal_line!$AL:$BO,30,0)</f>
        <v>CPay-000000077</v>
      </c>
      <c r="D1122" t="s">
        <v>53</v>
      </c>
      <c r="E1122" t="s">
        <v>4263</v>
      </c>
      <c r="F1122" t="s">
        <v>4264</v>
      </c>
      <c r="G1122" t="s">
        <v>4126</v>
      </c>
      <c r="H1122" t="s">
        <v>57</v>
      </c>
      <c r="I1122" t="s">
        <v>95</v>
      </c>
      <c r="J1122" t="s">
        <v>4255</v>
      </c>
      <c r="K1122" t="s">
        <v>4256</v>
      </c>
      <c r="L1122">
        <f>VLOOKUP(A1122,[1]Customer_payment_journal_line!$B:$L,11,0)</f>
        <v>262.2</v>
      </c>
      <c r="M1122" s="1">
        <v>262.2</v>
      </c>
      <c r="N1122" s="2">
        <f>L1122-M1122</f>
        <v>0</v>
      </c>
      <c r="O1122" t="s">
        <v>61</v>
      </c>
      <c r="P1122">
        <v>100</v>
      </c>
      <c r="Q1122" t="s">
        <v>52</v>
      </c>
      <c r="R1122" t="s">
        <v>52</v>
      </c>
      <c r="S1122" t="s">
        <v>52</v>
      </c>
      <c r="T1122" t="s">
        <v>52</v>
      </c>
      <c r="U1122" t="s">
        <v>52</v>
      </c>
      <c r="V1122" t="s">
        <v>62</v>
      </c>
      <c r="W1122" t="s">
        <v>63</v>
      </c>
      <c r="Y1122" t="s">
        <v>52</v>
      </c>
      <c r="AB1122" t="s">
        <v>52</v>
      </c>
      <c r="AE1122" t="s">
        <v>52</v>
      </c>
      <c r="AF1122" t="s">
        <v>52</v>
      </c>
      <c r="AH1122">
        <v>0</v>
      </c>
      <c r="AI1122">
        <v>0</v>
      </c>
      <c r="AJ1122" t="s">
        <v>52</v>
      </c>
      <c r="AK1122">
        <v>0</v>
      </c>
      <c r="AL1122" t="s">
        <v>52</v>
      </c>
      <c r="AM1122" t="s">
        <v>52</v>
      </c>
      <c r="AN1122">
        <v>0</v>
      </c>
      <c r="AO1122">
        <v>0</v>
      </c>
      <c r="AP1122" t="s">
        <v>52</v>
      </c>
      <c r="AQ1122" t="s">
        <v>52</v>
      </c>
      <c r="AR1122" t="s">
        <v>62</v>
      </c>
      <c r="AS1122" t="s">
        <v>52</v>
      </c>
      <c r="AT1122" t="s">
        <v>52</v>
      </c>
      <c r="AU1122" t="s">
        <v>64</v>
      </c>
      <c r="AV1122" t="s">
        <v>62</v>
      </c>
      <c r="AW1122" t="s">
        <v>65</v>
      </c>
      <c r="AX1122" t="s">
        <v>66</v>
      </c>
      <c r="AY1122" t="s">
        <v>67</v>
      </c>
    </row>
    <row r="1123" spans="1:51" hidden="1" x14ac:dyDescent="0.25">
      <c r="A1123">
        <v>203281</v>
      </c>
      <c r="B1123" t="s">
        <v>4265</v>
      </c>
      <c r="C1123" t="str">
        <f>VLOOKUP(A1123,[1]Customer_payment_journal_line!$AL:$BO,30,0)</f>
        <v>CPay-000000077</v>
      </c>
      <c r="D1123" t="s">
        <v>53</v>
      </c>
      <c r="E1123" t="s">
        <v>4263</v>
      </c>
      <c r="F1123" t="s">
        <v>4264</v>
      </c>
      <c r="G1123" t="s">
        <v>4126</v>
      </c>
      <c r="H1123" t="s">
        <v>69</v>
      </c>
      <c r="I1123" t="s">
        <v>4258</v>
      </c>
      <c r="J1123" t="s">
        <v>4255</v>
      </c>
      <c r="K1123" t="s">
        <v>4256</v>
      </c>
      <c r="L1123">
        <f>VLOOKUP(A1123,[1]Customer_payment_journal_line!$B:$L,11,0)</f>
        <v>262.2</v>
      </c>
      <c r="M1123" s="1">
        <v>0</v>
      </c>
      <c r="N1123">
        <v>262.2</v>
      </c>
      <c r="O1123" t="s">
        <v>61</v>
      </c>
      <c r="P1123">
        <v>100</v>
      </c>
      <c r="Q1123" t="s">
        <v>52</v>
      </c>
      <c r="R1123" t="s">
        <v>52</v>
      </c>
      <c r="S1123" t="s">
        <v>52</v>
      </c>
      <c r="T1123" t="s">
        <v>52</v>
      </c>
      <c r="U1123" t="s">
        <v>52</v>
      </c>
      <c r="V1123" t="s">
        <v>62</v>
      </c>
      <c r="W1123" t="s">
        <v>52</v>
      </c>
      <c r="Y1123" t="s">
        <v>4259</v>
      </c>
      <c r="Z1123" t="s">
        <v>62</v>
      </c>
      <c r="AB1123" t="s">
        <v>4266</v>
      </c>
      <c r="AE1123" t="s">
        <v>4267</v>
      </c>
      <c r="AF1123" t="s">
        <v>52</v>
      </c>
      <c r="AH1123">
        <v>0</v>
      </c>
      <c r="AI1123">
        <v>0</v>
      </c>
      <c r="AJ1123" t="s">
        <v>52</v>
      </c>
      <c r="AK1123">
        <v>0</v>
      </c>
      <c r="AL1123" t="s">
        <v>52</v>
      </c>
      <c r="AM1123" t="s">
        <v>52</v>
      </c>
      <c r="AN1123">
        <v>0</v>
      </c>
      <c r="AO1123">
        <v>0</v>
      </c>
      <c r="AP1123" t="s">
        <v>52</v>
      </c>
      <c r="AQ1123" t="s">
        <v>52</v>
      </c>
      <c r="AR1123" t="s">
        <v>62</v>
      </c>
      <c r="AS1123" t="s">
        <v>52</v>
      </c>
      <c r="AT1123" t="s">
        <v>74</v>
      </c>
      <c r="AU1123" t="s">
        <v>64</v>
      </c>
      <c r="AV1123" t="s">
        <v>62</v>
      </c>
      <c r="AW1123" t="s">
        <v>65</v>
      </c>
      <c r="AX1123" t="s">
        <v>66</v>
      </c>
      <c r="AY1123" t="s">
        <v>67</v>
      </c>
    </row>
    <row r="1124" spans="1:51" hidden="1" x14ac:dyDescent="0.25">
      <c r="A1124">
        <v>203296</v>
      </c>
      <c r="B1124" t="s">
        <v>4268</v>
      </c>
      <c r="C1124" t="e">
        <f>VLOOKUP(A1124,[1]Customer_payment_journal_line!$AL:$BO,30,0)</f>
        <v>#N/A</v>
      </c>
      <c r="D1124" t="s">
        <v>159</v>
      </c>
      <c r="E1124" t="s">
        <v>4269</v>
      </c>
      <c r="F1124" t="s">
        <v>4270</v>
      </c>
      <c r="G1124" t="s">
        <v>4126</v>
      </c>
      <c r="H1124" t="s">
        <v>80</v>
      </c>
      <c r="I1124" t="s">
        <v>766</v>
      </c>
      <c r="J1124" t="s">
        <v>4271</v>
      </c>
      <c r="K1124" t="s">
        <v>4272</v>
      </c>
      <c r="L1124" t="s">
        <v>52</v>
      </c>
      <c r="M1124">
        <v>1500</v>
      </c>
      <c r="N1124">
        <v>0</v>
      </c>
      <c r="O1124" t="s">
        <v>126</v>
      </c>
      <c r="P1124">
        <v>5285</v>
      </c>
      <c r="Q1124" t="s">
        <v>52</v>
      </c>
      <c r="R1124" t="s">
        <v>52</v>
      </c>
      <c r="S1124" t="s">
        <v>52</v>
      </c>
      <c r="T1124" t="s">
        <v>52</v>
      </c>
      <c r="U1124" t="s">
        <v>52</v>
      </c>
      <c r="V1124" t="s">
        <v>62</v>
      </c>
      <c r="W1124" t="s">
        <v>52</v>
      </c>
      <c r="Y1124" t="s">
        <v>52</v>
      </c>
      <c r="AB1124" t="s">
        <v>52</v>
      </c>
      <c r="AE1124" t="s">
        <v>52</v>
      </c>
      <c r="AF1124" t="s">
        <v>52</v>
      </c>
      <c r="AH1124">
        <v>0</v>
      </c>
      <c r="AI1124">
        <v>0</v>
      </c>
      <c r="AJ1124" t="s">
        <v>52</v>
      </c>
      <c r="AK1124">
        <v>0</v>
      </c>
      <c r="AL1124" t="s">
        <v>52</v>
      </c>
      <c r="AM1124" t="s">
        <v>52</v>
      </c>
      <c r="AN1124">
        <v>0</v>
      </c>
      <c r="AO1124">
        <v>0</v>
      </c>
      <c r="AP1124" t="s">
        <v>52</v>
      </c>
      <c r="AQ1124" t="s">
        <v>52</v>
      </c>
      <c r="AR1124" t="s">
        <v>62</v>
      </c>
      <c r="AS1124" t="s">
        <v>52</v>
      </c>
      <c r="AT1124" t="s">
        <v>52</v>
      </c>
      <c r="AU1124" t="s">
        <v>64</v>
      </c>
      <c r="AV1124" t="s">
        <v>62</v>
      </c>
      <c r="AW1124" t="s">
        <v>65</v>
      </c>
      <c r="AX1124" t="s">
        <v>66</v>
      </c>
      <c r="AY1124" t="s">
        <v>165</v>
      </c>
    </row>
    <row r="1125" spans="1:51" hidden="1" x14ac:dyDescent="0.25">
      <c r="A1125">
        <v>203296</v>
      </c>
      <c r="B1125" t="s">
        <v>4273</v>
      </c>
      <c r="C1125" t="e">
        <f>VLOOKUP(A1125,[1]Customer_payment_journal_line!$AL:$BO,30,0)</f>
        <v>#N/A</v>
      </c>
      <c r="D1125" t="s">
        <v>159</v>
      </c>
      <c r="E1125" t="s">
        <v>4269</v>
      </c>
      <c r="F1125" t="s">
        <v>4270</v>
      </c>
      <c r="G1125" t="s">
        <v>4126</v>
      </c>
      <c r="H1125" t="s">
        <v>69</v>
      </c>
      <c r="I1125" t="s">
        <v>4274</v>
      </c>
      <c r="J1125" t="s">
        <v>4271</v>
      </c>
      <c r="K1125" t="s">
        <v>4272</v>
      </c>
      <c r="L1125" t="s">
        <v>52</v>
      </c>
      <c r="M1125">
        <v>0</v>
      </c>
      <c r="N1125">
        <v>1500</v>
      </c>
      <c r="O1125" t="s">
        <v>126</v>
      </c>
      <c r="P1125">
        <v>5285</v>
      </c>
      <c r="Q1125" t="s">
        <v>52</v>
      </c>
      <c r="R1125" t="s">
        <v>52</v>
      </c>
      <c r="S1125" t="s">
        <v>52</v>
      </c>
      <c r="T1125" t="s">
        <v>52</v>
      </c>
      <c r="U1125" t="s">
        <v>52</v>
      </c>
      <c r="V1125" t="s">
        <v>62</v>
      </c>
      <c r="W1125" t="s">
        <v>52</v>
      </c>
      <c r="Y1125" t="s">
        <v>4275</v>
      </c>
      <c r="Z1125" t="s">
        <v>62</v>
      </c>
      <c r="AB1125" t="s">
        <v>4276</v>
      </c>
      <c r="AE1125" t="s">
        <v>4277</v>
      </c>
      <c r="AF1125" t="s">
        <v>52</v>
      </c>
      <c r="AH1125">
        <v>0</v>
      </c>
      <c r="AI1125">
        <v>0</v>
      </c>
      <c r="AJ1125" t="s">
        <v>52</v>
      </c>
      <c r="AK1125">
        <v>0</v>
      </c>
      <c r="AL1125" t="s">
        <v>52</v>
      </c>
      <c r="AM1125" t="s">
        <v>52</v>
      </c>
      <c r="AN1125">
        <v>0</v>
      </c>
      <c r="AO1125">
        <v>0</v>
      </c>
      <c r="AP1125" t="s">
        <v>52</v>
      </c>
      <c r="AQ1125" t="s">
        <v>52</v>
      </c>
      <c r="AR1125" t="s">
        <v>62</v>
      </c>
      <c r="AS1125" t="s">
        <v>52</v>
      </c>
      <c r="AT1125" t="s">
        <v>74</v>
      </c>
      <c r="AU1125" t="s">
        <v>64</v>
      </c>
      <c r="AV1125" t="s">
        <v>62</v>
      </c>
      <c r="AW1125" t="s">
        <v>65</v>
      </c>
      <c r="AX1125" t="s">
        <v>66</v>
      </c>
      <c r="AY1125" t="s">
        <v>165</v>
      </c>
    </row>
    <row r="1126" spans="1:51" hidden="1" x14ac:dyDescent="0.25">
      <c r="A1126">
        <v>203309</v>
      </c>
      <c r="B1126" t="s">
        <v>4278</v>
      </c>
      <c r="C1126" t="e">
        <f>VLOOKUP(A1126,[1]Customer_payment_journal_line!$AL:$BO,30,0)</f>
        <v>#N/A</v>
      </c>
      <c r="D1126" t="s">
        <v>76</v>
      </c>
      <c r="E1126" t="s">
        <v>4279</v>
      </c>
      <c r="F1126" t="s">
        <v>4280</v>
      </c>
      <c r="G1126" t="s">
        <v>4126</v>
      </c>
      <c r="H1126" t="s">
        <v>80</v>
      </c>
      <c r="I1126" t="s">
        <v>81</v>
      </c>
      <c r="J1126" t="s">
        <v>4281</v>
      </c>
      <c r="K1126" t="s">
        <v>4282</v>
      </c>
      <c r="L1126" t="s">
        <v>52</v>
      </c>
      <c r="M1126">
        <v>855</v>
      </c>
      <c r="N1126">
        <v>0</v>
      </c>
      <c r="O1126" t="s">
        <v>61</v>
      </c>
      <c r="P1126">
        <v>100</v>
      </c>
      <c r="Q1126" t="s">
        <v>52</v>
      </c>
      <c r="R1126" t="s">
        <v>52</v>
      </c>
      <c r="S1126" t="s">
        <v>52</v>
      </c>
      <c r="T1126" t="s">
        <v>52</v>
      </c>
      <c r="U1126" t="s">
        <v>52</v>
      </c>
      <c r="V1126" t="s">
        <v>62</v>
      </c>
      <c r="W1126" t="s">
        <v>52</v>
      </c>
      <c r="Y1126" t="s">
        <v>52</v>
      </c>
      <c r="AB1126" t="s">
        <v>52</v>
      </c>
      <c r="AE1126" t="s">
        <v>52</v>
      </c>
      <c r="AF1126" t="s">
        <v>52</v>
      </c>
      <c r="AH1126">
        <v>0</v>
      </c>
      <c r="AI1126">
        <v>0</v>
      </c>
      <c r="AJ1126" t="s">
        <v>52</v>
      </c>
      <c r="AK1126">
        <v>0</v>
      </c>
      <c r="AL1126" t="s">
        <v>52</v>
      </c>
      <c r="AM1126" t="s">
        <v>52</v>
      </c>
      <c r="AN1126">
        <v>0</v>
      </c>
      <c r="AO1126">
        <v>0</v>
      </c>
      <c r="AP1126" t="s">
        <v>52</v>
      </c>
      <c r="AQ1126" t="s">
        <v>52</v>
      </c>
      <c r="AR1126" t="s">
        <v>62</v>
      </c>
      <c r="AS1126" t="s">
        <v>52</v>
      </c>
      <c r="AT1126" t="s">
        <v>52</v>
      </c>
      <c r="AU1126" t="s">
        <v>64</v>
      </c>
      <c r="AV1126" t="s">
        <v>62</v>
      </c>
      <c r="AW1126" t="s">
        <v>65</v>
      </c>
      <c r="AX1126" t="s">
        <v>66</v>
      </c>
      <c r="AY1126" t="s">
        <v>76</v>
      </c>
    </row>
    <row r="1127" spans="1:51" hidden="1" x14ac:dyDescent="0.25">
      <c r="A1127">
        <v>203309</v>
      </c>
      <c r="B1127" t="s">
        <v>4283</v>
      </c>
      <c r="C1127" t="e">
        <f>VLOOKUP(A1127,[1]Customer_payment_journal_line!$AL:$BO,30,0)</f>
        <v>#N/A</v>
      </c>
      <c r="D1127" t="s">
        <v>76</v>
      </c>
      <c r="E1127" t="s">
        <v>4279</v>
      </c>
      <c r="F1127" t="s">
        <v>4280</v>
      </c>
      <c r="G1127" t="s">
        <v>4126</v>
      </c>
      <c r="H1127" t="s">
        <v>69</v>
      </c>
      <c r="I1127" t="s">
        <v>4284</v>
      </c>
      <c r="J1127" t="s">
        <v>4281</v>
      </c>
      <c r="K1127" t="s">
        <v>4282</v>
      </c>
      <c r="L1127" t="s">
        <v>52</v>
      </c>
      <c r="M1127">
        <v>0</v>
      </c>
      <c r="N1127">
        <v>855</v>
      </c>
      <c r="O1127" t="s">
        <v>61</v>
      </c>
      <c r="P1127">
        <v>100</v>
      </c>
      <c r="Q1127" t="s">
        <v>52</v>
      </c>
      <c r="R1127" t="s">
        <v>52</v>
      </c>
      <c r="S1127" t="s">
        <v>52</v>
      </c>
      <c r="T1127" t="s">
        <v>52</v>
      </c>
      <c r="U1127" t="s">
        <v>52</v>
      </c>
      <c r="V1127" t="s">
        <v>62</v>
      </c>
      <c r="W1127" t="s">
        <v>52</v>
      </c>
      <c r="Y1127" t="s">
        <v>4285</v>
      </c>
      <c r="Z1127" t="s">
        <v>62</v>
      </c>
      <c r="AB1127" t="s">
        <v>4286</v>
      </c>
      <c r="AE1127" t="s">
        <v>4287</v>
      </c>
      <c r="AF1127" t="s">
        <v>52</v>
      </c>
      <c r="AH1127">
        <v>0</v>
      </c>
      <c r="AI1127">
        <v>0</v>
      </c>
      <c r="AJ1127" t="s">
        <v>52</v>
      </c>
      <c r="AK1127">
        <v>0</v>
      </c>
      <c r="AL1127" t="s">
        <v>52</v>
      </c>
      <c r="AM1127" t="s">
        <v>52</v>
      </c>
      <c r="AN1127">
        <v>0</v>
      </c>
      <c r="AO1127">
        <v>0</v>
      </c>
      <c r="AP1127" t="s">
        <v>52</v>
      </c>
      <c r="AQ1127" t="s">
        <v>52</v>
      </c>
      <c r="AR1127" t="s">
        <v>62</v>
      </c>
      <c r="AS1127" t="s">
        <v>52</v>
      </c>
      <c r="AT1127" t="s">
        <v>74</v>
      </c>
      <c r="AU1127" t="s">
        <v>64</v>
      </c>
      <c r="AV1127" t="s">
        <v>62</v>
      </c>
      <c r="AW1127" t="s">
        <v>65</v>
      </c>
      <c r="AX1127" t="s">
        <v>66</v>
      </c>
      <c r="AY1127" t="s">
        <v>76</v>
      </c>
    </row>
    <row r="1128" spans="1:51" hidden="1" x14ac:dyDescent="0.25">
      <c r="A1128">
        <v>203310</v>
      </c>
      <c r="B1128" t="s">
        <v>4288</v>
      </c>
      <c r="C1128" t="e">
        <f>VLOOKUP(A1128,[1]Customer_payment_journal_line!$AL:$BO,30,0)</f>
        <v>#N/A</v>
      </c>
      <c r="D1128" t="s">
        <v>76</v>
      </c>
      <c r="E1128" t="s">
        <v>4289</v>
      </c>
      <c r="F1128" t="s">
        <v>4290</v>
      </c>
      <c r="G1128" t="s">
        <v>4126</v>
      </c>
      <c r="H1128" t="s">
        <v>80</v>
      </c>
      <c r="I1128" t="s">
        <v>81</v>
      </c>
      <c r="J1128" t="s">
        <v>4281</v>
      </c>
      <c r="K1128" t="s">
        <v>4282</v>
      </c>
      <c r="L1128" t="s">
        <v>52</v>
      </c>
      <c r="M1128">
        <v>855</v>
      </c>
      <c r="N1128">
        <v>0</v>
      </c>
      <c r="O1128" t="s">
        <v>61</v>
      </c>
      <c r="P1128">
        <v>100</v>
      </c>
      <c r="Q1128" t="s">
        <v>52</v>
      </c>
      <c r="R1128" t="s">
        <v>52</v>
      </c>
      <c r="S1128" t="s">
        <v>52</v>
      </c>
      <c r="T1128" t="s">
        <v>52</v>
      </c>
      <c r="U1128" t="s">
        <v>52</v>
      </c>
      <c r="V1128" t="s">
        <v>62</v>
      </c>
      <c r="W1128" t="s">
        <v>52</v>
      </c>
      <c r="Y1128" t="s">
        <v>52</v>
      </c>
      <c r="AB1128" t="s">
        <v>52</v>
      </c>
      <c r="AE1128" t="s">
        <v>52</v>
      </c>
      <c r="AF1128" t="s">
        <v>52</v>
      </c>
      <c r="AH1128">
        <v>0</v>
      </c>
      <c r="AI1128">
        <v>0</v>
      </c>
      <c r="AJ1128" t="s">
        <v>52</v>
      </c>
      <c r="AK1128">
        <v>0</v>
      </c>
      <c r="AL1128" t="s">
        <v>52</v>
      </c>
      <c r="AM1128" t="s">
        <v>52</v>
      </c>
      <c r="AN1128">
        <v>0</v>
      </c>
      <c r="AO1128">
        <v>0</v>
      </c>
      <c r="AP1128" t="s">
        <v>52</v>
      </c>
      <c r="AQ1128" t="s">
        <v>52</v>
      </c>
      <c r="AR1128" t="s">
        <v>62</v>
      </c>
      <c r="AS1128" t="s">
        <v>52</v>
      </c>
      <c r="AT1128" t="s">
        <v>52</v>
      </c>
      <c r="AU1128" t="s">
        <v>64</v>
      </c>
      <c r="AV1128" t="s">
        <v>62</v>
      </c>
      <c r="AW1128" t="s">
        <v>65</v>
      </c>
      <c r="AX1128" t="s">
        <v>66</v>
      </c>
      <c r="AY1128" t="s">
        <v>76</v>
      </c>
    </row>
    <row r="1129" spans="1:51" hidden="1" x14ac:dyDescent="0.25">
      <c r="A1129">
        <v>203310</v>
      </c>
      <c r="B1129" t="s">
        <v>4291</v>
      </c>
      <c r="C1129" t="e">
        <f>VLOOKUP(A1129,[1]Customer_payment_journal_line!$AL:$BO,30,0)</f>
        <v>#N/A</v>
      </c>
      <c r="D1129" t="s">
        <v>76</v>
      </c>
      <c r="E1129" t="s">
        <v>4289</v>
      </c>
      <c r="F1129" t="s">
        <v>4290</v>
      </c>
      <c r="G1129" t="s">
        <v>4126</v>
      </c>
      <c r="H1129" t="s">
        <v>69</v>
      </c>
      <c r="I1129" t="s">
        <v>4284</v>
      </c>
      <c r="J1129" t="s">
        <v>4281</v>
      </c>
      <c r="K1129" t="s">
        <v>4282</v>
      </c>
      <c r="L1129" t="s">
        <v>52</v>
      </c>
      <c r="M1129">
        <v>0</v>
      </c>
      <c r="N1129">
        <v>855</v>
      </c>
      <c r="O1129" t="s">
        <v>61</v>
      </c>
      <c r="P1129">
        <v>100</v>
      </c>
      <c r="Q1129" t="s">
        <v>52</v>
      </c>
      <c r="R1129" t="s">
        <v>52</v>
      </c>
      <c r="S1129" t="s">
        <v>52</v>
      </c>
      <c r="T1129" t="s">
        <v>52</v>
      </c>
      <c r="U1129" t="s">
        <v>52</v>
      </c>
      <c r="V1129" t="s">
        <v>62</v>
      </c>
      <c r="W1129" t="s">
        <v>52</v>
      </c>
      <c r="Y1129" t="s">
        <v>4285</v>
      </c>
      <c r="Z1129" t="s">
        <v>62</v>
      </c>
      <c r="AB1129" t="s">
        <v>4292</v>
      </c>
      <c r="AE1129" t="s">
        <v>4293</v>
      </c>
      <c r="AF1129" t="s">
        <v>52</v>
      </c>
      <c r="AH1129">
        <v>0</v>
      </c>
      <c r="AI1129">
        <v>0</v>
      </c>
      <c r="AJ1129" t="s">
        <v>52</v>
      </c>
      <c r="AK1129">
        <v>0</v>
      </c>
      <c r="AL1129" t="s">
        <v>52</v>
      </c>
      <c r="AM1129" t="s">
        <v>52</v>
      </c>
      <c r="AN1129">
        <v>0</v>
      </c>
      <c r="AO1129">
        <v>0</v>
      </c>
      <c r="AP1129" t="s">
        <v>52</v>
      </c>
      <c r="AQ1129" t="s">
        <v>52</v>
      </c>
      <c r="AR1129" t="s">
        <v>62</v>
      </c>
      <c r="AS1129" t="s">
        <v>52</v>
      </c>
      <c r="AT1129" t="s">
        <v>74</v>
      </c>
      <c r="AU1129" t="s">
        <v>64</v>
      </c>
      <c r="AV1129" t="s">
        <v>62</v>
      </c>
      <c r="AW1129" t="s">
        <v>65</v>
      </c>
      <c r="AX1129" t="s">
        <v>66</v>
      </c>
      <c r="AY1129" t="s">
        <v>76</v>
      </c>
    </row>
    <row r="1130" spans="1:51" hidden="1" x14ac:dyDescent="0.25">
      <c r="A1130">
        <v>402446</v>
      </c>
      <c r="B1130" t="s">
        <v>4294</v>
      </c>
      <c r="C1130" t="e">
        <f>VLOOKUP(A1130,[1]Customer_payment_journal_line!$AL:$BO,30,0)</f>
        <v>#N/A</v>
      </c>
      <c r="D1130" t="s">
        <v>76</v>
      </c>
      <c r="E1130" t="s">
        <v>4295</v>
      </c>
      <c r="F1130" t="s">
        <v>4296</v>
      </c>
      <c r="G1130" t="s">
        <v>4126</v>
      </c>
      <c r="H1130" t="s">
        <v>80</v>
      </c>
      <c r="I1130" t="s">
        <v>81</v>
      </c>
      <c r="J1130" t="s">
        <v>4172</v>
      </c>
      <c r="K1130" t="s">
        <v>4173</v>
      </c>
      <c r="L1130" t="s">
        <v>52</v>
      </c>
      <c r="M1130">
        <v>3727.8</v>
      </c>
      <c r="N1130">
        <v>0</v>
      </c>
      <c r="O1130" t="s">
        <v>61</v>
      </c>
      <c r="P1130">
        <v>100</v>
      </c>
      <c r="Q1130" t="s">
        <v>52</v>
      </c>
      <c r="R1130" t="s">
        <v>52</v>
      </c>
      <c r="S1130" t="s">
        <v>52</v>
      </c>
      <c r="T1130" t="s">
        <v>52</v>
      </c>
      <c r="U1130" t="s">
        <v>52</v>
      </c>
      <c r="V1130" t="s">
        <v>62</v>
      </c>
      <c r="W1130" t="s">
        <v>52</v>
      </c>
      <c r="Y1130" t="s">
        <v>52</v>
      </c>
      <c r="AB1130" t="s">
        <v>52</v>
      </c>
      <c r="AE1130" t="s">
        <v>52</v>
      </c>
      <c r="AF1130" t="s">
        <v>52</v>
      </c>
      <c r="AH1130">
        <v>0</v>
      </c>
      <c r="AI1130">
        <v>0</v>
      </c>
      <c r="AJ1130" t="s">
        <v>52</v>
      </c>
      <c r="AK1130">
        <v>0</v>
      </c>
      <c r="AL1130" t="s">
        <v>52</v>
      </c>
      <c r="AM1130" t="s">
        <v>52</v>
      </c>
      <c r="AN1130">
        <v>0</v>
      </c>
      <c r="AO1130">
        <v>0</v>
      </c>
      <c r="AP1130" t="s">
        <v>52</v>
      </c>
      <c r="AQ1130" t="s">
        <v>52</v>
      </c>
      <c r="AR1130" t="s">
        <v>62</v>
      </c>
      <c r="AS1130" t="s">
        <v>52</v>
      </c>
      <c r="AT1130" t="s">
        <v>52</v>
      </c>
      <c r="AU1130" t="s">
        <v>64</v>
      </c>
      <c r="AV1130" t="s">
        <v>62</v>
      </c>
      <c r="AW1130" t="s">
        <v>65</v>
      </c>
      <c r="AX1130" t="s">
        <v>66</v>
      </c>
      <c r="AY1130" t="s">
        <v>76</v>
      </c>
    </row>
    <row r="1131" spans="1:51" hidden="1" x14ac:dyDescent="0.25">
      <c r="A1131">
        <v>402446</v>
      </c>
      <c r="B1131" t="s">
        <v>4297</v>
      </c>
      <c r="C1131" t="e">
        <f>VLOOKUP(A1131,[1]Customer_payment_journal_line!$AL:$BO,30,0)</f>
        <v>#N/A</v>
      </c>
      <c r="D1131" t="s">
        <v>76</v>
      </c>
      <c r="E1131" t="s">
        <v>4295</v>
      </c>
      <c r="F1131" t="s">
        <v>4296</v>
      </c>
      <c r="G1131" t="s">
        <v>4126</v>
      </c>
      <c r="H1131" t="s">
        <v>69</v>
      </c>
      <c r="I1131" t="s">
        <v>395</v>
      </c>
      <c r="J1131" t="s">
        <v>4172</v>
      </c>
      <c r="K1131" t="s">
        <v>4173</v>
      </c>
      <c r="L1131" t="s">
        <v>52</v>
      </c>
      <c r="M1131">
        <v>0</v>
      </c>
      <c r="N1131">
        <v>3727.8</v>
      </c>
      <c r="O1131" t="s">
        <v>61</v>
      </c>
      <c r="P1131">
        <v>100</v>
      </c>
      <c r="Q1131" t="s">
        <v>52</v>
      </c>
      <c r="R1131" t="s">
        <v>52</v>
      </c>
      <c r="S1131" t="s">
        <v>52</v>
      </c>
      <c r="T1131" t="s">
        <v>52</v>
      </c>
      <c r="U1131" t="s">
        <v>52</v>
      </c>
      <c r="V1131" t="s">
        <v>62</v>
      </c>
      <c r="W1131" t="s">
        <v>52</v>
      </c>
      <c r="Y1131" t="s">
        <v>396</v>
      </c>
      <c r="Z1131" t="s">
        <v>62</v>
      </c>
      <c r="AB1131" t="s">
        <v>4298</v>
      </c>
      <c r="AE1131" t="s">
        <v>4299</v>
      </c>
      <c r="AF1131" t="s">
        <v>52</v>
      </c>
      <c r="AH1131">
        <v>0</v>
      </c>
      <c r="AI1131">
        <v>0</v>
      </c>
      <c r="AJ1131" t="s">
        <v>52</v>
      </c>
      <c r="AK1131">
        <v>0</v>
      </c>
      <c r="AL1131" t="s">
        <v>52</v>
      </c>
      <c r="AM1131" t="s">
        <v>52</v>
      </c>
      <c r="AN1131">
        <v>0</v>
      </c>
      <c r="AO1131">
        <v>0</v>
      </c>
      <c r="AP1131" t="s">
        <v>52</v>
      </c>
      <c r="AQ1131" t="s">
        <v>52</v>
      </c>
      <c r="AR1131" t="s">
        <v>62</v>
      </c>
      <c r="AS1131" t="s">
        <v>52</v>
      </c>
      <c r="AT1131" t="s">
        <v>74</v>
      </c>
      <c r="AU1131" t="s">
        <v>64</v>
      </c>
      <c r="AV1131" t="s">
        <v>62</v>
      </c>
      <c r="AW1131" t="s">
        <v>65</v>
      </c>
      <c r="AX1131" t="s">
        <v>66</v>
      </c>
      <c r="AY1131" t="s">
        <v>76</v>
      </c>
    </row>
    <row r="1132" spans="1:51" hidden="1" x14ac:dyDescent="0.25">
      <c r="A1132">
        <v>406076</v>
      </c>
      <c r="B1132" t="s">
        <v>4300</v>
      </c>
      <c r="C1132" t="e">
        <f>VLOOKUP(A1132,[1]Customer_payment_journal_line!$AL:$BO,30,0)</f>
        <v>#N/A</v>
      </c>
      <c r="D1132" t="s">
        <v>76</v>
      </c>
      <c r="E1132" t="s">
        <v>4301</v>
      </c>
      <c r="F1132" t="s">
        <v>4302</v>
      </c>
      <c r="G1132" t="s">
        <v>4126</v>
      </c>
      <c r="H1132" t="s">
        <v>80</v>
      </c>
      <c r="I1132" t="s">
        <v>81</v>
      </c>
      <c r="J1132" t="s">
        <v>336</v>
      </c>
      <c r="K1132" t="s">
        <v>4303</v>
      </c>
      <c r="L1132" t="s">
        <v>52</v>
      </c>
      <c r="M1132">
        <v>3078</v>
      </c>
      <c r="N1132">
        <v>0</v>
      </c>
      <c r="O1132" t="s">
        <v>61</v>
      </c>
      <c r="P1132">
        <v>100</v>
      </c>
      <c r="Q1132" t="s">
        <v>52</v>
      </c>
      <c r="R1132" t="s">
        <v>52</v>
      </c>
      <c r="S1132" t="s">
        <v>52</v>
      </c>
      <c r="T1132" t="s">
        <v>52</v>
      </c>
      <c r="U1132" t="s">
        <v>52</v>
      </c>
      <c r="V1132" t="s">
        <v>62</v>
      </c>
      <c r="W1132" t="s">
        <v>52</v>
      </c>
      <c r="Y1132" t="s">
        <v>52</v>
      </c>
      <c r="AB1132" t="s">
        <v>52</v>
      </c>
      <c r="AE1132" t="s">
        <v>52</v>
      </c>
      <c r="AF1132" t="s">
        <v>52</v>
      </c>
      <c r="AH1132">
        <v>0</v>
      </c>
      <c r="AI1132">
        <v>0</v>
      </c>
      <c r="AJ1132" t="s">
        <v>52</v>
      </c>
      <c r="AK1132">
        <v>0</v>
      </c>
      <c r="AL1132" t="s">
        <v>52</v>
      </c>
      <c r="AM1132" t="s">
        <v>52</v>
      </c>
      <c r="AN1132">
        <v>0</v>
      </c>
      <c r="AO1132">
        <v>0</v>
      </c>
      <c r="AP1132" t="s">
        <v>52</v>
      </c>
      <c r="AQ1132" t="s">
        <v>52</v>
      </c>
      <c r="AR1132" t="s">
        <v>62</v>
      </c>
      <c r="AS1132" t="s">
        <v>52</v>
      </c>
      <c r="AT1132" t="s">
        <v>52</v>
      </c>
      <c r="AU1132" t="s">
        <v>64</v>
      </c>
      <c r="AV1132" t="s">
        <v>62</v>
      </c>
      <c r="AW1132" t="s">
        <v>65</v>
      </c>
      <c r="AX1132" t="s">
        <v>66</v>
      </c>
      <c r="AY1132" t="s">
        <v>76</v>
      </c>
    </row>
    <row r="1133" spans="1:51" hidden="1" x14ac:dyDescent="0.25">
      <c r="A1133">
        <v>406076</v>
      </c>
      <c r="B1133" t="s">
        <v>4304</v>
      </c>
      <c r="C1133" t="e">
        <f>VLOOKUP(A1133,[1]Customer_payment_journal_line!$AL:$BO,30,0)</f>
        <v>#N/A</v>
      </c>
      <c r="D1133" t="s">
        <v>76</v>
      </c>
      <c r="E1133" t="s">
        <v>4301</v>
      </c>
      <c r="F1133" t="s">
        <v>4302</v>
      </c>
      <c r="G1133" t="s">
        <v>4126</v>
      </c>
      <c r="H1133" t="s">
        <v>69</v>
      </c>
      <c r="I1133" t="s">
        <v>339</v>
      </c>
      <c r="J1133" t="s">
        <v>2525</v>
      </c>
      <c r="K1133" t="s">
        <v>4303</v>
      </c>
      <c r="L1133" t="s">
        <v>52</v>
      </c>
      <c r="M1133">
        <v>0</v>
      </c>
      <c r="N1133">
        <v>855</v>
      </c>
      <c r="O1133" t="s">
        <v>61</v>
      </c>
      <c r="P1133">
        <v>100</v>
      </c>
      <c r="Q1133" t="s">
        <v>52</v>
      </c>
      <c r="R1133" t="s">
        <v>52</v>
      </c>
      <c r="S1133" t="s">
        <v>52</v>
      </c>
      <c r="T1133" t="s">
        <v>52</v>
      </c>
      <c r="U1133" t="s">
        <v>52</v>
      </c>
      <c r="V1133" t="s">
        <v>62</v>
      </c>
      <c r="W1133" t="s">
        <v>52</v>
      </c>
      <c r="Y1133" t="s">
        <v>340</v>
      </c>
      <c r="Z1133" t="s">
        <v>62</v>
      </c>
      <c r="AB1133" t="s">
        <v>4305</v>
      </c>
      <c r="AE1133" t="s">
        <v>4306</v>
      </c>
      <c r="AF1133" t="s">
        <v>52</v>
      </c>
      <c r="AH1133">
        <v>0</v>
      </c>
      <c r="AI1133">
        <v>0</v>
      </c>
      <c r="AJ1133" t="s">
        <v>52</v>
      </c>
      <c r="AK1133">
        <v>0</v>
      </c>
      <c r="AL1133" t="s">
        <v>52</v>
      </c>
      <c r="AM1133" t="s">
        <v>52</v>
      </c>
      <c r="AN1133">
        <v>0</v>
      </c>
      <c r="AO1133">
        <v>0</v>
      </c>
      <c r="AP1133" t="s">
        <v>52</v>
      </c>
      <c r="AQ1133" t="s">
        <v>52</v>
      </c>
      <c r="AR1133" t="s">
        <v>62</v>
      </c>
      <c r="AS1133" t="s">
        <v>52</v>
      </c>
      <c r="AT1133" t="s">
        <v>74</v>
      </c>
      <c r="AU1133" t="s">
        <v>64</v>
      </c>
      <c r="AV1133" t="s">
        <v>62</v>
      </c>
      <c r="AW1133" t="s">
        <v>65</v>
      </c>
      <c r="AX1133" t="s">
        <v>66</v>
      </c>
      <c r="AY1133" t="s">
        <v>76</v>
      </c>
    </row>
    <row r="1134" spans="1:51" hidden="1" x14ac:dyDescent="0.25">
      <c r="A1134">
        <v>406076</v>
      </c>
      <c r="B1134" t="s">
        <v>4307</v>
      </c>
      <c r="C1134" t="e">
        <f>VLOOKUP(A1134,[1]Customer_payment_journal_line!$AL:$BO,30,0)</f>
        <v>#N/A</v>
      </c>
      <c r="D1134" t="s">
        <v>76</v>
      </c>
      <c r="E1134" t="s">
        <v>4301</v>
      </c>
      <c r="F1134" t="s">
        <v>4302</v>
      </c>
      <c r="G1134" t="s">
        <v>4126</v>
      </c>
      <c r="H1134" t="s">
        <v>69</v>
      </c>
      <c r="I1134" t="s">
        <v>339</v>
      </c>
      <c r="J1134" t="s">
        <v>2525</v>
      </c>
      <c r="K1134" t="s">
        <v>4303</v>
      </c>
      <c r="L1134" t="s">
        <v>52</v>
      </c>
      <c r="M1134">
        <v>0</v>
      </c>
      <c r="N1134">
        <v>570</v>
      </c>
      <c r="O1134" t="s">
        <v>61</v>
      </c>
      <c r="P1134">
        <v>100</v>
      </c>
      <c r="Q1134" t="s">
        <v>52</v>
      </c>
      <c r="R1134" t="s">
        <v>52</v>
      </c>
      <c r="S1134" t="s">
        <v>52</v>
      </c>
      <c r="T1134" t="s">
        <v>52</v>
      </c>
      <c r="U1134" t="s">
        <v>52</v>
      </c>
      <c r="V1134" t="s">
        <v>62</v>
      </c>
      <c r="W1134" t="s">
        <v>52</v>
      </c>
      <c r="Y1134" t="s">
        <v>340</v>
      </c>
      <c r="Z1134" t="s">
        <v>62</v>
      </c>
      <c r="AB1134" t="s">
        <v>4308</v>
      </c>
      <c r="AE1134" t="s">
        <v>4309</v>
      </c>
      <c r="AF1134" t="s">
        <v>52</v>
      </c>
      <c r="AH1134">
        <v>0</v>
      </c>
      <c r="AI1134">
        <v>0</v>
      </c>
      <c r="AJ1134" t="s">
        <v>52</v>
      </c>
      <c r="AK1134">
        <v>0</v>
      </c>
      <c r="AL1134" t="s">
        <v>52</v>
      </c>
      <c r="AM1134" t="s">
        <v>52</v>
      </c>
      <c r="AN1134">
        <v>0</v>
      </c>
      <c r="AO1134">
        <v>0</v>
      </c>
      <c r="AP1134" t="s">
        <v>52</v>
      </c>
      <c r="AQ1134" t="s">
        <v>52</v>
      </c>
      <c r="AR1134" t="s">
        <v>62</v>
      </c>
      <c r="AS1134" t="s">
        <v>52</v>
      </c>
      <c r="AT1134" t="s">
        <v>74</v>
      </c>
      <c r="AU1134" t="s">
        <v>64</v>
      </c>
      <c r="AV1134" t="s">
        <v>62</v>
      </c>
      <c r="AW1134" t="s">
        <v>65</v>
      </c>
      <c r="AX1134" t="s">
        <v>66</v>
      </c>
      <c r="AY1134" t="s">
        <v>76</v>
      </c>
    </row>
    <row r="1135" spans="1:51" hidden="1" x14ac:dyDescent="0.25">
      <c r="A1135">
        <v>406076</v>
      </c>
      <c r="B1135" t="s">
        <v>4310</v>
      </c>
      <c r="C1135" t="e">
        <f>VLOOKUP(A1135,[1]Customer_payment_journal_line!$AL:$BO,30,0)</f>
        <v>#N/A</v>
      </c>
      <c r="D1135" t="s">
        <v>76</v>
      </c>
      <c r="E1135" t="s">
        <v>4301</v>
      </c>
      <c r="F1135" t="s">
        <v>4302</v>
      </c>
      <c r="G1135" t="s">
        <v>4126</v>
      </c>
      <c r="H1135" t="s">
        <v>69</v>
      </c>
      <c r="I1135" t="s">
        <v>339</v>
      </c>
      <c r="J1135" t="s">
        <v>336</v>
      </c>
      <c r="K1135" t="s">
        <v>4303</v>
      </c>
      <c r="L1135" t="s">
        <v>52</v>
      </c>
      <c r="M1135">
        <v>0</v>
      </c>
      <c r="N1135">
        <v>855</v>
      </c>
      <c r="O1135" t="s">
        <v>61</v>
      </c>
      <c r="P1135">
        <v>100</v>
      </c>
      <c r="Q1135" t="s">
        <v>52</v>
      </c>
      <c r="R1135" t="s">
        <v>52</v>
      </c>
      <c r="S1135" t="s">
        <v>52</v>
      </c>
      <c r="T1135" t="s">
        <v>52</v>
      </c>
      <c r="U1135" t="s">
        <v>52</v>
      </c>
      <c r="V1135" t="s">
        <v>62</v>
      </c>
      <c r="W1135" t="s">
        <v>52</v>
      </c>
      <c r="Y1135" t="s">
        <v>340</v>
      </c>
      <c r="Z1135" t="s">
        <v>62</v>
      </c>
      <c r="AB1135" t="s">
        <v>4311</v>
      </c>
      <c r="AE1135" t="s">
        <v>4312</v>
      </c>
      <c r="AF1135" t="s">
        <v>52</v>
      </c>
      <c r="AH1135">
        <v>0</v>
      </c>
      <c r="AI1135">
        <v>0</v>
      </c>
      <c r="AJ1135" t="s">
        <v>52</v>
      </c>
      <c r="AK1135">
        <v>0</v>
      </c>
      <c r="AL1135" t="s">
        <v>52</v>
      </c>
      <c r="AM1135" t="s">
        <v>52</v>
      </c>
      <c r="AN1135">
        <v>0</v>
      </c>
      <c r="AO1135">
        <v>0</v>
      </c>
      <c r="AP1135" t="s">
        <v>52</v>
      </c>
      <c r="AQ1135" t="s">
        <v>52</v>
      </c>
      <c r="AR1135" t="s">
        <v>62</v>
      </c>
      <c r="AS1135" t="s">
        <v>52</v>
      </c>
      <c r="AT1135" t="s">
        <v>74</v>
      </c>
      <c r="AU1135" t="s">
        <v>64</v>
      </c>
      <c r="AV1135" t="s">
        <v>62</v>
      </c>
      <c r="AW1135" t="s">
        <v>65</v>
      </c>
      <c r="AX1135" t="s">
        <v>66</v>
      </c>
      <c r="AY1135" t="s">
        <v>76</v>
      </c>
    </row>
    <row r="1136" spans="1:51" hidden="1" x14ac:dyDescent="0.25">
      <c r="A1136">
        <v>406076</v>
      </c>
      <c r="B1136" t="s">
        <v>4313</v>
      </c>
      <c r="C1136" t="e">
        <f>VLOOKUP(A1136,[1]Customer_payment_journal_line!$AL:$BO,30,0)</f>
        <v>#N/A</v>
      </c>
      <c r="D1136" t="s">
        <v>76</v>
      </c>
      <c r="E1136" t="s">
        <v>4301</v>
      </c>
      <c r="F1136" t="s">
        <v>4302</v>
      </c>
      <c r="G1136" t="s">
        <v>4126</v>
      </c>
      <c r="H1136" t="s">
        <v>69</v>
      </c>
      <c r="I1136" t="s">
        <v>339</v>
      </c>
      <c r="J1136" t="s">
        <v>336</v>
      </c>
      <c r="K1136" t="s">
        <v>4303</v>
      </c>
      <c r="L1136" t="s">
        <v>52</v>
      </c>
      <c r="M1136">
        <v>0</v>
      </c>
      <c r="N1136">
        <v>798</v>
      </c>
      <c r="O1136" t="s">
        <v>61</v>
      </c>
      <c r="P1136">
        <v>100</v>
      </c>
      <c r="Q1136" t="s">
        <v>52</v>
      </c>
      <c r="R1136" t="s">
        <v>52</v>
      </c>
      <c r="S1136" t="s">
        <v>52</v>
      </c>
      <c r="T1136" t="s">
        <v>52</v>
      </c>
      <c r="U1136" t="s">
        <v>52</v>
      </c>
      <c r="V1136" t="s">
        <v>62</v>
      </c>
      <c r="W1136" t="s">
        <v>52</v>
      </c>
      <c r="Y1136" t="s">
        <v>340</v>
      </c>
      <c r="Z1136" t="s">
        <v>62</v>
      </c>
      <c r="AB1136" t="s">
        <v>4314</v>
      </c>
      <c r="AE1136" t="s">
        <v>4315</v>
      </c>
      <c r="AF1136" t="s">
        <v>52</v>
      </c>
      <c r="AH1136">
        <v>0</v>
      </c>
      <c r="AI1136">
        <v>0</v>
      </c>
      <c r="AJ1136" t="s">
        <v>52</v>
      </c>
      <c r="AK1136">
        <v>0</v>
      </c>
      <c r="AL1136" t="s">
        <v>52</v>
      </c>
      <c r="AM1136" t="s">
        <v>52</v>
      </c>
      <c r="AN1136">
        <v>0</v>
      </c>
      <c r="AO1136">
        <v>0</v>
      </c>
      <c r="AP1136" t="s">
        <v>52</v>
      </c>
      <c r="AQ1136" t="s">
        <v>52</v>
      </c>
      <c r="AR1136" t="s">
        <v>62</v>
      </c>
      <c r="AS1136" t="s">
        <v>52</v>
      </c>
      <c r="AT1136" t="s">
        <v>74</v>
      </c>
      <c r="AU1136" t="s">
        <v>64</v>
      </c>
      <c r="AV1136" t="s">
        <v>62</v>
      </c>
      <c r="AW1136" t="s">
        <v>65</v>
      </c>
      <c r="AX1136" t="s">
        <v>66</v>
      </c>
      <c r="AY1136" t="s">
        <v>76</v>
      </c>
    </row>
    <row r="1137" spans="1:51" hidden="1" x14ac:dyDescent="0.25">
      <c r="A1137">
        <v>406082</v>
      </c>
      <c r="B1137" t="s">
        <v>4316</v>
      </c>
      <c r="C1137" t="e">
        <f>VLOOKUP(A1137,[1]Customer_payment_journal_line!$AL:$BO,30,0)</f>
        <v>#N/A</v>
      </c>
      <c r="D1137" t="s">
        <v>159</v>
      </c>
      <c r="E1137" t="s">
        <v>4317</v>
      </c>
      <c r="F1137" t="s">
        <v>4318</v>
      </c>
      <c r="G1137" t="s">
        <v>4126</v>
      </c>
      <c r="H1137" t="s">
        <v>80</v>
      </c>
      <c r="I1137" t="s">
        <v>177</v>
      </c>
      <c r="J1137" t="s">
        <v>3639</v>
      </c>
      <c r="K1137" t="s">
        <v>4319</v>
      </c>
      <c r="L1137" t="s">
        <v>52</v>
      </c>
      <c r="M1137">
        <v>1700</v>
      </c>
      <c r="N1137">
        <v>0</v>
      </c>
      <c r="O1137" t="s">
        <v>178</v>
      </c>
      <c r="P1137">
        <v>5085</v>
      </c>
      <c r="Q1137" t="s">
        <v>52</v>
      </c>
      <c r="R1137" t="s">
        <v>52</v>
      </c>
      <c r="S1137" t="s">
        <v>52</v>
      </c>
      <c r="T1137" t="s">
        <v>52</v>
      </c>
      <c r="U1137" t="s">
        <v>52</v>
      </c>
      <c r="V1137" t="s">
        <v>62</v>
      </c>
      <c r="W1137" t="s">
        <v>52</v>
      </c>
      <c r="Y1137" t="s">
        <v>52</v>
      </c>
      <c r="AB1137" t="s">
        <v>52</v>
      </c>
      <c r="AE1137" t="s">
        <v>52</v>
      </c>
      <c r="AF1137" t="s">
        <v>52</v>
      </c>
      <c r="AH1137">
        <v>0</v>
      </c>
      <c r="AI1137">
        <v>0</v>
      </c>
      <c r="AJ1137" t="s">
        <v>52</v>
      </c>
      <c r="AK1137">
        <v>0</v>
      </c>
      <c r="AL1137" t="s">
        <v>52</v>
      </c>
      <c r="AM1137" t="s">
        <v>52</v>
      </c>
      <c r="AN1137">
        <v>0</v>
      </c>
      <c r="AO1137">
        <v>0</v>
      </c>
      <c r="AP1137" t="s">
        <v>52</v>
      </c>
      <c r="AQ1137" t="s">
        <v>52</v>
      </c>
      <c r="AR1137" t="s">
        <v>62</v>
      </c>
      <c r="AS1137" t="s">
        <v>52</v>
      </c>
      <c r="AT1137" t="s">
        <v>52</v>
      </c>
      <c r="AU1137" t="s">
        <v>64</v>
      </c>
      <c r="AV1137" t="s">
        <v>62</v>
      </c>
      <c r="AW1137" t="s">
        <v>65</v>
      </c>
      <c r="AX1137" t="s">
        <v>66</v>
      </c>
      <c r="AY1137" t="s">
        <v>165</v>
      </c>
    </row>
    <row r="1138" spans="1:51" hidden="1" x14ac:dyDescent="0.25">
      <c r="A1138">
        <v>406082</v>
      </c>
      <c r="B1138" t="s">
        <v>4320</v>
      </c>
      <c r="C1138" t="e">
        <f>VLOOKUP(A1138,[1]Customer_payment_journal_line!$AL:$BO,30,0)</f>
        <v>#N/A</v>
      </c>
      <c r="D1138" t="s">
        <v>159</v>
      </c>
      <c r="E1138" t="s">
        <v>4317</v>
      </c>
      <c r="F1138" t="s">
        <v>4318</v>
      </c>
      <c r="G1138" t="s">
        <v>4126</v>
      </c>
      <c r="H1138" t="s">
        <v>69</v>
      </c>
      <c r="I1138" t="s">
        <v>3642</v>
      </c>
      <c r="J1138" t="s">
        <v>3639</v>
      </c>
      <c r="K1138" t="s">
        <v>4319</v>
      </c>
      <c r="L1138" t="s">
        <v>52</v>
      </c>
      <c r="M1138">
        <v>0</v>
      </c>
      <c r="N1138">
        <v>1700</v>
      </c>
      <c r="O1138" t="s">
        <v>178</v>
      </c>
      <c r="P1138">
        <v>5085</v>
      </c>
      <c r="Q1138" t="s">
        <v>52</v>
      </c>
      <c r="R1138" t="s">
        <v>52</v>
      </c>
      <c r="S1138" t="s">
        <v>52</v>
      </c>
      <c r="T1138" t="s">
        <v>52</v>
      </c>
      <c r="U1138" t="s">
        <v>52</v>
      </c>
      <c r="V1138" t="s">
        <v>62</v>
      </c>
      <c r="W1138" t="s">
        <v>52</v>
      </c>
      <c r="Y1138" t="s">
        <v>3643</v>
      </c>
      <c r="Z1138" t="s">
        <v>62</v>
      </c>
      <c r="AB1138" t="s">
        <v>4321</v>
      </c>
      <c r="AE1138" t="s">
        <v>4322</v>
      </c>
      <c r="AF1138" t="s">
        <v>52</v>
      </c>
      <c r="AH1138">
        <v>0</v>
      </c>
      <c r="AI1138">
        <v>0</v>
      </c>
      <c r="AJ1138" t="s">
        <v>52</v>
      </c>
      <c r="AK1138">
        <v>0</v>
      </c>
      <c r="AL1138" t="s">
        <v>52</v>
      </c>
      <c r="AM1138" t="s">
        <v>52</v>
      </c>
      <c r="AN1138">
        <v>0</v>
      </c>
      <c r="AO1138">
        <v>0</v>
      </c>
      <c r="AP1138" t="s">
        <v>52</v>
      </c>
      <c r="AQ1138" t="s">
        <v>52</v>
      </c>
      <c r="AR1138" t="s">
        <v>62</v>
      </c>
      <c r="AS1138" t="s">
        <v>52</v>
      </c>
      <c r="AT1138" t="s">
        <v>74</v>
      </c>
      <c r="AU1138" t="s">
        <v>64</v>
      </c>
      <c r="AV1138" t="s">
        <v>62</v>
      </c>
      <c r="AW1138" t="s">
        <v>65</v>
      </c>
      <c r="AX1138" t="s">
        <v>66</v>
      </c>
      <c r="AY1138" t="s">
        <v>165</v>
      </c>
    </row>
    <row r="1139" spans="1:51" hidden="1" x14ac:dyDescent="0.25">
      <c r="A1139">
        <v>406084</v>
      </c>
      <c r="B1139" t="s">
        <v>4323</v>
      </c>
      <c r="C1139" t="e">
        <f>VLOOKUP(A1139,[1]Customer_payment_journal_line!$AL:$BO,30,0)</f>
        <v>#N/A</v>
      </c>
      <c r="D1139" t="s">
        <v>159</v>
      </c>
      <c r="E1139" t="s">
        <v>4324</v>
      </c>
      <c r="F1139" t="s">
        <v>4325</v>
      </c>
      <c r="G1139" t="s">
        <v>4126</v>
      </c>
      <c r="H1139" t="s">
        <v>80</v>
      </c>
      <c r="I1139" t="s">
        <v>177</v>
      </c>
      <c r="J1139" t="s">
        <v>4141</v>
      </c>
      <c r="K1139" t="s">
        <v>4326</v>
      </c>
      <c r="L1139" t="s">
        <v>52</v>
      </c>
      <c r="M1139">
        <v>1120</v>
      </c>
      <c r="N1139">
        <v>0</v>
      </c>
      <c r="O1139" t="s">
        <v>178</v>
      </c>
      <c r="P1139">
        <v>5085</v>
      </c>
      <c r="Q1139" t="s">
        <v>52</v>
      </c>
      <c r="R1139" t="s">
        <v>52</v>
      </c>
      <c r="S1139" t="s">
        <v>52</v>
      </c>
      <c r="T1139" t="s">
        <v>52</v>
      </c>
      <c r="U1139" t="s">
        <v>52</v>
      </c>
      <c r="V1139" t="s">
        <v>62</v>
      </c>
      <c r="W1139" t="s">
        <v>52</v>
      </c>
      <c r="Y1139" t="s">
        <v>52</v>
      </c>
      <c r="AB1139" t="s">
        <v>52</v>
      </c>
      <c r="AE1139" t="s">
        <v>52</v>
      </c>
      <c r="AF1139" t="s">
        <v>52</v>
      </c>
      <c r="AH1139">
        <v>0</v>
      </c>
      <c r="AI1139">
        <v>0</v>
      </c>
      <c r="AJ1139" t="s">
        <v>52</v>
      </c>
      <c r="AK1139">
        <v>0</v>
      </c>
      <c r="AL1139" t="s">
        <v>52</v>
      </c>
      <c r="AM1139" t="s">
        <v>52</v>
      </c>
      <c r="AN1139">
        <v>0</v>
      </c>
      <c r="AO1139">
        <v>0</v>
      </c>
      <c r="AP1139" t="s">
        <v>52</v>
      </c>
      <c r="AQ1139" t="s">
        <v>52</v>
      </c>
      <c r="AR1139" t="s">
        <v>62</v>
      </c>
      <c r="AS1139" t="s">
        <v>52</v>
      </c>
      <c r="AT1139" t="s">
        <v>52</v>
      </c>
      <c r="AU1139" t="s">
        <v>64</v>
      </c>
      <c r="AV1139" t="s">
        <v>62</v>
      </c>
      <c r="AW1139" t="s">
        <v>65</v>
      </c>
      <c r="AX1139" t="s">
        <v>66</v>
      </c>
      <c r="AY1139" t="s">
        <v>165</v>
      </c>
    </row>
    <row r="1140" spans="1:51" hidden="1" x14ac:dyDescent="0.25">
      <c r="A1140">
        <v>406084</v>
      </c>
      <c r="B1140" t="s">
        <v>4327</v>
      </c>
      <c r="C1140" t="e">
        <f>VLOOKUP(A1140,[1]Customer_payment_journal_line!$AL:$BO,30,0)</f>
        <v>#N/A</v>
      </c>
      <c r="D1140" t="s">
        <v>159</v>
      </c>
      <c r="E1140" t="s">
        <v>4324</v>
      </c>
      <c r="F1140" t="s">
        <v>4325</v>
      </c>
      <c r="G1140" t="s">
        <v>4126</v>
      </c>
      <c r="H1140" t="s">
        <v>69</v>
      </c>
      <c r="I1140" t="s">
        <v>4144</v>
      </c>
      <c r="J1140" t="s">
        <v>4141</v>
      </c>
      <c r="K1140" t="s">
        <v>4326</v>
      </c>
      <c r="L1140" t="s">
        <v>52</v>
      </c>
      <c r="M1140">
        <v>0</v>
      </c>
      <c r="N1140">
        <v>1120</v>
      </c>
      <c r="O1140" t="s">
        <v>178</v>
      </c>
      <c r="P1140">
        <v>5085</v>
      </c>
      <c r="Q1140" t="s">
        <v>52</v>
      </c>
      <c r="R1140" t="s">
        <v>52</v>
      </c>
      <c r="S1140" t="s">
        <v>52</v>
      </c>
      <c r="T1140" t="s">
        <v>52</v>
      </c>
      <c r="U1140" t="s">
        <v>52</v>
      </c>
      <c r="V1140" t="s">
        <v>62</v>
      </c>
      <c r="W1140" t="s">
        <v>52</v>
      </c>
      <c r="Y1140" t="s">
        <v>4145</v>
      </c>
      <c r="Z1140" t="s">
        <v>62</v>
      </c>
      <c r="AB1140" t="s">
        <v>4328</v>
      </c>
      <c r="AE1140" t="s">
        <v>4329</v>
      </c>
      <c r="AF1140" t="s">
        <v>52</v>
      </c>
      <c r="AH1140">
        <v>0</v>
      </c>
      <c r="AI1140">
        <v>0</v>
      </c>
      <c r="AJ1140" t="s">
        <v>52</v>
      </c>
      <c r="AK1140">
        <v>0</v>
      </c>
      <c r="AL1140" t="s">
        <v>52</v>
      </c>
      <c r="AM1140" t="s">
        <v>52</v>
      </c>
      <c r="AN1140">
        <v>0</v>
      </c>
      <c r="AO1140">
        <v>0</v>
      </c>
      <c r="AP1140" t="s">
        <v>52</v>
      </c>
      <c r="AQ1140" t="s">
        <v>52</v>
      </c>
      <c r="AR1140" t="s">
        <v>62</v>
      </c>
      <c r="AS1140" t="s">
        <v>52</v>
      </c>
      <c r="AT1140" t="s">
        <v>74</v>
      </c>
      <c r="AU1140" t="s">
        <v>64</v>
      </c>
      <c r="AV1140" t="s">
        <v>62</v>
      </c>
      <c r="AW1140" t="s">
        <v>65</v>
      </c>
      <c r="AX1140" t="s">
        <v>66</v>
      </c>
      <c r="AY1140" t="s">
        <v>165</v>
      </c>
    </row>
    <row r="1141" spans="1:51" hidden="1" x14ac:dyDescent="0.25">
      <c r="A1141">
        <v>406085</v>
      </c>
      <c r="B1141" t="s">
        <v>4330</v>
      </c>
      <c r="C1141" t="e">
        <f>VLOOKUP(A1141,[1]Customer_payment_journal_line!$AL:$BO,30,0)</f>
        <v>#N/A</v>
      </c>
      <c r="D1141" t="s">
        <v>159</v>
      </c>
      <c r="E1141" t="s">
        <v>4331</v>
      </c>
      <c r="F1141" t="s">
        <v>4332</v>
      </c>
      <c r="G1141" t="s">
        <v>4126</v>
      </c>
      <c r="H1141" t="s">
        <v>80</v>
      </c>
      <c r="I1141" t="s">
        <v>177</v>
      </c>
      <c r="J1141" t="s">
        <v>4141</v>
      </c>
      <c r="K1141" t="s">
        <v>4333</v>
      </c>
      <c r="L1141" t="s">
        <v>52</v>
      </c>
      <c r="M1141">
        <v>1120</v>
      </c>
      <c r="N1141">
        <v>0</v>
      </c>
      <c r="O1141" t="s">
        <v>178</v>
      </c>
      <c r="P1141">
        <v>5085</v>
      </c>
      <c r="Q1141" t="s">
        <v>52</v>
      </c>
      <c r="R1141" t="s">
        <v>52</v>
      </c>
      <c r="S1141" t="s">
        <v>52</v>
      </c>
      <c r="T1141" t="s">
        <v>52</v>
      </c>
      <c r="U1141" t="s">
        <v>52</v>
      </c>
      <c r="V1141" t="s">
        <v>62</v>
      </c>
      <c r="W1141" t="s">
        <v>52</v>
      </c>
      <c r="Y1141" t="s">
        <v>52</v>
      </c>
      <c r="AB1141" t="s">
        <v>52</v>
      </c>
      <c r="AE1141" t="s">
        <v>52</v>
      </c>
      <c r="AF1141" t="s">
        <v>52</v>
      </c>
      <c r="AH1141">
        <v>0</v>
      </c>
      <c r="AI1141">
        <v>0</v>
      </c>
      <c r="AJ1141" t="s">
        <v>52</v>
      </c>
      <c r="AK1141">
        <v>0</v>
      </c>
      <c r="AL1141" t="s">
        <v>52</v>
      </c>
      <c r="AM1141" t="s">
        <v>52</v>
      </c>
      <c r="AN1141">
        <v>0</v>
      </c>
      <c r="AO1141">
        <v>0</v>
      </c>
      <c r="AP1141" t="s">
        <v>52</v>
      </c>
      <c r="AQ1141" t="s">
        <v>52</v>
      </c>
      <c r="AR1141" t="s">
        <v>62</v>
      </c>
      <c r="AS1141" t="s">
        <v>52</v>
      </c>
      <c r="AT1141" t="s">
        <v>52</v>
      </c>
      <c r="AU1141" t="s">
        <v>64</v>
      </c>
      <c r="AV1141" t="s">
        <v>62</v>
      </c>
      <c r="AW1141" t="s">
        <v>65</v>
      </c>
      <c r="AX1141" t="s">
        <v>66</v>
      </c>
      <c r="AY1141" t="s">
        <v>165</v>
      </c>
    </row>
    <row r="1142" spans="1:51" hidden="1" x14ac:dyDescent="0.25">
      <c r="A1142">
        <v>406085</v>
      </c>
      <c r="B1142" t="s">
        <v>4334</v>
      </c>
      <c r="C1142" t="e">
        <f>VLOOKUP(A1142,[1]Customer_payment_journal_line!$AL:$BO,30,0)</f>
        <v>#N/A</v>
      </c>
      <c r="D1142" t="s">
        <v>159</v>
      </c>
      <c r="E1142" t="s">
        <v>4331</v>
      </c>
      <c r="F1142" t="s">
        <v>4332</v>
      </c>
      <c r="G1142" t="s">
        <v>4126</v>
      </c>
      <c r="H1142" t="s">
        <v>69</v>
      </c>
      <c r="I1142" t="s">
        <v>4144</v>
      </c>
      <c r="J1142" t="s">
        <v>4141</v>
      </c>
      <c r="K1142" t="s">
        <v>4333</v>
      </c>
      <c r="L1142" t="s">
        <v>52</v>
      </c>
      <c r="M1142">
        <v>0</v>
      </c>
      <c r="N1142">
        <v>1120</v>
      </c>
      <c r="O1142" t="s">
        <v>178</v>
      </c>
      <c r="P1142">
        <v>5085</v>
      </c>
      <c r="Q1142" t="s">
        <v>52</v>
      </c>
      <c r="R1142" t="s">
        <v>52</v>
      </c>
      <c r="S1142" t="s">
        <v>52</v>
      </c>
      <c r="T1142" t="s">
        <v>52</v>
      </c>
      <c r="U1142" t="s">
        <v>52</v>
      </c>
      <c r="V1142" t="s">
        <v>62</v>
      </c>
      <c r="W1142" t="s">
        <v>52</v>
      </c>
      <c r="Y1142" t="s">
        <v>4145</v>
      </c>
      <c r="Z1142" t="s">
        <v>62</v>
      </c>
      <c r="AB1142" t="s">
        <v>4335</v>
      </c>
      <c r="AE1142" t="s">
        <v>4336</v>
      </c>
      <c r="AF1142" t="s">
        <v>52</v>
      </c>
      <c r="AH1142">
        <v>0</v>
      </c>
      <c r="AI1142">
        <v>0</v>
      </c>
      <c r="AJ1142" t="s">
        <v>52</v>
      </c>
      <c r="AK1142">
        <v>0</v>
      </c>
      <c r="AL1142" t="s">
        <v>52</v>
      </c>
      <c r="AM1142" t="s">
        <v>52</v>
      </c>
      <c r="AN1142">
        <v>0</v>
      </c>
      <c r="AO1142">
        <v>0</v>
      </c>
      <c r="AP1142" t="s">
        <v>52</v>
      </c>
      <c r="AQ1142" t="s">
        <v>52</v>
      </c>
      <c r="AR1142" t="s">
        <v>62</v>
      </c>
      <c r="AS1142" t="s">
        <v>52</v>
      </c>
      <c r="AT1142" t="s">
        <v>74</v>
      </c>
      <c r="AU1142" t="s">
        <v>64</v>
      </c>
      <c r="AV1142" t="s">
        <v>62</v>
      </c>
      <c r="AW1142" t="s">
        <v>65</v>
      </c>
      <c r="AX1142" t="s">
        <v>66</v>
      </c>
      <c r="AY1142" t="s">
        <v>165</v>
      </c>
    </row>
    <row r="1143" spans="1:51" hidden="1" x14ac:dyDescent="0.25">
      <c r="A1143">
        <v>406088</v>
      </c>
      <c r="B1143" t="s">
        <v>4337</v>
      </c>
      <c r="C1143" t="e">
        <f>VLOOKUP(A1143,[1]Customer_payment_journal_line!$AL:$BO,30,0)</f>
        <v>#N/A</v>
      </c>
      <c r="D1143" t="s">
        <v>76</v>
      </c>
      <c r="E1143" t="s">
        <v>4338</v>
      </c>
      <c r="F1143" t="s">
        <v>4339</v>
      </c>
      <c r="G1143" t="s">
        <v>4126</v>
      </c>
      <c r="H1143" t="s">
        <v>80</v>
      </c>
      <c r="I1143" t="s">
        <v>81</v>
      </c>
      <c r="J1143" t="s">
        <v>4340</v>
      </c>
      <c r="K1143" t="s">
        <v>4341</v>
      </c>
      <c r="L1143" t="s">
        <v>52</v>
      </c>
      <c r="M1143">
        <v>1778.4</v>
      </c>
      <c r="N1143">
        <v>0</v>
      </c>
      <c r="O1143" t="s">
        <v>61</v>
      </c>
      <c r="P1143">
        <v>100</v>
      </c>
      <c r="Q1143" t="s">
        <v>52</v>
      </c>
      <c r="R1143" t="s">
        <v>52</v>
      </c>
      <c r="S1143" t="s">
        <v>52</v>
      </c>
      <c r="T1143" t="s">
        <v>52</v>
      </c>
      <c r="U1143" t="s">
        <v>52</v>
      </c>
      <c r="V1143" t="s">
        <v>62</v>
      </c>
      <c r="W1143" t="s">
        <v>52</v>
      </c>
      <c r="Y1143" t="s">
        <v>52</v>
      </c>
      <c r="AB1143" t="s">
        <v>52</v>
      </c>
      <c r="AE1143" t="s">
        <v>52</v>
      </c>
      <c r="AF1143" t="s">
        <v>52</v>
      </c>
      <c r="AH1143">
        <v>0</v>
      </c>
      <c r="AI1143">
        <v>0</v>
      </c>
      <c r="AJ1143" t="s">
        <v>52</v>
      </c>
      <c r="AK1143">
        <v>0</v>
      </c>
      <c r="AL1143" t="s">
        <v>52</v>
      </c>
      <c r="AM1143" t="s">
        <v>52</v>
      </c>
      <c r="AN1143">
        <v>0</v>
      </c>
      <c r="AO1143">
        <v>0</v>
      </c>
      <c r="AP1143" t="s">
        <v>52</v>
      </c>
      <c r="AQ1143" t="s">
        <v>52</v>
      </c>
      <c r="AR1143" t="s">
        <v>62</v>
      </c>
      <c r="AS1143" t="s">
        <v>52</v>
      </c>
      <c r="AT1143" t="s">
        <v>52</v>
      </c>
      <c r="AU1143" t="s">
        <v>64</v>
      </c>
      <c r="AV1143" t="s">
        <v>62</v>
      </c>
      <c r="AW1143" t="s">
        <v>65</v>
      </c>
      <c r="AX1143" t="s">
        <v>66</v>
      </c>
      <c r="AY1143" t="s">
        <v>76</v>
      </c>
    </row>
    <row r="1144" spans="1:51" hidden="1" x14ac:dyDescent="0.25">
      <c r="A1144">
        <v>406088</v>
      </c>
      <c r="B1144" t="s">
        <v>4342</v>
      </c>
      <c r="C1144" t="e">
        <f>VLOOKUP(A1144,[1]Customer_payment_journal_line!$AL:$BO,30,0)</f>
        <v>#N/A</v>
      </c>
      <c r="D1144" t="s">
        <v>76</v>
      </c>
      <c r="E1144" t="s">
        <v>4338</v>
      </c>
      <c r="F1144" t="s">
        <v>4339</v>
      </c>
      <c r="G1144" t="s">
        <v>4126</v>
      </c>
      <c r="H1144" t="s">
        <v>69</v>
      </c>
      <c r="I1144" t="s">
        <v>395</v>
      </c>
      <c r="J1144" t="s">
        <v>4340</v>
      </c>
      <c r="K1144" t="s">
        <v>4341</v>
      </c>
      <c r="L1144" t="s">
        <v>52</v>
      </c>
      <c r="M1144">
        <v>0</v>
      </c>
      <c r="N1144">
        <v>1778.4</v>
      </c>
      <c r="O1144" t="s">
        <v>61</v>
      </c>
      <c r="P1144">
        <v>100</v>
      </c>
      <c r="Q1144" t="s">
        <v>52</v>
      </c>
      <c r="R1144" t="s">
        <v>52</v>
      </c>
      <c r="S1144" t="s">
        <v>52</v>
      </c>
      <c r="T1144" t="s">
        <v>52</v>
      </c>
      <c r="U1144" t="s">
        <v>52</v>
      </c>
      <c r="V1144" t="s">
        <v>62</v>
      </c>
      <c r="W1144" t="s">
        <v>52</v>
      </c>
      <c r="Y1144" t="s">
        <v>396</v>
      </c>
      <c r="Z1144" t="s">
        <v>62</v>
      </c>
      <c r="AB1144" t="s">
        <v>4343</v>
      </c>
      <c r="AE1144" t="s">
        <v>4344</v>
      </c>
      <c r="AF1144" t="s">
        <v>52</v>
      </c>
      <c r="AH1144">
        <v>0</v>
      </c>
      <c r="AI1144">
        <v>0</v>
      </c>
      <c r="AJ1144" t="s">
        <v>52</v>
      </c>
      <c r="AK1144">
        <v>0</v>
      </c>
      <c r="AL1144" t="s">
        <v>52</v>
      </c>
      <c r="AM1144" t="s">
        <v>52</v>
      </c>
      <c r="AN1144">
        <v>0</v>
      </c>
      <c r="AO1144">
        <v>0</v>
      </c>
      <c r="AP1144" t="s">
        <v>52</v>
      </c>
      <c r="AQ1144" t="s">
        <v>52</v>
      </c>
      <c r="AR1144" t="s">
        <v>62</v>
      </c>
      <c r="AS1144" t="s">
        <v>52</v>
      </c>
      <c r="AT1144" t="s">
        <v>74</v>
      </c>
      <c r="AU1144" t="s">
        <v>64</v>
      </c>
      <c r="AV1144" t="s">
        <v>62</v>
      </c>
      <c r="AW1144" t="s">
        <v>65</v>
      </c>
      <c r="AX1144" t="s">
        <v>66</v>
      </c>
      <c r="AY1144" t="s">
        <v>76</v>
      </c>
    </row>
    <row r="1145" spans="1:51" hidden="1" x14ac:dyDescent="0.25">
      <c r="A1145">
        <v>406089</v>
      </c>
      <c r="B1145" t="s">
        <v>4345</v>
      </c>
      <c r="C1145" t="e">
        <f>VLOOKUP(A1145,[1]Customer_payment_journal_line!$AL:$BO,30,0)</f>
        <v>#N/A</v>
      </c>
      <c r="D1145" t="s">
        <v>76</v>
      </c>
      <c r="E1145" t="s">
        <v>4346</v>
      </c>
      <c r="F1145" t="s">
        <v>4347</v>
      </c>
      <c r="G1145" t="s">
        <v>4126</v>
      </c>
      <c r="H1145" t="s">
        <v>80</v>
      </c>
      <c r="I1145" t="s">
        <v>81</v>
      </c>
      <c r="J1145" t="s">
        <v>4340</v>
      </c>
      <c r="K1145" t="s">
        <v>4341</v>
      </c>
      <c r="L1145" t="s">
        <v>52</v>
      </c>
      <c r="M1145">
        <v>855</v>
      </c>
      <c r="N1145">
        <v>0</v>
      </c>
      <c r="O1145" t="s">
        <v>61</v>
      </c>
      <c r="P1145">
        <v>100</v>
      </c>
      <c r="Q1145" t="s">
        <v>52</v>
      </c>
      <c r="R1145" t="s">
        <v>52</v>
      </c>
      <c r="S1145" t="s">
        <v>52</v>
      </c>
      <c r="T1145" t="s">
        <v>52</v>
      </c>
      <c r="U1145" t="s">
        <v>52</v>
      </c>
      <c r="V1145" t="s">
        <v>62</v>
      </c>
      <c r="W1145" t="s">
        <v>52</v>
      </c>
      <c r="Y1145" t="s">
        <v>52</v>
      </c>
      <c r="AB1145" t="s">
        <v>52</v>
      </c>
      <c r="AE1145" t="s">
        <v>52</v>
      </c>
      <c r="AF1145" t="s">
        <v>52</v>
      </c>
      <c r="AH1145">
        <v>0</v>
      </c>
      <c r="AI1145">
        <v>0</v>
      </c>
      <c r="AJ1145" t="s">
        <v>52</v>
      </c>
      <c r="AK1145">
        <v>0</v>
      </c>
      <c r="AL1145" t="s">
        <v>52</v>
      </c>
      <c r="AM1145" t="s">
        <v>52</v>
      </c>
      <c r="AN1145">
        <v>0</v>
      </c>
      <c r="AO1145">
        <v>0</v>
      </c>
      <c r="AP1145" t="s">
        <v>52</v>
      </c>
      <c r="AQ1145" t="s">
        <v>52</v>
      </c>
      <c r="AR1145" t="s">
        <v>62</v>
      </c>
      <c r="AS1145" t="s">
        <v>52</v>
      </c>
      <c r="AT1145" t="s">
        <v>52</v>
      </c>
      <c r="AU1145" t="s">
        <v>64</v>
      </c>
      <c r="AV1145" t="s">
        <v>62</v>
      </c>
      <c r="AW1145" t="s">
        <v>65</v>
      </c>
      <c r="AX1145" t="s">
        <v>66</v>
      </c>
      <c r="AY1145" t="s">
        <v>76</v>
      </c>
    </row>
    <row r="1146" spans="1:51" hidden="1" x14ac:dyDescent="0.25">
      <c r="A1146">
        <v>406089</v>
      </c>
      <c r="B1146" t="s">
        <v>4348</v>
      </c>
      <c r="C1146" t="e">
        <f>VLOOKUP(A1146,[1]Customer_payment_journal_line!$AL:$BO,30,0)</f>
        <v>#N/A</v>
      </c>
      <c r="D1146" t="s">
        <v>76</v>
      </c>
      <c r="E1146" t="s">
        <v>4346</v>
      </c>
      <c r="F1146" t="s">
        <v>4347</v>
      </c>
      <c r="G1146" t="s">
        <v>4126</v>
      </c>
      <c r="H1146" t="s">
        <v>69</v>
      </c>
      <c r="I1146" t="s">
        <v>395</v>
      </c>
      <c r="J1146" t="s">
        <v>4340</v>
      </c>
      <c r="K1146" t="s">
        <v>4341</v>
      </c>
      <c r="L1146" t="s">
        <v>52</v>
      </c>
      <c r="M1146">
        <v>0</v>
      </c>
      <c r="N1146">
        <v>855</v>
      </c>
      <c r="O1146" t="s">
        <v>61</v>
      </c>
      <c r="P1146">
        <v>100</v>
      </c>
      <c r="Q1146" t="s">
        <v>52</v>
      </c>
      <c r="R1146" t="s">
        <v>52</v>
      </c>
      <c r="S1146" t="s">
        <v>52</v>
      </c>
      <c r="T1146" t="s">
        <v>52</v>
      </c>
      <c r="U1146" t="s">
        <v>52</v>
      </c>
      <c r="V1146" t="s">
        <v>62</v>
      </c>
      <c r="W1146" t="s">
        <v>52</v>
      </c>
      <c r="Y1146" t="s">
        <v>396</v>
      </c>
      <c r="Z1146" t="s">
        <v>62</v>
      </c>
      <c r="AB1146" t="s">
        <v>4349</v>
      </c>
      <c r="AE1146" t="s">
        <v>4350</v>
      </c>
      <c r="AF1146" t="s">
        <v>52</v>
      </c>
      <c r="AH1146">
        <v>0</v>
      </c>
      <c r="AI1146">
        <v>0</v>
      </c>
      <c r="AJ1146" t="s">
        <v>52</v>
      </c>
      <c r="AK1146">
        <v>0</v>
      </c>
      <c r="AL1146" t="s">
        <v>52</v>
      </c>
      <c r="AM1146" t="s">
        <v>52</v>
      </c>
      <c r="AN1146">
        <v>0</v>
      </c>
      <c r="AO1146">
        <v>0</v>
      </c>
      <c r="AP1146" t="s">
        <v>52</v>
      </c>
      <c r="AQ1146" t="s">
        <v>52</v>
      </c>
      <c r="AR1146" t="s">
        <v>62</v>
      </c>
      <c r="AS1146" t="s">
        <v>52</v>
      </c>
      <c r="AT1146" t="s">
        <v>74</v>
      </c>
      <c r="AU1146" t="s">
        <v>64</v>
      </c>
      <c r="AV1146" t="s">
        <v>62</v>
      </c>
      <c r="AW1146" t="s">
        <v>65</v>
      </c>
      <c r="AX1146" t="s">
        <v>66</v>
      </c>
      <c r="AY1146" t="s">
        <v>76</v>
      </c>
    </row>
    <row r="1147" spans="1:51" hidden="1" x14ac:dyDescent="0.25">
      <c r="A1147">
        <v>406096</v>
      </c>
      <c r="B1147" t="s">
        <v>4351</v>
      </c>
      <c r="C1147" t="e">
        <f>VLOOKUP(A1147,[1]Customer_payment_journal_line!$AL:$BO,30,0)</f>
        <v>#N/A</v>
      </c>
      <c r="D1147" t="s">
        <v>159</v>
      </c>
      <c r="E1147" t="s">
        <v>4352</v>
      </c>
      <c r="F1147" t="s">
        <v>4353</v>
      </c>
      <c r="G1147" t="s">
        <v>4126</v>
      </c>
      <c r="H1147" t="s">
        <v>80</v>
      </c>
      <c r="I1147" t="s">
        <v>269</v>
      </c>
      <c r="J1147" t="s">
        <v>2010</v>
      </c>
      <c r="K1147" t="s">
        <v>4354</v>
      </c>
      <c r="L1147" t="s">
        <v>52</v>
      </c>
      <c r="M1147">
        <v>240</v>
      </c>
      <c r="N1147">
        <v>0</v>
      </c>
      <c r="O1147" t="s">
        <v>178</v>
      </c>
      <c r="P1147">
        <v>5085</v>
      </c>
      <c r="Q1147" t="s">
        <v>52</v>
      </c>
      <c r="R1147" t="s">
        <v>52</v>
      </c>
      <c r="S1147" t="s">
        <v>52</v>
      </c>
      <c r="T1147" t="s">
        <v>52</v>
      </c>
      <c r="U1147" t="s">
        <v>52</v>
      </c>
      <c r="V1147" t="s">
        <v>62</v>
      </c>
      <c r="W1147" t="s">
        <v>52</v>
      </c>
      <c r="Y1147" t="s">
        <v>52</v>
      </c>
      <c r="AB1147" t="s">
        <v>52</v>
      </c>
      <c r="AE1147" t="s">
        <v>52</v>
      </c>
      <c r="AF1147" t="s">
        <v>52</v>
      </c>
      <c r="AH1147">
        <v>0</v>
      </c>
      <c r="AI1147">
        <v>0</v>
      </c>
      <c r="AJ1147" t="s">
        <v>52</v>
      </c>
      <c r="AK1147">
        <v>0</v>
      </c>
      <c r="AL1147" t="s">
        <v>52</v>
      </c>
      <c r="AM1147" t="s">
        <v>52</v>
      </c>
      <c r="AN1147">
        <v>0</v>
      </c>
      <c r="AO1147">
        <v>0</v>
      </c>
      <c r="AP1147" t="s">
        <v>52</v>
      </c>
      <c r="AQ1147" t="s">
        <v>52</v>
      </c>
      <c r="AR1147" t="s">
        <v>62</v>
      </c>
      <c r="AS1147" t="s">
        <v>52</v>
      </c>
      <c r="AT1147" t="s">
        <v>52</v>
      </c>
      <c r="AU1147" t="s">
        <v>64</v>
      </c>
      <c r="AV1147" t="s">
        <v>62</v>
      </c>
      <c r="AW1147" t="s">
        <v>65</v>
      </c>
      <c r="AX1147" t="s">
        <v>66</v>
      </c>
      <c r="AY1147" t="s">
        <v>165</v>
      </c>
    </row>
    <row r="1148" spans="1:51" hidden="1" x14ac:dyDescent="0.25">
      <c r="A1148">
        <v>406096</v>
      </c>
      <c r="B1148" t="s">
        <v>4355</v>
      </c>
      <c r="C1148" t="e">
        <f>VLOOKUP(A1148,[1]Customer_payment_journal_line!$AL:$BO,30,0)</f>
        <v>#N/A</v>
      </c>
      <c r="D1148" t="s">
        <v>159</v>
      </c>
      <c r="E1148" t="s">
        <v>4352</v>
      </c>
      <c r="F1148" t="s">
        <v>4353</v>
      </c>
      <c r="G1148" t="s">
        <v>4126</v>
      </c>
      <c r="H1148" t="s">
        <v>69</v>
      </c>
      <c r="I1148" t="s">
        <v>2013</v>
      </c>
      <c r="J1148" t="s">
        <v>2010</v>
      </c>
      <c r="K1148" t="s">
        <v>4354</v>
      </c>
      <c r="L1148" t="s">
        <v>52</v>
      </c>
      <c r="M1148">
        <v>0</v>
      </c>
      <c r="N1148">
        <v>240</v>
      </c>
      <c r="O1148" t="s">
        <v>178</v>
      </c>
      <c r="P1148">
        <v>5085</v>
      </c>
      <c r="Q1148" t="s">
        <v>52</v>
      </c>
      <c r="R1148" t="s">
        <v>52</v>
      </c>
      <c r="S1148" t="s">
        <v>52</v>
      </c>
      <c r="T1148" t="s">
        <v>52</v>
      </c>
      <c r="U1148" t="s">
        <v>52</v>
      </c>
      <c r="V1148" t="s">
        <v>62</v>
      </c>
      <c r="W1148" t="s">
        <v>52</v>
      </c>
      <c r="Y1148" t="s">
        <v>2014</v>
      </c>
      <c r="Z1148" t="s">
        <v>62</v>
      </c>
      <c r="AB1148" t="s">
        <v>4356</v>
      </c>
      <c r="AE1148" t="s">
        <v>4357</v>
      </c>
      <c r="AF1148" t="s">
        <v>52</v>
      </c>
      <c r="AH1148">
        <v>0</v>
      </c>
      <c r="AI1148">
        <v>0</v>
      </c>
      <c r="AJ1148" t="s">
        <v>52</v>
      </c>
      <c r="AK1148">
        <v>0</v>
      </c>
      <c r="AL1148" t="s">
        <v>52</v>
      </c>
      <c r="AM1148" t="s">
        <v>52</v>
      </c>
      <c r="AN1148">
        <v>0</v>
      </c>
      <c r="AO1148">
        <v>0</v>
      </c>
      <c r="AP1148" t="s">
        <v>52</v>
      </c>
      <c r="AQ1148" t="s">
        <v>52</v>
      </c>
      <c r="AR1148" t="s">
        <v>62</v>
      </c>
      <c r="AS1148" t="s">
        <v>52</v>
      </c>
      <c r="AT1148" t="s">
        <v>74</v>
      </c>
      <c r="AU1148" t="s">
        <v>64</v>
      </c>
      <c r="AV1148" t="s">
        <v>62</v>
      </c>
      <c r="AW1148" t="s">
        <v>65</v>
      </c>
      <c r="AX1148" t="s">
        <v>66</v>
      </c>
      <c r="AY1148" t="s">
        <v>165</v>
      </c>
    </row>
    <row r="1149" spans="1:51" hidden="1" x14ac:dyDescent="0.25">
      <c r="A1149">
        <v>406097</v>
      </c>
      <c r="B1149" t="s">
        <v>4358</v>
      </c>
      <c r="C1149" t="e">
        <f>VLOOKUP(A1149,[1]Customer_payment_journal_line!$AL:$BO,30,0)</f>
        <v>#N/A</v>
      </c>
      <c r="D1149" t="s">
        <v>159</v>
      </c>
      <c r="E1149" t="s">
        <v>4359</v>
      </c>
      <c r="F1149" t="s">
        <v>4360</v>
      </c>
      <c r="G1149" t="s">
        <v>4126</v>
      </c>
      <c r="H1149" t="s">
        <v>80</v>
      </c>
      <c r="I1149" t="s">
        <v>269</v>
      </c>
      <c r="J1149" t="s">
        <v>4361</v>
      </c>
      <c r="K1149" t="s">
        <v>4362</v>
      </c>
      <c r="L1149" t="s">
        <v>52</v>
      </c>
      <c r="M1149">
        <v>120</v>
      </c>
      <c r="N1149">
        <v>0</v>
      </c>
      <c r="O1149" t="s">
        <v>178</v>
      </c>
      <c r="P1149">
        <v>5085</v>
      </c>
      <c r="Q1149" t="s">
        <v>52</v>
      </c>
      <c r="R1149" t="s">
        <v>52</v>
      </c>
      <c r="S1149" t="s">
        <v>52</v>
      </c>
      <c r="T1149" t="s">
        <v>52</v>
      </c>
      <c r="U1149" t="s">
        <v>52</v>
      </c>
      <c r="V1149" t="s">
        <v>62</v>
      </c>
      <c r="W1149" t="s">
        <v>52</v>
      </c>
      <c r="Y1149" t="s">
        <v>52</v>
      </c>
      <c r="AB1149" t="s">
        <v>52</v>
      </c>
      <c r="AE1149" t="s">
        <v>52</v>
      </c>
      <c r="AF1149" t="s">
        <v>52</v>
      </c>
      <c r="AH1149">
        <v>0</v>
      </c>
      <c r="AI1149">
        <v>0</v>
      </c>
      <c r="AJ1149" t="s">
        <v>52</v>
      </c>
      <c r="AK1149">
        <v>0</v>
      </c>
      <c r="AL1149" t="s">
        <v>52</v>
      </c>
      <c r="AM1149" t="s">
        <v>52</v>
      </c>
      <c r="AN1149">
        <v>0</v>
      </c>
      <c r="AO1149">
        <v>0</v>
      </c>
      <c r="AP1149" t="s">
        <v>52</v>
      </c>
      <c r="AQ1149" t="s">
        <v>52</v>
      </c>
      <c r="AR1149" t="s">
        <v>62</v>
      </c>
      <c r="AS1149" t="s">
        <v>52</v>
      </c>
      <c r="AT1149" t="s">
        <v>52</v>
      </c>
      <c r="AU1149" t="s">
        <v>64</v>
      </c>
      <c r="AV1149" t="s">
        <v>62</v>
      </c>
      <c r="AW1149" t="s">
        <v>65</v>
      </c>
      <c r="AX1149" t="s">
        <v>66</v>
      </c>
      <c r="AY1149" t="s">
        <v>165</v>
      </c>
    </row>
    <row r="1150" spans="1:51" hidden="1" x14ac:dyDescent="0.25">
      <c r="A1150">
        <v>406097</v>
      </c>
      <c r="B1150" t="s">
        <v>4363</v>
      </c>
      <c r="C1150" t="e">
        <f>VLOOKUP(A1150,[1]Customer_payment_journal_line!$AL:$BO,30,0)</f>
        <v>#N/A</v>
      </c>
      <c r="D1150" t="s">
        <v>159</v>
      </c>
      <c r="E1150" t="s">
        <v>4359</v>
      </c>
      <c r="F1150" t="s">
        <v>4360</v>
      </c>
      <c r="G1150" t="s">
        <v>4126</v>
      </c>
      <c r="H1150" t="s">
        <v>69</v>
      </c>
      <c r="I1150" t="s">
        <v>2013</v>
      </c>
      <c r="J1150" t="s">
        <v>4361</v>
      </c>
      <c r="K1150" t="s">
        <v>4362</v>
      </c>
      <c r="L1150" t="s">
        <v>52</v>
      </c>
      <c r="M1150">
        <v>0</v>
      </c>
      <c r="N1150">
        <v>120</v>
      </c>
      <c r="O1150" t="s">
        <v>178</v>
      </c>
      <c r="P1150">
        <v>5085</v>
      </c>
      <c r="Q1150" t="s">
        <v>52</v>
      </c>
      <c r="R1150" t="s">
        <v>52</v>
      </c>
      <c r="S1150" t="s">
        <v>52</v>
      </c>
      <c r="T1150" t="s">
        <v>52</v>
      </c>
      <c r="U1150" t="s">
        <v>52</v>
      </c>
      <c r="V1150" t="s">
        <v>62</v>
      </c>
      <c r="W1150" t="s">
        <v>52</v>
      </c>
      <c r="Y1150" t="s">
        <v>2014</v>
      </c>
      <c r="Z1150" t="s">
        <v>62</v>
      </c>
      <c r="AB1150" t="s">
        <v>4364</v>
      </c>
      <c r="AE1150" t="s">
        <v>4365</v>
      </c>
      <c r="AF1150" t="s">
        <v>52</v>
      </c>
      <c r="AH1150">
        <v>0</v>
      </c>
      <c r="AI1150">
        <v>0</v>
      </c>
      <c r="AJ1150" t="s">
        <v>52</v>
      </c>
      <c r="AK1150">
        <v>0</v>
      </c>
      <c r="AL1150" t="s">
        <v>52</v>
      </c>
      <c r="AM1150" t="s">
        <v>52</v>
      </c>
      <c r="AN1150">
        <v>0</v>
      </c>
      <c r="AO1150">
        <v>0</v>
      </c>
      <c r="AP1150" t="s">
        <v>52</v>
      </c>
      <c r="AQ1150" t="s">
        <v>52</v>
      </c>
      <c r="AR1150" t="s">
        <v>62</v>
      </c>
      <c r="AS1150" t="s">
        <v>52</v>
      </c>
      <c r="AT1150" t="s">
        <v>74</v>
      </c>
      <c r="AU1150" t="s">
        <v>64</v>
      </c>
      <c r="AV1150" t="s">
        <v>62</v>
      </c>
      <c r="AW1150" t="s">
        <v>65</v>
      </c>
      <c r="AX1150" t="s">
        <v>66</v>
      </c>
      <c r="AY1150" t="s">
        <v>165</v>
      </c>
    </row>
    <row r="1151" spans="1:51" hidden="1" x14ac:dyDescent="0.25">
      <c r="A1151">
        <v>406098</v>
      </c>
      <c r="B1151" t="s">
        <v>4366</v>
      </c>
      <c r="C1151" t="e">
        <f>VLOOKUP(A1151,[1]Customer_payment_journal_line!$AL:$BO,30,0)</f>
        <v>#N/A</v>
      </c>
      <c r="D1151" t="s">
        <v>159</v>
      </c>
      <c r="E1151" t="s">
        <v>4367</v>
      </c>
      <c r="F1151" t="s">
        <v>4368</v>
      </c>
      <c r="G1151" t="s">
        <v>4126</v>
      </c>
      <c r="H1151" t="s">
        <v>80</v>
      </c>
      <c r="I1151" t="s">
        <v>269</v>
      </c>
      <c r="J1151" t="s">
        <v>2010</v>
      </c>
      <c r="K1151" t="s">
        <v>4369</v>
      </c>
      <c r="L1151" t="s">
        <v>52</v>
      </c>
      <c r="M1151">
        <v>120</v>
      </c>
      <c r="N1151">
        <v>0</v>
      </c>
      <c r="O1151" t="s">
        <v>178</v>
      </c>
      <c r="P1151">
        <v>5085</v>
      </c>
      <c r="Q1151" t="s">
        <v>52</v>
      </c>
      <c r="R1151" t="s">
        <v>52</v>
      </c>
      <c r="S1151" t="s">
        <v>52</v>
      </c>
      <c r="T1151" t="s">
        <v>52</v>
      </c>
      <c r="U1151" t="s">
        <v>52</v>
      </c>
      <c r="V1151" t="s">
        <v>62</v>
      </c>
      <c r="W1151" t="s">
        <v>52</v>
      </c>
      <c r="Y1151" t="s">
        <v>52</v>
      </c>
      <c r="AB1151" t="s">
        <v>52</v>
      </c>
      <c r="AE1151" t="s">
        <v>52</v>
      </c>
      <c r="AF1151" t="s">
        <v>52</v>
      </c>
      <c r="AH1151">
        <v>0</v>
      </c>
      <c r="AI1151">
        <v>0</v>
      </c>
      <c r="AJ1151" t="s">
        <v>52</v>
      </c>
      <c r="AK1151">
        <v>0</v>
      </c>
      <c r="AL1151" t="s">
        <v>52</v>
      </c>
      <c r="AM1151" t="s">
        <v>52</v>
      </c>
      <c r="AN1151">
        <v>0</v>
      </c>
      <c r="AO1151">
        <v>0</v>
      </c>
      <c r="AP1151" t="s">
        <v>52</v>
      </c>
      <c r="AQ1151" t="s">
        <v>52</v>
      </c>
      <c r="AR1151" t="s">
        <v>62</v>
      </c>
      <c r="AS1151" t="s">
        <v>52</v>
      </c>
      <c r="AT1151" t="s">
        <v>52</v>
      </c>
      <c r="AU1151" t="s">
        <v>64</v>
      </c>
      <c r="AV1151" t="s">
        <v>62</v>
      </c>
      <c r="AW1151" t="s">
        <v>65</v>
      </c>
      <c r="AX1151" t="s">
        <v>66</v>
      </c>
      <c r="AY1151" t="s">
        <v>165</v>
      </c>
    </row>
    <row r="1152" spans="1:51" hidden="1" x14ac:dyDescent="0.25">
      <c r="A1152">
        <v>406098</v>
      </c>
      <c r="B1152" t="s">
        <v>4370</v>
      </c>
      <c r="C1152" t="e">
        <f>VLOOKUP(A1152,[1]Customer_payment_journal_line!$AL:$BO,30,0)</f>
        <v>#N/A</v>
      </c>
      <c r="D1152" t="s">
        <v>159</v>
      </c>
      <c r="E1152" t="s">
        <v>4367</v>
      </c>
      <c r="F1152" t="s">
        <v>4368</v>
      </c>
      <c r="G1152" t="s">
        <v>4126</v>
      </c>
      <c r="H1152" t="s">
        <v>69</v>
      </c>
      <c r="I1152" t="s">
        <v>2013</v>
      </c>
      <c r="J1152" t="s">
        <v>2010</v>
      </c>
      <c r="K1152" t="s">
        <v>4369</v>
      </c>
      <c r="L1152" t="s">
        <v>52</v>
      </c>
      <c r="M1152">
        <v>0</v>
      </c>
      <c r="N1152">
        <v>120</v>
      </c>
      <c r="O1152" t="s">
        <v>178</v>
      </c>
      <c r="P1152">
        <v>5085</v>
      </c>
      <c r="Q1152" t="s">
        <v>52</v>
      </c>
      <c r="R1152" t="s">
        <v>52</v>
      </c>
      <c r="S1152" t="s">
        <v>52</v>
      </c>
      <c r="T1152" t="s">
        <v>52</v>
      </c>
      <c r="U1152" t="s">
        <v>52</v>
      </c>
      <c r="V1152" t="s">
        <v>62</v>
      </c>
      <c r="W1152" t="s">
        <v>52</v>
      </c>
      <c r="Y1152" t="s">
        <v>2014</v>
      </c>
      <c r="Z1152" t="s">
        <v>62</v>
      </c>
      <c r="AB1152" t="s">
        <v>4371</v>
      </c>
      <c r="AE1152" t="s">
        <v>4372</v>
      </c>
      <c r="AF1152" t="s">
        <v>52</v>
      </c>
      <c r="AH1152">
        <v>0</v>
      </c>
      <c r="AI1152">
        <v>0</v>
      </c>
      <c r="AJ1152" t="s">
        <v>52</v>
      </c>
      <c r="AK1152">
        <v>0</v>
      </c>
      <c r="AL1152" t="s">
        <v>52</v>
      </c>
      <c r="AM1152" t="s">
        <v>52</v>
      </c>
      <c r="AN1152">
        <v>0</v>
      </c>
      <c r="AO1152">
        <v>0</v>
      </c>
      <c r="AP1152" t="s">
        <v>52</v>
      </c>
      <c r="AQ1152" t="s">
        <v>52</v>
      </c>
      <c r="AR1152" t="s">
        <v>62</v>
      </c>
      <c r="AS1152" t="s">
        <v>52</v>
      </c>
      <c r="AT1152" t="s">
        <v>74</v>
      </c>
      <c r="AU1152" t="s">
        <v>64</v>
      </c>
      <c r="AV1152" t="s">
        <v>62</v>
      </c>
      <c r="AW1152" t="s">
        <v>65</v>
      </c>
      <c r="AX1152" t="s">
        <v>66</v>
      </c>
      <c r="AY1152" t="s">
        <v>165</v>
      </c>
    </row>
    <row r="1153" spans="1:51" hidden="1" x14ac:dyDescent="0.25">
      <c r="A1153">
        <v>406104</v>
      </c>
      <c r="B1153" t="s">
        <v>4373</v>
      </c>
      <c r="C1153" t="e">
        <f>VLOOKUP(A1153,[1]Customer_payment_journal_line!$AL:$BO,30,0)</f>
        <v>#N/A</v>
      </c>
      <c r="D1153" t="s">
        <v>76</v>
      </c>
      <c r="E1153" t="s">
        <v>4374</v>
      </c>
      <c r="F1153" t="s">
        <v>4375</v>
      </c>
      <c r="G1153" t="s">
        <v>4126</v>
      </c>
      <c r="H1153" t="s">
        <v>80</v>
      </c>
      <c r="I1153" t="s">
        <v>81</v>
      </c>
      <c r="J1153" t="s">
        <v>4376</v>
      </c>
      <c r="K1153" t="s">
        <v>4377</v>
      </c>
      <c r="L1153" t="s">
        <v>52</v>
      </c>
      <c r="M1153">
        <v>1710</v>
      </c>
      <c r="N1153">
        <v>0</v>
      </c>
      <c r="O1153" t="s">
        <v>61</v>
      </c>
      <c r="P1153">
        <v>100</v>
      </c>
      <c r="Q1153" t="s">
        <v>52</v>
      </c>
      <c r="R1153" t="s">
        <v>52</v>
      </c>
      <c r="S1153" t="s">
        <v>52</v>
      </c>
      <c r="T1153" t="s">
        <v>52</v>
      </c>
      <c r="U1153" t="s">
        <v>52</v>
      </c>
      <c r="V1153" t="s">
        <v>62</v>
      </c>
      <c r="W1153" t="s">
        <v>52</v>
      </c>
      <c r="Y1153" t="s">
        <v>52</v>
      </c>
      <c r="AB1153" t="s">
        <v>52</v>
      </c>
      <c r="AE1153" t="s">
        <v>52</v>
      </c>
      <c r="AF1153" t="s">
        <v>52</v>
      </c>
      <c r="AH1153">
        <v>0</v>
      </c>
      <c r="AI1153">
        <v>0</v>
      </c>
      <c r="AJ1153" t="s">
        <v>52</v>
      </c>
      <c r="AK1153">
        <v>0</v>
      </c>
      <c r="AL1153" t="s">
        <v>52</v>
      </c>
      <c r="AM1153" t="s">
        <v>52</v>
      </c>
      <c r="AN1153">
        <v>0</v>
      </c>
      <c r="AO1153">
        <v>0</v>
      </c>
      <c r="AP1153" t="s">
        <v>52</v>
      </c>
      <c r="AQ1153" t="s">
        <v>52</v>
      </c>
      <c r="AR1153" t="s">
        <v>62</v>
      </c>
      <c r="AS1153" t="s">
        <v>52</v>
      </c>
      <c r="AT1153" t="s">
        <v>52</v>
      </c>
      <c r="AU1153" t="s">
        <v>64</v>
      </c>
      <c r="AV1153" t="s">
        <v>62</v>
      </c>
      <c r="AW1153" t="s">
        <v>65</v>
      </c>
      <c r="AX1153" t="s">
        <v>66</v>
      </c>
      <c r="AY1153" t="s">
        <v>76</v>
      </c>
    </row>
    <row r="1154" spans="1:51" hidden="1" x14ac:dyDescent="0.25">
      <c r="A1154">
        <v>406104</v>
      </c>
      <c r="B1154" t="s">
        <v>4378</v>
      </c>
      <c r="C1154" t="e">
        <f>VLOOKUP(A1154,[1]Customer_payment_journal_line!$AL:$BO,30,0)</f>
        <v>#N/A</v>
      </c>
      <c r="D1154" t="s">
        <v>76</v>
      </c>
      <c r="E1154" t="s">
        <v>4374</v>
      </c>
      <c r="F1154" t="s">
        <v>4375</v>
      </c>
      <c r="G1154" t="s">
        <v>4126</v>
      </c>
      <c r="H1154" t="s">
        <v>69</v>
      </c>
      <c r="I1154" t="s">
        <v>4284</v>
      </c>
      <c r="J1154" t="s">
        <v>4376</v>
      </c>
      <c r="K1154" t="s">
        <v>4377</v>
      </c>
      <c r="L1154" t="s">
        <v>52</v>
      </c>
      <c r="M1154">
        <v>0</v>
      </c>
      <c r="N1154">
        <v>1710</v>
      </c>
      <c r="O1154" t="s">
        <v>61</v>
      </c>
      <c r="P1154">
        <v>100</v>
      </c>
      <c r="Q1154" t="s">
        <v>52</v>
      </c>
      <c r="R1154" t="s">
        <v>52</v>
      </c>
      <c r="S1154" t="s">
        <v>52</v>
      </c>
      <c r="T1154" t="s">
        <v>52</v>
      </c>
      <c r="U1154" t="s">
        <v>52</v>
      </c>
      <c r="V1154" t="s">
        <v>62</v>
      </c>
      <c r="W1154" t="s">
        <v>52</v>
      </c>
      <c r="Y1154" t="s">
        <v>4285</v>
      </c>
      <c r="Z1154" t="s">
        <v>62</v>
      </c>
      <c r="AB1154" t="s">
        <v>4379</v>
      </c>
      <c r="AE1154" t="s">
        <v>4380</v>
      </c>
      <c r="AF1154" t="s">
        <v>52</v>
      </c>
      <c r="AH1154">
        <v>0</v>
      </c>
      <c r="AI1154">
        <v>0</v>
      </c>
      <c r="AJ1154" t="s">
        <v>52</v>
      </c>
      <c r="AK1154">
        <v>0</v>
      </c>
      <c r="AL1154" t="s">
        <v>52</v>
      </c>
      <c r="AM1154" t="s">
        <v>52</v>
      </c>
      <c r="AN1154">
        <v>0</v>
      </c>
      <c r="AO1154">
        <v>0</v>
      </c>
      <c r="AP1154" t="s">
        <v>52</v>
      </c>
      <c r="AQ1154" t="s">
        <v>52</v>
      </c>
      <c r="AR1154" t="s">
        <v>62</v>
      </c>
      <c r="AS1154" t="s">
        <v>52</v>
      </c>
      <c r="AT1154" t="s">
        <v>74</v>
      </c>
      <c r="AU1154" t="s">
        <v>64</v>
      </c>
      <c r="AV1154" t="s">
        <v>62</v>
      </c>
      <c r="AW1154" t="s">
        <v>65</v>
      </c>
      <c r="AX1154" t="s">
        <v>66</v>
      </c>
      <c r="AY1154" t="s">
        <v>76</v>
      </c>
    </row>
    <row r="1155" spans="1:51" hidden="1" x14ac:dyDescent="0.25">
      <c r="A1155">
        <v>406105</v>
      </c>
      <c r="B1155" t="s">
        <v>4381</v>
      </c>
      <c r="C1155" t="e">
        <f>VLOOKUP(A1155,[1]Customer_payment_journal_line!$AL:$BO,30,0)</f>
        <v>#N/A</v>
      </c>
      <c r="D1155" t="s">
        <v>76</v>
      </c>
      <c r="E1155" t="s">
        <v>4382</v>
      </c>
      <c r="F1155" t="s">
        <v>4383</v>
      </c>
      <c r="G1155" t="s">
        <v>4126</v>
      </c>
      <c r="H1155" t="s">
        <v>80</v>
      </c>
      <c r="I1155" t="s">
        <v>81</v>
      </c>
      <c r="J1155" t="s">
        <v>4376</v>
      </c>
      <c r="K1155" t="s">
        <v>4377</v>
      </c>
      <c r="L1155" t="s">
        <v>52</v>
      </c>
      <c r="M1155">
        <v>855</v>
      </c>
      <c r="N1155">
        <v>0</v>
      </c>
      <c r="O1155" t="s">
        <v>61</v>
      </c>
      <c r="P1155">
        <v>100</v>
      </c>
      <c r="Q1155" t="s">
        <v>52</v>
      </c>
      <c r="R1155" t="s">
        <v>52</v>
      </c>
      <c r="S1155" t="s">
        <v>52</v>
      </c>
      <c r="T1155" t="s">
        <v>52</v>
      </c>
      <c r="U1155" t="s">
        <v>52</v>
      </c>
      <c r="V1155" t="s">
        <v>62</v>
      </c>
      <c r="W1155" t="s">
        <v>52</v>
      </c>
      <c r="Y1155" t="s">
        <v>52</v>
      </c>
      <c r="AB1155" t="s">
        <v>52</v>
      </c>
      <c r="AE1155" t="s">
        <v>52</v>
      </c>
      <c r="AF1155" t="s">
        <v>52</v>
      </c>
      <c r="AH1155">
        <v>0</v>
      </c>
      <c r="AI1155">
        <v>0</v>
      </c>
      <c r="AJ1155" t="s">
        <v>52</v>
      </c>
      <c r="AK1155">
        <v>0</v>
      </c>
      <c r="AL1155" t="s">
        <v>52</v>
      </c>
      <c r="AM1155" t="s">
        <v>52</v>
      </c>
      <c r="AN1155">
        <v>0</v>
      </c>
      <c r="AO1155">
        <v>0</v>
      </c>
      <c r="AP1155" t="s">
        <v>52</v>
      </c>
      <c r="AQ1155" t="s">
        <v>52</v>
      </c>
      <c r="AR1155" t="s">
        <v>62</v>
      </c>
      <c r="AS1155" t="s">
        <v>52</v>
      </c>
      <c r="AT1155" t="s">
        <v>52</v>
      </c>
      <c r="AU1155" t="s">
        <v>64</v>
      </c>
      <c r="AV1155" t="s">
        <v>62</v>
      </c>
      <c r="AW1155" t="s">
        <v>65</v>
      </c>
      <c r="AX1155" t="s">
        <v>66</v>
      </c>
      <c r="AY1155" t="s">
        <v>76</v>
      </c>
    </row>
    <row r="1156" spans="1:51" hidden="1" x14ac:dyDescent="0.25">
      <c r="A1156">
        <v>406105</v>
      </c>
      <c r="B1156" t="s">
        <v>4384</v>
      </c>
      <c r="C1156" t="e">
        <f>VLOOKUP(A1156,[1]Customer_payment_journal_line!$AL:$BO,30,0)</f>
        <v>#N/A</v>
      </c>
      <c r="D1156" t="s">
        <v>76</v>
      </c>
      <c r="E1156" t="s">
        <v>4382</v>
      </c>
      <c r="F1156" t="s">
        <v>4383</v>
      </c>
      <c r="G1156" t="s">
        <v>4126</v>
      </c>
      <c r="H1156" t="s">
        <v>69</v>
      </c>
      <c r="I1156" t="s">
        <v>4284</v>
      </c>
      <c r="J1156" t="s">
        <v>4376</v>
      </c>
      <c r="K1156" t="s">
        <v>4377</v>
      </c>
      <c r="L1156" t="s">
        <v>52</v>
      </c>
      <c r="M1156">
        <v>0</v>
      </c>
      <c r="N1156">
        <v>855</v>
      </c>
      <c r="O1156" t="s">
        <v>61</v>
      </c>
      <c r="P1156">
        <v>100</v>
      </c>
      <c r="Q1156" t="s">
        <v>52</v>
      </c>
      <c r="R1156" t="s">
        <v>52</v>
      </c>
      <c r="S1156" t="s">
        <v>52</v>
      </c>
      <c r="T1156" t="s">
        <v>52</v>
      </c>
      <c r="U1156" t="s">
        <v>52</v>
      </c>
      <c r="V1156" t="s">
        <v>62</v>
      </c>
      <c r="W1156" t="s">
        <v>52</v>
      </c>
      <c r="Y1156" t="s">
        <v>4285</v>
      </c>
      <c r="Z1156" t="s">
        <v>62</v>
      </c>
      <c r="AB1156" t="s">
        <v>4385</v>
      </c>
      <c r="AE1156" t="s">
        <v>4386</v>
      </c>
      <c r="AF1156" t="s">
        <v>52</v>
      </c>
      <c r="AH1156">
        <v>0</v>
      </c>
      <c r="AI1156">
        <v>0</v>
      </c>
      <c r="AJ1156" t="s">
        <v>52</v>
      </c>
      <c r="AK1156">
        <v>0</v>
      </c>
      <c r="AL1156" t="s">
        <v>52</v>
      </c>
      <c r="AM1156" t="s">
        <v>52</v>
      </c>
      <c r="AN1156">
        <v>0</v>
      </c>
      <c r="AO1156">
        <v>0</v>
      </c>
      <c r="AP1156" t="s">
        <v>52</v>
      </c>
      <c r="AQ1156" t="s">
        <v>52</v>
      </c>
      <c r="AR1156" t="s">
        <v>62</v>
      </c>
      <c r="AS1156" t="s">
        <v>52</v>
      </c>
      <c r="AT1156" t="s">
        <v>74</v>
      </c>
      <c r="AU1156" t="s">
        <v>64</v>
      </c>
      <c r="AV1156" t="s">
        <v>62</v>
      </c>
      <c r="AW1156" t="s">
        <v>65</v>
      </c>
      <c r="AX1156" t="s">
        <v>66</v>
      </c>
      <c r="AY1156" t="s">
        <v>76</v>
      </c>
    </row>
    <row r="1157" spans="1:51" hidden="1" x14ac:dyDescent="0.25">
      <c r="A1157">
        <v>203180</v>
      </c>
      <c r="B1157" t="s">
        <v>4387</v>
      </c>
      <c r="C1157" t="e">
        <f>VLOOKUP(A1157,[1]Customer_payment_journal_line!$AL:$BO,30,0)</f>
        <v>#N/A</v>
      </c>
      <c r="D1157" t="s">
        <v>53</v>
      </c>
      <c r="E1157" t="s">
        <v>4388</v>
      </c>
      <c r="F1157" t="s">
        <v>4389</v>
      </c>
      <c r="G1157" t="s">
        <v>4126</v>
      </c>
      <c r="H1157" t="s">
        <v>57</v>
      </c>
      <c r="I1157" t="s">
        <v>125</v>
      </c>
      <c r="J1157" t="s">
        <v>4390</v>
      </c>
      <c r="K1157" t="s">
        <v>4391</v>
      </c>
      <c r="L1157" t="s">
        <v>52</v>
      </c>
      <c r="M1157">
        <v>50</v>
      </c>
      <c r="N1157">
        <v>0</v>
      </c>
      <c r="O1157" t="s">
        <v>126</v>
      </c>
      <c r="P1157">
        <v>5285</v>
      </c>
      <c r="Q1157" t="s">
        <v>52</v>
      </c>
      <c r="R1157" t="s">
        <v>52</v>
      </c>
      <c r="S1157" t="s">
        <v>52</v>
      </c>
      <c r="T1157" t="s">
        <v>52</v>
      </c>
      <c r="U1157" t="s">
        <v>52</v>
      </c>
      <c r="V1157" t="s">
        <v>62</v>
      </c>
      <c r="W1157" t="s">
        <v>63</v>
      </c>
      <c r="Y1157" t="s">
        <v>52</v>
      </c>
      <c r="AB1157" t="s">
        <v>52</v>
      </c>
      <c r="AE1157" t="s">
        <v>52</v>
      </c>
      <c r="AF1157" t="s">
        <v>52</v>
      </c>
      <c r="AH1157">
        <v>0</v>
      </c>
      <c r="AI1157">
        <v>0</v>
      </c>
      <c r="AJ1157" t="s">
        <v>52</v>
      </c>
      <c r="AK1157">
        <v>0</v>
      </c>
      <c r="AL1157" t="s">
        <v>52</v>
      </c>
      <c r="AM1157" t="s">
        <v>52</v>
      </c>
      <c r="AN1157">
        <v>0</v>
      </c>
      <c r="AO1157">
        <v>0</v>
      </c>
      <c r="AP1157" t="s">
        <v>52</v>
      </c>
      <c r="AQ1157" t="s">
        <v>52</v>
      </c>
      <c r="AR1157" t="s">
        <v>62</v>
      </c>
      <c r="AS1157" t="s">
        <v>52</v>
      </c>
      <c r="AT1157" t="s">
        <v>52</v>
      </c>
      <c r="AU1157" t="s">
        <v>64</v>
      </c>
      <c r="AV1157" t="s">
        <v>62</v>
      </c>
      <c r="AW1157" t="s">
        <v>65</v>
      </c>
      <c r="AX1157" t="s">
        <v>66</v>
      </c>
      <c r="AY1157" t="s">
        <v>67</v>
      </c>
    </row>
    <row r="1158" spans="1:51" hidden="1" x14ac:dyDescent="0.25">
      <c r="A1158">
        <v>203180</v>
      </c>
      <c r="B1158" t="s">
        <v>4392</v>
      </c>
      <c r="C1158" t="e">
        <f>VLOOKUP(A1158,[1]Customer_payment_journal_line!$AL:$BO,30,0)</f>
        <v>#N/A</v>
      </c>
      <c r="D1158" t="s">
        <v>53</v>
      </c>
      <c r="E1158" t="s">
        <v>4388</v>
      </c>
      <c r="F1158" t="s">
        <v>4389</v>
      </c>
      <c r="G1158" t="s">
        <v>4126</v>
      </c>
      <c r="H1158" t="s">
        <v>69</v>
      </c>
      <c r="I1158" t="s">
        <v>4393</v>
      </c>
      <c r="J1158" t="s">
        <v>4390</v>
      </c>
      <c r="K1158" t="s">
        <v>4391</v>
      </c>
      <c r="L1158" t="s">
        <v>52</v>
      </c>
      <c r="M1158">
        <v>0</v>
      </c>
      <c r="N1158">
        <v>50</v>
      </c>
      <c r="O1158" t="s">
        <v>126</v>
      </c>
      <c r="P1158">
        <v>5285</v>
      </c>
      <c r="Q1158" t="s">
        <v>52</v>
      </c>
      <c r="R1158" t="s">
        <v>52</v>
      </c>
      <c r="S1158" t="s">
        <v>52</v>
      </c>
      <c r="T1158" t="s">
        <v>52</v>
      </c>
      <c r="U1158" t="s">
        <v>52</v>
      </c>
      <c r="V1158" t="s">
        <v>62</v>
      </c>
      <c r="W1158" t="s">
        <v>52</v>
      </c>
      <c r="Y1158" t="s">
        <v>4394</v>
      </c>
      <c r="Z1158" t="s">
        <v>62</v>
      </c>
      <c r="AB1158" t="s">
        <v>4395</v>
      </c>
      <c r="AE1158" t="s">
        <v>4396</v>
      </c>
      <c r="AF1158" t="s">
        <v>52</v>
      </c>
      <c r="AH1158">
        <v>0</v>
      </c>
      <c r="AI1158">
        <v>0</v>
      </c>
      <c r="AJ1158" t="s">
        <v>52</v>
      </c>
      <c r="AK1158">
        <v>0</v>
      </c>
      <c r="AL1158" t="s">
        <v>52</v>
      </c>
      <c r="AM1158" t="s">
        <v>52</v>
      </c>
      <c r="AN1158">
        <v>0</v>
      </c>
      <c r="AO1158">
        <v>0</v>
      </c>
      <c r="AP1158" t="s">
        <v>52</v>
      </c>
      <c r="AQ1158" t="s">
        <v>52</v>
      </c>
      <c r="AR1158" t="s">
        <v>62</v>
      </c>
      <c r="AS1158" t="s">
        <v>52</v>
      </c>
      <c r="AT1158" t="s">
        <v>74</v>
      </c>
      <c r="AU1158" t="s">
        <v>64</v>
      </c>
      <c r="AV1158" t="s">
        <v>62</v>
      </c>
      <c r="AW1158" t="s">
        <v>65</v>
      </c>
      <c r="AX1158" t="s">
        <v>66</v>
      </c>
      <c r="AY1158" t="s">
        <v>67</v>
      </c>
    </row>
    <row r="1159" spans="1:51" hidden="1" x14ac:dyDescent="0.25">
      <c r="A1159">
        <v>203181</v>
      </c>
      <c r="B1159" t="s">
        <v>4397</v>
      </c>
      <c r="C1159" t="e">
        <f>VLOOKUP(A1159,[1]Customer_payment_journal_line!$AL:$BO,30,0)</f>
        <v>#N/A</v>
      </c>
      <c r="D1159" t="s">
        <v>53</v>
      </c>
      <c r="E1159" t="s">
        <v>4398</v>
      </c>
      <c r="F1159" t="s">
        <v>4399</v>
      </c>
      <c r="G1159" t="s">
        <v>4126</v>
      </c>
      <c r="H1159" t="s">
        <v>57</v>
      </c>
      <c r="I1159" t="s">
        <v>58</v>
      </c>
      <c r="J1159" t="s">
        <v>4390</v>
      </c>
      <c r="K1159" t="s">
        <v>4391</v>
      </c>
      <c r="L1159" t="s">
        <v>52</v>
      </c>
      <c r="M1159">
        <v>3420</v>
      </c>
      <c r="N1159">
        <v>0</v>
      </c>
      <c r="O1159" t="s">
        <v>61</v>
      </c>
      <c r="P1159">
        <v>100</v>
      </c>
      <c r="Q1159" t="s">
        <v>52</v>
      </c>
      <c r="R1159" t="s">
        <v>52</v>
      </c>
      <c r="S1159" t="s">
        <v>52</v>
      </c>
      <c r="T1159" t="s">
        <v>52</v>
      </c>
      <c r="U1159" t="s">
        <v>52</v>
      </c>
      <c r="V1159" t="s">
        <v>62</v>
      </c>
      <c r="W1159" t="s">
        <v>63</v>
      </c>
      <c r="Y1159" t="s">
        <v>52</v>
      </c>
      <c r="AB1159" t="s">
        <v>52</v>
      </c>
      <c r="AE1159" t="s">
        <v>52</v>
      </c>
      <c r="AF1159" t="s">
        <v>52</v>
      </c>
      <c r="AH1159">
        <v>0</v>
      </c>
      <c r="AI1159">
        <v>0</v>
      </c>
      <c r="AJ1159" t="s">
        <v>52</v>
      </c>
      <c r="AK1159">
        <v>0</v>
      </c>
      <c r="AL1159" t="s">
        <v>52</v>
      </c>
      <c r="AM1159" t="s">
        <v>52</v>
      </c>
      <c r="AN1159">
        <v>0</v>
      </c>
      <c r="AO1159">
        <v>0</v>
      </c>
      <c r="AP1159" t="s">
        <v>52</v>
      </c>
      <c r="AQ1159" t="s">
        <v>52</v>
      </c>
      <c r="AR1159" t="s">
        <v>62</v>
      </c>
      <c r="AS1159" t="s">
        <v>52</v>
      </c>
      <c r="AT1159" t="s">
        <v>52</v>
      </c>
      <c r="AU1159" t="s">
        <v>64</v>
      </c>
      <c r="AV1159" t="s">
        <v>62</v>
      </c>
      <c r="AW1159" t="s">
        <v>65</v>
      </c>
      <c r="AX1159" t="s">
        <v>66</v>
      </c>
      <c r="AY1159" t="s">
        <v>67</v>
      </c>
    </row>
    <row r="1160" spans="1:51" hidden="1" x14ac:dyDescent="0.25">
      <c r="A1160">
        <v>203181</v>
      </c>
      <c r="B1160" t="s">
        <v>4400</v>
      </c>
      <c r="C1160" t="e">
        <f>VLOOKUP(A1160,[1]Customer_payment_journal_line!$AL:$BO,30,0)</f>
        <v>#N/A</v>
      </c>
      <c r="D1160" t="s">
        <v>53</v>
      </c>
      <c r="E1160" t="s">
        <v>4398</v>
      </c>
      <c r="F1160" t="s">
        <v>4399</v>
      </c>
      <c r="G1160" t="s">
        <v>4126</v>
      </c>
      <c r="H1160" t="s">
        <v>69</v>
      </c>
      <c r="I1160" t="s">
        <v>4393</v>
      </c>
      <c r="J1160" t="s">
        <v>4390</v>
      </c>
      <c r="K1160" t="s">
        <v>4391</v>
      </c>
      <c r="L1160" t="s">
        <v>52</v>
      </c>
      <c r="M1160">
        <v>0</v>
      </c>
      <c r="N1160">
        <v>3420</v>
      </c>
      <c r="O1160" t="s">
        <v>61</v>
      </c>
      <c r="P1160">
        <v>100</v>
      </c>
      <c r="Q1160" t="s">
        <v>52</v>
      </c>
      <c r="R1160" t="s">
        <v>52</v>
      </c>
      <c r="S1160" t="s">
        <v>52</v>
      </c>
      <c r="T1160" t="s">
        <v>52</v>
      </c>
      <c r="U1160" t="s">
        <v>52</v>
      </c>
      <c r="V1160" t="s">
        <v>62</v>
      </c>
      <c r="W1160" t="s">
        <v>52</v>
      </c>
      <c r="Y1160" t="s">
        <v>4394</v>
      </c>
      <c r="Z1160" t="s">
        <v>62</v>
      </c>
      <c r="AB1160" t="s">
        <v>4401</v>
      </c>
      <c r="AE1160" t="s">
        <v>4402</v>
      </c>
      <c r="AF1160" t="s">
        <v>52</v>
      </c>
      <c r="AH1160">
        <v>0</v>
      </c>
      <c r="AI1160">
        <v>0</v>
      </c>
      <c r="AJ1160" t="s">
        <v>52</v>
      </c>
      <c r="AK1160">
        <v>0</v>
      </c>
      <c r="AL1160" t="s">
        <v>52</v>
      </c>
      <c r="AM1160" t="s">
        <v>52</v>
      </c>
      <c r="AN1160">
        <v>0</v>
      </c>
      <c r="AO1160">
        <v>0</v>
      </c>
      <c r="AP1160" t="s">
        <v>52</v>
      </c>
      <c r="AQ1160" t="s">
        <v>52</v>
      </c>
      <c r="AR1160" t="s">
        <v>62</v>
      </c>
      <c r="AS1160" t="s">
        <v>52</v>
      </c>
      <c r="AT1160" t="s">
        <v>74</v>
      </c>
      <c r="AU1160" t="s">
        <v>64</v>
      </c>
      <c r="AV1160" t="s">
        <v>62</v>
      </c>
      <c r="AW1160" t="s">
        <v>65</v>
      </c>
      <c r="AX1160" t="s">
        <v>66</v>
      </c>
      <c r="AY1160" t="s">
        <v>67</v>
      </c>
    </row>
    <row r="1161" spans="1:51" hidden="1" x14ac:dyDescent="0.25">
      <c r="A1161">
        <v>203182</v>
      </c>
      <c r="B1161" t="s">
        <v>4403</v>
      </c>
      <c r="C1161" t="e">
        <f>VLOOKUP(A1161,[1]Customer_payment_journal_line!$AL:$BO,30,0)</f>
        <v>#N/A</v>
      </c>
      <c r="D1161" t="s">
        <v>53</v>
      </c>
      <c r="E1161" t="s">
        <v>4404</v>
      </c>
      <c r="F1161" t="s">
        <v>4405</v>
      </c>
      <c r="G1161" t="s">
        <v>4126</v>
      </c>
      <c r="H1161" t="s">
        <v>57</v>
      </c>
      <c r="I1161" t="s">
        <v>58</v>
      </c>
      <c r="J1161" t="s">
        <v>4390</v>
      </c>
      <c r="K1161" t="s">
        <v>4391</v>
      </c>
      <c r="L1161" t="s">
        <v>52</v>
      </c>
      <c r="M1161">
        <v>855</v>
      </c>
      <c r="N1161">
        <v>0</v>
      </c>
      <c r="O1161" t="s">
        <v>61</v>
      </c>
      <c r="P1161">
        <v>100</v>
      </c>
      <c r="Q1161" t="s">
        <v>52</v>
      </c>
      <c r="R1161" t="s">
        <v>52</v>
      </c>
      <c r="S1161" t="s">
        <v>52</v>
      </c>
      <c r="T1161" t="s">
        <v>52</v>
      </c>
      <c r="U1161" t="s">
        <v>52</v>
      </c>
      <c r="V1161" t="s">
        <v>62</v>
      </c>
      <c r="W1161" t="s">
        <v>63</v>
      </c>
      <c r="Y1161" t="s">
        <v>52</v>
      </c>
      <c r="AB1161" t="s">
        <v>52</v>
      </c>
      <c r="AE1161" t="s">
        <v>52</v>
      </c>
      <c r="AF1161" t="s">
        <v>52</v>
      </c>
      <c r="AH1161">
        <v>0</v>
      </c>
      <c r="AI1161">
        <v>0</v>
      </c>
      <c r="AJ1161" t="s">
        <v>52</v>
      </c>
      <c r="AK1161">
        <v>0</v>
      </c>
      <c r="AL1161" t="s">
        <v>52</v>
      </c>
      <c r="AM1161" t="s">
        <v>52</v>
      </c>
      <c r="AN1161">
        <v>0</v>
      </c>
      <c r="AO1161">
        <v>0</v>
      </c>
      <c r="AP1161" t="s">
        <v>52</v>
      </c>
      <c r="AQ1161" t="s">
        <v>52</v>
      </c>
      <c r="AR1161" t="s">
        <v>62</v>
      </c>
      <c r="AS1161" t="s">
        <v>52</v>
      </c>
      <c r="AT1161" t="s">
        <v>52</v>
      </c>
      <c r="AU1161" t="s">
        <v>64</v>
      </c>
      <c r="AV1161" t="s">
        <v>62</v>
      </c>
      <c r="AW1161" t="s">
        <v>65</v>
      </c>
      <c r="AX1161" t="s">
        <v>66</v>
      </c>
      <c r="AY1161" t="s">
        <v>67</v>
      </c>
    </row>
    <row r="1162" spans="1:51" hidden="1" x14ac:dyDescent="0.25">
      <c r="A1162">
        <v>203182</v>
      </c>
      <c r="B1162" t="s">
        <v>4406</v>
      </c>
      <c r="C1162" t="e">
        <f>VLOOKUP(A1162,[1]Customer_payment_journal_line!$AL:$BO,30,0)</f>
        <v>#N/A</v>
      </c>
      <c r="D1162" t="s">
        <v>53</v>
      </c>
      <c r="E1162" t="s">
        <v>4404</v>
      </c>
      <c r="F1162" t="s">
        <v>4405</v>
      </c>
      <c r="G1162" t="s">
        <v>4126</v>
      </c>
      <c r="H1162" t="s">
        <v>69</v>
      </c>
      <c r="I1162" t="s">
        <v>4393</v>
      </c>
      <c r="J1162" t="s">
        <v>4390</v>
      </c>
      <c r="K1162" t="s">
        <v>4391</v>
      </c>
      <c r="L1162" t="s">
        <v>52</v>
      </c>
      <c r="M1162">
        <v>0</v>
      </c>
      <c r="N1162">
        <v>855</v>
      </c>
      <c r="O1162" t="s">
        <v>61</v>
      </c>
      <c r="P1162">
        <v>100</v>
      </c>
      <c r="Q1162" t="s">
        <v>52</v>
      </c>
      <c r="R1162" t="s">
        <v>52</v>
      </c>
      <c r="S1162" t="s">
        <v>52</v>
      </c>
      <c r="T1162" t="s">
        <v>52</v>
      </c>
      <c r="U1162" t="s">
        <v>52</v>
      </c>
      <c r="V1162" t="s">
        <v>62</v>
      </c>
      <c r="W1162" t="s">
        <v>52</v>
      </c>
      <c r="Y1162" t="s">
        <v>4394</v>
      </c>
      <c r="Z1162" t="s">
        <v>62</v>
      </c>
      <c r="AB1162" t="s">
        <v>4407</v>
      </c>
      <c r="AE1162" t="s">
        <v>4408</v>
      </c>
      <c r="AF1162" t="s">
        <v>52</v>
      </c>
      <c r="AH1162">
        <v>0</v>
      </c>
      <c r="AI1162">
        <v>0</v>
      </c>
      <c r="AJ1162" t="s">
        <v>52</v>
      </c>
      <c r="AK1162">
        <v>0</v>
      </c>
      <c r="AL1162" t="s">
        <v>52</v>
      </c>
      <c r="AM1162" t="s">
        <v>52</v>
      </c>
      <c r="AN1162">
        <v>0</v>
      </c>
      <c r="AO1162">
        <v>0</v>
      </c>
      <c r="AP1162" t="s">
        <v>52</v>
      </c>
      <c r="AQ1162" t="s">
        <v>52</v>
      </c>
      <c r="AR1162" t="s">
        <v>62</v>
      </c>
      <c r="AS1162" t="s">
        <v>52</v>
      </c>
      <c r="AT1162" t="s">
        <v>74</v>
      </c>
      <c r="AU1162" t="s">
        <v>64</v>
      </c>
      <c r="AV1162" t="s">
        <v>62</v>
      </c>
      <c r="AW1162" t="s">
        <v>65</v>
      </c>
      <c r="AX1162" t="s">
        <v>66</v>
      </c>
      <c r="AY1162" t="s">
        <v>67</v>
      </c>
    </row>
    <row r="1163" spans="1:51" hidden="1" x14ac:dyDescent="0.25">
      <c r="A1163">
        <v>406075</v>
      </c>
      <c r="B1163" t="s">
        <v>4409</v>
      </c>
      <c r="C1163" t="e">
        <f>VLOOKUP(A1163,[1]Customer_payment_journal_line!$AL:$BO,30,0)</f>
        <v>#N/A</v>
      </c>
      <c r="D1163" t="s">
        <v>53</v>
      </c>
      <c r="E1163" t="s">
        <v>4410</v>
      </c>
      <c r="F1163" t="s">
        <v>4411</v>
      </c>
      <c r="G1163" t="s">
        <v>4126</v>
      </c>
      <c r="H1163" t="s">
        <v>57</v>
      </c>
      <c r="I1163" t="s">
        <v>1349</v>
      </c>
      <c r="J1163" t="s">
        <v>1586</v>
      </c>
      <c r="K1163" t="s">
        <v>1724</v>
      </c>
      <c r="L1163" t="s">
        <v>52</v>
      </c>
      <c r="M1163">
        <v>11970</v>
      </c>
      <c r="N1163">
        <v>0</v>
      </c>
      <c r="O1163" t="s">
        <v>61</v>
      </c>
      <c r="P1163">
        <v>100</v>
      </c>
      <c r="Q1163" t="s">
        <v>52</v>
      </c>
      <c r="R1163" t="s">
        <v>52</v>
      </c>
      <c r="S1163" t="s">
        <v>52</v>
      </c>
      <c r="T1163" t="s">
        <v>52</v>
      </c>
      <c r="U1163" t="s">
        <v>52</v>
      </c>
      <c r="V1163" t="s">
        <v>62</v>
      </c>
      <c r="W1163" t="s">
        <v>63</v>
      </c>
      <c r="Y1163" t="s">
        <v>52</v>
      </c>
      <c r="AB1163" t="s">
        <v>52</v>
      </c>
      <c r="AE1163" t="s">
        <v>52</v>
      </c>
      <c r="AF1163" t="s">
        <v>52</v>
      </c>
      <c r="AH1163">
        <v>0</v>
      </c>
      <c r="AI1163">
        <v>0</v>
      </c>
      <c r="AJ1163" t="s">
        <v>52</v>
      </c>
      <c r="AK1163">
        <v>0</v>
      </c>
      <c r="AL1163" t="s">
        <v>52</v>
      </c>
      <c r="AM1163" t="s">
        <v>52</v>
      </c>
      <c r="AN1163">
        <v>0</v>
      </c>
      <c r="AO1163">
        <v>0</v>
      </c>
      <c r="AP1163" t="s">
        <v>52</v>
      </c>
      <c r="AQ1163" t="s">
        <v>52</v>
      </c>
      <c r="AR1163" t="s">
        <v>62</v>
      </c>
      <c r="AS1163" t="s">
        <v>52</v>
      </c>
      <c r="AT1163" t="s">
        <v>52</v>
      </c>
      <c r="AU1163" t="s">
        <v>64</v>
      </c>
      <c r="AV1163" t="s">
        <v>62</v>
      </c>
      <c r="AW1163" t="s">
        <v>65</v>
      </c>
      <c r="AX1163" t="s">
        <v>66</v>
      </c>
      <c r="AY1163" t="s">
        <v>67</v>
      </c>
    </row>
    <row r="1164" spans="1:51" hidden="1" x14ac:dyDescent="0.25">
      <c r="A1164">
        <v>406075</v>
      </c>
      <c r="B1164" t="s">
        <v>4412</v>
      </c>
      <c r="C1164" t="e">
        <f>VLOOKUP(A1164,[1]Customer_payment_journal_line!$AL:$BO,30,0)</f>
        <v>#N/A</v>
      </c>
      <c r="D1164" t="s">
        <v>53</v>
      </c>
      <c r="E1164" t="s">
        <v>4410</v>
      </c>
      <c r="F1164" t="s">
        <v>4411</v>
      </c>
      <c r="G1164" t="s">
        <v>4126</v>
      </c>
      <c r="H1164" t="s">
        <v>69</v>
      </c>
      <c r="I1164" t="s">
        <v>797</v>
      </c>
      <c r="J1164" t="s">
        <v>1586</v>
      </c>
      <c r="K1164" t="s">
        <v>1724</v>
      </c>
      <c r="L1164" t="s">
        <v>52</v>
      </c>
      <c r="M1164">
        <v>0</v>
      </c>
      <c r="N1164">
        <v>11970</v>
      </c>
      <c r="O1164" t="s">
        <v>61</v>
      </c>
      <c r="P1164">
        <v>100</v>
      </c>
      <c r="Q1164" t="s">
        <v>52</v>
      </c>
      <c r="R1164" t="s">
        <v>52</v>
      </c>
      <c r="S1164" t="s">
        <v>52</v>
      </c>
      <c r="T1164" t="s">
        <v>52</v>
      </c>
      <c r="U1164" t="s">
        <v>52</v>
      </c>
      <c r="V1164" t="s">
        <v>62</v>
      </c>
      <c r="W1164" t="s">
        <v>52</v>
      </c>
      <c r="Y1164" t="s">
        <v>798</v>
      </c>
      <c r="Z1164" t="s">
        <v>62</v>
      </c>
      <c r="AB1164" t="s">
        <v>4413</v>
      </c>
      <c r="AE1164" t="s">
        <v>4414</v>
      </c>
      <c r="AF1164" t="s">
        <v>52</v>
      </c>
      <c r="AH1164">
        <v>0</v>
      </c>
      <c r="AI1164">
        <v>0</v>
      </c>
      <c r="AJ1164" t="s">
        <v>52</v>
      </c>
      <c r="AK1164">
        <v>0</v>
      </c>
      <c r="AL1164" t="s">
        <v>52</v>
      </c>
      <c r="AM1164" t="s">
        <v>52</v>
      </c>
      <c r="AN1164">
        <v>0</v>
      </c>
      <c r="AO1164">
        <v>0</v>
      </c>
      <c r="AP1164" t="s">
        <v>52</v>
      </c>
      <c r="AQ1164" t="s">
        <v>52</v>
      </c>
      <c r="AR1164" t="s">
        <v>62</v>
      </c>
      <c r="AS1164" t="s">
        <v>52</v>
      </c>
      <c r="AT1164" t="s">
        <v>74</v>
      </c>
      <c r="AU1164" t="s">
        <v>64</v>
      </c>
      <c r="AV1164" t="s">
        <v>62</v>
      </c>
      <c r="AW1164" t="s">
        <v>65</v>
      </c>
      <c r="AX1164" t="s">
        <v>66</v>
      </c>
      <c r="AY1164" t="s">
        <v>67</v>
      </c>
    </row>
    <row r="1165" spans="1:51" hidden="1" x14ac:dyDescent="0.25">
      <c r="A1165">
        <v>203188</v>
      </c>
      <c r="B1165" t="s">
        <v>4415</v>
      </c>
      <c r="C1165" t="e">
        <f>VLOOKUP(A1165,[1]Customer_payment_journal_line!$AL:$BO,30,0)</f>
        <v>#N/A</v>
      </c>
      <c r="D1165" t="s">
        <v>53</v>
      </c>
      <c r="E1165" t="s">
        <v>4416</v>
      </c>
      <c r="F1165" t="s">
        <v>4417</v>
      </c>
      <c r="G1165" t="s">
        <v>4126</v>
      </c>
      <c r="H1165" t="s">
        <v>57</v>
      </c>
      <c r="I1165" t="s">
        <v>1349</v>
      </c>
      <c r="J1165" t="s">
        <v>4418</v>
      </c>
      <c r="K1165" t="s">
        <v>3082</v>
      </c>
      <c r="L1165" t="s">
        <v>52</v>
      </c>
      <c r="M1165">
        <v>3420</v>
      </c>
      <c r="N1165">
        <v>0</v>
      </c>
      <c r="O1165" t="s">
        <v>61</v>
      </c>
      <c r="P1165">
        <v>100</v>
      </c>
      <c r="Q1165" t="s">
        <v>52</v>
      </c>
      <c r="R1165" t="s">
        <v>52</v>
      </c>
      <c r="S1165" t="s">
        <v>52</v>
      </c>
      <c r="T1165" t="s">
        <v>52</v>
      </c>
      <c r="U1165" t="s">
        <v>52</v>
      </c>
      <c r="V1165" t="s">
        <v>62</v>
      </c>
      <c r="W1165" t="s">
        <v>63</v>
      </c>
      <c r="Y1165" t="s">
        <v>52</v>
      </c>
      <c r="AB1165" t="s">
        <v>52</v>
      </c>
      <c r="AE1165" t="s">
        <v>52</v>
      </c>
      <c r="AF1165" t="s">
        <v>52</v>
      </c>
      <c r="AH1165">
        <v>0</v>
      </c>
      <c r="AI1165">
        <v>0</v>
      </c>
      <c r="AJ1165" t="s">
        <v>52</v>
      </c>
      <c r="AK1165">
        <v>0</v>
      </c>
      <c r="AL1165" t="s">
        <v>52</v>
      </c>
      <c r="AM1165" t="s">
        <v>52</v>
      </c>
      <c r="AN1165">
        <v>0</v>
      </c>
      <c r="AO1165">
        <v>0</v>
      </c>
      <c r="AP1165" t="s">
        <v>52</v>
      </c>
      <c r="AQ1165" t="s">
        <v>52</v>
      </c>
      <c r="AR1165" t="s">
        <v>62</v>
      </c>
      <c r="AS1165" t="s">
        <v>52</v>
      </c>
      <c r="AT1165" t="s">
        <v>52</v>
      </c>
      <c r="AU1165" t="s">
        <v>64</v>
      </c>
      <c r="AV1165" t="s">
        <v>62</v>
      </c>
      <c r="AW1165" t="s">
        <v>65</v>
      </c>
      <c r="AX1165" t="s">
        <v>66</v>
      </c>
      <c r="AY1165" t="s">
        <v>67</v>
      </c>
    </row>
    <row r="1166" spans="1:51" hidden="1" x14ac:dyDescent="0.25">
      <c r="A1166">
        <v>203188</v>
      </c>
      <c r="B1166" t="s">
        <v>4419</v>
      </c>
      <c r="C1166" t="e">
        <f>VLOOKUP(A1166,[1]Customer_payment_journal_line!$AL:$BO,30,0)</f>
        <v>#N/A</v>
      </c>
      <c r="D1166" t="s">
        <v>53</v>
      </c>
      <c r="E1166" t="s">
        <v>4416</v>
      </c>
      <c r="F1166" t="s">
        <v>4417</v>
      </c>
      <c r="G1166" t="s">
        <v>4126</v>
      </c>
      <c r="H1166" t="s">
        <v>69</v>
      </c>
      <c r="I1166" t="s">
        <v>3084</v>
      </c>
      <c r="J1166" t="s">
        <v>4418</v>
      </c>
      <c r="K1166" t="s">
        <v>3082</v>
      </c>
      <c r="L1166" t="s">
        <v>52</v>
      </c>
      <c r="M1166">
        <v>0</v>
      </c>
      <c r="N1166">
        <v>3420</v>
      </c>
      <c r="O1166" t="s">
        <v>61</v>
      </c>
      <c r="P1166">
        <v>100</v>
      </c>
      <c r="Q1166" t="s">
        <v>52</v>
      </c>
      <c r="R1166" t="s">
        <v>52</v>
      </c>
      <c r="S1166" t="s">
        <v>52</v>
      </c>
      <c r="T1166" t="s">
        <v>52</v>
      </c>
      <c r="U1166" t="s">
        <v>52</v>
      </c>
      <c r="V1166" t="s">
        <v>62</v>
      </c>
      <c r="W1166" t="s">
        <v>52</v>
      </c>
      <c r="Y1166" t="s">
        <v>3085</v>
      </c>
      <c r="Z1166" t="s">
        <v>62</v>
      </c>
      <c r="AB1166" t="s">
        <v>4420</v>
      </c>
      <c r="AE1166" t="s">
        <v>4421</v>
      </c>
      <c r="AF1166" t="s">
        <v>52</v>
      </c>
      <c r="AH1166">
        <v>0</v>
      </c>
      <c r="AI1166">
        <v>0</v>
      </c>
      <c r="AJ1166" t="s">
        <v>52</v>
      </c>
      <c r="AK1166">
        <v>0</v>
      </c>
      <c r="AL1166" t="s">
        <v>52</v>
      </c>
      <c r="AM1166" t="s">
        <v>52</v>
      </c>
      <c r="AN1166">
        <v>0</v>
      </c>
      <c r="AO1166">
        <v>0</v>
      </c>
      <c r="AP1166" t="s">
        <v>52</v>
      </c>
      <c r="AQ1166" t="s">
        <v>52</v>
      </c>
      <c r="AR1166" t="s">
        <v>62</v>
      </c>
      <c r="AS1166" t="s">
        <v>52</v>
      </c>
      <c r="AT1166" t="s">
        <v>74</v>
      </c>
      <c r="AU1166" t="s">
        <v>64</v>
      </c>
      <c r="AV1166" t="s">
        <v>62</v>
      </c>
      <c r="AW1166" t="s">
        <v>65</v>
      </c>
      <c r="AX1166" t="s">
        <v>66</v>
      </c>
      <c r="AY1166" t="s">
        <v>67</v>
      </c>
    </row>
    <row r="1167" spans="1:51" hidden="1" x14ac:dyDescent="0.25">
      <c r="A1167">
        <v>406077</v>
      </c>
      <c r="B1167" t="s">
        <v>4422</v>
      </c>
      <c r="C1167" t="e">
        <f>VLOOKUP(A1167,[1]Customer_payment_journal_line!$AL:$BO,30,0)</f>
        <v>#N/A</v>
      </c>
      <c r="D1167" t="s">
        <v>53</v>
      </c>
      <c r="E1167" t="s">
        <v>4423</v>
      </c>
      <c r="F1167" t="s">
        <v>4424</v>
      </c>
      <c r="G1167" t="s">
        <v>4126</v>
      </c>
      <c r="H1167" t="s">
        <v>57</v>
      </c>
      <c r="I1167" t="s">
        <v>58</v>
      </c>
      <c r="J1167" t="s">
        <v>3639</v>
      </c>
      <c r="K1167" t="s">
        <v>4425</v>
      </c>
      <c r="L1167" t="s">
        <v>52</v>
      </c>
      <c r="M1167">
        <v>2280</v>
      </c>
      <c r="N1167">
        <v>0</v>
      </c>
      <c r="O1167" t="s">
        <v>61</v>
      </c>
      <c r="P1167">
        <v>100</v>
      </c>
      <c r="Q1167" t="s">
        <v>52</v>
      </c>
      <c r="R1167" t="s">
        <v>52</v>
      </c>
      <c r="S1167" t="s">
        <v>52</v>
      </c>
      <c r="T1167" t="s">
        <v>52</v>
      </c>
      <c r="U1167" t="s">
        <v>52</v>
      </c>
      <c r="V1167" t="s">
        <v>62</v>
      </c>
      <c r="W1167" t="s">
        <v>63</v>
      </c>
      <c r="Y1167" t="s">
        <v>52</v>
      </c>
      <c r="AB1167" t="s">
        <v>52</v>
      </c>
      <c r="AE1167" t="s">
        <v>52</v>
      </c>
      <c r="AF1167" t="s">
        <v>52</v>
      </c>
      <c r="AH1167">
        <v>0</v>
      </c>
      <c r="AI1167">
        <v>0</v>
      </c>
      <c r="AJ1167" t="s">
        <v>52</v>
      </c>
      <c r="AK1167">
        <v>0</v>
      </c>
      <c r="AL1167" t="s">
        <v>52</v>
      </c>
      <c r="AM1167" t="s">
        <v>52</v>
      </c>
      <c r="AN1167">
        <v>0</v>
      </c>
      <c r="AO1167">
        <v>0</v>
      </c>
      <c r="AP1167" t="s">
        <v>52</v>
      </c>
      <c r="AQ1167" t="s">
        <v>52</v>
      </c>
      <c r="AR1167" t="s">
        <v>62</v>
      </c>
      <c r="AS1167" t="s">
        <v>52</v>
      </c>
      <c r="AT1167" t="s">
        <v>52</v>
      </c>
      <c r="AU1167" t="s">
        <v>64</v>
      </c>
      <c r="AV1167" t="s">
        <v>62</v>
      </c>
      <c r="AW1167" t="s">
        <v>65</v>
      </c>
      <c r="AX1167" t="s">
        <v>66</v>
      </c>
      <c r="AY1167" t="s">
        <v>67</v>
      </c>
    </row>
    <row r="1168" spans="1:51" hidden="1" x14ac:dyDescent="0.25">
      <c r="A1168">
        <v>406077</v>
      </c>
      <c r="B1168" t="s">
        <v>4426</v>
      </c>
      <c r="C1168" t="e">
        <f>VLOOKUP(A1168,[1]Customer_payment_journal_line!$AL:$BO,30,0)</f>
        <v>#N/A</v>
      </c>
      <c r="D1168" t="s">
        <v>53</v>
      </c>
      <c r="E1168" t="s">
        <v>4423</v>
      </c>
      <c r="F1168" t="s">
        <v>4424</v>
      </c>
      <c r="G1168" t="s">
        <v>4126</v>
      </c>
      <c r="H1168" t="s">
        <v>69</v>
      </c>
      <c r="I1168" t="s">
        <v>3642</v>
      </c>
      <c r="J1168" t="s">
        <v>3639</v>
      </c>
      <c r="K1168" t="s">
        <v>4425</v>
      </c>
      <c r="L1168" t="s">
        <v>52</v>
      </c>
      <c r="M1168">
        <v>0</v>
      </c>
      <c r="N1168">
        <v>2280</v>
      </c>
      <c r="O1168" t="s">
        <v>61</v>
      </c>
      <c r="P1168">
        <v>100</v>
      </c>
      <c r="Q1168" t="s">
        <v>52</v>
      </c>
      <c r="R1168" t="s">
        <v>52</v>
      </c>
      <c r="S1168" t="s">
        <v>52</v>
      </c>
      <c r="T1168" t="s">
        <v>52</v>
      </c>
      <c r="U1168" t="s">
        <v>52</v>
      </c>
      <c r="V1168" t="s">
        <v>62</v>
      </c>
      <c r="W1168" t="s">
        <v>52</v>
      </c>
      <c r="Y1168" t="s">
        <v>3643</v>
      </c>
      <c r="Z1168" t="s">
        <v>62</v>
      </c>
      <c r="AB1168" t="s">
        <v>4427</v>
      </c>
      <c r="AE1168" t="s">
        <v>4428</v>
      </c>
      <c r="AF1168" t="s">
        <v>52</v>
      </c>
      <c r="AH1168">
        <v>0</v>
      </c>
      <c r="AI1168">
        <v>0</v>
      </c>
      <c r="AJ1168" t="s">
        <v>52</v>
      </c>
      <c r="AK1168">
        <v>0</v>
      </c>
      <c r="AL1168" t="s">
        <v>52</v>
      </c>
      <c r="AM1168" t="s">
        <v>52</v>
      </c>
      <c r="AN1168">
        <v>0</v>
      </c>
      <c r="AO1168">
        <v>0</v>
      </c>
      <c r="AP1168" t="s">
        <v>52</v>
      </c>
      <c r="AQ1168" t="s">
        <v>52</v>
      </c>
      <c r="AR1168" t="s">
        <v>62</v>
      </c>
      <c r="AS1168" t="s">
        <v>52</v>
      </c>
      <c r="AT1168" t="s">
        <v>74</v>
      </c>
      <c r="AU1168" t="s">
        <v>64</v>
      </c>
      <c r="AV1168" t="s">
        <v>62</v>
      </c>
      <c r="AW1168" t="s">
        <v>65</v>
      </c>
      <c r="AX1168" t="s">
        <v>66</v>
      </c>
      <c r="AY1168" t="s">
        <v>67</v>
      </c>
    </row>
    <row r="1169" spans="1:51" hidden="1" x14ac:dyDescent="0.25">
      <c r="A1169">
        <v>404578</v>
      </c>
      <c r="B1169" t="s">
        <v>4429</v>
      </c>
      <c r="C1169" t="e">
        <f>VLOOKUP(A1169,[1]Customer_payment_journal_line!$AL:$BO,30,0)</f>
        <v>#N/A</v>
      </c>
      <c r="D1169" t="s">
        <v>53</v>
      </c>
      <c r="E1169" t="s">
        <v>4430</v>
      </c>
      <c r="F1169" t="s">
        <v>4431</v>
      </c>
      <c r="G1169" t="s">
        <v>4126</v>
      </c>
      <c r="H1169" t="s">
        <v>57</v>
      </c>
      <c r="I1169" t="s">
        <v>58</v>
      </c>
      <c r="J1169" t="s">
        <v>3859</v>
      </c>
      <c r="K1169" t="s">
        <v>4432</v>
      </c>
      <c r="L1169" t="s">
        <v>52</v>
      </c>
      <c r="M1169">
        <v>855</v>
      </c>
      <c r="N1169">
        <v>0</v>
      </c>
      <c r="O1169" t="s">
        <v>61</v>
      </c>
      <c r="P1169">
        <v>100</v>
      </c>
      <c r="Q1169" t="s">
        <v>52</v>
      </c>
      <c r="R1169" t="s">
        <v>52</v>
      </c>
      <c r="S1169" t="s">
        <v>52</v>
      </c>
      <c r="T1169" t="s">
        <v>52</v>
      </c>
      <c r="U1169" t="s">
        <v>52</v>
      </c>
      <c r="V1169" t="s">
        <v>62</v>
      </c>
      <c r="W1169" t="s">
        <v>63</v>
      </c>
      <c r="Y1169" t="s">
        <v>52</v>
      </c>
      <c r="AB1169" t="s">
        <v>52</v>
      </c>
      <c r="AE1169" t="s">
        <v>52</v>
      </c>
      <c r="AF1169" t="s">
        <v>52</v>
      </c>
      <c r="AH1169">
        <v>0</v>
      </c>
      <c r="AI1169">
        <v>0</v>
      </c>
      <c r="AJ1169" t="s">
        <v>52</v>
      </c>
      <c r="AK1169">
        <v>0</v>
      </c>
      <c r="AL1169" t="s">
        <v>52</v>
      </c>
      <c r="AM1169" t="s">
        <v>52</v>
      </c>
      <c r="AN1169">
        <v>0</v>
      </c>
      <c r="AO1169">
        <v>0</v>
      </c>
      <c r="AP1169" t="s">
        <v>52</v>
      </c>
      <c r="AQ1169" t="s">
        <v>52</v>
      </c>
      <c r="AR1169" t="s">
        <v>62</v>
      </c>
      <c r="AS1169" t="s">
        <v>52</v>
      </c>
      <c r="AT1169" t="s">
        <v>52</v>
      </c>
      <c r="AU1169" t="s">
        <v>64</v>
      </c>
      <c r="AV1169" t="s">
        <v>62</v>
      </c>
      <c r="AW1169" t="s">
        <v>65</v>
      </c>
      <c r="AX1169" t="s">
        <v>66</v>
      </c>
      <c r="AY1169" t="s">
        <v>67</v>
      </c>
    </row>
    <row r="1170" spans="1:51" hidden="1" x14ac:dyDescent="0.25">
      <c r="A1170">
        <v>404578</v>
      </c>
      <c r="B1170" t="s">
        <v>4433</v>
      </c>
      <c r="C1170" t="e">
        <f>VLOOKUP(A1170,[1]Customer_payment_journal_line!$AL:$BO,30,0)</f>
        <v>#N/A</v>
      </c>
      <c r="D1170" t="s">
        <v>53</v>
      </c>
      <c r="E1170" t="s">
        <v>4430</v>
      </c>
      <c r="F1170" t="s">
        <v>4431</v>
      </c>
      <c r="G1170" t="s">
        <v>4126</v>
      </c>
      <c r="H1170" t="s">
        <v>69</v>
      </c>
      <c r="I1170" t="s">
        <v>3642</v>
      </c>
      <c r="J1170" t="s">
        <v>3859</v>
      </c>
      <c r="K1170" t="s">
        <v>4432</v>
      </c>
      <c r="L1170" t="s">
        <v>52</v>
      </c>
      <c r="M1170">
        <v>0</v>
      </c>
      <c r="N1170">
        <v>855</v>
      </c>
      <c r="O1170" t="s">
        <v>61</v>
      </c>
      <c r="P1170">
        <v>100</v>
      </c>
      <c r="Q1170" t="s">
        <v>52</v>
      </c>
      <c r="R1170" t="s">
        <v>52</v>
      </c>
      <c r="S1170" t="s">
        <v>52</v>
      </c>
      <c r="T1170" t="s">
        <v>52</v>
      </c>
      <c r="U1170" t="s">
        <v>52</v>
      </c>
      <c r="V1170" t="s">
        <v>62</v>
      </c>
      <c r="W1170" t="s">
        <v>52</v>
      </c>
      <c r="Y1170" t="s">
        <v>3643</v>
      </c>
      <c r="Z1170" t="s">
        <v>62</v>
      </c>
      <c r="AB1170" t="s">
        <v>4434</v>
      </c>
      <c r="AE1170" t="s">
        <v>4435</v>
      </c>
      <c r="AF1170" t="s">
        <v>52</v>
      </c>
      <c r="AH1170">
        <v>0</v>
      </c>
      <c r="AI1170">
        <v>0</v>
      </c>
      <c r="AJ1170" t="s">
        <v>52</v>
      </c>
      <c r="AK1170">
        <v>0</v>
      </c>
      <c r="AL1170" t="s">
        <v>52</v>
      </c>
      <c r="AM1170" t="s">
        <v>52</v>
      </c>
      <c r="AN1170">
        <v>0</v>
      </c>
      <c r="AO1170">
        <v>0</v>
      </c>
      <c r="AP1170" t="s">
        <v>52</v>
      </c>
      <c r="AQ1170" t="s">
        <v>52</v>
      </c>
      <c r="AR1170" t="s">
        <v>62</v>
      </c>
      <c r="AS1170" t="s">
        <v>52</v>
      </c>
      <c r="AT1170" t="s">
        <v>74</v>
      </c>
      <c r="AU1170" t="s">
        <v>64</v>
      </c>
      <c r="AV1170" t="s">
        <v>62</v>
      </c>
      <c r="AW1170" t="s">
        <v>65</v>
      </c>
      <c r="AX1170" t="s">
        <v>66</v>
      </c>
      <c r="AY1170" t="s">
        <v>67</v>
      </c>
    </row>
    <row r="1171" spans="1:51" hidden="1" x14ac:dyDescent="0.25">
      <c r="A1171">
        <v>406078</v>
      </c>
      <c r="B1171" t="s">
        <v>4436</v>
      </c>
      <c r="C1171" t="e">
        <f>VLOOKUP(A1171,[1]Customer_payment_journal_line!$AL:$BO,30,0)</f>
        <v>#N/A</v>
      </c>
      <c r="D1171" t="s">
        <v>53</v>
      </c>
      <c r="E1171" t="s">
        <v>4437</v>
      </c>
      <c r="F1171" t="s">
        <v>4438</v>
      </c>
      <c r="G1171" t="s">
        <v>4126</v>
      </c>
      <c r="H1171" t="s">
        <v>57</v>
      </c>
      <c r="I1171" t="s">
        <v>58</v>
      </c>
      <c r="J1171" t="s">
        <v>3639</v>
      </c>
      <c r="K1171" t="s">
        <v>4319</v>
      </c>
      <c r="L1171" t="s">
        <v>52</v>
      </c>
      <c r="M1171">
        <v>8664</v>
      </c>
      <c r="N1171">
        <v>0</v>
      </c>
      <c r="O1171" t="s">
        <v>61</v>
      </c>
      <c r="P1171">
        <v>100</v>
      </c>
      <c r="Q1171" t="s">
        <v>52</v>
      </c>
      <c r="R1171" t="s">
        <v>52</v>
      </c>
      <c r="S1171" t="s">
        <v>52</v>
      </c>
      <c r="T1171" t="s">
        <v>52</v>
      </c>
      <c r="U1171" t="s">
        <v>52</v>
      </c>
      <c r="V1171" t="s">
        <v>62</v>
      </c>
      <c r="W1171" t="s">
        <v>63</v>
      </c>
      <c r="Y1171" t="s">
        <v>52</v>
      </c>
      <c r="AB1171" t="s">
        <v>52</v>
      </c>
      <c r="AE1171" t="s">
        <v>52</v>
      </c>
      <c r="AF1171" t="s">
        <v>52</v>
      </c>
      <c r="AH1171">
        <v>0</v>
      </c>
      <c r="AI1171">
        <v>0</v>
      </c>
      <c r="AJ1171" t="s">
        <v>52</v>
      </c>
      <c r="AK1171">
        <v>0</v>
      </c>
      <c r="AL1171" t="s">
        <v>52</v>
      </c>
      <c r="AM1171" t="s">
        <v>52</v>
      </c>
      <c r="AN1171">
        <v>0</v>
      </c>
      <c r="AO1171">
        <v>0</v>
      </c>
      <c r="AP1171" t="s">
        <v>52</v>
      </c>
      <c r="AQ1171" t="s">
        <v>52</v>
      </c>
      <c r="AR1171" t="s">
        <v>62</v>
      </c>
      <c r="AS1171" t="s">
        <v>52</v>
      </c>
      <c r="AT1171" t="s">
        <v>52</v>
      </c>
      <c r="AU1171" t="s">
        <v>64</v>
      </c>
      <c r="AV1171" t="s">
        <v>62</v>
      </c>
      <c r="AW1171" t="s">
        <v>65</v>
      </c>
      <c r="AX1171" t="s">
        <v>66</v>
      </c>
      <c r="AY1171" t="s">
        <v>67</v>
      </c>
    </row>
    <row r="1172" spans="1:51" hidden="1" x14ac:dyDescent="0.25">
      <c r="A1172">
        <v>406078</v>
      </c>
      <c r="B1172" t="s">
        <v>4439</v>
      </c>
      <c r="C1172" t="e">
        <f>VLOOKUP(A1172,[1]Customer_payment_journal_line!$AL:$BO,30,0)</f>
        <v>#N/A</v>
      </c>
      <c r="D1172" t="s">
        <v>53</v>
      </c>
      <c r="E1172" t="s">
        <v>4437</v>
      </c>
      <c r="F1172" t="s">
        <v>4438</v>
      </c>
      <c r="G1172" t="s">
        <v>4126</v>
      </c>
      <c r="H1172" t="s">
        <v>69</v>
      </c>
      <c r="I1172" t="s">
        <v>3642</v>
      </c>
      <c r="J1172" t="s">
        <v>3639</v>
      </c>
      <c r="K1172" t="s">
        <v>4319</v>
      </c>
      <c r="L1172" t="s">
        <v>52</v>
      </c>
      <c r="M1172">
        <v>0</v>
      </c>
      <c r="N1172">
        <v>8664</v>
      </c>
      <c r="O1172" t="s">
        <v>61</v>
      </c>
      <c r="P1172">
        <v>100</v>
      </c>
      <c r="Q1172" t="s">
        <v>52</v>
      </c>
      <c r="R1172" t="s">
        <v>52</v>
      </c>
      <c r="S1172" t="s">
        <v>52</v>
      </c>
      <c r="T1172" t="s">
        <v>52</v>
      </c>
      <c r="U1172" t="s">
        <v>52</v>
      </c>
      <c r="V1172" t="s">
        <v>62</v>
      </c>
      <c r="W1172" t="s">
        <v>52</v>
      </c>
      <c r="Y1172" t="s">
        <v>3643</v>
      </c>
      <c r="Z1172" t="s">
        <v>62</v>
      </c>
      <c r="AB1172" t="s">
        <v>4440</v>
      </c>
      <c r="AE1172" t="s">
        <v>4441</v>
      </c>
      <c r="AF1172" t="s">
        <v>52</v>
      </c>
      <c r="AH1172">
        <v>0</v>
      </c>
      <c r="AI1172">
        <v>0</v>
      </c>
      <c r="AJ1172" t="s">
        <v>52</v>
      </c>
      <c r="AK1172">
        <v>0</v>
      </c>
      <c r="AL1172" t="s">
        <v>52</v>
      </c>
      <c r="AM1172" t="s">
        <v>52</v>
      </c>
      <c r="AN1172">
        <v>0</v>
      </c>
      <c r="AO1172">
        <v>0</v>
      </c>
      <c r="AP1172" t="s">
        <v>52</v>
      </c>
      <c r="AQ1172" t="s">
        <v>52</v>
      </c>
      <c r="AR1172" t="s">
        <v>62</v>
      </c>
      <c r="AS1172" t="s">
        <v>52</v>
      </c>
      <c r="AT1172" t="s">
        <v>74</v>
      </c>
      <c r="AU1172" t="s">
        <v>64</v>
      </c>
      <c r="AV1172" t="s">
        <v>62</v>
      </c>
      <c r="AW1172" t="s">
        <v>65</v>
      </c>
      <c r="AX1172" t="s">
        <v>66</v>
      </c>
      <c r="AY1172" t="s">
        <v>67</v>
      </c>
    </row>
    <row r="1173" spans="1:51" hidden="1" x14ac:dyDescent="0.25">
      <c r="A1173">
        <v>406079</v>
      </c>
      <c r="B1173" t="s">
        <v>4442</v>
      </c>
      <c r="C1173" t="e">
        <f>VLOOKUP(A1173,[1]Customer_payment_journal_line!$AL:$BO,30,0)</f>
        <v>#N/A</v>
      </c>
      <c r="D1173" t="s">
        <v>53</v>
      </c>
      <c r="E1173" t="s">
        <v>4443</v>
      </c>
      <c r="F1173" t="s">
        <v>4444</v>
      </c>
      <c r="G1173" t="s">
        <v>4126</v>
      </c>
      <c r="H1173" t="s">
        <v>57</v>
      </c>
      <c r="I1173" t="s">
        <v>58</v>
      </c>
      <c r="J1173" t="s">
        <v>3639</v>
      </c>
      <c r="K1173" t="s">
        <v>4319</v>
      </c>
      <c r="L1173" t="s">
        <v>52</v>
      </c>
      <c r="M1173">
        <v>855</v>
      </c>
      <c r="N1173">
        <v>0</v>
      </c>
      <c r="O1173" t="s">
        <v>61</v>
      </c>
      <c r="P1173">
        <v>100</v>
      </c>
      <c r="Q1173" t="s">
        <v>52</v>
      </c>
      <c r="R1173" t="s">
        <v>52</v>
      </c>
      <c r="S1173" t="s">
        <v>52</v>
      </c>
      <c r="T1173" t="s">
        <v>52</v>
      </c>
      <c r="U1173" t="s">
        <v>52</v>
      </c>
      <c r="V1173" t="s">
        <v>62</v>
      </c>
      <c r="W1173" t="s">
        <v>63</v>
      </c>
      <c r="Y1173" t="s">
        <v>52</v>
      </c>
      <c r="AB1173" t="s">
        <v>52</v>
      </c>
      <c r="AE1173" t="s">
        <v>52</v>
      </c>
      <c r="AF1173" t="s">
        <v>52</v>
      </c>
      <c r="AH1173">
        <v>0</v>
      </c>
      <c r="AI1173">
        <v>0</v>
      </c>
      <c r="AJ1173" t="s">
        <v>52</v>
      </c>
      <c r="AK1173">
        <v>0</v>
      </c>
      <c r="AL1173" t="s">
        <v>52</v>
      </c>
      <c r="AM1173" t="s">
        <v>52</v>
      </c>
      <c r="AN1173">
        <v>0</v>
      </c>
      <c r="AO1173">
        <v>0</v>
      </c>
      <c r="AP1173" t="s">
        <v>52</v>
      </c>
      <c r="AQ1173" t="s">
        <v>52</v>
      </c>
      <c r="AR1173" t="s">
        <v>62</v>
      </c>
      <c r="AS1173" t="s">
        <v>52</v>
      </c>
      <c r="AT1173" t="s">
        <v>52</v>
      </c>
      <c r="AU1173" t="s">
        <v>64</v>
      </c>
      <c r="AV1173" t="s">
        <v>62</v>
      </c>
      <c r="AW1173" t="s">
        <v>65</v>
      </c>
      <c r="AX1173" t="s">
        <v>66</v>
      </c>
      <c r="AY1173" t="s">
        <v>67</v>
      </c>
    </row>
    <row r="1174" spans="1:51" hidden="1" x14ac:dyDescent="0.25">
      <c r="A1174">
        <v>406079</v>
      </c>
      <c r="B1174" t="s">
        <v>4445</v>
      </c>
      <c r="C1174" t="e">
        <f>VLOOKUP(A1174,[1]Customer_payment_journal_line!$AL:$BO,30,0)</f>
        <v>#N/A</v>
      </c>
      <c r="D1174" t="s">
        <v>53</v>
      </c>
      <c r="E1174" t="s">
        <v>4443</v>
      </c>
      <c r="F1174" t="s">
        <v>4444</v>
      </c>
      <c r="G1174" t="s">
        <v>4126</v>
      </c>
      <c r="H1174" t="s">
        <v>69</v>
      </c>
      <c r="I1174" t="s">
        <v>3642</v>
      </c>
      <c r="J1174" t="s">
        <v>3639</v>
      </c>
      <c r="K1174" t="s">
        <v>4319</v>
      </c>
      <c r="L1174" t="s">
        <v>52</v>
      </c>
      <c r="M1174">
        <v>0</v>
      </c>
      <c r="N1174">
        <v>855</v>
      </c>
      <c r="O1174" t="s">
        <v>61</v>
      </c>
      <c r="P1174">
        <v>100</v>
      </c>
      <c r="Q1174" t="s">
        <v>52</v>
      </c>
      <c r="R1174" t="s">
        <v>52</v>
      </c>
      <c r="S1174" t="s">
        <v>52</v>
      </c>
      <c r="T1174" t="s">
        <v>52</v>
      </c>
      <c r="U1174" t="s">
        <v>52</v>
      </c>
      <c r="V1174" t="s">
        <v>62</v>
      </c>
      <c r="W1174" t="s">
        <v>52</v>
      </c>
      <c r="Y1174" t="s">
        <v>3643</v>
      </c>
      <c r="Z1174" t="s">
        <v>62</v>
      </c>
      <c r="AB1174" t="s">
        <v>4446</v>
      </c>
      <c r="AE1174" t="s">
        <v>4447</v>
      </c>
      <c r="AF1174" t="s">
        <v>52</v>
      </c>
      <c r="AH1174">
        <v>0</v>
      </c>
      <c r="AI1174">
        <v>0</v>
      </c>
      <c r="AJ1174" t="s">
        <v>52</v>
      </c>
      <c r="AK1174">
        <v>0</v>
      </c>
      <c r="AL1174" t="s">
        <v>52</v>
      </c>
      <c r="AM1174" t="s">
        <v>52</v>
      </c>
      <c r="AN1174">
        <v>0</v>
      </c>
      <c r="AO1174">
        <v>0</v>
      </c>
      <c r="AP1174" t="s">
        <v>52</v>
      </c>
      <c r="AQ1174" t="s">
        <v>52</v>
      </c>
      <c r="AR1174" t="s">
        <v>62</v>
      </c>
      <c r="AS1174" t="s">
        <v>52</v>
      </c>
      <c r="AT1174" t="s">
        <v>74</v>
      </c>
      <c r="AU1174" t="s">
        <v>64</v>
      </c>
      <c r="AV1174" t="s">
        <v>62</v>
      </c>
      <c r="AW1174" t="s">
        <v>65</v>
      </c>
      <c r="AX1174" t="s">
        <v>66</v>
      </c>
      <c r="AY1174" t="s">
        <v>67</v>
      </c>
    </row>
    <row r="1175" spans="1:51" hidden="1" x14ac:dyDescent="0.25">
      <c r="A1175">
        <v>401668</v>
      </c>
      <c r="B1175" t="s">
        <v>4448</v>
      </c>
      <c r="C1175" t="e">
        <f>VLOOKUP(A1175,[1]Customer_payment_journal_line!$AL:$BO,30,0)</f>
        <v>#N/A</v>
      </c>
      <c r="D1175" t="s">
        <v>53</v>
      </c>
      <c r="E1175" t="s">
        <v>4449</v>
      </c>
      <c r="F1175" t="s">
        <v>4450</v>
      </c>
      <c r="G1175" t="s">
        <v>4126</v>
      </c>
      <c r="H1175" t="s">
        <v>57</v>
      </c>
      <c r="I1175" t="s">
        <v>58</v>
      </c>
      <c r="J1175" t="s">
        <v>3859</v>
      </c>
      <c r="K1175" t="s">
        <v>4451</v>
      </c>
      <c r="L1175" t="s">
        <v>52</v>
      </c>
      <c r="M1175">
        <v>912</v>
      </c>
      <c r="N1175">
        <v>0</v>
      </c>
      <c r="O1175" t="s">
        <v>61</v>
      </c>
      <c r="P1175">
        <v>100</v>
      </c>
      <c r="Q1175" t="s">
        <v>52</v>
      </c>
      <c r="R1175" t="s">
        <v>52</v>
      </c>
      <c r="S1175" t="s">
        <v>52</v>
      </c>
      <c r="T1175" t="s">
        <v>52</v>
      </c>
      <c r="U1175" t="s">
        <v>52</v>
      </c>
      <c r="V1175" t="s">
        <v>62</v>
      </c>
      <c r="W1175" t="s">
        <v>63</v>
      </c>
      <c r="Y1175" t="s">
        <v>52</v>
      </c>
      <c r="AB1175" t="s">
        <v>52</v>
      </c>
      <c r="AE1175" t="s">
        <v>52</v>
      </c>
      <c r="AF1175" t="s">
        <v>52</v>
      </c>
      <c r="AH1175">
        <v>0</v>
      </c>
      <c r="AI1175">
        <v>0</v>
      </c>
      <c r="AJ1175" t="s">
        <v>52</v>
      </c>
      <c r="AK1175">
        <v>0</v>
      </c>
      <c r="AL1175" t="s">
        <v>52</v>
      </c>
      <c r="AM1175" t="s">
        <v>52</v>
      </c>
      <c r="AN1175">
        <v>0</v>
      </c>
      <c r="AO1175">
        <v>0</v>
      </c>
      <c r="AP1175" t="s">
        <v>52</v>
      </c>
      <c r="AQ1175" t="s">
        <v>52</v>
      </c>
      <c r="AR1175" t="s">
        <v>62</v>
      </c>
      <c r="AS1175" t="s">
        <v>52</v>
      </c>
      <c r="AT1175" t="s">
        <v>52</v>
      </c>
      <c r="AU1175" t="s">
        <v>64</v>
      </c>
      <c r="AV1175" t="s">
        <v>62</v>
      </c>
      <c r="AW1175" t="s">
        <v>65</v>
      </c>
      <c r="AX1175" t="s">
        <v>66</v>
      </c>
      <c r="AY1175" t="s">
        <v>67</v>
      </c>
    </row>
    <row r="1176" spans="1:51" hidden="1" x14ac:dyDescent="0.25">
      <c r="A1176">
        <v>401668</v>
      </c>
      <c r="B1176" t="s">
        <v>4452</v>
      </c>
      <c r="C1176" t="e">
        <f>VLOOKUP(A1176,[1]Customer_payment_journal_line!$AL:$BO,30,0)</f>
        <v>#N/A</v>
      </c>
      <c r="D1176" t="s">
        <v>53</v>
      </c>
      <c r="E1176" t="s">
        <v>4449</v>
      </c>
      <c r="F1176" t="s">
        <v>4450</v>
      </c>
      <c r="G1176" t="s">
        <v>4126</v>
      </c>
      <c r="H1176" t="s">
        <v>69</v>
      </c>
      <c r="I1176" t="s">
        <v>3642</v>
      </c>
      <c r="J1176" t="s">
        <v>3859</v>
      </c>
      <c r="K1176" t="s">
        <v>4451</v>
      </c>
      <c r="L1176" t="s">
        <v>52</v>
      </c>
      <c r="M1176">
        <v>0</v>
      </c>
      <c r="N1176">
        <v>912</v>
      </c>
      <c r="O1176" t="s">
        <v>61</v>
      </c>
      <c r="P1176">
        <v>100</v>
      </c>
      <c r="Q1176" t="s">
        <v>52</v>
      </c>
      <c r="R1176" t="s">
        <v>52</v>
      </c>
      <c r="S1176" t="s">
        <v>52</v>
      </c>
      <c r="T1176" t="s">
        <v>52</v>
      </c>
      <c r="U1176" t="s">
        <v>52</v>
      </c>
      <c r="V1176" t="s">
        <v>62</v>
      </c>
      <c r="W1176" t="s">
        <v>52</v>
      </c>
      <c r="Y1176" t="s">
        <v>3643</v>
      </c>
      <c r="Z1176" t="s">
        <v>62</v>
      </c>
      <c r="AB1176" t="s">
        <v>4453</v>
      </c>
      <c r="AE1176" t="s">
        <v>4454</v>
      </c>
      <c r="AF1176" t="s">
        <v>52</v>
      </c>
      <c r="AH1176">
        <v>0</v>
      </c>
      <c r="AI1176">
        <v>0</v>
      </c>
      <c r="AJ1176" t="s">
        <v>52</v>
      </c>
      <c r="AK1176">
        <v>0</v>
      </c>
      <c r="AL1176" t="s">
        <v>52</v>
      </c>
      <c r="AM1176" t="s">
        <v>52</v>
      </c>
      <c r="AN1176">
        <v>0</v>
      </c>
      <c r="AO1176">
        <v>0</v>
      </c>
      <c r="AP1176" t="s">
        <v>52</v>
      </c>
      <c r="AQ1176" t="s">
        <v>52</v>
      </c>
      <c r="AR1176" t="s">
        <v>62</v>
      </c>
      <c r="AS1176" t="s">
        <v>52</v>
      </c>
      <c r="AT1176" t="s">
        <v>74</v>
      </c>
      <c r="AU1176" t="s">
        <v>64</v>
      </c>
      <c r="AV1176" t="s">
        <v>62</v>
      </c>
      <c r="AW1176" t="s">
        <v>65</v>
      </c>
      <c r="AX1176" t="s">
        <v>66</v>
      </c>
      <c r="AY1176" t="s">
        <v>67</v>
      </c>
    </row>
    <row r="1177" spans="1:51" hidden="1" x14ac:dyDescent="0.25">
      <c r="A1177">
        <v>403014</v>
      </c>
      <c r="B1177" t="s">
        <v>4455</v>
      </c>
      <c r="C1177" t="e">
        <f>VLOOKUP(A1177,[1]Customer_payment_journal_line!$AL:$BO,30,0)</f>
        <v>#N/A</v>
      </c>
      <c r="D1177" t="s">
        <v>53</v>
      </c>
      <c r="E1177" t="s">
        <v>4456</v>
      </c>
      <c r="F1177" t="s">
        <v>4457</v>
      </c>
      <c r="G1177" t="s">
        <v>4126</v>
      </c>
      <c r="H1177" t="s">
        <v>57</v>
      </c>
      <c r="I1177" t="s">
        <v>58</v>
      </c>
      <c r="J1177" t="s">
        <v>3859</v>
      </c>
      <c r="K1177" t="s">
        <v>4451</v>
      </c>
      <c r="L1177" t="s">
        <v>52</v>
      </c>
      <c r="M1177">
        <v>855</v>
      </c>
      <c r="N1177">
        <v>0</v>
      </c>
      <c r="O1177" t="s">
        <v>61</v>
      </c>
      <c r="P1177">
        <v>100</v>
      </c>
      <c r="Q1177" t="s">
        <v>52</v>
      </c>
      <c r="R1177" t="s">
        <v>52</v>
      </c>
      <c r="S1177" t="s">
        <v>52</v>
      </c>
      <c r="T1177" t="s">
        <v>52</v>
      </c>
      <c r="U1177" t="s">
        <v>52</v>
      </c>
      <c r="V1177" t="s">
        <v>62</v>
      </c>
      <c r="W1177" t="s">
        <v>63</v>
      </c>
      <c r="Y1177" t="s">
        <v>52</v>
      </c>
      <c r="AB1177" t="s">
        <v>52</v>
      </c>
      <c r="AE1177" t="s">
        <v>52</v>
      </c>
      <c r="AF1177" t="s">
        <v>52</v>
      </c>
      <c r="AH1177">
        <v>0</v>
      </c>
      <c r="AI1177">
        <v>0</v>
      </c>
      <c r="AJ1177" t="s">
        <v>52</v>
      </c>
      <c r="AK1177">
        <v>0</v>
      </c>
      <c r="AL1177" t="s">
        <v>52</v>
      </c>
      <c r="AM1177" t="s">
        <v>52</v>
      </c>
      <c r="AN1177">
        <v>0</v>
      </c>
      <c r="AO1177">
        <v>0</v>
      </c>
      <c r="AP1177" t="s">
        <v>52</v>
      </c>
      <c r="AQ1177" t="s">
        <v>52</v>
      </c>
      <c r="AR1177" t="s">
        <v>62</v>
      </c>
      <c r="AS1177" t="s">
        <v>52</v>
      </c>
      <c r="AT1177" t="s">
        <v>52</v>
      </c>
      <c r="AU1177" t="s">
        <v>64</v>
      </c>
      <c r="AV1177" t="s">
        <v>62</v>
      </c>
      <c r="AW1177" t="s">
        <v>65</v>
      </c>
      <c r="AX1177" t="s">
        <v>66</v>
      </c>
      <c r="AY1177" t="s">
        <v>67</v>
      </c>
    </row>
    <row r="1178" spans="1:51" hidden="1" x14ac:dyDescent="0.25">
      <c r="A1178">
        <v>403014</v>
      </c>
      <c r="B1178" t="s">
        <v>4458</v>
      </c>
      <c r="C1178" t="e">
        <f>VLOOKUP(A1178,[1]Customer_payment_journal_line!$AL:$BO,30,0)</f>
        <v>#N/A</v>
      </c>
      <c r="D1178" t="s">
        <v>53</v>
      </c>
      <c r="E1178" t="s">
        <v>4456</v>
      </c>
      <c r="F1178" t="s">
        <v>4457</v>
      </c>
      <c r="G1178" t="s">
        <v>4126</v>
      </c>
      <c r="H1178" t="s">
        <v>69</v>
      </c>
      <c r="I1178" t="s">
        <v>3642</v>
      </c>
      <c r="J1178" t="s">
        <v>3859</v>
      </c>
      <c r="K1178" t="s">
        <v>4451</v>
      </c>
      <c r="L1178" t="s">
        <v>52</v>
      </c>
      <c r="M1178">
        <v>0</v>
      </c>
      <c r="N1178">
        <v>855</v>
      </c>
      <c r="O1178" t="s">
        <v>61</v>
      </c>
      <c r="P1178">
        <v>100</v>
      </c>
      <c r="Q1178" t="s">
        <v>52</v>
      </c>
      <c r="R1178" t="s">
        <v>52</v>
      </c>
      <c r="S1178" t="s">
        <v>52</v>
      </c>
      <c r="T1178" t="s">
        <v>52</v>
      </c>
      <c r="U1178" t="s">
        <v>52</v>
      </c>
      <c r="V1178" t="s">
        <v>62</v>
      </c>
      <c r="W1178" t="s">
        <v>52</v>
      </c>
      <c r="Y1178" t="s">
        <v>3643</v>
      </c>
      <c r="Z1178" t="s">
        <v>62</v>
      </c>
      <c r="AB1178" t="s">
        <v>4459</v>
      </c>
      <c r="AE1178" t="s">
        <v>4460</v>
      </c>
      <c r="AF1178" t="s">
        <v>52</v>
      </c>
      <c r="AH1178">
        <v>0</v>
      </c>
      <c r="AI1178">
        <v>0</v>
      </c>
      <c r="AJ1178" t="s">
        <v>52</v>
      </c>
      <c r="AK1178">
        <v>0</v>
      </c>
      <c r="AL1178" t="s">
        <v>52</v>
      </c>
      <c r="AM1178" t="s">
        <v>52</v>
      </c>
      <c r="AN1178">
        <v>0</v>
      </c>
      <c r="AO1178">
        <v>0</v>
      </c>
      <c r="AP1178" t="s">
        <v>52</v>
      </c>
      <c r="AQ1178" t="s">
        <v>52</v>
      </c>
      <c r="AR1178" t="s">
        <v>62</v>
      </c>
      <c r="AS1178" t="s">
        <v>52</v>
      </c>
      <c r="AT1178" t="s">
        <v>74</v>
      </c>
      <c r="AU1178" t="s">
        <v>64</v>
      </c>
      <c r="AV1178" t="s">
        <v>62</v>
      </c>
      <c r="AW1178" t="s">
        <v>65</v>
      </c>
      <c r="AX1178" t="s">
        <v>66</v>
      </c>
      <c r="AY1178" t="s">
        <v>67</v>
      </c>
    </row>
    <row r="1179" spans="1:51" hidden="1" x14ac:dyDescent="0.25">
      <c r="A1179">
        <v>403534</v>
      </c>
      <c r="B1179" t="s">
        <v>4461</v>
      </c>
      <c r="C1179" t="e">
        <f>VLOOKUP(A1179,[1]Customer_payment_journal_line!$AL:$BO,30,0)</f>
        <v>#N/A</v>
      </c>
      <c r="D1179" t="s">
        <v>53</v>
      </c>
      <c r="E1179" t="s">
        <v>4462</v>
      </c>
      <c r="F1179" t="s">
        <v>4463</v>
      </c>
      <c r="G1179" t="s">
        <v>4126</v>
      </c>
      <c r="H1179" t="s">
        <v>57</v>
      </c>
      <c r="I1179" t="s">
        <v>58</v>
      </c>
      <c r="J1179" t="s">
        <v>3859</v>
      </c>
      <c r="K1179" t="s">
        <v>4432</v>
      </c>
      <c r="L1179" t="s">
        <v>52</v>
      </c>
      <c r="M1179">
        <v>4104</v>
      </c>
      <c r="N1179">
        <v>0</v>
      </c>
      <c r="O1179" t="s">
        <v>61</v>
      </c>
      <c r="P1179">
        <v>100</v>
      </c>
      <c r="Q1179" t="s">
        <v>52</v>
      </c>
      <c r="R1179" t="s">
        <v>52</v>
      </c>
      <c r="S1179" t="s">
        <v>52</v>
      </c>
      <c r="T1179" t="s">
        <v>52</v>
      </c>
      <c r="U1179" t="s">
        <v>52</v>
      </c>
      <c r="V1179" t="s">
        <v>62</v>
      </c>
      <c r="W1179" t="s">
        <v>63</v>
      </c>
      <c r="Y1179" t="s">
        <v>52</v>
      </c>
      <c r="AB1179" t="s">
        <v>52</v>
      </c>
      <c r="AE1179" t="s">
        <v>52</v>
      </c>
      <c r="AF1179" t="s">
        <v>52</v>
      </c>
      <c r="AH1179">
        <v>0</v>
      </c>
      <c r="AI1179">
        <v>0</v>
      </c>
      <c r="AJ1179" t="s">
        <v>52</v>
      </c>
      <c r="AK1179">
        <v>0</v>
      </c>
      <c r="AL1179" t="s">
        <v>52</v>
      </c>
      <c r="AM1179" t="s">
        <v>52</v>
      </c>
      <c r="AN1179">
        <v>0</v>
      </c>
      <c r="AO1179">
        <v>0</v>
      </c>
      <c r="AP1179" t="s">
        <v>52</v>
      </c>
      <c r="AQ1179" t="s">
        <v>52</v>
      </c>
      <c r="AR1179" t="s">
        <v>62</v>
      </c>
      <c r="AS1179" t="s">
        <v>52</v>
      </c>
      <c r="AT1179" t="s">
        <v>52</v>
      </c>
      <c r="AU1179" t="s">
        <v>64</v>
      </c>
      <c r="AV1179" t="s">
        <v>62</v>
      </c>
      <c r="AW1179" t="s">
        <v>65</v>
      </c>
      <c r="AX1179" t="s">
        <v>66</v>
      </c>
      <c r="AY1179" t="s">
        <v>67</v>
      </c>
    </row>
    <row r="1180" spans="1:51" hidden="1" x14ac:dyDescent="0.25">
      <c r="A1180">
        <v>403534</v>
      </c>
      <c r="B1180" t="s">
        <v>4464</v>
      </c>
      <c r="C1180" t="e">
        <f>VLOOKUP(A1180,[1]Customer_payment_journal_line!$AL:$BO,30,0)</f>
        <v>#N/A</v>
      </c>
      <c r="D1180" t="s">
        <v>53</v>
      </c>
      <c r="E1180" t="s">
        <v>4462</v>
      </c>
      <c r="F1180" t="s">
        <v>4463</v>
      </c>
      <c r="G1180" t="s">
        <v>4126</v>
      </c>
      <c r="H1180" t="s">
        <v>69</v>
      </c>
      <c r="I1180" t="s">
        <v>3642</v>
      </c>
      <c r="J1180" t="s">
        <v>3859</v>
      </c>
      <c r="K1180" t="s">
        <v>4432</v>
      </c>
      <c r="L1180" t="s">
        <v>52</v>
      </c>
      <c r="M1180">
        <v>0</v>
      </c>
      <c r="N1180">
        <v>4104</v>
      </c>
      <c r="O1180" t="s">
        <v>61</v>
      </c>
      <c r="P1180">
        <v>100</v>
      </c>
      <c r="Q1180" t="s">
        <v>52</v>
      </c>
      <c r="R1180" t="s">
        <v>52</v>
      </c>
      <c r="S1180" t="s">
        <v>52</v>
      </c>
      <c r="T1180" t="s">
        <v>52</v>
      </c>
      <c r="U1180" t="s">
        <v>52</v>
      </c>
      <c r="V1180" t="s">
        <v>62</v>
      </c>
      <c r="W1180" t="s">
        <v>52</v>
      </c>
      <c r="Y1180" t="s">
        <v>3643</v>
      </c>
      <c r="Z1180" t="s">
        <v>62</v>
      </c>
      <c r="AB1180" t="s">
        <v>4465</v>
      </c>
      <c r="AE1180" t="s">
        <v>4466</v>
      </c>
      <c r="AF1180" t="s">
        <v>52</v>
      </c>
      <c r="AH1180">
        <v>0</v>
      </c>
      <c r="AI1180">
        <v>0</v>
      </c>
      <c r="AJ1180" t="s">
        <v>52</v>
      </c>
      <c r="AK1180">
        <v>0</v>
      </c>
      <c r="AL1180" t="s">
        <v>52</v>
      </c>
      <c r="AM1180" t="s">
        <v>52</v>
      </c>
      <c r="AN1180">
        <v>0</v>
      </c>
      <c r="AO1180">
        <v>0</v>
      </c>
      <c r="AP1180" t="s">
        <v>52</v>
      </c>
      <c r="AQ1180" t="s">
        <v>52</v>
      </c>
      <c r="AR1180" t="s">
        <v>62</v>
      </c>
      <c r="AS1180" t="s">
        <v>52</v>
      </c>
      <c r="AT1180" t="s">
        <v>74</v>
      </c>
      <c r="AU1180" t="s">
        <v>64</v>
      </c>
      <c r="AV1180" t="s">
        <v>62</v>
      </c>
      <c r="AW1180" t="s">
        <v>65</v>
      </c>
      <c r="AX1180" t="s">
        <v>66</v>
      </c>
      <c r="AY1180" t="s">
        <v>67</v>
      </c>
    </row>
    <row r="1181" spans="1:51" hidden="1" x14ac:dyDescent="0.25">
      <c r="A1181">
        <v>406080</v>
      </c>
      <c r="B1181" t="s">
        <v>4467</v>
      </c>
      <c r="C1181" t="e">
        <f>VLOOKUP(A1181,[1]Customer_payment_journal_line!$AL:$BO,30,0)</f>
        <v>#N/A</v>
      </c>
      <c r="D1181" t="s">
        <v>53</v>
      </c>
      <c r="E1181" t="s">
        <v>4468</v>
      </c>
      <c r="F1181" t="s">
        <v>4469</v>
      </c>
      <c r="G1181" t="s">
        <v>4126</v>
      </c>
      <c r="H1181" t="s">
        <v>57</v>
      </c>
      <c r="I1181" t="s">
        <v>58</v>
      </c>
      <c r="J1181" t="s">
        <v>3639</v>
      </c>
      <c r="K1181" t="s">
        <v>4425</v>
      </c>
      <c r="L1181" t="s">
        <v>52</v>
      </c>
      <c r="M1181">
        <v>855</v>
      </c>
      <c r="N1181">
        <v>0</v>
      </c>
      <c r="O1181" t="s">
        <v>61</v>
      </c>
      <c r="P1181">
        <v>100</v>
      </c>
      <c r="Q1181" t="s">
        <v>52</v>
      </c>
      <c r="R1181" t="s">
        <v>52</v>
      </c>
      <c r="S1181" t="s">
        <v>52</v>
      </c>
      <c r="T1181" t="s">
        <v>52</v>
      </c>
      <c r="U1181" t="s">
        <v>52</v>
      </c>
      <c r="V1181" t="s">
        <v>62</v>
      </c>
      <c r="W1181" t="s">
        <v>63</v>
      </c>
      <c r="Y1181" t="s">
        <v>52</v>
      </c>
      <c r="AB1181" t="s">
        <v>52</v>
      </c>
      <c r="AE1181" t="s">
        <v>52</v>
      </c>
      <c r="AF1181" t="s">
        <v>52</v>
      </c>
      <c r="AH1181">
        <v>0</v>
      </c>
      <c r="AI1181">
        <v>0</v>
      </c>
      <c r="AJ1181" t="s">
        <v>52</v>
      </c>
      <c r="AK1181">
        <v>0</v>
      </c>
      <c r="AL1181" t="s">
        <v>52</v>
      </c>
      <c r="AM1181" t="s">
        <v>52</v>
      </c>
      <c r="AN1181">
        <v>0</v>
      </c>
      <c r="AO1181">
        <v>0</v>
      </c>
      <c r="AP1181" t="s">
        <v>52</v>
      </c>
      <c r="AQ1181" t="s">
        <v>52</v>
      </c>
      <c r="AR1181" t="s">
        <v>62</v>
      </c>
      <c r="AS1181" t="s">
        <v>52</v>
      </c>
      <c r="AT1181" t="s">
        <v>52</v>
      </c>
      <c r="AU1181" t="s">
        <v>64</v>
      </c>
      <c r="AV1181" t="s">
        <v>62</v>
      </c>
      <c r="AW1181" t="s">
        <v>65</v>
      </c>
      <c r="AX1181" t="s">
        <v>66</v>
      </c>
      <c r="AY1181" t="s">
        <v>67</v>
      </c>
    </row>
    <row r="1182" spans="1:51" hidden="1" x14ac:dyDescent="0.25">
      <c r="A1182">
        <v>406080</v>
      </c>
      <c r="B1182" t="s">
        <v>4470</v>
      </c>
      <c r="C1182" t="e">
        <f>VLOOKUP(A1182,[1]Customer_payment_journal_line!$AL:$BO,30,0)</f>
        <v>#N/A</v>
      </c>
      <c r="D1182" t="s">
        <v>53</v>
      </c>
      <c r="E1182" t="s">
        <v>4468</v>
      </c>
      <c r="F1182" t="s">
        <v>4469</v>
      </c>
      <c r="G1182" t="s">
        <v>4126</v>
      </c>
      <c r="H1182" t="s">
        <v>69</v>
      </c>
      <c r="I1182" t="s">
        <v>3642</v>
      </c>
      <c r="J1182" t="s">
        <v>3639</v>
      </c>
      <c r="K1182" t="s">
        <v>4425</v>
      </c>
      <c r="L1182" t="s">
        <v>52</v>
      </c>
      <c r="M1182">
        <v>0</v>
      </c>
      <c r="N1182">
        <v>855</v>
      </c>
      <c r="O1182" t="s">
        <v>61</v>
      </c>
      <c r="P1182">
        <v>100</v>
      </c>
      <c r="Q1182" t="s">
        <v>52</v>
      </c>
      <c r="R1182" t="s">
        <v>52</v>
      </c>
      <c r="S1182" t="s">
        <v>52</v>
      </c>
      <c r="T1182" t="s">
        <v>52</v>
      </c>
      <c r="U1182" t="s">
        <v>52</v>
      </c>
      <c r="V1182" t="s">
        <v>62</v>
      </c>
      <c r="W1182" t="s">
        <v>52</v>
      </c>
      <c r="Y1182" t="s">
        <v>3643</v>
      </c>
      <c r="Z1182" t="s">
        <v>62</v>
      </c>
      <c r="AB1182" t="s">
        <v>4471</v>
      </c>
      <c r="AE1182" t="s">
        <v>4472</v>
      </c>
      <c r="AF1182" t="s">
        <v>52</v>
      </c>
      <c r="AH1182">
        <v>0</v>
      </c>
      <c r="AI1182">
        <v>0</v>
      </c>
      <c r="AJ1182" t="s">
        <v>52</v>
      </c>
      <c r="AK1182">
        <v>0</v>
      </c>
      <c r="AL1182" t="s">
        <v>52</v>
      </c>
      <c r="AM1182" t="s">
        <v>52</v>
      </c>
      <c r="AN1182">
        <v>0</v>
      </c>
      <c r="AO1182">
        <v>0</v>
      </c>
      <c r="AP1182" t="s">
        <v>52</v>
      </c>
      <c r="AQ1182" t="s">
        <v>52</v>
      </c>
      <c r="AR1182" t="s">
        <v>62</v>
      </c>
      <c r="AS1182" t="s">
        <v>52</v>
      </c>
      <c r="AT1182" t="s">
        <v>74</v>
      </c>
      <c r="AU1182" t="s">
        <v>64</v>
      </c>
      <c r="AV1182" t="s">
        <v>62</v>
      </c>
      <c r="AW1182" t="s">
        <v>65</v>
      </c>
      <c r="AX1182" t="s">
        <v>66</v>
      </c>
      <c r="AY1182" t="s">
        <v>67</v>
      </c>
    </row>
    <row r="1183" spans="1:51" hidden="1" x14ac:dyDescent="0.25">
      <c r="A1183">
        <v>203198</v>
      </c>
      <c r="B1183" t="s">
        <v>4473</v>
      </c>
      <c r="C1183" t="e">
        <f>VLOOKUP(A1183,[1]Customer_payment_journal_line!$AL:$BO,30,0)</f>
        <v>#N/A</v>
      </c>
      <c r="D1183" t="s">
        <v>53</v>
      </c>
      <c r="E1183" t="s">
        <v>4474</v>
      </c>
      <c r="F1183" t="s">
        <v>4475</v>
      </c>
      <c r="G1183" t="s">
        <v>4126</v>
      </c>
      <c r="H1183" t="s">
        <v>57</v>
      </c>
      <c r="I1183" t="s">
        <v>319</v>
      </c>
      <c r="J1183" t="s">
        <v>4476</v>
      </c>
      <c r="K1183" t="s">
        <v>2109</v>
      </c>
      <c r="L1183" t="s">
        <v>52</v>
      </c>
      <c r="M1183">
        <v>4582.8</v>
      </c>
      <c r="N1183">
        <v>0</v>
      </c>
      <c r="O1183" t="s">
        <v>61</v>
      </c>
      <c r="P1183">
        <v>100</v>
      </c>
      <c r="Q1183" t="s">
        <v>52</v>
      </c>
      <c r="R1183" t="s">
        <v>52</v>
      </c>
      <c r="S1183" t="s">
        <v>52</v>
      </c>
      <c r="T1183" t="s">
        <v>52</v>
      </c>
      <c r="U1183" t="s">
        <v>52</v>
      </c>
      <c r="V1183" t="s">
        <v>62</v>
      </c>
      <c r="W1183" t="s">
        <v>63</v>
      </c>
      <c r="Y1183" t="s">
        <v>52</v>
      </c>
      <c r="AB1183" t="s">
        <v>52</v>
      </c>
      <c r="AE1183" t="s">
        <v>52</v>
      </c>
      <c r="AF1183" t="s">
        <v>52</v>
      </c>
      <c r="AH1183">
        <v>0</v>
      </c>
      <c r="AI1183">
        <v>0</v>
      </c>
      <c r="AJ1183" t="s">
        <v>52</v>
      </c>
      <c r="AK1183">
        <v>0</v>
      </c>
      <c r="AL1183" t="s">
        <v>52</v>
      </c>
      <c r="AM1183" t="s">
        <v>52</v>
      </c>
      <c r="AN1183">
        <v>0</v>
      </c>
      <c r="AO1183">
        <v>0</v>
      </c>
      <c r="AP1183" t="s">
        <v>52</v>
      </c>
      <c r="AQ1183" t="s">
        <v>52</v>
      </c>
      <c r="AR1183" t="s">
        <v>62</v>
      </c>
      <c r="AS1183" t="s">
        <v>52</v>
      </c>
      <c r="AT1183" t="s">
        <v>52</v>
      </c>
      <c r="AU1183" t="s">
        <v>64</v>
      </c>
      <c r="AV1183" t="s">
        <v>62</v>
      </c>
      <c r="AW1183" t="s">
        <v>65</v>
      </c>
      <c r="AX1183" t="s">
        <v>66</v>
      </c>
      <c r="AY1183" t="s">
        <v>67</v>
      </c>
    </row>
    <row r="1184" spans="1:51" hidden="1" x14ac:dyDescent="0.25">
      <c r="A1184">
        <v>203198</v>
      </c>
      <c r="B1184" t="s">
        <v>4477</v>
      </c>
      <c r="C1184" t="e">
        <f>VLOOKUP(A1184,[1]Customer_payment_journal_line!$AL:$BO,30,0)</f>
        <v>#N/A</v>
      </c>
      <c r="D1184" t="s">
        <v>53</v>
      </c>
      <c r="E1184" t="s">
        <v>4474</v>
      </c>
      <c r="F1184" t="s">
        <v>4475</v>
      </c>
      <c r="G1184" t="s">
        <v>4126</v>
      </c>
      <c r="H1184" t="s">
        <v>69</v>
      </c>
      <c r="I1184" t="s">
        <v>2111</v>
      </c>
      <c r="J1184" t="s">
        <v>4476</v>
      </c>
      <c r="K1184" t="s">
        <v>2109</v>
      </c>
      <c r="L1184" t="s">
        <v>52</v>
      </c>
      <c r="M1184">
        <v>0</v>
      </c>
      <c r="N1184">
        <v>4582.8</v>
      </c>
      <c r="O1184" t="s">
        <v>61</v>
      </c>
      <c r="P1184">
        <v>100</v>
      </c>
      <c r="Q1184" t="s">
        <v>52</v>
      </c>
      <c r="R1184" t="s">
        <v>52</v>
      </c>
      <c r="S1184" t="s">
        <v>52</v>
      </c>
      <c r="T1184" t="s">
        <v>52</v>
      </c>
      <c r="U1184" t="s">
        <v>52</v>
      </c>
      <c r="V1184" t="s">
        <v>62</v>
      </c>
      <c r="W1184" t="s">
        <v>52</v>
      </c>
      <c r="Y1184" t="s">
        <v>2112</v>
      </c>
      <c r="Z1184" t="s">
        <v>62</v>
      </c>
      <c r="AB1184" t="s">
        <v>4478</v>
      </c>
      <c r="AE1184" t="s">
        <v>4479</v>
      </c>
      <c r="AF1184" t="s">
        <v>52</v>
      </c>
      <c r="AH1184">
        <v>0</v>
      </c>
      <c r="AI1184">
        <v>0</v>
      </c>
      <c r="AJ1184" t="s">
        <v>52</v>
      </c>
      <c r="AK1184">
        <v>0</v>
      </c>
      <c r="AL1184" t="s">
        <v>52</v>
      </c>
      <c r="AM1184" t="s">
        <v>52</v>
      </c>
      <c r="AN1184">
        <v>0</v>
      </c>
      <c r="AO1184">
        <v>0</v>
      </c>
      <c r="AP1184" t="s">
        <v>52</v>
      </c>
      <c r="AQ1184" t="s">
        <v>52</v>
      </c>
      <c r="AR1184" t="s">
        <v>62</v>
      </c>
      <c r="AS1184" t="s">
        <v>52</v>
      </c>
      <c r="AT1184" t="s">
        <v>74</v>
      </c>
      <c r="AU1184" t="s">
        <v>64</v>
      </c>
      <c r="AV1184" t="s">
        <v>62</v>
      </c>
      <c r="AW1184" t="s">
        <v>65</v>
      </c>
      <c r="AX1184" t="s">
        <v>66</v>
      </c>
      <c r="AY1184" t="s">
        <v>67</v>
      </c>
    </row>
    <row r="1185" spans="1:51" hidden="1" x14ac:dyDescent="0.25">
      <c r="A1185">
        <v>203199</v>
      </c>
      <c r="B1185" t="s">
        <v>4480</v>
      </c>
      <c r="C1185" t="e">
        <f>VLOOKUP(A1185,[1]Customer_payment_journal_line!$AL:$BO,30,0)</f>
        <v>#N/A</v>
      </c>
      <c r="D1185" t="s">
        <v>53</v>
      </c>
      <c r="E1185" t="s">
        <v>4481</v>
      </c>
      <c r="F1185" t="s">
        <v>4482</v>
      </c>
      <c r="G1185" t="s">
        <v>4126</v>
      </c>
      <c r="H1185" t="s">
        <v>57</v>
      </c>
      <c r="I1185" t="s">
        <v>319</v>
      </c>
      <c r="J1185" t="s">
        <v>4483</v>
      </c>
      <c r="K1185" t="s">
        <v>2109</v>
      </c>
      <c r="L1185" t="s">
        <v>52</v>
      </c>
      <c r="M1185">
        <v>2500</v>
      </c>
      <c r="N1185">
        <v>0</v>
      </c>
      <c r="O1185" t="s">
        <v>61</v>
      </c>
      <c r="P1185">
        <v>100</v>
      </c>
      <c r="Q1185" t="s">
        <v>52</v>
      </c>
      <c r="R1185" t="s">
        <v>52</v>
      </c>
      <c r="S1185" t="s">
        <v>52</v>
      </c>
      <c r="T1185" t="s">
        <v>52</v>
      </c>
      <c r="U1185" t="s">
        <v>52</v>
      </c>
      <c r="V1185" t="s">
        <v>62</v>
      </c>
      <c r="W1185" t="s">
        <v>63</v>
      </c>
      <c r="Y1185" t="s">
        <v>52</v>
      </c>
      <c r="AB1185" t="s">
        <v>52</v>
      </c>
      <c r="AE1185" t="s">
        <v>52</v>
      </c>
      <c r="AF1185" t="s">
        <v>52</v>
      </c>
      <c r="AH1185">
        <v>0</v>
      </c>
      <c r="AI1185">
        <v>0</v>
      </c>
      <c r="AJ1185" t="s">
        <v>52</v>
      </c>
      <c r="AK1185">
        <v>0</v>
      </c>
      <c r="AL1185" t="s">
        <v>52</v>
      </c>
      <c r="AM1185" t="s">
        <v>52</v>
      </c>
      <c r="AN1185">
        <v>0</v>
      </c>
      <c r="AO1185">
        <v>0</v>
      </c>
      <c r="AP1185" t="s">
        <v>52</v>
      </c>
      <c r="AQ1185" t="s">
        <v>52</v>
      </c>
      <c r="AR1185" t="s">
        <v>62</v>
      </c>
      <c r="AS1185" t="s">
        <v>52</v>
      </c>
      <c r="AT1185" t="s">
        <v>52</v>
      </c>
      <c r="AU1185" t="s">
        <v>64</v>
      </c>
      <c r="AV1185" t="s">
        <v>62</v>
      </c>
      <c r="AW1185" t="s">
        <v>65</v>
      </c>
      <c r="AX1185" t="s">
        <v>66</v>
      </c>
      <c r="AY1185" t="s">
        <v>67</v>
      </c>
    </row>
    <row r="1186" spans="1:51" hidden="1" x14ac:dyDescent="0.25">
      <c r="A1186">
        <v>203199</v>
      </c>
      <c r="B1186" t="s">
        <v>4484</v>
      </c>
      <c r="C1186" t="e">
        <f>VLOOKUP(A1186,[1]Customer_payment_journal_line!$AL:$BO,30,0)</f>
        <v>#N/A</v>
      </c>
      <c r="D1186" t="s">
        <v>53</v>
      </c>
      <c r="E1186" t="s">
        <v>4481</v>
      </c>
      <c r="F1186" t="s">
        <v>4482</v>
      </c>
      <c r="G1186" t="s">
        <v>4126</v>
      </c>
      <c r="H1186" t="s">
        <v>69</v>
      </c>
      <c r="I1186" t="s">
        <v>2111</v>
      </c>
      <c r="J1186" t="s">
        <v>4483</v>
      </c>
      <c r="K1186" t="s">
        <v>2109</v>
      </c>
      <c r="L1186" t="s">
        <v>52</v>
      </c>
      <c r="M1186">
        <v>0</v>
      </c>
      <c r="N1186">
        <v>2500</v>
      </c>
      <c r="O1186" t="s">
        <v>61</v>
      </c>
      <c r="P1186">
        <v>100</v>
      </c>
      <c r="Q1186" t="s">
        <v>52</v>
      </c>
      <c r="R1186" t="s">
        <v>52</v>
      </c>
      <c r="S1186" t="s">
        <v>52</v>
      </c>
      <c r="T1186" t="s">
        <v>52</v>
      </c>
      <c r="U1186" t="s">
        <v>52</v>
      </c>
      <c r="V1186" t="s">
        <v>62</v>
      </c>
      <c r="W1186" t="s">
        <v>52</v>
      </c>
      <c r="Y1186" t="s">
        <v>2112</v>
      </c>
      <c r="Z1186" t="s">
        <v>62</v>
      </c>
      <c r="AB1186" t="s">
        <v>4485</v>
      </c>
      <c r="AE1186" t="s">
        <v>4486</v>
      </c>
      <c r="AF1186" t="s">
        <v>52</v>
      </c>
      <c r="AH1186">
        <v>0</v>
      </c>
      <c r="AI1186">
        <v>0</v>
      </c>
      <c r="AJ1186" t="s">
        <v>52</v>
      </c>
      <c r="AK1186">
        <v>0</v>
      </c>
      <c r="AL1186" t="s">
        <v>52</v>
      </c>
      <c r="AM1186" t="s">
        <v>52</v>
      </c>
      <c r="AN1186">
        <v>0</v>
      </c>
      <c r="AO1186">
        <v>0</v>
      </c>
      <c r="AP1186" t="s">
        <v>52</v>
      </c>
      <c r="AQ1186" t="s">
        <v>52</v>
      </c>
      <c r="AR1186" t="s">
        <v>62</v>
      </c>
      <c r="AS1186" t="s">
        <v>52</v>
      </c>
      <c r="AT1186" t="s">
        <v>74</v>
      </c>
      <c r="AU1186" t="s">
        <v>64</v>
      </c>
      <c r="AV1186" t="s">
        <v>62</v>
      </c>
      <c r="AW1186" t="s">
        <v>65</v>
      </c>
      <c r="AX1186" t="s">
        <v>66</v>
      </c>
      <c r="AY1186" t="s">
        <v>67</v>
      </c>
    </row>
    <row r="1187" spans="1:51" hidden="1" x14ac:dyDescent="0.25">
      <c r="A1187">
        <v>402006</v>
      </c>
      <c r="B1187" t="s">
        <v>4487</v>
      </c>
      <c r="C1187" t="e">
        <f>VLOOKUP(A1187,[1]Customer_payment_journal_line!$AL:$BO,30,0)</f>
        <v>#N/A</v>
      </c>
      <c r="D1187" t="s">
        <v>53</v>
      </c>
      <c r="E1187" t="s">
        <v>4488</v>
      </c>
      <c r="F1187" t="s">
        <v>4489</v>
      </c>
      <c r="G1187" t="s">
        <v>4126</v>
      </c>
      <c r="H1187" t="s">
        <v>57</v>
      </c>
      <c r="I1187" t="s">
        <v>516</v>
      </c>
      <c r="J1187" t="s">
        <v>3859</v>
      </c>
      <c r="K1187" t="s">
        <v>4432</v>
      </c>
      <c r="L1187" t="s">
        <v>52</v>
      </c>
      <c r="M1187">
        <v>45</v>
      </c>
      <c r="N1187">
        <v>0</v>
      </c>
      <c r="O1187" t="s">
        <v>178</v>
      </c>
      <c r="P1187">
        <v>5085</v>
      </c>
      <c r="Q1187" t="s">
        <v>52</v>
      </c>
      <c r="R1187" t="s">
        <v>52</v>
      </c>
      <c r="S1187" t="s">
        <v>52</v>
      </c>
      <c r="T1187" t="s">
        <v>52</v>
      </c>
      <c r="U1187" t="s">
        <v>52</v>
      </c>
      <c r="V1187" t="s">
        <v>62</v>
      </c>
      <c r="W1187" t="s">
        <v>63</v>
      </c>
      <c r="Y1187" t="s">
        <v>52</v>
      </c>
      <c r="AB1187" t="s">
        <v>52</v>
      </c>
      <c r="AE1187" t="s">
        <v>52</v>
      </c>
      <c r="AF1187" t="s">
        <v>52</v>
      </c>
      <c r="AH1187">
        <v>0</v>
      </c>
      <c r="AI1187">
        <v>0</v>
      </c>
      <c r="AJ1187" t="s">
        <v>52</v>
      </c>
      <c r="AK1187">
        <v>0</v>
      </c>
      <c r="AL1187" t="s">
        <v>52</v>
      </c>
      <c r="AM1187" t="s">
        <v>52</v>
      </c>
      <c r="AN1187">
        <v>0</v>
      </c>
      <c r="AO1187">
        <v>0</v>
      </c>
      <c r="AP1187" t="s">
        <v>52</v>
      </c>
      <c r="AQ1187" t="s">
        <v>52</v>
      </c>
      <c r="AR1187" t="s">
        <v>62</v>
      </c>
      <c r="AS1187" t="s">
        <v>52</v>
      </c>
      <c r="AT1187" t="s">
        <v>52</v>
      </c>
      <c r="AU1187" t="s">
        <v>64</v>
      </c>
      <c r="AV1187" t="s">
        <v>62</v>
      </c>
      <c r="AW1187" t="s">
        <v>65</v>
      </c>
      <c r="AX1187" t="s">
        <v>66</v>
      </c>
      <c r="AY1187" t="s">
        <v>67</v>
      </c>
    </row>
    <row r="1188" spans="1:51" hidden="1" x14ac:dyDescent="0.25">
      <c r="A1188">
        <v>402006</v>
      </c>
      <c r="B1188" t="s">
        <v>4490</v>
      </c>
      <c r="C1188" t="e">
        <f>VLOOKUP(A1188,[1]Customer_payment_journal_line!$AL:$BO,30,0)</f>
        <v>#N/A</v>
      </c>
      <c r="D1188" t="s">
        <v>53</v>
      </c>
      <c r="E1188" t="s">
        <v>4488</v>
      </c>
      <c r="F1188" t="s">
        <v>4489</v>
      </c>
      <c r="G1188" t="s">
        <v>4126</v>
      </c>
      <c r="H1188" t="s">
        <v>69</v>
      </c>
      <c r="I1188" t="s">
        <v>3642</v>
      </c>
      <c r="J1188" t="s">
        <v>3859</v>
      </c>
      <c r="K1188" t="s">
        <v>4432</v>
      </c>
      <c r="L1188" t="s">
        <v>52</v>
      </c>
      <c r="M1188">
        <v>0</v>
      </c>
      <c r="N1188">
        <v>45</v>
      </c>
      <c r="O1188" t="s">
        <v>178</v>
      </c>
      <c r="P1188">
        <v>5085</v>
      </c>
      <c r="Q1188" t="s">
        <v>52</v>
      </c>
      <c r="R1188" t="s">
        <v>52</v>
      </c>
      <c r="S1188" t="s">
        <v>52</v>
      </c>
      <c r="T1188" t="s">
        <v>52</v>
      </c>
      <c r="U1188" t="s">
        <v>52</v>
      </c>
      <c r="V1188" t="s">
        <v>62</v>
      </c>
      <c r="W1188" t="s">
        <v>52</v>
      </c>
      <c r="Y1188" t="s">
        <v>3643</v>
      </c>
      <c r="Z1188" t="s">
        <v>62</v>
      </c>
      <c r="AB1188" t="s">
        <v>4491</v>
      </c>
      <c r="AE1188" t="s">
        <v>4492</v>
      </c>
      <c r="AF1188" t="s">
        <v>52</v>
      </c>
      <c r="AH1188">
        <v>0</v>
      </c>
      <c r="AI1188">
        <v>0</v>
      </c>
      <c r="AJ1188" t="s">
        <v>52</v>
      </c>
      <c r="AK1188">
        <v>0</v>
      </c>
      <c r="AL1188" t="s">
        <v>52</v>
      </c>
      <c r="AM1188" t="s">
        <v>52</v>
      </c>
      <c r="AN1188">
        <v>0</v>
      </c>
      <c r="AO1188">
        <v>0</v>
      </c>
      <c r="AP1188" t="s">
        <v>52</v>
      </c>
      <c r="AQ1188" t="s">
        <v>52</v>
      </c>
      <c r="AR1188" t="s">
        <v>62</v>
      </c>
      <c r="AS1188" t="s">
        <v>52</v>
      </c>
      <c r="AT1188" t="s">
        <v>74</v>
      </c>
      <c r="AU1188" t="s">
        <v>64</v>
      </c>
      <c r="AV1188" t="s">
        <v>62</v>
      </c>
      <c r="AW1188" t="s">
        <v>65</v>
      </c>
      <c r="AX1188" t="s">
        <v>66</v>
      </c>
      <c r="AY1188" t="s">
        <v>67</v>
      </c>
    </row>
    <row r="1189" spans="1:51" hidden="1" x14ac:dyDescent="0.25">
      <c r="A1189">
        <v>402958</v>
      </c>
      <c r="B1189" t="s">
        <v>4493</v>
      </c>
      <c r="C1189" t="e">
        <f>VLOOKUP(A1189,[1]Customer_payment_journal_line!$AL:$BO,30,0)</f>
        <v>#N/A</v>
      </c>
      <c r="D1189" t="s">
        <v>53</v>
      </c>
      <c r="E1189" t="s">
        <v>4494</v>
      </c>
      <c r="F1189" t="s">
        <v>4495</v>
      </c>
      <c r="G1189" t="s">
        <v>4126</v>
      </c>
      <c r="H1189" t="s">
        <v>57</v>
      </c>
      <c r="I1189" t="s">
        <v>516</v>
      </c>
      <c r="J1189" t="s">
        <v>3859</v>
      </c>
      <c r="K1189" t="s">
        <v>4451</v>
      </c>
      <c r="L1189" t="s">
        <v>52</v>
      </c>
      <c r="M1189">
        <v>10</v>
      </c>
      <c r="N1189">
        <v>0</v>
      </c>
      <c r="O1189" t="s">
        <v>178</v>
      </c>
      <c r="P1189">
        <v>5085</v>
      </c>
      <c r="Q1189" t="s">
        <v>52</v>
      </c>
      <c r="R1189" t="s">
        <v>52</v>
      </c>
      <c r="S1189" t="s">
        <v>52</v>
      </c>
      <c r="T1189" t="s">
        <v>52</v>
      </c>
      <c r="U1189" t="s">
        <v>52</v>
      </c>
      <c r="V1189" t="s">
        <v>62</v>
      </c>
      <c r="W1189" t="s">
        <v>63</v>
      </c>
      <c r="Y1189" t="s">
        <v>52</v>
      </c>
      <c r="AB1189" t="s">
        <v>52</v>
      </c>
      <c r="AE1189" t="s">
        <v>52</v>
      </c>
      <c r="AF1189" t="s">
        <v>52</v>
      </c>
      <c r="AH1189">
        <v>0</v>
      </c>
      <c r="AI1189">
        <v>0</v>
      </c>
      <c r="AJ1189" t="s">
        <v>52</v>
      </c>
      <c r="AK1189">
        <v>0</v>
      </c>
      <c r="AL1189" t="s">
        <v>52</v>
      </c>
      <c r="AM1189" t="s">
        <v>52</v>
      </c>
      <c r="AN1189">
        <v>0</v>
      </c>
      <c r="AO1189">
        <v>0</v>
      </c>
      <c r="AP1189" t="s">
        <v>52</v>
      </c>
      <c r="AQ1189" t="s">
        <v>52</v>
      </c>
      <c r="AR1189" t="s">
        <v>62</v>
      </c>
      <c r="AS1189" t="s">
        <v>52</v>
      </c>
      <c r="AT1189" t="s">
        <v>52</v>
      </c>
      <c r="AU1189" t="s">
        <v>64</v>
      </c>
      <c r="AV1189" t="s">
        <v>62</v>
      </c>
      <c r="AW1189" t="s">
        <v>65</v>
      </c>
      <c r="AX1189" t="s">
        <v>66</v>
      </c>
      <c r="AY1189" t="s">
        <v>67</v>
      </c>
    </row>
    <row r="1190" spans="1:51" hidden="1" x14ac:dyDescent="0.25">
      <c r="A1190">
        <v>402958</v>
      </c>
      <c r="B1190" t="s">
        <v>4496</v>
      </c>
      <c r="C1190" t="e">
        <f>VLOOKUP(A1190,[1]Customer_payment_journal_line!$AL:$BO,30,0)</f>
        <v>#N/A</v>
      </c>
      <c r="D1190" t="s">
        <v>53</v>
      </c>
      <c r="E1190" t="s">
        <v>4494</v>
      </c>
      <c r="F1190" t="s">
        <v>4495</v>
      </c>
      <c r="G1190" t="s">
        <v>4126</v>
      </c>
      <c r="H1190" t="s">
        <v>69</v>
      </c>
      <c r="I1190" t="s">
        <v>3642</v>
      </c>
      <c r="J1190" t="s">
        <v>3859</v>
      </c>
      <c r="K1190" t="s">
        <v>4451</v>
      </c>
      <c r="L1190" t="s">
        <v>52</v>
      </c>
      <c r="M1190">
        <v>0</v>
      </c>
      <c r="N1190">
        <v>10</v>
      </c>
      <c r="O1190" t="s">
        <v>178</v>
      </c>
      <c r="P1190">
        <v>5085</v>
      </c>
      <c r="Q1190" t="s">
        <v>52</v>
      </c>
      <c r="R1190" t="s">
        <v>52</v>
      </c>
      <c r="S1190" t="s">
        <v>52</v>
      </c>
      <c r="T1190" t="s">
        <v>52</v>
      </c>
      <c r="U1190" t="s">
        <v>52</v>
      </c>
      <c r="V1190" t="s">
        <v>62</v>
      </c>
      <c r="W1190" t="s">
        <v>52</v>
      </c>
      <c r="Y1190" t="s">
        <v>3643</v>
      </c>
      <c r="Z1190" t="s">
        <v>62</v>
      </c>
      <c r="AB1190" t="s">
        <v>4497</v>
      </c>
      <c r="AE1190" t="s">
        <v>4498</v>
      </c>
      <c r="AF1190" t="s">
        <v>52</v>
      </c>
      <c r="AH1190">
        <v>0</v>
      </c>
      <c r="AI1190">
        <v>0</v>
      </c>
      <c r="AJ1190" t="s">
        <v>52</v>
      </c>
      <c r="AK1190">
        <v>0</v>
      </c>
      <c r="AL1190" t="s">
        <v>52</v>
      </c>
      <c r="AM1190" t="s">
        <v>52</v>
      </c>
      <c r="AN1190">
        <v>0</v>
      </c>
      <c r="AO1190">
        <v>0</v>
      </c>
      <c r="AP1190" t="s">
        <v>52</v>
      </c>
      <c r="AQ1190" t="s">
        <v>52</v>
      </c>
      <c r="AR1190" t="s">
        <v>62</v>
      </c>
      <c r="AS1190" t="s">
        <v>52</v>
      </c>
      <c r="AT1190" t="s">
        <v>74</v>
      </c>
      <c r="AU1190" t="s">
        <v>64</v>
      </c>
      <c r="AV1190" t="s">
        <v>62</v>
      </c>
      <c r="AW1190" t="s">
        <v>65</v>
      </c>
      <c r="AX1190" t="s">
        <v>66</v>
      </c>
      <c r="AY1190" t="s">
        <v>67</v>
      </c>
    </row>
    <row r="1191" spans="1:51" hidden="1" x14ac:dyDescent="0.25">
      <c r="A1191">
        <v>406081</v>
      </c>
      <c r="B1191" t="s">
        <v>4499</v>
      </c>
      <c r="C1191" t="e">
        <f>VLOOKUP(A1191,[1]Customer_payment_journal_line!$AL:$BO,30,0)</f>
        <v>#N/A</v>
      </c>
      <c r="D1191" t="s">
        <v>53</v>
      </c>
      <c r="E1191" t="s">
        <v>4500</v>
      </c>
      <c r="F1191" t="s">
        <v>4501</v>
      </c>
      <c r="G1191" t="s">
        <v>4126</v>
      </c>
      <c r="H1191" t="s">
        <v>57</v>
      </c>
      <c r="I1191" t="s">
        <v>516</v>
      </c>
      <c r="J1191" t="s">
        <v>3639</v>
      </c>
      <c r="K1191" t="s">
        <v>4425</v>
      </c>
      <c r="L1191" t="s">
        <v>52</v>
      </c>
      <c r="M1191">
        <v>150</v>
      </c>
      <c r="N1191">
        <v>0</v>
      </c>
      <c r="O1191" t="s">
        <v>178</v>
      </c>
      <c r="P1191">
        <v>5085</v>
      </c>
      <c r="Q1191" t="s">
        <v>52</v>
      </c>
      <c r="R1191" t="s">
        <v>52</v>
      </c>
      <c r="S1191" t="s">
        <v>52</v>
      </c>
      <c r="T1191" t="s">
        <v>52</v>
      </c>
      <c r="U1191" t="s">
        <v>52</v>
      </c>
      <c r="V1191" t="s">
        <v>62</v>
      </c>
      <c r="W1191" t="s">
        <v>63</v>
      </c>
      <c r="Y1191" t="s">
        <v>52</v>
      </c>
      <c r="AB1191" t="s">
        <v>52</v>
      </c>
      <c r="AE1191" t="s">
        <v>52</v>
      </c>
      <c r="AF1191" t="s">
        <v>52</v>
      </c>
      <c r="AH1191">
        <v>0</v>
      </c>
      <c r="AI1191">
        <v>0</v>
      </c>
      <c r="AJ1191" t="s">
        <v>52</v>
      </c>
      <c r="AK1191">
        <v>0</v>
      </c>
      <c r="AL1191" t="s">
        <v>52</v>
      </c>
      <c r="AM1191" t="s">
        <v>52</v>
      </c>
      <c r="AN1191">
        <v>0</v>
      </c>
      <c r="AO1191">
        <v>0</v>
      </c>
      <c r="AP1191" t="s">
        <v>52</v>
      </c>
      <c r="AQ1191" t="s">
        <v>52</v>
      </c>
      <c r="AR1191" t="s">
        <v>62</v>
      </c>
      <c r="AS1191" t="s">
        <v>52</v>
      </c>
      <c r="AT1191" t="s">
        <v>52</v>
      </c>
      <c r="AU1191" t="s">
        <v>64</v>
      </c>
      <c r="AV1191" t="s">
        <v>62</v>
      </c>
      <c r="AW1191" t="s">
        <v>65</v>
      </c>
      <c r="AX1191" t="s">
        <v>66</v>
      </c>
      <c r="AY1191" t="s">
        <v>67</v>
      </c>
    </row>
    <row r="1192" spans="1:51" hidden="1" x14ac:dyDescent="0.25">
      <c r="A1192">
        <v>406081</v>
      </c>
      <c r="B1192" t="s">
        <v>4502</v>
      </c>
      <c r="C1192" t="e">
        <f>VLOOKUP(A1192,[1]Customer_payment_journal_line!$AL:$BO,30,0)</f>
        <v>#N/A</v>
      </c>
      <c r="D1192" t="s">
        <v>53</v>
      </c>
      <c r="E1192" t="s">
        <v>4500</v>
      </c>
      <c r="F1192" t="s">
        <v>4501</v>
      </c>
      <c r="G1192" t="s">
        <v>4126</v>
      </c>
      <c r="H1192" t="s">
        <v>69</v>
      </c>
      <c r="I1192" t="s">
        <v>3642</v>
      </c>
      <c r="J1192" t="s">
        <v>3639</v>
      </c>
      <c r="K1192" t="s">
        <v>4425</v>
      </c>
      <c r="L1192" t="s">
        <v>52</v>
      </c>
      <c r="M1192">
        <v>0</v>
      </c>
      <c r="N1192">
        <v>150</v>
      </c>
      <c r="O1192" t="s">
        <v>178</v>
      </c>
      <c r="P1192">
        <v>5085</v>
      </c>
      <c r="Q1192" t="s">
        <v>52</v>
      </c>
      <c r="R1192" t="s">
        <v>52</v>
      </c>
      <c r="S1192" t="s">
        <v>52</v>
      </c>
      <c r="T1192" t="s">
        <v>52</v>
      </c>
      <c r="U1192" t="s">
        <v>52</v>
      </c>
      <c r="V1192" t="s">
        <v>62</v>
      </c>
      <c r="W1192" t="s">
        <v>52</v>
      </c>
      <c r="Y1192" t="s">
        <v>3643</v>
      </c>
      <c r="Z1192" t="s">
        <v>62</v>
      </c>
      <c r="AB1192" t="s">
        <v>4503</v>
      </c>
      <c r="AE1192" t="s">
        <v>4504</v>
      </c>
      <c r="AF1192" t="s">
        <v>52</v>
      </c>
      <c r="AH1192">
        <v>0</v>
      </c>
      <c r="AI1192">
        <v>0</v>
      </c>
      <c r="AJ1192" t="s">
        <v>52</v>
      </c>
      <c r="AK1192">
        <v>0</v>
      </c>
      <c r="AL1192" t="s">
        <v>52</v>
      </c>
      <c r="AM1192" t="s">
        <v>52</v>
      </c>
      <c r="AN1192">
        <v>0</v>
      </c>
      <c r="AO1192">
        <v>0</v>
      </c>
      <c r="AP1192" t="s">
        <v>52</v>
      </c>
      <c r="AQ1192" t="s">
        <v>52</v>
      </c>
      <c r="AR1192" t="s">
        <v>62</v>
      </c>
      <c r="AS1192" t="s">
        <v>52</v>
      </c>
      <c r="AT1192" t="s">
        <v>74</v>
      </c>
      <c r="AU1192" t="s">
        <v>64</v>
      </c>
      <c r="AV1192" t="s">
        <v>62</v>
      </c>
      <c r="AW1192" t="s">
        <v>65</v>
      </c>
      <c r="AX1192" t="s">
        <v>66</v>
      </c>
      <c r="AY1192" t="s">
        <v>67</v>
      </c>
    </row>
    <row r="1193" spans="1:51" hidden="1" x14ac:dyDescent="0.25">
      <c r="A1193">
        <v>203204</v>
      </c>
      <c r="B1193" t="s">
        <v>4505</v>
      </c>
      <c r="C1193" t="e">
        <f>VLOOKUP(A1193,[1]Customer_payment_journal_line!$AL:$BO,30,0)</f>
        <v>#N/A</v>
      </c>
      <c r="D1193" t="s">
        <v>53</v>
      </c>
      <c r="E1193" t="s">
        <v>4506</v>
      </c>
      <c r="F1193" t="s">
        <v>4507</v>
      </c>
      <c r="G1193" t="s">
        <v>4126</v>
      </c>
      <c r="H1193" t="s">
        <v>57</v>
      </c>
      <c r="I1193" t="s">
        <v>319</v>
      </c>
      <c r="J1193" t="s">
        <v>4508</v>
      </c>
      <c r="K1193" t="s">
        <v>4509</v>
      </c>
      <c r="L1193" t="s">
        <v>52</v>
      </c>
      <c r="M1193">
        <v>855</v>
      </c>
      <c r="N1193">
        <v>0</v>
      </c>
      <c r="O1193" t="s">
        <v>61</v>
      </c>
      <c r="P1193">
        <v>100</v>
      </c>
      <c r="Q1193" t="s">
        <v>52</v>
      </c>
      <c r="R1193" t="s">
        <v>52</v>
      </c>
      <c r="S1193" t="s">
        <v>52</v>
      </c>
      <c r="T1193" t="s">
        <v>52</v>
      </c>
      <c r="U1193" t="s">
        <v>52</v>
      </c>
      <c r="V1193" t="s">
        <v>62</v>
      </c>
      <c r="W1193" t="s">
        <v>63</v>
      </c>
      <c r="Y1193" t="s">
        <v>52</v>
      </c>
      <c r="AB1193" t="s">
        <v>52</v>
      </c>
      <c r="AE1193" t="s">
        <v>52</v>
      </c>
      <c r="AF1193" t="s">
        <v>52</v>
      </c>
      <c r="AH1193">
        <v>0</v>
      </c>
      <c r="AI1193">
        <v>0</v>
      </c>
      <c r="AJ1193" t="s">
        <v>52</v>
      </c>
      <c r="AK1193">
        <v>0</v>
      </c>
      <c r="AL1193" t="s">
        <v>52</v>
      </c>
      <c r="AM1193" t="s">
        <v>52</v>
      </c>
      <c r="AN1193">
        <v>0</v>
      </c>
      <c r="AO1193">
        <v>0</v>
      </c>
      <c r="AP1193" t="s">
        <v>52</v>
      </c>
      <c r="AQ1193" t="s">
        <v>52</v>
      </c>
      <c r="AR1193" t="s">
        <v>62</v>
      </c>
      <c r="AS1193" t="s">
        <v>52</v>
      </c>
      <c r="AT1193" t="s">
        <v>52</v>
      </c>
      <c r="AU1193" t="s">
        <v>64</v>
      </c>
      <c r="AV1193" t="s">
        <v>62</v>
      </c>
      <c r="AW1193" t="s">
        <v>65</v>
      </c>
      <c r="AX1193" t="s">
        <v>66</v>
      </c>
      <c r="AY1193" t="s">
        <v>67</v>
      </c>
    </row>
    <row r="1194" spans="1:51" hidden="1" x14ac:dyDescent="0.25">
      <c r="A1194">
        <v>203204</v>
      </c>
      <c r="B1194" t="s">
        <v>4510</v>
      </c>
      <c r="C1194" t="e">
        <f>VLOOKUP(A1194,[1]Customer_payment_journal_line!$AL:$BO,30,0)</f>
        <v>#N/A</v>
      </c>
      <c r="D1194" t="s">
        <v>53</v>
      </c>
      <c r="E1194" t="s">
        <v>4506</v>
      </c>
      <c r="F1194" t="s">
        <v>4507</v>
      </c>
      <c r="G1194" t="s">
        <v>4126</v>
      </c>
      <c r="H1194" t="s">
        <v>69</v>
      </c>
      <c r="I1194" t="s">
        <v>719</v>
      </c>
      <c r="J1194" t="s">
        <v>4508</v>
      </c>
      <c r="K1194" t="s">
        <v>4509</v>
      </c>
      <c r="L1194" t="s">
        <v>52</v>
      </c>
      <c r="M1194">
        <v>0</v>
      </c>
      <c r="N1194">
        <v>855</v>
      </c>
      <c r="O1194" t="s">
        <v>61</v>
      </c>
      <c r="P1194">
        <v>100</v>
      </c>
      <c r="Q1194" t="s">
        <v>52</v>
      </c>
      <c r="R1194" t="s">
        <v>52</v>
      </c>
      <c r="S1194" t="s">
        <v>52</v>
      </c>
      <c r="T1194" t="s">
        <v>52</v>
      </c>
      <c r="U1194" t="s">
        <v>52</v>
      </c>
      <c r="V1194" t="s">
        <v>62</v>
      </c>
      <c r="W1194" t="s">
        <v>52</v>
      </c>
      <c r="Y1194" t="s">
        <v>720</v>
      </c>
      <c r="Z1194" t="s">
        <v>62</v>
      </c>
      <c r="AB1194" t="s">
        <v>4511</v>
      </c>
      <c r="AE1194" t="s">
        <v>4512</v>
      </c>
      <c r="AF1194" t="s">
        <v>52</v>
      </c>
      <c r="AH1194">
        <v>0</v>
      </c>
      <c r="AI1194">
        <v>0</v>
      </c>
      <c r="AJ1194" t="s">
        <v>52</v>
      </c>
      <c r="AK1194">
        <v>0</v>
      </c>
      <c r="AL1194" t="s">
        <v>52</v>
      </c>
      <c r="AM1194" t="s">
        <v>52</v>
      </c>
      <c r="AN1194">
        <v>0</v>
      </c>
      <c r="AO1194">
        <v>0</v>
      </c>
      <c r="AP1194" t="s">
        <v>52</v>
      </c>
      <c r="AQ1194" t="s">
        <v>52</v>
      </c>
      <c r="AR1194" t="s">
        <v>62</v>
      </c>
      <c r="AS1194" t="s">
        <v>52</v>
      </c>
      <c r="AT1194" t="s">
        <v>74</v>
      </c>
      <c r="AU1194" t="s">
        <v>64</v>
      </c>
      <c r="AV1194" t="s">
        <v>62</v>
      </c>
      <c r="AW1194" t="s">
        <v>65</v>
      </c>
      <c r="AX1194" t="s">
        <v>66</v>
      </c>
      <c r="AY1194" t="s">
        <v>67</v>
      </c>
    </row>
    <row r="1195" spans="1:51" hidden="1" x14ac:dyDescent="0.25">
      <c r="A1195">
        <v>406083</v>
      </c>
      <c r="B1195" t="s">
        <v>4513</v>
      </c>
      <c r="C1195" t="e">
        <f>VLOOKUP(A1195,[1]Customer_payment_journal_line!$AL:$BO,30,0)</f>
        <v>#N/A</v>
      </c>
      <c r="D1195" t="s">
        <v>53</v>
      </c>
      <c r="E1195" t="s">
        <v>4514</v>
      </c>
      <c r="F1195" t="s">
        <v>4515</v>
      </c>
      <c r="G1195" t="s">
        <v>4126</v>
      </c>
      <c r="H1195" t="s">
        <v>57</v>
      </c>
      <c r="I1195" t="s">
        <v>1349</v>
      </c>
      <c r="J1195" t="s">
        <v>4516</v>
      </c>
      <c r="K1195" t="s">
        <v>3285</v>
      </c>
      <c r="L1195" t="s">
        <v>52</v>
      </c>
      <c r="M1195">
        <v>2280</v>
      </c>
      <c r="N1195">
        <v>0</v>
      </c>
      <c r="O1195" t="s">
        <v>61</v>
      </c>
      <c r="P1195">
        <v>100</v>
      </c>
      <c r="Q1195" t="s">
        <v>52</v>
      </c>
      <c r="R1195" t="s">
        <v>52</v>
      </c>
      <c r="S1195" t="s">
        <v>52</v>
      </c>
      <c r="T1195" t="s">
        <v>52</v>
      </c>
      <c r="U1195" t="s">
        <v>52</v>
      </c>
      <c r="V1195" t="s">
        <v>62</v>
      </c>
      <c r="W1195" t="s">
        <v>63</v>
      </c>
      <c r="Y1195" t="s">
        <v>52</v>
      </c>
      <c r="AB1195" t="s">
        <v>52</v>
      </c>
      <c r="AE1195" t="s">
        <v>52</v>
      </c>
      <c r="AF1195" t="s">
        <v>52</v>
      </c>
      <c r="AH1195">
        <v>0</v>
      </c>
      <c r="AI1195">
        <v>0</v>
      </c>
      <c r="AJ1195" t="s">
        <v>52</v>
      </c>
      <c r="AK1195">
        <v>0</v>
      </c>
      <c r="AL1195" t="s">
        <v>52</v>
      </c>
      <c r="AM1195" t="s">
        <v>52</v>
      </c>
      <c r="AN1195">
        <v>0</v>
      </c>
      <c r="AO1195">
        <v>0</v>
      </c>
      <c r="AP1195" t="s">
        <v>52</v>
      </c>
      <c r="AQ1195" t="s">
        <v>52</v>
      </c>
      <c r="AR1195" t="s">
        <v>62</v>
      </c>
      <c r="AS1195" t="s">
        <v>52</v>
      </c>
      <c r="AT1195" t="s">
        <v>52</v>
      </c>
      <c r="AU1195" t="s">
        <v>64</v>
      </c>
      <c r="AV1195" t="s">
        <v>62</v>
      </c>
      <c r="AW1195" t="s">
        <v>65</v>
      </c>
      <c r="AX1195" t="s">
        <v>66</v>
      </c>
      <c r="AY1195" t="s">
        <v>67</v>
      </c>
    </row>
    <row r="1196" spans="1:51" hidden="1" x14ac:dyDescent="0.25">
      <c r="A1196">
        <v>406083</v>
      </c>
      <c r="B1196" t="s">
        <v>4517</v>
      </c>
      <c r="C1196" t="e">
        <f>VLOOKUP(A1196,[1]Customer_payment_journal_line!$AL:$BO,30,0)</f>
        <v>#N/A</v>
      </c>
      <c r="D1196" t="s">
        <v>53</v>
      </c>
      <c r="E1196" t="s">
        <v>4514</v>
      </c>
      <c r="F1196" t="s">
        <v>4515</v>
      </c>
      <c r="G1196" t="s">
        <v>4126</v>
      </c>
      <c r="H1196" t="s">
        <v>69</v>
      </c>
      <c r="I1196" t="s">
        <v>3287</v>
      </c>
      <c r="J1196" t="s">
        <v>4516</v>
      </c>
      <c r="K1196" t="s">
        <v>3285</v>
      </c>
      <c r="L1196" t="s">
        <v>52</v>
      </c>
      <c r="M1196">
        <v>0</v>
      </c>
      <c r="N1196">
        <v>2280</v>
      </c>
      <c r="O1196" t="s">
        <v>61</v>
      </c>
      <c r="P1196">
        <v>100</v>
      </c>
      <c r="Q1196" t="s">
        <v>52</v>
      </c>
      <c r="R1196" t="s">
        <v>52</v>
      </c>
      <c r="S1196" t="s">
        <v>52</v>
      </c>
      <c r="T1196" t="s">
        <v>52</v>
      </c>
      <c r="U1196" t="s">
        <v>52</v>
      </c>
      <c r="V1196" t="s">
        <v>62</v>
      </c>
      <c r="W1196" t="s">
        <v>52</v>
      </c>
      <c r="Y1196" t="s">
        <v>3288</v>
      </c>
      <c r="Z1196" t="s">
        <v>62</v>
      </c>
      <c r="AB1196" t="s">
        <v>4518</v>
      </c>
      <c r="AE1196" t="s">
        <v>4519</v>
      </c>
      <c r="AF1196" t="s">
        <v>52</v>
      </c>
      <c r="AH1196">
        <v>0</v>
      </c>
      <c r="AI1196">
        <v>0</v>
      </c>
      <c r="AJ1196" t="s">
        <v>52</v>
      </c>
      <c r="AK1196">
        <v>0</v>
      </c>
      <c r="AL1196" t="s">
        <v>52</v>
      </c>
      <c r="AM1196" t="s">
        <v>52</v>
      </c>
      <c r="AN1196">
        <v>0</v>
      </c>
      <c r="AO1196">
        <v>0</v>
      </c>
      <c r="AP1196" t="s">
        <v>52</v>
      </c>
      <c r="AQ1196" t="s">
        <v>52</v>
      </c>
      <c r="AR1196" t="s">
        <v>62</v>
      </c>
      <c r="AS1196" t="s">
        <v>52</v>
      </c>
      <c r="AT1196" t="s">
        <v>74</v>
      </c>
      <c r="AU1196" t="s">
        <v>64</v>
      </c>
      <c r="AV1196" t="s">
        <v>62</v>
      </c>
      <c r="AW1196" t="s">
        <v>65</v>
      </c>
      <c r="AX1196" t="s">
        <v>66</v>
      </c>
      <c r="AY1196" t="s">
        <v>67</v>
      </c>
    </row>
    <row r="1197" spans="1:51" hidden="1" x14ac:dyDescent="0.25">
      <c r="A1197">
        <v>406086</v>
      </c>
      <c r="B1197" t="s">
        <v>4520</v>
      </c>
      <c r="C1197" t="e">
        <f>VLOOKUP(A1197,[1]Customer_payment_journal_line!$AL:$BO,30,0)</f>
        <v>#N/A</v>
      </c>
      <c r="D1197" t="s">
        <v>53</v>
      </c>
      <c r="E1197" t="s">
        <v>4521</v>
      </c>
      <c r="F1197" t="s">
        <v>4522</v>
      </c>
      <c r="G1197" t="s">
        <v>4126</v>
      </c>
      <c r="H1197" t="s">
        <v>57</v>
      </c>
      <c r="I1197" t="s">
        <v>58</v>
      </c>
      <c r="J1197" t="s">
        <v>3380</v>
      </c>
      <c r="K1197" t="s">
        <v>4523</v>
      </c>
      <c r="L1197" t="s">
        <v>52</v>
      </c>
      <c r="M1197">
        <v>4959</v>
      </c>
      <c r="N1197">
        <v>0</v>
      </c>
      <c r="O1197" t="s">
        <v>61</v>
      </c>
      <c r="P1197">
        <v>100</v>
      </c>
      <c r="Q1197" t="s">
        <v>52</v>
      </c>
      <c r="R1197" t="s">
        <v>52</v>
      </c>
      <c r="S1197" t="s">
        <v>52</v>
      </c>
      <c r="T1197" t="s">
        <v>52</v>
      </c>
      <c r="U1197" t="s">
        <v>52</v>
      </c>
      <c r="V1197" t="s">
        <v>62</v>
      </c>
      <c r="W1197" t="s">
        <v>63</v>
      </c>
      <c r="Y1197" t="s">
        <v>52</v>
      </c>
      <c r="AB1197" t="s">
        <v>52</v>
      </c>
      <c r="AE1197" t="s">
        <v>52</v>
      </c>
      <c r="AF1197" t="s">
        <v>52</v>
      </c>
      <c r="AH1197">
        <v>0</v>
      </c>
      <c r="AI1197">
        <v>0</v>
      </c>
      <c r="AJ1197" t="s">
        <v>52</v>
      </c>
      <c r="AK1197">
        <v>0</v>
      </c>
      <c r="AL1197" t="s">
        <v>52</v>
      </c>
      <c r="AM1197" t="s">
        <v>52</v>
      </c>
      <c r="AN1197">
        <v>0</v>
      </c>
      <c r="AO1197">
        <v>0</v>
      </c>
      <c r="AP1197" t="s">
        <v>52</v>
      </c>
      <c r="AQ1197" t="s">
        <v>52</v>
      </c>
      <c r="AR1197" t="s">
        <v>62</v>
      </c>
      <c r="AS1197" t="s">
        <v>52</v>
      </c>
      <c r="AT1197" t="s">
        <v>52</v>
      </c>
      <c r="AU1197" t="s">
        <v>64</v>
      </c>
      <c r="AV1197" t="s">
        <v>62</v>
      </c>
      <c r="AW1197" t="s">
        <v>65</v>
      </c>
      <c r="AX1197" t="s">
        <v>66</v>
      </c>
      <c r="AY1197" t="s">
        <v>67</v>
      </c>
    </row>
    <row r="1198" spans="1:51" hidden="1" x14ac:dyDescent="0.25">
      <c r="A1198">
        <v>406086</v>
      </c>
      <c r="B1198" t="s">
        <v>4524</v>
      </c>
      <c r="C1198" t="e">
        <f>VLOOKUP(A1198,[1]Customer_payment_journal_line!$AL:$BO,30,0)</f>
        <v>#N/A</v>
      </c>
      <c r="D1198" t="s">
        <v>53</v>
      </c>
      <c r="E1198" t="s">
        <v>4521</v>
      </c>
      <c r="F1198" t="s">
        <v>4522</v>
      </c>
      <c r="G1198" t="s">
        <v>4126</v>
      </c>
      <c r="H1198" t="s">
        <v>69</v>
      </c>
      <c r="I1198" t="s">
        <v>3383</v>
      </c>
      <c r="J1198" t="s">
        <v>3380</v>
      </c>
      <c r="K1198" t="s">
        <v>4523</v>
      </c>
      <c r="L1198" t="s">
        <v>52</v>
      </c>
      <c r="M1198">
        <v>0</v>
      </c>
      <c r="N1198">
        <v>4959</v>
      </c>
      <c r="O1198" t="s">
        <v>61</v>
      </c>
      <c r="P1198">
        <v>100</v>
      </c>
      <c r="Q1198" t="s">
        <v>52</v>
      </c>
      <c r="R1198" t="s">
        <v>52</v>
      </c>
      <c r="S1198" t="s">
        <v>52</v>
      </c>
      <c r="T1198" t="s">
        <v>52</v>
      </c>
      <c r="U1198" t="s">
        <v>52</v>
      </c>
      <c r="V1198" t="s">
        <v>62</v>
      </c>
      <c r="W1198" t="s">
        <v>52</v>
      </c>
      <c r="Y1198" t="s">
        <v>3384</v>
      </c>
      <c r="Z1198" t="s">
        <v>62</v>
      </c>
      <c r="AB1198" t="s">
        <v>4525</v>
      </c>
      <c r="AE1198" t="s">
        <v>4526</v>
      </c>
      <c r="AF1198" t="s">
        <v>52</v>
      </c>
      <c r="AH1198">
        <v>0</v>
      </c>
      <c r="AI1198">
        <v>0</v>
      </c>
      <c r="AJ1198" t="s">
        <v>52</v>
      </c>
      <c r="AK1198">
        <v>0</v>
      </c>
      <c r="AL1198" t="s">
        <v>52</v>
      </c>
      <c r="AM1198" t="s">
        <v>52</v>
      </c>
      <c r="AN1198">
        <v>0</v>
      </c>
      <c r="AO1198">
        <v>0</v>
      </c>
      <c r="AP1198" t="s">
        <v>52</v>
      </c>
      <c r="AQ1198" t="s">
        <v>52</v>
      </c>
      <c r="AR1198" t="s">
        <v>62</v>
      </c>
      <c r="AS1198" t="s">
        <v>52</v>
      </c>
      <c r="AT1198" t="s">
        <v>74</v>
      </c>
      <c r="AU1198" t="s">
        <v>64</v>
      </c>
      <c r="AV1198" t="s">
        <v>62</v>
      </c>
      <c r="AW1198" t="s">
        <v>65</v>
      </c>
      <c r="AX1198" t="s">
        <v>66</v>
      </c>
      <c r="AY1198" t="s">
        <v>67</v>
      </c>
    </row>
    <row r="1199" spans="1:51" hidden="1" x14ac:dyDescent="0.25">
      <c r="A1199">
        <v>406087</v>
      </c>
      <c r="B1199" t="s">
        <v>4527</v>
      </c>
      <c r="C1199" t="e">
        <f>VLOOKUP(A1199,[1]Customer_payment_journal_line!$AL:$BO,30,0)</f>
        <v>#N/A</v>
      </c>
      <c r="D1199" t="s">
        <v>53</v>
      </c>
      <c r="E1199" t="s">
        <v>4528</v>
      </c>
      <c r="F1199" t="s">
        <v>4529</v>
      </c>
      <c r="G1199" t="s">
        <v>4126</v>
      </c>
      <c r="H1199" t="s">
        <v>57</v>
      </c>
      <c r="I1199" t="s">
        <v>58</v>
      </c>
      <c r="J1199" t="s">
        <v>3380</v>
      </c>
      <c r="K1199" t="s">
        <v>4523</v>
      </c>
      <c r="L1199" t="s">
        <v>52</v>
      </c>
      <c r="M1199">
        <v>855</v>
      </c>
      <c r="N1199">
        <v>0</v>
      </c>
      <c r="O1199" t="s">
        <v>61</v>
      </c>
      <c r="P1199">
        <v>100</v>
      </c>
      <c r="Q1199" t="s">
        <v>52</v>
      </c>
      <c r="R1199" t="s">
        <v>52</v>
      </c>
      <c r="S1199" t="s">
        <v>52</v>
      </c>
      <c r="T1199" t="s">
        <v>52</v>
      </c>
      <c r="U1199" t="s">
        <v>52</v>
      </c>
      <c r="V1199" t="s">
        <v>62</v>
      </c>
      <c r="W1199" t="s">
        <v>63</v>
      </c>
      <c r="Y1199" t="s">
        <v>52</v>
      </c>
      <c r="AB1199" t="s">
        <v>52</v>
      </c>
      <c r="AE1199" t="s">
        <v>52</v>
      </c>
      <c r="AF1199" t="s">
        <v>52</v>
      </c>
      <c r="AH1199">
        <v>0</v>
      </c>
      <c r="AI1199">
        <v>0</v>
      </c>
      <c r="AJ1199" t="s">
        <v>52</v>
      </c>
      <c r="AK1199">
        <v>0</v>
      </c>
      <c r="AL1199" t="s">
        <v>52</v>
      </c>
      <c r="AM1199" t="s">
        <v>52</v>
      </c>
      <c r="AN1199">
        <v>0</v>
      </c>
      <c r="AO1199">
        <v>0</v>
      </c>
      <c r="AP1199" t="s">
        <v>52</v>
      </c>
      <c r="AQ1199" t="s">
        <v>52</v>
      </c>
      <c r="AR1199" t="s">
        <v>62</v>
      </c>
      <c r="AS1199" t="s">
        <v>52</v>
      </c>
      <c r="AT1199" t="s">
        <v>52</v>
      </c>
      <c r="AU1199" t="s">
        <v>64</v>
      </c>
      <c r="AV1199" t="s">
        <v>62</v>
      </c>
      <c r="AW1199" t="s">
        <v>65</v>
      </c>
      <c r="AX1199" t="s">
        <v>66</v>
      </c>
      <c r="AY1199" t="s">
        <v>67</v>
      </c>
    </row>
    <row r="1200" spans="1:51" hidden="1" x14ac:dyDescent="0.25">
      <c r="A1200">
        <v>406087</v>
      </c>
      <c r="B1200" t="s">
        <v>4530</v>
      </c>
      <c r="C1200" t="e">
        <f>VLOOKUP(A1200,[1]Customer_payment_journal_line!$AL:$BO,30,0)</f>
        <v>#N/A</v>
      </c>
      <c r="D1200" t="s">
        <v>53</v>
      </c>
      <c r="E1200" t="s">
        <v>4528</v>
      </c>
      <c r="F1200" t="s">
        <v>4529</v>
      </c>
      <c r="G1200" t="s">
        <v>4126</v>
      </c>
      <c r="H1200" t="s">
        <v>69</v>
      </c>
      <c r="I1200" t="s">
        <v>3383</v>
      </c>
      <c r="J1200" t="s">
        <v>3380</v>
      </c>
      <c r="K1200" t="s">
        <v>4523</v>
      </c>
      <c r="L1200" t="s">
        <v>52</v>
      </c>
      <c r="M1200">
        <v>0</v>
      </c>
      <c r="N1200">
        <v>855</v>
      </c>
      <c r="O1200" t="s">
        <v>61</v>
      </c>
      <c r="P1200">
        <v>100</v>
      </c>
      <c r="Q1200" t="s">
        <v>52</v>
      </c>
      <c r="R1200" t="s">
        <v>52</v>
      </c>
      <c r="S1200" t="s">
        <v>52</v>
      </c>
      <c r="T1200" t="s">
        <v>52</v>
      </c>
      <c r="U1200" t="s">
        <v>52</v>
      </c>
      <c r="V1200" t="s">
        <v>62</v>
      </c>
      <c r="W1200" t="s">
        <v>52</v>
      </c>
      <c r="Y1200" t="s">
        <v>3384</v>
      </c>
      <c r="Z1200" t="s">
        <v>62</v>
      </c>
      <c r="AB1200" t="s">
        <v>4531</v>
      </c>
      <c r="AE1200" t="s">
        <v>4532</v>
      </c>
      <c r="AF1200" t="s">
        <v>52</v>
      </c>
      <c r="AH1200">
        <v>0</v>
      </c>
      <c r="AI1200">
        <v>0</v>
      </c>
      <c r="AJ1200" t="s">
        <v>52</v>
      </c>
      <c r="AK1200">
        <v>0</v>
      </c>
      <c r="AL1200" t="s">
        <v>52</v>
      </c>
      <c r="AM1200" t="s">
        <v>52</v>
      </c>
      <c r="AN1200">
        <v>0</v>
      </c>
      <c r="AO1200">
        <v>0</v>
      </c>
      <c r="AP1200" t="s">
        <v>52</v>
      </c>
      <c r="AQ1200" t="s">
        <v>52</v>
      </c>
      <c r="AR1200" t="s">
        <v>62</v>
      </c>
      <c r="AS1200" t="s">
        <v>52</v>
      </c>
      <c r="AT1200" t="s">
        <v>74</v>
      </c>
      <c r="AU1200" t="s">
        <v>64</v>
      </c>
      <c r="AV1200" t="s">
        <v>62</v>
      </c>
      <c r="AW1200" t="s">
        <v>65</v>
      </c>
      <c r="AX1200" t="s">
        <v>66</v>
      </c>
      <c r="AY1200" t="s">
        <v>67</v>
      </c>
    </row>
    <row r="1201" spans="1:51" hidden="1" x14ac:dyDescent="0.25">
      <c r="A1201">
        <v>203227</v>
      </c>
      <c r="B1201" t="s">
        <v>4533</v>
      </c>
      <c r="C1201" t="e">
        <f>VLOOKUP(A1201,[1]Customer_payment_journal_line!$AL:$BO,30,0)</f>
        <v>#N/A</v>
      </c>
      <c r="D1201" t="s">
        <v>53</v>
      </c>
      <c r="E1201" t="s">
        <v>4534</v>
      </c>
      <c r="F1201" t="s">
        <v>4535</v>
      </c>
      <c r="G1201" t="s">
        <v>4126</v>
      </c>
      <c r="H1201" t="s">
        <v>57</v>
      </c>
      <c r="I1201" t="s">
        <v>319</v>
      </c>
      <c r="J1201" t="s">
        <v>4536</v>
      </c>
      <c r="K1201" t="s">
        <v>2457</v>
      </c>
      <c r="L1201" t="s">
        <v>52</v>
      </c>
      <c r="M1201">
        <v>5118.6000000000004</v>
      </c>
      <c r="N1201">
        <v>0</v>
      </c>
      <c r="O1201" t="s">
        <v>61</v>
      </c>
      <c r="P1201">
        <v>100</v>
      </c>
      <c r="Q1201" t="s">
        <v>52</v>
      </c>
      <c r="R1201" t="s">
        <v>52</v>
      </c>
      <c r="S1201" t="s">
        <v>52</v>
      </c>
      <c r="T1201" t="s">
        <v>52</v>
      </c>
      <c r="U1201" t="s">
        <v>52</v>
      </c>
      <c r="V1201" t="s">
        <v>62</v>
      </c>
      <c r="W1201" t="s">
        <v>63</v>
      </c>
      <c r="Y1201" t="s">
        <v>52</v>
      </c>
      <c r="AB1201" t="s">
        <v>52</v>
      </c>
      <c r="AE1201" t="s">
        <v>52</v>
      </c>
      <c r="AF1201" t="s">
        <v>52</v>
      </c>
      <c r="AH1201">
        <v>0</v>
      </c>
      <c r="AI1201">
        <v>0</v>
      </c>
      <c r="AJ1201" t="s">
        <v>52</v>
      </c>
      <c r="AK1201">
        <v>0</v>
      </c>
      <c r="AL1201" t="s">
        <v>52</v>
      </c>
      <c r="AM1201" t="s">
        <v>52</v>
      </c>
      <c r="AN1201">
        <v>0</v>
      </c>
      <c r="AO1201">
        <v>0</v>
      </c>
      <c r="AP1201" t="s">
        <v>52</v>
      </c>
      <c r="AQ1201" t="s">
        <v>52</v>
      </c>
      <c r="AR1201" t="s">
        <v>62</v>
      </c>
      <c r="AS1201" t="s">
        <v>52</v>
      </c>
      <c r="AT1201" t="s">
        <v>52</v>
      </c>
      <c r="AU1201" t="s">
        <v>64</v>
      </c>
      <c r="AV1201" t="s">
        <v>62</v>
      </c>
      <c r="AW1201" t="s">
        <v>65</v>
      </c>
      <c r="AX1201" t="s">
        <v>66</v>
      </c>
      <c r="AY1201" t="s">
        <v>67</v>
      </c>
    </row>
    <row r="1202" spans="1:51" hidden="1" x14ac:dyDescent="0.25">
      <c r="A1202">
        <v>203227</v>
      </c>
      <c r="B1202" t="s">
        <v>4537</v>
      </c>
      <c r="C1202" t="e">
        <f>VLOOKUP(A1202,[1]Customer_payment_journal_line!$AL:$BO,30,0)</f>
        <v>#N/A</v>
      </c>
      <c r="D1202" t="s">
        <v>53</v>
      </c>
      <c r="E1202" t="s">
        <v>4534</v>
      </c>
      <c r="F1202" t="s">
        <v>4535</v>
      </c>
      <c r="G1202" t="s">
        <v>4126</v>
      </c>
      <c r="H1202" t="s">
        <v>69</v>
      </c>
      <c r="I1202" t="s">
        <v>2459</v>
      </c>
      <c r="J1202" t="s">
        <v>4536</v>
      </c>
      <c r="K1202" t="s">
        <v>2457</v>
      </c>
      <c r="L1202" t="s">
        <v>52</v>
      </c>
      <c r="M1202">
        <v>0</v>
      </c>
      <c r="N1202">
        <v>5118.6000000000004</v>
      </c>
      <c r="O1202" t="s">
        <v>61</v>
      </c>
      <c r="P1202">
        <v>100</v>
      </c>
      <c r="Q1202" t="s">
        <v>52</v>
      </c>
      <c r="R1202" t="s">
        <v>52</v>
      </c>
      <c r="S1202" t="s">
        <v>52</v>
      </c>
      <c r="T1202" t="s">
        <v>52</v>
      </c>
      <c r="U1202" t="s">
        <v>52</v>
      </c>
      <c r="V1202" t="s">
        <v>62</v>
      </c>
      <c r="W1202" t="s">
        <v>52</v>
      </c>
      <c r="Y1202" t="s">
        <v>2460</v>
      </c>
      <c r="Z1202" t="s">
        <v>62</v>
      </c>
      <c r="AB1202" t="s">
        <v>4538</v>
      </c>
      <c r="AE1202" t="s">
        <v>4539</v>
      </c>
      <c r="AF1202" t="s">
        <v>52</v>
      </c>
      <c r="AH1202">
        <v>0</v>
      </c>
      <c r="AI1202">
        <v>0</v>
      </c>
      <c r="AJ1202" t="s">
        <v>52</v>
      </c>
      <c r="AK1202">
        <v>0</v>
      </c>
      <c r="AL1202" t="s">
        <v>52</v>
      </c>
      <c r="AM1202" t="s">
        <v>52</v>
      </c>
      <c r="AN1202">
        <v>0</v>
      </c>
      <c r="AO1202">
        <v>0</v>
      </c>
      <c r="AP1202" t="s">
        <v>52</v>
      </c>
      <c r="AQ1202" t="s">
        <v>52</v>
      </c>
      <c r="AR1202" t="s">
        <v>62</v>
      </c>
      <c r="AS1202" t="s">
        <v>52</v>
      </c>
      <c r="AT1202" t="s">
        <v>74</v>
      </c>
      <c r="AU1202" t="s">
        <v>64</v>
      </c>
      <c r="AV1202" t="s">
        <v>62</v>
      </c>
      <c r="AW1202" t="s">
        <v>65</v>
      </c>
      <c r="AX1202" t="s">
        <v>66</v>
      </c>
      <c r="AY1202" t="s">
        <v>67</v>
      </c>
    </row>
    <row r="1203" spans="1:51" hidden="1" x14ac:dyDescent="0.25">
      <c r="A1203">
        <v>203228</v>
      </c>
      <c r="B1203" t="s">
        <v>4540</v>
      </c>
      <c r="C1203" t="e">
        <f>VLOOKUP(A1203,[1]Customer_payment_journal_line!$AL:$BO,30,0)</f>
        <v>#N/A</v>
      </c>
      <c r="D1203" t="s">
        <v>53</v>
      </c>
      <c r="E1203" t="s">
        <v>4541</v>
      </c>
      <c r="F1203" t="s">
        <v>4542</v>
      </c>
      <c r="G1203" t="s">
        <v>4126</v>
      </c>
      <c r="H1203" t="s">
        <v>57</v>
      </c>
      <c r="I1203" t="s">
        <v>319</v>
      </c>
      <c r="J1203" t="s">
        <v>4543</v>
      </c>
      <c r="K1203" t="s">
        <v>2457</v>
      </c>
      <c r="L1203" t="s">
        <v>52</v>
      </c>
      <c r="M1203">
        <v>22822.799999999999</v>
      </c>
      <c r="N1203">
        <v>0</v>
      </c>
      <c r="O1203" t="s">
        <v>61</v>
      </c>
      <c r="P1203">
        <v>100</v>
      </c>
      <c r="Q1203" t="s">
        <v>52</v>
      </c>
      <c r="R1203" t="s">
        <v>52</v>
      </c>
      <c r="S1203" t="s">
        <v>52</v>
      </c>
      <c r="T1203" t="s">
        <v>52</v>
      </c>
      <c r="U1203" t="s">
        <v>52</v>
      </c>
      <c r="V1203" t="s">
        <v>62</v>
      </c>
      <c r="W1203" t="s">
        <v>63</v>
      </c>
      <c r="Y1203" t="s">
        <v>52</v>
      </c>
      <c r="AB1203" t="s">
        <v>52</v>
      </c>
      <c r="AE1203" t="s">
        <v>52</v>
      </c>
      <c r="AF1203" t="s">
        <v>52</v>
      </c>
      <c r="AH1203">
        <v>0</v>
      </c>
      <c r="AI1203">
        <v>0</v>
      </c>
      <c r="AJ1203" t="s">
        <v>52</v>
      </c>
      <c r="AK1203">
        <v>0</v>
      </c>
      <c r="AL1203" t="s">
        <v>52</v>
      </c>
      <c r="AM1203" t="s">
        <v>52</v>
      </c>
      <c r="AN1203">
        <v>0</v>
      </c>
      <c r="AO1203">
        <v>0</v>
      </c>
      <c r="AP1203" t="s">
        <v>52</v>
      </c>
      <c r="AQ1203" t="s">
        <v>52</v>
      </c>
      <c r="AR1203" t="s">
        <v>62</v>
      </c>
      <c r="AS1203" t="s">
        <v>52</v>
      </c>
      <c r="AT1203" t="s">
        <v>52</v>
      </c>
      <c r="AU1203" t="s">
        <v>64</v>
      </c>
      <c r="AV1203" t="s">
        <v>62</v>
      </c>
      <c r="AW1203" t="s">
        <v>65</v>
      </c>
      <c r="AX1203" t="s">
        <v>66</v>
      </c>
      <c r="AY1203" t="s">
        <v>67</v>
      </c>
    </row>
    <row r="1204" spans="1:51" hidden="1" x14ac:dyDescent="0.25">
      <c r="A1204">
        <v>203228</v>
      </c>
      <c r="B1204" t="s">
        <v>4544</v>
      </c>
      <c r="C1204" t="e">
        <f>VLOOKUP(A1204,[1]Customer_payment_journal_line!$AL:$BO,30,0)</f>
        <v>#N/A</v>
      </c>
      <c r="D1204" t="s">
        <v>53</v>
      </c>
      <c r="E1204" t="s">
        <v>4541</v>
      </c>
      <c r="F1204" t="s">
        <v>4542</v>
      </c>
      <c r="G1204" t="s">
        <v>4126</v>
      </c>
      <c r="H1204" t="s">
        <v>69</v>
      </c>
      <c r="I1204" t="s">
        <v>2459</v>
      </c>
      <c r="J1204" t="s">
        <v>4543</v>
      </c>
      <c r="K1204" t="s">
        <v>2457</v>
      </c>
      <c r="L1204" t="s">
        <v>52</v>
      </c>
      <c r="M1204">
        <v>0</v>
      </c>
      <c r="N1204">
        <v>22822.799999999999</v>
      </c>
      <c r="O1204" t="s">
        <v>61</v>
      </c>
      <c r="P1204">
        <v>100</v>
      </c>
      <c r="Q1204" t="s">
        <v>52</v>
      </c>
      <c r="R1204" t="s">
        <v>52</v>
      </c>
      <c r="S1204" t="s">
        <v>52</v>
      </c>
      <c r="T1204" t="s">
        <v>52</v>
      </c>
      <c r="U1204" t="s">
        <v>52</v>
      </c>
      <c r="V1204" t="s">
        <v>62</v>
      </c>
      <c r="W1204" t="s">
        <v>52</v>
      </c>
      <c r="Y1204" t="s">
        <v>2460</v>
      </c>
      <c r="Z1204" t="s">
        <v>62</v>
      </c>
      <c r="AB1204" t="s">
        <v>4545</v>
      </c>
      <c r="AE1204" t="s">
        <v>4546</v>
      </c>
      <c r="AF1204" t="s">
        <v>52</v>
      </c>
      <c r="AH1204">
        <v>0</v>
      </c>
      <c r="AI1204">
        <v>0</v>
      </c>
      <c r="AJ1204" t="s">
        <v>52</v>
      </c>
      <c r="AK1204">
        <v>0</v>
      </c>
      <c r="AL1204" t="s">
        <v>52</v>
      </c>
      <c r="AM1204" t="s">
        <v>52</v>
      </c>
      <c r="AN1204">
        <v>0</v>
      </c>
      <c r="AO1204">
        <v>0</v>
      </c>
      <c r="AP1204" t="s">
        <v>52</v>
      </c>
      <c r="AQ1204" t="s">
        <v>52</v>
      </c>
      <c r="AR1204" t="s">
        <v>62</v>
      </c>
      <c r="AS1204" t="s">
        <v>52</v>
      </c>
      <c r="AT1204" t="s">
        <v>74</v>
      </c>
      <c r="AU1204" t="s">
        <v>64</v>
      </c>
      <c r="AV1204" t="s">
        <v>62</v>
      </c>
      <c r="AW1204" t="s">
        <v>65</v>
      </c>
      <c r="AX1204" t="s">
        <v>66</v>
      </c>
      <c r="AY1204" t="s">
        <v>67</v>
      </c>
    </row>
    <row r="1205" spans="1:51" hidden="1" x14ac:dyDescent="0.25">
      <c r="A1205">
        <v>203239</v>
      </c>
      <c r="B1205" t="s">
        <v>4547</v>
      </c>
      <c r="C1205" t="e">
        <f>VLOOKUP(A1205,[1]Customer_payment_journal_line!$AL:$BO,30,0)</f>
        <v>#N/A</v>
      </c>
      <c r="D1205" t="s">
        <v>53</v>
      </c>
      <c r="E1205" t="s">
        <v>4548</v>
      </c>
      <c r="F1205" t="s">
        <v>4549</v>
      </c>
      <c r="G1205" t="s">
        <v>4126</v>
      </c>
      <c r="H1205" t="s">
        <v>57</v>
      </c>
      <c r="I1205" t="s">
        <v>58</v>
      </c>
      <c r="J1205" t="s">
        <v>2773</v>
      </c>
      <c r="K1205" t="s">
        <v>4550</v>
      </c>
      <c r="L1205" t="s">
        <v>52</v>
      </c>
      <c r="M1205">
        <v>4560</v>
      </c>
      <c r="N1205">
        <v>0</v>
      </c>
      <c r="O1205" t="s">
        <v>61</v>
      </c>
      <c r="P1205">
        <v>100</v>
      </c>
      <c r="Q1205" t="s">
        <v>52</v>
      </c>
      <c r="R1205" t="s">
        <v>52</v>
      </c>
      <c r="S1205" t="s">
        <v>52</v>
      </c>
      <c r="T1205" t="s">
        <v>52</v>
      </c>
      <c r="U1205" t="s">
        <v>52</v>
      </c>
      <c r="V1205" t="s">
        <v>62</v>
      </c>
      <c r="W1205" t="s">
        <v>63</v>
      </c>
      <c r="Y1205" t="s">
        <v>52</v>
      </c>
      <c r="AB1205" t="s">
        <v>52</v>
      </c>
      <c r="AE1205" t="s">
        <v>52</v>
      </c>
      <c r="AF1205" t="s">
        <v>52</v>
      </c>
      <c r="AH1205">
        <v>0</v>
      </c>
      <c r="AI1205">
        <v>0</v>
      </c>
      <c r="AJ1205" t="s">
        <v>52</v>
      </c>
      <c r="AK1205">
        <v>0</v>
      </c>
      <c r="AL1205" t="s">
        <v>52</v>
      </c>
      <c r="AM1205" t="s">
        <v>52</v>
      </c>
      <c r="AN1205">
        <v>0</v>
      </c>
      <c r="AO1205">
        <v>0</v>
      </c>
      <c r="AP1205" t="s">
        <v>52</v>
      </c>
      <c r="AQ1205" t="s">
        <v>52</v>
      </c>
      <c r="AR1205" t="s">
        <v>62</v>
      </c>
      <c r="AS1205" t="s">
        <v>52</v>
      </c>
      <c r="AT1205" t="s">
        <v>52</v>
      </c>
      <c r="AU1205" t="s">
        <v>64</v>
      </c>
      <c r="AV1205" t="s">
        <v>62</v>
      </c>
      <c r="AW1205" t="s">
        <v>65</v>
      </c>
      <c r="AX1205" t="s">
        <v>66</v>
      </c>
      <c r="AY1205" t="s">
        <v>67</v>
      </c>
    </row>
    <row r="1206" spans="1:51" hidden="1" x14ac:dyDescent="0.25">
      <c r="A1206">
        <v>203239</v>
      </c>
      <c r="B1206" t="s">
        <v>4551</v>
      </c>
      <c r="C1206" t="e">
        <f>VLOOKUP(A1206,[1]Customer_payment_journal_line!$AL:$BO,30,0)</f>
        <v>#N/A</v>
      </c>
      <c r="D1206" t="s">
        <v>53</v>
      </c>
      <c r="E1206" t="s">
        <v>4548</v>
      </c>
      <c r="F1206" t="s">
        <v>4549</v>
      </c>
      <c r="G1206" t="s">
        <v>4126</v>
      </c>
      <c r="H1206" t="s">
        <v>69</v>
      </c>
      <c r="I1206" t="s">
        <v>2776</v>
      </c>
      <c r="J1206" t="s">
        <v>2773</v>
      </c>
      <c r="K1206" t="s">
        <v>4550</v>
      </c>
      <c r="L1206" t="s">
        <v>52</v>
      </c>
      <c r="M1206">
        <v>0</v>
      </c>
      <c r="N1206">
        <v>4560</v>
      </c>
      <c r="O1206" t="s">
        <v>61</v>
      </c>
      <c r="P1206">
        <v>100</v>
      </c>
      <c r="Q1206" t="s">
        <v>52</v>
      </c>
      <c r="R1206" t="s">
        <v>52</v>
      </c>
      <c r="S1206" t="s">
        <v>52</v>
      </c>
      <c r="T1206" t="s">
        <v>52</v>
      </c>
      <c r="U1206" t="s">
        <v>52</v>
      </c>
      <c r="V1206" t="s">
        <v>62</v>
      </c>
      <c r="W1206" t="s">
        <v>52</v>
      </c>
      <c r="Y1206" t="s">
        <v>2777</v>
      </c>
      <c r="Z1206" t="s">
        <v>62</v>
      </c>
      <c r="AB1206" t="s">
        <v>4552</v>
      </c>
      <c r="AE1206" t="s">
        <v>4553</v>
      </c>
      <c r="AF1206" t="s">
        <v>52</v>
      </c>
      <c r="AH1206">
        <v>0</v>
      </c>
      <c r="AI1206">
        <v>0</v>
      </c>
      <c r="AJ1206" t="s">
        <v>52</v>
      </c>
      <c r="AK1206">
        <v>0</v>
      </c>
      <c r="AL1206" t="s">
        <v>52</v>
      </c>
      <c r="AM1206" t="s">
        <v>52</v>
      </c>
      <c r="AN1206">
        <v>0</v>
      </c>
      <c r="AO1206">
        <v>0</v>
      </c>
      <c r="AP1206" t="s">
        <v>52</v>
      </c>
      <c r="AQ1206" t="s">
        <v>52</v>
      </c>
      <c r="AR1206" t="s">
        <v>62</v>
      </c>
      <c r="AS1206" t="s">
        <v>52</v>
      </c>
      <c r="AT1206" t="s">
        <v>74</v>
      </c>
      <c r="AU1206" t="s">
        <v>64</v>
      </c>
      <c r="AV1206" t="s">
        <v>62</v>
      </c>
      <c r="AW1206" t="s">
        <v>65</v>
      </c>
      <c r="AX1206" t="s">
        <v>66</v>
      </c>
      <c r="AY1206" t="s">
        <v>67</v>
      </c>
    </row>
    <row r="1207" spans="1:51" hidden="1" x14ac:dyDescent="0.25">
      <c r="A1207">
        <v>203240</v>
      </c>
      <c r="B1207" t="s">
        <v>4554</v>
      </c>
      <c r="C1207" t="e">
        <f>VLOOKUP(A1207,[1]Customer_payment_journal_line!$AL:$BO,30,0)</f>
        <v>#N/A</v>
      </c>
      <c r="D1207" t="s">
        <v>53</v>
      </c>
      <c r="E1207" t="s">
        <v>4555</v>
      </c>
      <c r="F1207" t="s">
        <v>4556</v>
      </c>
      <c r="G1207" t="s">
        <v>4126</v>
      </c>
      <c r="H1207" t="s">
        <v>57</v>
      </c>
      <c r="I1207" t="s">
        <v>58</v>
      </c>
      <c r="J1207" t="s">
        <v>4557</v>
      </c>
      <c r="K1207" t="s">
        <v>4558</v>
      </c>
      <c r="L1207" t="s">
        <v>52</v>
      </c>
      <c r="M1207">
        <v>3420</v>
      </c>
      <c r="N1207">
        <v>0</v>
      </c>
      <c r="O1207" t="s">
        <v>61</v>
      </c>
      <c r="P1207">
        <v>100</v>
      </c>
      <c r="Q1207" t="s">
        <v>52</v>
      </c>
      <c r="R1207" t="s">
        <v>52</v>
      </c>
      <c r="S1207" t="s">
        <v>52</v>
      </c>
      <c r="T1207" t="s">
        <v>52</v>
      </c>
      <c r="U1207" t="s">
        <v>52</v>
      </c>
      <c r="V1207" t="s">
        <v>62</v>
      </c>
      <c r="W1207" t="s">
        <v>63</v>
      </c>
      <c r="Y1207" t="s">
        <v>52</v>
      </c>
      <c r="AB1207" t="s">
        <v>52</v>
      </c>
      <c r="AE1207" t="s">
        <v>52</v>
      </c>
      <c r="AF1207" t="s">
        <v>52</v>
      </c>
      <c r="AH1207">
        <v>0</v>
      </c>
      <c r="AI1207">
        <v>0</v>
      </c>
      <c r="AJ1207" t="s">
        <v>52</v>
      </c>
      <c r="AK1207">
        <v>0</v>
      </c>
      <c r="AL1207" t="s">
        <v>52</v>
      </c>
      <c r="AM1207" t="s">
        <v>52</v>
      </c>
      <c r="AN1207">
        <v>0</v>
      </c>
      <c r="AO1207">
        <v>0</v>
      </c>
      <c r="AP1207" t="s">
        <v>52</v>
      </c>
      <c r="AQ1207" t="s">
        <v>52</v>
      </c>
      <c r="AR1207" t="s">
        <v>62</v>
      </c>
      <c r="AS1207" t="s">
        <v>52</v>
      </c>
      <c r="AT1207" t="s">
        <v>52</v>
      </c>
      <c r="AU1207" t="s">
        <v>64</v>
      </c>
      <c r="AV1207" t="s">
        <v>62</v>
      </c>
      <c r="AW1207" t="s">
        <v>65</v>
      </c>
      <c r="AX1207" t="s">
        <v>66</v>
      </c>
      <c r="AY1207" t="s">
        <v>67</v>
      </c>
    </row>
    <row r="1208" spans="1:51" hidden="1" x14ac:dyDescent="0.25">
      <c r="A1208">
        <v>203240</v>
      </c>
      <c r="B1208" t="s">
        <v>4559</v>
      </c>
      <c r="C1208" t="e">
        <f>VLOOKUP(A1208,[1]Customer_payment_journal_line!$AL:$BO,30,0)</f>
        <v>#N/A</v>
      </c>
      <c r="D1208" t="s">
        <v>53</v>
      </c>
      <c r="E1208" t="s">
        <v>4555</v>
      </c>
      <c r="F1208" t="s">
        <v>4556</v>
      </c>
      <c r="G1208" t="s">
        <v>4126</v>
      </c>
      <c r="H1208" t="s">
        <v>69</v>
      </c>
      <c r="I1208" t="s">
        <v>4560</v>
      </c>
      <c r="J1208" t="s">
        <v>4557</v>
      </c>
      <c r="K1208" t="s">
        <v>4558</v>
      </c>
      <c r="L1208" t="s">
        <v>52</v>
      </c>
      <c r="M1208">
        <v>0</v>
      </c>
      <c r="N1208">
        <v>3420</v>
      </c>
      <c r="O1208" t="s">
        <v>61</v>
      </c>
      <c r="P1208">
        <v>100</v>
      </c>
      <c r="Q1208" t="s">
        <v>52</v>
      </c>
      <c r="R1208" t="s">
        <v>52</v>
      </c>
      <c r="S1208" t="s">
        <v>52</v>
      </c>
      <c r="T1208" t="s">
        <v>52</v>
      </c>
      <c r="U1208" t="s">
        <v>52</v>
      </c>
      <c r="V1208" t="s">
        <v>62</v>
      </c>
      <c r="W1208" t="s">
        <v>52</v>
      </c>
      <c r="Y1208" t="s">
        <v>4561</v>
      </c>
      <c r="Z1208" t="s">
        <v>62</v>
      </c>
      <c r="AB1208" t="s">
        <v>4562</v>
      </c>
      <c r="AE1208" t="s">
        <v>4563</v>
      </c>
      <c r="AF1208" t="s">
        <v>52</v>
      </c>
      <c r="AH1208">
        <v>0</v>
      </c>
      <c r="AI1208">
        <v>0</v>
      </c>
      <c r="AJ1208" t="s">
        <v>52</v>
      </c>
      <c r="AK1208">
        <v>0</v>
      </c>
      <c r="AL1208" t="s">
        <v>52</v>
      </c>
      <c r="AM1208" t="s">
        <v>52</v>
      </c>
      <c r="AN1208">
        <v>0</v>
      </c>
      <c r="AO1208">
        <v>0</v>
      </c>
      <c r="AP1208" t="s">
        <v>52</v>
      </c>
      <c r="AQ1208" t="s">
        <v>52</v>
      </c>
      <c r="AR1208" t="s">
        <v>62</v>
      </c>
      <c r="AS1208" t="s">
        <v>52</v>
      </c>
      <c r="AT1208" t="s">
        <v>74</v>
      </c>
      <c r="AU1208" t="s">
        <v>64</v>
      </c>
      <c r="AV1208" t="s">
        <v>62</v>
      </c>
      <c r="AW1208" t="s">
        <v>65</v>
      </c>
      <c r="AX1208" t="s">
        <v>66</v>
      </c>
      <c r="AY1208" t="s">
        <v>67</v>
      </c>
    </row>
    <row r="1209" spans="1:51" hidden="1" x14ac:dyDescent="0.25">
      <c r="A1209">
        <v>203241</v>
      </c>
      <c r="B1209" t="s">
        <v>4564</v>
      </c>
      <c r="C1209" t="e">
        <f>VLOOKUP(A1209,[1]Customer_payment_journal_line!$AL:$BO,30,0)</f>
        <v>#N/A</v>
      </c>
      <c r="D1209" t="s">
        <v>53</v>
      </c>
      <c r="E1209" t="s">
        <v>4565</v>
      </c>
      <c r="F1209" t="s">
        <v>4566</v>
      </c>
      <c r="G1209" t="s">
        <v>4126</v>
      </c>
      <c r="H1209" t="s">
        <v>57</v>
      </c>
      <c r="I1209" t="s">
        <v>58</v>
      </c>
      <c r="J1209" t="s">
        <v>4567</v>
      </c>
      <c r="K1209" t="s">
        <v>4568</v>
      </c>
      <c r="L1209" t="s">
        <v>52</v>
      </c>
      <c r="M1209">
        <v>1368</v>
      </c>
      <c r="N1209">
        <v>0</v>
      </c>
      <c r="O1209" t="s">
        <v>61</v>
      </c>
      <c r="P1209">
        <v>100</v>
      </c>
      <c r="Q1209" t="s">
        <v>52</v>
      </c>
      <c r="R1209" t="s">
        <v>52</v>
      </c>
      <c r="S1209" t="s">
        <v>52</v>
      </c>
      <c r="T1209" t="s">
        <v>52</v>
      </c>
      <c r="U1209" t="s">
        <v>52</v>
      </c>
      <c r="V1209" t="s">
        <v>62</v>
      </c>
      <c r="W1209" t="s">
        <v>63</v>
      </c>
      <c r="Y1209" t="s">
        <v>52</v>
      </c>
      <c r="AB1209" t="s">
        <v>52</v>
      </c>
      <c r="AE1209" t="s">
        <v>52</v>
      </c>
      <c r="AF1209" t="s">
        <v>52</v>
      </c>
      <c r="AH1209">
        <v>0</v>
      </c>
      <c r="AI1209">
        <v>0</v>
      </c>
      <c r="AJ1209" t="s">
        <v>52</v>
      </c>
      <c r="AK1209">
        <v>0</v>
      </c>
      <c r="AL1209" t="s">
        <v>52</v>
      </c>
      <c r="AM1209" t="s">
        <v>52</v>
      </c>
      <c r="AN1209">
        <v>0</v>
      </c>
      <c r="AO1209">
        <v>0</v>
      </c>
      <c r="AP1209" t="s">
        <v>52</v>
      </c>
      <c r="AQ1209" t="s">
        <v>52</v>
      </c>
      <c r="AR1209" t="s">
        <v>62</v>
      </c>
      <c r="AS1209" t="s">
        <v>52</v>
      </c>
      <c r="AT1209" t="s">
        <v>52</v>
      </c>
      <c r="AU1209" t="s">
        <v>64</v>
      </c>
      <c r="AV1209" t="s">
        <v>62</v>
      </c>
      <c r="AW1209" t="s">
        <v>65</v>
      </c>
      <c r="AX1209" t="s">
        <v>66</v>
      </c>
      <c r="AY1209" t="s">
        <v>67</v>
      </c>
    </row>
    <row r="1210" spans="1:51" hidden="1" x14ac:dyDescent="0.25">
      <c r="A1210">
        <v>203241</v>
      </c>
      <c r="B1210" t="s">
        <v>4569</v>
      </c>
      <c r="C1210" t="e">
        <f>VLOOKUP(A1210,[1]Customer_payment_journal_line!$AL:$BO,30,0)</f>
        <v>#N/A</v>
      </c>
      <c r="D1210" t="s">
        <v>53</v>
      </c>
      <c r="E1210" t="s">
        <v>4565</v>
      </c>
      <c r="F1210" t="s">
        <v>4566</v>
      </c>
      <c r="G1210" t="s">
        <v>4126</v>
      </c>
      <c r="H1210" t="s">
        <v>69</v>
      </c>
      <c r="I1210" t="s">
        <v>379</v>
      </c>
      <c r="J1210" t="s">
        <v>4567</v>
      </c>
      <c r="K1210" t="s">
        <v>4568</v>
      </c>
      <c r="L1210" t="s">
        <v>52</v>
      </c>
      <c r="M1210">
        <v>0</v>
      </c>
      <c r="N1210">
        <v>1368</v>
      </c>
      <c r="O1210" t="s">
        <v>61</v>
      </c>
      <c r="P1210">
        <v>100</v>
      </c>
      <c r="Q1210" t="s">
        <v>52</v>
      </c>
      <c r="R1210" t="s">
        <v>52</v>
      </c>
      <c r="S1210" t="s">
        <v>52</v>
      </c>
      <c r="T1210" t="s">
        <v>52</v>
      </c>
      <c r="U1210" t="s">
        <v>52</v>
      </c>
      <c r="V1210" t="s">
        <v>62</v>
      </c>
      <c r="W1210" t="s">
        <v>52</v>
      </c>
      <c r="Y1210" t="s">
        <v>380</v>
      </c>
      <c r="Z1210" t="s">
        <v>62</v>
      </c>
      <c r="AB1210" t="s">
        <v>4570</v>
      </c>
      <c r="AE1210" t="s">
        <v>4571</v>
      </c>
      <c r="AF1210" t="s">
        <v>52</v>
      </c>
      <c r="AH1210">
        <v>0</v>
      </c>
      <c r="AI1210">
        <v>0</v>
      </c>
      <c r="AJ1210" t="s">
        <v>52</v>
      </c>
      <c r="AK1210">
        <v>0</v>
      </c>
      <c r="AL1210" t="s">
        <v>52</v>
      </c>
      <c r="AM1210" t="s">
        <v>52</v>
      </c>
      <c r="AN1210">
        <v>0</v>
      </c>
      <c r="AO1210">
        <v>0</v>
      </c>
      <c r="AP1210" t="s">
        <v>52</v>
      </c>
      <c r="AQ1210" t="s">
        <v>52</v>
      </c>
      <c r="AR1210" t="s">
        <v>62</v>
      </c>
      <c r="AS1210" t="s">
        <v>52</v>
      </c>
      <c r="AT1210" t="s">
        <v>74</v>
      </c>
      <c r="AU1210" t="s">
        <v>64</v>
      </c>
      <c r="AV1210" t="s">
        <v>62</v>
      </c>
      <c r="AW1210" t="s">
        <v>65</v>
      </c>
      <c r="AX1210" t="s">
        <v>66</v>
      </c>
      <c r="AY1210" t="s">
        <v>67</v>
      </c>
    </row>
    <row r="1211" spans="1:51" hidden="1" x14ac:dyDescent="0.25">
      <c r="A1211">
        <v>203243</v>
      </c>
      <c r="B1211" t="s">
        <v>4572</v>
      </c>
      <c r="C1211" t="e">
        <f>VLOOKUP(A1211,[1]Customer_payment_journal_line!$AL:$BO,30,0)</f>
        <v>#N/A</v>
      </c>
      <c r="D1211" t="s">
        <v>53</v>
      </c>
      <c r="E1211" t="s">
        <v>4573</v>
      </c>
      <c r="F1211" t="s">
        <v>4574</v>
      </c>
      <c r="G1211" t="s">
        <v>4126</v>
      </c>
      <c r="H1211" t="s">
        <v>57</v>
      </c>
      <c r="I1211" t="s">
        <v>58</v>
      </c>
      <c r="J1211" t="s">
        <v>4567</v>
      </c>
      <c r="K1211" t="s">
        <v>4568</v>
      </c>
      <c r="L1211" t="s">
        <v>52</v>
      </c>
      <c r="M1211">
        <v>855</v>
      </c>
      <c r="N1211">
        <v>0</v>
      </c>
      <c r="O1211" t="s">
        <v>61</v>
      </c>
      <c r="P1211">
        <v>100</v>
      </c>
      <c r="Q1211" t="s">
        <v>52</v>
      </c>
      <c r="R1211" t="s">
        <v>52</v>
      </c>
      <c r="S1211" t="s">
        <v>52</v>
      </c>
      <c r="T1211" t="s">
        <v>52</v>
      </c>
      <c r="U1211" t="s">
        <v>52</v>
      </c>
      <c r="V1211" t="s">
        <v>62</v>
      </c>
      <c r="W1211" t="s">
        <v>63</v>
      </c>
      <c r="Y1211" t="s">
        <v>52</v>
      </c>
      <c r="AB1211" t="s">
        <v>52</v>
      </c>
      <c r="AE1211" t="s">
        <v>52</v>
      </c>
      <c r="AF1211" t="s">
        <v>52</v>
      </c>
      <c r="AH1211">
        <v>0</v>
      </c>
      <c r="AI1211">
        <v>0</v>
      </c>
      <c r="AJ1211" t="s">
        <v>52</v>
      </c>
      <c r="AK1211">
        <v>0</v>
      </c>
      <c r="AL1211" t="s">
        <v>52</v>
      </c>
      <c r="AM1211" t="s">
        <v>52</v>
      </c>
      <c r="AN1211">
        <v>0</v>
      </c>
      <c r="AO1211">
        <v>0</v>
      </c>
      <c r="AP1211" t="s">
        <v>52</v>
      </c>
      <c r="AQ1211" t="s">
        <v>52</v>
      </c>
      <c r="AR1211" t="s">
        <v>62</v>
      </c>
      <c r="AS1211" t="s">
        <v>52</v>
      </c>
      <c r="AT1211" t="s">
        <v>52</v>
      </c>
      <c r="AU1211" t="s">
        <v>64</v>
      </c>
      <c r="AV1211" t="s">
        <v>62</v>
      </c>
      <c r="AW1211" t="s">
        <v>65</v>
      </c>
      <c r="AX1211" t="s">
        <v>66</v>
      </c>
      <c r="AY1211" t="s">
        <v>67</v>
      </c>
    </row>
    <row r="1212" spans="1:51" hidden="1" x14ac:dyDescent="0.25">
      <c r="A1212">
        <v>203243</v>
      </c>
      <c r="B1212" t="s">
        <v>4575</v>
      </c>
      <c r="C1212" t="e">
        <f>VLOOKUP(A1212,[1]Customer_payment_journal_line!$AL:$BO,30,0)</f>
        <v>#N/A</v>
      </c>
      <c r="D1212" t="s">
        <v>53</v>
      </c>
      <c r="E1212" t="s">
        <v>4573</v>
      </c>
      <c r="F1212" t="s">
        <v>4574</v>
      </c>
      <c r="G1212" t="s">
        <v>4126</v>
      </c>
      <c r="H1212" t="s">
        <v>69</v>
      </c>
      <c r="I1212" t="s">
        <v>379</v>
      </c>
      <c r="J1212" t="s">
        <v>4567</v>
      </c>
      <c r="K1212" t="s">
        <v>4568</v>
      </c>
      <c r="L1212" t="s">
        <v>52</v>
      </c>
      <c r="M1212">
        <v>0</v>
      </c>
      <c r="N1212">
        <v>855</v>
      </c>
      <c r="O1212" t="s">
        <v>61</v>
      </c>
      <c r="P1212">
        <v>100</v>
      </c>
      <c r="Q1212" t="s">
        <v>52</v>
      </c>
      <c r="R1212" t="s">
        <v>52</v>
      </c>
      <c r="S1212" t="s">
        <v>52</v>
      </c>
      <c r="T1212" t="s">
        <v>52</v>
      </c>
      <c r="U1212" t="s">
        <v>52</v>
      </c>
      <c r="V1212" t="s">
        <v>62</v>
      </c>
      <c r="W1212" t="s">
        <v>52</v>
      </c>
      <c r="Y1212" t="s">
        <v>380</v>
      </c>
      <c r="Z1212" t="s">
        <v>62</v>
      </c>
      <c r="AB1212" t="s">
        <v>4576</v>
      </c>
      <c r="AE1212" t="s">
        <v>4577</v>
      </c>
      <c r="AF1212" t="s">
        <v>52</v>
      </c>
      <c r="AH1212">
        <v>0</v>
      </c>
      <c r="AI1212">
        <v>0</v>
      </c>
      <c r="AJ1212" t="s">
        <v>52</v>
      </c>
      <c r="AK1212">
        <v>0</v>
      </c>
      <c r="AL1212" t="s">
        <v>52</v>
      </c>
      <c r="AM1212" t="s">
        <v>52</v>
      </c>
      <c r="AN1212">
        <v>0</v>
      </c>
      <c r="AO1212">
        <v>0</v>
      </c>
      <c r="AP1212" t="s">
        <v>52</v>
      </c>
      <c r="AQ1212" t="s">
        <v>52</v>
      </c>
      <c r="AR1212" t="s">
        <v>62</v>
      </c>
      <c r="AS1212" t="s">
        <v>52</v>
      </c>
      <c r="AT1212" t="s">
        <v>74</v>
      </c>
      <c r="AU1212" t="s">
        <v>64</v>
      </c>
      <c r="AV1212" t="s">
        <v>62</v>
      </c>
      <c r="AW1212" t="s">
        <v>65</v>
      </c>
      <c r="AX1212" t="s">
        <v>66</v>
      </c>
      <c r="AY1212" t="s">
        <v>67</v>
      </c>
    </row>
    <row r="1213" spans="1:51" hidden="1" x14ac:dyDescent="0.25">
      <c r="A1213">
        <v>406090</v>
      </c>
      <c r="B1213" t="s">
        <v>4578</v>
      </c>
      <c r="C1213" t="e">
        <f>VLOOKUP(A1213,[1]Customer_payment_journal_line!$AL:$BO,30,0)</f>
        <v>#N/A</v>
      </c>
      <c r="D1213" t="s">
        <v>53</v>
      </c>
      <c r="E1213" t="s">
        <v>4579</v>
      </c>
      <c r="F1213" t="s">
        <v>4580</v>
      </c>
      <c r="G1213" t="s">
        <v>4126</v>
      </c>
      <c r="H1213" t="s">
        <v>57</v>
      </c>
      <c r="I1213" t="s">
        <v>58</v>
      </c>
      <c r="J1213" t="s">
        <v>2010</v>
      </c>
      <c r="K1213" t="s">
        <v>4354</v>
      </c>
      <c r="L1213" t="s">
        <v>52</v>
      </c>
      <c r="M1213">
        <v>1000</v>
      </c>
      <c r="N1213">
        <v>0</v>
      </c>
      <c r="O1213" t="s">
        <v>61</v>
      </c>
      <c r="P1213">
        <v>100</v>
      </c>
      <c r="Q1213" t="s">
        <v>52</v>
      </c>
      <c r="R1213" t="s">
        <v>52</v>
      </c>
      <c r="S1213" t="s">
        <v>52</v>
      </c>
      <c r="T1213" t="s">
        <v>52</v>
      </c>
      <c r="U1213" t="s">
        <v>52</v>
      </c>
      <c r="V1213" t="s">
        <v>62</v>
      </c>
      <c r="W1213" t="s">
        <v>63</v>
      </c>
      <c r="Y1213" t="s">
        <v>52</v>
      </c>
      <c r="AB1213" t="s">
        <v>52</v>
      </c>
      <c r="AE1213" t="s">
        <v>52</v>
      </c>
      <c r="AF1213" t="s">
        <v>52</v>
      </c>
      <c r="AH1213">
        <v>0</v>
      </c>
      <c r="AI1213">
        <v>0</v>
      </c>
      <c r="AJ1213" t="s">
        <v>52</v>
      </c>
      <c r="AK1213">
        <v>0</v>
      </c>
      <c r="AL1213" t="s">
        <v>52</v>
      </c>
      <c r="AM1213" t="s">
        <v>52</v>
      </c>
      <c r="AN1213">
        <v>0</v>
      </c>
      <c r="AO1213">
        <v>0</v>
      </c>
      <c r="AP1213" t="s">
        <v>52</v>
      </c>
      <c r="AQ1213" t="s">
        <v>52</v>
      </c>
      <c r="AR1213" t="s">
        <v>62</v>
      </c>
      <c r="AS1213" t="s">
        <v>52</v>
      </c>
      <c r="AT1213" t="s">
        <v>52</v>
      </c>
      <c r="AU1213" t="s">
        <v>64</v>
      </c>
      <c r="AV1213" t="s">
        <v>62</v>
      </c>
      <c r="AW1213" t="s">
        <v>65</v>
      </c>
      <c r="AX1213" t="s">
        <v>66</v>
      </c>
      <c r="AY1213" t="s">
        <v>67</v>
      </c>
    </row>
    <row r="1214" spans="1:51" hidden="1" x14ac:dyDescent="0.25">
      <c r="A1214">
        <v>406090</v>
      </c>
      <c r="B1214" t="s">
        <v>4581</v>
      </c>
      <c r="C1214" t="e">
        <f>VLOOKUP(A1214,[1]Customer_payment_journal_line!$AL:$BO,30,0)</f>
        <v>#N/A</v>
      </c>
      <c r="D1214" t="s">
        <v>53</v>
      </c>
      <c r="E1214" t="s">
        <v>4579</v>
      </c>
      <c r="F1214" t="s">
        <v>4580</v>
      </c>
      <c r="G1214" t="s">
        <v>4126</v>
      </c>
      <c r="H1214" t="s">
        <v>69</v>
      </c>
      <c r="I1214" t="s">
        <v>2013</v>
      </c>
      <c r="J1214" t="s">
        <v>2010</v>
      </c>
      <c r="K1214" t="s">
        <v>4354</v>
      </c>
      <c r="L1214" t="s">
        <v>52</v>
      </c>
      <c r="M1214">
        <v>0</v>
      </c>
      <c r="N1214">
        <v>1000</v>
      </c>
      <c r="O1214" t="s">
        <v>61</v>
      </c>
      <c r="P1214">
        <v>100</v>
      </c>
      <c r="Q1214" t="s">
        <v>52</v>
      </c>
      <c r="R1214" t="s">
        <v>52</v>
      </c>
      <c r="S1214" t="s">
        <v>52</v>
      </c>
      <c r="T1214" t="s">
        <v>52</v>
      </c>
      <c r="U1214" t="s">
        <v>52</v>
      </c>
      <c r="V1214" t="s">
        <v>62</v>
      </c>
      <c r="W1214" t="s">
        <v>52</v>
      </c>
      <c r="Y1214" t="s">
        <v>2014</v>
      </c>
      <c r="Z1214" t="s">
        <v>62</v>
      </c>
      <c r="AB1214" t="s">
        <v>4582</v>
      </c>
      <c r="AE1214" t="s">
        <v>4583</v>
      </c>
      <c r="AF1214" t="s">
        <v>52</v>
      </c>
      <c r="AH1214">
        <v>0</v>
      </c>
      <c r="AI1214">
        <v>0</v>
      </c>
      <c r="AJ1214" t="s">
        <v>52</v>
      </c>
      <c r="AK1214">
        <v>0</v>
      </c>
      <c r="AL1214" t="s">
        <v>52</v>
      </c>
      <c r="AM1214" t="s">
        <v>52</v>
      </c>
      <c r="AN1214">
        <v>0</v>
      </c>
      <c r="AO1214">
        <v>0</v>
      </c>
      <c r="AP1214" t="s">
        <v>52</v>
      </c>
      <c r="AQ1214" t="s">
        <v>52</v>
      </c>
      <c r="AR1214" t="s">
        <v>62</v>
      </c>
      <c r="AS1214" t="s">
        <v>52</v>
      </c>
      <c r="AT1214" t="s">
        <v>74</v>
      </c>
      <c r="AU1214" t="s">
        <v>64</v>
      </c>
      <c r="AV1214" t="s">
        <v>62</v>
      </c>
      <c r="AW1214" t="s">
        <v>65</v>
      </c>
      <c r="AX1214" t="s">
        <v>66</v>
      </c>
      <c r="AY1214" t="s">
        <v>67</v>
      </c>
    </row>
    <row r="1215" spans="1:51" hidden="1" x14ac:dyDescent="0.25">
      <c r="A1215">
        <v>406091</v>
      </c>
      <c r="B1215" t="s">
        <v>4584</v>
      </c>
      <c r="C1215" t="e">
        <f>VLOOKUP(A1215,[1]Customer_payment_journal_line!$AL:$BO,30,0)</f>
        <v>#N/A</v>
      </c>
      <c r="D1215" t="s">
        <v>53</v>
      </c>
      <c r="E1215" t="s">
        <v>4585</v>
      </c>
      <c r="F1215" t="s">
        <v>4586</v>
      </c>
      <c r="G1215" t="s">
        <v>4126</v>
      </c>
      <c r="H1215" t="s">
        <v>57</v>
      </c>
      <c r="I1215" t="s">
        <v>58</v>
      </c>
      <c r="J1215" t="s">
        <v>2010</v>
      </c>
      <c r="K1215" t="s">
        <v>4354</v>
      </c>
      <c r="L1215" t="s">
        <v>52</v>
      </c>
      <c r="M1215">
        <v>855</v>
      </c>
      <c r="N1215">
        <v>0</v>
      </c>
      <c r="O1215" t="s">
        <v>61</v>
      </c>
      <c r="P1215">
        <v>100</v>
      </c>
      <c r="Q1215" t="s">
        <v>52</v>
      </c>
      <c r="R1215" t="s">
        <v>52</v>
      </c>
      <c r="S1215" t="s">
        <v>52</v>
      </c>
      <c r="T1215" t="s">
        <v>52</v>
      </c>
      <c r="U1215" t="s">
        <v>52</v>
      </c>
      <c r="V1215" t="s">
        <v>62</v>
      </c>
      <c r="W1215" t="s">
        <v>63</v>
      </c>
      <c r="Y1215" t="s">
        <v>52</v>
      </c>
      <c r="AB1215" t="s">
        <v>52</v>
      </c>
      <c r="AE1215" t="s">
        <v>52</v>
      </c>
      <c r="AF1215" t="s">
        <v>52</v>
      </c>
      <c r="AH1215">
        <v>0</v>
      </c>
      <c r="AI1215">
        <v>0</v>
      </c>
      <c r="AJ1215" t="s">
        <v>52</v>
      </c>
      <c r="AK1215">
        <v>0</v>
      </c>
      <c r="AL1215" t="s">
        <v>52</v>
      </c>
      <c r="AM1215" t="s">
        <v>52</v>
      </c>
      <c r="AN1215">
        <v>0</v>
      </c>
      <c r="AO1215">
        <v>0</v>
      </c>
      <c r="AP1215" t="s">
        <v>52</v>
      </c>
      <c r="AQ1215" t="s">
        <v>52</v>
      </c>
      <c r="AR1215" t="s">
        <v>62</v>
      </c>
      <c r="AS1215" t="s">
        <v>52</v>
      </c>
      <c r="AT1215" t="s">
        <v>52</v>
      </c>
      <c r="AU1215" t="s">
        <v>64</v>
      </c>
      <c r="AV1215" t="s">
        <v>62</v>
      </c>
      <c r="AW1215" t="s">
        <v>65</v>
      </c>
      <c r="AX1215" t="s">
        <v>66</v>
      </c>
      <c r="AY1215" t="s">
        <v>67</v>
      </c>
    </row>
    <row r="1216" spans="1:51" hidden="1" x14ac:dyDescent="0.25">
      <c r="A1216">
        <v>406091</v>
      </c>
      <c r="B1216" t="s">
        <v>4587</v>
      </c>
      <c r="C1216" t="e">
        <f>VLOOKUP(A1216,[1]Customer_payment_journal_line!$AL:$BO,30,0)</f>
        <v>#N/A</v>
      </c>
      <c r="D1216" t="s">
        <v>53</v>
      </c>
      <c r="E1216" t="s">
        <v>4585</v>
      </c>
      <c r="F1216" t="s">
        <v>4586</v>
      </c>
      <c r="G1216" t="s">
        <v>4126</v>
      </c>
      <c r="H1216" t="s">
        <v>69</v>
      </c>
      <c r="I1216" t="s">
        <v>2013</v>
      </c>
      <c r="J1216" t="s">
        <v>2010</v>
      </c>
      <c r="K1216" t="s">
        <v>4354</v>
      </c>
      <c r="L1216" t="s">
        <v>52</v>
      </c>
      <c r="M1216">
        <v>0</v>
      </c>
      <c r="N1216">
        <v>855</v>
      </c>
      <c r="O1216" t="s">
        <v>61</v>
      </c>
      <c r="P1216">
        <v>100</v>
      </c>
      <c r="Q1216" t="s">
        <v>52</v>
      </c>
      <c r="R1216" t="s">
        <v>52</v>
      </c>
      <c r="S1216" t="s">
        <v>52</v>
      </c>
      <c r="T1216" t="s">
        <v>52</v>
      </c>
      <c r="U1216" t="s">
        <v>52</v>
      </c>
      <c r="V1216" t="s">
        <v>62</v>
      </c>
      <c r="W1216" t="s">
        <v>52</v>
      </c>
      <c r="Y1216" t="s">
        <v>2014</v>
      </c>
      <c r="Z1216" t="s">
        <v>62</v>
      </c>
      <c r="AB1216" t="s">
        <v>4588</v>
      </c>
      <c r="AE1216" t="s">
        <v>4589</v>
      </c>
      <c r="AF1216" t="s">
        <v>52</v>
      </c>
      <c r="AH1216">
        <v>0</v>
      </c>
      <c r="AI1216">
        <v>0</v>
      </c>
      <c r="AJ1216" t="s">
        <v>52</v>
      </c>
      <c r="AK1216">
        <v>0</v>
      </c>
      <c r="AL1216" t="s">
        <v>52</v>
      </c>
      <c r="AM1216" t="s">
        <v>52</v>
      </c>
      <c r="AN1216">
        <v>0</v>
      </c>
      <c r="AO1216">
        <v>0</v>
      </c>
      <c r="AP1216" t="s">
        <v>52</v>
      </c>
      <c r="AQ1216" t="s">
        <v>52</v>
      </c>
      <c r="AR1216" t="s">
        <v>62</v>
      </c>
      <c r="AS1216" t="s">
        <v>52</v>
      </c>
      <c r="AT1216" t="s">
        <v>74</v>
      </c>
      <c r="AU1216" t="s">
        <v>64</v>
      </c>
      <c r="AV1216" t="s">
        <v>62</v>
      </c>
      <c r="AW1216" t="s">
        <v>65</v>
      </c>
      <c r="AX1216" t="s">
        <v>66</v>
      </c>
      <c r="AY1216" t="s">
        <v>67</v>
      </c>
    </row>
    <row r="1217" spans="1:51" hidden="1" x14ac:dyDescent="0.25">
      <c r="A1217">
        <v>406092</v>
      </c>
      <c r="B1217" t="s">
        <v>4590</v>
      </c>
      <c r="C1217" t="e">
        <f>VLOOKUP(A1217,[1]Customer_payment_journal_line!$AL:$BO,30,0)</f>
        <v>#N/A</v>
      </c>
      <c r="D1217" t="s">
        <v>53</v>
      </c>
      <c r="E1217" t="s">
        <v>4591</v>
      </c>
      <c r="F1217" t="s">
        <v>4592</v>
      </c>
      <c r="G1217" t="s">
        <v>4126</v>
      </c>
      <c r="H1217" t="s">
        <v>57</v>
      </c>
      <c r="I1217" t="s">
        <v>58</v>
      </c>
      <c r="J1217" t="s">
        <v>4361</v>
      </c>
      <c r="K1217" t="s">
        <v>4362</v>
      </c>
      <c r="L1217" t="s">
        <v>52</v>
      </c>
      <c r="M1217">
        <v>1500</v>
      </c>
      <c r="N1217">
        <v>0</v>
      </c>
      <c r="O1217" t="s">
        <v>61</v>
      </c>
      <c r="P1217">
        <v>100</v>
      </c>
      <c r="Q1217" t="s">
        <v>52</v>
      </c>
      <c r="R1217" t="s">
        <v>52</v>
      </c>
      <c r="S1217" t="s">
        <v>52</v>
      </c>
      <c r="T1217" t="s">
        <v>52</v>
      </c>
      <c r="U1217" t="s">
        <v>52</v>
      </c>
      <c r="V1217" t="s">
        <v>62</v>
      </c>
      <c r="W1217" t="s">
        <v>63</v>
      </c>
      <c r="Y1217" t="s">
        <v>52</v>
      </c>
      <c r="AB1217" t="s">
        <v>52</v>
      </c>
      <c r="AE1217" t="s">
        <v>52</v>
      </c>
      <c r="AF1217" t="s">
        <v>52</v>
      </c>
      <c r="AH1217">
        <v>0</v>
      </c>
      <c r="AI1217">
        <v>0</v>
      </c>
      <c r="AJ1217" t="s">
        <v>52</v>
      </c>
      <c r="AK1217">
        <v>0</v>
      </c>
      <c r="AL1217" t="s">
        <v>52</v>
      </c>
      <c r="AM1217" t="s">
        <v>52</v>
      </c>
      <c r="AN1217">
        <v>0</v>
      </c>
      <c r="AO1217">
        <v>0</v>
      </c>
      <c r="AP1217" t="s">
        <v>52</v>
      </c>
      <c r="AQ1217" t="s">
        <v>52</v>
      </c>
      <c r="AR1217" t="s">
        <v>62</v>
      </c>
      <c r="AS1217" t="s">
        <v>52</v>
      </c>
      <c r="AT1217" t="s">
        <v>52</v>
      </c>
      <c r="AU1217" t="s">
        <v>64</v>
      </c>
      <c r="AV1217" t="s">
        <v>62</v>
      </c>
      <c r="AW1217" t="s">
        <v>65</v>
      </c>
      <c r="AX1217" t="s">
        <v>66</v>
      </c>
      <c r="AY1217" t="s">
        <v>67</v>
      </c>
    </row>
    <row r="1218" spans="1:51" hidden="1" x14ac:dyDescent="0.25">
      <c r="A1218">
        <v>406092</v>
      </c>
      <c r="B1218" t="s">
        <v>4593</v>
      </c>
      <c r="C1218" t="e">
        <f>VLOOKUP(A1218,[1]Customer_payment_journal_line!$AL:$BO,30,0)</f>
        <v>#N/A</v>
      </c>
      <c r="D1218" t="s">
        <v>53</v>
      </c>
      <c r="E1218" t="s">
        <v>4591</v>
      </c>
      <c r="F1218" t="s">
        <v>4592</v>
      </c>
      <c r="G1218" t="s">
        <v>4126</v>
      </c>
      <c r="H1218" t="s">
        <v>69</v>
      </c>
      <c r="I1218" t="s">
        <v>2013</v>
      </c>
      <c r="J1218" t="s">
        <v>4361</v>
      </c>
      <c r="K1218" t="s">
        <v>4362</v>
      </c>
      <c r="L1218" t="s">
        <v>52</v>
      </c>
      <c r="M1218">
        <v>0</v>
      </c>
      <c r="N1218">
        <v>1500</v>
      </c>
      <c r="O1218" t="s">
        <v>61</v>
      </c>
      <c r="P1218">
        <v>100</v>
      </c>
      <c r="Q1218" t="s">
        <v>52</v>
      </c>
      <c r="R1218" t="s">
        <v>52</v>
      </c>
      <c r="S1218" t="s">
        <v>52</v>
      </c>
      <c r="T1218" t="s">
        <v>52</v>
      </c>
      <c r="U1218" t="s">
        <v>52</v>
      </c>
      <c r="V1218" t="s">
        <v>62</v>
      </c>
      <c r="W1218" t="s">
        <v>52</v>
      </c>
      <c r="Y1218" t="s">
        <v>2014</v>
      </c>
      <c r="Z1218" t="s">
        <v>62</v>
      </c>
      <c r="AB1218" t="s">
        <v>4594</v>
      </c>
      <c r="AE1218" t="s">
        <v>4595</v>
      </c>
      <c r="AF1218" t="s">
        <v>52</v>
      </c>
      <c r="AH1218">
        <v>0</v>
      </c>
      <c r="AI1218">
        <v>0</v>
      </c>
      <c r="AJ1218" t="s">
        <v>52</v>
      </c>
      <c r="AK1218">
        <v>0</v>
      </c>
      <c r="AL1218" t="s">
        <v>52</v>
      </c>
      <c r="AM1218" t="s">
        <v>52</v>
      </c>
      <c r="AN1218">
        <v>0</v>
      </c>
      <c r="AO1218">
        <v>0</v>
      </c>
      <c r="AP1218" t="s">
        <v>52</v>
      </c>
      <c r="AQ1218" t="s">
        <v>52</v>
      </c>
      <c r="AR1218" t="s">
        <v>62</v>
      </c>
      <c r="AS1218" t="s">
        <v>52</v>
      </c>
      <c r="AT1218" t="s">
        <v>74</v>
      </c>
      <c r="AU1218" t="s">
        <v>64</v>
      </c>
      <c r="AV1218" t="s">
        <v>62</v>
      </c>
      <c r="AW1218" t="s">
        <v>65</v>
      </c>
      <c r="AX1218" t="s">
        <v>66</v>
      </c>
      <c r="AY1218" t="s">
        <v>67</v>
      </c>
    </row>
    <row r="1219" spans="1:51" hidden="1" x14ac:dyDescent="0.25">
      <c r="A1219">
        <v>406093</v>
      </c>
      <c r="B1219" t="s">
        <v>4596</v>
      </c>
      <c r="C1219" t="e">
        <f>VLOOKUP(A1219,[1]Customer_payment_journal_line!$AL:$BO,30,0)</f>
        <v>#N/A</v>
      </c>
      <c r="D1219" t="s">
        <v>53</v>
      </c>
      <c r="E1219" t="s">
        <v>4597</v>
      </c>
      <c r="F1219" t="s">
        <v>4598</v>
      </c>
      <c r="G1219" t="s">
        <v>4126</v>
      </c>
      <c r="H1219" t="s">
        <v>57</v>
      </c>
      <c r="I1219" t="s">
        <v>58</v>
      </c>
      <c r="J1219" t="s">
        <v>4361</v>
      </c>
      <c r="K1219" t="s">
        <v>4362</v>
      </c>
      <c r="L1219" t="s">
        <v>52</v>
      </c>
      <c r="M1219">
        <v>855</v>
      </c>
      <c r="N1219">
        <v>0</v>
      </c>
      <c r="O1219" t="s">
        <v>61</v>
      </c>
      <c r="P1219">
        <v>100</v>
      </c>
      <c r="Q1219" t="s">
        <v>52</v>
      </c>
      <c r="R1219" t="s">
        <v>52</v>
      </c>
      <c r="S1219" t="s">
        <v>52</v>
      </c>
      <c r="T1219" t="s">
        <v>52</v>
      </c>
      <c r="U1219" t="s">
        <v>52</v>
      </c>
      <c r="V1219" t="s">
        <v>62</v>
      </c>
      <c r="W1219" t="s">
        <v>63</v>
      </c>
      <c r="Y1219" t="s">
        <v>52</v>
      </c>
      <c r="AB1219" t="s">
        <v>52</v>
      </c>
      <c r="AE1219" t="s">
        <v>52</v>
      </c>
      <c r="AF1219" t="s">
        <v>52</v>
      </c>
      <c r="AH1219">
        <v>0</v>
      </c>
      <c r="AI1219">
        <v>0</v>
      </c>
      <c r="AJ1219" t="s">
        <v>52</v>
      </c>
      <c r="AK1219">
        <v>0</v>
      </c>
      <c r="AL1219" t="s">
        <v>52</v>
      </c>
      <c r="AM1219" t="s">
        <v>52</v>
      </c>
      <c r="AN1219">
        <v>0</v>
      </c>
      <c r="AO1219">
        <v>0</v>
      </c>
      <c r="AP1219" t="s">
        <v>52</v>
      </c>
      <c r="AQ1219" t="s">
        <v>52</v>
      </c>
      <c r="AR1219" t="s">
        <v>62</v>
      </c>
      <c r="AS1219" t="s">
        <v>52</v>
      </c>
      <c r="AT1219" t="s">
        <v>52</v>
      </c>
      <c r="AU1219" t="s">
        <v>64</v>
      </c>
      <c r="AV1219" t="s">
        <v>62</v>
      </c>
      <c r="AW1219" t="s">
        <v>65</v>
      </c>
      <c r="AX1219" t="s">
        <v>66</v>
      </c>
      <c r="AY1219" t="s">
        <v>67</v>
      </c>
    </row>
    <row r="1220" spans="1:51" hidden="1" x14ac:dyDescent="0.25">
      <c r="A1220">
        <v>406093</v>
      </c>
      <c r="B1220" t="s">
        <v>4599</v>
      </c>
      <c r="C1220" t="e">
        <f>VLOOKUP(A1220,[1]Customer_payment_journal_line!$AL:$BO,30,0)</f>
        <v>#N/A</v>
      </c>
      <c r="D1220" t="s">
        <v>53</v>
      </c>
      <c r="E1220" t="s">
        <v>4597</v>
      </c>
      <c r="F1220" t="s">
        <v>4598</v>
      </c>
      <c r="G1220" t="s">
        <v>4126</v>
      </c>
      <c r="H1220" t="s">
        <v>69</v>
      </c>
      <c r="I1220" t="s">
        <v>2013</v>
      </c>
      <c r="J1220" t="s">
        <v>4361</v>
      </c>
      <c r="K1220" t="s">
        <v>4362</v>
      </c>
      <c r="L1220" t="s">
        <v>52</v>
      </c>
      <c r="M1220">
        <v>0</v>
      </c>
      <c r="N1220">
        <v>855</v>
      </c>
      <c r="O1220" t="s">
        <v>61</v>
      </c>
      <c r="P1220">
        <v>100</v>
      </c>
      <c r="Q1220" t="s">
        <v>52</v>
      </c>
      <c r="R1220" t="s">
        <v>52</v>
      </c>
      <c r="S1220" t="s">
        <v>52</v>
      </c>
      <c r="T1220" t="s">
        <v>52</v>
      </c>
      <c r="U1220" t="s">
        <v>52</v>
      </c>
      <c r="V1220" t="s">
        <v>62</v>
      </c>
      <c r="W1220" t="s">
        <v>52</v>
      </c>
      <c r="Y1220" t="s">
        <v>2014</v>
      </c>
      <c r="Z1220" t="s">
        <v>62</v>
      </c>
      <c r="AB1220" t="s">
        <v>4600</v>
      </c>
      <c r="AE1220" t="s">
        <v>4601</v>
      </c>
      <c r="AF1220" t="s">
        <v>52</v>
      </c>
      <c r="AH1220">
        <v>0</v>
      </c>
      <c r="AI1220">
        <v>0</v>
      </c>
      <c r="AJ1220" t="s">
        <v>52</v>
      </c>
      <c r="AK1220">
        <v>0</v>
      </c>
      <c r="AL1220" t="s">
        <v>52</v>
      </c>
      <c r="AM1220" t="s">
        <v>52</v>
      </c>
      <c r="AN1220">
        <v>0</v>
      </c>
      <c r="AO1220">
        <v>0</v>
      </c>
      <c r="AP1220" t="s">
        <v>52</v>
      </c>
      <c r="AQ1220" t="s">
        <v>52</v>
      </c>
      <c r="AR1220" t="s">
        <v>62</v>
      </c>
      <c r="AS1220" t="s">
        <v>52</v>
      </c>
      <c r="AT1220" t="s">
        <v>74</v>
      </c>
      <c r="AU1220" t="s">
        <v>64</v>
      </c>
      <c r="AV1220" t="s">
        <v>62</v>
      </c>
      <c r="AW1220" t="s">
        <v>65</v>
      </c>
      <c r="AX1220" t="s">
        <v>66</v>
      </c>
      <c r="AY1220" t="s">
        <v>67</v>
      </c>
    </row>
    <row r="1221" spans="1:51" hidden="1" x14ac:dyDescent="0.25">
      <c r="A1221">
        <v>406094</v>
      </c>
      <c r="B1221" t="s">
        <v>4602</v>
      </c>
      <c r="C1221" t="e">
        <f>VLOOKUP(A1221,[1]Customer_payment_journal_line!$AL:$BO,30,0)</f>
        <v>#N/A</v>
      </c>
      <c r="D1221" t="s">
        <v>53</v>
      </c>
      <c r="E1221" t="s">
        <v>4603</v>
      </c>
      <c r="F1221" t="s">
        <v>4604</v>
      </c>
      <c r="G1221" t="s">
        <v>4126</v>
      </c>
      <c r="H1221" t="s">
        <v>57</v>
      </c>
      <c r="I1221" t="s">
        <v>58</v>
      </c>
      <c r="J1221" t="s">
        <v>2010</v>
      </c>
      <c r="K1221" t="s">
        <v>4369</v>
      </c>
      <c r="L1221" t="s">
        <v>52</v>
      </c>
      <c r="M1221">
        <v>1500</v>
      </c>
      <c r="N1221">
        <v>0</v>
      </c>
      <c r="O1221" t="s">
        <v>61</v>
      </c>
      <c r="P1221">
        <v>100</v>
      </c>
      <c r="Q1221" t="s">
        <v>52</v>
      </c>
      <c r="R1221" t="s">
        <v>52</v>
      </c>
      <c r="S1221" t="s">
        <v>52</v>
      </c>
      <c r="T1221" t="s">
        <v>52</v>
      </c>
      <c r="U1221" t="s">
        <v>52</v>
      </c>
      <c r="V1221" t="s">
        <v>62</v>
      </c>
      <c r="W1221" t="s">
        <v>63</v>
      </c>
      <c r="Y1221" t="s">
        <v>52</v>
      </c>
      <c r="AB1221" t="s">
        <v>52</v>
      </c>
      <c r="AE1221" t="s">
        <v>52</v>
      </c>
      <c r="AF1221" t="s">
        <v>52</v>
      </c>
      <c r="AH1221">
        <v>0</v>
      </c>
      <c r="AI1221">
        <v>0</v>
      </c>
      <c r="AJ1221" t="s">
        <v>52</v>
      </c>
      <c r="AK1221">
        <v>0</v>
      </c>
      <c r="AL1221" t="s">
        <v>52</v>
      </c>
      <c r="AM1221" t="s">
        <v>52</v>
      </c>
      <c r="AN1221">
        <v>0</v>
      </c>
      <c r="AO1221">
        <v>0</v>
      </c>
      <c r="AP1221" t="s">
        <v>52</v>
      </c>
      <c r="AQ1221" t="s">
        <v>52</v>
      </c>
      <c r="AR1221" t="s">
        <v>62</v>
      </c>
      <c r="AS1221" t="s">
        <v>52</v>
      </c>
      <c r="AT1221" t="s">
        <v>52</v>
      </c>
      <c r="AU1221" t="s">
        <v>64</v>
      </c>
      <c r="AV1221" t="s">
        <v>62</v>
      </c>
      <c r="AW1221" t="s">
        <v>65</v>
      </c>
      <c r="AX1221" t="s">
        <v>66</v>
      </c>
      <c r="AY1221" t="s">
        <v>67</v>
      </c>
    </row>
    <row r="1222" spans="1:51" hidden="1" x14ac:dyDescent="0.25">
      <c r="A1222">
        <v>406094</v>
      </c>
      <c r="B1222" t="s">
        <v>4605</v>
      </c>
      <c r="C1222" t="e">
        <f>VLOOKUP(A1222,[1]Customer_payment_journal_line!$AL:$BO,30,0)</f>
        <v>#N/A</v>
      </c>
      <c r="D1222" t="s">
        <v>53</v>
      </c>
      <c r="E1222" t="s">
        <v>4603</v>
      </c>
      <c r="F1222" t="s">
        <v>4604</v>
      </c>
      <c r="G1222" t="s">
        <v>4126</v>
      </c>
      <c r="H1222" t="s">
        <v>69</v>
      </c>
      <c r="I1222" t="s">
        <v>2013</v>
      </c>
      <c r="J1222" t="s">
        <v>2010</v>
      </c>
      <c r="K1222" t="s">
        <v>4369</v>
      </c>
      <c r="L1222" t="s">
        <v>52</v>
      </c>
      <c r="M1222">
        <v>0</v>
      </c>
      <c r="N1222">
        <v>1500</v>
      </c>
      <c r="O1222" t="s">
        <v>61</v>
      </c>
      <c r="P1222">
        <v>100</v>
      </c>
      <c r="Q1222" t="s">
        <v>52</v>
      </c>
      <c r="R1222" t="s">
        <v>52</v>
      </c>
      <c r="S1222" t="s">
        <v>52</v>
      </c>
      <c r="T1222" t="s">
        <v>52</v>
      </c>
      <c r="U1222" t="s">
        <v>52</v>
      </c>
      <c r="V1222" t="s">
        <v>62</v>
      </c>
      <c r="W1222" t="s">
        <v>52</v>
      </c>
      <c r="Y1222" t="s">
        <v>2014</v>
      </c>
      <c r="Z1222" t="s">
        <v>62</v>
      </c>
      <c r="AB1222" t="s">
        <v>4606</v>
      </c>
      <c r="AE1222" t="s">
        <v>4607</v>
      </c>
      <c r="AF1222" t="s">
        <v>52</v>
      </c>
      <c r="AH1222">
        <v>0</v>
      </c>
      <c r="AI1222">
        <v>0</v>
      </c>
      <c r="AJ1222" t="s">
        <v>52</v>
      </c>
      <c r="AK1222">
        <v>0</v>
      </c>
      <c r="AL1222" t="s">
        <v>52</v>
      </c>
      <c r="AM1222" t="s">
        <v>52</v>
      </c>
      <c r="AN1222">
        <v>0</v>
      </c>
      <c r="AO1222">
        <v>0</v>
      </c>
      <c r="AP1222" t="s">
        <v>52</v>
      </c>
      <c r="AQ1222" t="s">
        <v>52</v>
      </c>
      <c r="AR1222" t="s">
        <v>62</v>
      </c>
      <c r="AS1222" t="s">
        <v>52</v>
      </c>
      <c r="AT1222" t="s">
        <v>74</v>
      </c>
      <c r="AU1222" t="s">
        <v>64</v>
      </c>
      <c r="AV1222" t="s">
        <v>62</v>
      </c>
      <c r="AW1222" t="s">
        <v>65</v>
      </c>
      <c r="AX1222" t="s">
        <v>66</v>
      </c>
      <c r="AY1222" t="s">
        <v>67</v>
      </c>
    </row>
    <row r="1223" spans="1:51" hidden="1" x14ac:dyDescent="0.25">
      <c r="A1223">
        <v>406095</v>
      </c>
      <c r="B1223" t="s">
        <v>4608</v>
      </c>
      <c r="C1223" t="e">
        <f>VLOOKUP(A1223,[1]Customer_payment_journal_line!$AL:$BO,30,0)</f>
        <v>#N/A</v>
      </c>
      <c r="D1223" t="s">
        <v>53</v>
      </c>
      <c r="E1223" t="s">
        <v>4609</v>
      </c>
      <c r="F1223" t="s">
        <v>4610</v>
      </c>
      <c r="G1223" t="s">
        <v>4126</v>
      </c>
      <c r="H1223" t="s">
        <v>57</v>
      </c>
      <c r="I1223" t="s">
        <v>58</v>
      </c>
      <c r="J1223" t="s">
        <v>2010</v>
      </c>
      <c r="K1223" t="s">
        <v>4369</v>
      </c>
      <c r="L1223" t="s">
        <v>52</v>
      </c>
      <c r="M1223">
        <v>855</v>
      </c>
      <c r="N1223">
        <v>0</v>
      </c>
      <c r="O1223" t="s">
        <v>61</v>
      </c>
      <c r="P1223">
        <v>100</v>
      </c>
      <c r="Q1223" t="s">
        <v>52</v>
      </c>
      <c r="R1223" t="s">
        <v>52</v>
      </c>
      <c r="S1223" t="s">
        <v>52</v>
      </c>
      <c r="T1223" t="s">
        <v>52</v>
      </c>
      <c r="U1223" t="s">
        <v>52</v>
      </c>
      <c r="V1223" t="s">
        <v>62</v>
      </c>
      <c r="W1223" t="s">
        <v>63</v>
      </c>
      <c r="Y1223" t="s">
        <v>52</v>
      </c>
      <c r="AB1223" t="s">
        <v>52</v>
      </c>
      <c r="AE1223" t="s">
        <v>52</v>
      </c>
      <c r="AF1223" t="s">
        <v>52</v>
      </c>
      <c r="AH1223">
        <v>0</v>
      </c>
      <c r="AI1223">
        <v>0</v>
      </c>
      <c r="AJ1223" t="s">
        <v>52</v>
      </c>
      <c r="AK1223">
        <v>0</v>
      </c>
      <c r="AL1223" t="s">
        <v>52</v>
      </c>
      <c r="AM1223" t="s">
        <v>52</v>
      </c>
      <c r="AN1223">
        <v>0</v>
      </c>
      <c r="AO1223">
        <v>0</v>
      </c>
      <c r="AP1223" t="s">
        <v>52</v>
      </c>
      <c r="AQ1223" t="s">
        <v>52</v>
      </c>
      <c r="AR1223" t="s">
        <v>62</v>
      </c>
      <c r="AS1223" t="s">
        <v>52</v>
      </c>
      <c r="AT1223" t="s">
        <v>52</v>
      </c>
      <c r="AU1223" t="s">
        <v>64</v>
      </c>
      <c r="AV1223" t="s">
        <v>62</v>
      </c>
      <c r="AW1223" t="s">
        <v>65</v>
      </c>
      <c r="AX1223" t="s">
        <v>66</v>
      </c>
      <c r="AY1223" t="s">
        <v>67</v>
      </c>
    </row>
    <row r="1224" spans="1:51" hidden="1" x14ac:dyDescent="0.25">
      <c r="A1224">
        <v>406095</v>
      </c>
      <c r="B1224" t="s">
        <v>4611</v>
      </c>
      <c r="C1224" t="e">
        <f>VLOOKUP(A1224,[1]Customer_payment_journal_line!$AL:$BO,30,0)</f>
        <v>#N/A</v>
      </c>
      <c r="D1224" t="s">
        <v>53</v>
      </c>
      <c r="E1224" t="s">
        <v>4609</v>
      </c>
      <c r="F1224" t="s">
        <v>4610</v>
      </c>
      <c r="G1224" t="s">
        <v>4126</v>
      </c>
      <c r="H1224" t="s">
        <v>69</v>
      </c>
      <c r="I1224" t="s">
        <v>2013</v>
      </c>
      <c r="J1224" t="s">
        <v>2010</v>
      </c>
      <c r="K1224" t="s">
        <v>4369</v>
      </c>
      <c r="L1224" t="s">
        <v>52</v>
      </c>
      <c r="M1224">
        <v>0</v>
      </c>
      <c r="N1224">
        <v>855</v>
      </c>
      <c r="O1224" t="s">
        <v>61</v>
      </c>
      <c r="P1224">
        <v>100</v>
      </c>
      <c r="Q1224" t="s">
        <v>52</v>
      </c>
      <c r="R1224" t="s">
        <v>52</v>
      </c>
      <c r="S1224" t="s">
        <v>52</v>
      </c>
      <c r="T1224" t="s">
        <v>52</v>
      </c>
      <c r="U1224" t="s">
        <v>52</v>
      </c>
      <c r="V1224" t="s">
        <v>62</v>
      </c>
      <c r="W1224" t="s">
        <v>52</v>
      </c>
      <c r="Y1224" t="s">
        <v>2014</v>
      </c>
      <c r="Z1224" t="s">
        <v>62</v>
      </c>
      <c r="AB1224" t="s">
        <v>4612</v>
      </c>
      <c r="AE1224" t="s">
        <v>4613</v>
      </c>
      <c r="AF1224" t="s">
        <v>52</v>
      </c>
      <c r="AH1224">
        <v>0</v>
      </c>
      <c r="AI1224">
        <v>0</v>
      </c>
      <c r="AJ1224" t="s">
        <v>52</v>
      </c>
      <c r="AK1224">
        <v>0</v>
      </c>
      <c r="AL1224" t="s">
        <v>52</v>
      </c>
      <c r="AM1224" t="s">
        <v>52</v>
      </c>
      <c r="AN1224">
        <v>0</v>
      </c>
      <c r="AO1224">
        <v>0</v>
      </c>
      <c r="AP1224" t="s">
        <v>52</v>
      </c>
      <c r="AQ1224" t="s">
        <v>52</v>
      </c>
      <c r="AR1224" t="s">
        <v>62</v>
      </c>
      <c r="AS1224" t="s">
        <v>52</v>
      </c>
      <c r="AT1224" t="s">
        <v>74</v>
      </c>
      <c r="AU1224" t="s">
        <v>64</v>
      </c>
      <c r="AV1224" t="s">
        <v>62</v>
      </c>
      <c r="AW1224" t="s">
        <v>65</v>
      </c>
      <c r="AX1224" t="s">
        <v>66</v>
      </c>
      <c r="AY1224" t="s">
        <v>67</v>
      </c>
    </row>
    <row r="1225" spans="1:51" hidden="1" x14ac:dyDescent="0.25">
      <c r="A1225">
        <v>203267</v>
      </c>
      <c r="B1225" t="s">
        <v>4614</v>
      </c>
      <c r="C1225" t="e">
        <f>VLOOKUP(A1225,[1]Customer_payment_journal_line!$AL:$BO,30,0)</f>
        <v>#N/A</v>
      </c>
      <c r="D1225" t="s">
        <v>53</v>
      </c>
      <c r="E1225" t="s">
        <v>4615</v>
      </c>
      <c r="F1225" t="s">
        <v>4616</v>
      </c>
      <c r="G1225" t="s">
        <v>4126</v>
      </c>
      <c r="H1225" t="s">
        <v>57</v>
      </c>
      <c r="I1225" t="s">
        <v>319</v>
      </c>
      <c r="J1225" t="s">
        <v>4617</v>
      </c>
      <c r="K1225" t="s">
        <v>2628</v>
      </c>
      <c r="L1225" t="s">
        <v>52</v>
      </c>
      <c r="M1225">
        <v>5600</v>
      </c>
      <c r="N1225">
        <v>0</v>
      </c>
      <c r="O1225" t="s">
        <v>61</v>
      </c>
      <c r="P1225">
        <v>100</v>
      </c>
      <c r="Q1225" t="s">
        <v>52</v>
      </c>
      <c r="R1225" t="s">
        <v>52</v>
      </c>
      <c r="S1225" t="s">
        <v>52</v>
      </c>
      <c r="T1225" t="s">
        <v>52</v>
      </c>
      <c r="U1225" t="s">
        <v>52</v>
      </c>
      <c r="V1225" t="s">
        <v>62</v>
      </c>
      <c r="W1225" t="s">
        <v>63</v>
      </c>
      <c r="Y1225" t="s">
        <v>52</v>
      </c>
      <c r="AB1225" t="s">
        <v>52</v>
      </c>
      <c r="AE1225" t="s">
        <v>52</v>
      </c>
      <c r="AF1225" t="s">
        <v>52</v>
      </c>
      <c r="AH1225">
        <v>0</v>
      </c>
      <c r="AI1225">
        <v>0</v>
      </c>
      <c r="AJ1225" t="s">
        <v>52</v>
      </c>
      <c r="AK1225">
        <v>0</v>
      </c>
      <c r="AL1225" t="s">
        <v>52</v>
      </c>
      <c r="AM1225" t="s">
        <v>52</v>
      </c>
      <c r="AN1225">
        <v>0</v>
      </c>
      <c r="AO1225">
        <v>0</v>
      </c>
      <c r="AP1225" t="s">
        <v>52</v>
      </c>
      <c r="AQ1225" t="s">
        <v>52</v>
      </c>
      <c r="AR1225" t="s">
        <v>62</v>
      </c>
      <c r="AS1225" t="s">
        <v>52</v>
      </c>
      <c r="AT1225" t="s">
        <v>52</v>
      </c>
      <c r="AU1225" t="s">
        <v>64</v>
      </c>
      <c r="AV1225" t="s">
        <v>62</v>
      </c>
      <c r="AW1225" t="s">
        <v>65</v>
      </c>
      <c r="AX1225" t="s">
        <v>66</v>
      </c>
      <c r="AY1225" t="s">
        <v>67</v>
      </c>
    </row>
    <row r="1226" spans="1:51" hidden="1" x14ac:dyDescent="0.25">
      <c r="A1226">
        <v>203267</v>
      </c>
      <c r="B1226" t="s">
        <v>4618</v>
      </c>
      <c r="C1226" t="e">
        <f>VLOOKUP(A1226,[1]Customer_payment_journal_line!$AL:$BO,30,0)</f>
        <v>#N/A</v>
      </c>
      <c r="D1226" t="s">
        <v>53</v>
      </c>
      <c r="E1226" t="s">
        <v>4615</v>
      </c>
      <c r="F1226" t="s">
        <v>4616</v>
      </c>
      <c r="G1226" t="s">
        <v>4126</v>
      </c>
      <c r="H1226" t="s">
        <v>69</v>
      </c>
      <c r="I1226" t="s">
        <v>2630</v>
      </c>
      <c r="J1226" t="s">
        <v>4617</v>
      </c>
      <c r="K1226" t="s">
        <v>2628</v>
      </c>
      <c r="L1226" t="s">
        <v>52</v>
      </c>
      <c r="M1226">
        <v>0</v>
      </c>
      <c r="N1226">
        <v>5600</v>
      </c>
      <c r="O1226" t="s">
        <v>61</v>
      </c>
      <c r="P1226">
        <v>100</v>
      </c>
      <c r="Q1226" t="s">
        <v>52</v>
      </c>
      <c r="R1226" t="s">
        <v>52</v>
      </c>
      <c r="S1226" t="s">
        <v>52</v>
      </c>
      <c r="T1226" t="s">
        <v>52</v>
      </c>
      <c r="U1226" t="s">
        <v>52</v>
      </c>
      <c r="V1226" t="s">
        <v>62</v>
      </c>
      <c r="W1226" t="s">
        <v>52</v>
      </c>
      <c r="Y1226" t="s">
        <v>2631</v>
      </c>
      <c r="Z1226" t="s">
        <v>62</v>
      </c>
      <c r="AB1226" t="s">
        <v>4619</v>
      </c>
      <c r="AE1226" t="s">
        <v>4620</v>
      </c>
      <c r="AF1226" t="s">
        <v>52</v>
      </c>
      <c r="AH1226">
        <v>0</v>
      </c>
      <c r="AI1226">
        <v>0</v>
      </c>
      <c r="AJ1226" t="s">
        <v>52</v>
      </c>
      <c r="AK1226">
        <v>0</v>
      </c>
      <c r="AL1226" t="s">
        <v>52</v>
      </c>
      <c r="AM1226" t="s">
        <v>52</v>
      </c>
      <c r="AN1226">
        <v>0</v>
      </c>
      <c r="AO1226">
        <v>0</v>
      </c>
      <c r="AP1226" t="s">
        <v>52</v>
      </c>
      <c r="AQ1226" t="s">
        <v>52</v>
      </c>
      <c r="AR1226" t="s">
        <v>62</v>
      </c>
      <c r="AS1226" t="s">
        <v>52</v>
      </c>
      <c r="AT1226" t="s">
        <v>74</v>
      </c>
      <c r="AU1226" t="s">
        <v>64</v>
      </c>
      <c r="AV1226" t="s">
        <v>62</v>
      </c>
      <c r="AW1226" t="s">
        <v>65</v>
      </c>
      <c r="AX1226" t="s">
        <v>66</v>
      </c>
      <c r="AY1226" t="s">
        <v>67</v>
      </c>
    </row>
    <row r="1227" spans="1:51" hidden="1" x14ac:dyDescent="0.25">
      <c r="A1227">
        <v>203268</v>
      </c>
      <c r="B1227" t="s">
        <v>4621</v>
      </c>
      <c r="C1227" t="e">
        <f>VLOOKUP(A1227,[1]Customer_payment_journal_line!$AL:$BO,30,0)</f>
        <v>#N/A</v>
      </c>
      <c r="D1227" t="s">
        <v>53</v>
      </c>
      <c r="E1227" t="s">
        <v>4622</v>
      </c>
      <c r="F1227" t="s">
        <v>4623</v>
      </c>
      <c r="G1227" t="s">
        <v>4126</v>
      </c>
      <c r="H1227" t="s">
        <v>57</v>
      </c>
      <c r="I1227" t="s">
        <v>319</v>
      </c>
      <c r="J1227" t="s">
        <v>4624</v>
      </c>
      <c r="K1227" t="s">
        <v>2628</v>
      </c>
      <c r="L1227" t="s">
        <v>52</v>
      </c>
      <c r="M1227">
        <v>1754.38</v>
      </c>
      <c r="N1227">
        <v>0</v>
      </c>
      <c r="O1227" t="s">
        <v>61</v>
      </c>
      <c r="P1227">
        <v>100</v>
      </c>
      <c r="Q1227" t="s">
        <v>52</v>
      </c>
      <c r="R1227" t="s">
        <v>52</v>
      </c>
      <c r="S1227" t="s">
        <v>52</v>
      </c>
      <c r="T1227" t="s">
        <v>52</v>
      </c>
      <c r="U1227" t="s">
        <v>52</v>
      </c>
      <c r="V1227" t="s">
        <v>62</v>
      </c>
      <c r="W1227" t="s">
        <v>63</v>
      </c>
      <c r="Y1227" t="s">
        <v>52</v>
      </c>
      <c r="AB1227" t="s">
        <v>52</v>
      </c>
      <c r="AE1227" t="s">
        <v>52</v>
      </c>
      <c r="AF1227" t="s">
        <v>52</v>
      </c>
      <c r="AH1227">
        <v>0</v>
      </c>
      <c r="AI1227">
        <v>0</v>
      </c>
      <c r="AJ1227" t="s">
        <v>52</v>
      </c>
      <c r="AK1227">
        <v>0</v>
      </c>
      <c r="AL1227" t="s">
        <v>52</v>
      </c>
      <c r="AM1227" t="s">
        <v>52</v>
      </c>
      <c r="AN1227">
        <v>0</v>
      </c>
      <c r="AO1227">
        <v>0</v>
      </c>
      <c r="AP1227" t="s">
        <v>52</v>
      </c>
      <c r="AQ1227" t="s">
        <v>52</v>
      </c>
      <c r="AR1227" t="s">
        <v>62</v>
      </c>
      <c r="AS1227" t="s">
        <v>52</v>
      </c>
      <c r="AT1227" t="s">
        <v>52</v>
      </c>
      <c r="AU1227" t="s">
        <v>64</v>
      </c>
      <c r="AV1227" t="s">
        <v>62</v>
      </c>
      <c r="AW1227" t="s">
        <v>65</v>
      </c>
      <c r="AX1227" t="s">
        <v>66</v>
      </c>
      <c r="AY1227" t="s">
        <v>67</v>
      </c>
    </row>
    <row r="1228" spans="1:51" hidden="1" x14ac:dyDescent="0.25">
      <c r="A1228">
        <v>203268</v>
      </c>
      <c r="B1228" t="s">
        <v>4625</v>
      </c>
      <c r="C1228" t="e">
        <f>VLOOKUP(A1228,[1]Customer_payment_journal_line!$AL:$BO,30,0)</f>
        <v>#N/A</v>
      </c>
      <c r="D1228" t="s">
        <v>53</v>
      </c>
      <c r="E1228" t="s">
        <v>4622</v>
      </c>
      <c r="F1228" t="s">
        <v>4623</v>
      </c>
      <c r="G1228" t="s">
        <v>4126</v>
      </c>
      <c r="H1228" t="s">
        <v>69</v>
      </c>
      <c r="I1228" t="s">
        <v>2630</v>
      </c>
      <c r="J1228" t="s">
        <v>4624</v>
      </c>
      <c r="K1228" t="s">
        <v>2628</v>
      </c>
      <c r="L1228" t="s">
        <v>52</v>
      </c>
      <c r="M1228">
        <v>0</v>
      </c>
      <c r="N1228">
        <v>1754.38</v>
      </c>
      <c r="O1228" t="s">
        <v>61</v>
      </c>
      <c r="P1228">
        <v>100</v>
      </c>
      <c r="Q1228" t="s">
        <v>52</v>
      </c>
      <c r="R1228" t="s">
        <v>52</v>
      </c>
      <c r="S1228" t="s">
        <v>52</v>
      </c>
      <c r="T1228" t="s">
        <v>52</v>
      </c>
      <c r="U1228" t="s">
        <v>52</v>
      </c>
      <c r="V1228" t="s">
        <v>62</v>
      </c>
      <c r="W1228" t="s">
        <v>52</v>
      </c>
      <c r="Y1228" t="s">
        <v>2631</v>
      </c>
      <c r="Z1228" t="s">
        <v>62</v>
      </c>
      <c r="AB1228" t="s">
        <v>4626</v>
      </c>
      <c r="AE1228" t="s">
        <v>4627</v>
      </c>
      <c r="AF1228" t="s">
        <v>52</v>
      </c>
      <c r="AH1228">
        <v>0</v>
      </c>
      <c r="AI1228">
        <v>0</v>
      </c>
      <c r="AJ1228" t="s">
        <v>52</v>
      </c>
      <c r="AK1228">
        <v>0</v>
      </c>
      <c r="AL1228" t="s">
        <v>52</v>
      </c>
      <c r="AM1228" t="s">
        <v>52</v>
      </c>
      <c r="AN1228">
        <v>0</v>
      </c>
      <c r="AO1228">
        <v>0</v>
      </c>
      <c r="AP1228" t="s">
        <v>52</v>
      </c>
      <c r="AQ1228" t="s">
        <v>52</v>
      </c>
      <c r="AR1228" t="s">
        <v>62</v>
      </c>
      <c r="AS1228" t="s">
        <v>52</v>
      </c>
      <c r="AT1228" t="s">
        <v>74</v>
      </c>
      <c r="AU1228" t="s">
        <v>64</v>
      </c>
      <c r="AV1228" t="s">
        <v>62</v>
      </c>
      <c r="AW1228" t="s">
        <v>65</v>
      </c>
      <c r="AX1228" t="s">
        <v>66</v>
      </c>
      <c r="AY1228" t="s">
        <v>67</v>
      </c>
    </row>
    <row r="1229" spans="1:51" hidden="1" x14ac:dyDescent="0.25">
      <c r="A1229">
        <v>203285</v>
      </c>
      <c r="B1229" t="s">
        <v>4628</v>
      </c>
      <c r="C1229" t="e">
        <f>VLOOKUP(A1229,[1]Customer_payment_journal_line!$AL:$BO,30,0)</f>
        <v>#N/A</v>
      </c>
      <c r="D1229" t="s">
        <v>53</v>
      </c>
      <c r="E1229" t="s">
        <v>4629</v>
      </c>
      <c r="F1229" t="s">
        <v>4630</v>
      </c>
      <c r="G1229" t="s">
        <v>4126</v>
      </c>
      <c r="H1229" t="s">
        <v>57</v>
      </c>
      <c r="I1229" t="s">
        <v>58</v>
      </c>
      <c r="J1229" t="s">
        <v>4631</v>
      </c>
      <c r="K1229" t="s">
        <v>4632</v>
      </c>
      <c r="L1229" t="s">
        <v>52</v>
      </c>
      <c r="M1229">
        <v>1710</v>
      </c>
      <c r="N1229">
        <v>0</v>
      </c>
      <c r="O1229" t="s">
        <v>61</v>
      </c>
      <c r="P1229">
        <v>100</v>
      </c>
      <c r="Q1229" t="s">
        <v>52</v>
      </c>
      <c r="R1229" t="s">
        <v>52</v>
      </c>
      <c r="S1229" t="s">
        <v>52</v>
      </c>
      <c r="T1229" t="s">
        <v>52</v>
      </c>
      <c r="U1229" t="s">
        <v>52</v>
      </c>
      <c r="V1229" t="s">
        <v>62</v>
      </c>
      <c r="W1229" t="s">
        <v>63</v>
      </c>
      <c r="Y1229" t="s">
        <v>52</v>
      </c>
      <c r="AB1229" t="s">
        <v>52</v>
      </c>
      <c r="AE1229" t="s">
        <v>52</v>
      </c>
      <c r="AF1229" t="s">
        <v>52</v>
      </c>
      <c r="AH1229">
        <v>0</v>
      </c>
      <c r="AI1229">
        <v>0</v>
      </c>
      <c r="AJ1229" t="s">
        <v>52</v>
      </c>
      <c r="AK1229">
        <v>0</v>
      </c>
      <c r="AL1229" t="s">
        <v>52</v>
      </c>
      <c r="AM1229" t="s">
        <v>52</v>
      </c>
      <c r="AN1229">
        <v>0</v>
      </c>
      <c r="AO1229">
        <v>0</v>
      </c>
      <c r="AP1229" t="s">
        <v>52</v>
      </c>
      <c r="AQ1229" t="s">
        <v>52</v>
      </c>
      <c r="AR1229" t="s">
        <v>62</v>
      </c>
      <c r="AS1229" t="s">
        <v>52</v>
      </c>
      <c r="AT1229" t="s">
        <v>52</v>
      </c>
      <c r="AU1229" t="s">
        <v>64</v>
      </c>
      <c r="AV1229" t="s">
        <v>62</v>
      </c>
      <c r="AW1229" t="s">
        <v>65</v>
      </c>
      <c r="AX1229" t="s">
        <v>66</v>
      </c>
      <c r="AY1229" t="s">
        <v>67</v>
      </c>
    </row>
    <row r="1230" spans="1:51" hidden="1" x14ac:dyDescent="0.25">
      <c r="A1230">
        <v>203285</v>
      </c>
      <c r="B1230" t="s">
        <v>4633</v>
      </c>
      <c r="C1230" t="e">
        <f>VLOOKUP(A1230,[1]Customer_payment_journal_line!$AL:$BO,30,0)</f>
        <v>#N/A</v>
      </c>
      <c r="D1230" t="s">
        <v>53</v>
      </c>
      <c r="E1230" t="s">
        <v>4629</v>
      </c>
      <c r="F1230" t="s">
        <v>4630</v>
      </c>
      <c r="G1230" t="s">
        <v>4126</v>
      </c>
      <c r="H1230" t="s">
        <v>69</v>
      </c>
      <c r="I1230" t="s">
        <v>4634</v>
      </c>
      <c r="J1230" t="s">
        <v>4631</v>
      </c>
      <c r="K1230" t="s">
        <v>4632</v>
      </c>
      <c r="L1230" t="s">
        <v>52</v>
      </c>
      <c r="M1230">
        <v>0</v>
      </c>
      <c r="N1230">
        <v>1710</v>
      </c>
      <c r="O1230" t="s">
        <v>61</v>
      </c>
      <c r="P1230">
        <v>100</v>
      </c>
      <c r="Q1230" t="s">
        <v>52</v>
      </c>
      <c r="R1230" t="s">
        <v>52</v>
      </c>
      <c r="S1230" t="s">
        <v>52</v>
      </c>
      <c r="T1230" t="s">
        <v>52</v>
      </c>
      <c r="U1230" t="s">
        <v>52</v>
      </c>
      <c r="V1230" t="s">
        <v>62</v>
      </c>
      <c r="W1230" t="s">
        <v>52</v>
      </c>
      <c r="Y1230" t="s">
        <v>4635</v>
      </c>
      <c r="Z1230" t="s">
        <v>62</v>
      </c>
      <c r="AB1230" t="s">
        <v>4636</v>
      </c>
      <c r="AE1230" t="s">
        <v>4637</v>
      </c>
      <c r="AF1230" t="s">
        <v>52</v>
      </c>
      <c r="AH1230">
        <v>0</v>
      </c>
      <c r="AI1230">
        <v>0</v>
      </c>
      <c r="AJ1230" t="s">
        <v>52</v>
      </c>
      <c r="AK1230">
        <v>0</v>
      </c>
      <c r="AL1230" t="s">
        <v>52</v>
      </c>
      <c r="AM1230" t="s">
        <v>52</v>
      </c>
      <c r="AN1230">
        <v>0</v>
      </c>
      <c r="AO1230">
        <v>0</v>
      </c>
      <c r="AP1230" t="s">
        <v>52</v>
      </c>
      <c r="AQ1230" t="s">
        <v>52</v>
      </c>
      <c r="AR1230" t="s">
        <v>62</v>
      </c>
      <c r="AS1230" t="s">
        <v>52</v>
      </c>
      <c r="AT1230" t="s">
        <v>74</v>
      </c>
      <c r="AU1230" t="s">
        <v>64</v>
      </c>
      <c r="AV1230" t="s">
        <v>62</v>
      </c>
      <c r="AW1230" t="s">
        <v>65</v>
      </c>
      <c r="AX1230" t="s">
        <v>66</v>
      </c>
      <c r="AY1230" t="s">
        <v>67</v>
      </c>
    </row>
    <row r="1231" spans="1:51" hidden="1" x14ac:dyDescent="0.25">
      <c r="A1231">
        <v>203286</v>
      </c>
      <c r="B1231" t="s">
        <v>4638</v>
      </c>
      <c r="C1231" t="e">
        <f>VLOOKUP(A1231,[1]Customer_payment_journal_line!$AL:$BO,30,0)</f>
        <v>#N/A</v>
      </c>
      <c r="D1231" t="s">
        <v>53</v>
      </c>
      <c r="E1231" t="s">
        <v>4639</v>
      </c>
      <c r="F1231" t="s">
        <v>4640</v>
      </c>
      <c r="G1231" t="s">
        <v>4126</v>
      </c>
      <c r="H1231" t="s">
        <v>57</v>
      </c>
      <c r="I1231" t="s">
        <v>58</v>
      </c>
      <c r="J1231" t="s">
        <v>4631</v>
      </c>
      <c r="K1231" t="s">
        <v>4632</v>
      </c>
      <c r="L1231" t="s">
        <v>52</v>
      </c>
      <c r="M1231">
        <v>855</v>
      </c>
      <c r="N1231">
        <v>0</v>
      </c>
      <c r="O1231" t="s">
        <v>61</v>
      </c>
      <c r="P1231">
        <v>100</v>
      </c>
      <c r="Q1231" t="s">
        <v>52</v>
      </c>
      <c r="R1231" t="s">
        <v>52</v>
      </c>
      <c r="S1231" t="s">
        <v>52</v>
      </c>
      <c r="T1231" t="s">
        <v>52</v>
      </c>
      <c r="U1231" t="s">
        <v>52</v>
      </c>
      <c r="V1231" t="s">
        <v>62</v>
      </c>
      <c r="W1231" t="s">
        <v>63</v>
      </c>
      <c r="Y1231" t="s">
        <v>52</v>
      </c>
      <c r="AB1231" t="s">
        <v>52</v>
      </c>
      <c r="AE1231" t="s">
        <v>52</v>
      </c>
      <c r="AF1231" t="s">
        <v>52</v>
      </c>
      <c r="AH1231">
        <v>0</v>
      </c>
      <c r="AI1231">
        <v>0</v>
      </c>
      <c r="AJ1231" t="s">
        <v>52</v>
      </c>
      <c r="AK1231">
        <v>0</v>
      </c>
      <c r="AL1231" t="s">
        <v>52</v>
      </c>
      <c r="AM1231" t="s">
        <v>52</v>
      </c>
      <c r="AN1231">
        <v>0</v>
      </c>
      <c r="AO1231">
        <v>0</v>
      </c>
      <c r="AP1231" t="s">
        <v>52</v>
      </c>
      <c r="AQ1231" t="s">
        <v>52</v>
      </c>
      <c r="AR1231" t="s">
        <v>62</v>
      </c>
      <c r="AS1231" t="s">
        <v>52</v>
      </c>
      <c r="AT1231" t="s">
        <v>52</v>
      </c>
      <c r="AU1231" t="s">
        <v>64</v>
      </c>
      <c r="AV1231" t="s">
        <v>62</v>
      </c>
      <c r="AW1231" t="s">
        <v>65</v>
      </c>
      <c r="AX1231" t="s">
        <v>66</v>
      </c>
      <c r="AY1231" t="s">
        <v>67</v>
      </c>
    </row>
    <row r="1232" spans="1:51" hidden="1" x14ac:dyDescent="0.25">
      <c r="A1232">
        <v>203286</v>
      </c>
      <c r="B1232" t="s">
        <v>4641</v>
      </c>
      <c r="C1232" t="e">
        <f>VLOOKUP(A1232,[1]Customer_payment_journal_line!$AL:$BO,30,0)</f>
        <v>#N/A</v>
      </c>
      <c r="D1232" t="s">
        <v>53</v>
      </c>
      <c r="E1232" t="s">
        <v>4639</v>
      </c>
      <c r="F1232" t="s">
        <v>4640</v>
      </c>
      <c r="G1232" t="s">
        <v>4126</v>
      </c>
      <c r="H1232" t="s">
        <v>69</v>
      </c>
      <c r="I1232" t="s">
        <v>4634</v>
      </c>
      <c r="J1232" t="s">
        <v>4631</v>
      </c>
      <c r="K1232" t="s">
        <v>4632</v>
      </c>
      <c r="L1232" t="s">
        <v>52</v>
      </c>
      <c r="M1232">
        <v>0</v>
      </c>
      <c r="N1232">
        <v>855</v>
      </c>
      <c r="O1232" t="s">
        <v>61</v>
      </c>
      <c r="P1232">
        <v>100</v>
      </c>
      <c r="Q1232" t="s">
        <v>52</v>
      </c>
      <c r="R1232" t="s">
        <v>52</v>
      </c>
      <c r="S1232" t="s">
        <v>52</v>
      </c>
      <c r="T1232" t="s">
        <v>52</v>
      </c>
      <c r="U1232" t="s">
        <v>52</v>
      </c>
      <c r="V1232" t="s">
        <v>62</v>
      </c>
      <c r="W1232" t="s">
        <v>52</v>
      </c>
      <c r="Y1232" t="s">
        <v>4635</v>
      </c>
      <c r="Z1232" t="s">
        <v>62</v>
      </c>
      <c r="AB1232" t="s">
        <v>4642</v>
      </c>
      <c r="AE1232" t="s">
        <v>4643</v>
      </c>
      <c r="AF1232" t="s">
        <v>52</v>
      </c>
      <c r="AH1232">
        <v>0</v>
      </c>
      <c r="AI1232">
        <v>0</v>
      </c>
      <c r="AJ1232" t="s">
        <v>52</v>
      </c>
      <c r="AK1232">
        <v>0</v>
      </c>
      <c r="AL1232" t="s">
        <v>52</v>
      </c>
      <c r="AM1232" t="s">
        <v>52</v>
      </c>
      <c r="AN1232">
        <v>0</v>
      </c>
      <c r="AO1232">
        <v>0</v>
      </c>
      <c r="AP1232" t="s">
        <v>52</v>
      </c>
      <c r="AQ1232" t="s">
        <v>52</v>
      </c>
      <c r="AR1232" t="s">
        <v>62</v>
      </c>
      <c r="AS1232" t="s">
        <v>52</v>
      </c>
      <c r="AT1232" t="s">
        <v>74</v>
      </c>
      <c r="AU1232" t="s">
        <v>64</v>
      </c>
      <c r="AV1232" t="s">
        <v>62</v>
      </c>
      <c r="AW1232" t="s">
        <v>65</v>
      </c>
      <c r="AX1232" t="s">
        <v>66</v>
      </c>
      <c r="AY1232" t="s">
        <v>67</v>
      </c>
    </row>
    <row r="1233" spans="1:51" hidden="1" x14ac:dyDescent="0.25">
      <c r="A1233">
        <v>402350</v>
      </c>
      <c r="B1233" t="s">
        <v>4644</v>
      </c>
      <c r="C1233" t="e">
        <f>VLOOKUP(A1233,[1]Customer_payment_journal_line!$AL:$BO,30,0)</f>
        <v>#N/A</v>
      </c>
      <c r="D1233" t="s">
        <v>53</v>
      </c>
      <c r="E1233" t="s">
        <v>4645</v>
      </c>
      <c r="F1233" t="s">
        <v>4646</v>
      </c>
      <c r="G1233" t="s">
        <v>4126</v>
      </c>
      <c r="H1233" t="s">
        <v>57</v>
      </c>
      <c r="I1233" t="s">
        <v>1349</v>
      </c>
      <c r="J1233" t="s">
        <v>4647</v>
      </c>
      <c r="K1233" t="s">
        <v>4032</v>
      </c>
      <c r="L1233" t="s">
        <v>52</v>
      </c>
      <c r="M1233">
        <v>4104</v>
      </c>
      <c r="N1233">
        <v>0</v>
      </c>
      <c r="O1233" t="s">
        <v>61</v>
      </c>
      <c r="P1233">
        <v>100</v>
      </c>
      <c r="Q1233" t="s">
        <v>52</v>
      </c>
      <c r="R1233" t="s">
        <v>52</v>
      </c>
      <c r="S1233" t="s">
        <v>52</v>
      </c>
      <c r="T1233" t="s">
        <v>52</v>
      </c>
      <c r="U1233" t="s">
        <v>52</v>
      </c>
      <c r="V1233" t="s">
        <v>62</v>
      </c>
      <c r="W1233" t="s">
        <v>63</v>
      </c>
      <c r="Y1233" t="s">
        <v>52</v>
      </c>
      <c r="AB1233" t="s">
        <v>52</v>
      </c>
      <c r="AE1233" t="s">
        <v>52</v>
      </c>
      <c r="AF1233" t="s">
        <v>52</v>
      </c>
      <c r="AH1233">
        <v>0</v>
      </c>
      <c r="AI1233">
        <v>0</v>
      </c>
      <c r="AJ1233" t="s">
        <v>52</v>
      </c>
      <c r="AK1233">
        <v>0</v>
      </c>
      <c r="AL1233" t="s">
        <v>52</v>
      </c>
      <c r="AM1233" t="s">
        <v>52</v>
      </c>
      <c r="AN1233">
        <v>0</v>
      </c>
      <c r="AO1233">
        <v>0</v>
      </c>
      <c r="AP1233" t="s">
        <v>52</v>
      </c>
      <c r="AQ1233" t="s">
        <v>52</v>
      </c>
      <c r="AR1233" t="s">
        <v>62</v>
      </c>
      <c r="AS1233" t="s">
        <v>52</v>
      </c>
      <c r="AT1233" t="s">
        <v>52</v>
      </c>
      <c r="AU1233" t="s">
        <v>64</v>
      </c>
      <c r="AV1233" t="s">
        <v>62</v>
      </c>
      <c r="AW1233" t="s">
        <v>65</v>
      </c>
      <c r="AX1233" t="s">
        <v>66</v>
      </c>
      <c r="AY1233" t="s">
        <v>67</v>
      </c>
    </row>
    <row r="1234" spans="1:51" hidden="1" x14ac:dyDescent="0.25">
      <c r="A1234">
        <v>402350</v>
      </c>
      <c r="B1234" t="s">
        <v>4648</v>
      </c>
      <c r="C1234" t="e">
        <f>VLOOKUP(A1234,[1]Customer_payment_journal_line!$AL:$BO,30,0)</f>
        <v>#N/A</v>
      </c>
      <c r="D1234" t="s">
        <v>53</v>
      </c>
      <c r="E1234" t="s">
        <v>4645</v>
      </c>
      <c r="F1234" t="s">
        <v>4646</v>
      </c>
      <c r="G1234" t="s">
        <v>4126</v>
      </c>
      <c r="H1234" t="s">
        <v>69</v>
      </c>
      <c r="I1234" t="s">
        <v>3642</v>
      </c>
      <c r="J1234" t="s">
        <v>4647</v>
      </c>
      <c r="K1234" t="s">
        <v>4032</v>
      </c>
      <c r="L1234" t="s">
        <v>52</v>
      </c>
      <c r="M1234">
        <v>0</v>
      </c>
      <c r="N1234">
        <v>4104</v>
      </c>
      <c r="O1234" t="s">
        <v>61</v>
      </c>
      <c r="P1234">
        <v>100</v>
      </c>
      <c r="Q1234" t="s">
        <v>52</v>
      </c>
      <c r="R1234" t="s">
        <v>52</v>
      </c>
      <c r="S1234" t="s">
        <v>52</v>
      </c>
      <c r="T1234" t="s">
        <v>52</v>
      </c>
      <c r="U1234" t="s">
        <v>52</v>
      </c>
      <c r="V1234" t="s">
        <v>62</v>
      </c>
      <c r="W1234" t="s">
        <v>52</v>
      </c>
      <c r="Y1234" t="s">
        <v>3643</v>
      </c>
      <c r="Z1234" t="s">
        <v>62</v>
      </c>
      <c r="AB1234" t="s">
        <v>4649</v>
      </c>
      <c r="AE1234" t="s">
        <v>4650</v>
      </c>
      <c r="AF1234" t="s">
        <v>52</v>
      </c>
      <c r="AH1234">
        <v>0</v>
      </c>
      <c r="AI1234">
        <v>0</v>
      </c>
      <c r="AJ1234" t="s">
        <v>52</v>
      </c>
      <c r="AK1234">
        <v>0</v>
      </c>
      <c r="AL1234" t="s">
        <v>52</v>
      </c>
      <c r="AM1234" t="s">
        <v>52</v>
      </c>
      <c r="AN1234">
        <v>0</v>
      </c>
      <c r="AO1234">
        <v>0</v>
      </c>
      <c r="AP1234" t="s">
        <v>52</v>
      </c>
      <c r="AQ1234" t="s">
        <v>52</v>
      </c>
      <c r="AR1234" t="s">
        <v>62</v>
      </c>
      <c r="AS1234" t="s">
        <v>52</v>
      </c>
      <c r="AT1234" t="s">
        <v>74</v>
      </c>
      <c r="AU1234" t="s">
        <v>64</v>
      </c>
      <c r="AV1234" t="s">
        <v>62</v>
      </c>
      <c r="AW1234" t="s">
        <v>65</v>
      </c>
      <c r="AX1234" t="s">
        <v>66</v>
      </c>
      <c r="AY1234" t="s">
        <v>67</v>
      </c>
    </row>
    <row r="1235" spans="1:51" hidden="1" x14ac:dyDescent="0.25">
      <c r="A1235">
        <v>406099</v>
      </c>
      <c r="B1235" t="s">
        <v>4651</v>
      </c>
      <c r="C1235" t="e">
        <f>VLOOKUP(A1235,[1]Customer_payment_journal_line!$AL:$BO,30,0)</f>
        <v>#N/A</v>
      </c>
      <c r="D1235" t="s">
        <v>53</v>
      </c>
      <c r="E1235" t="s">
        <v>4652</v>
      </c>
      <c r="F1235" t="s">
        <v>4653</v>
      </c>
      <c r="G1235" t="s">
        <v>4126</v>
      </c>
      <c r="H1235" t="s">
        <v>57</v>
      </c>
      <c r="I1235" t="s">
        <v>58</v>
      </c>
      <c r="J1235" t="s">
        <v>4654</v>
      </c>
      <c r="K1235" t="s">
        <v>4655</v>
      </c>
      <c r="L1235" t="s">
        <v>52</v>
      </c>
      <c r="M1235">
        <v>3562.5</v>
      </c>
      <c r="N1235">
        <v>0</v>
      </c>
      <c r="O1235" t="s">
        <v>61</v>
      </c>
      <c r="P1235">
        <v>100</v>
      </c>
      <c r="Q1235" t="s">
        <v>52</v>
      </c>
      <c r="R1235" t="s">
        <v>52</v>
      </c>
      <c r="S1235" t="s">
        <v>52</v>
      </c>
      <c r="T1235" t="s">
        <v>52</v>
      </c>
      <c r="U1235" t="s">
        <v>52</v>
      </c>
      <c r="V1235" t="s">
        <v>62</v>
      </c>
      <c r="W1235" t="s">
        <v>63</v>
      </c>
      <c r="Y1235" t="s">
        <v>52</v>
      </c>
      <c r="AB1235" t="s">
        <v>52</v>
      </c>
      <c r="AE1235" t="s">
        <v>52</v>
      </c>
      <c r="AF1235" t="s">
        <v>52</v>
      </c>
      <c r="AH1235">
        <v>0</v>
      </c>
      <c r="AI1235">
        <v>0</v>
      </c>
      <c r="AJ1235" t="s">
        <v>52</v>
      </c>
      <c r="AK1235">
        <v>0</v>
      </c>
      <c r="AL1235" t="s">
        <v>52</v>
      </c>
      <c r="AM1235" t="s">
        <v>52</v>
      </c>
      <c r="AN1235">
        <v>0</v>
      </c>
      <c r="AO1235">
        <v>0</v>
      </c>
      <c r="AP1235" t="s">
        <v>52</v>
      </c>
      <c r="AQ1235" t="s">
        <v>52</v>
      </c>
      <c r="AR1235" t="s">
        <v>62</v>
      </c>
      <c r="AS1235" t="s">
        <v>52</v>
      </c>
      <c r="AT1235" t="s">
        <v>52</v>
      </c>
      <c r="AU1235" t="s">
        <v>64</v>
      </c>
      <c r="AV1235" t="s">
        <v>62</v>
      </c>
      <c r="AW1235" t="s">
        <v>65</v>
      </c>
      <c r="AX1235" t="s">
        <v>66</v>
      </c>
      <c r="AY1235" t="s">
        <v>67</v>
      </c>
    </row>
    <row r="1236" spans="1:51" hidden="1" x14ac:dyDescent="0.25">
      <c r="A1236">
        <v>406099</v>
      </c>
      <c r="B1236" t="s">
        <v>4656</v>
      </c>
      <c r="C1236" t="e">
        <f>VLOOKUP(A1236,[1]Customer_payment_journal_line!$AL:$BO,30,0)</f>
        <v>#N/A</v>
      </c>
      <c r="D1236" t="s">
        <v>53</v>
      </c>
      <c r="E1236" t="s">
        <v>4652</v>
      </c>
      <c r="F1236" t="s">
        <v>4653</v>
      </c>
      <c r="G1236" t="s">
        <v>4126</v>
      </c>
      <c r="H1236" t="s">
        <v>69</v>
      </c>
      <c r="I1236" t="s">
        <v>4657</v>
      </c>
      <c r="J1236" t="s">
        <v>4654</v>
      </c>
      <c r="K1236" t="s">
        <v>4655</v>
      </c>
      <c r="L1236" t="s">
        <v>52</v>
      </c>
      <c r="M1236">
        <v>0</v>
      </c>
      <c r="N1236">
        <v>3562.5</v>
      </c>
      <c r="O1236" t="s">
        <v>61</v>
      </c>
      <c r="P1236">
        <v>100</v>
      </c>
      <c r="Q1236" t="s">
        <v>52</v>
      </c>
      <c r="R1236" t="s">
        <v>52</v>
      </c>
      <c r="S1236" t="s">
        <v>52</v>
      </c>
      <c r="T1236" t="s">
        <v>52</v>
      </c>
      <c r="U1236" t="s">
        <v>52</v>
      </c>
      <c r="V1236" t="s">
        <v>62</v>
      </c>
      <c r="W1236" t="s">
        <v>52</v>
      </c>
      <c r="Y1236" t="s">
        <v>4658</v>
      </c>
      <c r="Z1236" t="s">
        <v>62</v>
      </c>
      <c r="AB1236" t="s">
        <v>4659</v>
      </c>
      <c r="AE1236" t="s">
        <v>4660</v>
      </c>
      <c r="AF1236" t="s">
        <v>52</v>
      </c>
      <c r="AH1236">
        <v>0</v>
      </c>
      <c r="AI1236">
        <v>0</v>
      </c>
      <c r="AJ1236" t="s">
        <v>52</v>
      </c>
      <c r="AK1236">
        <v>0</v>
      </c>
      <c r="AL1236" t="s">
        <v>52</v>
      </c>
      <c r="AM1236" t="s">
        <v>52</v>
      </c>
      <c r="AN1236">
        <v>0</v>
      </c>
      <c r="AO1236">
        <v>0</v>
      </c>
      <c r="AP1236" t="s">
        <v>52</v>
      </c>
      <c r="AQ1236" t="s">
        <v>52</v>
      </c>
      <c r="AR1236" t="s">
        <v>62</v>
      </c>
      <c r="AS1236" t="s">
        <v>52</v>
      </c>
      <c r="AT1236" t="s">
        <v>74</v>
      </c>
      <c r="AU1236" t="s">
        <v>64</v>
      </c>
      <c r="AV1236" t="s">
        <v>62</v>
      </c>
      <c r="AW1236" t="s">
        <v>65</v>
      </c>
      <c r="AX1236" t="s">
        <v>66</v>
      </c>
      <c r="AY1236" t="s">
        <v>67</v>
      </c>
    </row>
    <row r="1237" spans="1:51" hidden="1" x14ac:dyDescent="0.25">
      <c r="A1237">
        <v>406100</v>
      </c>
      <c r="B1237" t="s">
        <v>4661</v>
      </c>
      <c r="C1237" t="e">
        <f>VLOOKUP(A1237,[1]Customer_payment_journal_line!$AL:$BO,30,0)</f>
        <v>#N/A</v>
      </c>
      <c r="D1237" t="s">
        <v>53</v>
      </c>
      <c r="E1237" t="s">
        <v>4662</v>
      </c>
      <c r="F1237" t="s">
        <v>4663</v>
      </c>
      <c r="G1237" t="s">
        <v>4126</v>
      </c>
      <c r="H1237" t="s">
        <v>57</v>
      </c>
      <c r="I1237" t="s">
        <v>58</v>
      </c>
      <c r="J1237" t="s">
        <v>4654</v>
      </c>
      <c r="K1237" t="s">
        <v>4655</v>
      </c>
      <c r="L1237" t="s">
        <v>52</v>
      </c>
      <c r="M1237">
        <v>855</v>
      </c>
      <c r="N1237">
        <v>0</v>
      </c>
      <c r="O1237" t="s">
        <v>61</v>
      </c>
      <c r="P1237">
        <v>100</v>
      </c>
      <c r="Q1237" t="s">
        <v>52</v>
      </c>
      <c r="R1237" t="s">
        <v>52</v>
      </c>
      <c r="S1237" t="s">
        <v>52</v>
      </c>
      <c r="T1237" t="s">
        <v>52</v>
      </c>
      <c r="U1237" t="s">
        <v>52</v>
      </c>
      <c r="V1237" t="s">
        <v>62</v>
      </c>
      <c r="W1237" t="s">
        <v>63</v>
      </c>
      <c r="Y1237" t="s">
        <v>52</v>
      </c>
      <c r="AB1237" t="s">
        <v>52</v>
      </c>
      <c r="AE1237" t="s">
        <v>52</v>
      </c>
      <c r="AF1237" t="s">
        <v>52</v>
      </c>
      <c r="AH1237">
        <v>0</v>
      </c>
      <c r="AI1237">
        <v>0</v>
      </c>
      <c r="AJ1237" t="s">
        <v>52</v>
      </c>
      <c r="AK1237">
        <v>0</v>
      </c>
      <c r="AL1237" t="s">
        <v>52</v>
      </c>
      <c r="AM1237" t="s">
        <v>52</v>
      </c>
      <c r="AN1237">
        <v>0</v>
      </c>
      <c r="AO1237">
        <v>0</v>
      </c>
      <c r="AP1237" t="s">
        <v>52</v>
      </c>
      <c r="AQ1237" t="s">
        <v>52</v>
      </c>
      <c r="AR1237" t="s">
        <v>62</v>
      </c>
      <c r="AS1237" t="s">
        <v>52</v>
      </c>
      <c r="AT1237" t="s">
        <v>52</v>
      </c>
      <c r="AU1237" t="s">
        <v>64</v>
      </c>
      <c r="AV1237" t="s">
        <v>62</v>
      </c>
      <c r="AW1237" t="s">
        <v>65</v>
      </c>
      <c r="AX1237" t="s">
        <v>66</v>
      </c>
      <c r="AY1237" t="s">
        <v>67</v>
      </c>
    </row>
    <row r="1238" spans="1:51" hidden="1" x14ac:dyDescent="0.25">
      <c r="A1238">
        <v>406100</v>
      </c>
      <c r="B1238" t="s">
        <v>4664</v>
      </c>
      <c r="C1238" t="e">
        <f>VLOOKUP(A1238,[1]Customer_payment_journal_line!$AL:$BO,30,0)</f>
        <v>#N/A</v>
      </c>
      <c r="D1238" t="s">
        <v>53</v>
      </c>
      <c r="E1238" t="s">
        <v>4662</v>
      </c>
      <c r="F1238" t="s">
        <v>4663</v>
      </c>
      <c r="G1238" t="s">
        <v>4126</v>
      </c>
      <c r="H1238" t="s">
        <v>69</v>
      </c>
      <c r="I1238" t="s">
        <v>4657</v>
      </c>
      <c r="J1238" t="s">
        <v>4654</v>
      </c>
      <c r="K1238" t="s">
        <v>4655</v>
      </c>
      <c r="L1238" t="s">
        <v>52</v>
      </c>
      <c r="M1238">
        <v>0</v>
      </c>
      <c r="N1238">
        <v>855</v>
      </c>
      <c r="O1238" t="s">
        <v>61</v>
      </c>
      <c r="P1238">
        <v>100</v>
      </c>
      <c r="Q1238" t="s">
        <v>52</v>
      </c>
      <c r="R1238" t="s">
        <v>52</v>
      </c>
      <c r="S1238" t="s">
        <v>52</v>
      </c>
      <c r="T1238" t="s">
        <v>52</v>
      </c>
      <c r="U1238" t="s">
        <v>52</v>
      </c>
      <c r="V1238" t="s">
        <v>62</v>
      </c>
      <c r="W1238" t="s">
        <v>52</v>
      </c>
      <c r="Y1238" t="s">
        <v>4658</v>
      </c>
      <c r="Z1238" t="s">
        <v>62</v>
      </c>
      <c r="AB1238" t="s">
        <v>4665</v>
      </c>
      <c r="AE1238" t="s">
        <v>4666</v>
      </c>
      <c r="AF1238" t="s">
        <v>52</v>
      </c>
      <c r="AH1238">
        <v>0</v>
      </c>
      <c r="AI1238">
        <v>0</v>
      </c>
      <c r="AJ1238" t="s">
        <v>52</v>
      </c>
      <c r="AK1238">
        <v>0</v>
      </c>
      <c r="AL1238" t="s">
        <v>52</v>
      </c>
      <c r="AM1238" t="s">
        <v>52</v>
      </c>
      <c r="AN1238">
        <v>0</v>
      </c>
      <c r="AO1238">
        <v>0</v>
      </c>
      <c r="AP1238" t="s">
        <v>52</v>
      </c>
      <c r="AQ1238" t="s">
        <v>52</v>
      </c>
      <c r="AR1238" t="s">
        <v>62</v>
      </c>
      <c r="AS1238" t="s">
        <v>52</v>
      </c>
      <c r="AT1238" t="s">
        <v>74</v>
      </c>
      <c r="AU1238" t="s">
        <v>64</v>
      </c>
      <c r="AV1238" t="s">
        <v>62</v>
      </c>
      <c r="AW1238" t="s">
        <v>65</v>
      </c>
      <c r="AX1238" t="s">
        <v>66</v>
      </c>
      <c r="AY1238" t="s">
        <v>67</v>
      </c>
    </row>
    <row r="1239" spans="1:51" hidden="1" x14ac:dyDescent="0.25">
      <c r="A1239">
        <v>406101</v>
      </c>
      <c r="B1239" t="s">
        <v>4667</v>
      </c>
      <c r="C1239" t="e">
        <f>VLOOKUP(A1239,[1]Customer_payment_journal_line!$AL:$BO,30,0)</f>
        <v>#N/A</v>
      </c>
      <c r="D1239" t="s">
        <v>53</v>
      </c>
      <c r="E1239" t="s">
        <v>4668</v>
      </c>
      <c r="F1239" t="s">
        <v>4669</v>
      </c>
      <c r="G1239" t="s">
        <v>4126</v>
      </c>
      <c r="H1239" t="s">
        <v>57</v>
      </c>
      <c r="I1239" t="s">
        <v>1349</v>
      </c>
      <c r="J1239" t="s">
        <v>4670</v>
      </c>
      <c r="K1239" t="s">
        <v>2482</v>
      </c>
      <c r="L1239" t="s">
        <v>52</v>
      </c>
      <c r="M1239">
        <v>1710</v>
      </c>
      <c r="N1239">
        <v>0</v>
      </c>
      <c r="O1239" t="s">
        <v>61</v>
      </c>
      <c r="P1239">
        <v>100</v>
      </c>
      <c r="Q1239" t="s">
        <v>52</v>
      </c>
      <c r="R1239" t="s">
        <v>52</v>
      </c>
      <c r="S1239" t="s">
        <v>52</v>
      </c>
      <c r="T1239" t="s">
        <v>52</v>
      </c>
      <c r="U1239" t="s">
        <v>52</v>
      </c>
      <c r="V1239" t="s">
        <v>62</v>
      </c>
      <c r="W1239" t="s">
        <v>63</v>
      </c>
      <c r="Y1239" t="s">
        <v>52</v>
      </c>
      <c r="AB1239" t="s">
        <v>52</v>
      </c>
      <c r="AE1239" t="s">
        <v>52</v>
      </c>
      <c r="AF1239" t="s">
        <v>52</v>
      </c>
      <c r="AH1239">
        <v>0</v>
      </c>
      <c r="AI1239">
        <v>0</v>
      </c>
      <c r="AJ1239" t="s">
        <v>52</v>
      </c>
      <c r="AK1239">
        <v>0</v>
      </c>
      <c r="AL1239" t="s">
        <v>52</v>
      </c>
      <c r="AM1239" t="s">
        <v>52</v>
      </c>
      <c r="AN1239">
        <v>0</v>
      </c>
      <c r="AO1239">
        <v>0</v>
      </c>
      <c r="AP1239" t="s">
        <v>52</v>
      </c>
      <c r="AQ1239" t="s">
        <v>52</v>
      </c>
      <c r="AR1239" t="s">
        <v>62</v>
      </c>
      <c r="AS1239" t="s">
        <v>52</v>
      </c>
      <c r="AT1239" t="s">
        <v>52</v>
      </c>
      <c r="AU1239" t="s">
        <v>64</v>
      </c>
      <c r="AV1239" t="s">
        <v>62</v>
      </c>
      <c r="AW1239" t="s">
        <v>65</v>
      </c>
      <c r="AX1239" t="s">
        <v>66</v>
      </c>
      <c r="AY1239" t="s">
        <v>67</v>
      </c>
    </row>
    <row r="1240" spans="1:51" hidden="1" x14ac:dyDescent="0.25">
      <c r="A1240">
        <v>406101</v>
      </c>
      <c r="B1240" t="s">
        <v>4671</v>
      </c>
      <c r="C1240" t="e">
        <f>VLOOKUP(A1240,[1]Customer_payment_journal_line!$AL:$BO,30,0)</f>
        <v>#N/A</v>
      </c>
      <c r="D1240" t="s">
        <v>53</v>
      </c>
      <c r="E1240" t="s">
        <v>4668</v>
      </c>
      <c r="F1240" t="s">
        <v>4669</v>
      </c>
      <c r="G1240" t="s">
        <v>4126</v>
      </c>
      <c r="H1240" t="s">
        <v>69</v>
      </c>
      <c r="I1240" t="s">
        <v>431</v>
      </c>
      <c r="J1240" t="s">
        <v>4670</v>
      </c>
      <c r="K1240" t="s">
        <v>2482</v>
      </c>
      <c r="L1240" t="s">
        <v>52</v>
      </c>
      <c r="M1240">
        <v>0</v>
      </c>
      <c r="N1240">
        <v>1710</v>
      </c>
      <c r="O1240" t="s">
        <v>61</v>
      </c>
      <c r="P1240">
        <v>100</v>
      </c>
      <c r="Q1240" t="s">
        <v>52</v>
      </c>
      <c r="R1240" t="s">
        <v>52</v>
      </c>
      <c r="S1240" t="s">
        <v>52</v>
      </c>
      <c r="T1240" t="s">
        <v>52</v>
      </c>
      <c r="U1240" t="s">
        <v>52</v>
      </c>
      <c r="V1240" t="s">
        <v>62</v>
      </c>
      <c r="W1240" t="s">
        <v>52</v>
      </c>
      <c r="Y1240" t="s">
        <v>432</v>
      </c>
      <c r="Z1240" t="s">
        <v>62</v>
      </c>
      <c r="AB1240" t="s">
        <v>4672</v>
      </c>
      <c r="AE1240" t="s">
        <v>4673</v>
      </c>
      <c r="AF1240" t="s">
        <v>52</v>
      </c>
      <c r="AH1240">
        <v>0</v>
      </c>
      <c r="AI1240">
        <v>0</v>
      </c>
      <c r="AJ1240" t="s">
        <v>52</v>
      </c>
      <c r="AK1240">
        <v>0</v>
      </c>
      <c r="AL1240" t="s">
        <v>52</v>
      </c>
      <c r="AM1240" t="s">
        <v>52</v>
      </c>
      <c r="AN1240">
        <v>0</v>
      </c>
      <c r="AO1240">
        <v>0</v>
      </c>
      <c r="AP1240" t="s">
        <v>52</v>
      </c>
      <c r="AQ1240" t="s">
        <v>52</v>
      </c>
      <c r="AR1240" t="s">
        <v>62</v>
      </c>
      <c r="AS1240" t="s">
        <v>52</v>
      </c>
      <c r="AT1240" t="s">
        <v>74</v>
      </c>
      <c r="AU1240" t="s">
        <v>64</v>
      </c>
      <c r="AV1240" t="s">
        <v>62</v>
      </c>
      <c r="AW1240" t="s">
        <v>65</v>
      </c>
      <c r="AX1240" t="s">
        <v>66</v>
      </c>
      <c r="AY1240" t="s">
        <v>67</v>
      </c>
    </row>
    <row r="1241" spans="1:51" hidden="1" x14ac:dyDescent="0.25">
      <c r="A1241">
        <v>406102</v>
      </c>
      <c r="B1241" t="s">
        <v>4674</v>
      </c>
      <c r="C1241" t="e">
        <f>VLOOKUP(A1241,[1]Customer_payment_journal_line!$AL:$BO,30,0)</f>
        <v>#N/A</v>
      </c>
      <c r="D1241" t="s">
        <v>53</v>
      </c>
      <c r="E1241" t="s">
        <v>4675</v>
      </c>
      <c r="F1241" t="s">
        <v>4676</v>
      </c>
      <c r="G1241" t="s">
        <v>4126</v>
      </c>
      <c r="H1241" t="s">
        <v>57</v>
      </c>
      <c r="I1241" t="s">
        <v>1349</v>
      </c>
      <c r="J1241" t="s">
        <v>4647</v>
      </c>
      <c r="K1241" t="s">
        <v>3860</v>
      </c>
      <c r="L1241" t="s">
        <v>52</v>
      </c>
      <c r="M1241">
        <v>2280</v>
      </c>
      <c r="N1241">
        <v>0</v>
      </c>
      <c r="O1241" t="s">
        <v>61</v>
      </c>
      <c r="P1241">
        <v>100</v>
      </c>
      <c r="Q1241" t="s">
        <v>52</v>
      </c>
      <c r="R1241" t="s">
        <v>52</v>
      </c>
      <c r="S1241" t="s">
        <v>52</v>
      </c>
      <c r="T1241" t="s">
        <v>52</v>
      </c>
      <c r="U1241" t="s">
        <v>52</v>
      </c>
      <c r="V1241" t="s">
        <v>62</v>
      </c>
      <c r="W1241" t="s">
        <v>63</v>
      </c>
      <c r="Y1241" t="s">
        <v>52</v>
      </c>
      <c r="AB1241" t="s">
        <v>52</v>
      </c>
      <c r="AE1241" t="s">
        <v>52</v>
      </c>
      <c r="AF1241" t="s">
        <v>52</v>
      </c>
      <c r="AH1241">
        <v>0</v>
      </c>
      <c r="AI1241">
        <v>0</v>
      </c>
      <c r="AJ1241" t="s">
        <v>52</v>
      </c>
      <c r="AK1241">
        <v>0</v>
      </c>
      <c r="AL1241" t="s">
        <v>52</v>
      </c>
      <c r="AM1241" t="s">
        <v>52</v>
      </c>
      <c r="AN1241">
        <v>0</v>
      </c>
      <c r="AO1241">
        <v>0</v>
      </c>
      <c r="AP1241" t="s">
        <v>52</v>
      </c>
      <c r="AQ1241" t="s">
        <v>52</v>
      </c>
      <c r="AR1241" t="s">
        <v>62</v>
      </c>
      <c r="AS1241" t="s">
        <v>52</v>
      </c>
      <c r="AT1241" t="s">
        <v>52</v>
      </c>
      <c r="AU1241" t="s">
        <v>64</v>
      </c>
      <c r="AV1241" t="s">
        <v>62</v>
      </c>
      <c r="AW1241" t="s">
        <v>65</v>
      </c>
      <c r="AX1241" t="s">
        <v>66</v>
      </c>
      <c r="AY1241" t="s">
        <v>67</v>
      </c>
    </row>
    <row r="1242" spans="1:51" hidden="1" x14ac:dyDescent="0.25">
      <c r="A1242">
        <v>406102</v>
      </c>
      <c r="B1242" t="s">
        <v>4677</v>
      </c>
      <c r="C1242" t="e">
        <f>VLOOKUP(A1242,[1]Customer_payment_journal_line!$AL:$BO,30,0)</f>
        <v>#N/A</v>
      </c>
      <c r="D1242" t="s">
        <v>53</v>
      </c>
      <c r="E1242" t="s">
        <v>4675</v>
      </c>
      <c r="F1242" t="s">
        <v>4676</v>
      </c>
      <c r="G1242" t="s">
        <v>4126</v>
      </c>
      <c r="H1242" t="s">
        <v>69</v>
      </c>
      <c r="I1242" t="s">
        <v>3642</v>
      </c>
      <c r="J1242" t="s">
        <v>4647</v>
      </c>
      <c r="K1242" t="s">
        <v>3860</v>
      </c>
      <c r="L1242" t="s">
        <v>52</v>
      </c>
      <c r="M1242">
        <v>0</v>
      </c>
      <c r="N1242">
        <v>2280</v>
      </c>
      <c r="O1242" t="s">
        <v>61</v>
      </c>
      <c r="P1242">
        <v>100</v>
      </c>
      <c r="Q1242" t="s">
        <v>52</v>
      </c>
      <c r="R1242" t="s">
        <v>52</v>
      </c>
      <c r="S1242" t="s">
        <v>52</v>
      </c>
      <c r="T1242" t="s">
        <v>52</v>
      </c>
      <c r="U1242" t="s">
        <v>52</v>
      </c>
      <c r="V1242" t="s">
        <v>62</v>
      </c>
      <c r="W1242" t="s">
        <v>52</v>
      </c>
      <c r="Y1242" t="s">
        <v>3643</v>
      </c>
      <c r="Z1242" t="s">
        <v>62</v>
      </c>
      <c r="AB1242" t="s">
        <v>4678</v>
      </c>
      <c r="AE1242" t="s">
        <v>4679</v>
      </c>
      <c r="AF1242" t="s">
        <v>52</v>
      </c>
      <c r="AH1242">
        <v>0</v>
      </c>
      <c r="AI1242">
        <v>0</v>
      </c>
      <c r="AJ1242" t="s">
        <v>52</v>
      </c>
      <c r="AK1242">
        <v>0</v>
      </c>
      <c r="AL1242" t="s">
        <v>52</v>
      </c>
      <c r="AM1242" t="s">
        <v>52</v>
      </c>
      <c r="AN1242">
        <v>0</v>
      </c>
      <c r="AO1242">
        <v>0</v>
      </c>
      <c r="AP1242" t="s">
        <v>52</v>
      </c>
      <c r="AQ1242" t="s">
        <v>52</v>
      </c>
      <c r="AR1242" t="s">
        <v>62</v>
      </c>
      <c r="AS1242" t="s">
        <v>52</v>
      </c>
      <c r="AT1242" t="s">
        <v>74</v>
      </c>
      <c r="AU1242" t="s">
        <v>64</v>
      </c>
      <c r="AV1242" t="s">
        <v>62</v>
      </c>
      <c r="AW1242" t="s">
        <v>65</v>
      </c>
      <c r="AX1242" t="s">
        <v>66</v>
      </c>
      <c r="AY1242" t="s">
        <v>67</v>
      </c>
    </row>
    <row r="1243" spans="1:51" hidden="1" x14ac:dyDescent="0.25">
      <c r="A1243">
        <v>406103</v>
      </c>
      <c r="B1243" t="s">
        <v>4680</v>
      </c>
      <c r="C1243" t="e">
        <f>VLOOKUP(A1243,[1]Customer_payment_journal_line!$AL:$BO,30,0)</f>
        <v>#N/A</v>
      </c>
      <c r="D1243" t="s">
        <v>53</v>
      </c>
      <c r="E1243" t="s">
        <v>4681</v>
      </c>
      <c r="F1243" t="s">
        <v>4682</v>
      </c>
      <c r="G1243" t="s">
        <v>4126</v>
      </c>
      <c r="H1243" t="s">
        <v>57</v>
      </c>
      <c r="I1243" t="s">
        <v>516</v>
      </c>
      <c r="J1243" t="s">
        <v>4376</v>
      </c>
      <c r="K1243" t="s">
        <v>4377</v>
      </c>
      <c r="L1243" t="s">
        <v>52</v>
      </c>
      <c r="M1243">
        <v>15</v>
      </c>
      <c r="N1243">
        <v>0</v>
      </c>
      <c r="O1243" t="s">
        <v>178</v>
      </c>
      <c r="P1243">
        <v>5085</v>
      </c>
      <c r="Q1243" t="s">
        <v>52</v>
      </c>
      <c r="R1243" t="s">
        <v>52</v>
      </c>
      <c r="S1243" t="s">
        <v>52</v>
      </c>
      <c r="T1243" t="s">
        <v>52</v>
      </c>
      <c r="U1243" t="s">
        <v>52</v>
      </c>
      <c r="V1243" t="s">
        <v>62</v>
      </c>
      <c r="W1243" t="s">
        <v>63</v>
      </c>
      <c r="Y1243" t="s">
        <v>52</v>
      </c>
      <c r="AB1243" t="s">
        <v>52</v>
      </c>
      <c r="AE1243" t="s">
        <v>52</v>
      </c>
      <c r="AF1243" t="s">
        <v>52</v>
      </c>
      <c r="AH1243">
        <v>0</v>
      </c>
      <c r="AI1243">
        <v>0</v>
      </c>
      <c r="AJ1243" t="s">
        <v>52</v>
      </c>
      <c r="AK1243">
        <v>0</v>
      </c>
      <c r="AL1243" t="s">
        <v>52</v>
      </c>
      <c r="AM1243" t="s">
        <v>52</v>
      </c>
      <c r="AN1243">
        <v>0</v>
      </c>
      <c r="AO1243">
        <v>0</v>
      </c>
      <c r="AP1243" t="s">
        <v>52</v>
      </c>
      <c r="AQ1243" t="s">
        <v>52</v>
      </c>
      <c r="AR1243" t="s">
        <v>62</v>
      </c>
      <c r="AS1243" t="s">
        <v>52</v>
      </c>
      <c r="AT1243" t="s">
        <v>52</v>
      </c>
      <c r="AU1243" t="s">
        <v>64</v>
      </c>
      <c r="AV1243" t="s">
        <v>62</v>
      </c>
      <c r="AW1243" t="s">
        <v>65</v>
      </c>
      <c r="AX1243" t="s">
        <v>66</v>
      </c>
      <c r="AY1243" t="s">
        <v>67</v>
      </c>
    </row>
    <row r="1244" spans="1:51" hidden="1" x14ac:dyDescent="0.25">
      <c r="A1244">
        <v>406103</v>
      </c>
      <c r="B1244" t="s">
        <v>4683</v>
      </c>
      <c r="C1244" t="e">
        <f>VLOOKUP(A1244,[1]Customer_payment_journal_line!$AL:$BO,30,0)</f>
        <v>#N/A</v>
      </c>
      <c r="D1244" t="s">
        <v>53</v>
      </c>
      <c r="E1244" t="s">
        <v>4681</v>
      </c>
      <c r="F1244" t="s">
        <v>4682</v>
      </c>
      <c r="G1244" t="s">
        <v>4126</v>
      </c>
      <c r="H1244" t="s">
        <v>69</v>
      </c>
      <c r="I1244" t="s">
        <v>4284</v>
      </c>
      <c r="J1244" t="s">
        <v>4376</v>
      </c>
      <c r="K1244" t="s">
        <v>4377</v>
      </c>
      <c r="L1244" t="s">
        <v>52</v>
      </c>
      <c r="M1244">
        <v>0</v>
      </c>
      <c r="N1244">
        <v>15</v>
      </c>
      <c r="O1244" t="s">
        <v>178</v>
      </c>
      <c r="P1244">
        <v>5085</v>
      </c>
      <c r="Q1244" t="s">
        <v>52</v>
      </c>
      <c r="R1244" t="s">
        <v>52</v>
      </c>
      <c r="S1244" t="s">
        <v>52</v>
      </c>
      <c r="T1244" t="s">
        <v>52</v>
      </c>
      <c r="U1244" t="s">
        <v>52</v>
      </c>
      <c r="V1244" t="s">
        <v>62</v>
      </c>
      <c r="W1244" t="s">
        <v>52</v>
      </c>
      <c r="Y1244" t="s">
        <v>4285</v>
      </c>
      <c r="Z1244" t="s">
        <v>62</v>
      </c>
      <c r="AB1244" t="s">
        <v>4684</v>
      </c>
      <c r="AE1244" t="s">
        <v>4685</v>
      </c>
      <c r="AF1244" t="s">
        <v>52</v>
      </c>
      <c r="AH1244">
        <v>0</v>
      </c>
      <c r="AI1244">
        <v>0</v>
      </c>
      <c r="AJ1244" t="s">
        <v>52</v>
      </c>
      <c r="AK1244">
        <v>0</v>
      </c>
      <c r="AL1244" t="s">
        <v>52</v>
      </c>
      <c r="AM1244" t="s">
        <v>52</v>
      </c>
      <c r="AN1244">
        <v>0</v>
      </c>
      <c r="AO1244">
        <v>0</v>
      </c>
      <c r="AP1244" t="s">
        <v>52</v>
      </c>
      <c r="AQ1244" t="s">
        <v>52</v>
      </c>
      <c r="AR1244" t="s">
        <v>62</v>
      </c>
      <c r="AS1244" t="s">
        <v>52</v>
      </c>
      <c r="AT1244" t="s">
        <v>74</v>
      </c>
      <c r="AU1244" t="s">
        <v>64</v>
      </c>
      <c r="AV1244" t="s">
        <v>62</v>
      </c>
      <c r="AW1244" t="s">
        <v>65</v>
      </c>
      <c r="AX1244" t="s">
        <v>66</v>
      </c>
      <c r="AY1244" t="s">
        <v>67</v>
      </c>
    </row>
    <row r="1245" spans="1:51" hidden="1" x14ac:dyDescent="0.25">
      <c r="A1245">
        <v>203323</v>
      </c>
      <c r="B1245" t="s">
        <v>4686</v>
      </c>
      <c r="C1245" t="e">
        <f>VLOOKUP(A1245,[1]Customer_payment_journal_line!$AL:$BO,30,0)</f>
        <v>#N/A</v>
      </c>
      <c r="D1245" t="s">
        <v>159</v>
      </c>
      <c r="E1245" t="s">
        <v>4687</v>
      </c>
      <c r="F1245" t="s">
        <v>4688</v>
      </c>
      <c r="G1245" t="s">
        <v>4689</v>
      </c>
      <c r="H1245" t="s">
        <v>80</v>
      </c>
      <c r="I1245" t="s">
        <v>162</v>
      </c>
      <c r="J1245" t="s">
        <v>4690</v>
      </c>
      <c r="K1245" t="s">
        <v>4691</v>
      </c>
      <c r="L1245" t="s">
        <v>52</v>
      </c>
      <c r="M1245">
        <v>6500</v>
      </c>
      <c r="N1245">
        <v>0</v>
      </c>
      <c r="O1245" t="s">
        <v>61</v>
      </c>
      <c r="P1245">
        <v>100</v>
      </c>
      <c r="Q1245" t="s">
        <v>52</v>
      </c>
      <c r="R1245" t="s">
        <v>52</v>
      </c>
      <c r="S1245" t="s">
        <v>52</v>
      </c>
      <c r="T1245" t="s">
        <v>52</v>
      </c>
      <c r="U1245" t="s">
        <v>52</v>
      </c>
      <c r="V1245" t="s">
        <v>62</v>
      </c>
      <c r="W1245" t="s">
        <v>52</v>
      </c>
      <c r="Y1245" t="s">
        <v>52</v>
      </c>
      <c r="AB1245" t="s">
        <v>52</v>
      </c>
      <c r="AE1245" t="s">
        <v>52</v>
      </c>
      <c r="AF1245" t="s">
        <v>52</v>
      </c>
      <c r="AH1245">
        <v>0</v>
      </c>
      <c r="AI1245">
        <v>0</v>
      </c>
      <c r="AJ1245" t="s">
        <v>52</v>
      </c>
      <c r="AK1245">
        <v>0</v>
      </c>
      <c r="AL1245" t="s">
        <v>52</v>
      </c>
      <c r="AM1245" t="s">
        <v>52</v>
      </c>
      <c r="AN1245">
        <v>0</v>
      </c>
      <c r="AO1245">
        <v>0</v>
      </c>
      <c r="AP1245" t="s">
        <v>52</v>
      </c>
      <c r="AQ1245" t="s">
        <v>52</v>
      </c>
      <c r="AR1245" t="s">
        <v>62</v>
      </c>
      <c r="AS1245" t="s">
        <v>52</v>
      </c>
      <c r="AT1245" t="s">
        <v>52</v>
      </c>
      <c r="AU1245" t="s">
        <v>64</v>
      </c>
      <c r="AV1245" t="s">
        <v>62</v>
      </c>
      <c r="AW1245" t="s">
        <v>65</v>
      </c>
      <c r="AX1245" t="s">
        <v>66</v>
      </c>
      <c r="AY1245" t="s">
        <v>165</v>
      </c>
    </row>
    <row r="1246" spans="1:51" hidden="1" x14ac:dyDescent="0.25">
      <c r="A1246">
        <v>203323</v>
      </c>
      <c r="B1246" t="s">
        <v>4692</v>
      </c>
      <c r="C1246" t="e">
        <f>VLOOKUP(A1246,[1]Customer_payment_journal_line!$AL:$BO,30,0)</f>
        <v>#N/A</v>
      </c>
      <c r="D1246" t="s">
        <v>159</v>
      </c>
      <c r="E1246" t="s">
        <v>4687</v>
      </c>
      <c r="F1246" t="s">
        <v>4688</v>
      </c>
      <c r="G1246" t="s">
        <v>4689</v>
      </c>
      <c r="H1246" t="s">
        <v>69</v>
      </c>
      <c r="I1246" t="s">
        <v>4693</v>
      </c>
      <c r="J1246" t="s">
        <v>4690</v>
      </c>
      <c r="K1246" t="s">
        <v>4691</v>
      </c>
      <c r="L1246" t="s">
        <v>52</v>
      </c>
      <c r="M1246">
        <v>0</v>
      </c>
      <c r="N1246">
        <v>6500</v>
      </c>
      <c r="O1246" t="s">
        <v>61</v>
      </c>
      <c r="P1246">
        <v>100</v>
      </c>
      <c r="Q1246" t="s">
        <v>52</v>
      </c>
      <c r="R1246" t="s">
        <v>52</v>
      </c>
      <c r="S1246" t="s">
        <v>52</v>
      </c>
      <c r="T1246" t="s">
        <v>52</v>
      </c>
      <c r="U1246" t="s">
        <v>52</v>
      </c>
      <c r="V1246" t="s">
        <v>62</v>
      </c>
      <c r="W1246" t="s">
        <v>52</v>
      </c>
      <c r="Y1246" t="s">
        <v>4694</v>
      </c>
      <c r="Z1246" t="s">
        <v>62</v>
      </c>
      <c r="AB1246" t="s">
        <v>4695</v>
      </c>
      <c r="AE1246" t="s">
        <v>4696</v>
      </c>
      <c r="AF1246" t="s">
        <v>52</v>
      </c>
      <c r="AH1246">
        <v>0</v>
      </c>
      <c r="AI1246">
        <v>0</v>
      </c>
      <c r="AJ1246" t="s">
        <v>52</v>
      </c>
      <c r="AK1246">
        <v>0</v>
      </c>
      <c r="AL1246" t="s">
        <v>52</v>
      </c>
      <c r="AM1246" t="s">
        <v>52</v>
      </c>
      <c r="AN1246">
        <v>0</v>
      </c>
      <c r="AO1246">
        <v>0</v>
      </c>
      <c r="AP1246" t="s">
        <v>52</v>
      </c>
      <c r="AQ1246" t="s">
        <v>52</v>
      </c>
      <c r="AR1246" t="s">
        <v>62</v>
      </c>
      <c r="AS1246" t="s">
        <v>52</v>
      </c>
      <c r="AT1246" t="s">
        <v>74</v>
      </c>
      <c r="AU1246" t="s">
        <v>64</v>
      </c>
      <c r="AV1246" t="s">
        <v>62</v>
      </c>
      <c r="AW1246" t="s">
        <v>65</v>
      </c>
      <c r="AX1246" t="s">
        <v>66</v>
      </c>
      <c r="AY1246" t="s">
        <v>165</v>
      </c>
    </row>
    <row r="1247" spans="1:51" hidden="1" x14ac:dyDescent="0.25">
      <c r="A1247">
        <v>203324</v>
      </c>
      <c r="B1247" t="s">
        <v>4697</v>
      </c>
      <c r="C1247" t="e">
        <f>VLOOKUP(A1247,[1]Customer_payment_journal_line!$AL:$BO,30,0)</f>
        <v>#N/A</v>
      </c>
      <c r="D1247" t="s">
        <v>159</v>
      </c>
      <c r="E1247" t="s">
        <v>4698</v>
      </c>
      <c r="F1247" t="s">
        <v>4699</v>
      </c>
      <c r="G1247" t="s">
        <v>4689</v>
      </c>
      <c r="H1247" t="s">
        <v>80</v>
      </c>
      <c r="I1247" t="s">
        <v>162</v>
      </c>
      <c r="J1247" t="s">
        <v>4700</v>
      </c>
      <c r="K1247" t="s">
        <v>4691</v>
      </c>
      <c r="L1247" t="s">
        <v>52</v>
      </c>
      <c r="M1247">
        <v>2519.6999999999998</v>
      </c>
      <c r="N1247">
        <v>0</v>
      </c>
      <c r="O1247" t="s">
        <v>61</v>
      </c>
      <c r="P1247">
        <v>100</v>
      </c>
      <c r="Q1247" t="s">
        <v>52</v>
      </c>
      <c r="R1247" t="s">
        <v>52</v>
      </c>
      <c r="S1247" t="s">
        <v>52</v>
      </c>
      <c r="T1247" t="s">
        <v>52</v>
      </c>
      <c r="U1247" t="s">
        <v>52</v>
      </c>
      <c r="V1247" t="s">
        <v>62</v>
      </c>
      <c r="W1247" t="s">
        <v>52</v>
      </c>
      <c r="Y1247" t="s">
        <v>52</v>
      </c>
      <c r="AB1247" t="s">
        <v>52</v>
      </c>
      <c r="AE1247" t="s">
        <v>52</v>
      </c>
      <c r="AF1247" t="s">
        <v>52</v>
      </c>
      <c r="AH1247">
        <v>0</v>
      </c>
      <c r="AI1247">
        <v>0</v>
      </c>
      <c r="AJ1247" t="s">
        <v>52</v>
      </c>
      <c r="AK1247">
        <v>0</v>
      </c>
      <c r="AL1247" t="s">
        <v>52</v>
      </c>
      <c r="AM1247" t="s">
        <v>52</v>
      </c>
      <c r="AN1247">
        <v>0</v>
      </c>
      <c r="AO1247">
        <v>0</v>
      </c>
      <c r="AP1247" t="s">
        <v>52</v>
      </c>
      <c r="AQ1247" t="s">
        <v>52</v>
      </c>
      <c r="AR1247" t="s">
        <v>62</v>
      </c>
      <c r="AS1247" t="s">
        <v>52</v>
      </c>
      <c r="AT1247" t="s">
        <v>52</v>
      </c>
      <c r="AU1247" t="s">
        <v>64</v>
      </c>
      <c r="AV1247" t="s">
        <v>62</v>
      </c>
      <c r="AW1247" t="s">
        <v>65</v>
      </c>
      <c r="AX1247" t="s">
        <v>66</v>
      </c>
      <c r="AY1247" t="s">
        <v>165</v>
      </c>
    </row>
    <row r="1248" spans="1:51" hidden="1" x14ac:dyDescent="0.25">
      <c r="A1248">
        <v>203324</v>
      </c>
      <c r="B1248" t="s">
        <v>4701</v>
      </c>
      <c r="C1248" t="e">
        <f>VLOOKUP(A1248,[1]Customer_payment_journal_line!$AL:$BO,30,0)</f>
        <v>#N/A</v>
      </c>
      <c r="D1248" t="s">
        <v>159</v>
      </c>
      <c r="E1248" t="s">
        <v>4698</v>
      </c>
      <c r="F1248" t="s">
        <v>4699</v>
      </c>
      <c r="G1248" t="s">
        <v>4689</v>
      </c>
      <c r="H1248" t="s">
        <v>69</v>
      </c>
      <c r="I1248" t="s">
        <v>4693</v>
      </c>
      <c r="J1248" t="s">
        <v>4700</v>
      </c>
      <c r="K1248" t="s">
        <v>4691</v>
      </c>
      <c r="L1248" t="s">
        <v>52</v>
      </c>
      <c r="M1248">
        <v>0</v>
      </c>
      <c r="N1248">
        <v>2519.6999999999998</v>
      </c>
      <c r="O1248" t="s">
        <v>61</v>
      </c>
      <c r="P1248">
        <v>100</v>
      </c>
      <c r="Q1248" t="s">
        <v>52</v>
      </c>
      <c r="R1248" t="s">
        <v>52</v>
      </c>
      <c r="S1248" t="s">
        <v>52</v>
      </c>
      <c r="T1248" t="s">
        <v>52</v>
      </c>
      <c r="U1248" t="s">
        <v>52</v>
      </c>
      <c r="V1248" t="s">
        <v>62</v>
      </c>
      <c r="W1248" t="s">
        <v>52</v>
      </c>
      <c r="Y1248" t="s">
        <v>4694</v>
      </c>
      <c r="Z1248" t="s">
        <v>62</v>
      </c>
      <c r="AB1248" t="s">
        <v>4702</v>
      </c>
      <c r="AE1248" t="s">
        <v>4703</v>
      </c>
      <c r="AF1248" t="s">
        <v>52</v>
      </c>
      <c r="AH1248">
        <v>0</v>
      </c>
      <c r="AI1248">
        <v>0</v>
      </c>
      <c r="AJ1248" t="s">
        <v>52</v>
      </c>
      <c r="AK1248">
        <v>0</v>
      </c>
      <c r="AL1248" t="s">
        <v>52</v>
      </c>
      <c r="AM1248" t="s">
        <v>52</v>
      </c>
      <c r="AN1248">
        <v>0</v>
      </c>
      <c r="AO1248">
        <v>0</v>
      </c>
      <c r="AP1248" t="s">
        <v>52</v>
      </c>
      <c r="AQ1248" t="s">
        <v>52</v>
      </c>
      <c r="AR1248" t="s">
        <v>62</v>
      </c>
      <c r="AS1248" t="s">
        <v>52</v>
      </c>
      <c r="AT1248" t="s">
        <v>74</v>
      </c>
      <c r="AU1248" t="s">
        <v>64</v>
      </c>
      <c r="AV1248" t="s">
        <v>62</v>
      </c>
      <c r="AW1248" t="s">
        <v>65</v>
      </c>
      <c r="AX1248" t="s">
        <v>66</v>
      </c>
      <c r="AY1248" t="s">
        <v>165</v>
      </c>
    </row>
    <row r="1249" spans="1:51" hidden="1" x14ac:dyDescent="0.25">
      <c r="A1249">
        <v>203325</v>
      </c>
      <c r="B1249" t="s">
        <v>4704</v>
      </c>
      <c r="C1249" t="e">
        <f>VLOOKUP(A1249,[1]Customer_payment_journal_line!$AL:$BO,30,0)</f>
        <v>#N/A</v>
      </c>
      <c r="D1249" t="s">
        <v>159</v>
      </c>
      <c r="E1249" t="s">
        <v>4705</v>
      </c>
      <c r="F1249" t="s">
        <v>4706</v>
      </c>
      <c r="G1249" t="s">
        <v>4689</v>
      </c>
      <c r="H1249" t="s">
        <v>80</v>
      </c>
      <c r="I1249" t="s">
        <v>766</v>
      </c>
      <c r="J1249" t="s">
        <v>4707</v>
      </c>
      <c r="K1249" t="s">
        <v>4708</v>
      </c>
      <c r="L1249" t="s">
        <v>52</v>
      </c>
      <c r="M1249">
        <v>2575</v>
      </c>
      <c r="N1249">
        <v>0</v>
      </c>
      <c r="O1249" t="s">
        <v>126</v>
      </c>
      <c r="P1249">
        <v>5285</v>
      </c>
      <c r="Q1249" t="s">
        <v>52</v>
      </c>
      <c r="R1249" t="s">
        <v>52</v>
      </c>
      <c r="S1249" t="s">
        <v>52</v>
      </c>
      <c r="T1249" t="s">
        <v>52</v>
      </c>
      <c r="U1249" t="s">
        <v>52</v>
      </c>
      <c r="V1249" t="s">
        <v>62</v>
      </c>
      <c r="W1249" t="s">
        <v>52</v>
      </c>
      <c r="Y1249" t="s">
        <v>52</v>
      </c>
      <c r="AB1249" t="s">
        <v>52</v>
      </c>
      <c r="AE1249" t="s">
        <v>52</v>
      </c>
      <c r="AF1249" t="s">
        <v>52</v>
      </c>
      <c r="AH1249">
        <v>0</v>
      </c>
      <c r="AI1249">
        <v>0</v>
      </c>
      <c r="AJ1249" t="s">
        <v>52</v>
      </c>
      <c r="AK1249">
        <v>0</v>
      </c>
      <c r="AL1249" t="s">
        <v>52</v>
      </c>
      <c r="AM1249" t="s">
        <v>52</v>
      </c>
      <c r="AN1249">
        <v>0</v>
      </c>
      <c r="AO1249">
        <v>0</v>
      </c>
      <c r="AP1249" t="s">
        <v>52</v>
      </c>
      <c r="AQ1249" t="s">
        <v>52</v>
      </c>
      <c r="AR1249" t="s">
        <v>62</v>
      </c>
      <c r="AS1249" t="s">
        <v>52</v>
      </c>
      <c r="AT1249" t="s">
        <v>52</v>
      </c>
      <c r="AU1249" t="s">
        <v>64</v>
      </c>
      <c r="AV1249" t="s">
        <v>62</v>
      </c>
      <c r="AW1249" t="s">
        <v>65</v>
      </c>
      <c r="AX1249" t="s">
        <v>66</v>
      </c>
      <c r="AY1249" t="s">
        <v>165</v>
      </c>
    </row>
    <row r="1250" spans="1:51" hidden="1" x14ac:dyDescent="0.25">
      <c r="A1250">
        <v>203325</v>
      </c>
      <c r="B1250" t="s">
        <v>4709</v>
      </c>
      <c r="C1250" t="e">
        <f>VLOOKUP(A1250,[1]Customer_payment_journal_line!$AL:$BO,30,0)</f>
        <v>#N/A</v>
      </c>
      <c r="D1250" t="s">
        <v>159</v>
      </c>
      <c r="E1250" t="s">
        <v>4705</v>
      </c>
      <c r="F1250" t="s">
        <v>4706</v>
      </c>
      <c r="G1250" t="s">
        <v>4689</v>
      </c>
      <c r="H1250" t="s">
        <v>69</v>
      </c>
      <c r="I1250" t="s">
        <v>4710</v>
      </c>
      <c r="J1250" t="s">
        <v>4707</v>
      </c>
      <c r="K1250" t="s">
        <v>4708</v>
      </c>
      <c r="L1250" t="s">
        <v>52</v>
      </c>
      <c r="M1250">
        <v>0</v>
      </c>
      <c r="N1250">
        <v>2575</v>
      </c>
      <c r="O1250" t="s">
        <v>126</v>
      </c>
      <c r="P1250">
        <v>5285</v>
      </c>
      <c r="Q1250" t="s">
        <v>52</v>
      </c>
      <c r="R1250" t="s">
        <v>52</v>
      </c>
      <c r="S1250" t="s">
        <v>52</v>
      </c>
      <c r="T1250" t="s">
        <v>52</v>
      </c>
      <c r="U1250" t="s">
        <v>52</v>
      </c>
      <c r="V1250" t="s">
        <v>62</v>
      </c>
      <c r="W1250" t="s">
        <v>52</v>
      </c>
      <c r="Y1250" t="s">
        <v>4711</v>
      </c>
      <c r="Z1250" t="s">
        <v>62</v>
      </c>
      <c r="AB1250" t="s">
        <v>4712</v>
      </c>
      <c r="AE1250" t="s">
        <v>4713</v>
      </c>
      <c r="AF1250" t="s">
        <v>52</v>
      </c>
      <c r="AH1250">
        <v>0</v>
      </c>
      <c r="AI1250">
        <v>0</v>
      </c>
      <c r="AJ1250" t="s">
        <v>52</v>
      </c>
      <c r="AK1250">
        <v>0</v>
      </c>
      <c r="AL1250" t="s">
        <v>52</v>
      </c>
      <c r="AM1250" t="s">
        <v>52</v>
      </c>
      <c r="AN1250">
        <v>0</v>
      </c>
      <c r="AO1250">
        <v>0</v>
      </c>
      <c r="AP1250" t="s">
        <v>52</v>
      </c>
      <c r="AQ1250" t="s">
        <v>52</v>
      </c>
      <c r="AR1250" t="s">
        <v>62</v>
      </c>
      <c r="AS1250" t="s">
        <v>52</v>
      </c>
      <c r="AT1250" t="s">
        <v>74</v>
      </c>
      <c r="AU1250" t="s">
        <v>64</v>
      </c>
      <c r="AV1250" t="s">
        <v>62</v>
      </c>
      <c r="AW1250" t="s">
        <v>65</v>
      </c>
      <c r="AX1250" t="s">
        <v>66</v>
      </c>
      <c r="AY1250" t="s">
        <v>165</v>
      </c>
    </row>
    <row r="1251" spans="1:51" hidden="1" x14ac:dyDescent="0.25">
      <c r="A1251">
        <v>203326</v>
      </c>
      <c r="B1251" t="s">
        <v>4714</v>
      </c>
      <c r="C1251" t="e">
        <f>VLOOKUP(A1251,[1]Customer_payment_journal_line!$AL:$BO,30,0)</f>
        <v>#N/A</v>
      </c>
      <c r="D1251" t="s">
        <v>76</v>
      </c>
      <c r="E1251" t="s">
        <v>4715</v>
      </c>
      <c r="F1251" t="s">
        <v>4716</v>
      </c>
      <c r="G1251" t="s">
        <v>4689</v>
      </c>
      <c r="H1251" t="s">
        <v>80</v>
      </c>
      <c r="I1251" t="s">
        <v>81</v>
      </c>
      <c r="J1251" t="s">
        <v>4717</v>
      </c>
      <c r="K1251" t="s">
        <v>4718</v>
      </c>
      <c r="L1251" t="s">
        <v>52</v>
      </c>
      <c r="M1251">
        <v>1995</v>
      </c>
      <c r="N1251">
        <v>0</v>
      </c>
      <c r="O1251" t="s">
        <v>61</v>
      </c>
      <c r="P1251">
        <v>100</v>
      </c>
      <c r="Q1251" t="s">
        <v>52</v>
      </c>
      <c r="R1251" t="s">
        <v>52</v>
      </c>
      <c r="S1251" t="s">
        <v>52</v>
      </c>
      <c r="T1251" t="s">
        <v>52</v>
      </c>
      <c r="U1251" t="s">
        <v>52</v>
      </c>
      <c r="V1251" t="s">
        <v>62</v>
      </c>
      <c r="W1251" t="s">
        <v>52</v>
      </c>
      <c r="Y1251" t="s">
        <v>52</v>
      </c>
      <c r="AB1251" t="s">
        <v>52</v>
      </c>
      <c r="AE1251" t="s">
        <v>52</v>
      </c>
      <c r="AF1251" t="s">
        <v>52</v>
      </c>
      <c r="AH1251">
        <v>0</v>
      </c>
      <c r="AI1251">
        <v>0</v>
      </c>
      <c r="AJ1251" t="s">
        <v>52</v>
      </c>
      <c r="AK1251">
        <v>0</v>
      </c>
      <c r="AL1251" t="s">
        <v>52</v>
      </c>
      <c r="AM1251" t="s">
        <v>52</v>
      </c>
      <c r="AN1251">
        <v>0</v>
      </c>
      <c r="AO1251">
        <v>0</v>
      </c>
      <c r="AP1251" t="s">
        <v>52</v>
      </c>
      <c r="AQ1251" t="s">
        <v>52</v>
      </c>
      <c r="AR1251" t="s">
        <v>62</v>
      </c>
      <c r="AS1251" t="s">
        <v>52</v>
      </c>
      <c r="AT1251" t="s">
        <v>52</v>
      </c>
      <c r="AU1251" t="s">
        <v>64</v>
      </c>
      <c r="AV1251" t="s">
        <v>62</v>
      </c>
      <c r="AW1251" t="s">
        <v>65</v>
      </c>
      <c r="AX1251" t="s">
        <v>66</v>
      </c>
      <c r="AY1251" t="s">
        <v>76</v>
      </c>
    </row>
    <row r="1252" spans="1:51" hidden="1" x14ac:dyDescent="0.25">
      <c r="A1252">
        <v>203326</v>
      </c>
      <c r="B1252" t="s">
        <v>4719</v>
      </c>
      <c r="C1252" t="e">
        <f>VLOOKUP(A1252,[1]Customer_payment_journal_line!$AL:$BO,30,0)</f>
        <v>#N/A</v>
      </c>
      <c r="D1252" t="s">
        <v>76</v>
      </c>
      <c r="E1252" t="s">
        <v>4715</v>
      </c>
      <c r="F1252" t="s">
        <v>4716</v>
      </c>
      <c r="G1252" t="s">
        <v>4689</v>
      </c>
      <c r="H1252" t="s">
        <v>69</v>
      </c>
      <c r="I1252" t="s">
        <v>4720</v>
      </c>
      <c r="J1252" t="s">
        <v>4717</v>
      </c>
      <c r="K1252" t="s">
        <v>4718</v>
      </c>
      <c r="L1252" t="s">
        <v>52</v>
      </c>
      <c r="M1252">
        <v>0</v>
      </c>
      <c r="N1252">
        <v>1140</v>
      </c>
      <c r="O1252" t="s">
        <v>61</v>
      </c>
      <c r="P1252">
        <v>100</v>
      </c>
      <c r="Q1252" t="s">
        <v>52</v>
      </c>
      <c r="R1252" t="s">
        <v>52</v>
      </c>
      <c r="S1252" t="s">
        <v>52</v>
      </c>
      <c r="T1252" t="s">
        <v>52</v>
      </c>
      <c r="U1252" t="s">
        <v>52</v>
      </c>
      <c r="V1252" t="s">
        <v>62</v>
      </c>
      <c r="W1252" t="s">
        <v>52</v>
      </c>
      <c r="Y1252" t="s">
        <v>4721</v>
      </c>
      <c r="Z1252" t="s">
        <v>62</v>
      </c>
      <c r="AB1252" t="s">
        <v>4722</v>
      </c>
      <c r="AE1252" t="s">
        <v>4723</v>
      </c>
      <c r="AF1252" t="s">
        <v>52</v>
      </c>
      <c r="AH1252">
        <v>0</v>
      </c>
      <c r="AI1252">
        <v>0</v>
      </c>
      <c r="AJ1252" t="s">
        <v>52</v>
      </c>
      <c r="AK1252">
        <v>0</v>
      </c>
      <c r="AL1252" t="s">
        <v>52</v>
      </c>
      <c r="AM1252" t="s">
        <v>52</v>
      </c>
      <c r="AN1252">
        <v>0</v>
      </c>
      <c r="AO1252">
        <v>0</v>
      </c>
      <c r="AP1252" t="s">
        <v>52</v>
      </c>
      <c r="AQ1252" t="s">
        <v>52</v>
      </c>
      <c r="AR1252" t="s">
        <v>62</v>
      </c>
      <c r="AS1252" t="s">
        <v>52</v>
      </c>
      <c r="AT1252" t="s">
        <v>74</v>
      </c>
      <c r="AU1252" t="s">
        <v>64</v>
      </c>
      <c r="AV1252" t="s">
        <v>62</v>
      </c>
      <c r="AW1252" t="s">
        <v>65</v>
      </c>
      <c r="AX1252" t="s">
        <v>66</v>
      </c>
      <c r="AY1252" t="s">
        <v>76</v>
      </c>
    </row>
    <row r="1253" spans="1:51" hidden="1" x14ac:dyDescent="0.25">
      <c r="A1253">
        <v>203326</v>
      </c>
      <c r="B1253" t="s">
        <v>4724</v>
      </c>
      <c r="C1253" t="e">
        <f>VLOOKUP(A1253,[1]Customer_payment_journal_line!$AL:$BO,30,0)</f>
        <v>#N/A</v>
      </c>
      <c r="D1253" t="s">
        <v>76</v>
      </c>
      <c r="E1253" t="s">
        <v>4715</v>
      </c>
      <c r="F1253" t="s">
        <v>4716</v>
      </c>
      <c r="G1253" t="s">
        <v>4689</v>
      </c>
      <c r="H1253" t="s">
        <v>69</v>
      </c>
      <c r="I1253" t="s">
        <v>4720</v>
      </c>
      <c r="J1253" t="s">
        <v>4717</v>
      </c>
      <c r="K1253" t="s">
        <v>4718</v>
      </c>
      <c r="L1253" t="s">
        <v>52</v>
      </c>
      <c r="M1253">
        <v>0</v>
      </c>
      <c r="N1253">
        <v>855</v>
      </c>
      <c r="O1253" t="s">
        <v>61</v>
      </c>
      <c r="P1253">
        <v>100</v>
      </c>
      <c r="Q1253" t="s">
        <v>52</v>
      </c>
      <c r="R1253" t="s">
        <v>52</v>
      </c>
      <c r="S1253" t="s">
        <v>52</v>
      </c>
      <c r="T1253" t="s">
        <v>52</v>
      </c>
      <c r="U1253" t="s">
        <v>52</v>
      </c>
      <c r="V1253" t="s">
        <v>62</v>
      </c>
      <c r="W1253" t="s">
        <v>52</v>
      </c>
      <c r="Y1253" t="s">
        <v>4721</v>
      </c>
      <c r="Z1253" t="s">
        <v>62</v>
      </c>
      <c r="AB1253" t="s">
        <v>4725</v>
      </c>
      <c r="AE1253" t="s">
        <v>4726</v>
      </c>
      <c r="AF1253" t="s">
        <v>52</v>
      </c>
      <c r="AH1253">
        <v>0</v>
      </c>
      <c r="AI1253">
        <v>0</v>
      </c>
      <c r="AJ1253" t="s">
        <v>52</v>
      </c>
      <c r="AK1253">
        <v>0</v>
      </c>
      <c r="AL1253" t="s">
        <v>52</v>
      </c>
      <c r="AM1253" t="s">
        <v>52</v>
      </c>
      <c r="AN1253">
        <v>0</v>
      </c>
      <c r="AO1253">
        <v>0</v>
      </c>
      <c r="AP1253" t="s">
        <v>52</v>
      </c>
      <c r="AQ1253" t="s">
        <v>52</v>
      </c>
      <c r="AR1253" t="s">
        <v>62</v>
      </c>
      <c r="AS1253" t="s">
        <v>52</v>
      </c>
      <c r="AT1253" t="s">
        <v>74</v>
      </c>
      <c r="AU1253" t="s">
        <v>64</v>
      </c>
      <c r="AV1253" t="s">
        <v>62</v>
      </c>
      <c r="AW1253" t="s">
        <v>65</v>
      </c>
      <c r="AX1253" t="s">
        <v>66</v>
      </c>
      <c r="AY1253" t="s">
        <v>76</v>
      </c>
    </row>
    <row r="1254" spans="1:51" hidden="1" x14ac:dyDescent="0.25">
      <c r="A1254">
        <v>203327</v>
      </c>
      <c r="B1254" t="s">
        <v>4727</v>
      </c>
      <c r="C1254" t="e">
        <f>VLOOKUP(A1254,[1]Customer_payment_journal_line!$AL:$BO,30,0)</f>
        <v>#N/A</v>
      </c>
      <c r="D1254" t="s">
        <v>159</v>
      </c>
      <c r="E1254" t="s">
        <v>4728</v>
      </c>
      <c r="F1254" t="s">
        <v>4729</v>
      </c>
      <c r="G1254" t="s">
        <v>4689</v>
      </c>
      <c r="H1254" t="s">
        <v>80</v>
      </c>
      <c r="I1254" t="s">
        <v>1933</v>
      </c>
      <c r="J1254" t="s">
        <v>4717</v>
      </c>
      <c r="K1254" t="s">
        <v>4718</v>
      </c>
      <c r="L1254" t="s">
        <v>52</v>
      </c>
      <c r="M1254">
        <v>120</v>
      </c>
      <c r="N1254">
        <v>0</v>
      </c>
      <c r="O1254" t="s">
        <v>126</v>
      </c>
      <c r="P1254">
        <v>5285</v>
      </c>
      <c r="Q1254" t="s">
        <v>52</v>
      </c>
      <c r="R1254" t="s">
        <v>52</v>
      </c>
      <c r="S1254" t="s">
        <v>52</v>
      </c>
      <c r="T1254" t="s">
        <v>52</v>
      </c>
      <c r="U1254" t="s">
        <v>52</v>
      </c>
      <c r="V1254" t="s">
        <v>62</v>
      </c>
      <c r="W1254" t="s">
        <v>52</v>
      </c>
      <c r="Y1254" t="s">
        <v>52</v>
      </c>
      <c r="AB1254" t="s">
        <v>52</v>
      </c>
      <c r="AE1254" t="s">
        <v>52</v>
      </c>
      <c r="AF1254" t="s">
        <v>52</v>
      </c>
      <c r="AH1254">
        <v>0</v>
      </c>
      <c r="AI1254">
        <v>0</v>
      </c>
      <c r="AJ1254" t="s">
        <v>52</v>
      </c>
      <c r="AK1254">
        <v>0</v>
      </c>
      <c r="AL1254" t="s">
        <v>52</v>
      </c>
      <c r="AM1254" t="s">
        <v>52</v>
      </c>
      <c r="AN1254">
        <v>0</v>
      </c>
      <c r="AO1254">
        <v>0</v>
      </c>
      <c r="AP1254" t="s">
        <v>52</v>
      </c>
      <c r="AQ1254" t="s">
        <v>52</v>
      </c>
      <c r="AR1254" t="s">
        <v>62</v>
      </c>
      <c r="AS1254" t="s">
        <v>52</v>
      </c>
      <c r="AT1254" t="s">
        <v>52</v>
      </c>
      <c r="AU1254" t="s">
        <v>64</v>
      </c>
      <c r="AV1254" t="s">
        <v>62</v>
      </c>
      <c r="AW1254" t="s">
        <v>65</v>
      </c>
      <c r="AX1254" t="s">
        <v>66</v>
      </c>
      <c r="AY1254" t="s">
        <v>165</v>
      </c>
    </row>
    <row r="1255" spans="1:51" hidden="1" x14ac:dyDescent="0.25">
      <c r="A1255">
        <v>203327</v>
      </c>
      <c r="B1255" t="s">
        <v>4730</v>
      </c>
      <c r="C1255" t="e">
        <f>VLOOKUP(A1255,[1]Customer_payment_journal_line!$AL:$BO,30,0)</f>
        <v>#N/A</v>
      </c>
      <c r="D1255" t="s">
        <v>159</v>
      </c>
      <c r="E1255" t="s">
        <v>4728</v>
      </c>
      <c r="F1255" t="s">
        <v>4729</v>
      </c>
      <c r="G1255" t="s">
        <v>4689</v>
      </c>
      <c r="H1255" t="s">
        <v>69</v>
      </c>
      <c r="I1255" t="s">
        <v>4720</v>
      </c>
      <c r="J1255" t="s">
        <v>4717</v>
      </c>
      <c r="K1255" t="s">
        <v>4718</v>
      </c>
      <c r="L1255" t="s">
        <v>52</v>
      </c>
      <c r="M1255">
        <v>0</v>
      </c>
      <c r="N1255">
        <v>120</v>
      </c>
      <c r="O1255" t="s">
        <v>126</v>
      </c>
      <c r="P1255">
        <v>5285</v>
      </c>
      <c r="Q1255" t="s">
        <v>52</v>
      </c>
      <c r="R1255" t="s">
        <v>52</v>
      </c>
      <c r="S1255" t="s">
        <v>52</v>
      </c>
      <c r="T1255" t="s">
        <v>52</v>
      </c>
      <c r="U1255" t="s">
        <v>52</v>
      </c>
      <c r="V1255" t="s">
        <v>62</v>
      </c>
      <c r="W1255" t="s">
        <v>52</v>
      </c>
      <c r="Y1255" t="s">
        <v>4721</v>
      </c>
      <c r="Z1255" t="s">
        <v>62</v>
      </c>
      <c r="AB1255" t="s">
        <v>4731</v>
      </c>
      <c r="AE1255" t="s">
        <v>4732</v>
      </c>
      <c r="AF1255" t="s">
        <v>52</v>
      </c>
      <c r="AH1255">
        <v>0</v>
      </c>
      <c r="AI1255">
        <v>0</v>
      </c>
      <c r="AJ1255" t="s">
        <v>52</v>
      </c>
      <c r="AK1255">
        <v>0</v>
      </c>
      <c r="AL1255" t="s">
        <v>52</v>
      </c>
      <c r="AM1255" t="s">
        <v>52</v>
      </c>
      <c r="AN1255">
        <v>0</v>
      </c>
      <c r="AO1255">
        <v>0</v>
      </c>
      <c r="AP1255" t="s">
        <v>52</v>
      </c>
      <c r="AQ1255" t="s">
        <v>52</v>
      </c>
      <c r="AR1255" t="s">
        <v>62</v>
      </c>
      <c r="AS1255" t="s">
        <v>52</v>
      </c>
      <c r="AT1255" t="s">
        <v>74</v>
      </c>
      <c r="AU1255" t="s">
        <v>64</v>
      </c>
      <c r="AV1255" t="s">
        <v>62</v>
      </c>
      <c r="AW1255" t="s">
        <v>65</v>
      </c>
      <c r="AX1255" t="s">
        <v>66</v>
      </c>
      <c r="AY1255" t="s">
        <v>165</v>
      </c>
    </row>
    <row r="1256" spans="1:51" hidden="1" x14ac:dyDescent="0.25">
      <c r="A1256">
        <v>203332</v>
      </c>
      <c r="B1256" t="s">
        <v>4733</v>
      </c>
      <c r="C1256" t="e">
        <f>VLOOKUP(A1256,[1]Customer_payment_journal_line!$AL:$BO,30,0)</f>
        <v>#N/A</v>
      </c>
      <c r="D1256" t="s">
        <v>159</v>
      </c>
      <c r="E1256" t="s">
        <v>4734</v>
      </c>
      <c r="F1256" t="s">
        <v>4735</v>
      </c>
      <c r="G1256" t="s">
        <v>4689</v>
      </c>
      <c r="H1256" t="s">
        <v>80</v>
      </c>
      <c r="I1256" t="s">
        <v>177</v>
      </c>
      <c r="J1256" t="s">
        <v>4736</v>
      </c>
      <c r="K1256" t="s">
        <v>4737</v>
      </c>
      <c r="L1256" t="s">
        <v>52</v>
      </c>
      <c r="M1256">
        <v>2300</v>
      </c>
      <c r="N1256">
        <v>0</v>
      </c>
      <c r="O1256" t="s">
        <v>178</v>
      </c>
      <c r="P1256">
        <v>5085</v>
      </c>
      <c r="Q1256" t="s">
        <v>52</v>
      </c>
      <c r="R1256" t="s">
        <v>52</v>
      </c>
      <c r="S1256" t="s">
        <v>52</v>
      </c>
      <c r="T1256" t="s">
        <v>52</v>
      </c>
      <c r="U1256" t="s">
        <v>52</v>
      </c>
      <c r="V1256" t="s">
        <v>62</v>
      </c>
      <c r="W1256" t="s">
        <v>52</v>
      </c>
      <c r="Y1256" t="s">
        <v>52</v>
      </c>
      <c r="AB1256" t="s">
        <v>52</v>
      </c>
      <c r="AE1256" t="s">
        <v>52</v>
      </c>
      <c r="AF1256" t="s">
        <v>52</v>
      </c>
      <c r="AH1256">
        <v>0</v>
      </c>
      <c r="AI1256">
        <v>0</v>
      </c>
      <c r="AJ1256" t="s">
        <v>52</v>
      </c>
      <c r="AK1256">
        <v>0</v>
      </c>
      <c r="AL1256" t="s">
        <v>52</v>
      </c>
      <c r="AM1256" t="s">
        <v>52</v>
      </c>
      <c r="AN1256">
        <v>0</v>
      </c>
      <c r="AO1256">
        <v>0</v>
      </c>
      <c r="AP1256" t="s">
        <v>52</v>
      </c>
      <c r="AQ1256" t="s">
        <v>52</v>
      </c>
      <c r="AR1256" t="s">
        <v>62</v>
      </c>
      <c r="AS1256" t="s">
        <v>52</v>
      </c>
      <c r="AT1256" t="s">
        <v>52</v>
      </c>
      <c r="AU1256" t="s">
        <v>64</v>
      </c>
      <c r="AV1256" t="s">
        <v>62</v>
      </c>
      <c r="AW1256" t="s">
        <v>65</v>
      </c>
      <c r="AX1256" t="s">
        <v>66</v>
      </c>
      <c r="AY1256" t="s">
        <v>165</v>
      </c>
    </row>
    <row r="1257" spans="1:51" hidden="1" x14ac:dyDescent="0.25">
      <c r="A1257">
        <v>203332</v>
      </c>
      <c r="B1257" t="s">
        <v>4738</v>
      </c>
      <c r="C1257" t="e">
        <f>VLOOKUP(A1257,[1]Customer_payment_journal_line!$AL:$BO,30,0)</f>
        <v>#N/A</v>
      </c>
      <c r="D1257" t="s">
        <v>159</v>
      </c>
      <c r="E1257" t="s">
        <v>4734</v>
      </c>
      <c r="F1257" t="s">
        <v>4735</v>
      </c>
      <c r="G1257" t="s">
        <v>4689</v>
      </c>
      <c r="H1257" t="s">
        <v>69</v>
      </c>
      <c r="I1257" t="s">
        <v>167</v>
      </c>
      <c r="J1257" t="s">
        <v>4736</v>
      </c>
      <c r="K1257" t="s">
        <v>4737</v>
      </c>
      <c r="L1257" t="s">
        <v>52</v>
      </c>
      <c r="M1257">
        <v>0</v>
      </c>
      <c r="N1257">
        <v>2300</v>
      </c>
      <c r="O1257" t="s">
        <v>178</v>
      </c>
      <c r="P1257">
        <v>5085</v>
      </c>
      <c r="Q1257" t="s">
        <v>52</v>
      </c>
      <c r="R1257" t="s">
        <v>52</v>
      </c>
      <c r="S1257" t="s">
        <v>52</v>
      </c>
      <c r="T1257" t="s">
        <v>52</v>
      </c>
      <c r="U1257" t="s">
        <v>52</v>
      </c>
      <c r="V1257" t="s">
        <v>62</v>
      </c>
      <c r="W1257" t="s">
        <v>52</v>
      </c>
      <c r="Y1257" t="s">
        <v>168</v>
      </c>
      <c r="Z1257" t="s">
        <v>62</v>
      </c>
      <c r="AB1257" t="s">
        <v>4739</v>
      </c>
      <c r="AE1257" t="s">
        <v>4740</v>
      </c>
      <c r="AF1257" t="s">
        <v>52</v>
      </c>
      <c r="AH1257">
        <v>0</v>
      </c>
      <c r="AI1257">
        <v>0</v>
      </c>
      <c r="AJ1257" t="s">
        <v>52</v>
      </c>
      <c r="AK1257">
        <v>0</v>
      </c>
      <c r="AL1257" t="s">
        <v>52</v>
      </c>
      <c r="AM1257" t="s">
        <v>52</v>
      </c>
      <c r="AN1257">
        <v>0</v>
      </c>
      <c r="AO1257">
        <v>0</v>
      </c>
      <c r="AP1257" t="s">
        <v>52</v>
      </c>
      <c r="AQ1257" t="s">
        <v>52</v>
      </c>
      <c r="AR1257" t="s">
        <v>62</v>
      </c>
      <c r="AS1257" t="s">
        <v>52</v>
      </c>
      <c r="AT1257" t="s">
        <v>74</v>
      </c>
      <c r="AU1257" t="s">
        <v>64</v>
      </c>
      <c r="AV1257" t="s">
        <v>62</v>
      </c>
      <c r="AW1257" t="s">
        <v>65</v>
      </c>
      <c r="AX1257" t="s">
        <v>66</v>
      </c>
      <c r="AY1257" t="s">
        <v>165</v>
      </c>
    </row>
    <row r="1258" spans="1:51" hidden="1" x14ac:dyDescent="0.25">
      <c r="A1258">
        <v>203333</v>
      </c>
      <c r="B1258" t="s">
        <v>4741</v>
      </c>
      <c r="C1258" t="e">
        <f>VLOOKUP(A1258,[1]Customer_payment_journal_line!$AL:$BO,30,0)</f>
        <v>#N/A</v>
      </c>
      <c r="D1258" t="s">
        <v>159</v>
      </c>
      <c r="E1258" t="s">
        <v>4742</v>
      </c>
      <c r="F1258" t="s">
        <v>4743</v>
      </c>
      <c r="G1258" t="s">
        <v>4689</v>
      </c>
      <c r="H1258" t="s">
        <v>80</v>
      </c>
      <c r="I1258" t="s">
        <v>162</v>
      </c>
      <c r="J1258" t="s">
        <v>4736</v>
      </c>
      <c r="K1258" t="s">
        <v>4737</v>
      </c>
      <c r="L1258" t="s">
        <v>52</v>
      </c>
      <c r="M1258">
        <v>1653</v>
      </c>
      <c r="N1258">
        <v>0</v>
      </c>
      <c r="O1258" t="s">
        <v>61</v>
      </c>
      <c r="P1258">
        <v>100</v>
      </c>
      <c r="Q1258" t="s">
        <v>52</v>
      </c>
      <c r="R1258" t="s">
        <v>52</v>
      </c>
      <c r="S1258" t="s">
        <v>52</v>
      </c>
      <c r="T1258" t="s">
        <v>52</v>
      </c>
      <c r="U1258" t="s">
        <v>52</v>
      </c>
      <c r="V1258" t="s">
        <v>62</v>
      </c>
      <c r="W1258" t="s">
        <v>52</v>
      </c>
      <c r="Y1258" t="s">
        <v>52</v>
      </c>
      <c r="AB1258" t="s">
        <v>52</v>
      </c>
      <c r="AE1258" t="s">
        <v>52</v>
      </c>
      <c r="AF1258" t="s">
        <v>52</v>
      </c>
      <c r="AH1258">
        <v>0</v>
      </c>
      <c r="AI1258">
        <v>0</v>
      </c>
      <c r="AJ1258" t="s">
        <v>52</v>
      </c>
      <c r="AK1258">
        <v>0</v>
      </c>
      <c r="AL1258" t="s">
        <v>52</v>
      </c>
      <c r="AM1258" t="s">
        <v>52</v>
      </c>
      <c r="AN1258">
        <v>0</v>
      </c>
      <c r="AO1258">
        <v>0</v>
      </c>
      <c r="AP1258" t="s">
        <v>52</v>
      </c>
      <c r="AQ1258" t="s">
        <v>52</v>
      </c>
      <c r="AR1258" t="s">
        <v>62</v>
      </c>
      <c r="AS1258" t="s">
        <v>52</v>
      </c>
      <c r="AT1258" t="s">
        <v>52</v>
      </c>
      <c r="AU1258" t="s">
        <v>64</v>
      </c>
      <c r="AV1258" t="s">
        <v>62</v>
      </c>
      <c r="AW1258" t="s">
        <v>65</v>
      </c>
      <c r="AX1258" t="s">
        <v>66</v>
      </c>
      <c r="AY1258" t="s">
        <v>165</v>
      </c>
    </row>
    <row r="1259" spans="1:51" hidden="1" x14ac:dyDescent="0.25">
      <c r="A1259">
        <v>203333</v>
      </c>
      <c r="B1259" t="s">
        <v>4744</v>
      </c>
      <c r="C1259" t="e">
        <f>VLOOKUP(A1259,[1]Customer_payment_journal_line!$AL:$BO,30,0)</f>
        <v>#N/A</v>
      </c>
      <c r="D1259" t="s">
        <v>159</v>
      </c>
      <c r="E1259" t="s">
        <v>4742</v>
      </c>
      <c r="F1259" t="s">
        <v>4743</v>
      </c>
      <c r="G1259" t="s">
        <v>4689</v>
      </c>
      <c r="H1259" t="s">
        <v>69</v>
      </c>
      <c r="I1259" t="s">
        <v>167</v>
      </c>
      <c r="J1259" t="s">
        <v>4736</v>
      </c>
      <c r="K1259" t="s">
        <v>4737</v>
      </c>
      <c r="L1259" t="s">
        <v>52</v>
      </c>
      <c r="M1259">
        <v>0</v>
      </c>
      <c r="N1259">
        <v>1653</v>
      </c>
      <c r="O1259" t="s">
        <v>61</v>
      </c>
      <c r="P1259">
        <v>100</v>
      </c>
      <c r="Q1259" t="s">
        <v>52</v>
      </c>
      <c r="R1259" t="s">
        <v>52</v>
      </c>
      <c r="S1259" t="s">
        <v>52</v>
      </c>
      <c r="T1259" t="s">
        <v>52</v>
      </c>
      <c r="U1259" t="s">
        <v>52</v>
      </c>
      <c r="V1259" t="s">
        <v>62</v>
      </c>
      <c r="W1259" t="s">
        <v>52</v>
      </c>
      <c r="Y1259" t="s">
        <v>168</v>
      </c>
      <c r="Z1259" t="s">
        <v>62</v>
      </c>
      <c r="AB1259" t="s">
        <v>4745</v>
      </c>
      <c r="AE1259" t="s">
        <v>4746</v>
      </c>
      <c r="AF1259" t="s">
        <v>52</v>
      </c>
      <c r="AH1259">
        <v>0</v>
      </c>
      <c r="AI1259">
        <v>0</v>
      </c>
      <c r="AJ1259" t="s">
        <v>52</v>
      </c>
      <c r="AK1259">
        <v>0</v>
      </c>
      <c r="AL1259" t="s">
        <v>52</v>
      </c>
      <c r="AM1259" t="s">
        <v>52</v>
      </c>
      <c r="AN1259">
        <v>0</v>
      </c>
      <c r="AO1259">
        <v>0</v>
      </c>
      <c r="AP1259" t="s">
        <v>52</v>
      </c>
      <c r="AQ1259" t="s">
        <v>52</v>
      </c>
      <c r="AR1259" t="s">
        <v>62</v>
      </c>
      <c r="AS1259" t="s">
        <v>52</v>
      </c>
      <c r="AT1259" t="s">
        <v>74</v>
      </c>
      <c r="AU1259" t="s">
        <v>64</v>
      </c>
      <c r="AV1259" t="s">
        <v>62</v>
      </c>
      <c r="AW1259" t="s">
        <v>65</v>
      </c>
      <c r="AX1259" t="s">
        <v>66</v>
      </c>
      <c r="AY1259" t="s">
        <v>165</v>
      </c>
    </row>
    <row r="1260" spans="1:51" hidden="1" x14ac:dyDescent="0.25">
      <c r="A1260">
        <v>203334</v>
      </c>
      <c r="B1260" t="s">
        <v>4747</v>
      </c>
      <c r="C1260" t="e">
        <f>VLOOKUP(A1260,[1]Customer_payment_journal_line!$AL:$BO,30,0)</f>
        <v>#N/A</v>
      </c>
      <c r="D1260" t="s">
        <v>159</v>
      </c>
      <c r="E1260" t="s">
        <v>4748</v>
      </c>
      <c r="F1260" t="s">
        <v>4749</v>
      </c>
      <c r="G1260" t="s">
        <v>4689</v>
      </c>
      <c r="H1260" t="s">
        <v>80</v>
      </c>
      <c r="I1260" t="s">
        <v>162</v>
      </c>
      <c r="J1260" t="s">
        <v>4736</v>
      </c>
      <c r="K1260" t="s">
        <v>4737</v>
      </c>
      <c r="L1260" t="s">
        <v>52</v>
      </c>
      <c r="M1260">
        <v>719.34</v>
      </c>
      <c r="N1260">
        <v>0</v>
      </c>
      <c r="O1260" t="s">
        <v>61</v>
      </c>
      <c r="P1260">
        <v>100</v>
      </c>
      <c r="Q1260" t="s">
        <v>52</v>
      </c>
      <c r="R1260" t="s">
        <v>52</v>
      </c>
      <c r="S1260" t="s">
        <v>52</v>
      </c>
      <c r="T1260" t="s">
        <v>52</v>
      </c>
      <c r="U1260" t="s">
        <v>52</v>
      </c>
      <c r="V1260" t="s">
        <v>62</v>
      </c>
      <c r="W1260" t="s">
        <v>52</v>
      </c>
      <c r="Y1260" t="s">
        <v>52</v>
      </c>
      <c r="AB1260" t="s">
        <v>52</v>
      </c>
      <c r="AE1260" t="s">
        <v>52</v>
      </c>
      <c r="AF1260" t="s">
        <v>52</v>
      </c>
      <c r="AH1260">
        <v>0</v>
      </c>
      <c r="AI1260">
        <v>0</v>
      </c>
      <c r="AJ1260" t="s">
        <v>52</v>
      </c>
      <c r="AK1260">
        <v>0</v>
      </c>
      <c r="AL1260" t="s">
        <v>52</v>
      </c>
      <c r="AM1260" t="s">
        <v>52</v>
      </c>
      <c r="AN1260">
        <v>0</v>
      </c>
      <c r="AO1260">
        <v>0</v>
      </c>
      <c r="AP1260" t="s">
        <v>52</v>
      </c>
      <c r="AQ1260" t="s">
        <v>52</v>
      </c>
      <c r="AR1260" t="s">
        <v>62</v>
      </c>
      <c r="AS1260" t="s">
        <v>52</v>
      </c>
      <c r="AT1260" t="s">
        <v>52</v>
      </c>
      <c r="AU1260" t="s">
        <v>64</v>
      </c>
      <c r="AV1260" t="s">
        <v>62</v>
      </c>
      <c r="AW1260" t="s">
        <v>65</v>
      </c>
      <c r="AX1260" t="s">
        <v>66</v>
      </c>
      <c r="AY1260" t="s">
        <v>165</v>
      </c>
    </row>
    <row r="1261" spans="1:51" hidden="1" x14ac:dyDescent="0.25">
      <c r="A1261">
        <v>203334</v>
      </c>
      <c r="B1261" t="s">
        <v>4750</v>
      </c>
      <c r="C1261" t="e">
        <f>VLOOKUP(A1261,[1]Customer_payment_journal_line!$AL:$BO,30,0)</f>
        <v>#N/A</v>
      </c>
      <c r="D1261" t="s">
        <v>159</v>
      </c>
      <c r="E1261" t="s">
        <v>4748</v>
      </c>
      <c r="F1261" t="s">
        <v>4749</v>
      </c>
      <c r="G1261" t="s">
        <v>4689</v>
      </c>
      <c r="H1261" t="s">
        <v>69</v>
      </c>
      <c r="I1261" t="s">
        <v>167</v>
      </c>
      <c r="J1261" t="s">
        <v>4736</v>
      </c>
      <c r="K1261" t="s">
        <v>4737</v>
      </c>
      <c r="L1261" t="s">
        <v>52</v>
      </c>
      <c r="M1261">
        <v>0</v>
      </c>
      <c r="N1261">
        <v>719.34</v>
      </c>
      <c r="O1261" t="s">
        <v>61</v>
      </c>
      <c r="P1261">
        <v>100</v>
      </c>
      <c r="Q1261" t="s">
        <v>52</v>
      </c>
      <c r="R1261" t="s">
        <v>52</v>
      </c>
      <c r="S1261" t="s">
        <v>52</v>
      </c>
      <c r="T1261" t="s">
        <v>52</v>
      </c>
      <c r="U1261" t="s">
        <v>52</v>
      </c>
      <c r="V1261" t="s">
        <v>62</v>
      </c>
      <c r="W1261" t="s">
        <v>52</v>
      </c>
      <c r="Y1261" t="s">
        <v>168</v>
      </c>
      <c r="Z1261" t="s">
        <v>62</v>
      </c>
      <c r="AB1261" t="s">
        <v>4751</v>
      </c>
      <c r="AE1261" t="s">
        <v>4752</v>
      </c>
      <c r="AF1261" t="s">
        <v>52</v>
      </c>
      <c r="AH1261">
        <v>0</v>
      </c>
      <c r="AI1261">
        <v>0</v>
      </c>
      <c r="AJ1261" t="s">
        <v>52</v>
      </c>
      <c r="AK1261">
        <v>0</v>
      </c>
      <c r="AL1261" t="s">
        <v>52</v>
      </c>
      <c r="AM1261" t="s">
        <v>52</v>
      </c>
      <c r="AN1261">
        <v>0</v>
      </c>
      <c r="AO1261">
        <v>0</v>
      </c>
      <c r="AP1261" t="s">
        <v>52</v>
      </c>
      <c r="AQ1261" t="s">
        <v>52</v>
      </c>
      <c r="AR1261" t="s">
        <v>62</v>
      </c>
      <c r="AS1261" t="s">
        <v>52</v>
      </c>
      <c r="AT1261" t="s">
        <v>74</v>
      </c>
      <c r="AU1261" t="s">
        <v>64</v>
      </c>
      <c r="AV1261" t="s">
        <v>62</v>
      </c>
      <c r="AW1261" t="s">
        <v>65</v>
      </c>
      <c r="AX1261" t="s">
        <v>66</v>
      </c>
      <c r="AY1261" t="s">
        <v>165</v>
      </c>
    </row>
    <row r="1262" spans="1:51" hidden="1" x14ac:dyDescent="0.25">
      <c r="A1262">
        <v>203335</v>
      </c>
      <c r="B1262" t="s">
        <v>4753</v>
      </c>
      <c r="C1262" t="e">
        <f>VLOOKUP(A1262,[1]Customer_payment_journal_line!$AL:$BO,30,0)</f>
        <v>#N/A</v>
      </c>
      <c r="D1262" t="s">
        <v>159</v>
      </c>
      <c r="E1262" t="s">
        <v>4754</v>
      </c>
      <c r="F1262" t="s">
        <v>4755</v>
      </c>
      <c r="G1262" t="s">
        <v>4689</v>
      </c>
      <c r="H1262" t="s">
        <v>80</v>
      </c>
      <c r="I1262" t="s">
        <v>162</v>
      </c>
      <c r="J1262" t="s">
        <v>3958</v>
      </c>
      <c r="K1262" t="s">
        <v>4756</v>
      </c>
      <c r="L1262" t="s">
        <v>52</v>
      </c>
      <c r="M1262">
        <v>24795</v>
      </c>
      <c r="N1262">
        <v>0</v>
      </c>
      <c r="O1262" t="s">
        <v>61</v>
      </c>
      <c r="P1262">
        <v>100</v>
      </c>
      <c r="Q1262" t="s">
        <v>52</v>
      </c>
      <c r="R1262" t="s">
        <v>52</v>
      </c>
      <c r="S1262" t="s">
        <v>52</v>
      </c>
      <c r="T1262" t="s">
        <v>52</v>
      </c>
      <c r="U1262" t="s">
        <v>52</v>
      </c>
      <c r="V1262" t="s">
        <v>62</v>
      </c>
      <c r="W1262" t="s">
        <v>52</v>
      </c>
      <c r="Y1262" t="s">
        <v>52</v>
      </c>
      <c r="AB1262" t="s">
        <v>52</v>
      </c>
      <c r="AE1262" t="s">
        <v>52</v>
      </c>
      <c r="AF1262" t="s">
        <v>52</v>
      </c>
      <c r="AH1262">
        <v>0</v>
      </c>
      <c r="AI1262">
        <v>0</v>
      </c>
      <c r="AJ1262" t="s">
        <v>52</v>
      </c>
      <c r="AK1262">
        <v>0</v>
      </c>
      <c r="AL1262" t="s">
        <v>52</v>
      </c>
      <c r="AM1262" t="s">
        <v>52</v>
      </c>
      <c r="AN1262">
        <v>0</v>
      </c>
      <c r="AO1262">
        <v>0</v>
      </c>
      <c r="AP1262" t="s">
        <v>52</v>
      </c>
      <c r="AQ1262" t="s">
        <v>52</v>
      </c>
      <c r="AR1262" t="s">
        <v>62</v>
      </c>
      <c r="AS1262" t="s">
        <v>52</v>
      </c>
      <c r="AT1262" t="s">
        <v>52</v>
      </c>
      <c r="AU1262" t="s">
        <v>64</v>
      </c>
      <c r="AV1262" t="s">
        <v>62</v>
      </c>
      <c r="AW1262" t="s">
        <v>65</v>
      </c>
      <c r="AX1262" t="s">
        <v>66</v>
      </c>
      <c r="AY1262" t="s">
        <v>165</v>
      </c>
    </row>
    <row r="1263" spans="1:51" hidden="1" x14ac:dyDescent="0.25">
      <c r="A1263">
        <v>203335</v>
      </c>
      <c r="B1263" t="s">
        <v>4757</v>
      </c>
      <c r="C1263" t="e">
        <f>VLOOKUP(A1263,[1]Customer_payment_journal_line!$AL:$BO,30,0)</f>
        <v>#N/A</v>
      </c>
      <c r="D1263" t="s">
        <v>159</v>
      </c>
      <c r="E1263" t="s">
        <v>4754</v>
      </c>
      <c r="F1263" t="s">
        <v>4755</v>
      </c>
      <c r="G1263" t="s">
        <v>4689</v>
      </c>
      <c r="H1263" t="s">
        <v>69</v>
      </c>
      <c r="I1263" t="s">
        <v>529</v>
      </c>
      <c r="J1263" t="s">
        <v>3958</v>
      </c>
      <c r="K1263" t="s">
        <v>4756</v>
      </c>
      <c r="L1263" t="s">
        <v>52</v>
      </c>
      <c r="M1263">
        <v>0</v>
      </c>
      <c r="N1263">
        <v>855</v>
      </c>
      <c r="O1263" t="s">
        <v>61</v>
      </c>
      <c r="P1263">
        <v>100</v>
      </c>
      <c r="Q1263" t="s">
        <v>52</v>
      </c>
      <c r="R1263" t="s">
        <v>52</v>
      </c>
      <c r="S1263" t="s">
        <v>52</v>
      </c>
      <c r="T1263" t="s">
        <v>52</v>
      </c>
      <c r="U1263" t="s">
        <v>52</v>
      </c>
      <c r="V1263" t="s">
        <v>62</v>
      </c>
      <c r="W1263" t="s">
        <v>52</v>
      </c>
      <c r="Y1263" t="s">
        <v>530</v>
      </c>
      <c r="Z1263" t="s">
        <v>62</v>
      </c>
      <c r="AB1263" t="s">
        <v>4758</v>
      </c>
      <c r="AE1263" t="s">
        <v>4759</v>
      </c>
      <c r="AF1263" t="s">
        <v>52</v>
      </c>
      <c r="AH1263">
        <v>0</v>
      </c>
      <c r="AI1263">
        <v>0</v>
      </c>
      <c r="AJ1263" t="s">
        <v>52</v>
      </c>
      <c r="AK1263">
        <v>0</v>
      </c>
      <c r="AL1263" t="s">
        <v>52</v>
      </c>
      <c r="AM1263" t="s">
        <v>52</v>
      </c>
      <c r="AN1263">
        <v>0</v>
      </c>
      <c r="AO1263">
        <v>0</v>
      </c>
      <c r="AP1263" t="s">
        <v>52</v>
      </c>
      <c r="AQ1263" t="s">
        <v>52</v>
      </c>
      <c r="AR1263" t="s">
        <v>62</v>
      </c>
      <c r="AS1263" t="s">
        <v>52</v>
      </c>
      <c r="AT1263" t="s">
        <v>74</v>
      </c>
      <c r="AU1263" t="s">
        <v>64</v>
      </c>
      <c r="AV1263" t="s">
        <v>62</v>
      </c>
      <c r="AW1263" t="s">
        <v>65</v>
      </c>
      <c r="AX1263" t="s">
        <v>66</v>
      </c>
      <c r="AY1263" t="s">
        <v>165</v>
      </c>
    </row>
    <row r="1264" spans="1:51" hidden="1" x14ac:dyDescent="0.25">
      <c r="A1264">
        <v>203335</v>
      </c>
      <c r="B1264" t="s">
        <v>4760</v>
      </c>
      <c r="C1264" t="e">
        <f>VLOOKUP(A1264,[1]Customer_payment_journal_line!$AL:$BO,30,0)</f>
        <v>#N/A</v>
      </c>
      <c r="D1264" t="s">
        <v>159</v>
      </c>
      <c r="E1264" t="s">
        <v>4754</v>
      </c>
      <c r="F1264" t="s">
        <v>4755</v>
      </c>
      <c r="G1264" t="s">
        <v>4689</v>
      </c>
      <c r="H1264" t="s">
        <v>69</v>
      </c>
      <c r="I1264" t="s">
        <v>529</v>
      </c>
      <c r="J1264" t="s">
        <v>3958</v>
      </c>
      <c r="K1264" t="s">
        <v>4756</v>
      </c>
      <c r="L1264" t="s">
        <v>52</v>
      </c>
      <c r="M1264">
        <v>0</v>
      </c>
      <c r="N1264">
        <v>23940</v>
      </c>
      <c r="O1264" t="s">
        <v>61</v>
      </c>
      <c r="P1264">
        <v>100</v>
      </c>
      <c r="Q1264" t="s">
        <v>52</v>
      </c>
      <c r="R1264" t="s">
        <v>52</v>
      </c>
      <c r="S1264" t="s">
        <v>52</v>
      </c>
      <c r="T1264" t="s">
        <v>52</v>
      </c>
      <c r="U1264" t="s">
        <v>52</v>
      </c>
      <c r="V1264" t="s">
        <v>62</v>
      </c>
      <c r="W1264" t="s">
        <v>52</v>
      </c>
      <c r="Y1264" t="s">
        <v>530</v>
      </c>
      <c r="Z1264" t="s">
        <v>62</v>
      </c>
      <c r="AB1264" t="s">
        <v>4761</v>
      </c>
      <c r="AE1264" t="s">
        <v>4762</v>
      </c>
      <c r="AF1264" t="s">
        <v>52</v>
      </c>
      <c r="AH1264">
        <v>0</v>
      </c>
      <c r="AI1264">
        <v>0</v>
      </c>
      <c r="AJ1264" t="s">
        <v>52</v>
      </c>
      <c r="AK1264">
        <v>0</v>
      </c>
      <c r="AL1264" t="s">
        <v>52</v>
      </c>
      <c r="AM1264" t="s">
        <v>52</v>
      </c>
      <c r="AN1264">
        <v>0</v>
      </c>
      <c r="AO1264">
        <v>0</v>
      </c>
      <c r="AP1264" t="s">
        <v>52</v>
      </c>
      <c r="AQ1264" t="s">
        <v>52</v>
      </c>
      <c r="AR1264" t="s">
        <v>62</v>
      </c>
      <c r="AS1264" t="s">
        <v>52</v>
      </c>
      <c r="AT1264" t="s">
        <v>74</v>
      </c>
      <c r="AU1264" t="s">
        <v>64</v>
      </c>
      <c r="AV1264" t="s">
        <v>62</v>
      </c>
      <c r="AW1264" t="s">
        <v>65</v>
      </c>
      <c r="AX1264" t="s">
        <v>66</v>
      </c>
      <c r="AY1264" t="s">
        <v>165</v>
      </c>
    </row>
    <row r="1265" spans="1:51" hidden="1" x14ac:dyDescent="0.25">
      <c r="A1265">
        <v>203352</v>
      </c>
      <c r="B1265" t="s">
        <v>4763</v>
      </c>
      <c r="C1265" t="e">
        <f>VLOOKUP(A1265,[1]Customer_payment_journal_line!$AL:$BO,30,0)</f>
        <v>#N/A</v>
      </c>
      <c r="D1265" t="s">
        <v>159</v>
      </c>
      <c r="E1265" t="s">
        <v>4764</v>
      </c>
      <c r="F1265" t="s">
        <v>4765</v>
      </c>
      <c r="G1265" t="s">
        <v>4689</v>
      </c>
      <c r="H1265" t="s">
        <v>80</v>
      </c>
      <c r="I1265" t="s">
        <v>4766</v>
      </c>
      <c r="J1265" t="s">
        <v>4767</v>
      </c>
      <c r="K1265" t="s">
        <v>4768</v>
      </c>
      <c r="L1265" t="s">
        <v>52</v>
      </c>
      <c r="M1265">
        <v>36480</v>
      </c>
      <c r="N1265">
        <v>0</v>
      </c>
      <c r="O1265" t="s">
        <v>178</v>
      </c>
      <c r="P1265">
        <v>5085</v>
      </c>
      <c r="Q1265" t="s">
        <v>52</v>
      </c>
      <c r="R1265" t="s">
        <v>52</v>
      </c>
      <c r="S1265" t="s">
        <v>52</v>
      </c>
      <c r="T1265" t="s">
        <v>52</v>
      </c>
      <c r="U1265" t="s">
        <v>52</v>
      </c>
      <c r="V1265" t="s">
        <v>62</v>
      </c>
      <c r="W1265" t="s">
        <v>52</v>
      </c>
      <c r="Y1265" t="s">
        <v>52</v>
      </c>
      <c r="AB1265" t="s">
        <v>52</v>
      </c>
      <c r="AE1265" t="s">
        <v>52</v>
      </c>
      <c r="AF1265" t="s">
        <v>52</v>
      </c>
      <c r="AH1265">
        <v>0</v>
      </c>
      <c r="AI1265">
        <v>0</v>
      </c>
      <c r="AJ1265" t="s">
        <v>52</v>
      </c>
      <c r="AK1265">
        <v>0</v>
      </c>
      <c r="AL1265" t="s">
        <v>52</v>
      </c>
      <c r="AM1265" t="s">
        <v>52</v>
      </c>
      <c r="AN1265">
        <v>0</v>
      </c>
      <c r="AO1265">
        <v>0</v>
      </c>
      <c r="AP1265" t="s">
        <v>52</v>
      </c>
      <c r="AQ1265" t="s">
        <v>52</v>
      </c>
      <c r="AR1265" t="s">
        <v>62</v>
      </c>
      <c r="AS1265" t="s">
        <v>52</v>
      </c>
      <c r="AT1265" t="s">
        <v>52</v>
      </c>
      <c r="AU1265" t="s">
        <v>64</v>
      </c>
      <c r="AV1265" t="s">
        <v>62</v>
      </c>
      <c r="AW1265" t="s">
        <v>65</v>
      </c>
      <c r="AX1265" t="s">
        <v>66</v>
      </c>
      <c r="AY1265" t="s">
        <v>165</v>
      </c>
    </row>
    <row r="1266" spans="1:51" hidden="1" x14ac:dyDescent="0.25">
      <c r="A1266">
        <v>203352</v>
      </c>
      <c r="B1266" t="s">
        <v>4769</v>
      </c>
      <c r="C1266" t="e">
        <f>VLOOKUP(A1266,[1]Customer_payment_journal_line!$AL:$BO,30,0)</f>
        <v>#N/A</v>
      </c>
      <c r="D1266" t="s">
        <v>159</v>
      </c>
      <c r="E1266" t="s">
        <v>4764</v>
      </c>
      <c r="F1266" t="s">
        <v>4765</v>
      </c>
      <c r="G1266" t="s">
        <v>4689</v>
      </c>
      <c r="H1266" t="s">
        <v>69</v>
      </c>
      <c r="I1266" t="s">
        <v>4770</v>
      </c>
      <c r="J1266" t="s">
        <v>4767</v>
      </c>
      <c r="K1266" t="s">
        <v>4768</v>
      </c>
      <c r="L1266" t="s">
        <v>52</v>
      </c>
      <c r="M1266">
        <v>0</v>
      </c>
      <c r="N1266">
        <v>36480</v>
      </c>
      <c r="O1266" t="s">
        <v>178</v>
      </c>
      <c r="P1266">
        <v>5085</v>
      </c>
      <c r="Q1266" t="s">
        <v>52</v>
      </c>
      <c r="R1266" t="s">
        <v>52</v>
      </c>
      <c r="S1266" t="s">
        <v>52</v>
      </c>
      <c r="T1266" t="s">
        <v>52</v>
      </c>
      <c r="U1266" t="s">
        <v>52</v>
      </c>
      <c r="V1266" t="s">
        <v>62</v>
      </c>
      <c r="W1266" t="s">
        <v>52</v>
      </c>
      <c r="Y1266" t="s">
        <v>4771</v>
      </c>
      <c r="Z1266" t="s">
        <v>62</v>
      </c>
      <c r="AB1266" t="s">
        <v>4772</v>
      </c>
      <c r="AE1266" t="s">
        <v>4773</v>
      </c>
      <c r="AF1266" t="s">
        <v>52</v>
      </c>
      <c r="AH1266">
        <v>0</v>
      </c>
      <c r="AI1266">
        <v>0</v>
      </c>
      <c r="AJ1266" t="s">
        <v>52</v>
      </c>
      <c r="AK1266">
        <v>0</v>
      </c>
      <c r="AL1266" t="s">
        <v>52</v>
      </c>
      <c r="AM1266" t="s">
        <v>52</v>
      </c>
      <c r="AN1266">
        <v>0</v>
      </c>
      <c r="AO1266">
        <v>0</v>
      </c>
      <c r="AP1266" t="s">
        <v>52</v>
      </c>
      <c r="AQ1266" t="s">
        <v>52</v>
      </c>
      <c r="AR1266" t="s">
        <v>62</v>
      </c>
      <c r="AS1266" t="s">
        <v>52</v>
      </c>
      <c r="AT1266" t="s">
        <v>74</v>
      </c>
      <c r="AU1266" t="s">
        <v>64</v>
      </c>
      <c r="AV1266" t="s">
        <v>62</v>
      </c>
      <c r="AW1266" t="s">
        <v>65</v>
      </c>
      <c r="AX1266" t="s">
        <v>66</v>
      </c>
      <c r="AY1266" t="s">
        <v>165</v>
      </c>
    </row>
    <row r="1267" spans="1:51" hidden="1" x14ac:dyDescent="0.25">
      <c r="A1267">
        <v>203353</v>
      </c>
      <c r="B1267" t="s">
        <v>4774</v>
      </c>
      <c r="C1267" t="e">
        <f>VLOOKUP(A1267,[1]Customer_payment_journal_line!$AL:$BO,30,0)</f>
        <v>#N/A</v>
      </c>
      <c r="D1267" t="s">
        <v>159</v>
      </c>
      <c r="E1267" t="s">
        <v>4775</v>
      </c>
      <c r="F1267" t="s">
        <v>4776</v>
      </c>
      <c r="G1267" t="s">
        <v>4689</v>
      </c>
      <c r="H1267" t="s">
        <v>80</v>
      </c>
      <c r="I1267" t="s">
        <v>4777</v>
      </c>
      <c r="J1267" t="s">
        <v>4767</v>
      </c>
      <c r="K1267" t="s">
        <v>4768</v>
      </c>
      <c r="L1267" t="s">
        <v>52</v>
      </c>
      <c r="M1267">
        <v>2280</v>
      </c>
      <c r="N1267">
        <v>0</v>
      </c>
      <c r="O1267" t="s">
        <v>61</v>
      </c>
      <c r="P1267">
        <v>100</v>
      </c>
      <c r="Q1267" t="s">
        <v>52</v>
      </c>
      <c r="R1267" t="s">
        <v>52</v>
      </c>
      <c r="S1267" t="s">
        <v>52</v>
      </c>
      <c r="T1267" t="s">
        <v>52</v>
      </c>
      <c r="U1267" t="s">
        <v>52</v>
      </c>
      <c r="V1267" t="s">
        <v>62</v>
      </c>
      <c r="W1267" t="s">
        <v>52</v>
      </c>
      <c r="Y1267" t="s">
        <v>52</v>
      </c>
      <c r="AB1267" t="s">
        <v>52</v>
      </c>
      <c r="AE1267" t="s">
        <v>52</v>
      </c>
      <c r="AF1267" t="s">
        <v>52</v>
      </c>
      <c r="AH1267">
        <v>0</v>
      </c>
      <c r="AI1267">
        <v>0</v>
      </c>
      <c r="AJ1267" t="s">
        <v>52</v>
      </c>
      <c r="AK1267">
        <v>0</v>
      </c>
      <c r="AL1267" t="s">
        <v>52</v>
      </c>
      <c r="AM1267" t="s">
        <v>52</v>
      </c>
      <c r="AN1267">
        <v>0</v>
      </c>
      <c r="AO1267">
        <v>0</v>
      </c>
      <c r="AP1267" t="s">
        <v>52</v>
      </c>
      <c r="AQ1267" t="s">
        <v>52</v>
      </c>
      <c r="AR1267" t="s">
        <v>62</v>
      </c>
      <c r="AS1267" t="s">
        <v>52</v>
      </c>
      <c r="AT1267" t="s">
        <v>52</v>
      </c>
      <c r="AU1267" t="s">
        <v>64</v>
      </c>
      <c r="AV1267" t="s">
        <v>62</v>
      </c>
      <c r="AW1267" t="s">
        <v>65</v>
      </c>
      <c r="AX1267" t="s">
        <v>66</v>
      </c>
      <c r="AY1267" t="s">
        <v>165</v>
      </c>
    </row>
    <row r="1268" spans="1:51" hidden="1" x14ac:dyDescent="0.25">
      <c r="A1268">
        <v>203353</v>
      </c>
      <c r="B1268" t="s">
        <v>4778</v>
      </c>
      <c r="C1268" t="e">
        <f>VLOOKUP(A1268,[1]Customer_payment_journal_line!$AL:$BO,30,0)</f>
        <v>#N/A</v>
      </c>
      <c r="D1268" t="s">
        <v>159</v>
      </c>
      <c r="E1268" t="s">
        <v>4775</v>
      </c>
      <c r="F1268" t="s">
        <v>4776</v>
      </c>
      <c r="G1268" t="s">
        <v>4689</v>
      </c>
      <c r="H1268" t="s">
        <v>69</v>
      </c>
      <c r="I1268" t="s">
        <v>4770</v>
      </c>
      <c r="J1268" t="s">
        <v>4767</v>
      </c>
      <c r="K1268" t="s">
        <v>4768</v>
      </c>
      <c r="L1268" t="s">
        <v>52</v>
      </c>
      <c r="M1268">
        <v>0</v>
      </c>
      <c r="N1268">
        <v>2280</v>
      </c>
      <c r="O1268" t="s">
        <v>61</v>
      </c>
      <c r="P1268">
        <v>100</v>
      </c>
      <c r="Q1268" t="s">
        <v>52</v>
      </c>
      <c r="R1268" t="s">
        <v>52</v>
      </c>
      <c r="S1268" t="s">
        <v>52</v>
      </c>
      <c r="T1268" t="s">
        <v>52</v>
      </c>
      <c r="U1268" t="s">
        <v>52</v>
      </c>
      <c r="V1268" t="s">
        <v>62</v>
      </c>
      <c r="W1268" t="s">
        <v>52</v>
      </c>
      <c r="Y1268" t="s">
        <v>4771</v>
      </c>
      <c r="Z1268" t="s">
        <v>62</v>
      </c>
      <c r="AB1268" t="s">
        <v>4779</v>
      </c>
      <c r="AE1268" t="s">
        <v>4780</v>
      </c>
      <c r="AF1268" t="s">
        <v>52</v>
      </c>
      <c r="AH1268">
        <v>0</v>
      </c>
      <c r="AI1268">
        <v>0</v>
      </c>
      <c r="AJ1268" t="s">
        <v>52</v>
      </c>
      <c r="AK1268">
        <v>0</v>
      </c>
      <c r="AL1268" t="s">
        <v>52</v>
      </c>
      <c r="AM1268" t="s">
        <v>52</v>
      </c>
      <c r="AN1268">
        <v>0</v>
      </c>
      <c r="AO1268">
        <v>0</v>
      </c>
      <c r="AP1268" t="s">
        <v>52</v>
      </c>
      <c r="AQ1268" t="s">
        <v>52</v>
      </c>
      <c r="AR1268" t="s">
        <v>62</v>
      </c>
      <c r="AS1268" t="s">
        <v>52</v>
      </c>
      <c r="AT1268" t="s">
        <v>74</v>
      </c>
      <c r="AU1268" t="s">
        <v>64</v>
      </c>
      <c r="AV1268" t="s">
        <v>62</v>
      </c>
      <c r="AW1268" t="s">
        <v>65</v>
      </c>
      <c r="AX1268" t="s">
        <v>66</v>
      </c>
      <c r="AY1268" t="s">
        <v>165</v>
      </c>
    </row>
    <row r="1269" spans="1:51" hidden="1" x14ac:dyDescent="0.25">
      <c r="A1269">
        <v>203354</v>
      </c>
      <c r="B1269" t="s">
        <v>4781</v>
      </c>
      <c r="C1269" t="e">
        <f>VLOOKUP(A1269,[1]Customer_payment_journal_line!$AL:$BO,30,0)</f>
        <v>#N/A</v>
      </c>
      <c r="D1269" t="s">
        <v>644</v>
      </c>
      <c r="E1269" t="s">
        <v>4782</v>
      </c>
      <c r="F1269" t="s">
        <v>4783</v>
      </c>
      <c r="G1269" t="s">
        <v>4689</v>
      </c>
      <c r="H1269" t="s">
        <v>69</v>
      </c>
      <c r="I1269" t="s">
        <v>4784</v>
      </c>
      <c r="J1269" t="s">
        <v>4785</v>
      </c>
      <c r="K1269" t="s">
        <v>4786</v>
      </c>
      <c r="L1269" t="s">
        <v>52</v>
      </c>
      <c r="M1269">
        <v>0</v>
      </c>
      <c r="N1269">
        <v>750</v>
      </c>
      <c r="O1269" t="s">
        <v>61</v>
      </c>
      <c r="P1269">
        <v>100</v>
      </c>
      <c r="Q1269" t="s">
        <v>52</v>
      </c>
      <c r="R1269" t="s">
        <v>52</v>
      </c>
      <c r="S1269" t="s">
        <v>52</v>
      </c>
      <c r="T1269" t="s">
        <v>52</v>
      </c>
      <c r="U1269" t="s">
        <v>52</v>
      </c>
      <c r="V1269" t="s">
        <v>62</v>
      </c>
      <c r="W1269" t="s">
        <v>52</v>
      </c>
      <c r="Y1269" t="s">
        <v>4787</v>
      </c>
      <c r="Z1269" t="s">
        <v>62</v>
      </c>
      <c r="AB1269" t="s">
        <v>4788</v>
      </c>
      <c r="AE1269" t="s">
        <v>4789</v>
      </c>
      <c r="AF1269" t="s">
        <v>4790</v>
      </c>
      <c r="AG1269" t="s">
        <v>4791</v>
      </c>
      <c r="AH1269">
        <v>0</v>
      </c>
      <c r="AI1269">
        <v>0</v>
      </c>
      <c r="AJ1269" t="s">
        <v>52</v>
      </c>
      <c r="AK1269">
        <v>0</v>
      </c>
      <c r="AL1269" t="s">
        <v>52</v>
      </c>
      <c r="AM1269" t="s">
        <v>52</v>
      </c>
      <c r="AN1269">
        <v>0</v>
      </c>
      <c r="AO1269">
        <v>0</v>
      </c>
      <c r="AP1269" t="s">
        <v>52</v>
      </c>
      <c r="AQ1269" t="s">
        <v>52</v>
      </c>
      <c r="AR1269" t="s">
        <v>62</v>
      </c>
      <c r="AS1269" t="s">
        <v>52</v>
      </c>
      <c r="AT1269" t="s">
        <v>74</v>
      </c>
      <c r="AU1269" t="s">
        <v>64</v>
      </c>
      <c r="AV1269" t="s">
        <v>62</v>
      </c>
      <c r="AW1269" t="s">
        <v>65</v>
      </c>
      <c r="AX1269" t="s">
        <v>66</v>
      </c>
      <c r="AY1269" t="s">
        <v>654</v>
      </c>
    </row>
    <row r="1270" spans="1:51" hidden="1" x14ac:dyDescent="0.25">
      <c r="A1270">
        <v>203354</v>
      </c>
      <c r="B1270" t="s">
        <v>4792</v>
      </c>
      <c r="C1270" t="e">
        <f>VLOOKUP(A1270,[1]Customer_payment_journal_line!$AL:$BO,30,0)</f>
        <v>#N/A</v>
      </c>
      <c r="D1270" t="s">
        <v>644</v>
      </c>
      <c r="E1270" t="s">
        <v>4782</v>
      </c>
      <c r="F1270" t="s">
        <v>4783</v>
      </c>
      <c r="G1270" t="s">
        <v>4689</v>
      </c>
      <c r="H1270" t="s">
        <v>210</v>
      </c>
      <c r="I1270" t="s">
        <v>4793</v>
      </c>
      <c r="K1270" t="s">
        <v>4786</v>
      </c>
      <c r="L1270" t="s">
        <v>52</v>
      </c>
      <c r="M1270">
        <v>2875</v>
      </c>
      <c r="N1270">
        <v>0</v>
      </c>
      <c r="O1270" t="s">
        <v>61</v>
      </c>
      <c r="P1270">
        <v>100</v>
      </c>
      <c r="Q1270" t="s">
        <v>52</v>
      </c>
      <c r="R1270" t="s">
        <v>52</v>
      </c>
      <c r="S1270" t="s">
        <v>52</v>
      </c>
      <c r="T1270" t="s">
        <v>52</v>
      </c>
      <c r="U1270" t="s">
        <v>52</v>
      </c>
      <c r="V1270" t="s">
        <v>62</v>
      </c>
      <c r="W1270" t="s">
        <v>63</v>
      </c>
      <c r="Y1270" t="s">
        <v>52</v>
      </c>
      <c r="AB1270" t="s">
        <v>4794</v>
      </c>
      <c r="AE1270" t="s">
        <v>4795</v>
      </c>
      <c r="AF1270" t="s">
        <v>4790</v>
      </c>
      <c r="AG1270" t="s">
        <v>4791</v>
      </c>
      <c r="AH1270">
        <v>0</v>
      </c>
      <c r="AI1270">
        <v>0</v>
      </c>
      <c r="AJ1270" t="s">
        <v>52</v>
      </c>
      <c r="AK1270">
        <v>0</v>
      </c>
      <c r="AL1270" t="s">
        <v>52</v>
      </c>
      <c r="AM1270" t="s">
        <v>52</v>
      </c>
      <c r="AN1270">
        <v>0</v>
      </c>
      <c r="AO1270">
        <v>0</v>
      </c>
      <c r="AP1270" t="s">
        <v>52</v>
      </c>
      <c r="AQ1270" t="s">
        <v>52</v>
      </c>
      <c r="AR1270" t="s">
        <v>62</v>
      </c>
      <c r="AS1270" t="s">
        <v>52</v>
      </c>
      <c r="AT1270" t="s">
        <v>52</v>
      </c>
      <c r="AU1270" t="s">
        <v>64</v>
      </c>
      <c r="AV1270" t="s">
        <v>62</v>
      </c>
      <c r="AW1270" t="s">
        <v>65</v>
      </c>
      <c r="AX1270" t="s">
        <v>66</v>
      </c>
      <c r="AY1270" t="s">
        <v>654</v>
      </c>
    </row>
    <row r="1271" spans="1:51" hidden="1" x14ac:dyDescent="0.25">
      <c r="A1271">
        <v>203354</v>
      </c>
      <c r="B1271" t="s">
        <v>4796</v>
      </c>
      <c r="C1271" t="e">
        <f>VLOOKUP(A1271,[1]Customer_payment_journal_line!$AL:$BO,30,0)</f>
        <v>#N/A</v>
      </c>
      <c r="D1271" t="s">
        <v>644</v>
      </c>
      <c r="E1271" t="s">
        <v>4782</v>
      </c>
      <c r="F1271" t="s">
        <v>4783</v>
      </c>
      <c r="G1271" t="s">
        <v>4689</v>
      </c>
      <c r="H1271" t="s">
        <v>69</v>
      </c>
      <c r="I1271" t="s">
        <v>4784</v>
      </c>
      <c r="J1271" t="s">
        <v>4785</v>
      </c>
      <c r="K1271" t="s">
        <v>4786</v>
      </c>
      <c r="L1271" t="s">
        <v>52</v>
      </c>
      <c r="M1271">
        <v>0</v>
      </c>
      <c r="N1271">
        <v>2125</v>
      </c>
      <c r="O1271" t="s">
        <v>61</v>
      </c>
      <c r="P1271">
        <v>100</v>
      </c>
      <c r="Q1271" t="s">
        <v>52</v>
      </c>
      <c r="R1271" t="s">
        <v>52</v>
      </c>
      <c r="S1271" t="s">
        <v>52</v>
      </c>
      <c r="T1271" t="s">
        <v>52</v>
      </c>
      <c r="U1271" t="s">
        <v>52</v>
      </c>
      <c r="V1271" t="s">
        <v>62</v>
      </c>
      <c r="W1271" t="s">
        <v>52</v>
      </c>
      <c r="Y1271" t="s">
        <v>4787</v>
      </c>
      <c r="Z1271" t="s">
        <v>62</v>
      </c>
      <c r="AB1271" t="s">
        <v>4794</v>
      </c>
      <c r="AE1271" t="s">
        <v>4795</v>
      </c>
      <c r="AF1271" t="s">
        <v>4790</v>
      </c>
      <c r="AG1271" t="s">
        <v>4791</v>
      </c>
      <c r="AH1271">
        <v>0</v>
      </c>
      <c r="AI1271">
        <v>0</v>
      </c>
      <c r="AJ1271" t="s">
        <v>52</v>
      </c>
      <c r="AK1271">
        <v>0</v>
      </c>
      <c r="AL1271" t="s">
        <v>52</v>
      </c>
      <c r="AM1271" t="s">
        <v>52</v>
      </c>
      <c r="AN1271">
        <v>0</v>
      </c>
      <c r="AO1271">
        <v>0</v>
      </c>
      <c r="AP1271" t="s">
        <v>52</v>
      </c>
      <c r="AQ1271" t="s">
        <v>52</v>
      </c>
      <c r="AR1271" t="s">
        <v>62</v>
      </c>
      <c r="AS1271" t="s">
        <v>52</v>
      </c>
      <c r="AT1271" t="s">
        <v>74</v>
      </c>
      <c r="AU1271" t="s">
        <v>64</v>
      </c>
      <c r="AV1271" t="s">
        <v>62</v>
      </c>
      <c r="AW1271" t="s">
        <v>65</v>
      </c>
      <c r="AX1271" t="s">
        <v>66</v>
      </c>
      <c r="AY1271" t="s">
        <v>654</v>
      </c>
    </row>
    <row r="1272" spans="1:51" hidden="1" x14ac:dyDescent="0.25">
      <c r="A1272">
        <v>203356</v>
      </c>
      <c r="B1272" t="s">
        <v>4797</v>
      </c>
      <c r="C1272" t="e">
        <f>VLOOKUP(A1272,[1]Customer_payment_journal_line!$AL:$BO,30,0)</f>
        <v>#N/A</v>
      </c>
      <c r="D1272" t="s">
        <v>159</v>
      </c>
      <c r="E1272" t="s">
        <v>4798</v>
      </c>
      <c r="F1272" t="s">
        <v>4799</v>
      </c>
      <c r="G1272" t="s">
        <v>4689</v>
      </c>
      <c r="H1272" t="s">
        <v>80</v>
      </c>
      <c r="I1272" t="s">
        <v>177</v>
      </c>
      <c r="J1272" t="s">
        <v>4800</v>
      </c>
      <c r="K1272" t="s">
        <v>4801</v>
      </c>
      <c r="L1272" t="s">
        <v>52</v>
      </c>
      <c r="M1272">
        <v>40</v>
      </c>
      <c r="N1272">
        <v>0</v>
      </c>
      <c r="O1272" t="s">
        <v>178</v>
      </c>
      <c r="P1272">
        <v>5085</v>
      </c>
      <c r="Q1272" t="s">
        <v>52</v>
      </c>
      <c r="R1272" t="s">
        <v>52</v>
      </c>
      <c r="S1272" t="s">
        <v>52</v>
      </c>
      <c r="T1272" t="s">
        <v>52</v>
      </c>
      <c r="U1272" t="s">
        <v>52</v>
      </c>
      <c r="V1272" t="s">
        <v>62</v>
      </c>
      <c r="W1272" t="s">
        <v>52</v>
      </c>
      <c r="Y1272" t="s">
        <v>52</v>
      </c>
      <c r="AB1272" t="s">
        <v>52</v>
      </c>
      <c r="AE1272" t="s">
        <v>52</v>
      </c>
      <c r="AF1272" t="s">
        <v>52</v>
      </c>
      <c r="AH1272">
        <v>0</v>
      </c>
      <c r="AI1272">
        <v>0</v>
      </c>
      <c r="AJ1272" t="s">
        <v>52</v>
      </c>
      <c r="AK1272">
        <v>0</v>
      </c>
      <c r="AL1272" t="s">
        <v>52</v>
      </c>
      <c r="AM1272" t="s">
        <v>52</v>
      </c>
      <c r="AN1272">
        <v>0</v>
      </c>
      <c r="AO1272">
        <v>0</v>
      </c>
      <c r="AP1272" t="s">
        <v>52</v>
      </c>
      <c r="AQ1272" t="s">
        <v>52</v>
      </c>
      <c r="AR1272" t="s">
        <v>62</v>
      </c>
      <c r="AS1272" t="s">
        <v>52</v>
      </c>
      <c r="AT1272" t="s">
        <v>52</v>
      </c>
      <c r="AU1272" t="s">
        <v>64</v>
      </c>
      <c r="AV1272" t="s">
        <v>62</v>
      </c>
      <c r="AW1272" t="s">
        <v>65</v>
      </c>
      <c r="AX1272" t="s">
        <v>66</v>
      </c>
      <c r="AY1272" t="s">
        <v>165</v>
      </c>
    </row>
    <row r="1273" spans="1:51" hidden="1" x14ac:dyDescent="0.25">
      <c r="A1273">
        <v>203356</v>
      </c>
      <c r="B1273" t="s">
        <v>4802</v>
      </c>
      <c r="C1273" t="e">
        <f>VLOOKUP(A1273,[1]Customer_payment_journal_line!$AL:$BO,30,0)</f>
        <v>#N/A</v>
      </c>
      <c r="D1273" t="s">
        <v>159</v>
      </c>
      <c r="E1273" t="s">
        <v>4798</v>
      </c>
      <c r="F1273" t="s">
        <v>4799</v>
      </c>
      <c r="G1273" t="s">
        <v>4689</v>
      </c>
      <c r="H1273" t="s">
        <v>69</v>
      </c>
      <c r="I1273" t="s">
        <v>4803</v>
      </c>
      <c r="J1273" t="s">
        <v>4800</v>
      </c>
      <c r="K1273" t="s">
        <v>4801</v>
      </c>
      <c r="L1273" t="s">
        <v>52</v>
      </c>
      <c r="M1273">
        <v>0</v>
      </c>
      <c r="N1273">
        <v>40</v>
      </c>
      <c r="O1273" t="s">
        <v>178</v>
      </c>
      <c r="P1273">
        <v>5085</v>
      </c>
      <c r="Q1273" t="s">
        <v>52</v>
      </c>
      <c r="R1273" t="s">
        <v>52</v>
      </c>
      <c r="S1273" t="s">
        <v>52</v>
      </c>
      <c r="T1273" t="s">
        <v>52</v>
      </c>
      <c r="U1273" t="s">
        <v>52</v>
      </c>
      <c r="V1273" t="s">
        <v>62</v>
      </c>
      <c r="W1273" t="s">
        <v>52</v>
      </c>
      <c r="Y1273" t="s">
        <v>4804</v>
      </c>
      <c r="Z1273" t="s">
        <v>62</v>
      </c>
      <c r="AB1273" t="s">
        <v>4805</v>
      </c>
      <c r="AE1273" t="s">
        <v>4806</v>
      </c>
      <c r="AF1273" t="s">
        <v>52</v>
      </c>
      <c r="AH1273">
        <v>0</v>
      </c>
      <c r="AI1273">
        <v>0</v>
      </c>
      <c r="AJ1273" t="s">
        <v>52</v>
      </c>
      <c r="AK1273">
        <v>0</v>
      </c>
      <c r="AL1273" t="s">
        <v>52</v>
      </c>
      <c r="AM1273" t="s">
        <v>52</v>
      </c>
      <c r="AN1273">
        <v>0</v>
      </c>
      <c r="AO1273">
        <v>0</v>
      </c>
      <c r="AP1273" t="s">
        <v>52</v>
      </c>
      <c r="AQ1273" t="s">
        <v>52</v>
      </c>
      <c r="AR1273" t="s">
        <v>62</v>
      </c>
      <c r="AS1273" t="s">
        <v>52</v>
      </c>
      <c r="AT1273" t="s">
        <v>74</v>
      </c>
      <c r="AU1273" t="s">
        <v>64</v>
      </c>
      <c r="AV1273" t="s">
        <v>62</v>
      </c>
      <c r="AW1273" t="s">
        <v>65</v>
      </c>
      <c r="AX1273" t="s">
        <v>66</v>
      </c>
      <c r="AY1273" t="s">
        <v>165</v>
      </c>
    </row>
    <row r="1274" spans="1:51" hidden="1" x14ac:dyDescent="0.25">
      <c r="A1274">
        <v>203365</v>
      </c>
      <c r="B1274" t="s">
        <v>4807</v>
      </c>
      <c r="C1274" t="e">
        <f>VLOOKUP(A1274,[1]Customer_payment_journal_line!$AL:$BO,30,0)</f>
        <v>#N/A</v>
      </c>
      <c r="D1274" t="s">
        <v>159</v>
      </c>
      <c r="E1274" t="s">
        <v>4808</v>
      </c>
      <c r="F1274" t="s">
        <v>4809</v>
      </c>
      <c r="G1274" t="s">
        <v>4689</v>
      </c>
      <c r="H1274" t="s">
        <v>80</v>
      </c>
      <c r="I1274" t="s">
        <v>162</v>
      </c>
      <c r="J1274" t="s">
        <v>4810</v>
      </c>
      <c r="K1274" t="s">
        <v>4811</v>
      </c>
      <c r="L1274" t="s">
        <v>52</v>
      </c>
      <c r="M1274">
        <v>1915.2</v>
      </c>
      <c r="N1274">
        <v>0</v>
      </c>
      <c r="O1274" t="s">
        <v>61</v>
      </c>
      <c r="P1274">
        <v>100</v>
      </c>
      <c r="Q1274" t="s">
        <v>52</v>
      </c>
      <c r="R1274" t="s">
        <v>52</v>
      </c>
      <c r="S1274" t="s">
        <v>52</v>
      </c>
      <c r="T1274" t="s">
        <v>52</v>
      </c>
      <c r="U1274" t="s">
        <v>52</v>
      </c>
      <c r="V1274" t="s">
        <v>62</v>
      </c>
      <c r="W1274" t="s">
        <v>52</v>
      </c>
      <c r="Y1274" t="s">
        <v>52</v>
      </c>
      <c r="AB1274" t="s">
        <v>52</v>
      </c>
      <c r="AE1274" t="s">
        <v>52</v>
      </c>
      <c r="AF1274" t="s">
        <v>52</v>
      </c>
      <c r="AH1274">
        <v>0</v>
      </c>
      <c r="AI1274">
        <v>0</v>
      </c>
      <c r="AJ1274" t="s">
        <v>52</v>
      </c>
      <c r="AK1274">
        <v>0</v>
      </c>
      <c r="AL1274" t="s">
        <v>52</v>
      </c>
      <c r="AM1274" t="s">
        <v>52</v>
      </c>
      <c r="AN1274">
        <v>0</v>
      </c>
      <c r="AO1274">
        <v>0</v>
      </c>
      <c r="AP1274" t="s">
        <v>52</v>
      </c>
      <c r="AQ1274" t="s">
        <v>52</v>
      </c>
      <c r="AR1274" t="s">
        <v>62</v>
      </c>
      <c r="AS1274" t="s">
        <v>52</v>
      </c>
      <c r="AT1274" t="s">
        <v>52</v>
      </c>
      <c r="AU1274" t="s">
        <v>64</v>
      </c>
      <c r="AV1274" t="s">
        <v>62</v>
      </c>
      <c r="AW1274" t="s">
        <v>65</v>
      </c>
      <c r="AX1274" t="s">
        <v>66</v>
      </c>
      <c r="AY1274" t="s">
        <v>165</v>
      </c>
    </row>
    <row r="1275" spans="1:51" hidden="1" x14ac:dyDescent="0.25">
      <c r="A1275">
        <v>203365</v>
      </c>
      <c r="B1275" t="s">
        <v>4812</v>
      </c>
      <c r="C1275" t="e">
        <f>VLOOKUP(A1275,[1]Customer_payment_journal_line!$AL:$BO,30,0)</f>
        <v>#N/A</v>
      </c>
      <c r="D1275" t="s">
        <v>159</v>
      </c>
      <c r="E1275" t="s">
        <v>4808</v>
      </c>
      <c r="F1275" t="s">
        <v>4809</v>
      </c>
      <c r="G1275" t="s">
        <v>4689</v>
      </c>
      <c r="H1275" t="s">
        <v>69</v>
      </c>
      <c r="I1275" t="s">
        <v>3696</v>
      </c>
      <c r="J1275" t="s">
        <v>4810</v>
      </c>
      <c r="K1275" t="s">
        <v>4811</v>
      </c>
      <c r="L1275" t="s">
        <v>52</v>
      </c>
      <c r="M1275">
        <v>0</v>
      </c>
      <c r="N1275">
        <v>262.2</v>
      </c>
      <c r="O1275" t="s">
        <v>61</v>
      </c>
      <c r="P1275">
        <v>100</v>
      </c>
      <c r="Q1275" t="s">
        <v>52</v>
      </c>
      <c r="R1275" t="s">
        <v>52</v>
      </c>
      <c r="S1275" t="s">
        <v>52</v>
      </c>
      <c r="T1275" t="s">
        <v>52</v>
      </c>
      <c r="U1275" t="s">
        <v>52</v>
      </c>
      <c r="V1275" t="s">
        <v>62</v>
      </c>
      <c r="W1275" t="s">
        <v>52</v>
      </c>
      <c r="Y1275" t="s">
        <v>3697</v>
      </c>
      <c r="Z1275" t="s">
        <v>62</v>
      </c>
      <c r="AB1275" t="s">
        <v>4813</v>
      </c>
      <c r="AE1275" t="s">
        <v>4814</v>
      </c>
      <c r="AF1275" t="s">
        <v>52</v>
      </c>
      <c r="AH1275">
        <v>0</v>
      </c>
      <c r="AI1275">
        <v>0</v>
      </c>
      <c r="AJ1275" t="s">
        <v>52</v>
      </c>
      <c r="AK1275">
        <v>0</v>
      </c>
      <c r="AL1275" t="s">
        <v>52</v>
      </c>
      <c r="AM1275" t="s">
        <v>52</v>
      </c>
      <c r="AN1275">
        <v>0</v>
      </c>
      <c r="AO1275">
        <v>0</v>
      </c>
      <c r="AP1275" t="s">
        <v>52</v>
      </c>
      <c r="AQ1275" t="s">
        <v>52</v>
      </c>
      <c r="AR1275" t="s">
        <v>62</v>
      </c>
      <c r="AS1275" t="s">
        <v>52</v>
      </c>
      <c r="AT1275" t="s">
        <v>74</v>
      </c>
      <c r="AU1275" t="s">
        <v>64</v>
      </c>
      <c r="AV1275" t="s">
        <v>62</v>
      </c>
      <c r="AW1275" t="s">
        <v>65</v>
      </c>
      <c r="AX1275" t="s">
        <v>66</v>
      </c>
      <c r="AY1275" t="s">
        <v>165</v>
      </c>
    </row>
    <row r="1276" spans="1:51" hidden="1" x14ac:dyDescent="0.25">
      <c r="A1276">
        <v>203365</v>
      </c>
      <c r="B1276" t="s">
        <v>4815</v>
      </c>
      <c r="C1276" t="e">
        <f>VLOOKUP(A1276,[1]Customer_payment_journal_line!$AL:$BO,30,0)</f>
        <v>#N/A</v>
      </c>
      <c r="D1276" t="s">
        <v>159</v>
      </c>
      <c r="E1276" t="s">
        <v>4808</v>
      </c>
      <c r="F1276" t="s">
        <v>4809</v>
      </c>
      <c r="G1276" t="s">
        <v>4689</v>
      </c>
      <c r="H1276" t="s">
        <v>69</v>
      </c>
      <c r="I1276" t="s">
        <v>3696</v>
      </c>
      <c r="J1276" t="s">
        <v>4810</v>
      </c>
      <c r="K1276" t="s">
        <v>4811</v>
      </c>
      <c r="L1276" t="s">
        <v>52</v>
      </c>
      <c r="M1276">
        <v>0</v>
      </c>
      <c r="N1276">
        <v>1653</v>
      </c>
      <c r="O1276" t="s">
        <v>61</v>
      </c>
      <c r="P1276">
        <v>100</v>
      </c>
      <c r="Q1276" t="s">
        <v>52</v>
      </c>
      <c r="R1276" t="s">
        <v>52</v>
      </c>
      <c r="S1276" t="s">
        <v>52</v>
      </c>
      <c r="T1276" t="s">
        <v>52</v>
      </c>
      <c r="U1276" t="s">
        <v>52</v>
      </c>
      <c r="V1276" t="s">
        <v>62</v>
      </c>
      <c r="W1276" t="s">
        <v>52</v>
      </c>
      <c r="Y1276" t="s">
        <v>3697</v>
      </c>
      <c r="Z1276" t="s">
        <v>62</v>
      </c>
      <c r="AB1276" t="s">
        <v>4816</v>
      </c>
      <c r="AE1276" t="s">
        <v>4817</v>
      </c>
      <c r="AF1276" t="s">
        <v>52</v>
      </c>
      <c r="AH1276">
        <v>0</v>
      </c>
      <c r="AI1276">
        <v>0</v>
      </c>
      <c r="AJ1276" t="s">
        <v>52</v>
      </c>
      <c r="AK1276">
        <v>0</v>
      </c>
      <c r="AL1276" t="s">
        <v>52</v>
      </c>
      <c r="AM1276" t="s">
        <v>52</v>
      </c>
      <c r="AN1276">
        <v>0</v>
      </c>
      <c r="AO1276">
        <v>0</v>
      </c>
      <c r="AP1276" t="s">
        <v>52</v>
      </c>
      <c r="AQ1276" t="s">
        <v>52</v>
      </c>
      <c r="AR1276" t="s">
        <v>62</v>
      </c>
      <c r="AS1276" t="s">
        <v>52</v>
      </c>
      <c r="AT1276" t="s">
        <v>74</v>
      </c>
      <c r="AU1276" t="s">
        <v>64</v>
      </c>
      <c r="AV1276" t="s">
        <v>62</v>
      </c>
      <c r="AW1276" t="s">
        <v>65</v>
      </c>
      <c r="AX1276" t="s">
        <v>66</v>
      </c>
      <c r="AY1276" t="s">
        <v>165</v>
      </c>
    </row>
    <row r="1277" spans="1:51" hidden="1" x14ac:dyDescent="0.25">
      <c r="A1277">
        <v>203379</v>
      </c>
      <c r="B1277" t="s">
        <v>4818</v>
      </c>
      <c r="C1277" t="e">
        <f>VLOOKUP(A1277,[1]Customer_payment_journal_line!$AL:$BO,30,0)</f>
        <v>#N/A</v>
      </c>
      <c r="D1277" t="s">
        <v>644</v>
      </c>
      <c r="E1277" t="s">
        <v>4819</v>
      </c>
      <c r="F1277" t="s">
        <v>4820</v>
      </c>
      <c r="G1277" t="s">
        <v>4689</v>
      </c>
      <c r="H1277" t="s">
        <v>69</v>
      </c>
      <c r="I1277" t="s">
        <v>4821</v>
      </c>
      <c r="J1277" t="s">
        <v>4822</v>
      </c>
      <c r="K1277" t="s">
        <v>4823</v>
      </c>
      <c r="L1277" t="s">
        <v>52</v>
      </c>
      <c r="M1277">
        <v>0</v>
      </c>
      <c r="N1277">
        <v>3160</v>
      </c>
      <c r="O1277" t="s">
        <v>126</v>
      </c>
      <c r="P1277">
        <v>5285</v>
      </c>
      <c r="Q1277" t="s">
        <v>52</v>
      </c>
      <c r="R1277" t="s">
        <v>52</v>
      </c>
      <c r="S1277" t="s">
        <v>52</v>
      </c>
      <c r="T1277" t="s">
        <v>52</v>
      </c>
      <c r="U1277" t="s">
        <v>52</v>
      </c>
      <c r="V1277" t="s">
        <v>62</v>
      </c>
      <c r="W1277" t="s">
        <v>52</v>
      </c>
      <c r="Y1277" t="s">
        <v>4824</v>
      </c>
      <c r="Z1277" t="s">
        <v>62</v>
      </c>
      <c r="AB1277" t="s">
        <v>4825</v>
      </c>
      <c r="AE1277" t="s">
        <v>4826</v>
      </c>
      <c r="AF1277" t="s">
        <v>4827</v>
      </c>
      <c r="AG1277" t="s">
        <v>4828</v>
      </c>
      <c r="AH1277">
        <v>0</v>
      </c>
      <c r="AI1277">
        <v>0</v>
      </c>
      <c r="AJ1277" t="s">
        <v>52</v>
      </c>
      <c r="AK1277">
        <v>0</v>
      </c>
      <c r="AL1277" t="s">
        <v>52</v>
      </c>
      <c r="AM1277" t="s">
        <v>52</v>
      </c>
      <c r="AN1277">
        <v>0</v>
      </c>
      <c r="AO1277">
        <v>0</v>
      </c>
      <c r="AP1277" t="s">
        <v>52</v>
      </c>
      <c r="AQ1277" t="s">
        <v>52</v>
      </c>
      <c r="AR1277" t="s">
        <v>62</v>
      </c>
      <c r="AS1277" t="s">
        <v>52</v>
      </c>
      <c r="AT1277" t="s">
        <v>74</v>
      </c>
      <c r="AU1277" t="s">
        <v>64</v>
      </c>
      <c r="AV1277" t="s">
        <v>62</v>
      </c>
      <c r="AW1277" t="s">
        <v>65</v>
      </c>
      <c r="AX1277" t="s">
        <v>66</v>
      </c>
      <c r="AY1277" t="s">
        <v>654</v>
      </c>
    </row>
    <row r="1278" spans="1:51" hidden="1" x14ac:dyDescent="0.25">
      <c r="A1278">
        <v>203379</v>
      </c>
      <c r="B1278" t="s">
        <v>4829</v>
      </c>
      <c r="C1278" t="e">
        <f>VLOOKUP(A1278,[1]Customer_payment_journal_line!$AL:$BO,30,0)</f>
        <v>#N/A</v>
      </c>
      <c r="D1278" t="s">
        <v>644</v>
      </c>
      <c r="E1278" t="s">
        <v>4819</v>
      </c>
      <c r="F1278" t="s">
        <v>4820</v>
      </c>
      <c r="G1278" t="s">
        <v>4689</v>
      </c>
      <c r="H1278" t="s">
        <v>210</v>
      </c>
      <c r="I1278" t="s">
        <v>4830</v>
      </c>
      <c r="K1278" t="s">
        <v>4823</v>
      </c>
      <c r="L1278" t="s">
        <v>52</v>
      </c>
      <c r="M1278">
        <v>6140</v>
      </c>
      <c r="N1278">
        <v>0</v>
      </c>
      <c r="O1278" t="s">
        <v>126</v>
      </c>
      <c r="P1278">
        <v>5285</v>
      </c>
      <c r="Q1278" t="s">
        <v>52</v>
      </c>
      <c r="R1278" t="s">
        <v>52</v>
      </c>
      <c r="S1278" t="s">
        <v>52</v>
      </c>
      <c r="T1278" t="s">
        <v>52</v>
      </c>
      <c r="U1278" t="s">
        <v>52</v>
      </c>
      <c r="V1278" t="s">
        <v>62</v>
      </c>
      <c r="W1278" t="s">
        <v>63</v>
      </c>
      <c r="Y1278" t="s">
        <v>52</v>
      </c>
      <c r="AB1278" t="s">
        <v>4831</v>
      </c>
      <c r="AE1278" t="s">
        <v>4832</v>
      </c>
      <c r="AF1278" t="s">
        <v>4827</v>
      </c>
      <c r="AG1278" t="s">
        <v>4828</v>
      </c>
      <c r="AH1278">
        <v>0</v>
      </c>
      <c r="AI1278">
        <v>0</v>
      </c>
      <c r="AJ1278" t="s">
        <v>52</v>
      </c>
      <c r="AK1278">
        <v>0</v>
      </c>
      <c r="AL1278" t="s">
        <v>52</v>
      </c>
      <c r="AM1278" t="s">
        <v>52</v>
      </c>
      <c r="AN1278">
        <v>0</v>
      </c>
      <c r="AO1278">
        <v>0</v>
      </c>
      <c r="AP1278" t="s">
        <v>52</v>
      </c>
      <c r="AQ1278" t="s">
        <v>52</v>
      </c>
      <c r="AR1278" t="s">
        <v>62</v>
      </c>
      <c r="AS1278" t="s">
        <v>52</v>
      </c>
      <c r="AT1278" t="s">
        <v>52</v>
      </c>
      <c r="AU1278" t="s">
        <v>64</v>
      </c>
      <c r="AV1278" t="s">
        <v>62</v>
      </c>
      <c r="AW1278" t="s">
        <v>65</v>
      </c>
      <c r="AX1278" t="s">
        <v>66</v>
      </c>
      <c r="AY1278" t="s">
        <v>654</v>
      </c>
    </row>
    <row r="1279" spans="1:51" hidden="1" x14ac:dyDescent="0.25">
      <c r="A1279">
        <v>203379</v>
      </c>
      <c r="B1279" t="s">
        <v>4833</v>
      </c>
      <c r="C1279" t="e">
        <f>VLOOKUP(A1279,[1]Customer_payment_journal_line!$AL:$BO,30,0)</f>
        <v>#N/A</v>
      </c>
      <c r="D1279" t="s">
        <v>644</v>
      </c>
      <c r="E1279" t="s">
        <v>4819</v>
      </c>
      <c r="F1279" t="s">
        <v>4820</v>
      </c>
      <c r="G1279" t="s">
        <v>4689</v>
      </c>
      <c r="H1279" t="s">
        <v>69</v>
      </c>
      <c r="I1279" t="s">
        <v>4821</v>
      </c>
      <c r="J1279" t="s">
        <v>4822</v>
      </c>
      <c r="K1279" t="s">
        <v>4823</v>
      </c>
      <c r="L1279" t="s">
        <v>52</v>
      </c>
      <c r="M1279">
        <v>0</v>
      </c>
      <c r="N1279">
        <v>2980</v>
      </c>
      <c r="O1279" t="s">
        <v>126</v>
      </c>
      <c r="P1279">
        <v>5285</v>
      </c>
      <c r="Q1279" t="s">
        <v>52</v>
      </c>
      <c r="R1279" t="s">
        <v>52</v>
      </c>
      <c r="S1279" t="s">
        <v>52</v>
      </c>
      <c r="T1279" t="s">
        <v>52</v>
      </c>
      <c r="U1279" t="s">
        <v>52</v>
      </c>
      <c r="V1279" t="s">
        <v>62</v>
      </c>
      <c r="W1279" t="s">
        <v>52</v>
      </c>
      <c r="Y1279" t="s">
        <v>4824</v>
      </c>
      <c r="Z1279" t="s">
        <v>62</v>
      </c>
      <c r="AB1279" t="s">
        <v>4831</v>
      </c>
      <c r="AE1279" t="s">
        <v>4832</v>
      </c>
      <c r="AF1279" t="s">
        <v>4827</v>
      </c>
      <c r="AG1279" t="s">
        <v>4828</v>
      </c>
      <c r="AH1279">
        <v>0</v>
      </c>
      <c r="AI1279">
        <v>0</v>
      </c>
      <c r="AJ1279" t="s">
        <v>52</v>
      </c>
      <c r="AK1279">
        <v>0</v>
      </c>
      <c r="AL1279" t="s">
        <v>52</v>
      </c>
      <c r="AM1279" t="s">
        <v>52</v>
      </c>
      <c r="AN1279">
        <v>0</v>
      </c>
      <c r="AO1279">
        <v>0</v>
      </c>
      <c r="AP1279" t="s">
        <v>52</v>
      </c>
      <c r="AQ1279" t="s">
        <v>52</v>
      </c>
      <c r="AR1279" t="s">
        <v>62</v>
      </c>
      <c r="AS1279" t="s">
        <v>52</v>
      </c>
      <c r="AT1279" t="s">
        <v>74</v>
      </c>
      <c r="AU1279" t="s">
        <v>64</v>
      </c>
      <c r="AV1279" t="s">
        <v>62</v>
      </c>
      <c r="AW1279" t="s">
        <v>65</v>
      </c>
      <c r="AX1279" t="s">
        <v>66</v>
      </c>
      <c r="AY1279" t="s">
        <v>654</v>
      </c>
    </row>
    <row r="1280" spans="1:51" hidden="1" x14ac:dyDescent="0.25">
      <c r="A1280">
        <v>203381</v>
      </c>
      <c r="B1280" t="s">
        <v>4834</v>
      </c>
      <c r="C1280" t="e">
        <f>VLOOKUP(A1280,[1]Customer_payment_journal_line!$AL:$BO,30,0)</f>
        <v>#N/A</v>
      </c>
      <c r="D1280" t="s">
        <v>159</v>
      </c>
      <c r="E1280" t="s">
        <v>4835</v>
      </c>
      <c r="F1280" t="s">
        <v>4836</v>
      </c>
      <c r="G1280" t="s">
        <v>4689</v>
      </c>
      <c r="H1280" t="s">
        <v>80</v>
      </c>
      <c r="I1280" t="s">
        <v>1919</v>
      </c>
      <c r="J1280" t="s">
        <v>4837</v>
      </c>
      <c r="K1280" t="s">
        <v>4838</v>
      </c>
      <c r="L1280" t="s">
        <v>52</v>
      </c>
      <c r="M1280">
        <v>855</v>
      </c>
      <c r="N1280">
        <v>0</v>
      </c>
      <c r="O1280" t="s">
        <v>61</v>
      </c>
      <c r="P1280">
        <v>100</v>
      </c>
      <c r="Q1280" t="s">
        <v>52</v>
      </c>
      <c r="R1280" t="s">
        <v>52</v>
      </c>
      <c r="S1280" t="s">
        <v>52</v>
      </c>
      <c r="T1280" t="s">
        <v>52</v>
      </c>
      <c r="U1280" t="s">
        <v>52</v>
      </c>
      <c r="V1280" t="s">
        <v>62</v>
      </c>
      <c r="W1280" t="s">
        <v>52</v>
      </c>
      <c r="Y1280" t="s">
        <v>52</v>
      </c>
      <c r="AB1280" t="s">
        <v>52</v>
      </c>
      <c r="AE1280" t="s">
        <v>52</v>
      </c>
      <c r="AF1280" t="s">
        <v>52</v>
      </c>
      <c r="AH1280">
        <v>0</v>
      </c>
      <c r="AI1280">
        <v>0</v>
      </c>
      <c r="AJ1280" t="s">
        <v>52</v>
      </c>
      <c r="AK1280">
        <v>0</v>
      </c>
      <c r="AL1280" t="s">
        <v>52</v>
      </c>
      <c r="AM1280" t="s">
        <v>52</v>
      </c>
      <c r="AN1280">
        <v>0</v>
      </c>
      <c r="AO1280">
        <v>0</v>
      </c>
      <c r="AP1280" t="s">
        <v>52</v>
      </c>
      <c r="AQ1280" t="s">
        <v>52</v>
      </c>
      <c r="AR1280" t="s">
        <v>62</v>
      </c>
      <c r="AS1280" t="s">
        <v>52</v>
      </c>
      <c r="AT1280" t="s">
        <v>52</v>
      </c>
      <c r="AU1280" t="s">
        <v>64</v>
      </c>
      <c r="AV1280" t="s">
        <v>62</v>
      </c>
      <c r="AW1280" t="s">
        <v>65</v>
      </c>
      <c r="AX1280" t="s">
        <v>66</v>
      </c>
      <c r="AY1280" t="s">
        <v>165</v>
      </c>
    </row>
    <row r="1281" spans="1:51" hidden="1" x14ac:dyDescent="0.25">
      <c r="A1281">
        <v>203381</v>
      </c>
      <c r="B1281" t="s">
        <v>4839</v>
      </c>
      <c r="C1281" t="e">
        <f>VLOOKUP(A1281,[1]Customer_payment_journal_line!$AL:$BO,30,0)</f>
        <v>#N/A</v>
      </c>
      <c r="D1281" t="s">
        <v>159</v>
      </c>
      <c r="E1281" t="s">
        <v>4835</v>
      </c>
      <c r="F1281" t="s">
        <v>4836</v>
      </c>
      <c r="G1281" t="s">
        <v>4689</v>
      </c>
      <c r="H1281" t="s">
        <v>69</v>
      </c>
      <c r="I1281" t="s">
        <v>4840</v>
      </c>
      <c r="J1281" t="s">
        <v>4837</v>
      </c>
      <c r="K1281" t="s">
        <v>4838</v>
      </c>
      <c r="L1281" t="s">
        <v>52</v>
      </c>
      <c r="M1281">
        <v>0</v>
      </c>
      <c r="N1281">
        <v>855</v>
      </c>
      <c r="O1281" t="s">
        <v>61</v>
      </c>
      <c r="P1281">
        <v>100</v>
      </c>
      <c r="Q1281" t="s">
        <v>52</v>
      </c>
      <c r="R1281" t="s">
        <v>52</v>
      </c>
      <c r="S1281" t="s">
        <v>52</v>
      </c>
      <c r="T1281" t="s">
        <v>52</v>
      </c>
      <c r="U1281" t="s">
        <v>52</v>
      </c>
      <c r="V1281" t="s">
        <v>62</v>
      </c>
      <c r="W1281" t="s">
        <v>52</v>
      </c>
      <c r="Y1281" t="s">
        <v>4841</v>
      </c>
      <c r="Z1281" t="s">
        <v>62</v>
      </c>
      <c r="AB1281" t="s">
        <v>4842</v>
      </c>
      <c r="AE1281" t="s">
        <v>4843</v>
      </c>
      <c r="AF1281" t="s">
        <v>52</v>
      </c>
      <c r="AH1281">
        <v>0</v>
      </c>
      <c r="AI1281">
        <v>0</v>
      </c>
      <c r="AJ1281" t="s">
        <v>52</v>
      </c>
      <c r="AK1281">
        <v>0</v>
      </c>
      <c r="AL1281" t="s">
        <v>52</v>
      </c>
      <c r="AM1281" t="s">
        <v>52</v>
      </c>
      <c r="AN1281">
        <v>0</v>
      </c>
      <c r="AO1281">
        <v>0</v>
      </c>
      <c r="AP1281" t="s">
        <v>52</v>
      </c>
      <c r="AQ1281" t="s">
        <v>52</v>
      </c>
      <c r="AR1281" t="s">
        <v>62</v>
      </c>
      <c r="AS1281" t="s">
        <v>52</v>
      </c>
      <c r="AT1281" t="s">
        <v>74</v>
      </c>
      <c r="AU1281" t="s">
        <v>64</v>
      </c>
      <c r="AV1281" t="s">
        <v>62</v>
      </c>
      <c r="AW1281" t="s">
        <v>65</v>
      </c>
      <c r="AX1281" t="s">
        <v>66</v>
      </c>
      <c r="AY1281" t="s">
        <v>165</v>
      </c>
    </row>
    <row r="1282" spans="1:51" hidden="1" x14ac:dyDescent="0.25">
      <c r="A1282">
        <v>203383</v>
      </c>
      <c r="B1282" t="s">
        <v>4844</v>
      </c>
      <c r="C1282" t="e">
        <f>VLOOKUP(A1282,[1]Customer_payment_journal_line!$AL:$BO,30,0)</f>
        <v>#N/A</v>
      </c>
      <c r="D1282" t="s">
        <v>159</v>
      </c>
      <c r="E1282" t="s">
        <v>4845</v>
      </c>
      <c r="F1282" t="s">
        <v>4846</v>
      </c>
      <c r="G1282" t="s">
        <v>4689</v>
      </c>
      <c r="H1282" t="s">
        <v>80</v>
      </c>
      <c r="I1282" t="s">
        <v>1919</v>
      </c>
      <c r="J1282" t="s">
        <v>4837</v>
      </c>
      <c r="K1282" t="s">
        <v>4838</v>
      </c>
      <c r="L1282" t="s">
        <v>52</v>
      </c>
      <c r="M1282">
        <v>1710</v>
      </c>
      <c r="N1282">
        <v>0</v>
      </c>
      <c r="O1282" t="s">
        <v>61</v>
      </c>
      <c r="P1282">
        <v>100</v>
      </c>
      <c r="Q1282" t="s">
        <v>52</v>
      </c>
      <c r="R1282" t="s">
        <v>52</v>
      </c>
      <c r="S1282" t="s">
        <v>52</v>
      </c>
      <c r="T1282" t="s">
        <v>52</v>
      </c>
      <c r="U1282" t="s">
        <v>52</v>
      </c>
      <c r="V1282" t="s">
        <v>62</v>
      </c>
      <c r="W1282" t="s">
        <v>52</v>
      </c>
      <c r="Y1282" t="s">
        <v>52</v>
      </c>
      <c r="AB1282" t="s">
        <v>52</v>
      </c>
      <c r="AE1282" t="s">
        <v>52</v>
      </c>
      <c r="AF1282" t="s">
        <v>52</v>
      </c>
      <c r="AH1282">
        <v>0</v>
      </c>
      <c r="AI1282">
        <v>0</v>
      </c>
      <c r="AJ1282" t="s">
        <v>52</v>
      </c>
      <c r="AK1282">
        <v>0</v>
      </c>
      <c r="AL1282" t="s">
        <v>52</v>
      </c>
      <c r="AM1282" t="s">
        <v>52</v>
      </c>
      <c r="AN1282">
        <v>0</v>
      </c>
      <c r="AO1282">
        <v>0</v>
      </c>
      <c r="AP1282" t="s">
        <v>52</v>
      </c>
      <c r="AQ1282" t="s">
        <v>52</v>
      </c>
      <c r="AR1282" t="s">
        <v>62</v>
      </c>
      <c r="AS1282" t="s">
        <v>52</v>
      </c>
      <c r="AT1282" t="s">
        <v>52</v>
      </c>
      <c r="AU1282" t="s">
        <v>64</v>
      </c>
      <c r="AV1282" t="s">
        <v>62</v>
      </c>
      <c r="AW1282" t="s">
        <v>65</v>
      </c>
      <c r="AX1282" t="s">
        <v>66</v>
      </c>
      <c r="AY1282" t="s">
        <v>165</v>
      </c>
    </row>
    <row r="1283" spans="1:51" hidden="1" x14ac:dyDescent="0.25">
      <c r="A1283">
        <v>203383</v>
      </c>
      <c r="B1283" t="s">
        <v>4847</v>
      </c>
      <c r="C1283" t="e">
        <f>VLOOKUP(A1283,[1]Customer_payment_journal_line!$AL:$BO,30,0)</f>
        <v>#N/A</v>
      </c>
      <c r="D1283" t="s">
        <v>159</v>
      </c>
      <c r="E1283" t="s">
        <v>4845</v>
      </c>
      <c r="F1283" t="s">
        <v>4846</v>
      </c>
      <c r="G1283" t="s">
        <v>4689</v>
      </c>
      <c r="H1283" t="s">
        <v>69</v>
      </c>
      <c r="I1283" t="s">
        <v>4840</v>
      </c>
      <c r="J1283" t="s">
        <v>4837</v>
      </c>
      <c r="K1283" t="s">
        <v>4838</v>
      </c>
      <c r="L1283" t="s">
        <v>52</v>
      </c>
      <c r="M1283">
        <v>0</v>
      </c>
      <c r="N1283">
        <v>1710</v>
      </c>
      <c r="O1283" t="s">
        <v>61</v>
      </c>
      <c r="P1283">
        <v>100</v>
      </c>
      <c r="Q1283" t="s">
        <v>52</v>
      </c>
      <c r="R1283" t="s">
        <v>52</v>
      </c>
      <c r="S1283" t="s">
        <v>52</v>
      </c>
      <c r="T1283" t="s">
        <v>52</v>
      </c>
      <c r="U1283" t="s">
        <v>52</v>
      </c>
      <c r="V1283" t="s">
        <v>62</v>
      </c>
      <c r="W1283" t="s">
        <v>52</v>
      </c>
      <c r="Y1283" t="s">
        <v>4841</v>
      </c>
      <c r="Z1283" t="s">
        <v>62</v>
      </c>
      <c r="AB1283" t="s">
        <v>4848</v>
      </c>
      <c r="AE1283" t="s">
        <v>4849</v>
      </c>
      <c r="AF1283" t="s">
        <v>52</v>
      </c>
      <c r="AH1283">
        <v>0</v>
      </c>
      <c r="AI1283">
        <v>0</v>
      </c>
      <c r="AJ1283" t="s">
        <v>52</v>
      </c>
      <c r="AK1283">
        <v>0</v>
      </c>
      <c r="AL1283" t="s">
        <v>52</v>
      </c>
      <c r="AM1283" t="s">
        <v>52</v>
      </c>
      <c r="AN1283">
        <v>0</v>
      </c>
      <c r="AO1283">
        <v>0</v>
      </c>
      <c r="AP1283" t="s">
        <v>52</v>
      </c>
      <c r="AQ1283" t="s">
        <v>52</v>
      </c>
      <c r="AR1283" t="s">
        <v>62</v>
      </c>
      <c r="AS1283" t="s">
        <v>52</v>
      </c>
      <c r="AT1283" t="s">
        <v>74</v>
      </c>
      <c r="AU1283" t="s">
        <v>64</v>
      </c>
      <c r="AV1283" t="s">
        <v>62</v>
      </c>
      <c r="AW1283" t="s">
        <v>65</v>
      </c>
      <c r="AX1283" t="s">
        <v>66</v>
      </c>
      <c r="AY1283" t="s">
        <v>165</v>
      </c>
    </row>
    <row r="1284" spans="1:51" hidden="1" x14ac:dyDescent="0.25">
      <c r="A1284">
        <v>203385</v>
      </c>
      <c r="B1284" t="s">
        <v>4850</v>
      </c>
      <c r="C1284" t="e">
        <f>VLOOKUP(A1284,[1]Customer_payment_journal_line!$AL:$BO,30,0)</f>
        <v>#N/A</v>
      </c>
      <c r="D1284" t="s">
        <v>159</v>
      </c>
      <c r="E1284" t="s">
        <v>4851</v>
      </c>
      <c r="F1284" t="s">
        <v>4852</v>
      </c>
      <c r="G1284" t="s">
        <v>4689</v>
      </c>
      <c r="H1284" t="s">
        <v>80</v>
      </c>
      <c r="I1284" t="s">
        <v>3014</v>
      </c>
      <c r="J1284" t="s">
        <v>4837</v>
      </c>
      <c r="K1284" t="s">
        <v>4838</v>
      </c>
      <c r="L1284" t="s">
        <v>52</v>
      </c>
      <c r="M1284">
        <v>150</v>
      </c>
      <c r="N1284">
        <v>0</v>
      </c>
      <c r="O1284" t="s">
        <v>178</v>
      </c>
      <c r="P1284">
        <v>5085</v>
      </c>
      <c r="Q1284" t="s">
        <v>52</v>
      </c>
      <c r="R1284" t="s">
        <v>52</v>
      </c>
      <c r="S1284" t="s">
        <v>52</v>
      </c>
      <c r="T1284" t="s">
        <v>52</v>
      </c>
      <c r="U1284" t="s">
        <v>52</v>
      </c>
      <c r="V1284" t="s">
        <v>62</v>
      </c>
      <c r="W1284" t="s">
        <v>52</v>
      </c>
      <c r="Y1284" t="s">
        <v>52</v>
      </c>
      <c r="AB1284" t="s">
        <v>52</v>
      </c>
      <c r="AE1284" t="s">
        <v>52</v>
      </c>
      <c r="AF1284" t="s">
        <v>52</v>
      </c>
      <c r="AH1284">
        <v>0</v>
      </c>
      <c r="AI1284">
        <v>0</v>
      </c>
      <c r="AJ1284" t="s">
        <v>52</v>
      </c>
      <c r="AK1284">
        <v>0</v>
      </c>
      <c r="AL1284" t="s">
        <v>52</v>
      </c>
      <c r="AM1284" t="s">
        <v>52</v>
      </c>
      <c r="AN1284">
        <v>0</v>
      </c>
      <c r="AO1284">
        <v>0</v>
      </c>
      <c r="AP1284" t="s">
        <v>52</v>
      </c>
      <c r="AQ1284" t="s">
        <v>52</v>
      </c>
      <c r="AR1284" t="s">
        <v>62</v>
      </c>
      <c r="AS1284" t="s">
        <v>52</v>
      </c>
      <c r="AT1284" t="s">
        <v>52</v>
      </c>
      <c r="AU1284" t="s">
        <v>64</v>
      </c>
      <c r="AV1284" t="s">
        <v>62</v>
      </c>
      <c r="AW1284" t="s">
        <v>65</v>
      </c>
      <c r="AX1284" t="s">
        <v>66</v>
      </c>
      <c r="AY1284" t="s">
        <v>165</v>
      </c>
    </row>
    <row r="1285" spans="1:51" hidden="1" x14ac:dyDescent="0.25">
      <c r="A1285">
        <v>203385</v>
      </c>
      <c r="B1285" t="s">
        <v>4853</v>
      </c>
      <c r="C1285" t="e">
        <f>VLOOKUP(A1285,[1]Customer_payment_journal_line!$AL:$BO,30,0)</f>
        <v>#N/A</v>
      </c>
      <c r="D1285" t="s">
        <v>159</v>
      </c>
      <c r="E1285" t="s">
        <v>4851</v>
      </c>
      <c r="F1285" t="s">
        <v>4852</v>
      </c>
      <c r="G1285" t="s">
        <v>4689</v>
      </c>
      <c r="H1285" t="s">
        <v>69</v>
      </c>
      <c r="I1285" t="s">
        <v>4840</v>
      </c>
      <c r="J1285" t="s">
        <v>4837</v>
      </c>
      <c r="K1285" t="s">
        <v>4838</v>
      </c>
      <c r="L1285" t="s">
        <v>52</v>
      </c>
      <c r="M1285">
        <v>0</v>
      </c>
      <c r="N1285">
        <v>150</v>
      </c>
      <c r="O1285" t="s">
        <v>178</v>
      </c>
      <c r="P1285">
        <v>5085</v>
      </c>
      <c r="Q1285" t="s">
        <v>52</v>
      </c>
      <c r="R1285" t="s">
        <v>52</v>
      </c>
      <c r="S1285" t="s">
        <v>52</v>
      </c>
      <c r="T1285" t="s">
        <v>52</v>
      </c>
      <c r="U1285" t="s">
        <v>52</v>
      </c>
      <c r="V1285" t="s">
        <v>62</v>
      </c>
      <c r="W1285" t="s">
        <v>52</v>
      </c>
      <c r="Y1285" t="s">
        <v>4841</v>
      </c>
      <c r="Z1285" t="s">
        <v>62</v>
      </c>
      <c r="AB1285" t="s">
        <v>4854</v>
      </c>
      <c r="AE1285" t="s">
        <v>4855</v>
      </c>
      <c r="AF1285" t="s">
        <v>52</v>
      </c>
      <c r="AH1285">
        <v>0</v>
      </c>
      <c r="AI1285">
        <v>0</v>
      </c>
      <c r="AJ1285" t="s">
        <v>52</v>
      </c>
      <c r="AK1285">
        <v>0</v>
      </c>
      <c r="AL1285" t="s">
        <v>52</v>
      </c>
      <c r="AM1285" t="s">
        <v>52</v>
      </c>
      <c r="AN1285">
        <v>0</v>
      </c>
      <c r="AO1285">
        <v>0</v>
      </c>
      <c r="AP1285" t="s">
        <v>52</v>
      </c>
      <c r="AQ1285" t="s">
        <v>52</v>
      </c>
      <c r="AR1285" t="s">
        <v>62</v>
      </c>
      <c r="AS1285" t="s">
        <v>52</v>
      </c>
      <c r="AT1285" t="s">
        <v>74</v>
      </c>
      <c r="AU1285" t="s">
        <v>64</v>
      </c>
      <c r="AV1285" t="s">
        <v>62</v>
      </c>
      <c r="AW1285" t="s">
        <v>65</v>
      </c>
      <c r="AX1285" t="s">
        <v>66</v>
      </c>
      <c r="AY1285" t="s">
        <v>165</v>
      </c>
    </row>
    <row r="1286" spans="1:51" hidden="1" x14ac:dyDescent="0.25">
      <c r="A1286">
        <v>203386</v>
      </c>
      <c r="B1286" t="s">
        <v>4856</v>
      </c>
      <c r="C1286" t="e">
        <f>VLOOKUP(A1286,[1]Customer_payment_journal_line!$AL:$BO,30,0)</f>
        <v>#N/A</v>
      </c>
      <c r="D1286" t="s">
        <v>159</v>
      </c>
      <c r="E1286" t="s">
        <v>4857</v>
      </c>
      <c r="F1286" t="s">
        <v>4858</v>
      </c>
      <c r="G1286" t="s">
        <v>4689</v>
      </c>
      <c r="H1286" t="s">
        <v>80</v>
      </c>
      <c r="I1286" t="s">
        <v>1919</v>
      </c>
      <c r="J1286" t="s">
        <v>4837</v>
      </c>
      <c r="K1286" t="s">
        <v>4859</v>
      </c>
      <c r="L1286" t="s">
        <v>52</v>
      </c>
      <c r="M1286">
        <v>1995</v>
      </c>
      <c r="N1286">
        <v>0</v>
      </c>
      <c r="O1286" t="s">
        <v>61</v>
      </c>
      <c r="P1286">
        <v>100</v>
      </c>
      <c r="Q1286" t="s">
        <v>52</v>
      </c>
      <c r="R1286" t="s">
        <v>52</v>
      </c>
      <c r="S1286" t="s">
        <v>52</v>
      </c>
      <c r="T1286" t="s">
        <v>52</v>
      </c>
      <c r="U1286" t="s">
        <v>52</v>
      </c>
      <c r="V1286" t="s">
        <v>62</v>
      </c>
      <c r="W1286" t="s">
        <v>52</v>
      </c>
      <c r="Y1286" t="s">
        <v>52</v>
      </c>
      <c r="AB1286" t="s">
        <v>52</v>
      </c>
      <c r="AE1286" t="s">
        <v>52</v>
      </c>
      <c r="AF1286" t="s">
        <v>52</v>
      </c>
      <c r="AH1286">
        <v>0</v>
      </c>
      <c r="AI1286">
        <v>0</v>
      </c>
      <c r="AJ1286" t="s">
        <v>52</v>
      </c>
      <c r="AK1286">
        <v>0</v>
      </c>
      <c r="AL1286" t="s">
        <v>52</v>
      </c>
      <c r="AM1286" t="s">
        <v>52</v>
      </c>
      <c r="AN1286">
        <v>0</v>
      </c>
      <c r="AO1286">
        <v>0</v>
      </c>
      <c r="AP1286" t="s">
        <v>52</v>
      </c>
      <c r="AQ1286" t="s">
        <v>52</v>
      </c>
      <c r="AR1286" t="s">
        <v>62</v>
      </c>
      <c r="AS1286" t="s">
        <v>52</v>
      </c>
      <c r="AT1286" t="s">
        <v>52</v>
      </c>
      <c r="AU1286" t="s">
        <v>64</v>
      </c>
      <c r="AV1286" t="s">
        <v>62</v>
      </c>
      <c r="AW1286" t="s">
        <v>65</v>
      </c>
      <c r="AX1286" t="s">
        <v>66</v>
      </c>
      <c r="AY1286" t="s">
        <v>165</v>
      </c>
    </row>
    <row r="1287" spans="1:51" hidden="1" x14ac:dyDescent="0.25">
      <c r="A1287">
        <v>203386</v>
      </c>
      <c r="B1287" t="s">
        <v>4860</v>
      </c>
      <c r="C1287" t="e">
        <f>VLOOKUP(A1287,[1]Customer_payment_journal_line!$AL:$BO,30,0)</f>
        <v>#N/A</v>
      </c>
      <c r="D1287" t="s">
        <v>159</v>
      </c>
      <c r="E1287" t="s">
        <v>4857</v>
      </c>
      <c r="F1287" t="s">
        <v>4858</v>
      </c>
      <c r="G1287" t="s">
        <v>4689</v>
      </c>
      <c r="H1287" t="s">
        <v>69</v>
      </c>
      <c r="I1287" t="s">
        <v>4840</v>
      </c>
      <c r="J1287" t="s">
        <v>4837</v>
      </c>
      <c r="K1287" t="s">
        <v>4859</v>
      </c>
      <c r="L1287" t="s">
        <v>52</v>
      </c>
      <c r="M1287">
        <v>0</v>
      </c>
      <c r="N1287">
        <v>1140</v>
      </c>
      <c r="O1287" t="s">
        <v>61</v>
      </c>
      <c r="P1287">
        <v>100</v>
      </c>
      <c r="Q1287" t="s">
        <v>52</v>
      </c>
      <c r="R1287" t="s">
        <v>52</v>
      </c>
      <c r="S1287" t="s">
        <v>52</v>
      </c>
      <c r="T1287" t="s">
        <v>52</v>
      </c>
      <c r="U1287" t="s">
        <v>52</v>
      </c>
      <c r="V1287" t="s">
        <v>62</v>
      </c>
      <c r="W1287" t="s">
        <v>52</v>
      </c>
      <c r="Y1287" t="s">
        <v>4841</v>
      </c>
      <c r="Z1287" t="s">
        <v>62</v>
      </c>
      <c r="AB1287" t="s">
        <v>4861</v>
      </c>
      <c r="AE1287" t="s">
        <v>4862</v>
      </c>
      <c r="AF1287" t="s">
        <v>52</v>
      </c>
      <c r="AH1287">
        <v>0</v>
      </c>
      <c r="AI1287">
        <v>0</v>
      </c>
      <c r="AJ1287" t="s">
        <v>52</v>
      </c>
      <c r="AK1287">
        <v>0</v>
      </c>
      <c r="AL1287" t="s">
        <v>52</v>
      </c>
      <c r="AM1287" t="s">
        <v>52</v>
      </c>
      <c r="AN1287">
        <v>0</v>
      </c>
      <c r="AO1287">
        <v>0</v>
      </c>
      <c r="AP1287" t="s">
        <v>52</v>
      </c>
      <c r="AQ1287" t="s">
        <v>52</v>
      </c>
      <c r="AR1287" t="s">
        <v>62</v>
      </c>
      <c r="AS1287" t="s">
        <v>52</v>
      </c>
      <c r="AT1287" t="s">
        <v>74</v>
      </c>
      <c r="AU1287" t="s">
        <v>64</v>
      </c>
      <c r="AV1287" t="s">
        <v>62</v>
      </c>
      <c r="AW1287" t="s">
        <v>65</v>
      </c>
      <c r="AX1287" t="s">
        <v>66</v>
      </c>
      <c r="AY1287" t="s">
        <v>165</v>
      </c>
    </row>
    <row r="1288" spans="1:51" hidden="1" x14ac:dyDescent="0.25">
      <c r="A1288">
        <v>203386</v>
      </c>
      <c r="B1288" t="s">
        <v>4863</v>
      </c>
      <c r="C1288" t="e">
        <f>VLOOKUP(A1288,[1]Customer_payment_journal_line!$AL:$BO,30,0)</f>
        <v>#N/A</v>
      </c>
      <c r="D1288" t="s">
        <v>159</v>
      </c>
      <c r="E1288" t="s">
        <v>4857</v>
      </c>
      <c r="F1288" t="s">
        <v>4858</v>
      </c>
      <c r="G1288" t="s">
        <v>4689</v>
      </c>
      <c r="H1288" t="s">
        <v>69</v>
      </c>
      <c r="I1288" t="s">
        <v>4840</v>
      </c>
      <c r="J1288" t="s">
        <v>4837</v>
      </c>
      <c r="K1288" t="s">
        <v>4859</v>
      </c>
      <c r="L1288" t="s">
        <v>52</v>
      </c>
      <c r="M1288">
        <v>0</v>
      </c>
      <c r="N1288">
        <v>855</v>
      </c>
      <c r="O1288" t="s">
        <v>61</v>
      </c>
      <c r="P1288">
        <v>100</v>
      </c>
      <c r="Q1288" t="s">
        <v>52</v>
      </c>
      <c r="R1288" t="s">
        <v>52</v>
      </c>
      <c r="S1288" t="s">
        <v>52</v>
      </c>
      <c r="T1288" t="s">
        <v>52</v>
      </c>
      <c r="U1288" t="s">
        <v>52</v>
      </c>
      <c r="V1288" t="s">
        <v>62</v>
      </c>
      <c r="W1288" t="s">
        <v>52</v>
      </c>
      <c r="Y1288" t="s">
        <v>4841</v>
      </c>
      <c r="Z1288" t="s">
        <v>62</v>
      </c>
      <c r="AB1288" t="s">
        <v>4864</v>
      </c>
      <c r="AE1288" t="s">
        <v>4865</v>
      </c>
      <c r="AF1288" t="s">
        <v>52</v>
      </c>
      <c r="AH1288">
        <v>0</v>
      </c>
      <c r="AI1288">
        <v>0</v>
      </c>
      <c r="AJ1288" t="s">
        <v>52</v>
      </c>
      <c r="AK1288">
        <v>0</v>
      </c>
      <c r="AL1288" t="s">
        <v>52</v>
      </c>
      <c r="AM1288" t="s">
        <v>52</v>
      </c>
      <c r="AN1288">
        <v>0</v>
      </c>
      <c r="AO1288">
        <v>0</v>
      </c>
      <c r="AP1288" t="s">
        <v>52</v>
      </c>
      <c r="AQ1288" t="s">
        <v>52</v>
      </c>
      <c r="AR1288" t="s">
        <v>62</v>
      </c>
      <c r="AS1288" t="s">
        <v>52</v>
      </c>
      <c r="AT1288" t="s">
        <v>74</v>
      </c>
      <c r="AU1288" t="s">
        <v>64</v>
      </c>
      <c r="AV1288" t="s">
        <v>62</v>
      </c>
      <c r="AW1288" t="s">
        <v>65</v>
      </c>
      <c r="AX1288" t="s">
        <v>66</v>
      </c>
      <c r="AY1288" t="s">
        <v>165</v>
      </c>
    </row>
    <row r="1289" spans="1:51" hidden="1" x14ac:dyDescent="0.25">
      <c r="A1289">
        <v>203387</v>
      </c>
      <c r="B1289" t="s">
        <v>4866</v>
      </c>
      <c r="C1289" t="e">
        <f>VLOOKUP(A1289,[1]Customer_payment_journal_line!$AL:$BO,30,0)</f>
        <v>#N/A</v>
      </c>
      <c r="D1289" t="s">
        <v>159</v>
      </c>
      <c r="E1289" t="s">
        <v>4867</v>
      </c>
      <c r="F1289" t="s">
        <v>4868</v>
      </c>
      <c r="G1289" t="s">
        <v>4689</v>
      </c>
      <c r="H1289" t="s">
        <v>80</v>
      </c>
      <c r="I1289" t="s">
        <v>3014</v>
      </c>
      <c r="J1289" t="s">
        <v>4837</v>
      </c>
      <c r="K1289" t="s">
        <v>4859</v>
      </c>
      <c r="L1289" t="s">
        <v>52</v>
      </c>
      <c r="M1289">
        <v>325</v>
      </c>
      <c r="N1289">
        <v>0</v>
      </c>
      <c r="O1289" t="s">
        <v>178</v>
      </c>
      <c r="P1289">
        <v>5085</v>
      </c>
      <c r="Q1289" t="s">
        <v>52</v>
      </c>
      <c r="R1289" t="s">
        <v>52</v>
      </c>
      <c r="S1289" t="s">
        <v>52</v>
      </c>
      <c r="T1289" t="s">
        <v>52</v>
      </c>
      <c r="U1289" t="s">
        <v>52</v>
      </c>
      <c r="V1289" t="s">
        <v>62</v>
      </c>
      <c r="W1289" t="s">
        <v>52</v>
      </c>
      <c r="Y1289" t="s">
        <v>52</v>
      </c>
      <c r="AB1289" t="s">
        <v>52</v>
      </c>
      <c r="AE1289" t="s">
        <v>52</v>
      </c>
      <c r="AF1289" t="s">
        <v>52</v>
      </c>
      <c r="AH1289">
        <v>0</v>
      </c>
      <c r="AI1289">
        <v>0</v>
      </c>
      <c r="AJ1289" t="s">
        <v>52</v>
      </c>
      <c r="AK1289">
        <v>0</v>
      </c>
      <c r="AL1289" t="s">
        <v>52</v>
      </c>
      <c r="AM1289" t="s">
        <v>52</v>
      </c>
      <c r="AN1289">
        <v>0</v>
      </c>
      <c r="AO1289">
        <v>0</v>
      </c>
      <c r="AP1289" t="s">
        <v>52</v>
      </c>
      <c r="AQ1289" t="s">
        <v>52</v>
      </c>
      <c r="AR1289" t="s">
        <v>62</v>
      </c>
      <c r="AS1289" t="s">
        <v>52</v>
      </c>
      <c r="AT1289" t="s">
        <v>52</v>
      </c>
      <c r="AU1289" t="s">
        <v>64</v>
      </c>
      <c r="AV1289" t="s">
        <v>62</v>
      </c>
      <c r="AW1289" t="s">
        <v>65</v>
      </c>
      <c r="AX1289" t="s">
        <v>66</v>
      </c>
      <c r="AY1289" t="s">
        <v>165</v>
      </c>
    </row>
    <row r="1290" spans="1:51" hidden="1" x14ac:dyDescent="0.25">
      <c r="A1290">
        <v>203387</v>
      </c>
      <c r="B1290" t="s">
        <v>4869</v>
      </c>
      <c r="C1290" t="e">
        <f>VLOOKUP(A1290,[1]Customer_payment_journal_line!$AL:$BO,30,0)</f>
        <v>#N/A</v>
      </c>
      <c r="D1290" t="s">
        <v>159</v>
      </c>
      <c r="E1290" t="s">
        <v>4867</v>
      </c>
      <c r="F1290" t="s">
        <v>4868</v>
      </c>
      <c r="G1290" t="s">
        <v>4689</v>
      </c>
      <c r="H1290" t="s">
        <v>69</v>
      </c>
      <c r="I1290" t="s">
        <v>4840</v>
      </c>
      <c r="J1290" t="s">
        <v>4837</v>
      </c>
      <c r="K1290" t="s">
        <v>4859</v>
      </c>
      <c r="L1290" t="s">
        <v>52</v>
      </c>
      <c r="M1290">
        <v>0</v>
      </c>
      <c r="N1290">
        <v>325</v>
      </c>
      <c r="O1290" t="s">
        <v>178</v>
      </c>
      <c r="P1290">
        <v>5085</v>
      </c>
      <c r="Q1290" t="s">
        <v>52</v>
      </c>
      <c r="R1290" t="s">
        <v>52</v>
      </c>
      <c r="S1290" t="s">
        <v>52</v>
      </c>
      <c r="T1290" t="s">
        <v>52</v>
      </c>
      <c r="U1290" t="s">
        <v>52</v>
      </c>
      <c r="V1290" t="s">
        <v>62</v>
      </c>
      <c r="W1290" t="s">
        <v>52</v>
      </c>
      <c r="Y1290" t="s">
        <v>4841</v>
      </c>
      <c r="Z1290" t="s">
        <v>62</v>
      </c>
      <c r="AB1290" t="s">
        <v>4870</v>
      </c>
      <c r="AE1290" t="s">
        <v>4871</v>
      </c>
      <c r="AF1290" t="s">
        <v>52</v>
      </c>
      <c r="AH1290">
        <v>0</v>
      </c>
      <c r="AI1290">
        <v>0</v>
      </c>
      <c r="AJ1290" t="s">
        <v>52</v>
      </c>
      <c r="AK1290">
        <v>0</v>
      </c>
      <c r="AL1290" t="s">
        <v>52</v>
      </c>
      <c r="AM1290" t="s">
        <v>52</v>
      </c>
      <c r="AN1290">
        <v>0</v>
      </c>
      <c r="AO1290">
        <v>0</v>
      </c>
      <c r="AP1290" t="s">
        <v>52</v>
      </c>
      <c r="AQ1290" t="s">
        <v>52</v>
      </c>
      <c r="AR1290" t="s">
        <v>62</v>
      </c>
      <c r="AS1290" t="s">
        <v>52</v>
      </c>
      <c r="AT1290" t="s">
        <v>74</v>
      </c>
      <c r="AU1290" t="s">
        <v>64</v>
      </c>
      <c r="AV1290" t="s">
        <v>62</v>
      </c>
      <c r="AW1290" t="s">
        <v>65</v>
      </c>
      <c r="AX1290" t="s">
        <v>66</v>
      </c>
      <c r="AY1290" t="s">
        <v>165</v>
      </c>
    </row>
    <row r="1291" spans="1:51" hidden="1" x14ac:dyDescent="0.25">
      <c r="A1291">
        <v>203390</v>
      </c>
      <c r="B1291" t="s">
        <v>4872</v>
      </c>
      <c r="C1291" t="str">
        <f>VLOOKUP(A1291,[1]Customer_payment_journal_line!$AL:$BO,30,0)</f>
        <v>CPay-000000078</v>
      </c>
      <c r="D1291" t="s">
        <v>53</v>
      </c>
      <c r="E1291" t="s">
        <v>4873</v>
      </c>
      <c r="F1291" t="s">
        <v>4874</v>
      </c>
      <c r="G1291" t="s">
        <v>4689</v>
      </c>
      <c r="H1291" t="s">
        <v>57</v>
      </c>
      <c r="I1291" t="s">
        <v>95</v>
      </c>
      <c r="J1291" t="s">
        <v>4875</v>
      </c>
      <c r="K1291" t="s">
        <v>4876</v>
      </c>
      <c r="L1291">
        <f>VLOOKUP(A1291,[1]Customer_payment_journal_line!$B:$L,11,0)</f>
        <v>657.78</v>
      </c>
      <c r="M1291" s="1">
        <v>657.78</v>
      </c>
      <c r="N1291" s="2">
        <f>L1291-M1291</f>
        <v>0</v>
      </c>
      <c r="O1291" t="s">
        <v>61</v>
      </c>
      <c r="P1291">
        <v>100</v>
      </c>
      <c r="Q1291" t="s">
        <v>52</v>
      </c>
      <c r="R1291" t="s">
        <v>52</v>
      </c>
      <c r="S1291" t="s">
        <v>52</v>
      </c>
      <c r="T1291" t="s">
        <v>52</v>
      </c>
      <c r="U1291" t="s">
        <v>52</v>
      </c>
      <c r="V1291" t="s">
        <v>62</v>
      </c>
      <c r="W1291" t="s">
        <v>63</v>
      </c>
      <c r="Y1291" t="s">
        <v>52</v>
      </c>
      <c r="AB1291" t="s">
        <v>52</v>
      </c>
      <c r="AE1291" t="s">
        <v>52</v>
      </c>
      <c r="AF1291" t="s">
        <v>52</v>
      </c>
      <c r="AH1291">
        <v>0</v>
      </c>
      <c r="AI1291">
        <v>0</v>
      </c>
      <c r="AJ1291" t="s">
        <v>52</v>
      </c>
      <c r="AK1291">
        <v>0</v>
      </c>
      <c r="AL1291" t="s">
        <v>52</v>
      </c>
      <c r="AM1291" t="s">
        <v>52</v>
      </c>
      <c r="AN1291">
        <v>0</v>
      </c>
      <c r="AO1291">
        <v>0</v>
      </c>
      <c r="AP1291" t="s">
        <v>52</v>
      </c>
      <c r="AQ1291" t="s">
        <v>52</v>
      </c>
      <c r="AR1291" t="s">
        <v>62</v>
      </c>
      <c r="AS1291" t="s">
        <v>52</v>
      </c>
      <c r="AT1291" t="s">
        <v>52</v>
      </c>
      <c r="AU1291" t="s">
        <v>64</v>
      </c>
      <c r="AV1291" t="s">
        <v>62</v>
      </c>
      <c r="AW1291" t="s">
        <v>65</v>
      </c>
      <c r="AX1291" t="s">
        <v>66</v>
      </c>
      <c r="AY1291" t="s">
        <v>67</v>
      </c>
    </row>
    <row r="1292" spans="1:51" hidden="1" x14ac:dyDescent="0.25">
      <c r="A1292">
        <v>203390</v>
      </c>
      <c r="B1292" t="s">
        <v>4877</v>
      </c>
      <c r="C1292" t="str">
        <f>VLOOKUP(A1292,[1]Customer_payment_journal_line!$AL:$BO,30,0)</f>
        <v>CPay-000000078</v>
      </c>
      <c r="D1292" t="s">
        <v>53</v>
      </c>
      <c r="E1292" t="s">
        <v>4873</v>
      </c>
      <c r="F1292" t="s">
        <v>4874</v>
      </c>
      <c r="G1292" t="s">
        <v>4689</v>
      </c>
      <c r="H1292" t="s">
        <v>69</v>
      </c>
      <c r="I1292" t="s">
        <v>4878</v>
      </c>
      <c r="J1292" t="s">
        <v>4875</v>
      </c>
      <c r="K1292" t="s">
        <v>4876</v>
      </c>
      <c r="L1292">
        <f>VLOOKUP(A1292,[1]Customer_payment_journal_line!$B:$L,11,0)</f>
        <v>657.78</v>
      </c>
      <c r="M1292" s="1">
        <v>0</v>
      </c>
      <c r="N1292">
        <v>657.78</v>
      </c>
      <c r="O1292" t="s">
        <v>61</v>
      </c>
      <c r="P1292">
        <v>100</v>
      </c>
      <c r="Q1292" t="s">
        <v>52</v>
      </c>
      <c r="R1292" t="s">
        <v>52</v>
      </c>
      <c r="S1292" t="s">
        <v>52</v>
      </c>
      <c r="T1292" t="s">
        <v>52</v>
      </c>
      <c r="U1292" t="s">
        <v>52</v>
      </c>
      <c r="V1292" t="s">
        <v>62</v>
      </c>
      <c r="W1292" t="s">
        <v>52</v>
      </c>
      <c r="Y1292" t="s">
        <v>4879</v>
      </c>
      <c r="Z1292" t="s">
        <v>62</v>
      </c>
      <c r="AB1292" t="s">
        <v>4880</v>
      </c>
      <c r="AE1292" t="s">
        <v>4881</v>
      </c>
      <c r="AF1292" t="s">
        <v>52</v>
      </c>
      <c r="AH1292">
        <v>0</v>
      </c>
      <c r="AI1292">
        <v>0</v>
      </c>
      <c r="AJ1292" t="s">
        <v>52</v>
      </c>
      <c r="AK1292">
        <v>0</v>
      </c>
      <c r="AL1292" t="s">
        <v>52</v>
      </c>
      <c r="AM1292" t="s">
        <v>52</v>
      </c>
      <c r="AN1292">
        <v>0</v>
      </c>
      <c r="AO1292">
        <v>0</v>
      </c>
      <c r="AP1292" t="s">
        <v>52</v>
      </c>
      <c r="AQ1292" t="s">
        <v>52</v>
      </c>
      <c r="AR1292" t="s">
        <v>62</v>
      </c>
      <c r="AS1292" t="s">
        <v>52</v>
      </c>
      <c r="AT1292" t="s">
        <v>74</v>
      </c>
      <c r="AU1292" t="s">
        <v>64</v>
      </c>
      <c r="AV1292" t="s">
        <v>62</v>
      </c>
      <c r="AW1292" t="s">
        <v>65</v>
      </c>
      <c r="AX1292" t="s">
        <v>66</v>
      </c>
      <c r="AY1292" t="s">
        <v>67</v>
      </c>
    </row>
    <row r="1293" spans="1:51" hidden="1" x14ac:dyDescent="0.25">
      <c r="A1293">
        <v>203400</v>
      </c>
      <c r="B1293" t="s">
        <v>4882</v>
      </c>
      <c r="C1293" t="e">
        <f>VLOOKUP(A1293,[1]Customer_payment_journal_line!$AL:$BO,30,0)</f>
        <v>#N/A</v>
      </c>
      <c r="D1293" t="s">
        <v>76</v>
      </c>
      <c r="E1293" t="s">
        <v>4883</v>
      </c>
      <c r="F1293" t="s">
        <v>4884</v>
      </c>
      <c r="G1293" t="s">
        <v>4689</v>
      </c>
      <c r="H1293" t="s">
        <v>80</v>
      </c>
      <c r="I1293" t="s">
        <v>81</v>
      </c>
      <c r="J1293" t="s">
        <v>4885</v>
      </c>
      <c r="K1293" t="s">
        <v>2087</v>
      </c>
      <c r="L1293" t="s">
        <v>52</v>
      </c>
      <c r="M1293">
        <v>1679.22</v>
      </c>
      <c r="N1293">
        <v>0</v>
      </c>
      <c r="O1293" t="s">
        <v>61</v>
      </c>
      <c r="P1293">
        <v>100</v>
      </c>
      <c r="Q1293" t="s">
        <v>52</v>
      </c>
      <c r="R1293" t="s">
        <v>52</v>
      </c>
      <c r="S1293" t="s">
        <v>52</v>
      </c>
      <c r="T1293" t="s">
        <v>52</v>
      </c>
      <c r="U1293" t="s">
        <v>52</v>
      </c>
      <c r="V1293" t="s">
        <v>62</v>
      </c>
      <c r="W1293" t="s">
        <v>52</v>
      </c>
      <c r="Y1293" t="s">
        <v>52</v>
      </c>
      <c r="AB1293" t="s">
        <v>52</v>
      </c>
      <c r="AE1293" t="s">
        <v>52</v>
      </c>
      <c r="AF1293" t="s">
        <v>52</v>
      </c>
      <c r="AH1293">
        <v>0</v>
      </c>
      <c r="AI1293">
        <v>0</v>
      </c>
      <c r="AJ1293" t="s">
        <v>52</v>
      </c>
      <c r="AK1293">
        <v>0</v>
      </c>
      <c r="AL1293" t="s">
        <v>52</v>
      </c>
      <c r="AM1293" t="s">
        <v>52</v>
      </c>
      <c r="AN1293">
        <v>0</v>
      </c>
      <c r="AO1293">
        <v>0</v>
      </c>
      <c r="AP1293" t="s">
        <v>52</v>
      </c>
      <c r="AQ1293" t="s">
        <v>52</v>
      </c>
      <c r="AR1293" t="s">
        <v>62</v>
      </c>
      <c r="AS1293" t="s">
        <v>52</v>
      </c>
      <c r="AT1293" t="s">
        <v>52</v>
      </c>
      <c r="AU1293" t="s">
        <v>64</v>
      </c>
      <c r="AV1293" t="s">
        <v>62</v>
      </c>
      <c r="AW1293" t="s">
        <v>65</v>
      </c>
      <c r="AX1293" t="s">
        <v>66</v>
      </c>
      <c r="AY1293" t="s">
        <v>76</v>
      </c>
    </row>
    <row r="1294" spans="1:51" hidden="1" x14ac:dyDescent="0.25">
      <c r="A1294">
        <v>203400</v>
      </c>
      <c r="B1294" t="s">
        <v>4886</v>
      </c>
      <c r="C1294" t="e">
        <f>VLOOKUP(A1294,[1]Customer_payment_journal_line!$AL:$BO,30,0)</f>
        <v>#N/A</v>
      </c>
      <c r="D1294" t="s">
        <v>76</v>
      </c>
      <c r="E1294" t="s">
        <v>4883</v>
      </c>
      <c r="F1294" t="s">
        <v>4884</v>
      </c>
      <c r="G1294" t="s">
        <v>4689</v>
      </c>
      <c r="H1294" t="s">
        <v>69</v>
      </c>
      <c r="I1294" t="s">
        <v>2089</v>
      </c>
      <c r="J1294" t="s">
        <v>4885</v>
      </c>
      <c r="K1294" t="s">
        <v>2087</v>
      </c>
      <c r="L1294" t="s">
        <v>52</v>
      </c>
      <c r="M1294">
        <v>0</v>
      </c>
      <c r="N1294">
        <v>1679.22</v>
      </c>
      <c r="O1294" t="s">
        <v>61</v>
      </c>
      <c r="P1294">
        <v>100</v>
      </c>
      <c r="Q1294" t="s">
        <v>52</v>
      </c>
      <c r="R1294" t="s">
        <v>52</v>
      </c>
      <c r="S1294" t="s">
        <v>52</v>
      </c>
      <c r="T1294" t="s">
        <v>52</v>
      </c>
      <c r="U1294" t="s">
        <v>52</v>
      </c>
      <c r="V1294" t="s">
        <v>62</v>
      </c>
      <c r="W1294" t="s">
        <v>52</v>
      </c>
      <c r="Y1294" t="s">
        <v>2090</v>
      </c>
      <c r="Z1294" t="s">
        <v>62</v>
      </c>
      <c r="AB1294" t="s">
        <v>4887</v>
      </c>
      <c r="AE1294" t="s">
        <v>4888</v>
      </c>
      <c r="AF1294" t="s">
        <v>52</v>
      </c>
      <c r="AH1294">
        <v>0</v>
      </c>
      <c r="AI1294">
        <v>0</v>
      </c>
      <c r="AJ1294" t="s">
        <v>52</v>
      </c>
      <c r="AK1294">
        <v>0</v>
      </c>
      <c r="AL1294" t="s">
        <v>52</v>
      </c>
      <c r="AM1294" t="s">
        <v>52</v>
      </c>
      <c r="AN1294">
        <v>0</v>
      </c>
      <c r="AO1294">
        <v>0</v>
      </c>
      <c r="AP1294" t="s">
        <v>52</v>
      </c>
      <c r="AQ1294" t="s">
        <v>52</v>
      </c>
      <c r="AR1294" t="s">
        <v>62</v>
      </c>
      <c r="AS1294" t="s">
        <v>52</v>
      </c>
      <c r="AT1294" t="s">
        <v>74</v>
      </c>
      <c r="AU1294" t="s">
        <v>64</v>
      </c>
      <c r="AV1294" t="s">
        <v>62</v>
      </c>
      <c r="AW1294" t="s">
        <v>65</v>
      </c>
      <c r="AX1294" t="s">
        <v>66</v>
      </c>
      <c r="AY1294" t="s">
        <v>76</v>
      </c>
    </row>
    <row r="1295" spans="1:51" hidden="1" x14ac:dyDescent="0.25">
      <c r="A1295">
        <v>203407</v>
      </c>
      <c r="B1295" t="s">
        <v>4889</v>
      </c>
      <c r="C1295" t="str">
        <f>VLOOKUP(A1295,[1]Customer_payment_journal_line!$AL:$BO,30,0)</f>
        <v>CPay-000000079</v>
      </c>
      <c r="D1295" t="s">
        <v>53</v>
      </c>
      <c r="E1295" t="s">
        <v>4890</v>
      </c>
      <c r="F1295" t="s">
        <v>4891</v>
      </c>
      <c r="G1295" t="s">
        <v>4689</v>
      </c>
      <c r="H1295" t="s">
        <v>57</v>
      </c>
      <c r="I1295" t="s">
        <v>95</v>
      </c>
      <c r="J1295" t="s">
        <v>4892</v>
      </c>
      <c r="K1295" t="s">
        <v>4893</v>
      </c>
      <c r="L1295">
        <f>VLOOKUP(A1295,[1]Customer_payment_journal_line!$B:$L,11,0)</f>
        <v>1653</v>
      </c>
      <c r="M1295" s="1">
        <v>1653</v>
      </c>
      <c r="N1295" s="2">
        <f>L1295-M1295</f>
        <v>0</v>
      </c>
      <c r="O1295" t="s">
        <v>61</v>
      </c>
      <c r="P1295">
        <v>100</v>
      </c>
      <c r="Q1295" t="s">
        <v>52</v>
      </c>
      <c r="R1295" t="s">
        <v>52</v>
      </c>
      <c r="S1295" t="s">
        <v>52</v>
      </c>
      <c r="T1295" t="s">
        <v>52</v>
      </c>
      <c r="U1295" t="s">
        <v>52</v>
      </c>
      <c r="V1295" t="s">
        <v>62</v>
      </c>
      <c r="W1295" t="s">
        <v>63</v>
      </c>
      <c r="Y1295" t="s">
        <v>52</v>
      </c>
      <c r="AB1295" t="s">
        <v>52</v>
      </c>
      <c r="AE1295" t="s">
        <v>52</v>
      </c>
      <c r="AF1295" t="s">
        <v>52</v>
      </c>
      <c r="AH1295">
        <v>0</v>
      </c>
      <c r="AI1295">
        <v>0</v>
      </c>
      <c r="AJ1295" t="s">
        <v>52</v>
      </c>
      <c r="AK1295">
        <v>0</v>
      </c>
      <c r="AL1295" t="s">
        <v>52</v>
      </c>
      <c r="AM1295" t="s">
        <v>52</v>
      </c>
      <c r="AN1295">
        <v>0</v>
      </c>
      <c r="AO1295">
        <v>0</v>
      </c>
      <c r="AP1295" t="s">
        <v>52</v>
      </c>
      <c r="AQ1295" t="s">
        <v>52</v>
      </c>
      <c r="AR1295" t="s">
        <v>62</v>
      </c>
      <c r="AS1295" t="s">
        <v>52</v>
      </c>
      <c r="AT1295" t="s">
        <v>52</v>
      </c>
      <c r="AU1295" t="s">
        <v>64</v>
      </c>
      <c r="AV1295" t="s">
        <v>62</v>
      </c>
      <c r="AW1295" t="s">
        <v>65</v>
      </c>
      <c r="AX1295" t="s">
        <v>66</v>
      </c>
      <c r="AY1295" t="s">
        <v>67</v>
      </c>
    </row>
    <row r="1296" spans="1:51" hidden="1" x14ac:dyDescent="0.25">
      <c r="A1296">
        <v>203407</v>
      </c>
      <c r="B1296" t="s">
        <v>4894</v>
      </c>
      <c r="C1296" t="str">
        <f>VLOOKUP(A1296,[1]Customer_payment_journal_line!$AL:$BO,30,0)</f>
        <v>CPay-000000079</v>
      </c>
      <c r="D1296" t="s">
        <v>53</v>
      </c>
      <c r="E1296" t="s">
        <v>4890</v>
      </c>
      <c r="F1296" t="s">
        <v>4891</v>
      </c>
      <c r="G1296" t="s">
        <v>4689</v>
      </c>
      <c r="H1296" t="s">
        <v>69</v>
      </c>
      <c r="I1296" t="s">
        <v>2089</v>
      </c>
      <c r="J1296" t="s">
        <v>4892</v>
      </c>
      <c r="K1296" t="s">
        <v>4893</v>
      </c>
      <c r="L1296">
        <f>VLOOKUP(A1296,[1]Customer_payment_journal_line!$B:$L,11,0)</f>
        <v>1653</v>
      </c>
      <c r="M1296" s="1">
        <v>0</v>
      </c>
      <c r="N1296">
        <v>1653</v>
      </c>
      <c r="O1296" t="s">
        <v>61</v>
      </c>
      <c r="P1296">
        <v>100</v>
      </c>
      <c r="Q1296" t="s">
        <v>52</v>
      </c>
      <c r="R1296" t="s">
        <v>52</v>
      </c>
      <c r="S1296" t="s">
        <v>52</v>
      </c>
      <c r="T1296" t="s">
        <v>52</v>
      </c>
      <c r="U1296" t="s">
        <v>52</v>
      </c>
      <c r="V1296" t="s">
        <v>62</v>
      </c>
      <c r="W1296" t="s">
        <v>52</v>
      </c>
      <c r="Y1296" t="s">
        <v>2090</v>
      </c>
      <c r="Z1296" t="s">
        <v>62</v>
      </c>
      <c r="AB1296" t="s">
        <v>4895</v>
      </c>
      <c r="AE1296" t="s">
        <v>4896</v>
      </c>
      <c r="AF1296" t="s">
        <v>52</v>
      </c>
      <c r="AH1296">
        <v>0</v>
      </c>
      <c r="AI1296">
        <v>0</v>
      </c>
      <c r="AJ1296" t="s">
        <v>52</v>
      </c>
      <c r="AK1296">
        <v>0</v>
      </c>
      <c r="AL1296" t="s">
        <v>52</v>
      </c>
      <c r="AM1296" t="s">
        <v>52</v>
      </c>
      <c r="AN1296">
        <v>0</v>
      </c>
      <c r="AO1296">
        <v>0</v>
      </c>
      <c r="AP1296" t="s">
        <v>52</v>
      </c>
      <c r="AQ1296" t="s">
        <v>52</v>
      </c>
      <c r="AR1296" t="s">
        <v>62</v>
      </c>
      <c r="AS1296" t="s">
        <v>52</v>
      </c>
      <c r="AT1296" t="s">
        <v>74</v>
      </c>
      <c r="AU1296" t="s">
        <v>64</v>
      </c>
      <c r="AV1296" t="s">
        <v>62</v>
      </c>
      <c r="AW1296" t="s">
        <v>65</v>
      </c>
      <c r="AX1296" t="s">
        <v>66</v>
      </c>
      <c r="AY1296" t="s">
        <v>67</v>
      </c>
    </row>
    <row r="1297" spans="1:51" hidden="1" x14ac:dyDescent="0.25">
      <c r="A1297">
        <v>203408</v>
      </c>
      <c r="B1297" t="s">
        <v>4897</v>
      </c>
      <c r="C1297" t="str">
        <f>VLOOKUP(A1297,[1]Customer_payment_journal_line!$AL:$BO,30,0)</f>
        <v>CPay-000000080</v>
      </c>
      <c r="D1297" t="s">
        <v>53</v>
      </c>
      <c r="E1297" t="s">
        <v>4898</v>
      </c>
      <c r="F1297" t="s">
        <v>4899</v>
      </c>
      <c r="G1297" t="s">
        <v>4689</v>
      </c>
      <c r="H1297" t="s">
        <v>57</v>
      </c>
      <c r="I1297" t="s">
        <v>95</v>
      </c>
      <c r="J1297" t="s">
        <v>4892</v>
      </c>
      <c r="K1297" t="s">
        <v>4893</v>
      </c>
      <c r="L1297">
        <f>VLOOKUP(A1297,[1]Customer_payment_journal_line!$B:$L,11,0)</f>
        <v>1425</v>
      </c>
      <c r="M1297" s="1">
        <v>1425</v>
      </c>
      <c r="N1297" s="2">
        <f>L1297-M1297</f>
        <v>0</v>
      </c>
      <c r="O1297" t="s">
        <v>61</v>
      </c>
      <c r="P1297">
        <v>100</v>
      </c>
      <c r="Q1297" t="s">
        <v>52</v>
      </c>
      <c r="R1297" t="s">
        <v>52</v>
      </c>
      <c r="S1297" t="s">
        <v>52</v>
      </c>
      <c r="T1297" t="s">
        <v>52</v>
      </c>
      <c r="U1297" t="s">
        <v>52</v>
      </c>
      <c r="V1297" t="s">
        <v>62</v>
      </c>
      <c r="W1297" t="s">
        <v>63</v>
      </c>
      <c r="Y1297" t="s">
        <v>52</v>
      </c>
      <c r="AB1297" t="s">
        <v>52</v>
      </c>
      <c r="AE1297" t="s">
        <v>52</v>
      </c>
      <c r="AF1297" t="s">
        <v>52</v>
      </c>
      <c r="AH1297">
        <v>0</v>
      </c>
      <c r="AI1297">
        <v>0</v>
      </c>
      <c r="AJ1297" t="s">
        <v>52</v>
      </c>
      <c r="AK1297">
        <v>0</v>
      </c>
      <c r="AL1297" t="s">
        <v>52</v>
      </c>
      <c r="AM1297" t="s">
        <v>52</v>
      </c>
      <c r="AN1297">
        <v>0</v>
      </c>
      <c r="AO1297">
        <v>0</v>
      </c>
      <c r="AP1297" t="s">
        <v>52</v>
      </c>
      <c r="AQ1297" t="s">
        <v>52</v>
      </c>
      <c r="AR1297" t="s">
        <v>62</v>
      </c>
      <c r="AS1297" t="s">
        <v>52</v>
      </c>
      <c r="AT1297" t="s">
        <v>52</v>
      </c>
      <c r="AU1297" t="s">
        <v>64</v>
      </c>
      <c r="AV1297" t="s">
        <v>62</v>
      </c>
      <c r="AW1297" t="s">
        <v>65</v>
      </c>
      <c r="AX1297" t="s">
        <v>66</v>
      </c>
      <c r="AY1297" t="s">
        <v>67</v>
      </c>
    </row>
    <row r="1298" spans="1:51" hidden="1" x14ac:dyDescent="0.25">
      <c r="A1298">
        <v>203408</v>
      </c>
      <c r="B1298" t="s">
        <v>4900</v>
      </c>
      <c r="C1298" t="str">
        <f>VLOOKUP(A1298,[1]Customer_payment_journal_line!$AL:$BO,30,0)</f>
        <v>CPay-000000080</v>
      </c>
      <c r="D1298" t="s">
        <v>53</v>
      </c>
      <c r="E1298" t="s">
        <v>4898</v>
      </c>
      <c r="F1298" t="s">
        <v>4899</v>
      </c>
      <c r="G1298" t="s">
        <v>4689</v>
      </c>
      <c r="H1298" t="s">
        <v>69</v>
      </c>
      <c r="I1298" t="s">
        <v>2089</v>
      </c>
      <c r="J1298" t="s">
        <v>4892</v>
      </c>
      <c r="K1298" t="s">
        <v>4893</v>
      </c>
      <c r="L1298">
        <f>VLOOKUP(A1298,[1]Customer_payment_journal_line!$B:$L,11,0)</f>
        <v>1425</v>
      </c>
      <c r="M1298" s="1">
        <v>0</v>
      </c>
      <c r="N1298">
        <v>1425</v>
      </c>
      <c r="O1298" t="s">
        <v>61</v>
      </c>
      <c r="P1298">
        <v>100</v>
      </c>
      <c r="Q1298" t="s">
        <v>52</v>
      </c>
      <c r="R1298" t="s">
        <v>52</v>
      </c>
      <c r="S1298" t="s">
        <v>52</v>
      </c>
      <c r="T1298" t="s">
        <v>52</v>
      </c>
      <c r="U1298" t="s">
        <v>52</v>
      </c>
      <c r="V1298" t="s">
        <v>62</v>
      </c>
      <c r="W1298" t="s">
        <v>52</v>
      </c>
      <c r="Y1298" t="s">
        <v>2090</v>
      </c>
      <c r="Z1298" t="s">
        <v>62</v>
      </c>
      <c r="AB1298" t="s">
        <v>4901</v>
      </c>
      <c r="AE1298" t="s">
        <v>4902</v>
      </c>
      <c r="AF1298" t="s">
        <v>52</v>
      </c>
      <c r="AH1298">
        <v>0</v>
      </c>
      <c r="AI1298">
        <v>0</v>
      </c>
      <c r="AJ1298" t="s">
        <v>52</v>
      </c>
      <c r="AK1298">
        <v>0</v>
      </c>
      <c r="AL1298" t="s">
        <v>52</v>
      </c>
      <c r="AM1298" t="s">
        <v>52</v>
      </c>
      <c r="AN1298">
        <v>0</v>
      </c>
      <c r="AO1298">
        <v>0</v>
      </c>
      <c r="AP1298" t="s">
        <v>52</v>
      </c>
      <c r="AQ1298" t="s">
        <v>52</v>
      </c>
      <c r="AR1298" t="s">
        <v>62</v>
      </c>
      <c r="AS1298" t="s">
        <v>52</v>
      </c>
      <c r="AT1298" t="s">
        <v>74</v>
      </c>
      <c r="AU1298" t="s">
        <v>64</v>
      </c>
      <c r="AV1298" t="s">
        <v>62</v>
      </c>
      <c r="AW1298" t="s">
        <v>65</v>
      </c>
      <c r="AX1298" t="s">
        <v>66</v>
      </c>
      <c r="AY1298" t="s">
        <v>67</v>
      </c>
    </row>
    <row r="1299" spans="1:51" hidden="1" x14ac:dyDescent="0.25">
      <c r="A1299">
        <v>203411</v>
      </c>
      <c r="B1299" t="s">
        <v>4903</v>
      </c>
      <c r="C1299" t="str">
        <f>VLOOKUP(A1299,[1]Customer_payment_journal_line!$AL:$BO,30,0)</f>
        <v>CPay-000000081</v>
      </c>
      <c r="D1299" t="s">
        <v>53</v>
      </c>
      <c r="E1299" t="s">
        <v>4904</v>
      </c>
      <c r="F1299" t="s">
        <v>4905</v>
      </c>
      <c r="G1299" t="s">
        <v>4689</v>
      </c>
      <c r="H1299" t="s">
        <v>57</v>
      </c>
      <c r="I1299" t="s">
        <v>95</v>
      </c>
      <c r="J1299" t="s">
        <v>1082</v>
      </c>
      <c r="K1299" t="s">
        <v>4906</v>
      </c>
      <c r="L1299">
        <f>VLOOKUP(A1299,[1]Customer_payment_journal_line!$B:$L,11,0)</f>
        <v>1653</v>
      </c>
      <c r="M1299" s="1">
        <v>1653</v>
      </c>
      <c r="N1299" s="2">
        <f>L1299-M1299</f>
        <v>0</v>
      </c>
      <c r="O1299" t="s">
        <v>61</v>
      </c>
      <c r="P1299">
        <v>100</v>
      </c>
      <c r="Q1299" t="s">
        <v>52</v>
      </c>
      <c r="R1299" t="s">
        <v>52</v>
      </c>
      <c r="S1299" t="s">
        <v>52</v>
      </c>
      <c r="T1299" t="s">
        <v>52</v>
      </c>
      <c r="U1299" t="s">
        <v>52</v>
      </c>
      <c r="V1299" t="s">
        <v>62</v>
      </c>
      <c r="W1299" t="s">
        <v>63</v>
      </c>
      <c r="Y1299" t="s">
        <v>52</v>
      </c>
      <c r="AB1299" t="s">
        <v>52</v>
      </c>
      <c r="AE1299" t="s">
        <v>52</v>
      </c>
      <c r="AF1299" t="s">
        <v>52</v>
      </c>
      <c r="AH1299">
        <v>0</v>
      </c>
      <c r="AI1299">
        <v>0</v>
      </c>
      <c r="AJ1299" t="s">
        <v>52</v>
      </c>
      <c r="AK1299">
        <v>0</v>
      </c>
      <c r="AL1299" t="s">
        <v>52</v>
      </c>
      <c r="AM1299" t="s">
        <v>52</v>
      </c>
      <c r="AN1299">
        <v>0</v>
      </c>
      <c r="AO1299">
        <v>0</v>
      </c>
      <c r="AP1299" t="s">
        <v>52</v>
      </c>
      <c r="AQ1299" t="s">
        <v>52</v>
      </c>
      <c r="AR1299" t="s">
        <v>62</v>
      </c>
      <c r="AS1299" t="s">
        <v>52</v>
      </c>
      <c r="AT1299" t="s">
        <v>52</v>
      </c>
      <c r="AU1299" t="s">
        <v>64</v>
      </c>
      <c r="AV1299" t="s">
        <v>62</v>
      </c>
      <c r="AW1299" t="s">
        <v>65</v>
      </c>
      <c r="AX1299" t="s">
        <v>66</v>
      </c>
      <c r="AY1299" t="s">
        <v>67</v>
      </c>
    </row>
    <row r="1300" spans="1:51" hidden="1" x14ac:dyDescent="0.25">
      <c r="A1300">
        <v>203411</v>
      </c>
      <c r="B1300" t="s">
        <v>4907</v>
      </c>
      <c r="C1300" t="str">
        <f>VLOOKUP(A1300,[1]Customer_payment_journal_line!$AL:$BO,30,0)</f>
        <v>CPay-000000081</v>
      </c>
      <c r="D1300" t="s">
        <v>53</v>
      </c>
      <c r="E1300" t="s">
        <v>4904</v>
      </c>
      <c r="F1300" t="s">
        <v>4905</v>
      </c>
      <c r="G1300" t="s">
        <v>4689</v>
      </c>
      <c r="H1300" t="s">
        <v>69</v>
      </c>
      <c r="I1300" t="s">
        <v>1085</v>
      </c>
      <c r="J1300" t="s">
        <v>1082</v>
      </c>
      <c r="K1300" t="s">
        <v>4906</v>
      </c>
      <c r="L1300">
        <f>VLOOKUP(A1300,[1]Customer_payment_journal_line!$B:$L,11,0)</f>
        <v>1653</v>
      </c>
      <c r="M1300" s="1">
        <v>0</v>
      </c>
      <c r="N1300">
        <v>1653</v>
      </c>
      <c r="O1300" t="s">
        <v>61</v>
      </c>
      <c r="P1300">
        <v>100</v>
      </c>
      <c r="Q1300" t="s">
        <v>52</v>
      </c>
      <c r="R1300" t="s">
        <v>52</v>
      </c>
      <c r="S1300" t="s">
        <v>52</v>
      </c>
      <c r="T1300" t="s">
        <v>52</v>
      </c>
      <c r="U1300" t="s">
        <v>52</v>
      </c>
      <c r="V1300" t="s">
        <v>62</v>
      </c>
      <c r="W1300" t="s">
        <v>52</v>
      </c>
      <c r="Y1300" t="s">
        <v>1086</v>
      </c>
      <c r="Z1300" t="s">
        <v>62</v>
      </c>
      <c r="AB1300" t="s">
        <v>4908</v>
      </c>
      <c r="AE1300" t="s">
        <v>4909</v>
      </c>
      <c r="AF1300" t="s">
        <v>52</v>
      </c>
      <c r="AH1300">
        <v>0</v>
      </c>
      <c r="AI1300">
        <v>0</v>
      </c>
      <c r="AJ1300" t="s">
        <v>52</v>
      </c>
      <c r="AK1300">
        <v>0</v>
      </c>
      <c r="AL1300" t="s">
        <v>52</v>
      </c>
      <c r="AM1300" t="s">
        <v>52</v>
      </c>
      <c r="AN1300">
        <v>0</v>
      </c>
      <c r="AO1300">
        <v>0</v>
      </c>
      <c r="AP1300" t="s">
        <v>52</v>
      </c>
      <c r="AQ1300" t="s">
        <v>52</v>
      </c>
      <c r="AR1300" t="s">
        <v>62</v>
      </c>
      <c r="AS1300" t="s">
        <v>52</v>
      </c>
      <c r="AT1300" t="s">
        <v>74</v>
      </c>
      <c r="AU1300" t="s">
        <v>64</v>
      </c>
      <c r="AV1300" t="s">
        <v>62</v>
      </c>
      <c r="AW1300" t="s">
        <v>65</v>
      </c>
      <c r="AX1300" t="s">
        <v>66</v>
      </c>
      <c r="AY1300" t="s">
        <v>67</v>
      </c>
    </row>
    <row r="1301" spans="1:51" hidden="1" x14ac:dyDescent="0.25">
      <c r="A1301">
        <v>203413</v>
      </c>
      <c r="B1301" t="s">
        <v>4910</v>
      </c>
      <c r="C1301" t="str">
        <f>VLOOKUP(A1301,[1]Customer_payment_journal_line!$AL:$BO,30,0)</f>
        <v>CPay-000000082</v>
      </c>
      <c r="D1301" t="s">
        <v>53</v>
      </c>
      <c r="E1301" t="s">
        <v>4911</v>
      </c>
      <c r="F1301" t="s">
        <v>4912</v>
      </c>
      <c r="G1301" t="s">
        <v>4689</v>
      </c>
      <c r="H1301" t="s">
        <v>57</v>
      </c>
      <c r="I1301" t="s">
        <v>95</v>
      </c>
      <c r="J1301" t="s">
        <v>1082</v>
      </c>
      <c r="K1301" t="s">
        <v>4906</v>
      </c>
      <c r="L1301">
        <f>VLOOKUP(A1301,[1]Customer_payment_journal_line!$B:$L,11,0)</f>
        <v>1440.73</v>
      </c>
      <c r="M1301" s="1">
        <v>1440.73</v>
      </c>
      <c r="N1301" s="2">
        <f>L1301-M1301</f>
        <v>0</v>
      </c>
      <c r="O1301" t="s">
        <v>61</v>
      </c>
      <c r="P1301">
        <v>100</v>
      </c>
      <c r="Q1301" t="s">
        <v>52</v>
      </c>
      <c r="R1301" t="s">
        <v>52</v>
      </c>
      <c r="S1301" t="s">
        <v>52</v>
      </c>
      <c r="T1301" t="s">
        <v>52</v>
      </c>
      <c r="U1301" t="s">
        <v>52</v>
      </c>
      <c r="V1301" t="s">
        <v>62</v>
      </c>
      <c r="W1301" t="s">
        <v>63</v>
      </c>
      <c r="Y1301" t="s">
        <v>52</v>
      </c>
      <c r="AB1301" t="s">
        <v>52</v>
      </c>
      <c r="AE1301" t="s">
        <v>52</v>
      </c>
      <c r="AF1301" t="s">
        <v>52</v>
      </c>
      <c r="AH1301">
        <v>0</v>
      </c>
      <c r="AI1301">
        <v>0</v>
      </c>
      <c r="AJ1301" t="s">
        <v>52</v>
      </c>
      <c r="AK1301">
        <v>0</v>
      </c>
      <c r="AL1301" t="s">
        <v>52</v>
      </c>
      <c r="AM1301" t="s">
        <v>52</v>
      </c>
      <c r="AN1301">
        <v>0</v>
      </c>
      <c r="AO1301">
        <v>0</v>
      </c>
      <c r="AP1301" t="s">
        <v>52</v>
      </c>
      <c r="AQ1301" t="s">
        <v>52</v>
      </c>
      <c r="AR1301" t="s">
        <v>62</v>
      </c>
      <c r="AS1301" t="s">
        <v>52</v>
      </c>
      <c r="AT1301" t="s">
        <v>52</v>
      </c>
      <c r="AU1301" t="s">
        <v>64</v>
      </c>
      <c r="AV1301" t="s">
        <v>62</v>
      </c>
      <c r="AW1301" t="s">
        <v>65</v>
      </c>
      <c r="AX1301" t="s">
        <v>66</v>
      </c>
      <c r="AY1301" t="s">
        <v>67</v>
      </c>
    </row>
    <row r="1302" spans="1:51" hidden="1" x14ac:dyDescent="0.25">
      <c r="A1302">
        <v>203413</v>
      </c>
      <c r="B1302" t="s">
        <v>4913</v>
      </c>
      <c r="C1302" t="str">
        <f>VLOOKUP(A1302,[1]Customer_payment_journal_line!$AL:$BO,30,0)</f>
        <v>CPay-000000082</v>
      </c>
      <c r="D1302" t="s">
        <v>53</v>
      </c>
      <c r="E1302" t="s">
        <v>4911</v>
      </c>
      <c r="F1302" t="s">
        <v>4912</v>
      </c>
      <c r="G1302" t="s">
        <v>4689</v>
      </c>
      <c r="H1302" t="s">
        <v>69</v>
      </c>
      <c r="I1302" t="s">
        <v>1085</v>
      </c>
      <c r="J1302" t="s">
        <v>1082</v>
      </c>
      <c r="K1302" t="s">
        <v>4906</v>
      </c>
      <c r="L1302">
        <f>VLOOKUP(A1302,[1]Customer_payment_journal_line!$B:$L,11,0)</f>
        <v>1440.73</v>
      </c>
      <c r="M1302" s="1">
        <v>0</v>
      </c>
      <c r="N1302">
        <v>1440.73</v>
      </c>
      <c r="O1302" t="s">
        <v>61</v>
      </c>
      <c r="P1302">
        <v>100</v>
      </c>
      <c r="Q1302" t="s">
        <v>52</v>
      </c>
      <c r="R1302" t="s">
        <v>52</v>
      </c>
      <c r="S1302" t="s">
        <v>52</v>
      </c>
      <c r="T1302" t="s">
        <v>52</v>
      </c>
      <c r="U1302" t="s">
        <v>52</v>
      </c>
      <c r="V1302" t="s">
        <v>62</v>
      </c>
      <c r="W1302" t="s">
        <v>52</v>
      </c>
      <c r="Y1302" t="s">
        <v>1086</v>
      </c>
      <c r="Z1302" t="s">
        <v>62</v>
      </c>
      <c r="AB1302" t="s">
        <v>4914</v>
      </c>
      <c r="AE1302" t="s">
        <v>4915</v>
      </c>
      <c r="AF1302" t="s">
        <v>52</v>
      </c>
      <c r="AH1302">
        <v>0</v>
      </c>
      <c r="AI1302">
        <v>0</v>
      </c>
      <c r="AJ1302" t="s">
        <v>52</v>
      </c>
      <c r="AK1302">
        <v>0</v>
      </c>
      <c r="AL1302" t="s">
        <v>52</v>
      </c>
      <c r="AM1302" t="s">
        <v>52</v>
      </c>
      <c r="AN1302">
        <v>0</v>
      </c>
      <c r="AO1302">
        <v>0</v>
      </c>
      <c r="AP1302" t="s">
        <v>52</v>
      </c>
      <c r="AQ1302" t="s">
        <v>52</v>
      </c>
      <c r="AR1302" t="s">
        <v>62</v>
      </c>
      <c r="AS1302" t="s">
        <v>52</v>
      </c>
      <c r="AT1302" t="s">
        <v>74</v>
      </c>
      <c r="AU1302" t="s">
        <v>64</v>
      </c>
      <c r="AV1302" t="s">
        <v>62</v>
      </c>
      <c r="AW1302" t="s">
        <v>65</v>
      </c>
      <c r="AX1302" t="s">
        <v>66</v>
      </c>
      <c r="AY1302" t="s">
        <v>67</v>
      </c>
    </row>
    <row r="1303" spans="1:51" hidden="1" x14ac:dyDescent="0.25">
      <c r="A1303">
        <v>203415</v>
      </c>
      <c r="B1303" t="s">
        <v>4916</v>
      </c>
      <c r="C1303" t="str">
        <f>VLOOKUP(A1303,[1]Customer_payment_journal_line!$AL:$BO,30,0)</f>
        <v>CPay-000000083</v>
      </c>
      <c r="D1303" t="s">
        <v>53</v>
      </c>
      <c r="E1303" t="s">
        <v>4917</v>
      </c>
      <c r="F1303" t="s">
        <v>4918</v>
      </c>
      <c r="G1303" t="s">
        <v>4689</v>
      </c>
      <c r="H1303" t="s">
        <v>57</v>
      </c>
      <c r="I1303" t="s">
        <v>95</v>
      </c>
      <c r="J1303" t="s">
        <v>255</v>
      </c>
      <c r="K1303" t="s">
        <v>4919</v>
      </c>
      <c r="L1303">
        <f>VLOOKUP(A1303,[1]Customer_payment_journal_line!$B:$L,11,0)</f>
        <v>1653</v>
      </c>
      <c r="M1303" s="1">
        <v>1653</v>
      </c>
      <c r="N1303" s="2">
        <f>L1303-M1303</f>
        <v>0</v>
      </c>
      <c r="O1303" t="s">
        <v>61</v>
      </c>
      <c r="P1303">
        <v>100</v>
      </c>
      <c r="Q1303" t="s">
        <v>52</v>
      </c>
      <c r="R1303" t="s">
        <v>52</v>
      </c>
      <c r="S1303" t="s">
        <v>52</v>
      </c>
      <c r="T1303" t="s">
        <v>52</v>
      </c>
      <c r="U1303" t="s">
        <v>52</v>
      </c>
      <c r="V1303" t="s">
        <v>62</v>
      </c>
      <c r="W1303" t="s">
        <v>63</v>
      </c>
      <c r="Y1303" t="s">
        <v>52</v>
      </c>
      <c r="AB1303" t="s">
        <v>52</v>
      </c>
      <c r="AE1303" t="s">
        <v>52</v>
      </c>
      <c r="AF1303" t="s">
        <v>52</v>
      </c>
      <c r="AH1303">
        <v>0</v>
      </c>
      <c r="AI1303">
        <v>0</v>
      </c>
      <c r="AJ1303" t="s">
        <v>52</v>
      </c>
      <c r="AK1303">
        <v>0</v>
      </c>
      <c r="AL1303" t="s">
        <v>52</v>
      </c>
      <c r="AM1303" t="s">
        <v>52</v>
      </c>
      <c r="AN1303">
        <v>0</v>
      </c>
      <c r="AO1303">
        <v>0</v>
      </c>
      <c r="AP1303" t="s">
        <v>52</v>
      </c>
      <c r="AQ1303" t="s">
        <v>52</v>
      </c>
      <c r="AR1303" t="s">
        <v>62</v>
      </c>
      <c r="AS1303" t="s">
        <v>52</v>
      </c>
      <c r="AT1303" t="s">
        <v>52</v>
      </c>
      <c r="AU1303" t="s">
        <v>64</v>
      </c>
      <c r="AV1303" t="s">
        <v>62</v>
      </c>
      <c r="AW1303" t="s">
        <v>65</v>
      </c>
      <c r="AX1303" t="s">
        <v>66</v>
      </c>
      <c r="AY1303" t="s">
        <v>67</v>
      </c>
    </row>
    <row r="1304" spans="1:51" hidden="1" x14ac:dyDescent="0.25">
      <c r="A1304">
        <v>203415</v>
      </c>
      <c r="B1304" t="s">
        <v>4920</v>
      </c>
      <c r="C1304" t="str">
        <f>VLOOKUP(A1304,[1]Customer_payment_journal_line!$AL:$BO,30,0)</f>
        <v>CPay-000000083</v>
      </c>
      <c r="D1304" t="s">
        <v>53</v>
      </c>
      <c r="E1304" t="s">
        <v>4917</v>
      </c>
      <c r="F1304" t="s">
        <v>4918</v>
      </c>
      <c r="G1304" t="s">
        <v>4689</v>
      </c>
      <c r="H1304" t="s">
        <v>69</v>
      </c>
      <c r="I1304" t="s">
        <v>99</v>
      </c>
      <c r="J1304" t="s">
        <v>255</v>
      </c>
      <c r="K1304" t="s">
        <v>4919</v>
      </c>
      <c r="L1304">
        <f>VLOOKUP(A1304,[1]Customer_payment_journal_line!$B:$L,11,0)</f>
        <v>1653</v>
      </c>
      <c r="M1304" s="1">
        <v>0</v>
      </c>
      <c r="N1304">
        <v>1653</v>
      </c>
      <c r="O1304" t="s">
        <v>61</v>
      </c>
      <c r="P1304">
        <v>100</v>
      </c>
      <c r="Q1304" t="s">
        <v>52</v>
      </c>
      <c r="R1304" t="s">
        <v>52</v>
      </c>
      <c r="S1304" t="s">
        <v>52</v>
      </c>
      <c r="T1304" t="s">
        <v>52</v>
      </c>
      <c r="U1304" t="s">
        <v>52</v>
      </c>
      <c r="V1304" t="s">
        <v>62</v>
      </c>
      <c r="W1304" t="s">
        <v>52</v>
      </c>
      <c r="Y1304" t="s">
        <v>100</v>
      </c>
      <c r="Z1304" t="s">
        <v>62</v>
      </c>
      <c r="AB1304" t="s">
        <v>4921</v>
      </c>
      <c r="AE1304" t="s">
        <v>4922</v>
      </c>
      <c r="AF1304" t="s">
        <v>52</v>
      </c>
      <c r="AH1304">
        <v>0</v>
      </c>
      <c r="AI1304">
        <v>0</v>
      </c>
      <c r="AJ1304" t="s">
        <v>52</v>
      </c>
      <c r="AK1304">
        <v>0</v>
      </c>
      <c r="AL1304" t="s">
        <v>52</v>
      </c>
      <c r="AM1304" t="s">
        <v>52</v>
      </c>
      <c r="AN1304">
        <v>0</v>
      </c>
      <c r="AO1304">
        <v>0</v>
      </c>
      <c r="AP1304" t="s">
        <v>52</v>
      </c>
      <c r="AQ1304" t="s">
        <v>52</v>
      </c>
      <c r="AR1304" t="s">
        <v>62</v>
      </c>
      <c r="AS1304" t="s">
        <v>52</v>
      </c>
      <c r="AT1304" t="s">
        <v>74</v>
      </c>
      <c r="AU1304" t="s">
        <v>64</v>
      </c>
      <c r="AV1304" t="s">
        <v>62</v>
      </c>
      <c r="AW1304" t="s">
        <v>65</v>
      </c>
      <c r="AX1304" t="s">
        <v>66</v>
      </c>
      <c r="AY1304" t="s">
        <v>67</v>
      </c>
    </row>
    <row r="1305" spans="1:51" hidden="1" x14ac:dyDescent="0.25">
      <c r="A1305">
        <v>203416</v>
      </c>
      <c r="B1305" t="s">
        <v>4923</v>
      </c>
      <c r="C1305" t="str">
        <f>VLOOKUP(A1305,[1]Customer_payment_journal_line!$AL:$BO,30,0)</f>
        <v>CPay-000000084</v>
      </c>
      <c r="D1305" t="s">
        <v>53</v>
      </c>
      <c r="E1305" t="s">
        <v>4924</v>
      </c>
      <c r="F1305" t="s">
        <v>4925</v>
      </c>
      <c r="G1305" t="s">
        <v>4689</v>
      </c>
      <c r="H1305" t="s">
        <v>57</v>
      </c>
      <c r="I1305" t="s">
        <v>95</v>
      </c>
      <c r="J1305" t="s">
        <v>255</v>
      </c>
      <c r="K1305" t="s">
        <v>4919</v>
      </c>
      <c r="L1305">
        <f>VLOOKUP(A1305,[1]Customer_payment_journal_line!$B:$L,11,0)</f>
        <v>558.49</v>
      </c>
      <c r="M1305" s="1">
        <v>558.49</v>
      </c>
      <c r="N1305" s="2">
        <f>L1305-M1305</f>
        <v>0</v>
      </c>
      <c r="O1305" t="s">
        <v>61</v>
      </c>
      <c r="P1305">
        <v>100</v>
      </c>
      <c r="Q1305" t="s">
        <v>52</v>
      </c>
      <c r="R1305" t="s">
        <v>52</v>
      </c>
      <c r="S1305" t="s">
        <v>52</v>
      </c>
      <c r="T1305" t="s">
        <v>52</v>
      </c>
      <c r="U1305" t="s">
        <v>52</v>
      </c>
      <c r="V1305" t="s">
        <v>62</v>
      </c>
      <c r="W1305" t="s">
        <v>63</v>
      </c>
      <c r="Y1305" t="s">
        <v>52</v>
      </c>
      <c r="AB1305" t="s">
        <v>52</v>
      </c>
      <c r="AE1305" t="s">
        <v>52</v>
      </c>
      <c r="AF1305" t="s">
        <v>52</v>
      </c>
      <c r="AH1305">
        <v>0</v>
      </c>
      <c r="AI1305">
        <v>0</v>
      </c>
      <c r="AJ1305" t="s">
        <v>52</v>
      </c>
      <c r="AK1305">
        <v>0</v>
      </c>
      <c r="AL1305" t="s">
        <v>52</v>
      </c>
      <c r="AM1305" t="s">
        <v>52</v>
      </c>
      <c r="AN1305">
        <v>0</v>
      </c>
      <c r="AO1305">
        <v>0</v>
      </c>
      <c r="AP1305" t="s">
        <v>52</v>
      </c>
      <c r="AQ1305" t="s">
        <v>52</v>
      </c>
      <c r="AR1305" t="s">
        <v>62</v>
      </c>
      <c r="AS1305" t="s">
        <v>52</v>
      </c>
      <c r="AT1305" t="s">
        <v>52</v>
      </c>
      <c r="AU1305" t="s">
        <v>64</v>
      </c>
      <c r="AV1305" t="s">
        <v>62</v>
      </c>
      <c r="AW1305" t="s">
        <v>65</v>
      </c>
      <c r="AX1305" t="s">
        <v>66</v>
      </c>
      <c r="AY1305" t="s">
        <v>67</v>
      </c>
    </row>
    <row r="1306" spans="1:51" hidden="1" x14ac:dyDescent="0.25">
      <c r="A1306">
        <v>203416</v>
      </c>
      <c r="B1306" t="s">
        <v>4926</v>
      </c>
      <c r="C1306" t="str">
        <f>VLOOKUP(A1306,[1]Customer_payment_journal_line!$AL:$BO,30,0)</f>
        <v>CPay-000000084</v>
      </c>
      <c r="D1306" t="s">
        <v>53</v>
      </c>
      <c r="E1306" t="s">
        <v>4924</v>
      </c>
      <c r="F1306" t="s">
        <v>4925</v>
      </c>
      <c r="G1306" t="s">
        <v>4689</v>
      </c>
      <c r="H1306" t="s">
        <v>69</v>
      </c>
      <c r="I1306" t="s">
        <v>99</v>
      </c>
      <c r="J1306" t="s">
        <v>255</v>
      </c>
      <c r="K1306" t="s">
        <v>4919</v>
      </c>
      <c r="L1306">
        <f>VLOOKUP(A1306,[1]Customer_payment_journal_line!$B:$L,11,0)</f>
        <v>558.49</v>
      </c>
      <c r="M1306" s="1">
        <v>0</v>
      </c>
      <c r="N1306">
        <v>558.49</v>
      </c>
      <c r="O1306" t="s">
        <v>61</v>
      </c>
      <c r="P1306">
        <v>100</v>
      </c>
      <c r="Q1306" t="s">
        <v>52</v>
      </c>
      <c r="R1306" t="s">
        <v>52</v>
      </c>
      <c r="S1306" t="s">
        <v>52</v>
      </c>
      <c r="T1306" t="s">
        <v>52</v>
      </c>
      <c r="U1306" t="s">
        <v>52</v>
      </c>
      <c r="V1306" t="s">
        <v>62</v>
      </c>
      <c r="W1306" t="s">
        <v>52</v>
      </c>
      <c r="Y1306" t="s">
        <v>100</v>
      </c>
      <c r="Z1306" t="s">
        <v>62</v>
      </c>
      <c r="AB1306" t="s">
        <v>4927</v>
      </c>
      <c r="AE1306" t="s">
        <v>4928</v>
      </c>
      <c r="AF1306" t="s">
        <v>52</v>
      </c>
      <c r="AH1306">
        <v>0</v>
      </c>
      <c r="AI1306">
        <v>0</v>
      </c>
      <c r="AJ1306" t="s">
        <v>52</v>
      </c>
      <c r="AK1306">
        <v>0</v>
      </c>
      <c r="AL1306" t="s">
        <v>52</v>
      </c>
      <c r="AM1306" t="s">
        <v>52</v>
      </c>
      <c r="AN1306">
        <v>0</v>
      </c>
      <c r="AO1306">
        <v>0</v>
      </c>
      <c r="AP1306" t="s">
        <v>52</v>
      </c>
      <c r="AQ1306" t="s">
        <v>52</v>
      </c>
      <c r="AR1306" t="s">
        <v>62</v>
      </c>
      <c r="AS1306" t="s">
        <v>52</v>
      </c>
      <c r="AT1306" t="s">
        <v>74</v>
      </c>
      <c r="AU1306" t="s">
        <v>64</v>
      </c>
      <c r="AV1306" t="s">
        <v>62</v>
      </c>
      <c r="AW1306" t="s">
        <v>65</v>
      </c>
      <c r="AX1306" t="s">
        <v>66</v>
      </c>
      <c r="AY1306" t="s">
        <v>67</v>
      </c>
    </row>
    <row r="1307" spans="1:51" hidden="1" x14ac:dyDescent="0.25">
      <c r="A1307">
        <v>203417</v>
      </c>
      <c r="B1307" t="s">
        <v>4929</v>
      </c>
      <c r="C1307" t="str">
        <f>VLOOKUP(A1307,[1]Customer_payment_journal_line!$AL:$BO,30,0)</f>
        <v>CPay-000000085</v>
      </c>
      <c r="D1307" t="s">
        <v>53</v>
      </c>
      <c r="E1307" t="s">
        <v>4930</v>
      </c>
      <c r="F1307" t="s">
        <v>4931</v>
      </c>
      <c r="G1307" t="s">
        <v>4689</v>
      </c>
      <c r="H1307" t="s">
        <v>57</v>
      </c>
      <c r="I1307" t="s">
        <v>95</v>
      </c>
      <c r="J1307" t="s">
        <v>255</v>
      </c>
      <c r="K1307" t="s">
        <v>4932</v>
      </c>
      <c r="L1307">
        <f>VLOOKUP(A1307,[1]Customer_payment_journal_line!$B:$L,11,0)</f>
        <v>1653</v>
      </c>
      <c r="M1307" s="1">
        <v>1653</v>
      </c>
      <c r="N1307" s="2">
        <f>L1307-M1307</f>
        <v>0</v>
      </c>
      <c r="O1307" t="s">
        <v>61</v>
      </c>
      <c r="P1307">
        <v>100</v>
      </c>
      <c r="Q1307" t="s">
        <v>52</v>
      </c>
      <c r="R1307" t="s">
        <v>52</v>
      </c>
      <c r="S1307" t="s">
        <v>52</v>
      </c>
      <c r="T1307" t="s">
        <v>52</v>
      </c>
      <c r="U1307" t="s">
        <v>52</v>
      </c>
      <c r="V1307" t="s">
        <v>62</v>
      </c>
      <c r="W1307" t="s">
        <v>63</v>
      </c>
      <c r="Y1307" t="s">
        <v>52</v>
      </c>
      <c r="AB1307" t="s">
        <v>52</v>
      </c>
      <c r="AE1307" t="s">
        <v>52</v>
      </c>
      <c r="AF1307" t="s">
        <v>52</v>
      </c>
      <c r="AH1307">
        <v>0</v>
      </c>
      <c r="AI1307">
        <v>0</v>
      </c>
      <c r="AJ1307" t="s">
        <v>52</v>
      </c>
      <c r="AK1307">
        <v>0</v>
      </c>
      <c r="AL1307" t="s">
        <v>52</v>
      </c>
      <c r="AM1307" t="s">
        <v>52</v>
      </c>
      <c r="AN1307">
        <v>0</v>
      </c>
      <c r="AO1307">
        <v>0</v>
      </c>
      <c r="AP1307" t="s">
        <v>52</v>
      </c>
      <c r="AQ1307" t="s">
        <v>52</v>
      </c>
      <c r="AR1307" t="s">
        <v>62</v>
      </c>
      <c r="AS1307" t="s">
        <v>52</v>
      </c>
      <c r="AT1307" t="s">
        <v>52</v>
      </c>
      <c r="AU1307" t="s">
        <v>64</v>
      </c>
      <c r="AV1307" t="s">
        <v>62</v>
      </c>
      <c r="AW1307" t="s">
        <v>65</v>
      </c>
      <c r="AX1307" t="s">
        <v>66</v>
      </c>
      <c r="AY1307" t="s">
        <v>67</v>
      </c>
    </row>
    <row r="1308" spans="1:51" hidden="1" x14ac:dyDescent="0.25">
      <c r="A1308">
        <v>203417</v>
      </c>
      <c r="B1308" t="s">
        <v>4933</v>
      </c>
      <c r="C1308" t="str">
        <f>VLOOKUP(A1308,[1]Customer_payment_journal_line!$AL:$BO,30,0)</f>
        <v>CPay-000000085</v>
      </c>
      <c r="D1308" t="s">
        <v>53</v>
      </c>
      <c r="E1308" t="s">
        <v>4930</v>
      </c>
      <c r="F1308" t="s">
        <v>4931</v>
      </c>
      <c r="G1308" t="s">
        <v>4689</v>
      </c>
      <c r="H1308" t="s">
        <v>69</v>
      </c>
      <c r="I1308" t="s">
        <v>99</v>
      </c>
      <c r="J1308" t="s">
        <v>255</v>
      </c>
      <c r="K1308" t="s">
        <v>4932</v>
      </c>
      <c r="L1308">
        <f>VLOOKUP(A1308,[1]Customer_payment_journal_line!$B:$L,11,0)</f>
        <v>1653</v>
      </c>
      <c r="M1308" s="1">
        <v>0</v>
      </c>
      <c r="N1308">
        <v>1653</v>
      </c>
      <c r="O1308" t="s">
        <v>61</v>
      </c>
      <c r="P1308">
        <v>100</v>
      </c>
      <c r="Q1308" t="s">
        <v>52</v>
      </c>
      <c r="R1308" t="s">
        <v>52</v>
      </c>
      <c r="S1308" t="s">
        <v>52</v>
      </c>
      <c r="T1308" t="s">
        <v>52</v>
      </c>
      <c r="U1308" t="s">
        <v>52</v>
      </c>
      <c r="V1308" t="s">
        <v>62</v>
      </c>
      <c r="W1308" t="s">
        <v>52</v>
      </c>
      <c r="Y1308" t="s">
        <v>100</v>
      </c>
      <c r="Z1308" t="s">
        <v>62</v>
      </c>
      <c r="AB1308" t="s">
        <v>4934</v>
      </c>
      <c r="AE1308" t="s">
        <v>4935</v>
      </c>
      <c r="AF1308" t="s">
        <v>52</v>
      </c>
      <c r="AH1308">
        <v>0</v>
      </c>
      <c r="AI1308">
        <v>0</v>
      </c>
      <c r="AJ1308" t="s">
        <v>52</v>
      </c>
      <c r="AK1308">
        <v>0</v>
      </c>
      <c r="AL1308" t="s">
        <v>52</v>
      </c>
      <c r="AM1308" t="s">
        <v>52</v>
      </c>
      <c r="AN1308">
        <v>0</v>
      </c>
      <c r="AO1308">
        <v>0</v>
      </c>
      <c r="AP1308" t="s">
        <v>52</v>
      </c>
      <c r="AQ1308" t="s">
        <v>52</v>
      </c>
      <c r="AR1308" t="s">
        <v>62</v>
      </c>
      <c r="AS1308" t="s">
        <v>52</v>
      </c>
      <c r="AT1308" t="s">
        <v>74</v>
      </c>
      <c r="AU1308" t="s">
        <v>64</v>
      </c>
      <c r="AV1308" t="s">
        <v>62</v>
      </c>
      <c r="AW1308" t="s">
        <v>65</v>
      </c>
      <c r="AX1308" t="s">
        <v>66</v>
      </c>
      <c r="AY1308" t="s">
        <v>67</v>
      </c>
    </row>
    <row r="1309" spans="1:51" hidden="1" x14ac:dyDescent="0.25">
      <c r="A1309">
        <v>203418</v>
      </c>
      <c r="B1309" t="s">
        <v>4936</v>
      </c>
      <c r="C1309" t="str">
        <f>VLOOKUP(A1309,[1]Customer_payment_journal_line!$AL:$BO,30,0)</f>
        <v>CPay-000000086</v>
      </c>
      <c r="D1309" t="s">
        <v>53</v>
      </c>
      <c r="E1309" t="s">
        <v>4937</v>
      </c>
      <c r="F1309" t="s">
        <v>4938</v>
      </c>
      <c r="G1309" t="s">
        <v>4689</v>
      </c>
      <c r="H1309" t="s">
        <v>57</v>
      </c>
      <c r="I1309" t="s">
        <v>95</v>
      </c>
      <c r="J1309" t="s">
        <v>255</v>
      </c>
      <c r="K1309" t="s">
        <v>4932</v>
      </c>
      <c r="L1309">
        <f>VLOOKUP(A1309,[1]Customer_payment_journal_line!$B:$L,11,0)</f>
        <v>382.81</v>
      </c>
      <c r="M1309" s="1">
        <v>382.81</v>
      </c>
      <c r="N1309" s="2">
        <f>L1309-M1309</f>
        <v>0</v>
      </c>
      <c r="O1309" t="s">
        <v>61</v>
      </c>
      <c r="P1309">
        <v>100</v>
      </c>
      <c r="Q1309" t="s">
        <v>52</v>
      </c>
      <c r="R1309" t="s">
        <v>52</v>
      </c>
      <c r="S1309" t="s">
        <v>52</v>
      </c>
      <c r="T1309" t="s">
        <v>52</v>
      </c>
      <c r="U1309" t="s">
        <v>52</v>
      </c>
      <c r="V1309" t="s">
        <v>62</v>
      </c>
      <c r="W1309" t="s">
        <v>63</v>
      </c>
      <c r="Y1309" t="s">
        <v>52</v>
      </c>
      <c r="AB1309" t="s">
        <v>52</v>
      </c>
      <c r="AE1309" t="s">
        <v>52</v>
      </c>
      <c r="AF1309" t="s">
        <v>52</v>
      </c>
      <c r="AH1309">
        <v>0</v>
      </c>
      <c r="AI1309">
        <v>0</v>
      </c>
      <c r="AJ1309" t="s">
        <v>52</v>
      </c>
      <c r="AK1309">
        <v>0</v>
      </c>
      <c r="AL1309" t="s">
        <v>52</v>
      </c>
      <c r="AM1309" t="s">
        <v>52</v>
      </c>
      <c r="AN1309">
        <v>0</v>
      </c>
      <c r="AO1309">
        <v>0</v>
      </c>
      <c r="AP1309" t="s">
        <v>52</v>
      </c>
      <c r="AQ1309" t="s">
        <v>52</v>
      </c>
      <c r="AR1309" t="s">
        <v>62</v>
      </c>
      <c r="AS1309" t="s">
        <v>52</v>
      </c>
      <c r="AT1309" t="s">
        <v>52</v>
      </c>
      <c r="AU1309" t="s">
        <v>64</v>
      </c>
      <c r="AV1309" t="s">
        <v>62</v>
      </c>
      <c r="AW1309" t="s">
        <v>65</v>
      </c>
      <c r="AX1309" t="s">
        <v>66</v>
      </c>
      <c r="AY1309" t="s">
        <v>67</v>
      </c>
    </row>
    <row r="1310" spans="1:51" hidden="1" x14ac:dyDescent="0.25">
      <c r="A1310">
        <v>203418</v>
      </c>
      <c r="B1310" t="s">
        <v>4939</v>
      </c>
      <c r="C1310" t="str">
        <f>VLOOKUP(A1310,[1]Customer_payment_journal_line!$AL:$BO,30,0)</f>
        <v>CPay-000000086</v>
      </c>
      <c r="D1310" t="s">
        <v>53</v>
      </c>
      <c r="E1310" t="s">
        <v>4937</v>
      </c>
      <c r="F1310" t="s">
        <v>4938</v>
      </c>
      <c r="G1310" t="s">
        <v>4689</v>
      </c>
      <c r="H1310" t="s">
        <v>69</v>
      </c>
      <c r="I1310" t="s">
        <v>99</v>
      </c>
      <c r="J1310" t="s">
        <v>255</v>
      </c>
      <c r="K1310" t="s">
        <v>4932</v>
      </c>
      <c r="L1310">
        <f>VLOOKUP(A1310,[1]Customer_payment_journal_line!$B:$L,11,0)</f>
        <v>382.81</v>
      </c>
      <c r="M1310" s="1">
        <v>0</v>
      </c>
      <c r="N1310">
        <v>382.81</v>
      </c>
      <c r="O1310" t="s">
        <v>61</v>
      </c>
      <c r="P1310">
        <v>100</v>
      </c>
      <c r="Q1310" t="s">
        <v>52</v>
      </c>
      <c r="R1310" t="s">
        <v>52</v>
      </c>
      <c r="S1310" t="s">
        <v>52</v>
      </c>
      <c r="T1310" t="s">
        <v>52</v>
      </c>
      <c r="U1310" t="s">
        <v>52</v>
      </c>
      <c r="V1310" t="s">
        <v>62</v>
      </c>
      <c r="W1310" t="s">
        <v>52</v>
      </c>
      <c r="Y1310" t="s">
        <v>100</v>
      </c>
      <c r="Z1310" t="s">
        <v>62</v>
      </c>
      <c r="AB1310" t="s">
        <v>4940</v>
      </c>
      <c r="AE1310" t="s">
        <v>4941</v>
      </c>
      <c r="AF1310" t="s">
        <v>52</v>
      </c>
      <c r="AH1310">
        <v>0</v>
      </c>
      <c r="AI1310">
        <v>0</v>
      </c>
      <c r="AJ1310" t="s">
        <v>52</v>
      </c>
      <c r="AK1310">
        <v>0</v>
      </c>
      <c r="AL1310" t="s">
        <v>52</v>
      </c>
      <c r="AM1310" t="s">
        <v>52</v>
      </c>
      <c r="AN1310">
        <v>0</v>
      </c>
      <c r="AO1310">
        <v>0</v>
      </c>
      <c r="AP1310" t="s">
        <v>52</v>
      </c>
      <c r="AQ1310" t="s">
        <v>52</v>
      </c>
      <c r="AR1310" t="s">
        <v>62</v>
      </c>
      <c r="AS1310" t="s">
        <v>52</v>
      </c>
      <c r="AT1310" t="s">
        <v>74</v>
      </c>
      <c r="AU1310" t="s">
        <v>64</v>
      </c>
      <c r="AV1310" t="s">
        <v>62</v>
      </c>
      <c r="AW1310" t="s">
        <v>65</v>
      </c>
      <c r="AX1310" t="s">
        <v>66</v>
      </c>
      <c r="AY1310" t="s">
        <v>67</v>
      </c>
    </row>
    <row r="1311" spans="1:51" hidden="1" x14ac:dyDescent="0.25">
      <c r="A1311">
        <v>403443</v>
      </c>
      <c r="B1311" t="s">
        <v>4942</v>
      </c>
      <c r="C1311" t="e">
        <f>VLOOKUP(A1311,[1]Customer_payment_journal_line!$AL:$BO,30,0)</f>
        <v>#N/A</v>
      </c>
      <c r="D1311" t="s">
        <v>159</v>
      </c>
      <c r="E1311" t="s">
        <v>4943</v>
      </c>
      <c r="F1311" t="s">
        <v>4944</v>
      </c>
      <c r="G1311" t="s">
        <v>4689</v>
      </c>
      <c r="H1311" t="s">
        <v>80</v>
      </c>
      <c r="I1311" t="s">
        <v>2259</v>
      </c>
      <c r="J1311" t="s">
        <v>4945</v>
      </c>
      <c r="K1311" t="s">
        <v>4946</v>
      </c>
      <c r="L1311" t="s">
        <v>52</v>
      </c>
      <c r="M1311">
        <v>280</v>
      </c>
      <c r="N1311">
        <v>0</v>
      </c>
      <c r="O1311" t="s">
        <v>178</v>
      </c>
      <c r="P1311">
        <v>5085</v>
      </c>
      <c r="Q1311" t="s">
        <v>52</v>
      </c>
      <c r="R1311" t="s">
        <v>52</v>
      </c>
      <c r="S1311" t="s">
        <v>52</v>
      </c>
      <c r="T1311" t="s">
        <v>52</v>
      </c>
      <c r="U1311" t="s">
        <v>52</v>
      </c>
      <c r="V1311" t="s">
        <v>62</v>
      </c>
      <c r="W1311" t="s">
        <v>52</v>
      </c>
      <c r="Y1311" t="s">
        <v>52</v>
      </c>
      <c r="AB1311" t="s">
        <v>52</v>
      </c>
      <c r="AE1311" t="s">
        <v>52</v>
      </c>
      <c r="AF1311" t="s">
        <v>52</v>
      </c>
      <c r="AH1311">
        <v>0</v>
      </c>
      <c r="AI1311">
        <v>0</v>
      </c>
      <c r="AJ1311" t="s">
        <v>52</v>
      </c>
      <c r="AK1311">
        <v>0</v>
      </c>
      <c r="AL1311" t="s">
        <v>52</v>
      </c>
      <c r="AM1311" t="s">
        <v>52</v>
      </c>
      <c r="AN1311">
        <v>0</v>
      </c>
      <c r="AO1311">
        <v>0</v>
      </c>
      <c r="AP1311" t="s">
        <v>52</v>
      </c>
      <c r="AQ1311" t="s">
        <v>52</v>
      </c>
      <c r="AR1311" t="s">
        <v>62</v>
      </c>
      <c r="AS1311" t="s">
        <v>52</v>
      </c>
      <c r="AT1311" t="s">
        <v>52</v>
      </c>
      <c r="AU1311" t="s">
        <v>64</v>
      </c>
      <c r="AV1311" t="s">
        <v>62</v>
      </c>
      <c r="AW1311" t="s">
        <v>65</v>
      </c>
      <c r="AX1311" t="s">
        <v>66</v>
      </c>
      <c r="AY1311" t="s">
        <v>165</v>
      </c>
    </row>
    <row r="1312" spans="1:51" hidden="1" x14ac:dyDescent="0.25">
      <c r="A1312">
        <v>403443</v>
      </c>
      <c r="B1312" t="s">
        <v>4947</v>
      </c>
      <c r="C1312" t="e">
        <f>VLOOKUP(A1312,[1]Customer_payment_journal_line!$AL:$BO,30,0)</f>
        <v>#N/A</v>
      </c>
      <c r="D1312" t="s">
        <v>159</v>
      </c>
      <c r="E1312" t="s">
        <v>4943</v>
      </c>
      <c r="F1312" t="s">
        <v>4944</v>
      </c>
      <c r="G1312" t="s">
        <v>4689</v>
      </c>
      <c r="H1312" t="s">
        <v>69</v>
      </c>
      <c r="I1312" t="s">
        <v>4948</v>
      </c>
      <c r="J1312" t="s">
        <v>4945</v>
      </c>
      <c r="K1312" t="s">
        <v>4946</v>
      </c>
      <c r="L1312" t="s">
        <v>52</v>
      </c>
      <c r="M1312">
        <v>0</v>
      </c>
      <c r="N1312">
        <v>280</v>
      </c>
      <c r="O1312" t="s">
        <v>178</v>
      </c>
      <c r="P1312">
        <v>5085</v>
      </c>
      <c r="Q1312" t="s">
        <v>52</v>
      </c>
      <c r="R1312" t="s">
        <v>52</v>
      </c>
      <c r="S1312" t="s">
        <v>52</v>
      </c>
      <c r="T1312" t="s">
        <v>52</v>
      </c>
      <c r="U1312" t="s">
        <v>52</v>
      </c>
      <c r="V1312" t="s">
        <v>62</v>
      </c>
      <c r="W1312" t="s">
        <v>52</v>
      </c>
      <c r="Y1312" t="s">
        <v>4949</v>
      </c>
      <c r="Z1312" t="s">
        <v>62</v>
      </c>
      <c r="AB1312" t="s">
        <v>4950</v>
      </c>
      <c r="AE1312" t="s">
        <v>4951</v>
      </c>
      <c r="AF1312" t="s">
        <v>52</v>
      </c>
      <c r="AH1312">
        <v>0</v>
      </c>
      <c r="AI1312">
        <v>0</v>
      </c>
      <c r="AJ1312" t="s">
        <v>52</v>
      </c>
      <c r="AK1312">
        <v>0</v>
      </c>
      <c r="AL1312" t="s">
        <v>52</v>
      </c>
      <c r="AM1312" t="s">
        <v>52</v>
      </c>
      <c r="AN1312">
        <v>0</v>
      </c>
      <c r="AO1312">
        <v>0</v>
      </c>
      <c r="AP1312" t="s">
        <v>52</v>
      </c>
      <c r="AQ1312" t="s">
        <v>52</v>
      </c>
      <c r="AR1312" t="s">
        <v>62</v>
      </c>
      <c r="AS1312" t="s">
        <v>52</v>
      </c>
      <c r="AT1312" t="s">
        <v>74</v>
      </c>
      <c r="AU1312" t="s">
        <v>64</v>
      </c>
      <c r="AV1312" t="s">
        <v>62</v>
      </c>
      <c r="AW1312" t="s">
        <v>65</v>
      </c>
      <c r="AX1312" t="s">
        <v>66</v>
      </c>
      <c r="AY1312" t="s">
        <v>165</v>
      </c>
    </row>
    <row r="1313" spans="1:51" hidden="1" x14ac:dyDescent="0.25">
      <c r="A1313">
        <v>406112</v>
      </c>
      <c r="B1313" t="s">
        <v>4952</v>
      </c>
      <c r="C1313" t="e">
        <f>VLOOKUP(A1313,[1]Customer_payment_journal_line!$AL:$BO,30,0)</f>
        <v>#N/A</v>
      </c>
      <c r="D1313" t="s">
        <v>76</v>
      </c>
      <c r="E1313" t="s">
        <v>4953</v>
      </c>
      <c r="F1313" t="s">
        <v>4954</v>
      </c>
      <c r="G1313" t="s">
        <v>4689</v>
      </c>
      <c r="H1313" t="s">
        <v>80</v>
      </c>
      <c r="I1313" t="s">
        <v>81</v>
      </c>
      <c r="J1313" t="s">
        <v>3670</v>
      </c>
      <c r="K1313" t="s">
        <v>4955</v>
      </c>
      <c r="L1313" t="s">
        <v>52</v>
      </c>
      <c r="M1313">
        <v>2633.4</v>
      </c>
      <c r="N1313">
        <v>0</v>
      </c>
      <c r="O1313" t="s">
        <v>61</v>
      </c>
      <c r="P1313">
        <v>100</v>
      </c>
      <c r="Q1313" t="s">
        <v>52</v>
      </c>
      <c r="R1313" t="s">
        <v>52</v>
      </c>
      <c r="S1313" t="s">
        <v>52</v>
      </c>
      <c r="T1313" t="s">
        <v>52</v>
      </c>
      <c r="U1313" t="s">
        <v>52</v>
      </c>
      <c r="V1313" t="s">
        <v>62</v>
      </c>
      <c r="W1313" t="s">
        <v>52</v>
      </c>
      <c r="Y1313" t="s">
        <v>52</v>
      </c>
      <c r="AB1313" t="s">
        <v>52</v>
      </c>
      <c r="AE1313" t="s">
        <v>52</v>
      </c>
      <c r="AF1313" t="s">
        <v>52</v>
      </c>
      <c r="AH1313">
        <v>0</v>
      </c>
      <c r="AI1313">
        <v>0</v>
      </c>
      <c r="AJ1313" t="s">
        <v>52</v>
      </c>
      <c r="AK1313">
        <v>0</v>
      </c>
      <c r="AL1313" t="s">
        <v>52</v>
      </c>
      <c r="AM1313" t="s">
        <v>52</v>
      </c>
      <c r="AN1313">
        <v>0</v>
      </c>
      <c r="AO1313">
        <v>0</v>
      </c>
      <c r="AP1313" t="s">
        <v>52</v>
      </c>
      <c r="AQ1313" t="s">
        <v>52</v>
      </c>
      <c r="AR1313" t="s">
        <v>62</v>
      </c>
      <c r="AS1313" t="s">
        <v>52</v>
      </c>
      <c r="AT1313" t="s">
        <v>52</v>
      </c>
      <c r="AU1313" t="s">
        <v>64</v>
      </c>
      <c r="AV1313" t="s">
        <v>62</v>
      </c>
      <c r="AW1313" t="s">
        <v>65</v>
      </c>
      <c r="AX1313" t="s">
        <v>66</v>
      </c>
      <c r="AY1313" t="s">
        <v>76</v>
      </c>
    </row>
    <row r="1314" spans="1:51" hidden="1" x14ac:dyDescent="0.25">
      <c r="A1314">
        <v>406112</v>
      </c>
      <c r="B1314" t="s">
        <v>4956</v>
      </c>
      <c r="C1314" t="e">
        <f>VLOOKUP(A1314,[1]Customer_payment_journal_line!$AL:$BO,30,0)</f>
        <v>#N/A</v>
      </c>
      <c r="D1314" t="s">
        <v>76</v>
      </c>
      <c r="E1314" t="s">
        <v>4953</v>
      </c>
      <c r="F1314" t="s">
        <v>4954</v>
      </c>
      <c r="G1314" t="s">
        <v>4689</v>
      </c>
      <c r="H1314" t="s">
        <v>69</v>
      </c>
      <c r="I1314" t="s">
        <v>3673</v>
      </c>
      <c r="J1314" t="s">
        <v>3670</v>
      </c>
      <c r="K1314" t="s">
        <v>4955</v>
      </c>
      <c r="L1314" t="s">
        <v>52</v>
      </c>
      <c r="M1314">
        <v>0</v>
      </c>
      <c r="N1314">
        <v>1778.4</v>
      </c>
      <c r="O1314" t="s">
        <v>61</v>
      </c>
      <c r="P1314">
        <v>100</v>
      </c>
      <c r="Q1314" t="s">
        <v>52</v>
      </c>
      <c r="R1314" t="s">
        <v>52</v>
      </c>
      <c r="S1314" t="s">
        <v>52</v>
      </c>
      <c r="T1314" t="s">
        <v>52</v>
      </c>
      <c r="U1314" t="s">
        <v>52</v>
      </c>
      <c r="V1314" t="s">
        <v>62</v>
      </c>
      <c r="W1314" t="s">
        <v>52</v>
      </c>
      <c r="Y1314" t="s">
        <v>3674</v>
      </c>
      <c r="Z1314" t="s">
        <v>62</v>
      </c>
      <c r="AB1314" t="s">
        <v>4957</v>
      </c>
      <c r="AE1314" t="s">
        <v>4958</v>
      </c>
      <c r="AF1314" t="s">
        <v>52</v>
      </c>
      <c r="AH1314">
        <v>0</v>
      </c>
      <c r="AI1314">
        <v>0</v>
      </c>
      <c r="AJ1314" t="s">
        <v>52</v>
      </c>
      <c r="AK1314">
        <v>0</v>
      </c>
      <c r="AL1314" t="s">
        <v>52</v>
      </c>
      <c r="AM1314" t="s">
        <v>52</v>
      </c>
      <c r="AN1314">
        <v>0</v>
      </c>
      <c r="AO1314">
        <v>0</v>
      </c>
      <c r="AP1314" t="s">
        <v>52</v>
      </c>
      <c r="AQ1314" t="s">
        <v>52</v>
      </c>
      <c r="AR1314" t="s">
        <v>62</v>
      </c>
      <c r="AS1314" t="s">
        <v>52</v>
      </c>
      <c r="AT1314" t="s">
        <v>74</v>
      </c>
      <c r="AU1314" t="s">
        <v>64</v>
      </c>
      <c r="AV1314" t="s">
        <v>62</v>
      </c>
      <c r="AW1314" t="s">
        <v>65</v>
      </c>
      <c r="AX1314" t="s">
        <v>66</v>
      </c>
      <c r="AY1314" t="s">
        <v>76</v>
      </c>
    </row>
    <row r="1315" spans="1:51" hidden="1" x14ac:dyDescent="0.25">
      <c r="A1315">
        <v>406112</v>
      </c>
      <c r="B1315" t="s">
        <v>4959</v>
      </c>
      <c r="C1315" t="e">
        <f>VLOOKUP(A1315,[1]Customer_payment_journal_line!$AL:$BO,30,0)</f>
        <v>#N/A</v>
      </c>
      <c r="D1315" t="s">
        <v>76</v>
      </c>
      <c r="E1315" t="s">
        <v>4953</v>
      </c>
      <c r="F1315" t="s">
        <v>4954</v>
      </c>
      <c r="G1315" t="s">
        <v>4689</v>
      </c>
      <c r="H1315" t="s">
        <v>69</v>
      </c>
      <c r="I1315" t="s">
        <v>3673</v>
      </c>
      <c r="J1315" t="s">
        <v>3670</v>
      </c>
      <c r="K1315" t="s">
        <v>4955</v>
      </c>
      <c r="L1315" t="s">
        <v>52</v>
      </c>
      <c r="M1315">
        <v>0</v>
      </c>
      <c r="N1315">
        <v>855</v>
      </c>
      <c r="O1315" t="s">
        <v>61</v>
      </c>
      <c r="P1315">
        <v>100</v>
      </c>
      <c r="Q1315" t="s">
        <v>52</v>
      </c>
      <c r="R1315" t="s">
        <v>52</v>
      </c>
      <c r="S1315" t="s">
        <v>52</v>
      </c>
      <c r="T1315" t="s">
        <v>52</v>
      </c>
      <c r="U1315" t="s">
        <v>52</v>
      </c>
      <c r="V1315" t="s">
        <v>62</v>
      </c>
      <c r="W1315" t="s">
        <v>52</v>
      </c>
      <c r="Y1315" t="s">
        <v>3674</v>
      </c>
      <c r="Z1315" t="s">
        <v>62</v>
      </c>
      <c r="AB1315" t="s">
        <v>4960</v>
      </c>
      <c r="AE1315" t="s">
        <v>4961</v>
      </c>
      <c r="AF1315" t="s">
        <v>52</v>
      </c>
      <c r="AH1315">
        <v>0</v>
      </c>
      <c r="AI1315">
        <v>0</v>
      </c>
      <c r="AJ1315" t="s">
        <v>52</v>
      </c>
      <c r="AK1315">
        <v>0</v>
      </c>
      <c r="AL1315" t="s">
        <v>52</v>
      </c>
      <c r="AM1315" t="s">
        <v>52</v>
      </c>
      <c r="AN1315">
        <v>0</v>
      </c>
      <c r="AO1315">
        <v>0</v>
      </c>
      <c r="AP1315" t="s">
        <v>52</v>
      </c>
      <c r="AQ1315" t="s">
        <v>52</v>
      </c>
      <c r="AR1315" t="s">
        <v>62</v>
      </c>
      <c r="AS1315" t="s">
        <v>52</v>
      </c>
      <c r="AT1315" t="s">
        <v>74</v>
      </c>
      <c r="AU1315" t="s">
        <v>64</v>
      </c>
      <c r="AV1315" t="s">
        <v>62</v>
      </c>
      <c r="AW1315" t="s">
        <v>65</v>
      </c>
      <c r="AX1315" t="s">
        <v>66</v>
      </c>
      <c r="AY1315" t="s">
        <v>76</v>
      </c>
    </row>
    <row r="1316" spans="1:51" hidden="1" x14ac:dyDescent="0.25">
      <c r="A1316">
        <v>406119</v>
      </c>
      <c r="B1316" t="s">
        <v>4962</v>
      </c>
      <c r="C1316" t="e">
        <f>VLOOKUP(A1316,[1]Customer_payment_journal_line!$AL:$BO,30,0)</f>
        <v>#N/A</v>
      </c>
      <c r="D1316" t="s">
        <v>76</v>
      </c>
      <c r="E1316" t="s">
        <v>4963</v>
      </c>
      <c r="F1316" t="s">
        <v>4964</v>
      </c>
      <c r="G1316" t="s">
        <v>4689</v>
      </c>
      <c r="H1316" t="s">
        <v>80</v>
      </c>
      <c r="I1316" t="s">
        <v>81</v>
      </c>
      <c r="J1316" t="s">
        <v>4965</v>
      </c>
      <c r="K1316" t="s">
        <v>3440</v>
      </c>
      <c r="L1316" t="s">
        <v>52</v>
      </c>
      <c r="M1316">
        <v>13024.5</v>
      </c>
      <c r="N1316">
        <v>0</v>
      </c>
      <c r="O1316" t="s">
        <v>61</v>
      </c>
      <c r="P1316">
        <v>100</v>
      </c>
      <c r="Q1316" t="s">
        <v>52</v>
      </c>
      <c r="R1316" t="s">
        <v>52</v>
      </c>
      <c r="S1316" t="s">
        <v>52</v>
      </c>
      <c r="T1316" t="s">
        <v>52</v>
      </c>
      <c r="U1316" t="s">
        <v>52</v>
      </c>
      <c r="V1316" t="s">
        <v>62</v>
      </c>
      <c r="W1316" t="s">
        <v>52</v>
      </c>
      <c r="Y1316" t="s">
        <v>52</v>
      </c>
      <c r="AB1316" t="s">
        <v>52</v>
      </c>
      <c r="AE1316" t="s">
        <v>52</v>
      </c>
      <c r="AF1316" t="s">
        <v>52</v>
      </c>
      <c r="AH1316">
        <v>0</v>
      </c>
      <c r="AI1316">
        <v>0</v>
      </c>
      <c r="AJ1316" t="s">
        <v>52</v>
      </c>
      <c r="AK1316">
        <v>0</v>
      </c>
      <c r="AL1316" t="s">
        <v>52</v>
      </c>
      <c r="AM1316" t="s">
        <v>52</v>
      </c>
      <c r="AN1316">
        <v>0</v>
      </c>
      <c r="AO1316">
        <v>0</v>
      </c>
      <c r="AP1316" t="s">
        <v>52</v>
      </c>
      <c r="AQ1316" t="s">
        <v>52</v>
      </c>
      <c r="AR1316" t="s">
        <v>62</v>
      </c>
      <c r="AS1316" t="s">
        <v>52</v>
      </c>
      <c r="AT1316" t="s">
        <v>52</v>
      </c>
      <c r="AU1316" t="s">
        <v>64</v>
      </c>
      <c r="AV1316" t="s">
        <v>62</v>
      </c>
      <c r="AW1316" t="s">
        <v>65</v>
      </c>
      <c r="AX1316" t="s">
        <v>66</v>
      </c>
      <c r="AY1316" t="s">
        <v>76</v>
      </c>
    </row>
    <row r="1317" spans="1:51" hidden="1" x14ac:dyDescent="0.25">
      <c r="A1317">
        <v>406119</v>
      </c>
      <c r="B1317" t="s">
        <v>4966</v>
      </c>
      <c r="C1317" t="e">
        <f>VLOOKUP(A1317,[1]Customer_payment_journal_line!$AL:$BO,30,0)</f>
        <v>#N/A</v>
      </c>
      <c r="D1317" t="s">
        <v>76</v>
      </c>
      <c r="E1317" t="s">
        <v>4963</v>
      </c>
      <c r="F1317" t="s">
        <v>4964</v>
      </c>
      <c r="G1317" t="s">
        <v>4689</v>
      </c>
      <c r="H1317" t="s">
        <v>69</v>
      </c>
      <c r="I1317" t="s">
        <v>3442</v>
      </c>
      <c r="J1317" t="s">
        <v>4965</v>
      </c>
      <c r="K1317" t="s">
        <v>3440</v>
      </c>
      <c r="L1317" t="s">
        <v>52</v>
      </c>
      <c r="M1317">
        <v>0</v>
      </c>
      <c r="N1317">
        <v>712.5</v>
      </c>
      <c r="O1317" t="s">
        <v>61</v>
      </c>
      <c r="P1317">
        <v>100</v>
      </c>
      <c r="Q1317" t="s">
        <v>52</v>
      </c>
      <c r="R1317" t="s">
        <v>52</v>
      </c>
      <c r="S1317" t="s">
        <v>52</v>
      </c>
      <c r="T1317" t="s">
        <v>52</v>
      </c>
      <c r="U1317" t="s">
        <v>52</v>
      </c>
      <c r="V1317" t="s">
        <v>62</v>
      </c>
      <c r="W1317" t="s">
        <v>52</v>
      </c>
      <c r="Y1317" t="s">
        <v>3443</v>
      </c>
      <c r="Z1317" t="s">
        <v>62</v>
      </c>
      <c r="AB1317" t="s">
        <v>4967</v>
      </c>
      <c r="AE1317" t="s">
        <v>4968</v>
      </c>
      <c r="AF1317" t="s">
        <v>52</v>
      </c>
      <c r="AH1317">
        <v>0</v>
      </c>
      <c r="AI1317">
        <v>0</v>
      </c>
      <c r="AJ1317" t="s">
        <v>52</v>
      </c>
      <c r="AK1317">
        <v>0</v>
      </c>
      <c r="AL1317" t="s">
        <v>52</v>
      </c>
      <c r="AM1317" t="s">
        <v>52</v>
      </c>
      <c r="AN1317">
        <v>0</v>
      </c>
      <c r="AO1317">
        <v>0</v>
      </c>
      <c r="AP1317" t="s">
        <v>52</v>
      </c>
      <c r="AQ1317" t="s">
        <v>52</v>
      </c>
      <c r="AR1317" t="s">
        <v>62</v>
      </c>
      <c r="AS1317" t="s">
        <v>52</v>
      </c>
      <c r="AT1317" t="s">
        <v>74</v>
      </c>
      <c r="AU1317" t="s">
        <v>64</v>
      </c>
      <c r="AV1317" t="s">
        <v>62</v>
      </c>
      <c r="AW1317" t="s">
        <v>65</v>
      </c>
      <c r="AX1317" t="s">
        <v>66</v>
      </c>
      <c r="AY1317" t="s">
        <v>76</v>
      </c>
    </row>
    <row r="1318" spans="1:51" hidden="1" x14ac:dyDescent="0.25">
      <c r="A1318">
        <v>406119</v>
      </c>
      <c r="B1318" t="s">
        <v>4969</v>
      </c>
      <c r="C1318" t="e">
        <f>VLOOKUP(A1318,[1]Customer_payment_journal_line!$AL:$BO,30,0)</f>
        <v>#N/A</v>
      </c>
      <c r="D1318" t="s">
        <v>76</v>
      </c>
      <c r="E1318" t="s">
        <v>4963</v>
      </c>
      <c r="F1318" t="s">
        <v>4964</v>
      </c>
      <c r="G1318" t="s">
        <v>4689</v>
      </c>
      <c r="H1318" t="s">
        <v>69</v>
      </c>
      <c r="I1318" t="s">
        <v>3442</v>
      </c>
      <c r="J1318" t="s">
        <v>4965</v>
      </c>
      <c r="K1318" t="s">
        <v>3440</v>
      </c>
      <c r="L1318" t="s">
        <v>52</v>
      </c>
      <c r="M1318">
        <v>0</v>
      </c>
      <c r="N1318">
        <v>12312</v>
      </c>
      <c r="O1318" t="s">
        <v>61</v>
      </c>
      <c r="P1318">
        <v>100</v>
      </c>
      <c r="Q1318" t="s">
        <v>52</v>
      </c>
      <c r="R1318" t="s">
        <v>52</v>
      </c>
      <c r="S1318" t="s">
        <v>52</v>
      </c>
      <c r="T1318" t="s">
        <v>52</v>
      </c>
      <c r="U1318" t="s">
        <v>52</v>
      </c>
      <c r="V1318" t="s">
        <v>62</v>
      </c>
      <c r="W1318" t="s">
        <v>52</v>
      </c>
      <c r="Y1318" t="s">
        <v>3443</v>
      </c>
      <c r="Z1318" t="s">
        <v>62</v>
      </c>
      <c r="AB1318" t="s">
        <v>4970</v>
      </c>
      <c r="AE1318" t="s">
        <v>4971</v>
      </c>
      <c r="AF1318" t="s">
        <v>52</v>
      </c>
      <c r="AH1318">
        <v>0</v>
      </c>
      <c r="AI1318">
        <v>0</v>
      </c>
      <c r="AJ1318" t="s">
        <v>52</v>
      </c>
      <c r="AK1318">
        <v>0</v>
      </c>
      <c r="AL1318" t="s">
        <v>52</v>
      </c>
      <c r="AM1318" t="s">
        <v>52</v>
      </c>
      <c r="AN1318">
        <v>0</v>
      </c>
      <c r="AO1318">
        <v>0</v>
      </c>
      <c r="AP1318" t="s">
        <v>52</v>
      </c>
      <c r="AQ1318" t="s">
        <v>52</v>
      </c>
      <c r="AR1318" t="s">
        <v>62</v>
      </c>
      <c r="AS1318" t="s">
        <v>52</v>
      </c>
      <c r="AT1318" t="s">
        <v>74</v>
      </c>
      <c r="AU1318" t="s">
        <v>64</v>
      </c>
      <c r="AV1318" t="s">
        <v>62</v>
      </c>
      <c r="AW1318" t="s">
        <v>65</v>
      </c>
      <c r="AX1318" t="s">
        <v>66</v>
      </c>
      <c r="AY1318" t="s">
        <v>76</v>
      </c>
    </row>
    <row r="1319" spans="1:51" hidden="1" x14ac:dyDescent="0.25">
      <c r="A1319">
        <v>406120</v>
      </c>
      <c r="B1319" t="s">
        <v>4972</v>
      </c>
      <c r="C1319" t="e">
        <f>VLOOKUP(A1319,[1]Customer_payment_journal_line!$AL:$BO,30,0)</f>
        <v>#N/A</v>
      </c>
      <c r="D1319" t="s">
        <v>159</v>
      </c>
      <c r="E1319" t="s">
        <v>4973</v>
      </c>
      <c r="F1319" t="s">
        <v>4974</v>
      </c>
      <c r="G1319" t="s">
        <v>4689</v>
      </c>
      <c r="H1319" t="s">
        <v>80</v>
      </c>
      <c r="I1319" t="s">
        <v>1919</v>
      </c>
      <c r="J1319" t="s">
        <v>4837</v>
      </c>
      <c r="K1319" t="s">
        <v>4975</v>
      </c>
      <c r="L1319" t="s">
        <v>52</v>
      </c>
      <c r="M1319">
        <v>1140</v>
      </c>
      <c r="N1319">
        <v>0</v>
      </c>
      <c r="O1319" t="s">
        <v>61</v>
      </c>
      <c r="P1319">
        <v>100</v>
      </c>
      <c r="Q1319" t="s">
        <v>52</v>
      </c>
      <c r="R1319" t="s">
        <v>52</v>
      </c>
      <c r="S1319" t="s">
        <v>52</v>
      </c>
      <c r="T1319" t="s">
        <v>52</v>
      </c>
      <c r="U1319" t="s">
        <v>52</v>
      </c>
      <c r="V1319" t="s">
        <v>62</v>
      </c>
      <c r="W1319" t="s">
        <v>52</v>
      </c>
      <c r="Y1319" t="s">
        <v>52</v>
      </c>
      <c r="AB1319" t="s">
        <v>52</v>
      </c>
      <c r="AE1319" t="s">
        <v>52</v>
      </c>
      <c r="AF1319" t="s">
        <v>52</v>
      </c>
      <c r="AH1319">
        <v>0</v>
      </c>
      <c r="AI1319">
        <v>0</v>
      </c>
      <c r="AJ1319" t="s">
        <v>52</v>
      </c>
      <c r="AK1319">
        <v>0</v>
      </c>
      <c r="AL1319" t="s">
        <v>52</v>
      </c>
      <c r="AM1319" t="s">
        <v>52</v>
      </c>
      <c r="AN1319">
        <v>0</v>
      </c>
      <c r="AO1319">
        <v>0</v>
      </c>
      <c r="AP1319" t="s">
        <v>52</v>
      </c>
      <c r="AQ1319" t="s">
        <v>52</v>
      </c>
      <c r="AR1319" t="s">
        <v>62</v>
      </c>
      <c r="AS1319" t="s">
        <v>52</v>
      </c>
      <c r="AT1319" t="s">
        <v>52</v>
      </c>
      <c r="AU1319" t="s">
        <v>64</v>
      </c>
      <c r="AV1319" t="s">
        <v>62</v>
      </c>
      <c r="AW1319" t="s">
        <v>65</v>
      </c>
      <c r="AX1319" t="s">
        <v>66</v>
      </c>
      <c r="AY1319" t="s">
        <v>165</v>
      </c>
    </row>
    <row r="1320" spans="1:51" hidden="1" x14ac:dyDescent="0.25">
      <c r="A1320">
        <v>406120</v>
      </c>
      <c r="B1320" t="s">
        <v>4976</v>
      </c>
      <c r="C1320" t="e">
        <f>VLOOKUP(A1320,[1]Customer_payment_journal_line!$AL:$BO,30,0)</f>
        <v>#N/A</v>
      </c>
      <c r="D1320" t="s">
        <v>159</v>
      </c>
      <c r="E1320" t="s">
        <v>4973</v>
      </c>
      <c r="F1320" t="s">
        <v>4974</v>
      </c>
      <c r="G1320" t="s">
        <v>4689</v>
      </c>
      <c r="H1320" t="s">
        <v>69</v>
      </c>
      <c r="I1320" t="s">
        <v>4840</v>
      </c>
      <c r="J1320" t="s">
        <v>4837</v>
      </c>
      <c r="K1320" t="s">
        <v>4975</v>
      </c>
      <c r="L1320" t="s">
        <v>52</v>
      </c>
      <c r="M1320">
        <v>0</v>
      </c>
      <c r="N1320">
        <v>1140</v>
      </c>
      <c r="O1320" t="s">
        <v>61</v>
      </c>
      <c r="P1320">
        <v>100</v>
      </c>
      <c r="Q1320" t="s">
        <v>52</v>
      </c>
      <c r="R1320" t="s">
        <v>52</v>
      </c>
      <c r="S1320" t="s">
        <v>52</v>
      </c>
      <c r="T1320" t="s">
        <v>52</v>
      </c>
      <c r="U1320" t="s">
        <v>52</v>
      </c>
      <c r="V1320" t="s">
        <v>62</v>
      </c>
      <c r="W1320" t="s">
        <v>52</v>
      </c>
      <c r="Y1320" t="s">
        <v>4841</v>
      </c>
      <c r="Z1320" t="s">
        <v>62</v>
      </c>
      <c r="AB1320" t="s">
        <v>4977</v>
      </c>
      <c r="AE1320" t="s">
        <v>4978</v>
      </c>
      <c r="AF1320" t="s">
        <v>52</v>
      </c>
      <c r="AH1320">
        <v>0</v>
      </c>
      <c r="AI1320">
        <v>0</v>
      </c>
      <c r="AJ1320" t="s">
        <v>52</v>
      </c>
      <c r="AK1320">
        <v>0</v>
      </c>
      <c r="AL1320" t="s">
        <v>52</v>
      </c>
      <c r="AM1320" t="s">
        <v>52</v>
      </c>
      <c r="AN1320">
        <v>0</v>
      </c>
      <c r="AO1320">
        <v>0</v>
      </c>
      <c r="AP1320" t="s">
        <v>52</v>
      </c>
      <c r="AQ1320" t="s">
        <v>52</v>
      </c>
      <c r="AR1320" t="s">
        <v>62</v>
      </c>
      <c r="AS1320" t="s">
        <v>52</v>
      </c>
      <c r="AT1320" t="s">
        <v>74</v>
      </c>
      <c r="AU1320" t="s">
        <v>64</v>
      </c>
      <c r="AV1320" t="s">
        <v>62</v>
      </c>
      <c r="AW1320" t="s">
        <v>65</v>
      </c>
      <c r="AX1320" t="s">
        <v>66</v>
      </c>
      <c r="AY1320" t="s">
        <v>165</v>
      </c>
    </row>
    <row r="1321" spans="1:51" hidden="1" x14ac:dyDescent="0.25">
      <c r="A1321">
        <v>406121</v>
      </c>
      <c r="B1321" t="s">
        <v>4979</v>
      </c>
      <c r="C1321" t="e">
        <f>VLOOKUP(A1321,[1]Customer_payment_journal_line!$AL:$BO,30,0)</f>
        <v>#N/A</v>
      </c>
      <c r="D1321" t="s">
        <v>159</v>
      </c>
      <c r="E1321" t="s">
        <v>4980</v>
      </c>
      <c r="F1321" t="s">
        <v>4981</v>
      </c>
      <c r="G1321" t="s">
        <v>4689</v>
      </c>
      <c r="H1321" t="s">
        <v>80</v>
      </c>
      <c r="I1321" t="s">
        <v>3014</v>
      </c>
      <c r="J1321" t="s">
        <v>4837</v>
      </c>
      <c r="K1321" t="s">
        <v>4975</v>
      </c>
      <c r="L1321" t="s">
        <v>52</v>
      </c>
      <c r="M1321">
        <v>40</v>
      </c>
      <c r="N1321">
        <v>0</v>
      </c>
      <c r="O1321" t="s">
        <v>178</v>
      </c>
      <c r="P1321">
        <v>5085</v>
      </c>
      <c r="Q1321" t="s">
        <v>52</v>
      </c>
      <c r="R1321" t="s">
        <v>52</v>
      </c>
      <c r="S1321" t="s">
        <v>52</v>
      </c>
      <c r="T1321" t="s">
        <v>52</v>
      </c>
      <c r="U1321" t="s">
        <v>52</v>
      </c>
      <c r="V1321" t="s">
        <v>62</v>
      </c>
      <c r="W1321" t="s">
        <v>52</v>
      </c>
      <c r="Y1321" t="s">
        <v>52</v>
      </c>
      <c r="AB1321" t="s">
        <v>52</v>
      </c>
      <c r="AE1321" t="s">
        <v>52</v>
      </c>
      <c r="AF1321" t="s">
        <v>52</v>
      </c>
      <c r="AH1321">
        <v>0</v>
      </c>
      <c r="AI1321">
        <v>0</v>
      </c>
      <c r="AJ1321" t="s">
        <v>52</v>
      </c>
      <c r="AK1321">
        <v>0</v>
      </c>
      <c r="AL1321" t="s">
        <v>52</v>
      </c>
      <c r="AM1321" t="s">
        <v>52</v>
      </c>
      <c r="AN1321">
        <v>0</v>
      </c>
      <c r="AO1321">
        <v>0</v>
      </c>
      <c r="AP1321" t="s">
        <v>52</v>
      </c>
      <c r="AQ1321" t="s">
        <v>52</v>
      </c>
      <c r="AR1321" t="s">
        <v>62</v>
      </c>
      <c r="AS1321" t="s">
        <v>52</v>
      </c>
      <c r="AT1321" t="s">
        <v>52</v>
      </c>
      <c r="AU1321" t="s">
        <v>64</v>
      </c>
      <c r="AV1321" t="s">
        <v>62</v>
      </c>
      <c r="AW1321" t="s">
        <v>65</v>
      </c>
      <c r="AX1321" t="s">
        <v>66</v>
      </c>
      <c r="AY1321" t="s">
        <v>165</v>
      </c>
    </row>
    <row r="1322" spans="1:51" hidden="1" x14ac:dyDescent="0.25">
      <c r="A1322">
        <v>406121</v>
      </c>
      <c r="B1322" t="s">
        <v>4982</v>
      </c>
      <c r="C1322" t="e">
        <f>VLOOKUP(A1322,[1]Customer_payment_journal_line!$AL:$BO,30,0)</f>
        <v>#N/A</v>
      </c>
      <c r="D1322" t="s">
        <v>159</v>
      </c>
      <c r="E1322" t="s">
        <v>4980</v>
      </c>
      <c r="F1322" t="s">
        <v>4981</v>
      </c>
      <c r="G1322" t="s">
        <v>4689</v>
      </c>
      <c r="H1322" t="s">
        <v>69</v>
      </c>
      <c r="I1322" t="s">
        <v>4840</v>
      </c>
      <c r="J1322" t="s">
        <v>4837</v>
      </c>
      <c r="K1322" t="s">
        <v>4975</v>
      </c>
      <c r="L1322" t="s">
        <v>52</v>
      </c>
      <c r="M1322">
        <v>0</v>
      </c>
      <c r="N1322">
        <v>40</v>
      </c>
      <c r="O1322" t="s">
        <v>178</v>
      </c>
      <c r="P1322">
        <v>5085</v>
      </c>
      <c r="Q1322" t="s">
        <v>52</v>
      </c>
      <c r="R1322" t="s">
        <v>52</v>
      </c>
      <c r="S1322" t="s">
        <v>52</v>
      </c>
      <c r="T1322" t="s">
        <v>52</v>
      </c>
      <c r="U1322" t="s">
        <v>52</v>
      </c>
      <c r="V1322" t="s">
        <v>62</v>
      </c>
      <c r="W1322" t="s">
        <v>52</v>
      </c>
      <c r="Y1322" t="s">
        <v>4841</v>
      </c>
      <c r="Z1322" t="s">
        <v>62</v>
      </c>
      <c r="AB1322" t="s">
        <v>4983</v>
      </c>
      <c r="AE1322" t="s">
        <v>4984</v>
      </c>
      <c r="AF1322" t="s">
        <v>52</v>
      </c>
      <c r="AH1322">
        <v>0</v>
      </c>
      <c r="AI1322">
        <v>0</v>
      </c>
      <c r="AJ1322" t="s">
        <v>52</v>
      </c>
      <c r="AK1322">
        <v>0</v>
      </c>
      <c r="AL1322" t="s">
        <v>52</v>
      </c>
      <c r="AM1322" t="s">
        <v>52</v>
      </c>
      <c r="AN1322">
        <v>0</v>
      </c>
      <c r="AO1322">
        <v>0</v>
      </c>
      <c r="AP1322" t="s">
        <v>52</v>
      </c>
      <c r="AQ1322" t="s">
        <v>52</v>
      </c>
      <c r="AR1322" t="s">
        <v>62</v>
      </c>
      <c r="AS1322" t="s">
        <v>52</v>
      </c>
      <c r="AT1322" t="s">
        <v>74</v>
      </c>
      <c r="AU1322" t="s">
        <v>64</v>
      </c>
      <c r="AV1322" t="s">
        <v>62</v>
      </c>
      <c r="AW1322" t="s">
        <v>65</v>
      </c>
      <c r="AX1322" t="s">
        <v>66</v>
      </c>
      <c r="AY1322" t="s">
        <v>165</v>
      </c>
    </row>
    <row r="1323" spans="1:51" hidden="1" x14ac:dyDescent="0.25">
      <c r="A1323">
        <v>406122</v>
      </c>
      <c r="B1323" t="s">
        <v>4985</v>
      </c>
      <c r="C1323" t="e">
        <f>VLOOKUP(A1323,[1]Customer_payment_journal_line!$AL:$BO,30,0)</f>
        <v>#N/A</v>
      </c>
      <c r="D1323" t="s">
        <v>159</v>
      </c>
      <c r="E1323" t="s">
        <v>4986</v>
      </c>
      <c r="F1323" t="s">
        <v>4987</v>
      </c>
      <c r="G1323" t="s">
        <v>4689</v>
      </c>
      <c r="H1323" t="s">
        <v>80</v>
      </c>
      <c r="I1323" t="s">
        <v>1919</v>
      </c>
      <c r="J1323" t="s">
        <v>4837</v>
      </c>
      <c r="K1323" t="s">
        <v>4975</v>
      </c>
      <c r="L1323" t="s">
        <v>52</v>
      </c>
      <c r="M1323">
        <v>855</v>
      </c>
      <c r="N1323">
        <v>0</v>
      </c>
      <c r="O1323" t="s">
        <v>61</v>
      </c>
      <c r="P1323">
        <v>100</v>
      </c>
      <c r="Q1323" t="s">
        <v>52</v>
      </c>
      <c r="R1323" t="s">
        <v>52</v>
      </c>
      <c r="S1323" t="s">
        <v>52</v>
      </c>
      <c r="T1323" t="s">
        <v>52</v>
      </c>
      <c r="U1323" t="s">
        <v>52</v>
      </c>
      <c r="V1323" t="s">
        <v>62</v>
      </c>
      <c r="W1323" t="s">
        <v>52</v>
      </c>
      <c r="Y1323" t="s">
        <v>52</v>
      </c>
      <c r="AB1323" t="s">
        <v>52</v>
      </c>
      <c r="AE1323" t="s">
        <v>52</v>
      </c>
      <c r="AF1323" t="s">
        <v>52</v>
      </c>
      <c r="AH1323">
        <v>0</v>
      </c>
      <c r="AI1323">
        <v>0</v>
      </c>
      <c r="AJ1323" t="s">
        <v>52</v>
      </c>
      <c r="AK1323">
        <v>0</v>
      </c>
      <c r="AL1323" t="s">
        <v>52</v>
      </c>
      <c r="AM1323" t="s">
        <v>52</v>
      </c>
      <c r="AN1323">
        <v>0</v>
      </c>
      <c r="AO1323">
        <v>0</v>
      </c>
      <c r="AP1323" t="s">
        <v>52</v>
      </c>
      <c r="AQ1323" t="s">
        <v>52</v>
      </c>
      <c r="AR1323" t="s">
        <v>62</v>
      </c>
      <c r="AS1323" t="s">
        <v>52</v>
      </c>
      <c r="AT1323" t="s">
        <v>52</v>
      </c>
      <c r="AU1323" t="s">
        <v>64</v>
      </c>
      <c r="AV1323" t="s">
        <v>62</v>
      </c>
      <c r="AW1323" t="s">
        <v>65</v>
      </c>
      <c r="AX1323" t="s">
        <v>66</v>
      </c>
      <c r="AY1323" t="s">
        <v>165</v>
      </c>
    </row>
    <row r="1324" spans="1:51" hidden="1" x14ac:dyDescent="0.25">
      <c r="A1324">
        <v>406122</v>
      </c>
      <c r="B1324" t="s">
        <v>4988</v>
      </c>
      <c r="C1324" t="e">
        <f>VLOOKUP(A1324,[1]Customer_payment_journal_line!$AL:$BO,30,0)</f>
        <v>#N/A</v>
      </c>
      <c r="D1324" t="s">
        <v>159</v>
      </c>
      <c r="E1324" t="s">
        <v>4986</v>
      </c>
      <c r="F1324" t="s">
        <v>4987</v>
      </c>
      <c r="G1324" t="s">
        <v>4689</v>
      </c>
      <c r="H1324" t="s">
        <v>69</v>
      </c>
      <c r="I1324" t="s">
        <v>4840</v>
      </c>
      <c r="J1324" t="s">
        <v>4837</v>
      </c>
      <c r="K1324" t="s">
        <v>4975</v>
      </c>
      <c r="L1324" t="s">
        <v>52</v>
      </c>
      <c r="M1324">
        <v>0</v>
      </c>
      <c r="N1324">
        <v>855</v>
      </c>
      <c r="O1324" t="s">
        <v>61</v>
      </c>
      <c r="P1324">
        <v>100</v>
      </c>
      <c r="Q1324" t="s">
        <v>52</v>
      </c>
      <c r="R1324" t="s">
        <v>52</v>
      </c>
      <c r="S1324" t="s">
        <v>52</v>
      </c>
      <c r="T1324" t="s">
        <v>52</v>
      </c>
      <c r="U1324" t="s">
        <v>52</v>
      </c>
      <c r="V1324" t="s">
        <v>62</v>
      </c>
      <c r="W1324" t="s">
        <v>52</v>
      </c>
      <c r="Y1324" t="s">
        <v>4841</v>
      </c>
      <c r="Z1324" t="s">
        <v>62</v>
      </c>
      <c r="AB1324" t="s">
        <v>4989</v>
      </c>
      <c r="AE1324" t="s">
        <v>4990</v>
      </c>
      <c r="AF1324" t="s">
        <v>52</v>
      </c>
      <c r="AH1324">
        <v>0</v>
      </c>
      <c r="AI1324">
        <v>0</v>
      </c>
      <c r="AJ1324" t="s">
        <v>52</v>
      </c>
      <c r="AK1324">
        <v>0</v>
      </c>
      <c r="AL1324" t="s">
        <v>52</v>
      </c>
      <c r="AM1324" t="s">
        <v>52</v>
      </c>
      <c r="AN1324">
        <v>0</v>
      </c>
      <c r="AO1324">
        <v>0</v>
      </c>
      <c r="AP1324" t="s">
        <v>52</v>
      </c>
      <c r="AQ1324" t="s">
        <v>52</v>
      </c>
      <c r="AR1324" t="s">
        <v>62</v>
      </c>
      <c r="AS1324" t="s">
        <v>52</v>
      </c>
      <c r="AT1324" t="s">
        <v>74</v>
      </c>
      <c r="AU1324" t="s">
        <v>64</v>
      </c>
      <c r="AV1324" t="s">
        <v>62</v>
      </c>
      <c r="AW1324" t="s">
        <v>65</v>
      </c>
      <c r="AX1324" t="s">
        <v>66</v>
      </c>
      <c r="AY1324" t="s">
        <v>165</v>
      </c>
    </row>
    <row r="1325" spans="1:51" hidden="1" x14ac:dyDescent="0.25">
      <c r="A1325">
        <v>406123</v>
      </c>
      <c r="B1325" t="s">
        <v>4991</v>
      </c>
      <c r="C1325" t="e">
        <f>VLOOKUP(A1325,[1]Customer_payment_journal_line!$AL:$BO,30,0)</f>
        <v>#N/A</v>
      </c>
      <c r="D1325" t="s">
        <v>159</v>
      </c>
      <c r="E1325" t="s">
        <v>4992</v>
      </c>
      <c r="F1325" t="s">
        <v>4993</v>
      </c>
      <c r="G1325" t="s">
        <v>4689</v>
      </c>
      <c r="H1325" t="s">
        <v>80</v>
      </c>
      <c r="I1325" t="s">
        <v>177</v>
      </c>
      <c r="J1325" t="s">
        <v>3766</v>
      </c>
      <c r="K1325" t="s">
        <v>3767</v>
      </c>
      <c r="L1325" t="s">
        <v>52</v>
      </c>
      <c r="M1325">
        <v>220</v>
      </c>
      <c r="N1325">
        <v>0</v>
      </c>
      <c r="O1325" t="s">
        <v>178</v>
      </c>
      <c r="P1325">
        <v>5085</v>
      </c>
      <c r="Q1325" t="s">
        <v>52</v>
      </c>
      <c r="R1325" t="s">
        <v>52</v>
      </c>
      <c r="S1325" t="s">
        <v>52</v>
      </c>
      <c r="T1325" t="s">
        <v>52</v>
      </c>
      <c r="U1325" t="s">
        <v>52</v>
      </c>
      <c r="V1325" t="s">
        <v>62</v>
      </c>
      <c r="W1325" t="s">
        <v>52</v>
      </c>
      <c r="Y1325" t="s">
        <v>52</v>
      </c>
      <c r="AB1325" t="s">
        <v>52</v>
      </c>
      <c r="AE1325" t="s">
        <v>52</v>
      </c>
      <c r="AF1325" t="s">
        <v>52</v>
      </c>
      <c r="AH1325">
        <v>0</v>
      </c>
      <c r="AI1325">
        <v>0</v>
      </c>
      <c r="AJ1325" t="s">
        <v>52</v>
      </c>
      <c r="AK1325">
        <v>0</v>
      </c>
      <c r="AL1325" t="s">
        <v>52</v>
      </c>
      <c r="AM1325" t="s">
        <v>52</v>
      </c>
      <c r="AN1325">
        <v>0</v>
      </c>
      <c r="AO1325">
        <v>0</v>
      </c>
      <c r="AP1325" t="s">
        <v>52</v>
      </c>
      <c r="AQ1325" t="s">
        <v>52</v>
      </c>
      <c r="AR1325" t="s">
        <v>62</v>
      </c>
      <c r="AS1325" t="s">
        <v>52</v>
      </c>
      <c r="AT1325" t="s">
        <v>52</v>
      </c>
      <c r="AU1325" t="s">
        <v>64</v>
      </c>
      <c r="AV1325" t="s">
        <v>62</v>
      </c>
      <c r="AW1325" t="s">
        <v>65</v>
      </c>
      <c r="AX1325" t="s">
        <v>66</v>
      </c>
      <c r="AY1325" t="s">
        <v>165</v>
      </c>
    </row>
    <row r="1326" spans="1:51" hidden="1" x14ac:dyDescent="0.25">
      <c r="A1326">
        <v>406123</v>
      </c>
      <c r="B1326" t="s">
        <v>4994</v>
      </c>
      <c r="C1326" t="e">
        <f>VLOOKUP(A1326,[1]Customer_payment_journal_line!$AL:$BO,30,0)</f>
        <v>#N/A</v>
      </c>
      <c r="D1326" t="s">
        <v>159</v>
      </c>
      <c r="E1326" t="s">
        <v>4992</v>
      </c>
      <c r="F1326" t="s">
        <v>4993</v>
      </c>
      <c r="G1326" t="s">
        <v>4689</v>
      </c>
      <c r="H1326" t="s">
        <v>69</v>
      </c>
      <c r="I1326" t="s">
        <v>3769</v>
      </c>
      <c r="J1326" t="s">
        <v>3766</v>
      </c>
      <c r="K1326" t="s">
        <v>3767</v>
      </c>
      <c r="L1326" t="s">
        <v>52</v>
      </c>
      <c r="M1326">
        <v>0</v>
      </c>
      <c r="N1326">
        <v>220</v>
      </c>
      <c r="O1326" t="s">
        <v>178</v>
      </c>
      <c r="P1326">
        <v>5085</v>
      </c>
      <c r="Q1326" t="s">
        <v>52</v>
      </c>
      <c r="R1326" t="s">
        <v>52</v>
      </c>
      <c r="S1326" t="s">
        <v>52</v>
      </c>
      <c r="T1326" t="s">
        <v>52</v>
      </c>
      <c r="U1326" t="s">
        <v>52</v>
      </c>
      <c r="V1326" t="s">
        <v>62</v>
      </c>
      <c r="W1326" t="s">
        <v>52</v>
      </c>
      <c r="Y1326" t="s">
        <v>3770</v>
      </c>
      <c r="Z1326" t="s">
        <v>62</v>
      </c>
      <c r="AB1326" t="s">
        <v>4995</v>
      </c>
      <c r="AE1326" t="s">
        <v>4996</v>
      </c>
      <c r="AF1326" t="s">
        <v>52</v>
      </c>
      <c r="AH1326">
        <v>0</v>
      </c>
      <c r="AI1326">
        <v>0</v>
      </c>
      <c r="AJ1326" t="s">
        <v>52</v>
      </c>
      <c r="AK1326">
        <v>0</v>
      </c>
      <c r="AL1326" t="s">
        <v>52</v>
      </c>
      <c r="AM1326" t="s">
        <v>52</v>
      </c>
      <c r="AN1326">
        <v>0</v>
      </c>
      <c r="AO1326">
        <v>0</v>
      </c>
      <c r="AP1326" t="s">
        <v>52</v>
      </c>
      <c r="AQ1326" t="s">
        <v>52</v>
      </c>
      <c r="AR1326" t="s">
        <v>62</v>
      </c>
      <c r="AS1326" t="s">
        <v>52</v>
      </c>
      <c r="AT1326" t="s">
        <v>74</v>
      </c>
      <c r="AU1326" t="s">
        <v>64</v>
      </c>
      <c r="AV1326" t="s">
        <v>62</v>
      </c>
      <c r="AW1326" t="s">
        <v>65</v>
      </c>
      <c r="AX1326" t="s">
        <v>66</v>
      </c>
      <c r="AY1326" t="s">
        <v>165</v>
      </c>
    </row>
    <row r="1327" spans="1:51" hidden="1" x14ac:dyDescent="0.25">
      <c r="A1327">
        <v>406124</v>
      </c>
      <c r="B1327" t="s">
        <v>4997</v>
      </c>
      <c r="C1327" t="e">
        <f>VLOOKUP(A1327,[1]Customer_payment_journal_line!$AL:$BO,30,0)</f>
        <v>#N/A</v>
      </c>
      <c r="D1327" t="s">
        <v>76</v>
      </c>
      <c r="E1327" t="s">
        <v>4998</v>
      </c>
      <c r="F1327" t="s">
        <v>4999</v>
      </c>
      <c r="G1327" t="s">
        <v>4689</v>
      </c>
      <c r="H1327" t="s">
        <v>80</v>
      </c>
      <c r="I1327" t="s">
        <v>81</v>
      </c>
      <c r="J1327" t="s">
        <v>5000</v>
      </c>
      <c r="K1327" t="s">
        <v>1368</v>
      </c>
      <c r="L1327" t="s">
        <v>52</v>
      </c>
      <c r="M1327">
        <v>5557.5</v>
      </c>
      <c r="N1327">
        <v>0</v>
      </c>
      <c r="O1327" t="s">
        <v>61</v>
      </c>
      <c r="P1327">
        <v>100</v>
      </c>
      <c r="Q1327" t="s">
        <v>52</v>
      </c>
      <c r="R1327" t="s">
        <v>52</v>
      </c>
      <c r="S1327" t="s">
        <v>52</v>
      </c>
      <c r="T1327" t="s">
        <v>52</v>
      </c>
      <c r="U1327" t="s">
        <v>52</v>
      </c>
      <c r="V1327" t="s">
        <v>62</v>
      </c>
      <c r="W1327" t="s">
        <v>52</v>
      </c>
      <c r="Y1327" t="s">
        <v>52</v>
      </c>
      <c r="AB1327" t="s">
        <v>52</v>
      </c>
      <c r="AE1327" t="s">
        <v>52</v>
      </c>
      <c r="AF1327" t="s">
        <v>52</v>
      </c>
      <c r="AH1327">
        <v>0</v>
      </c>
      <c r="AI1327">
        <v>0</v>
      </c>
      <c r="AJ1327" t="s">
        <v>52</v>
      </c>
      <c r="AK1327">
        <v>0</v>
      </c>
      <c r="AL1327" t="s">
        <v>52</v>
      </c>
      <c r="AM1327" t="s">
        <v>52</v>
      </c>
      <c r="AN1327">
        <v>0</v>
      </c>
      <c r="AO1327">
        <v>0</v>
      </c>
      <c r="AP1327" t="s">
        <v>52</v>
      </c>
      <c r="AQ1327" t="s">
        <v>52</v>
      </c>
      <c r="AR1327" t="s">
        <v>62</v>
      </c>
      <c r="AS1327" t="s">
        <v>52</v>
      </c>
      <c r="AT1327" t="s">
        <v>52</v>
      </c>
      <c r="AU1327" t="s">
        <v>64</v>
      </c>
      <c r="AV1327" t="s">
        <v>62</v>
      </c>
      <c r="AW1327" t="s">
        <v>65</v>
      </c>
      <c r="AX1327" t="s">
        <v>66</v>
      </c>
      <c r="AY1327" t="s">
        <v>76</v>
      </c>
    </row>
    <row r="1328" spans="1:51" hidden="1" x14ac:dyDescent="0.25">
      <c r="A1328">
        <v>406124</v>
      </c>
      <c r="B1328" t="s">
        <v>5001</v>
      </c>
      <c r="C1328" t="e">
        <f>VLOOKUP(A1328,[1]Customer_payment_journal_line!$AL:$BO,30,0)</f>
        <v>#N/A</v>
      </c>
      <c r="D1328" t="s">
        <v>76</v>
      </c>
      <c r="E1328" t="s">
        <v>4998</v>
      </c>
      <c r="F1328" t="s">
        <v>4999</v>
      </c>
      <c r="G1328" t="s">
        <v>4689</v>
      </c>
      <c r="H1328" t="s">
        <v>69</v>
      </c>
      <c r="I1328" t="s">
        <v>1370</v>
      </c>
      <c r="J1328" t="s">
        <v>5000</v>
      </c>
      <c r="K1328" t="s">
        <v>1368</v>
      </c>
      <c r="L1328" t="s">
        <v>52</v>
      </c>
      <c r="M1328">
        <v>0</v>
      </c>
      <c r="N1328">
        <v>5557.5</v>
      </c>
      <c r="O1328" t="s">
        <v>61</v>
      </c>
      <c r="P1328">
        <v>100</v>
      </c>
      <c r="Q1328" t="s">
        <v>52</v>
      </c>
      <c r="R1328" t="s">
        <v>52</v>
      </c>
      <c r="S1328" t="s">
        <v>52</v>
      </c>
      <c r="T1328" t="s">
        <v>52</v>
      </c>
      <c r="U1328" t="s">
        <v>52</v>
      </c>
      <c r="V1328" t="s">
        <v>62</v>
      </c>
      <c r="W1328" t="s">
        <v>52</v>
      </c>
      <c r="Y1328" t="s">
        <v>1371</v>
      </c>
      <c r="Z1328" t="s">
        <v>62</v>
      </c>
      <c r="AB1328" t="s">
        <v>5002</v>
      </c>
      <c r="AE1328" t="s">
        <v>5003</v>
      </c>
      <c r="AF1328" t="s">
        <v>52</v>
      </c>
      <c r="AH1328">
        <v>0</v>
      </c>
      <c r="AI1328">
        <v>0</v>
      </c>
      <c r="AJ1328" t="s">
        <v>52</v>
      </c>
      <c r="AK1328">
        <v>0</v>
      </c>
      <c r="AL1328" t="s">
        <v>52</v>
      </c>
      <c r="AM1328" t="s">
        <v>52</v>
      </c>
      <c r="AN1328">
        <v>0</v>
      </c>
      <c r="AO1328">
        <v>0</v>
      </c>
      <c r="AP1328" t="s">
        <v>52</v>
      </c>
      <c r="AQ1328" t="s">
        <v>52</v>
      </c>
      <c r="AR1328" t="s">
        <v>62</v>
      </c>
      <c r="AS1328" t="s">
        <v>52</v>
      </c>
      <c r="AT1328" t="s">
        <v>74</v>
      </c>
      <c r="AU1328" t="s">
        <v>64</v>
      </c>
      <c r="AV1328" t="s">
        <v>62</v>
      </c>
      <c r="AW1328" t="s">
        <v>65</v>
      </c>
      <c r="AX1328" t="s">
        <v>66</v>
      </c>
      <c r="AY1328" t="s">
        <v>76</v>
      </c>
    </row>
    <row r="1329" spans="1:51" hidden="1" x14ac:dyDescent="0.25">
      <c r="A1329">
        <v>406125</v>
      </c>
      <c r="B1329" t="s">
        <v>5004</v>
      </c>
      <c r="C1329" t="e">
        <f>VLOOKUP(A1329,[1]Customer_payment_journal_line!$AL:$BO,30,0)</f>
        <v>#N/A</v>
      </c>
      <c r="D1329" t="s">
        <v>76</v>
      </c>
      <c r="E1329" t="s">
        <v>5005</v>
      </c>
      <c r="F1329" t="s">
        <v>5006</v>
      </c>
      <c r="G1329" t="s">
        <v>4689</v>
      </c>
      <c r="H1329" t="s">
        <v>80</v>
      </c>
      <c r="I1329" t="s">
        <v>81</v>
      </c>
      <c r="J1329" t="s">
        <v>5007</v>
      </c>
      <c r="K1329" t="s">
        <v>5008</v>
      </c>
      <c r="L1329" t="s">
        <v>52</v>
      </c>
      <c r="M1329">
        <v>11286</v>
      </c>
      <c r="N1329">
        <v>0</v>
      </c>
      <c r="O1329" t="s">
        <v>61</v>
      </c>
      <c r="P1329">
        <v>100</v>
      </c>
      <c r="Q1329" t="s">
        <v>52</v>
      </c>
      <c r="R1329" t="s">
        <v>52</v>
      </c>
      <c r="S1329" t="s">
        <v>52</v>
      </c>
      <c r="T1329" t="s">
        <v>52</v>
      </c>
      <c r="U1329" t="s">
        <v>52</v>
      </c>
      <c r="V1329" t="s">
        <v>62</v>
      </c>
      <c r="W1329" t="s">
        <v>52</v>
      </c>
      <c r="Y1329" t="s">
        <v>52</v>
      </c>
      <c r="AB1329" t="s">
        <v>52</v>
      </c>
      <c r="AE1329" t="s">
        <v>52</v>
      </c>
      <c r="AF1329" t="s">
        <v>52</v>
      </c>
      <c r="AH1329">
        <v>0</v>
      </c>
      <c r="AI1329">
        <v>0</v>
      </c>
      <c r="AJ1329" t="s">
        <v>52</v>
      </c>
      <c r="AK1329">
        <v>0</v>
      </c>
      <c r="AL1329" t="s">
        <v>52</v>
      </c>
      <c r="AM1329" t="s">
        <v>52</v>
      </c>
      <c r="AN1329">
        <v>0</v>
      </c>
      <c r="AO1329">
        <v>0</v>
      </c>
      <c r="AP1329" t="s">
        <v>52</v>
      </c>
      <c r="AQ1329" t="s">
        <v>52</v>
      </c>
      <c r="AR1329" t="s">
        <v>62</v>
      </c>
      <c r="AS1329" t="s">
        <v>52</v>
      </c>
      <c r="AT1329" t="s">
        <v>52</v>
      </c>
      <c r="AU1329" t="s">
        <v>64</v>
      </c>
      <c r="AV1329" t="s">
        <v>62</v>
      </c>
      <c r="AW1329" t="s">
        <v>65</v>
      </c>
      <c r="AX1329" t="s">
        <v>66</v>
      </c>
      <c r="AY1329" t="s">
        <v>76</v>
      </c>
    </row>
    <row r="1330" spans="1:51" hidden="1" x14ac:dyDescent="0.25">
      <c r="A1330">
        <v>406125</v>
      </c>
      <c r="B1330" t="s">
        <v>5009</v>
      </c>
      <c r="C1330" t="e">
        <f>VLOOKUP(A1330,[1]Customer_payment_journal_line!$AL:$BO,30,0)</f>
        <v>#N/A</v>
      </c>
      <c r="D1330" t="s">
        <v>76</v>
      </c>
      <c r="E1330" t="s">
        <v>5005</v>
      </c>
      <c r="F1330" t="s">
        <v>5006</v>
      </c>
      <c r="G1330" t="s">
        <v>4689</v>
      </c>
      <c r="H1330" t="s">
        <v>69</v>
      </c>
      <c r="I1330" t="s">
        <v>5010</v>
      </c>
      <c r="J1330" t="s">
        <v>5007</v>
      </c>
      <c r="K1330" t="s">
        <v>5008</v>
      </c>
      <c r="L1330" t="s">
        <v>52</v>
      </c>
      <c r="M1330">
        <v>0</v>
      </c>
      <c r="N1330">
        <v>11286</v>
      </c>
      <c r="O1330" t="s">
        <v>61</v>
      </c>
      <c r="P1330">
        <v>100</v>
      </c>
      <c r="Q1330" t="s">
        <v>52</v>
      </c>
      <c r="R1330" t="s">
        <v>52</v>
      </c>
      <c r="S1330" t="s">
        <v>52</v>
      </c>
      <c r="T1330" t="s">
        <v>52</v>
      </c>
      <c r="U1330" t="s">
        <v>52</v>
      </c>
      <c r="V1330" t="s">
        <v>62</v>
      </c>
      <c r="W1330" t="s">
        <v>52</v>
      </c>
      <c r="Y1330" t="s">
        <v>5011</v>
      </c>
      <c r="Z1330" t="s">
        <v>62</v>
      </c>
      <c r="AB1330" t="s">
        <v>5012</v>
      </c>
      <c r="AE1330" t="s">
        <v>5013</v>
      </c>
      <c r="AF1330" t="s">
        <v>52</v>
      </c>
      <c r="AH1330">
        <v>0</v>
      </c>
      <c r="AI1330">
        <v>0</v>
      </c>
      <c r="AJ1330" t="s">
        <v>52</v>
      </c>
      <c r="AK1330">
        <v>0</v>
      </c>
      <c r="AL1330" t="s">
        <v>52</v>
      </c>
      <c r="AM1330" t="s">
        <v>52</v>
      </c>
      <c r="AN1330">
        <v>0</v>
      </c>
      <c r="AO1330">
        <v>0</v>
      </c>
      <c r="AP1330" t="s">
        <v>52</v>
      </c>
      <c r="AQ1330" t="s">
        <v>52</v>
      </c>
      <c r="AR1330" t="s">
        <v>62</v>
      </c>
      <c r="AS1330" t="s">
        <v>52</v>
      </c>
      <c r="AT1330" t="s">
        <v>74</v>
      </c>
      <c r="AU1330" t="s">
        <v>64</v>
      </c>
      <c r="AV1330" t="s">
        <v>62</v>
      </c>
      <c r="AW1330" t="s">
        <v>65</v>
      </c>
      <c r="AX1330" t="s">
        <v>66</v>
      </c>
      <c r="AY1330" t="s">
        <v>76</v>
      </c>
    </row>
    <row r="1331" spans="1:51" hidden="1" x14ac:dyDescent="0.25">
      <c r="A1331">
        <v>203315</v>
      </c>
      <c r="B1331" t="s">
        <v>5014</v>
      </c>
      <c r="C1331" t="e">
        <f>VLOOKUP(A1331,[1]Customer_payment_journal_line!$AL:$BO,30,0)</f>
        <v>#N/A</v>
      </c>
      <c r="D1331" t="s">
        <v>53</v>
      </c>
      <c r="E1331" t="s">
        <v>5015</v>
      </c>
      <c r="F1331" t="s">
        <v>5016</v>
      </c>
      <c r="G1331" t="s">
        <v>4689</v>
      </c>
      <c r="H1331" t="s">
        <v>57</v>
      </c>
      <c r="I1331" t="s">
        <v>58</v>
      </c>
      <c r="J1331" t="s">
        <v>5017</v>
      </c>
      <c r="K1331" t="s">
        <v>5018</v>
      </c>
      <c r="L1331" t="s">
        <v>52</v>
      </c>
      <c r="M1331">
        <v>19950</v>
      </c>
      <c r="N1331">
        <v>0</v>
      </c>
      <c r="O1331" t="s">
        <v>61</v>
      </c>
      <c r="P1331">
        <v>100</v>
      </c>
      <c r="Q1331" t="s">
        <v>52</v>
      </c>
      <c r="R1331" t="s">
        <v>52</v>
      </c>
      <c r="S1331" t="s">
        <v>52</v>
      </c>
      <c r="T1331" t="s">
        <v>52</v>
      </c>
      <c r="U1331" t="s">
        <v>52</v>
      </c>
      <c r="V1331" t="s">
        <v>62</v>
      </c>
      <c r="W1331" t="s">
        <v>63</v>
      </c>
      <c r="Y1331" t="s">
        <v>52</v>
      </c>
      <c r="AB1331" t="s">
        <v>52</v>
      </c>
      <c r="AE1331" t="s">
        <v>52</v>
      </c>
      <c r="AF1331" t="s">
        <v>52</v>
      </c>
      <c r="AH1331">
        <v>0</v>
      </c>
      <c r="AI1331">
        <v>0</v>
      </c>
      <c r="AJ1331" t="s">
        <v>52</v>
      </c>
      <c r="AK1331">
        <v>0</v>
      </c>
      <c r="AL1331" t="s">
        <v>52</v>
      </c>
      <c r="AM1331" t="s">
        <v>52</v>
      </c>
      <c r="AN1331">
        <v>0</v>
      </c>
      <c r="AO1331">
        <v>0</v>
      </c>
      <c r="AP1331" t="s">
        <v>52</v>
      </c>
      <c r="AQ1331" t="s">
        <v>52</v>
      </c>
      <c r="AR1331" t="s">
        <v>62</v>
      </c>
      <c r="AS1331" t="s">
        <v>52</v>
      </c>
      <c r="AT1331" t="s">
        <v>52</v>
      </c>
      <c r="AU1331" t="s">
        <v>64</v>
      </c>
      <c r="AV1331" t="s">
        <v>62</v>
      </c>
      <c r="AW1331" t="s">
        <v>65</v>
      </c>
      <c r="AX1331" t="s">
        <v>66</v>
      </c>
      <c r="AY1331" t="s">
        <v>67</v>
      </c>
    </row>
    <row r="1332" spans="1:51" hidden="1" x14ac:dyDescent="0.25">
      <c r="A1332">
        <v>203315</v>
      </c>
      <c r="B1332" t="s">
        <v>5019</v>
      </c>
      <c r="C1332" t="e">
        <f>VLOOKUP(A1332,[1]Customer_payment_journal_line!$AL:$BO,30,0)</f>
        <v>#N/A</v>
      </c>
      <c r="D1332" t="s">
        <v>53</v>
      </c>
      <c r="E1332" t="s">
        <v>5015</v>
      </c>
      <c r="F1332" t="s">
        <v>5016</v>
      </c>
      <c r="G1332" t="s">
        <v>4689</v>
      </c>
      <c r="H1332" t="s">
        <v>69</v>
      </c>
      <c r="I1332" t="s">
        <v>5020</v>
      </c>
      <c r="J1332" t="s">
        <v>5017</v>
      </c>
      <c r="K1332" t="s">
        <v>5018</v>
      </c>
      <c r="L1332" t="s">
        <v>52</v>
      </c>
      <c r="M1332">
        <v>0</v>
      </c>
      <c r="N1332">
        <v>19950</v>
      </c>
      <c r="O1332" t="s">
        <v>61</v>
      </c>
      <c r="P1332">
        <v>100</v>
      </c>
      <c r="Q1332" t="s">
        <v>52</v>
      </c>
      <c r="R1332" t="s">
        <v>52</v>
      </c>
      <c r="S1332" t="s">
        <v>52</v>
      </c>
      <c r="T1332" t="s">
        <v>52</v>
      </c>
      <c r="U1332" t="s">
        <v>52</v>
      </c>
      <c r="V1332" t="s">
        <v>62</v>
      </c>
      <c r="W1332" t="s">
        <v>52</v>
      </c>
      <c r="Y1332" t="s">
        <v>5021</v>
      </c>
      <c r="Z1332" t="s">
        <v>62</v>
      </c>
      <c r="AB1332" t="s">
        <v>5022</v>
      </c>
      <c r="AE1332" t="s">
        <v>5023</v>
      </c>
      <c r="AF1332" t="s">
        <v>52</v>
      </c>
      <c r="AH1332">
        <v>0</v>
      </c>
      <c r="AI1332">
        <v>0</v>
      </c>
      <c r="AJ1332" t="s">
        <v>52</v>
      </c>
      <c r="AK1332">
        <v>0</v>
      </c>
      <c r="AL1332" t="s">
        <v>52</v>
      </c>
      <c r="AM1332" t="s">
        <v>52</v>
      </c>
      <c r="AN1332">
        <v>0</v>
      </c>
      <c r="AO1332">
        <v>0</v>
      </c>
      <c r="AP1332" t="s">
        <v>52</v>
      </c>
      <c r="AQ1332" t="s">
        <v>52</v>
      </c>
      <c r="AR1332" t="s">
        <v>62</v>
      </c>
      <c r="AS1332" t="s">
        <v>52</v>
      </c>
      <c r="AT1332" t="s">
        <v>74</v>
      </c>
      <c r="AU1332" t="s">
        <v>64</v>
      </c>
      <c r="AV1332" t="s">
        <v>62</v>
      </c>
      <c r="AW1332" t="s">
        <v>65</v>
      </c>
      <c r="AX1332" t="s">
        <v>66</v>
      </c>
      <c r="AY1332" t="s">
        <v>67</v>
      </c>
    </row>
    <row r="1333" spans="1:51" hidden="1" x14ac:dyDescent="0.25">
      <c r="A1333">
        <v>203316</v>
      </c>
      <c r="B1333" t="s">
        <v>5024</v>
      </c>
      <c r="C1333" t="e">
        <f>VLOOKUP(A1333,[1]Customer_payment_journal_line!$AL:$BO,30,0)</f>
        <v>#N/A</v>
      </c>
      <c r="D1333" t="s">
        <v>53</v>
      </c>
      <c r="E1333" t="s">
        <v>5025</v>
      </c>
      <c r="F1333" t="s">
        <v>5026</v>
      </c>
      <c r="G1333" t="s">
        <v>4689</v>
      </c>
      <c r="H1333" t="s">
        <v>57</v>
      </c>
      <c r="I1333" t="s">
        <v>58</v>
      </c>
      <c r="J1333" t="s">
        <v>5017</v>
      </c>
      <c r="K1333" t="s">
        <v>5018</v>
      </c>
      <c r="L1333" t="s">
        <v>52</v>
      </c>
      <c r="M1333">
        <v>855</v>
      </c>
      <c r="N1333">
        <v>0</v>
      </c>
      <c r="O1333" t="s">
        <v>61</v>
      </c>
      <c r="P1333">
        <v>100</v>
      </c>
      <c r="Q1333" t="s">
        <v>52</v>
      </c>
      <c r="R1333" t="s">
        <v>52</v>
      </c>
      <c r="S1333" t="s">
        <v>52</v>
      </c>
      <c r="T1333" t="s">
        <v>52</v>
      </c>
      <c r="U1333" t="s">
        <v>52</v>
      </c>
      <c r="V1333" t="s">
        <v>62</v>
      </c>
      <c r="W1333" t="s">
        <v>63</v>
      </c>
      <c r="Y1333" t="s">
        <v>52</v>
      </c>
      <c r="AB1333" t="s">
        <v>52</v>
      </c>
      <c r="AE1333" t="s">
        <v>52</v>
      </c>
      <c r="AF1333" t="s">
        <v>52</v>
      </c>
      <c r="AH1333">
        <v>0</v>
      </c>
      <c r="AI1333">
        <v>0</v>
      </c>
      <c r="AJ1333" t="s">
        <v>52</v>
      </c>
      <c r="AK1333">
        <v>0</v>
      </c>
      <c r="AL1333" t="s">
        <v>52</v>
      </c>
      <c r="AM1333" t="s">
        <v>52</v>
      </c>
      <c r="AN1333">
        <v>0</v>
      </c>
      <c r="AO1333">
        <v>0</v>
      </c>
      <c r="AP1333" t="s">
        <v>52</v>
      </c>
      <c r="AQ1333" t="s">
        <v>52</v>
      </c>
      <c r="AR1333" t="s">
        <v>62</v>
      </c>
      <c r="AS1333" t="s">
        <v>52</v>
      </c>
      <c r="AT1333" t="s">
        <v>52</v>
      </c>
      <c r="AU1333" t="s">
        <v>64</v>
      </c>
      <c r="AV1333" t="s">
        <v>62</v>
      </c>
      <c r="AW1333" t="s">
        <v>65</v>
      </c>
      <c r="AX1333" t="s">
        <v>66</v>
      </c>
      <c r="AY1333" t="s">
        <v>67</v>
      </c>
    </row>
    <row r="1334" spans="1:51" hidden="1" x14ac:dyDescent="0.25">
      <c r="A1334">
        <v>203316</v>
      </c>
      <c r="B1334" t="s">
        <v>5027</v>
      </c>
      <c r="C1334" t="e">
        <f>VLOOKUP(A1334,[1]Customer_payment_journal_line!$AL:$BO,30,0)</f>
        <v>#N/A</v>
      </c>
      <c r="D1334" t="s">
        <v>53</v>
      </c>
      <c r="E1334" t="s">
        <v>5025</v>
      </c>
      <c r="F1334" t="s">
        <v>5026</v>
      </c>
      <c r="G1334" t="s">
        <v>4689</v>
      </c>
      <c r="H1334" t="s">
        <v>69</v>
      </c>
      <c r="I1334" t="s">
        <v>5020</v>
      </c>
      <c r="J1334" t="s">
        <v>5017</v>
      </c>
      <c r="K1334" t="s">
        <v>5018</v>
      </c>
      <c r="L1334" t="s">
        <v>52</v>
      </c>
      <c r="M1334">
        <v>0</v>
      </c>
      <c r="N1334">
        <v>855</v>
      </c>
      <c r="O1334" t="s">
        <v>61</v>
      </c>
      <c r="P1334">
        <v>100</v>
      </c>
      <c r="Q1334" t="s">
        <v>52</v>
      </c>
      <c r="R1334" t="s">
        <v>52</v>
      </c>
      <c r="S1334" t="s">
        <v>52</v>
      </c>
      <c r="T1334" t="s">
        <v>52</v>
      </c>
      <c r="U1334" t="s">
        <v>52</v>
      </c>
      <c r="V1334" t="s">
        <v>62</v>
      </c>
      <c r="W1334" t="s">
        <v>52</v>
      </c>
      <c r="Y1334" t="s">
        <v>5021</v>
      </c>
      <c r="Z1334" t="s">
        <v>62</v>
      </c>
      <c r="AB1334" t="s">
        <v>5028</v>
      </c>
      <c r="AE1334" t="s">
        <v>5029</v>
      </c>
      <c r="AF1334" t="s">
        <v>52</v>
      </c>
      <c r="AH1334">
        <v>0</v>
      </c>
      <c r="AI1334">
        <v>0</v>
      </c>
      <c r="AJ1334" t="s">
        <v>52</v>
      </c>
      <c r="AK1334">
        <v>0</v>
      </c>
      <c r="AL1334" t="s">
        <v>52</v>
      </c>
      <c r="AM1334" t="s">
        <v>52</v>
      </c>
      <c r="AN1334">
        <v>0</v>
      </c>
      <c r="AO1334">
        <v>0</v>
      </c>
      <c r="AP1334" t="s">
        <v>52</v>
      </c>
      <c r="AQ1334" t="s">
        <v>52</v>
      </c>
      <c r="AR1334" t="s">
        <v>62</v>
      </c>
      <c r="AS1334" t="s">
        <v>52</v>
      </c>
      <c r="AT1334" t="s">
        <v>74</v>
      </c>
      <c r="AU1334" t="s">
        <v>64</v>
      </c>
      <c r="AV1334" t="s">
        <v>62</v>
      </c>
      <c r="AW1334" t="s">
        <v>65</v>
      </c>
      <c r="AX1334" t="s">
        <v>66</v>
      </c>
      <c r="AY1334" t="s">
        <v>67</v>
      </c>
    </row>
    <row r="1335" spans="1:51" hidden="1" x14ac:dyDescent="0.25">
      <c r="A1335">
        <v>203317</v>
      </c>
      <c r="B1335" t="s">
        <v>5030</v>
      </c>
      <c r="C1335" t="e">
        <f>VLOOKUP(A1335,[1]Customer_payment_journal_line!$AL:$BO,30,0)</f>
        <v>#N/A</v>
      </c>
      <c r="D1335" t="s">
        <v>53</v>
      </c>
      <c r="E1335" t="s">
        <v>5031</v>
      </c>
      <c r="F1335" t="s">
        <v>5032</v>
      </c>
      <c r="G1335" t="s">
        <v>4689</v>
      </c>
      <c r="H1335" t="s">
        <v>57</v>
      </c>
      <c r="I1335" t="s">
        <v>58</v>
      </c>
      <c r="J1335" t="s">
        <v>5017</v>
      </c>
      <c r="K1335" t="s">
        <v>5033</v>
      </c>
      <c r="L1335" t="s">
        <v>52</v>
      </c>
      <c r="M1335">
        <v>7068</v>
      </c>
      <c r="N1335">
        <v>0</v>
      </c>
      <c r="O1335" t="s">
        <v>61</v>
      </c>
      <c r="P1335">
        <v>100</v>
      </c>
      <c r="Q1335" t="s">
        <v>52</v>
      </c>
      <c r="R1335" t="s">
        <v>52</v>
      </c>
      <c r="S1335" t="s">
        <v>52</v>
      </c>
      <c r="T1335" t="s">
        <v>52</v>
      </c>
      <c r="U1335" t="s">
        <v>52</v>
      </c>
      <c r="V1335" t="s">
        <v>62</v>
      </c>
      <c r="W1335" t="s">
        <v>63</v>
      </c>
      <c r="Y1335" t="s">
        <v>52</v>
      </c>
      <c r="AB1335" t="s">
        <v>52</v>
      </c>
      <c r="AE1335" t="s">
        <v>52</v>
      </c>
      <c r="AF1335" t="s">
        <v>52</v>
      </c>
      <c r="AH1335">
        <v>0</v>
      </c>
      <c r="AI1335">
        <v>0</v>
      </c>
      <c r="AJ1335" t="s">
        <v>52</v>
      </c>
      <c r="AK1335">
        <v>0</v>
      </c>
      <c r="AL1335" t="s">
        <v>52</v>
      </c>
      <c r="AM1335" t="s">
        <v>52</v>
      </c>
      <c r="AN1335">
        <v>0</v>
      </c>
      <c r="AO1335">
        <v>0</v>
      </c>
      <c r="AP1335" t="s">
        <v>52</v>
      </c>
      <c r="AQ1335" t="s">
        <v>52</v>
      </c>
      <c r="AR1335" t="s">
        <v>62</v>
      </c>
      <c r="AS1335" t="s">
        <v>52</v>
      </c>
      <c r="AT1335" t="s">
        <v>52</v>
      </c>
      <c r="AU1335" t="s">
        <v>64</v>
      </c>
      <c r="AV1335" t="s">
        <v>62</v>
      </c>
      <c r="AW1335" t="s">
        <v>65</v>
      </c>
      <c r="AX1335" t="s">
        <v>66</v>
      </c>
      <c r="AY1335" t="s">
        <v>67</v>
      </c>
    </row>
    <row r="1336" spans="1:51" hidden="1" x14ac:dyDescent="0.25">
      <c r="A1336">
        <v>203317</v>
      </c>
      <c r="B1336" t="s">
        <v>5034</v>
      </c>
      <c r="C1336" t="e">
        <f>VLOOKUP(A1336,[1]Customer_payment_journal_line!$AL:$BO,30,0)</f>
        <v>#N/A</v>
      </c>
      <c r="D1336" t="s">
        <v>53</v>
      </c>
      <c r="E1336" t="s">
        <v>5031</v>
      </c>
      <c r="F1336" t="s">
        <v>5032</v>
      </c>
      <c r="G1336" t="s">
        <v>4689</v>
      </c>
      <c r="H1336" t="s">
        <v>69</v>
      </c>
      <c r="I1336" t="s">
        <v>5020</v>
      </c>
      <c r="J1336" t="s">
        <v>5017</v>
      </c>
      <c r="K1336" t="s">
        <v>5033</v>
      </c>
      <c r="L1336" t="s">
        <v>52</v>
      </c>
      <c r="M1336">
        <v>0</v>
      </c>
      <c r="N1336">
        <v>7068</v>
      </c>
      <c r="O1336" t="s">
        <v>61</v>
      </c>
      <c r="P1336">
        <v>100</v>
      </c>
      <c r="Q1336" t="s">
        <v>52</v>
      </c>
      <c r="R1336" t="s">
        <v>52</v>
      </c>
      <c r="S1336" t="s">
        <v>52</v>
      </c>
      <c r="T1336" t="s">
        <v>52</v>
      </c>
      <c r="U1336" t="s">
        <v>52</v>
      </c>
      <c r="V1336" t="s">
        <v>62</v>
      </c>
      <c r="W1336" t="s">
        <v>52</v>
      </c>
      <c r="Y1336" t="s">
        <v>5021</v>
      </c>
      <c r="Z1336" t="s">
        <v>62</v>
      </c>
      <c r="AB1336" t="s">
        <v>5035</v>
      </c>
      <c r="AE1336" t="s">
        <v>5036</v>
      </c>
      <c r="AF1336" t="s">
        <v>52</v>
      </c>
      <c r="AH1336">
        <v>0</v>
      </c>
      <c r="AI1336">
        <v>0</v>
      </c>
      <c r="AJ1336" t="s">
        <v>52</v>
      </c>
      <c r="AK1336">
        <v>0</v>
      </c>
      <c r="AL1336" t="s">
        <v>52</v>
      </c>
      <c r="AM1336" t="s">
        <v>52</v>
      </c>
      <c r="AN1336">
        <v>0</v>
      </c>
      <c r="AO1336">
        <v>0</v>
      </c>
      <c r="AP1336" t="s">
        <v>52</v>
      </c>
      <c r="AQ1336" t="s">
        <v>52</v>
      </c>
      <c r="AR1336" t="s">
        <v>62</v>
      </c>
      <c r="AS1336" t="s">
        <v>52</v>
      </c>
      <c r="AT1336" t="s">
        <v>74</v>
      </c>
      <c r="AU1336" t="s">
        <v>64</v>
      </c>
      <c r="AV1336" t="s">
        <v>62</v>
      </c>
      <c r="AW1336" t="s">
        <v>65</v>
      </c>
      <c r="AX1336" t="s">
        <v>66</v>
      </c>
      <c r="AY1336" t="s">
        <v>67</v>
      </c>
    </row>
    <row r="1337" spans="1:51" hidden="1" x14ac:dyDescent="0.25">
      <c r="A1337">
        <v>203318</v>
      </c>
      <c r="B1337" t="s">
        <v>5037</v>
      </c>
      <c r="C1337" t="e">
        <f>VLOOKUP(A1337,[1]Customer_payment_journal_line!$AL:$BO,30,0)</f>
        <v>#N/A</v>
      </c>
      <c r="D1337" t="s">
        <v>53</v>
      </c>
      <c r="E1337" t="s">
        <v>5038</v>
      </c>
      <c r="F1337" t="s">
        <v>5039</v>
      </c>
      <c r="G1337" t="s">
        <v>4689</v>
      </c>
      <c r="H1337" t="s">
        <v>57</v>
      </c>
      <c r="I1337" t="s">
        <v>58</v>
      </c>
      <c r="J1337" t="s">
        <v>5017</v>
      </c>
      <c r="K1337" t="s">
        <v>5033</v>
      </c>
      <c r="L1337" t="s">
        <v>52</v>
      </c>
      <c r="M1337">
        <v>855</v>
      </c>
      <c r="N1337">
        <v>0</v>
      </c>
      <c r="O1337" t="s">
        <v>61</v>
      </c>
      <c r="P1337">
        <v>100</v>
      </c>
      <c r="Q1337" t="s">
        <v>52</v>
      </c>
      <c r="R1337" t="s">
        <v>52</v>
      </c>
      <c r="S1337" t="s">
        <v>52</v>
      </c>
      <c r="T1337" t="s">
        <v>52</v>
      </c>
      <c r="U1337" t="s">
        <v>52</v>
      </c>
      <c r="V1337" t="s">
        <v>62</v>
      </c>
      <c r="W1337" t="s">
        <v>63</v>
      </c>
      <c r="Y1337" t="s">
        <v>52</v>
      </c>
      <c r="AB1337" t="s">
        <v>52</v>
      </c>
      <c r="AE1337" t="s">
        <v>52</v>
      </c>
      <c r="AF1337" t="s">
        <v>52</v>
      </c>
      <c r="AH1337">
        <v>0</v>
      </c>
      <c r="AI1337">
        <v>0</v>
      </c>
      <c r="AJ1337" t="s">
        <v>52</v>
      </c>
      <c r="AK1337">
        <v>0</v>
      </c>
      <c r="AL1337" t="s">
        <v>52</v>
      </c>
      <c r="AM1337" t="s">
        <v>52</v>
      </c>
      <c r="AN1337">
        <v>0</v>
      </c>
      <c r="AO1337">
        <v>0</v>
      </c>
      <c r="AP1337" t="s">
        <v>52</v>
      </c>
      <c r="AQ1337" t="s">
        <v>52</v>
      </c>
      <c r="AR1337" t="s">
        <v>62</v>
      </c>
      <c r="AS1337" t="s">
        <v>52</v>
      </c>
      <c r="AT1337" t="s">
        <v>52</v>
      </c>
      <c r="AU1337" t="s">
        <v>64</v>
      </c>
      <c r="AV1337" t="s">
        <v>62</v>
      </c>
      <c r="AW1337" t="s">
        <v>65</v>
      </c>
      <c r="AX1337" t="s">
        <v>66</v>
      </c>
      <c r="AY1337" t="s">
        <v>67</v>
      </c>
    </row>
    <row r="1338" spans="1:51" hidden="1" x14ac:dyDescent="0.25">
      <c r="A1338">
        <v>203318</v>
      </c>
      <c r="B1338" t="s">
        <v>5040</v>
      </c>
      <c r="C1338" t="e">
        <f>VLOOKUP(A1338,[1]Customer_payment_journal_line!$AL:$BO,30,0)</f>
        <v>#N/A</v>
      </c>
      <c r="D1338" t="s">
        <v>53</v>
      </c>
      <c r="E1338" t="s">
        <v>5038</v>
      </c>
      <c r="F1338" t="s">
        <v>5039</v>
      </c>
      <c r="G1338" t="s">
        <v>4689</v>
      </c>
      <c r="H1338" t="s">
        <v>69</v>
      </c>
      <c r="I1338" t="s">
        <v>5020</v>
      </c>
      <c r="J1338" t="s">
        <v>5017</v>
      </c>
      <c r="K1338" t="s">
        <v>5033</v>
      </c>
      <c r="L1338" t="s">
        <v>52</v>
      </c>
      <c r="M1338">
        <v>0</v>
      </c>
      <c r="N1338">
        <v>855</v>
      </c>
      <c r="O1338" t="s">
        <v>61</v>
      </c>
      <c r="P1338">
        <v>100</v>
      </c>
      <c r="Q1338" t="s">
        <v>52</v>
      </c>
      <c r="R1338" t="s">
        <v>52</v>
      </c>
      <c r="S1338" t="s">
        <v>52</v>
      </c>
      <c r="T1338" t="s">
        <v>52</v>
      </c>
      <c r="U1338" t="s">
        <v>52</v>
      </c>
      <c r="V1338" t="s">
        <v>62</v>
      </c>
      <c r="W1338" t="s">
        <v>52</v>
      </c>
      <c r="Y1338" t="s">
        <v>5021</v>
      </c>
      <c r="Z1338" t="s">
        <v>62</v>
      </c>
      <c r="AB1338" t="s">
        <v>5041</v>
      </c>
      <c r="AE1338" t="s">
        <v>5042</v>
      </c>
      <c r="AF1338" t="s">
        <v>52</v>
      </c>
      <c r="AH1338">
        <v>0</v>
      </c>
      <c r="AI1338">
        <v>0</v>
      </c>
      <c r="AJ1338" t="s">
        <v>52</v>
      </c>
      <c r="AK1338">
        <v>0</v>
      </c>
      <c r="AL1338" t="s">
        <v>52</v>
      </c>
      <c r="AM1338" t="s">
        <v>52</v>
      </c>
      <c r="AN1338">
        <v>0</v>
      </c>
      <c r="AO1338">
        <v>0</v>
      </c>
      <c r="AP1338" t="s">
        <v>52</v>
      </c>
      <c r="AQ1338" t="s">
        <v>52</v>
      </c>
      <c r="AR1338" t="s">
        <v>62</v>
      </c>
      <c r="AS1338" t="s">
        <v>52</v>
      </c>
      <c r="AT1338" t="s">
        <v>74</v>
      </c>
      <c r="AU1338" t="s">
        <v>64</v>
      </c>
      <c r="AV1338" t="s">
        <v>62</v>
      </c>
      <c r="AW1338" t="s">
        <v>65</v>
      </c>
      <c r="AX1338" t="s">
        <v>66</v>
      </c>
      <c r="AY1338" t="s">
        <v>67</v>
      </c>
    </row>
    <row r="1339" spans="1:51" hidden="1" x14ac:dyDescent="0.25">
      <c r="A1339">
        <v>203320</v>
      </c>
      <c r="B1339" t="s">
        <v>5043</v>
      </c>
      <c r="C1339" t="e">
        <f>VLOOKUP(A1339,[1]Customer_payment_journal_line!$AL:$BO,30,0)</f>
        <v>#N/A</v>
      </c>
      <c r="D1339" t="s">
        <v>53</v>
      </c>
      <c r="E1339" t="s">
        <v>5044</v>
      </c>
      <c r="F1339" t="s">
        <v>5045</v>
      </c>
      <c r="G1339" t="s">
        <v>4689</v>
      </c>
      <c r="H1339" t="s">
        <v>57</v>
      </c>
      <c r="I1339" t="s">
        <v>319</v>
      </c>
      <c r="J1339" t="s">
        <v>5046</v>
      </c>
      <c r="K1339" t="s">
        <v>2731</v>
      </c>
      <c r="L1339" t="s">
        <v>52</v>
      </c>
      <c r="M1339">
        <v>22059</v>
      </c>
      <c r="N1339">
        <v>0</v>
      </c>
      <c r="O1339" t="s">
        <v>61</v>
      </c>
      <c r="P1339">
        <v>100</v>
      </c>
      <c r="Q1339" t="s">
        <v>52</v>
      </c>
      <c r="R1339" t="s">
        <v>52</v>
      </c>
      <c r="S1339" t="s">
        <v>52</v>
      </c>
      <c r="T1339" t="s">
        <v>52</v>
      </c>
      <c r="U1339" t="s">
        <v>52</v>
      </c>
      <c r="V1339" t="s">
        <v>62</v>
      </c>
      <c r="W1339" t="s">
        <v>63</v>
      </c>
      <c r="Y1339" t="s">
        <v>52</v>
      </c>
      <c r="AB1339" t="s">
        <v>52</v>
      </c>
      <c r="AE1339" t="s">
        <v>52</v>
      </c>
      <c r="AF1339" t="s">
        <v>52</v>
      </c>
      <c r="AH1339">
        <v>0</v>
      </c>
      <c r="AI1339">
        <v>0</v>
      </c>
      <c r="AJ1339" t="s">
        <v>52</v>
      </c>
      <c r="AK1339">
        <v>0</v>
      </c>
      <c r="AL1339" t="s">
        <v>52</v>
      </c>
      <c r="AM1339" t="s">
        <v>52</v>
      </c>
      <c r="AN1339">
        <v>0</v>
      </c>
      <c r="AO1339">
        <v>0</v>
      </c>
      <c r="AP1339" t="s">
        <v>52</v>
      </c>
      <c r="AQ1339" t="s">
        <v>52</v>
      </c>
      <c r="AR1339" t="s">
        <v>62</v>
      </c>
      <c r="AS1339" t="s">
        <v>52</v>
      </c>
      <c r="AT1339" t="s">
        <v>52</v>
      </c>
      <c r="AU1339" t="s">
        <v>64</v>
      </c>
      <c r="AV1339" t="s">
        <v>62</v>
      </c>
      <c r="AW1339" t="s">
        <v>65</v>
      </c>
      <c r="AX1339" t="s">
        <v>66</v>
      </c>
      <c r="AY1339" t="s">
        <v>67</v>
      </c>
    </row>
    <row r="1340" spans="1:51" hidden="1" x14ac:dyDescent="0.25">
      <c r="A1340">
        <v>203320</v>
      </c>
      <c r="B1340" t="s">
        <v>5047</v>
      </c>
      <c r="C1340" t="e">
        <f>VLOOKUP(A1340,[1]Customer_payment_journal_line!$AL:$BO,30,0)</f>
        <v>#N/A</v>
      </c>
      <c r="D1340" t="s">
        <v>53</v>
      </c>
      <c r="E1340" t="s">
        <v>5044</v>
      </c>
      <c r="F1340" t="s">
        <v>5045</v>
      </c>
      <c r="G1340" t="s">
        <v>4689</v>
      </c>
      <c r="H1340" t="s">
        <v>69</v>
      </c>
      <c r="I1340" t="s">
        <v>2733</v>
      </c>
      <c r="J1340" t="s">
        <v>5046</v>
      </c>
      <c r="K1340" t="s">
        <v>2731</v>
      </c>
      <c r="L1340" t="s">
        <v>52</v>
      </c>
      <c r="M1340">
        <v>0</v>
      </c>
      <c r="N1340">
        <v>22059</v>
      </c>
      <c r="O1340" t="s">
        <v>61</v>
      </c>
      <c r="P1340">
        <v>100</v>
      </c>
      <c r="Q1340" t="s">
        <v>52</v>
      </c>
      <c r="R1340" t="s">
        <v>52</v>
      </c>
      <c r="S1340" t="s">
        <v>52</v>
      </c>
      <c r="T1340" t="s">
        <v>52</v>
      </c>
      <c r="U1340" t="s">
        <v>52</v>
      </c>
      <c r="V1340" t="s">
        <v>62</v>
      </c>
      <c r="W1340" t="s">
        <v>52</v>
      </c>
      <c r="Y1340" t="s">
        <v>2734</v>
      </c>
      <c r="Z1340" t="s">
        <v>62</v>
      </c>
      <c r="AB1340" t="s">
        <v>5048</v>
      </c>
      <c r="AE1340" t="s">
        <v>5049</v>
      </c>
      <c r="AF1340" t="s">
        <v>52</v>
      </c>
      <c r="AH1340">
        <v>0</v>
      </c>
      <c r="AI1340">
        <v>0</v>
      </c>
      <c r="AJ1340" t="s">
        <v>52</v>
      </c>
      <c r="AK1340">
        <v>0</v>
      </c>
      <c r="AL1340" t="s">
        <v>52</v>
      </c>
      <c r="AM1340" t="s">
        <v>52</v>
      </c>
      <c r="AN1340">
        <v>0</v>
      </c>
      <c r="AO1340">
        <v>0</v>
      </c>
      <c r="AP1340" t="s">
        <v>52</v>
      </c>
      <c r="AQ1340" t="s">
        <v>52</v>
      </c>
      <c r="AR1340" t="s">
        <v>62</v>
      </c>
      <c r="AS1340" t="s">
        <v>52</v>
      </c>
      <c r="AT1340" t="s">
        <v>74</v>
      </c>
      <c r="AU1340" t="s">
        <v>64</v>
      </c>
      <c r="AV1340" t="s">
        <v>62</v>
      </c>
      <c r="AW1340" t="s">
        <v>65</v>
      </c>
      <c r="AX1340" t="s">
        <v>66</v>
      </c>
      <c r="AY1340" t="s">
        <v>67</v>
      </c>
    </row>
    <row r="1341" spans="1:51" hidden="1" x14ac:dyDescent="0.25">
      <c r="A1341">
        <v>203321</v>
      </c>
      <c r="B1341" t="s">
        <v>5050</v>
      </c>
      <c r="C1341" t="e">
        <f>VLOOKUP(A1341,[1]Customer_payment_journal_line!$AL:$BO,30,0)</f>
        <v>#N/A</v>
      </c>
      <c r="D1341" t="s">
        <v>53</v>
      </c>
      <c r="E1341" t="s">
        <v>5051</v>
      </c>
      <c r="F1341" t="s">
        <v>5052</v>
      </c>
      <c r="G1341" t="s">
        <v>4689</v>
      </c>
      <c r="H1341" t="s">
        <v>57</v>
      </c>
      <c r="I1341" t="s">
        <v>319</v>
      </c>
      <c r="J1341" t="s">
        <v>5053</v>
      </c>
      <c r="K1341" t="s">
        <v>2731</v>
      </c>
      <c r="L1341" t="s">
        <v>52</v>
      </c>
      <c r="M1341">
        <v>5118.6000000000004</v>
      </c>
      <c r="N1341">
        <v>0</v>
      </c>
      <c r="O1341" t="s">
        <v>61</v>
      </c>
      <c r="P1341">
        <v>100</v>
      </c>
      <c r="Q1341" t="s">
        <v>52</v>
      </c>
      <c r="R1341" t="s">
        <v>52</v>
      </c>
      <c r="S1341" t="s">
        <v>52</v>
      </c>
      <c r="T1341" t="s">
        <v>52</v>
      </c>
      <c r="U1341" t="s">
        <v>52</v>
      </c>
      <c r="V1341" t="s">
        <v>62</v>
      </c>
      <c r="W1341" t="s">
        <v>63</v>
      </c>
      <c r="Y1341" t="s">
        <v>52</v>
      </c>
      <c r="AB1341" t="s">
        <v>52</v>
      </c>
      <c r="AE1341" t="s">
        <v>52</v>
      </c>
      <c r="AF1341" t="s">
        <v>52</v>
      </c>
      <c r="AH1341">
        <v>0</v>
      </c>
      <c r="AI1341">
        <v>0</v>
      </c>
      <c r="AJ1341" t="s">
        <v>52</v>
      </c>
      <c r="AK1341">
        <v>0</v>
      </c>
      <c r="AL1341" t="s">
        <v>52</v>
      </c>
      <c r="AM1341" t="s">
        <v>52</v>
      </c>
      <c r="AN1341">
        <v>0</v>
      </c>
      <c r="AO1341">
        <v>0</v>
      </c>
      <c r="AP1341" t="s">
        <v>52</v>
      </c>
      <c r="AQ1341" t="s">
        <v>52</v>
      </c>
      <c r="AR1341" t="s">
        <v>62</v>
      </c>
      <c r="AS1341" t="s">
        <v>52</v>
      </c>
      <c r="AT1341" t="s">
        <v>52</v>
      </c>
      <c r="AU1341" t="s">
        <v>64</v>
      </c>
      <c r="AV1341" t="s">
        <v>62</v>
      </c>
      <c r="AW1341" t="s">
        <v>65</v>
      </c>
      <c r="AX1341" t="s">
        <v>66</v>
      </c>
      <c r="AY1341" t="s">
        <v>67</v>
      </c>
    </row>
    <row r="1342" spans="1:51" hidden="1" x14ac:dyDescent="0.25">
      <c r="A1342">
        <v>203321</v>
      </c>
      <c r="B1342" t="s">
        <v>5054</v>
      </c>
      <c r="C1342" t="e">
        <f>VLOOKUP(A1342,[1]Customer_payment_journal_line!$AL:$BO,30,0)</f>
        <v>#N/A</v>
      </c>
      <c r="D1342" t="s">
        <v>53</v>
      </c>
      <c r="E1342" t="s">
        <v>5051</v>
      </c>
      <c r="F1342" t="s">
        <v>5052</v>
      </c>
      <c r="G1342" t="s">
        <v>4689</v>
      </c>
      <c r="H1342" t="s">
        <v>69</v>
      </c>
      <c r="I1342" t="s">
        <v>2733</v>
      </c>
      <c r="J1342" t="s">
        <v>5053</v>
      </c>
      <c r="K1342" t="s">
        <v>2731</v>
      </c>
      <c r="L1342" t="s">
        <v>52</v>
      </c>
      <c r="M1342">
        <v>0</v>
      </c>
      <c r="N1342">
        <v>5118.6000000000004</v>
      </c>
      <c r="O1342" t="s">
        <v>61</v>
      </c>
      <c r="P1342">
        <v>100</v>
      </c>
      <c r="Q1342" t="s">
        <v>52</v>
      </c>
      <c r="R1342" t="s">
        <v>52</v>
      </c>
      <c r="S1342" t="s">
        <v>52</v>
      </c>
      <c r="T1342" t="s">
        <v>52</v>
      </c>
      <c r="U1342" t="s">
        <v>52</v>
      </c>
      <c r="V1342" t="s">
        <v>62</v>
      </c>
      <c r="W1342" t="s">
        <v>52</v>
      </c>
      <c r="Y1342" t="s">
        <v>2734</v>
      </c>
      <c r="Z1342" t="s">
        <v>62</v>
      </c>
      <c r="AB1342" t="s">
        <v>5055</v>
      </c>
      <c r="AE1342" t="s">
        <v>5056</v>
      </c>
      <c r="AF1342" t="s">
        <v>52</v>
      </c>
      <c r="AH1342">
        <v>0</v>
      </c>
      <c r="AI1342">
        <v>0</v>
      </c>
      <c r="AJ1342" t="s">
        <v>52</v>
      </c>
      <c r="AK1342">
        <v>0</v>
      </c>
      <c r="AL1342" t="s">
        <v>52</v>
      </c>
      <c r="AM1342" t="s">
        <v>52</v>
      </c>
      <c r="AN1342">
        <v>0</v>
      </c>
      <c r="AO1342">
        <v>0</v>
      </c>
      <c r="AP1342" t="s">
        <v>52</v>
      </c>
      <c r="AQ1342" t="s">
        <v>52</v>
      </c>
      <c r="AR1342" t="s">
        <v>62</v>
      </c>
      <c r="AS1342" t="s">
        <v>52</v>
      </c>
      <c r="AT1342" t="s">
        <v>74</v>
      </c>
      <c r="AU1342" t="s">
        <v>64</v>
      </c>
      <c r="AV1342" t="s">
        <v>62</v>
      </c>
      <c r="AW1342" t="s">
        <v>65</v>
      </c>
      <c r="AX1342" t="s">
        <v>66</v>
      </c>
      <c r="AY1342" t="s">
        <v>67</v>
      </c>
    </row>
    <row r="1343" spans="1:51" hidden="1" x14ac:dyDescent="0.25">
      <c r="A1343">
        <v>203322</v>
      </c>
      <c r="B1343" t="s">
        <v>5057</v>
      </c>
      <c r="C1343" t="e">
        <f>VLOOKUP(A1343,[1]Customer_payment_journal_line!$AL:$BO,30,0)</f>
        <v>#N/A</v>
      </c>
      <c r="D1343" t="s">
        <v>53</v>
      </c>
      <c r="E1343" t="s">
        <v>5058</v>
      </c>
      <c r="F1343" t="s">
        <v>5059</v>
      </c>
      <c r="G1343" t="s">
        <v>4689</v>
      </c>
      <c r="H1343" t="s">
        <v>57</v>
      </c>
      <c r="I1343" t="s">
        <v>319</v>
      </c>
      <c r="J1343" t="s">
        <v>5053</v>
      </c>
      <c r="K1343" t="s">
        <v>2731</v>
      </c>
      <c r="L1343" t="s">
        <v>52</v>
      </c>
      <c r="M1343">
        <v>3420</v>
      </c>
      <c r="N1343">
        <v>0</v>
      </c>
      <c r="O1343" t="s">
        <v>61</v>
      </c>
      <c r="P1343">
        <v>100</v>
      </c>
      <c r="Q1343" t="s">
        <v>52</v>
      </c>
      <c r="R1343" t="s">
        <v>52</v>
      </c>
      <c r="S1343" t="s">
        <v>52</v>
      </c>
      <c r="T1343" t="s">
        <v>52</v>
      </c>
      <c r="U1343" t="s">
        <v>52</v>
      </c>
      <c r="V1343" t="s">
        <v>62</v>
      </c>
      <c r="W1343" t="s">
        <v>63</v>
      </c>
      <c r="Y1343" t="s">
        <v>52</v>
      </c>
      <c r="AB1343" t="s">
        <v>52</v>
      </c>
      <c r="AE1343" t="s">
        <v>52</v>
      </c>
      <c r="AF1343" t="s">
        <v>52</v>
      </c>
      <c r="AH1343">
        <v>0</v>
      </c>
      <c r="AI1343">
        <v>0</v>
      </c>
      <c r="AJ1343" t="s">
        <v>52</v>
      </c>
      <c r="AK1343">
        <v>0</v>
      </c>
      <c r="AL1343" t="s">
        <v>52</v>
      </c>
      <c r="AM1343" t="s">
        <v>52</v>
      </c>
      <c r="AN1343">
        <v>0</v>
      </c>
      <c r="AO1343">
        <v>0</v>
      </c>
      <c r="AP1343" t="s">
        <v>52</v>
      </c>
      <c r="AQ1343" t="s">
        <v>52</v>
      </c>
      <c r="AR1343" t="s">
        <v>62</v>
      </c>
      <c r="AS1343" t="s">
        <v>52</v>
      </c>
      <c r="AT1343" t="s">
        <v>52</v>
      </c>
      <c r="AU1343" t="s">
        <v>64</v>
      </c>
      <c r="AV1343" t="s">
        <v>62</v>
      </c>
      <c r="AW1343" t="s">
        <v>65</v>
      </c>
      <c r="AX1343" t="s">
        <v>66</v>
      </c>
      <c r="AY1343" t="s">
        <v>67</v>
      </c>
    </row>
    <row r="1344" spans="1:51" hidden="1" x14ac:dyDescent="0.25">
      <c r="A1344">
        <v>203322</v>
      </c>
      <c r="B1344" t="s">
        <v>5060</v>
      </c>
      <c r="C1344" t="e">
        <f>VLOOKUP(A1344,[1]Customer_payment_journal_line!$AL:$BO,30,0)</f>
        <v>#N/A</v>
      </c>
      <c r="D1344" t="s">
        <v>53</v>
      </c>
      <c r="E1344" t="s">
        <v>5058</v>
      </c>
      <c r="F1344" t="s">
        <v>5059</v>
      </c>
      <c r="G1344" t="s">
        <v>4689</v>
      </c>
      <c r="H1344" t="s">
        <v>69</v>
      </c>
      <c r="I1344" t="s">
        <v>2733</v>
      </c>
      <c r="J1344" t="s">
        <v>5053</v>
      </c>
      <c r="K1344" t="s">
        <v>2731</v>
      </c>
      <c r="L1344" t="s">
        <v>52</v>
      </c>
      <c r="M1344">
        <v>0</v>
      </c>
      <c r="N1344">
        <v>3420</v>
      </c>
      <c r="O1344" t="s">
        <v>61</v>
      </c>
      <c r="P1344">
        <v>100</v>
      </c>
      <c r="Q1344" t="s">
        <v>52</v>
      </c>
      <c r="R1344" t="s">
        <v>52</v>
      </c>
      <c r="S1344" t="s">
        <v>52</v>
      </c>
      <c r="T1344" t="s">
        <v>52</v>
      </c>
      <c r="U1344" t="s">
        <v>52</v>
      </c>
      <c r="V1344" t="s">
        <v>62</v>
      </c>
      <c r="W1344" t="s">
        <v>52</v>
      </c>
      <c r="Y1344" t="s">
        <v>2734</v>
      </c>
      <c r="Z1344" t="s">
        <v>62</v>
      </c>
      <c r="AB1344" t="s">
        <v>5061</v>
      </c>
      <c r="AE1344" t="s">
        <v>5062</v>
      </c>
      <c r="AF1344" t="s">
        <v>52</v>
      </c>
      <c r="AH1344">
        <v>0</v>
      </c>
      <c r="AI1344">
        <v>0</v>
      </c>
      <c r="AJ1344" t="s">
        <v>52</v>
      </c>
      <c r="AK1344">
        <v>0</v>
      </c>
      <c r="AL1344" t="s">
        <v>52</v>
      </c>
      <c r="AM1344" t="s">
        <v>52</v>
      </c>
      <c r="AN1344">
        <v>0</v>
      </c>
      <c r="AO1344">
        <v>0</v>
      </c>
      <c r="AP1344" t="s">
        <v>52</v>
      </c>
      <c r="AQ1344" t="s">
        <v>52</v>
      </c>
      <c r="AR1344" t="s">
        <v>62</v>
      </c>
      <c r="AS1344" t="s">
        <v>52</v>
      </c>
      <c r="AT1344" t="s">
        <v>74</v>
      </c>
      <c r="AU1344" t="s">
        <v>64</v>
      </c>
      <c r="AV1344" t="s">
        <v>62</v>
      </c>
      <c r="AW1344" t="s">
        <v>65</v>
      </c>
      <c r="AX1344" t="s">
        <v>66</v>
      </c>
      <c r="AY1344" t="s">
        <v>67</v>
      </c>
    </row>
    <row r="1345" spans="1:51" hidden="1" x14ac:dyDescent="0.25">
      <c r="A1345">
        <v>203328</v>
      </c>
      <c r="B1345" t="s">
        <v>5063</v>
      </c>
      <c r="C1345" t="e">
        <f>VLOOKUP(A1345,[1]Customer_payment_journal_line!$AL:$BO,30,0)</f>
        <v>#N/A</v>
      </c>
      <c r="D1345" t="s">
        <v>53</v>
      </c>
      <c r="E1345" t="s">
        <v>5064</v>
      </c>
      <c r="F1345" t="s">
        <v>5065</v>
      </c>
      <c r="G1345" t="s">
        <v>4689</v>
      </c>
      <c r="H1345" t="s">
        <v>57</v>
      </c>
      <c r="I1345" t="s">
        <v>58</v>
      </c>
      <c r="J1345" t="s">
        <v>5066</v>
      </c>
      <c r="K1345" t="s">
        <v>5067</v>
      </c>
      <c r="L1345" t="s">
        <v>52</v>
      </c>
      <c r="M1345">
        <v>3961.5</v>
      </c>
      <c r="N1345">
        <v>0</v>
      </c>
      <c r="O1345" t="s">
        <v>61</v>
      </c>
      <c r="P1345">
        <v>100</v>
      </c>
      <c r="Q1345" t="s">
        <v>52</v>
      </c>
      <c r="R1345" t="s">
        <v>52</v>
      </c>
      <c r="S1345" t="s">
        <v>52</v>
      </c>
      <c r="T1345" t="s">
        <v>52</v>
      </c>
      <c r="U1345" t="s">
        <v>52</v>
      </c>
      <c r="V1345" t="s">
        <v>62</v>
      </c>
      <c r="W1345" t="s">
        <v>63</v>
      </c>
      <c r="Y1345" t="s">
        <v>52</v>
      </c>
      <c r="AB1345" t="s">
        <v>52</v>
      </c>
      <c r="AE1345" t="s">
        <v>52</v>
      </c>
      <c r="AF1345" t="s">
        <v>52</v>
      </c>
      <c r="AH1345">
        <v>0</v>
      </c>
      <c r="AI1345">
        <v>0</v>
      </c>
      <c r="AJ1345" t="s">
        <v>52</v>
      </c>
      <c r="AK1345">
        <v>0</v>
      </c>
      <c r="AL1345" t="s">
        <v>52</v>
      </c>
      <c r="AM1345" t="s">
        <v>52</v>
      </c>
      <c r="AN1345">
        <v>0</v>
      </c>
      <c r="AO1345">
        <v>0</v>
      </c>
      <c r="AP1345" t="s">
        <v>52</v>
      </c>
      <c r="AQ1345" t="s">
        <v>52</v>
      </c>
      <c r="AR1345" t="s">
        <v>62</v>
      </c>
      <c r="AS1345" t="s">
        <v>52</v>
      </c>
      <c r="AT1345" t="s">
        <v>52</v>
      </c>
      <c r="AU1345" t="s">
        <v>64</v>
      </c>
      <c r="AV1345" t="s">
        <v>62</v>
      </c>
      <c r="AW1345" t="s">
        <v>65</v>
      </c>
      <c r="AX1345" t="s">
        <v>66</v>
      </c>
      <c r="AY1345" t="s">
        <v>67</v>
      </c>
    </row>
    <row r="1346" spans="1:51" hidden="1" x14ac:dyDescent="0.25">
      <c r="A1346">
        <v>203328</v>
      </c>
      <c r="B1346" t="s">
        <v>5068</v>
      </c>
      <c r="C1346" t="e">
        <f>VLOOKUP(A1346,[1]Customer_payment_journal_line!$AL:$BO,30,0)</f>
        <v>#N/A</v>
      </c>
      <c r="D1346" t="s">
        <v>53</v>
      </c>
      <c r="E1346" t="s">
        <v>5064</v>
      </c>
      <c r="F1346" t="s">
        <v>5065</v>
      </c>
      <c r="G1346" t="s">
        <v>4689</v>
      </c>
      <c r="H1346" t="s">
        <v>69</v>
      </c>
      <c r="I1346" t="s">
        <v>5069</v>
      </c>
      <c r="J1346" t="s">
        <v>5066</v>
      </c>
      <c r="K1346" t="s">
        <v>5067</v>
      </c>
      <c r="L1346" t="s">
        <v>52</v>
      </c>
      <c r="M1346">
        <v>0</v>
      </c>
      <c r="N1346">
        <v>3961.5</v>
      </c>
      <c r="O1346" t="s">
        <v>61</v>
      </c>
      <c r="P1346">
        <v>100</v>
      </c>
      <c r="Q1346" t="s">
        <v>52</v>
      </c>
      <c r="R1346" t="s">
        <v>52</v>
      </c>
      <c r="S1346" t="s">
        <v>52</v>
      </c>
      <c r="T1346" t="s">
        <v>52</v>
      </c>
      <c r="U1346" t="s">
        <v>52</v>
      </c>
      <c r="V1346" t="s">
        <v>62</v>
      </c>
      <c r="W1346" t="s">
        <v>52</v>
      </c>
      <c r="Y1346" t="s">
        <v>5070</v>
      </c>
      <c r="Z1346" t="s">
        <v>62</v>
      </c>
      <c r="AB1346" t="s">
        <v>5071</v>
      </c>
      <c r="AE1346" t="s">
        <v>5072</v>
      </c>
      <c r="AF1346" t="s">
        <v>52</v>
      </c>
      <c r="AH1346">
        <v>0</v>
      </c>
      <c r="AI1346">
        <v>0</v>
      </c>
      <c r="AJ1346" t="s">
        <v>52</v>
      </c>
      <c r="AK1346">
        <v>0</v>
      </c>
      <c r="AL1346" t="s">
        <v>52</v>
      </c>
      <c r="AM1346" t="s">
        <v>52</v>
      </c>
      <c r="AN1346">
        <v>0</v>
      </c>
      <c r="AO1346">
        <v>0</v>
      </c>
      <c r="AP1346" t="s">
        <v>52</v>
      </c>
      <c r="AQ1346" t="s">
        <v>52</v>
      </c>
      <c r="AR1346" t="s">
        <v>62</v>
      </c>
      <c r="AS1346" t="s">
        <v>52</v>
      </c>
      <c r="AT1346" t="s">
        <v>74</v>
      </c>
      <c r="AU1346" t="s">
        <v>64</v>
      </c>
      <c r="AV1346" t="s">
        <v>62</v>
      </c>
      <c r="AW1346" t="s">
        <v>65</v>
      </c>
      <c r="AX1346" t="s">
        <v>66</v>
      </c>
      <c r="AY1346" t="s">
        <v>67</v>
      </c>
    </row>
    <row r="1347" spans="1:51" hidden="1" x14ac:dyDescent="0.25">
      <c r="A1347">
        <v>406106</v>
      </c>
      <c r="B1347" t="s">
        <v>5073</v>
      </c>
      <c r="C1347" t="e">
        <f>VLOOKUP(A1347,[1]Customer_payment_journal_line!$AL:$BO,30,0)</f>
        <v>#N/A</v>
      </c>
      <c r="D1347" t="s">
        <v>53</v>
      </c>
      <c r="E1347" t="s">
        <v>5074</v>
      </c>
      <c r="F1347" t="s">
        <v>5075</v>
      </c>
      <c r="G1347" t="s">
        <v>4689</v>
      </c>
      <c r="H1347" t="s">
        <v>57</v>
      </c>
      <c r="I1347" t="s">
        <v>58</v>
      </c>
      <c r="J1347" t="s">
        <v>5076</v>
      </c>
      <c r="K1347" t="s">
        <v>5077</v>
      </c>
      <c r="L1347" t="s">
        <v>52</v>
      </c>
      <c r="M1347">
        <v>1482</v>
      </c>
      <c r="N1347">
        <v>0</v>
      </c>
      <c r="O1347" t="s">
        <v>61</v>
      </c>
      <c r="P1347">
        <v>100</v>
      </c>
      <c r="Q1347" t="s">
        <v>52</v>
      </c>
      <c r="R1347" t="s">
        <v>52</v>
      </c>
      <c r="S1347" t="s">
        <v>52</v>
      </c>
      <c r="T1347" t="s">
        <v>52</v>
      </c>
      <c r="U1347" t="s">
        <v>52</v>
      </c>
      <c r="V1347" t="s">
        <v>62</v>
      </c>
      <c r="W1347" t="s">
        <v>63</v>
      </c>
      <c r="Y1347" t="s">
        <v>52</v>
      </c>
      <c r="AB1347" t="s">
        <v>52</v>
      </c>
      <c r="AE1347" t="s">
        <v>52</v>
      </c>
      <c r="AF1347" t="s">
        <v>52</v>
      </c>
      <c r="AH1347">
        <v>0</v>
      </c>
      <c r="AI1347">
        <v>0</v>
      </c>
      <c r="AJ1347" t="s">
        <v>52</v>
      </c>
      <c r="AK1347">
        <v>0</v>
      </c>
      <c r="AL1347" t="s">
        <v>52</v>
      </c>
      <c r="AM1347" t="s">
        <v>52</v>
      </c>
      <c r="AN1347">
        <v>0</v>
      </c>
      <c r="AO1347">
        <v>0</v>
      </c>
      <c r="AP1347" t="s">
        <v>52</v>
      </c>
      <c r="AQ1347" t="s">
        <v>52</v>
      </c>
      <c r="AR1347" t="s">
        <v>62</v>
      </c>
      <c r="AS1347" t="s">
        <v>52</v>
      </c>
      <c r="AT1347" t="s">
        <v>52</v>
      </c>
      <c r="AU1347" t="s">
        <v>64</v>
      </c>
      <c r="AV1347" t="s">
        <v>62</v>
      </c>
      <c r="AW1347" t="s">
        <v>65</v>
      </c>
      <c r="AX1347" t="s">
        <v>66</v>
      </c>
      <c r="AY1347" t="s">
        <v>67</v>
      </c>
    </row>
    <row r="1348" spans="1:51" hidden="1" x14ac:dyDescent="0.25">
      <c r="A1348">
        <v>406106</v>
      </c>
      <c r="B1348" t="s">
        <v>5078</v>
      </c>
      <c r="C1348" t="e">
        <f>VLOOKUP(A1348,[1]Customer_payment_journal_line!$AL:$BO,30,0)</f>
        <v>#N/A</v>
      </c>
      <c r="D1348" t="s">
        <v>53</v>
      </c>
      <c r="E1348" t="s">
        <v>5074</v>
      </c>
      <c r="F1348" t="s">
        <v>5075</v>
      </c>
      <c r="G1348" t="s">
        <v>4689</v>
      </c>
      <c r="H1348" t="s">
        <v>69</v>
      </c>
      <c r="I1348" t="s">
        <v>5079</v>
      </c>
      <c r="J1348" t="s">
        <v>5076</v>
      </c>
      <c r="K1348" t="s">
        <v>5077</v>
      </c>
      <c r="L1348" t="s">
        <v>52</v>
      </c>
      <c r="M1348">
        <v>0</v>
      </c>
      <c r="N1348">
        <v>1482</v>
      </c>
      <c r="O1348" t="s">
        <v>61</v>
      </c>
      <c r="P1348">
        <v>100</v>
      </c>
      <c r="Q1348" t="s">
        <v>52</v>
      </c>
      <c r="R1348" t="s">
        <v>52</v>
      </c>
      <c r="S1348" t="s">
        <v>52</v>
      </c>
      <c r="T1348" t="s">
        <v>52</v>
      </c>
      <c r="U1348" t="s">
        <v>52</v>
      </c>
      <c r="V1348" t="s">
        <v>62</v>
      </c>
      <c r="W1348" t="s">
        <v>52</v>
      </c>
      <c r="Y1348" t="s">
        <v>5080</v>
      </c>
      <c r="Z1348" t="s">
        <v>62</v>
      </c>
      <c r="AB1348" t="s">
        <v>5081</v>
      </c>
      <c r="AE1348" t="s">
        <v>5082</v>
      </c>
      <c r="AF1348" t="s">
        <v>52</v>
      </c>
      <c r="AH1348">
        <v>0</v>
      </c>
      <c r="AI1348">
        <v>0</v>
      </c>
      <c r="AJ1348" t="s">
        <v>52</v>
      </c>
      <c r="AK1348">
        <v>0</v>
      </c>
      <c r="AL1348" t="s">
        <v>52</v>
      </c>
      <c r="AM1348" t="s">
        <v>52</v>
      </c>
      <c r="AN1348">
        <v>0</v>
      </c>
      <c r="AO1348">
        <v>0</v>
      </c>
      <c r="AP1348" t="s">
        <v>52</v>
      </c>
      <c r="AQ1348" t="s">
        <v>52</v>
      </c>
      <c r="AR1348" t="s">
        <v>62</v>
      </c>
      <c r="AS1348" t="s">
        <v>52</v>
      </c>
      <c r="AT1348" t="s">
        <v>74</v>
      </c>
      <c r="AU1348" t="s">
        <v>64</v>
      </c>
      <c r="AV1348" t="s">
        <v>62</v>
      </c>
      <c r="AW1348" t="s">
        <v>65</v>
      </c>
      <c r="AX1348" t="s">
        <v>66</v>
      </c>
      <c r="AY1348" t="s">
        <v>67</v>
      </c>
    </row>
    <row r="1349" spans="1:51" hidden="1" x14ac:dyDescent="0.25">
      <c r="A1349">
        <v>406107</v>
      </c>
      <c r="B1349" t="s">
        <v>5083</v>
      </c>
      <c r="C1349" t="e">
        <f>VLOOKUP(A1349,[1]Customer_payment_journal_line!$AL:$BO,30,0)</f>
        <v>#N/A</v>
      </c>
      <c r="D1349" t="s">
        <v>53</v>
      </c>
      <c r="E1349" t="s">
        <v>5084</v>
      </c>
      <c r="F1349" t="s">
        <v>5085</v>
      </c>
      <c r="G1349" t="s">
        <v>4689</v>
      </c>
      <c r="H1349" t="s">
        <v>57</v>
      </c>
      <c r="I1349" t="s">
        <v>58</v>
      </c>
      <c r="J1349" t="s">
        <v>5076</v>
      </c>
      <c r="K1349" t="s">
        <v>5077</v>
      </c>
      <c r="L1349" t="s">
        <v>52</v>
      </c>
      <c r="M1349">
        <v>855</v>
      </c>
      <c r="N1349">
        <v>0</v>
      </c>
      <c r="O1349" t="s">
        <v>61</v>
      </c>
      <c r="P1349">
        <v>100</v>
      </c>
      <c r="Q1349" t="s">
        <v>52</v>
      </c>
      <c r="R1349" t="s">
        <v>52</v>
      </c>
      <c r="S1349" t="s">
        <v>52</v>
      </c>
      <c r="T1349" t="s">
        <v>52</v>
      </c>
      <c r="U1349" t="s">
        <v>52</v>
      </c>
      <c r="V1349" t="s">
        <v>62</v>
      </c>
      <c r="W1349" t="s">
        <v>63</v>
      </c>
      <c r="Y1349" t="s">
        <v>52</v>
      </c>
      <c r="AB1349" t="s">
        <v>52</v>
      </c>
      <c r="AE1349" t="s">
        <v>52</v>
      </c>
      <c r="AF1349" t="s">
        <v>52</v>
      </c>
      <c r="AH1349">
        <v>0</v>
      </c>
      <c r="AI1349">
        <v>0</v>
      </c>
      <c r="AJ1349" t="s">
        <v>52</v>
      </c>
      <c r="AK1349">
        <v>0</v>
      </c>
      <c r="AL1349" t="s">
        <v>52</v>
      </c>
      <c r="AM1349" t="s">
        <v>52</v>
      </c>
      <c r="AN1349">
        <v>0</v>
      </c>
      <c r="AO1349">
        <v>0</v>
      </c>
      <c r="AP1349" t="s">
        <v>52</v>
      </c>
      <c r="AQ1349" t="s">
        <v>52</v>
      </c>
      <c r="AR1349" t="s">
        <v>62</v>
      </c>
      <c r="AS1349" t="s">
        <v>52</v>
      </c>
      <c r="AT1349" t="s">
        <v>52</v>
      </c>
      <c r="AU1349" t="s">
        <v>64</v>
      </c>
      <c r="AV1349" t="s">
        <v>62</v>
      </c>
      <c r="AW1349" t="s">
        <v>65</v>
      </c>
      <c r="AX1349" t="s">
        <v>66</v>
      </c>
      <c r="AY1349" t="s">
        <v>67</v>
      </c>
    </row>
    <row r="1350" spans="1:51" hidden="1" x14ac:dyDescent="0.25">
      <c r="A1350">
        <v>406107</v>
      </c>
      <c r="B1350" t="s">
        <v>5086</v>
      </c>
      <c r="C1350" t="e">
        <f>VLOOKUP(A1350,[1]Customer_payment_journal_line!$AL:$BO,30,0)</f>
        <v>#N/A</v>
      </c>
      <c r="D1350" t="s">
        <v>53</v>
      </c>
      <c r="E1350" t="s">
        <v>5084</v>
      </c>
      <c r="F1350" t="s">
        <v>5085</v>
      </c>
      <c r="G1350" t="s">
        <v>4689</v>
      </c>
      <c r="H1350" t="s">
        <v>69</v>
      </c>
      <c r="I1350" t="s">
        <v>5079</v>
      </c>
      <c r="J1350" t="s">
        <v>5076</v>
      </c>
      <c r="K1350" t="s">
        <v>5077</v>
      </c>
      <c r="L1350" t="s">
        <v>52</v>
      </c>
      <c r="M1350">
        <v>0</v>
      </c>
      <c r="N1350">
        <v>855</v>
      </c>
      <c r="O1350" t="s">
        <v>61</v>
      </c>
      <c r="P1350">
        <v>100</v>
      </c>
      <c r="Q1350" t="s">
        <v>52</v>
      </c>
      <c r="R1350" t="s">
        <v>52</v>
      </c>
      <c r="S1350" t="s">
        <v>52</v>
      </c>
      <c r="T1350" t="s">
        <v>52</v>
      </c>
      <c r="U1350" t="s">
        <v>52</v>
      </c>
      <c r="V1350" t="s">
        <v>62</v>
      </c>
      <c r="W1350" t="s">
        <v>52</v>
      </c>
      <c r="Y1350" t="s">
        <v>5080</v>
      </c>
      <c r="Z1350" t="s">
        <v>62</v>
      </c>
      <c r="AB1350" t="s">
        <v>5087</v>
      </c>
      <c r="AE1350" t="s">
        <v>5088</v>
      </c>
      <c r="AF1350" t="s">
        <v>52</v>
      </c>
      <c r="AH1350">
        <v>0</v>
      </c>
      <c r="AI1350">
        <v>0</v>
      </c>
      <c r="AJ1350" t="s">
        <v>52</v>
      </c>
      <c r="AK1350">
        <v>0</v>
      </c>
      <c r="AL1350" t="s">
        <v>52</v>
      </c>
      <c r="AM1350" t="s">
        <v>52</v>
      </c>
      <c r="AN1350">
        <v>0</v>
      </c>
      <c r="AO1350">
        <v>0</v>
      </c>
      <c r="AP1350" t="s">
        <v>52</v>
      </c>
      <c r="AQ1350" t="s">
        <v>52</v>
      </c>
      <c r="AR1350" t="s">
        <v>62</v>
      </c>
      <c r="AS1350" t="s">
        <v>52</v>
      </c>
      <c r="AT1350" t="s">
        <v>74</v>
      </c>
      <c r="AU1350" t="s">
        <v>64</v>
      </c>
      <c r="AV1350" t="s">
        <v>62</v>
      </c>
      <c r="AW1350" t="s">
        <v>65</v>
      </c>
      <c r="AX1350" t="s">
        <v>66</v>
      </c>
      <c r="AY1350" t="s">
        <v>67</v>
      </c>
    </row>
    <row r="1351" spans="1:51" hidden="1" x14ac:dyDescent="0.25">
      <c r="A1351">
        <v>406108</v>
      </c>
      <c r="B1351" t="s">
        <v>5089</v>
      </c>
      <c r="C1351" t="e">
        <f>VLOOKUP(A1351,[1]Customer_payment_journal_line!$AL:$BO,30,0)</f>
        <v>#N/A</v>
      </c>
      <c r="D1351" t="s">
        <v>53</v>
      </c>
      <c r="E1351" t="s">
        <v>5090</v>
      </c>
      <c r="F1351" t="s">
        <v>5091</v>
      </c>
      <c r="G1351" t="s">
        <v>4689</v>
      </c>
      <c r="H1351" t="s">
        <v>57</v>
      </c>
      <c r="I1351" t="s">
        <v>1349</v>
      </c>
      <c r="J1351" t="s">
        <v>5092</v>
      </c>
      <c r="K1351" t="s">
        <v>3640</v>
      </c>
      <c r="L1351" t="s">
        <v>52</v>
      </c>
      <c r="M1351">
        <v>15048</v>
      </c>
      <c r="N1351">
        <v>0</v>
      </c>
      <c r="O1351" t="s">
        <v>61</v>
      </c>
      <c r="P1351">
        <v>100</v>
      </c>
      <c r="Q1351" t="s">
        <v>52</v>
      </c>
      <c r="R1351" t="s">
        <v>52</v>
      </c>
      <c r="S1351" t="s">
        <v>52</v>
      </c>
      <c r="T1351" t="s">
        <v>52</v>
      </c>
      <c r="U1351" t="s">
        <v>52</v>
      </c>
      <c r="V1351" t="s">
        <v>62</v>
      </c>
      <c r="W1351" t="s">
        <v>63</v>
      </c>
      <c r="Y1351" t="s">
        <v>52</v>
      </c>
      <c r="AB1351" t="s">
        <v>52</v>
      </c>
      <c r="AE1351" t="s">
        <v>52</v>
      </c>
      <c r="AF1351" t="s">
        <v>52</v>
      </c>
      <c r="AH1351">
        <v>0</v>
      </c>
      <c r="AI1351">
        <v>0</v>
      </c>
      <c r="AJ1351" t="s">
        <v>52</v>
      </c>
      <c r="AK1351">
        <v>0</v>
      </c>
      <c r="AL1351" t="s">
        <v>52</v>
      </c>
      <c r="AM1351" t="s">
        <v>52</v>
      </c>
      <c r="AN1351">
        <v>0</v>
      </c>
      <c r="AO1351">
        <v>0</v>
      </c>
      <c r="AP1351" t="s">
        <v>52</v>
      </c>
      <c r="AQ1351" t="s">
        <v>52</v>
      </c>
      <c r="AR1351" t="s">
        <v>62</v>
      </c>
      <c r="AS1351" t="s">
        <v>52</v>
      </c>
      <c r="AT1351" t="s">
        <v>52</v>
      </c>
      <c r="AU1351" t="s">
        <v>64</v>
      </c>
      <c r="AV1351" t="s">
        <v>62</v>
      </c>
      <c r="AW1351" t="s">
        <v>65</v>
      </c>
      <c r="AX1351" t="s">
        <v>66</v>
      </c>
      <c r="AY1351" t="s">
        <v>67</v>
      </c>
    </row>
    <row r="1352" spans="1:51" hidden="1" x14ac:dyDescent="0.25">
      <c r="A1352">
        <v>406108</v>
      </c>
      <c r="B1352" t="s">
        <v>5093</v>
      </c>
      <c r="C1352" t="e">
        <f>VLOOKUP(A1352,[1]Customer_payment_journal_line!$AL:$BO,30,0)</f>
        <v>#N/A</v>
      </c>
      <c r="D1352" t="s">
        <v>53</v>
      </c>
      <c r="E1352" t="s">
        <v>5090</v>
      </c>
      <c r="F1352" t="s">
        <v>5091</v>
      </c>
      <c r="G1352" t="s">
        <v>4689</v>
      </c>
      <c r="H1352" t="s">
        <v>69</v>
      </c>
      <c r="I1352" t="s">
        <v>3642</v>
      </c>
      <c r="J1352" t="s">
        <v>5092</v>
      </c>
      <c r="K1352" t="s">
        <v>3640</v>
      </c>
      <c r="L1352" t="s">
        <v>52</v>
      </c>
      <c r="M1352">
        <v>0</v>
      </c>
      <c r="N1352">
        <v>15048</v>
      </c>
      <c r="O1352" t="s">
        <v>61</v>
      </c>
      <c r="P1352">
        <v>100</v>
      </c>
      <c r="Q1352" t="s">
        <v>52</v>
      </c>
      <c r="R1352" t="s">
        <v>52</v>
      </c>
      <c r="S1352" t="s">
        <v>52</v>
      </c>
      <c r="T1352" t="s">
        <v>52</v>
      </c>
      <c r="U1352" t="s">
        <v>52</v>
      </c>
      <c r="V1352" t="s">
        <v>62</v>
      </c>
      <c r="W1352" t="s">
        <v>52</v>
      </c>
      <c r="Y1352" t="s">
        <v>3643</v>
      </c>
      <c r="Z1352" t="s">
        <v>62</v>
      </c>
      <c r="AB1352" t="s">
        <v>5094</v>
      </c>
      <c r="AE1352" t="s">
        <v>5095</v>
      </c>
      <c r="AF1352" t="s">
        <v>52</v>
      </c>
      <c r="AH1352">
        <v>0</v>
      </c>
      <c r="AI1352">
        <v>0</v>
      </c>
      <c r="AJ1352" t="s">
        <v>52</v>
      </c>
      <c r="AK1352">
        <v>0</v>
      </c>
      <c r="AL1352" t="s">
        <v>52</v>
      </c>
      <c r="AM1352" t="s">
        <v>52</v>
      </c>
      <c r="AN1352">
        <v>0</v>
      </c>
      <c r="AO1352">
        <v>0</v>
      </c>
      <c r="AP1352" t="s">
        <v>52</v>
      </c>
      <c r="AQ1352" t="s">
        <v>52</v>
      </c>
      <c r="AR1352" t="s">
        <v>62</v>
      </c>
      <c r="AS1352" t="s">
        <v>52</v>
      </c>
      <c r="AT1352" t="s">
        <v>74</v>
      </c>
      <c r="AU1352" t="s">
        <v>64</v>
      </c>
      <c r="AV1352" t="s">
        <v>62</v>
      </c>
      <c r="AW1352" t="s">
        <v>65</v>
      </c>
      <c r="AX1352" t="s">
        <v>66</v>
      </c>
      <c r="AY1352" t="s">
        <v>67</v>
      </c>
    </row>
    <row r="1353" spans="1:51" hidden="1" x14ac:dyDescent="0.25">
      <c r="A1353">
        <v>406109</v>
      </c>
      <c r="B1353" t="s">
        <v>5096</v>
      </c>
      <c r="C1353" t="e">
        <f>VLOOKUP(A1353,[1]Customer_payment_journal_line!$AL:$BO,30,0)</f>
        <v>#N/A</v>
      </c>
      <c r="D1353" t="s">
        <v>53</v>
      </c>
      <c r="E1353" t="s">
        <v>5097</v>
      </c>
      <c r="F1353" t="s">
        <v>5098</v>
      </c>
      <c r="G1353" t="s">
        <v>4689</v>
      </c>
      <c r="H1353" t="s">
        <v>57</v>
      </c>
      <c r="I1353" t="s">
        <v>516</v>
      </c>
      <c r="J1353" t="s">
        <v>5076</v>
      </c>
      <c r="K1353" t="s">
        <v>5077</v>
      </c>
      <c r="L1353" t="s">
        <v>52</v>
      </c>
      <c r="M1353">
        <v>50</v>
      </c>
      <c r="N1353">
        <v>0</v>
      </c>
      <c r="O1353" t="s">
        <v>178</v>
      </c>
      <c r="P1353">
        <v>5085</v>
      </c>
      <c r="Q1353" t="s">
        <v>52</v>
      </c>
      <c r="R1353" t="s">
        <v>52</v>
      </c>
      <c r="S1353" t="s">
        <v>52</v>
      </c>
      <c r="T1353" t="s">
        <v>52</v>
      </c>
      <c r="U1353" t="s">
        <v>52</v>
      </c>
      <c r="V1353" t="s">
        <v>62</v>
      </c>
      <c r="W1353" t="s">
        <v>63</v>
      </c>
      <c r="Y1353" t="s">
        <v>52</v>
      </c>
      <c r="AB1353" t="s">
        <v>52</v>
      </c>
      <c r="AE1353" t="s">
        <v>52</v>
      </c>
      <c r="AF1353" t="s">
        <v>52</v>
      </c>
      <c r="AH1353">
        <v>0</v>
      </c>
      <c r="AI1353">
        <v>0</v>
      </c>
      <c r="AJ1353" t="s">
        <v>52</v>
      </c>
      <c r="AK1353">
        <v>0</v>
      </c>
      <c r="AL1353" t="s">
        <v>52</v>
      </c>
      <c r="AM1353" t="s">
        <v>52</v>
      </c>
      <c r="AN1353">
        <v>0</v>
      </c>
      <c r="AO1353">
        <v>0</v>
      </c>
      <c r="AP1353" t="s">
        <v>52</v>
      </c>
      <c r="AQ1353" t="s">
        <v>52</v>
      </c>
      <c r="AR1353" t="s">
        <v>62</v>
      </c>
      <c r="AS1353" t="s">
        <v>52</v>
      </c>
      <c r="AT1353" t="s">
        <v>52</v>
      </c>
      <c r="AU1353" t="s">
        <v>64</v>
      </c>
      <c r="AV1353" t="s">
        <v>62</v>
      </c>
      <c r="AW1353" t="s">
        <v>65</v>
      </c>
      <c r="AX1353" t="s">
        <v>66</v>
      </c>
      <c r="AY1353" t="s">
        <v>67</v>
      </c>
    </row>
    <row r="1354" spans="1:51" hidden="1" x14ac:dyDescent="0.25">
      <c r="A1354">
        <v>406109</v>
      </c>
      <c r="B1354" t="s">
        <v>5099</v>
      </c>
      <c r="C1354" t="e">
        <f>VLOOKUP(A1354,[1]Customer_payment_journal_line!$AL:$BO,30,0)</f>
        <v>#N/A</v>
      </c>
      <c r="D1354" t="s">
        <v>53</v>
      </c>
      <c r="E1354" t="s">
        <v>5097</v>
      </c>
      <c r="F1354" t="s">
        <v>5098</v>
      </c>
      <c r="G1354" t="s">
        <v>4689</v>
      </c>
      <c r="H1354" t="s">
        <v>69</v>
      </c>
      <c r="I1354" t="s">
        <v>5079</v>
      </c>
      <c r="J1354" t="s">
        <v>5076</v>
      </c>
      <c r="K1354" t="s">
        <v>5077</v>
      </c>
      <c r="L1354" t="s">
        <v>52</v>
      </c>
      <c r="M1354">
        <v>0</v>
      </c>
      <c r="N1354">
        <v>50</v>
      </c>
      <c r="O1354" t="s">
        <v>178</v>
      </c>
      <c r="P1354">
        <v>5085</v>
      </c>
      <c r="Q1354" t="s">
        <v>52</v>
      </c>
      <c r="R1354" t="s">
        <v>52</v>
      </c>
      <c r="S1354" t="s">
        <v>52</v>
      </c>
      <c r="T1354" t="s">
        <v>52</v>
      </c>
      <c r="U1354" t="s">
        <v>52</v>
      </c>
      <c r="V1354" t="s">
        <v>62</v>
      </c>
      <c r="W1354" t="s">
        <v>52</v>
      </c>
      <c r="Y1354" t="s">
        <v>5080</v>
      </c>
      <c r="Z1354" t="s">
        <v>62</v>
      </c>
      <c r="AB1354" t="s">
        <v>5100</v>
      </c>
      <c r="AE1354" t="s">
        <v>5101</v>
      </c>
      <c r="AF1354" t="s">
        <v>52</v>
      </c>
      <c r="AH1354">
        <v>0</v>
      </c>
      <c r="AI1354">
        <v>0</v>
      </c>
      <c r="AJ1354" t="s">
        <v>52</v>
      </c>
      <c r="AK1354">
        <v>0</v>
      </c>
      <c r="AL1354" t="s">
        <v>52</v>
      </c>
      <c r="AM1354" t="s">
        <v>52</v>
      </c>
      <c r="AN1354">
        <v>0</v>
      </c>
      <c r="AO1354">
        <v>0</v>
      </c>
      <c r="AP1354" t="s">
        <v>52</v>
      </c>
      <c r="AQ1354" t="s">
        <v>52</v>
      </c>
      <c r="AR1354" t="s">
        <v>62</v>
      </c>
      <c r="AS1354" t="s">
        <v>52</v>
      </c>
      <c r="AT1354" t="s">
        <v>74</v>
      </c>
      <c r="AU1354" t="s">
        <v>64</v>
      </c>
      <c r="AV1354" t="s">
        <v>62</v>
      </c>
      <c r="AW1354" t="s">
        <v>65</v>
      </c>
      <c r="AX1354" t="s">
        <v>66</v>
      </c>
      <c r="AY1354" t="s">
        <v>67</v>
      </c>
    </row>
    <row r="1355" spans="1:51" hidden="1" x14ac:dyDescent="0.25">
      <c r="A1355">
        <v>406110</v>
      </c>
      <c r="B1355" t="s">
        <v>5102</v>
      </c>
      <c r="C1355" t="e">
        <f>VLOOKUP(A1355,[1]Customer_payment_journal_line!$AL:$BO,30,0)</f>
        <v>#N/A</v>
      </c>
      <c r="D1355" t="s">
        <v>53</v>
      </c>
      <c r="E1355" t="s">
        <v>5103</v>
      </c>
      <c r="F1355" t="s">
        <v>5104</v>
      </c>
      <c r="G1355" t="s">
        <v>4689</v>
      </c>
      <c r="H1355" t="s">
        <v>57</v>
      </c>
      <c r="I1355" t="s">
        <v>1349</v>
      </c>
      <c r="J1355" t="s">
        <v>5092</v>
      </c>
      <c r="K1355" t="s">
        <v>3640</v>
      </c>
      <c r="L1355" t="s">
        <v>52</v>
      </c>
      <c r="M1355">
        <v>712.5</v>
      </c>
      <c r="N1355">
        <v>0</v>
      </c>
      <c r="O1355" t="s">
        <v>61</v>
      </c>
      <c r="P1355">
        <v>100</v>
      </c>
      <c r="Q1355" t="s">
        <v>52</v>
      </c>
      <c r="R1355" t="s">
        <v>52</v>
      </c>
      <c r="S1355" t="s">
        <v>52</v>
      </c>
      <c r="T1355" t="s">
        <v>52</v>
      </c>
      <c r="U1355" t="s">
        <v>52</v>
      </c>
      <c r="V1355" t="s">
        <v>62</v>
      </c>
      <c r="W1355" t="s">
        <v>63</v>
      </c>
      <c r="Y1355" t="s">
        <v>52</v>
      </c>
      <c r="AB1355" t="s">
        <v>52</v>
      </c>
      <c r="AE1355" t="s">
        <v>52</v>
      </c>
      <c r="AF1355" t="s">
        <v>52</v>
      </c>
      <c r="AH1355">
        <v>0</v>
      </c>
      <c r="AI1355">
        <v>0</v>
      </c>
      <c r="AJ1355" t="s">
        <v>52</v>
      </c>
      <c r="AK1355">
        <v>0</v>
      </c>
      <c r="AL1355" t="s">
        <v>52</v>
      </c>
      <c r="AM1355" t="s">
        <v>52</v>
      </c>
      <c r="AN1355">
        <v>0</v>
      </c>
      <c r="AO1355">
        <v>0</v>
      </c>
      <c r="AP1355" t="s">
        <v>52</v>
      </c>
      <c r="AQ1355" t="s">
        <v>52</v>
      </c>
      <c r="AR1355" t="s">
        <v>62</v>
      </c>
      <c r="AS1355" t="s">
        <v>52</v>
      </c>
      <c r="AT1355" t="s">
        <v>52</v>
      </c>
      <c r="AU1355" t="s">
        <v>64</v>
      </c>
      <c r="AV1355" t="s">
        <v>62</v>
      </c>
      <c r="AW1355" t="s">
        <v>65</v>
      </c>
      <c r="AX1355" t="s">
        <v>66</v>
      </c>
      <c r="AY1355" t="s">
        <v>67</v>
      </c>
    </row>
    <row r="1356" spans="1:51" hidden="1" x14ac:dyDescent="0.25">
      <c r="A1356">
        <v>406110</v>
      </c>
      <c r="B1356" t="s">
        <v>5105</v>
      </c>
      <c r="C1356" t="e">
        <f>VLOOKUP(A1356,[1]Customer_payment_journal_line!$AL:$BO,30,0)</f>
        <v>#N/A</v>
      </c>
      <c r="D1356" t="s">
        <v>53</v>
      </c>
      <c r="E1356" t="s">
        <v>5103</v>
      </c>
      <c r="F1356" t="s">
        <v>5104</v>
      </c>
      <c r="G1356" t="s">
        <v>4689</v>
      </c>
      <c r="H1356" t="s">
        <v>69</v>
      </c>
      <c r="I1356" t="s">
        <v>3642</v>
      </c>
      <c r="J1356" t="s">
        <v>5092</v>
      </c>
      <c r="K1356" t="s">
        <v>3640</v>
      </c>
      <c r="L1356" t="s">
        <v>52</v>
      </c>
      <c r="M1356">
        <v>0</v>
      </c>
      <c r="N1356">
        <v>712.5</v>
      </c>
      <c r="O1356" t="s">
        <v>61</v>
      </c>
      <c r="P1356">
        <v>100</v>
      </c>
      <c r="Q1356" t="s">
        <v>52</v>
      </c>
      <c r="R1356" t="s">
        <v>52</v>
      </c>
      <c r="S1356" t="s">
        <v>52</v>
      </c>
      <c r="T1356" t="s">
        <v>52</v>
      </c>
      <c r="U1356" t="s">
        <v>52</v>
      </c>
      <c r="V1356" t="s">
        <v>62</v>
      </c>
      <c r="W1356" t="s">
        <v>52</v>
      </c>
      <c r="Y1356" t="s">
        <v>3643</v>
      </c>
      <c r="Z1356" t="s">
        <v>62</v>
      </c>
      <c r="AB1356" t="s">
        <v>5106</v>
      </c>
      <c r="AE1356" t="s">
        <v>5107</v>
      </c>
      <c r="AF1356" t="s">
        <v>52</v>
      </c>
      <c r="AH1356">
        <v>0</v>
      </c>
      <c r="AI1356">
        <v>0</v>
      </c>
      <c r="AJ1356" t="s">
        <v>52</v>
      </c>
      <c r="AK1356">
        <v>0</v>
      </c>
      <c r="AL1356" t="s">
        <v>52</v>
      </c>
      <c r="AM1356" t="s">
        <v>52</v>
      </c>
      <c r="AN1356">
        <v>0</v>
      </c>
      <c r="AO1356">
        <v>0</v>
      </c>
      <c r="AP1356" t="s">
        <v>52</v>
      </c>
      <c r="AQ1356" t="s">
        <v>52</v>
      </c>
      <c r="AR1356" t="s">
        <v>62</v>
      </c>
      <c r="AS1356" t="s">
        <v>52</v>
      </c>
      <c r="AT1356" t="s">
        <v>74</v>
      </c>
      <c r="AU1356" t="s">
        <v>64</v>
      </c>
      <c r="AV1356" t="s">
        <v>62</v>
      </c>
      <c r="AW1356" t="s">
        <v>65</v>
      </c>
      <c r="AX1356" t="s">
        <v>66</v>
      </c>
      <c r="AY1356" t="s">
        <v>67</v>
      </c>
    </row>
    <row r="1357" spans="1:51" hidden="1" x14ac:dyDescent="0.25">
      <c r="A1357">
        <v>402708</v>
      </c>
      <c r="B1357" t="s">
        <v>5108</v>
      </c>
      <c r="C1357" t="e">
        <f>VLOOKUP(A1357,[1]Customer_payment_journal_line!$AL:$BO,30,0)</f>
        <v>#N/A</v>
      </c>
      <c r="D1357" t="s">
        <v>53</v>
      </c>
      <c r="E1357" t="s">
        <v>5109</v>
      </c>
      <c r="F1357" t="s">
        <v>5110</v>
      </c>
      <c r="G1357" t="s">
        <v>4689</v>
      </c>
      <c r="H1357" t="s">
        <v>57</v>
      </c>
      <c r="I1357" t="s">
        <v>58</v>
      </c>
      <c r="J1357" t="s">
        <v>4945</v>
      </c>
      <c r="K1357" t="s">
        <v>4946</v>
      </c>
      <c r="L1357" t="s">
        <v>52</v>
      </c>
      <c r="M1357">
        <v>5016</v>
      </c>
      <c r="N1357">
        <v>0</v>
      </c>
      <c r="O1357" t="s">
        <v>61</v>
      </c>
      <c r="P1357">
        <v>100</v>
      </c>
      <c r="Q1357" t="s">
        <v>52</v>
      </c>
      <c r="R1357" t="s">
        <v>52</v>
      </c>
      <c r="S1357" t="s">
        <v>52</v>
      </c>
      <c r="T1357" t="s">
        <v>52</v>
      </c>
      <c r="U1357" t="s">
        <v>52</v>
      </c>
      <c r="V1357" t="s">
        <v>62</v>
      </c>
      <c r="W1357" t="s">
        <v>63</v>
      </c>
      <c r="Y1357" t="s">
        <v>52</v>
      </c>
      <c r="AB1357" t="s">
        <v>52</v>
      </c>
      <c r="AE1357" t="s">
        <v>52</v>
      </c>
      <c r="AF1357" t="s">
        <v>52</v>
      </c>
      <c r="AH1357">
        <v>0</v>
      </c>
      <c r="AI1357">
        <v>0</v>
      </c>
      <c r="AJ1357" t="s">
        <v>52</v>
      </c>
      <c r="AK1357">
        <v>0</v>
      </c>
      <c r="AL1357" t="s">
        <v>52</v>
      </c>
      <c r="AM1357" t="s">
        <v>52</v>
      </c>
      <c r="AN1357">
        <v>0</v>
      </c>
      <c r="AO1357">
        <v>0</v>
      </c>
      <c r="AP1357" t="s">
        <v>52</v>
      </c>
      <c r="AQ1357" t="s">
        <v>52</v>
      </c>
      <c r="AR1357" t="s">
        <v>62</v>
      </c>
      <c r="AS1357" t="s">
        <v>52</v>
      </c>
      <c r="AT1357" t="s">
        <v>52</v>
      </c>
      <c r="AU1357" t="s">
        <v>64</v>
      </c>
      <c r="AV1357" t="s">
        <v>62</v>
      </c>
      <c r="AW1357" t="s">
        <v>65</v>
      </c>
      <c r="AX1357" t="s">
        <v>66</v>
      </c>
      <c r="AY1357" t="s">
        <v>67</v>
      </c>
    </row>
    <row r="1358" spans="1:51" hidden="1" x14ac:dyDescent="0.25">
      <c r="A1358">
        <v>402708</v>
      </c>
      <c r="B1358" t="s">
        <v>5111</v>
      </c>
      <c r="C1358" t="e">
        <f>VLOOKUP(A1358,[1]Customer_payment_journal_line!$AL:$BO,30,0)</f>
        <v>#N/A</v>
      </c>
      <c r="D1358" t="s">
        <v>53</v>
      </c>
      <c r="E1358" t="s">
        <v>5109</v>
      </c>
      <c r="F1358" t="s">
        <v>5110</v>
      </c>
      <c r="G1358" t="s">
        <v>4689</v>
      </c>
      <c r="H1358" t="s">
        <v>69</v>
      </c>
      <c r="I1358" t="s">
        <v>4948</v>
      </c>
      <c r="J1358" t="s">
        <v>4945</v>
      </c>
      <c r="K1358" t="s">
        <v>4946</v>
      </c>
      <c r="L1358" t="s">
        <v>52</v>
      </c>
      <c r="M1358">
        <v>0</v>
      </c>
      <c r="N1358">
        <v>5016</v>
      </c>
      <c r="O1358" t="s">
        <v>61</v>
      </c>
      <c r="P1358">
        <v>100</v>
      </c>
      <c r="Q1358" t="s">
        <v>52</v>
      </c>
      <c r="R1358" t="s">
        <v>52</v>
      </c>
      <c r="S1358" t="s">
        <v>52</v>
      </c>
      <c r="T1358" t="s">
        <v>52</v>
      </c>
      <c r="U1358" t="s">
        <v>52</v>
      </c>
      <c r="V1358" t="s">
        <v>62</v>
      </c>
      <c r="W1358" t="s">
        <v>52</v>
      </c>
      <c r="Y1358" t="s">
        <v>4949</v>
      </c>
      <c r="Z1358" t="s">
        <v>62</v>
      </c>
      <c r="AB1358" t="s">
        <v>5112</v>
      </c>
      <c r="AE1358" t="s">
        <v>5113</v>
      </c>
      <c r="AF1358" t="s">
        <v>52</v>
      </c>
      <c r="AH1358">
        <v>0</v>
      </c>
      <c r="AI1358">
        <v>0</v>
      </c>
      <c r="AJ1358" t="s">
        <v>52</v>
      </c>
      <c r="AK1358">
        <v>0</v>
      </c>
      <c r="AL1358" t="s">
        <v>52</v>
      </c>
      <c r="AM1358" t="s">
        <v>52</v>
      </c>
      <c r="AN1358">
        <v>0</v>
      </c>
      <c r="AO1358">
        <v>0</v>
      </c>
      <c r="AP1358" t="s">
        <v>52</v>
      </c>
      <c r="AQ1358" t="s">
        <v>52</v>
      </c>
      <c r="AR1358" t="s">
        <v>62</v>
      </c>
      <c r="AS1358" t="s">
        <v>52</v>
      </c>
      <c r="AT1358" t="s">
        <v>74</v>
      </c>
      <c r="AU1358" t="s">
        <v>64</v>
      </c>
      <c r="AV1358" t="s">
        <v>62</v>
      </c>
      <c r="AW1358" t="s">
        <v>65</v>
      </c>
      <c r="AX1358" t="s">
        <v>66</v>
      </c>
      <c r="AY1358" t="s">
        <v>67</v>
      </c>
    </row>
    <row r="1359" spans="1:51" hidden="1" x14ac:dyDescent="0.25">
      <c r="A1359">
        <v>404076</v>
      </c>
      <c r="B1359" t="s">
        <v>5114</v>
      </c>
      <c r="C1359" t="e">
        <f>VLOOKUP(A1359,[1]Customer_payment_journal_line!$AL:$BO,30,0)</f>
        <v>#N/A</v>
      </c>
      <c r="D1359" t="s">
        <v>53</v>
      </c>
      <c r="E1359" t="s">
        <v>5115</v>
      </c>
      <c r="F1359" t="s">
        <v>5116</v>
      </c>
      <c r="G1359" t="s">
        <v>4689</v>
      </c>
      <c r="H1359" t="s">
        <v>57</v>
      </c>
      <c r="I1359" t="s">
        <v>58</v>
      </c>
      <c r="J1359" t="s">
        <v>4945</v>
      </c>
      <c r="K1359" t="s">
        <v>4946</v>
      </c>
      <c r="L1359" t="s">
        <v>52</v>
      </c>
      <c r="M1359">
        <v>855</v>
      </c>
      <c r="N1359">
        <v>0</v>
      </c>
      <c r="O1359" t="s">
        <v>61</v>
      </c>
      <c r="P1359">
        <v>100</v>
      </c>
      <c r="Q1359" t="s">
        <v>52</v>
      </c>
      <c r="R1359" t="s">
        <v>52</v>
      </c>
      <c r="S1359" t="s">
        <v>52</v>
      </c>
      <c r="T1359" t="s">
        <v>52</v>
      </c>
      <c r="U1359" t="s">
        <v>52</v>
      </c>
      <c r="V1359" t="s">
        <v>62</v>
      </c>
      <c r="W1359" t="s">
        <v>63</v>
      </c>
      <c r="Y1359" t="s">
        <v>52</v>
      </c>
      <c r="AB1359" t="s">
        <v>52</v>
      </c>
      <c r="AE1359" t="s">
        <v>52</v>
      </c>
      <c r="AF1359" t="s">
        <v>52</v>
      </c>
      <c r="AH1359">
        <v>0</v>
      </c>
      <c r="AI1359">
        <v>0</v>
      </c>
      <c r="AJ1359" t="s">
        <v>52</v>
      </c>
      <c r="AK1359">
        <v>0</v>
      </c>
      <c r="AL1359" t="s">
        <v>52</v>
      </c>
      <c r="AM1359" t="s">
        <v>52</v>
      </c>
      <c r="AN1359">
        <v>0</v>
      </c>
      <c r="AO1359">
        <v>0</v>
      </c>
      <c r="AP1359" t="s">
        <v>52</v>
      </c>
      <c r="AQ1359" t="s">
        <v>52</v>
      </c>
      <c r="AR1359" t="s">
        <v>62</v>
      </c>
      <c r="AS1359" t="s">
        <v>52</v>
      </c>
      <c r="AT1359" t="s">
        <v>52</v>
      </c>
      <c r="AU1359" t="s">
        <v>64</v>
      </c>
      <c r="AV1359" t="s">
        <v>62</v>
      </c>
      <c r="AW1359" t="s">
        <v>65</v>
      </c>
      <c r="AX1359" t="s">
        <v>66</v>
      </c>
      <c r="AY1359" t="s">
        <v>67</v>
      </c>
    </row>
    <row r="1360" spans="1:51" hidden="1" x14ac:dyDescent="0.25">
      <c r="A1360">
        <v>404076</v>
      </c>
      <c r="B1360" t="s">
        <v>5117</v>
      </c>
      <c r="C1360" t="e">
        <f>VLOOKUP(A1360,[1]Customer_payment_journal_line!$AL:$BO,30,0)</f>
        <v>#N/A</v>
      </c>
      <c r="D1360" t="s">
        <v>53</v>
      </c>
      <c r="E1360" t="s">
        <v>5115</v>
      </c>
      <c r="F1360" t="s">
        <v>5116</v>
      </c>
      <c r="G1360" t="s">
        <v>4689</v>
      </c>
      <c r="H1360" t="s">
        <v>69</v>
      </c>
      <c r="I1360" t="s">
        <v>4948</v>
      </c>
      <c r="J1360" t="s">
        <v>4945</v>
      </c>
      <c r="K1360" t="s">
        <v>4946</v>
      </c>
      <c r="L1360" t="s">
        <v>52</v>
      </c>
      <c r="M1360">
        <v>0</v>
      </c>
      <c r="N1360">
        <v>855</v>
      </c>
      <c r="O1360" t="s">
        <v>61</v>
      </c>
      <c r="P1360">
        <v>100</v>
      </c>
      <c r="Q1360" t="s">
        <v>52</v>
      </c>
      <c r="R1360" t="s">
        <v>52</v>
      </c>
      <c r="S1360" t="s">
        <v>52</v>
      </c>
      <c r="T1360" t="s">
        <v>52</v>
      </c>
      <c r="U1360" t="s">
        <v>52</v>
      </c>
      <c r="V1360" t="s">
        <v>62</v>
      </c>
      <c r="W1360" t="s">
        <v>52</v>
      </c>
      <c r="Y1360" t="s">
        <v>4949</v>
      </c>
      <c r="Z1360" t="s">
        <v>62</v>
      </c>
      <c r="AB1360" t="s">
        <v>5118</v>
      </c>
      <c r="AE1360" t="s">
        <v>5119</v>
      </c>
      <c r="AF1360" t="s">
        <v>52</v>
      </c>
      <c r="AH1360">
        <v>0</v>
      </c>
      <c r="AI1360">
        <v>0</v>
      </c>
      <c r="AJ1360" t="s">
        <v>52</v>
      </c>
      <c r="AK1360">
        <v>0</v>
      </c>
      <c r="AL1360" t="s">
        <v>52</v>
      </c>
      <c r="AM1360" t="s">
        <v>52</v>
      </c>
      <c r="AN1360">
        <v>0</v>
      </c>
      <c r="AO1360">
        <v>0</v>
      </c>
      <c r="AP1360" t="s">
        <v>52</v>
      </c>
      <c r="AQ1360" t="s">
        <v>52</v>
      </c>
      <c r="AR1360" t="s">
        <v>62</v>
      </c>
      <c r="AS1360" t="s">
        <v>52</v>
      </c>
      <c r="AT1360" t="s">
        <v>74</v>
      </c>
      <c r="AU1360" t="s">
        <v>64</v>
      </c>
      <c r="AV1360" t="s">
        <v>62</v>
      </c>
      <c r="AW1360" t="s">
        <v>65</v>
      </c>
      <c r="AX1360" t="s">
        <v>66</v>
      </c>
      <c r="AY1360" t="s">
        <v>67</v>
      </c>
    </row>
    <row r="1361" spans="1:51" hidden="1" x14ac:dyDescent="0.25">
      <c r="A1361">
        <v>406111</v>
      </c>
      <c r="B1361" t="s">
        <v>5120</v>
      </c>
      <c r="C1361" t="e">
        <f>VLOOKUP(A1361,[1]Customer_payment_journal_line!$AL:$BO,30,0)</f>
        <v>#N/A</v>
      </c>
      <c r="D1361" t="s">
        <v>159</v>
      </c>
      <c r="E1361" t="s">
        <v>5121</v>
      </c>
      <c r="F1361" t="s">
        <v>5122</v>
      </c>
      <c r="G1361" t="s">
        <v>4689</v>
      </c>
      <c r="H1361" t="s">
        <v>80</v>
      </c>
      <c r="I1361" t="s">
        <v>3014</v>
      </c>
      <c r="J1361" t="s">
        <v>5123</v>
      </c>
      <c r="K1361" t="s">
        <v>5124</v>
      </c>
      <c r="L1361" t="s">
        <v>52</v>
      </c>
      <c r="M1361">
        <v>110</v>
      </c>
      <c r="N1361">
        <v>0</v>
      </c>
      <c r="O1361" t="s">
        <v>178</v>
      </c>
      <c r="P1361">
        <v>5085</v>
      </c>
      <c r="Q1361" t="s">
        <v>52</v>
      </c>
      <c r="R1361" t="s">
        <v>52</v>
      </c>
      <c r="S1361" t="s">
        <v>52</v>
      </c>
      <c r="T1361" t="s">
        <v>52</v>
      </c>
      <c r="U1361" t="s">
        <v>52</v>
      </c>
      <c r="V1361" t="s">
        <v>62</v>
      </c>
      <c r="W1361" t="s">
        <v>52</v>
      </c>
      <c r="Y1361" t="s">
        <v>52</v>
      </c>
      <c r="AB1361" t="s">
        <v>52</v>
      </c>
      <c r="AE1361" t="s">
        <v>52</v>
      </c>
      <c r="AF1361" t="s">
        <v>52</v>
      </c>
      <c r="AH1361">
        <v>0</v>
      </c>
      <c r="AI1361">
        <v>0</v>
      </c>
      <c r="AJ1361" t="s">
        <v>52</v>
      </c>
      <c r="AK1361">
        <v>0</v>
      </c>
      <c r="AL1361" t="s">
        <v>52</v>
      </c>
      <c r="AM1361" t="s">
        <v>52</v>
      </c>
      <c r="AN1361">
        <v>0</v>
      </c>
      <c r="AO1361">
        <v>0</v>
      </c>
      <c r="AP1361" t="s">
        <v>52</v>
      </c>
      <c r="AQ1361" t="s">
        <v>52</v>
      </c>
      <c r="AR1361" t="s">
        <v>62</v>
      </c>
      <c r="AS1361" t="s">
        <v>52</v>
      </c>
      <c r="AT1361" t="s">
        <v>52</v>
      </c>
      <c r="AU1361" t="s">
        <v>64</v>
      </c>
      <c r="AV1361" t="s">
        <v>62</v>
      </c>
      <c r="AW1361" t="s">
        <v>65</v>
      </c>
      <c r="AX1361" t="s">
        <v>66</v>
      </c>
      <c r="AY1361" t="s">
        <v>165</v>
      </c>
    </row>
    <row r="1362" spans="1:51" hidden="1" x14ac:dyDescent="0.25">
      <c r="A1362">
        <v>406111</v>
      </c>
      <c r="B1362" t="s">
        <v>5125</v>
      </c>
      <c r="C1362" t="e">
        <f>VLOOKUP(A1362,[1]Customer_payment_journal_line!$AL:$BO,30,0)</f>
        <v>#N/A</v>
      </c>
      <c r="D1362" t="s">
        <v>159</v>
      </c>
      <c r="E1362" t="s">
        <v>5121</v>
      </c>
      <c r="F1362" t="s">
        <v>5122</v>
      </c>
      <c r="G1362" t="s">
        <v>4689</v>
      </c>
      <c r="H1362" t="s">
        <v>69</v>
      </c>
      <c r="I1362" t="s">
        <v>5126</v>
      </c>
      <c r="J1362" t="s">
        <v>5123</v>
      </c>
      <c r="K1362" t="s">
        <v>5124</v>
      </c>
      <c r="L1362" t="s">
        <v>52</v>
      </c>
      <c r="M1362">
        <v>0</v>
      </c>
      <c r="N1362">
        <v>110</v>
      </c>
      <c r="O1362" t="s">
        <v>178</v>
      </c>
      <c r="P1362">
        <v>5085</v>
      </c>
      <c r="Q1362" t="s">
        <v>52</v>
      </c>
      <c r="R1362" t="s">
        <v>52</v>
      </c>
      <c r="S1362" t="s">
        <v>52</v>
      </c>
      <c r="T1362" t="s">
        <v>52</v>
      </c>
      <c r="U1362" t="s">
        <v>52</v>
      </c>
      <c r="V1362" t="s">
        <v>62</v>
      </c>
      <c r="W1362" t="s">
        <v>52</v>
      </c>
      <c r="Y1362" t="s">
        <v>5127</v>
      </c>
      <c r="Z1362" t="s">
        <v>62</v>
      </c>
      <c r="AB1362" t="s">
        <v>5128</v>
      </c>
      <c r="AE1362" t="s">
        <v>5129</v>
      </c>
      <c r="AF1362" t="s">
        <v>52</v>
      </c>
      <c r="AH1362">
        <v>0</v>
      </c>
      <c r="AI1362">
        <v>0</v>
      </c>
      <c r="AJ1362" t="s">
        <v>52</v>
      </c>
      <c r="AK1362">
        <v>0</v>
      </c>
      <c r="AL1362" t="s">
        <v>52</v>
      </c>
      <c r="AM1362" t="s">
        <v>52</v>
      </c>
      <c r="AN1362">
        <v>0</v>
      </c>
      <c r="AO1362">
        <v>0</v>
      </c>
      <c r="AP1362" t="s">
        <v>52</v>
      </c>
      <c r="AQ1362" t="s">
        <v>52</v>
      </c>
      <c r="AR1362" t="s">
        <v>62</v>
      </c>
      <c r="AS1362" t="s">
        <v>52</v>
      </c>
      <c r="AT1362" t="s">
        <v>74</v>
      </c>
      <c r="AU1362" t="s">
        <v>64</v>
      </c>
      <c r="AV1362" t="s">
        <v>62</v>
      </c>
      <c r="AW1362" t="s">
        <v>65</v>
      </c>
      <c r="AX1362" t="s">
        <v>66</v>
      </c>
      <c r="AY1362" t="s">
        <v>165</v>
      </c>
    </row>
    <row r="1363" spans="1:51" hidden="1" x14ac:dyDescent="0.25">
      <c r="A1363">
        <v>406113</v>
      </c>
      <c r="B1363" t="s">
        <v>5130</v>
      </c>
      <c r="C1363" t="e">
        <f>VLOOKUP(A1363,[1]Customer_payment_journal_line!$AL:$BO,30,0)</f>
        <v>#N/A</v>
      </c>
      <c r="D1363" t="s">
        <v>53</v>
      </c>
      <c r="E1363" t="s">
        <v>5131</v>
      </c>
      <c r="F1363" t="s">
        <v>5132</v>
      </c>
      <c r="G1363" t="s">
        <v>4689</v>
      </c>
      <c r="H1363" t="s">
        <v>201</v>
      </c>
      <c r="I1363" t="s">
        <v>58</v>
      </c>
      <c r="J1363" t="s">
        <v>202</v>
      </c>
      <c r="K1363" t="s">
        <v>5133</v>
      </c>
      <c r="L1363" t="s">
        <v>52</v>
      </c>
      <c r="M1363">
        <v>5300</v>
      </c>
      <c r="N1363">
        <v>0</v>
      </c>
      <c r="O1363" t="s">
        <v>61</v>
      </c>
      <c r="P1363">
        <v>100</v>
      </c>
      <c r="Q1363" t="s">
        <v>52</v>
      </c>
      <c r="R1363" t="s">
        <v>52</v>
      </c>
      <c r="S1363" t="s">
        <v>52</v>
      </c>
      <c r="T1363" t="s">
        <v>52</v>
      </c>
      <c r="U1363" t="s">
        <v>52</v>
      </c>
      <c r="V1363" t="s">
        <v>62</v>
      </c>
      <c r="W1363" t="s">
        <v>63</v>
      </c>
      <c r="Y1363" t="s">
        <v>52</v>
      </c>
      <c r="AB1363" t="s">
        <v>5134</v>
      </c>
      <c r="AE1363" t="s">
        <v>5134</v>
      </c>
      <c r="AF1363" t="s">
        <v>52</v>
      </c>
      <c r="AH1363">
        <v>0</v>
      </c>
      <c r="AI1363">
        <v>0</v>
      </c>
      <c r="AJ1363" t="s">
        <v>52</v>
      </c>
      <c r="AK1363">
        <v>0</v>
      </c>
      <c r="AL1363" t="s">
        <v>52</v>
      </c>
      <c r="AM1363" t="s">
        <v>52</v>
      </c>
      <c r="AN1363">
        <v>0</v>
      </c>
      <c r="AO1363">
        <v>0</v>
      </c>
      <c r="AP1363" t="s">
        <v>52</v>
      </c>
      <c r="AQ1363" t="s">
        <v>52</v>
      </c>
      <c r="AR1363" t="s">
        <v>62</v>
      </c>
      <c r="AS1363" t="s">
        <v>52</v>
      </c>
      <c r="AT1363" t="s">
        <v>52</v>
      </c>
      <c r="AU1363" t="s">
        <v>64</v>
      </c>
      <c r="AV1363" t="s">
        <v>62</v>
      </c>
      <c r="AW1363" t="s">
        <v>65</v>
      </c>
      <c r="AX1363" t="s">
        <v>66</v>
      </c>
      <c r="AY1363" t="s">
        <v>67</v>
      </c>
    </row>
    <row r="1364" spans="1:51" hidden="1" x14ac:dyDescent="0.25">
      <c r="A1364">
        <v>406113</v>
      </c>
      <c r="B1364" t="s">
        <v>5135</v>
      </c>
      <c r="C1364" t="e">
        <f>VLOOKUP(A1364,[1]Customer_payment_journal_line!$AL:$BO,30,0)</f>
        <v>#N/A</v>
      </c>
      <c r="D1364" t="s">
        <v>53</v>
      </c>
      <c r="E1364" t="s">
        <v>5131</v>
      </c>
      <c r="F1364" t="s">
        <v>5132</v>
      </c>
      <c r="G1364" t="s">
        <v>4689</v>
      </c>
      <c r="H1364" t="s">
        <v>69</v>
      </c>
      <c r="I1364" t="s">
        <v>5136</v>
      </c>
      <c r="J1364" t="s">
        <v>5137</v>
      </c>
      <c r="K1364" t="s">
        <v>5133</v>
      </c>
      <c r="L1364" t="s">
        <v>52</v>
      </c>
      <c r="M1364">
        <v>0</v>
      </c>
      <c r="N1364">
        <v>100</v>
      </c>
      <c r="O1364" t="s">
        <v>178</v>
      </c>
      <c r="P1364">
        <v>5085</v>
      </c>
      <c r="Q1364" t="s">
        <v>52</v>
      </c>
      <c r="R1364" t="s">
        <v>52</v>
      </c>
      <c r="S1364" t="s">
        <v>52</v>
      </c>
      <c r="T1364" t="s">
        <v>52</v>
      </c>
      <c r="U1364" t="s">
        <v>52</v>
      </c>
      <c r="V1364" t="s">
        <v>62</v>
      </c>
      <c r="W1364" t="s">
        <v>52</v>
      </c>
      <c r="Y1364" t="s">
        <v>5138</v>
      </c>
      <c r="Z1364" t="s">
        <v>62</v>
      </c>
      <c r="AB1364" t="s">
        <v>5134</v>
      </c>
      <c r="AE1364" t="s">
        <v>5134</v>
      </c>
      <c r="AF1364" t="s">
        <v>52</v>
      </c>
      <c r="AH1364">
        <v>0</v>
      </c>
      <c r="AI1364">
        <v>0</v>
      </c>
      <c r="AJ1364" t="s">
        <v>52</v>
      </c>
      <c r="AK1364">
        <v>0</v>
      </c>
      <c r="AL1364" t="s">
        <v>52</v>
      </c>
      <c r="AM1364" t="s">
        <v>52</v>
      </c>
      <c r="AN1364">
        <v>0</v>
      </c>
      <c r="AO1364">
        <v>0</v>
      </c>
      <c r="AP1364" t="s">
        <v>52</v>
      </c>
      <c r="AQ1364" t="s">
        <v>52</v>
      </c>
      <c r="AR1364" t="s">
        <v>62</v>
      </c>
      <c r="AS1364" t="s">
        <v>52</v>
      </c>
      <c r="AT1364" t="s">
        <v>74</v>
      </c>
      <c r="AU1364" t="s">
        <v>64</v>
      </c>
      <c r="AV1364" t="s">
        <v>62</v>
      </c>
      <c r="AW1364" t="s">
        <v>65</v>
      </c>
      <c r="AX1364" t="s">
        <v>66</v>
      </c>
      <c r="AY1364" t="s">
        <v>67</v>
      </c>
    </row>
    <row r="1365" spans="1:51" hidden="1" x14ac:dyDescent="0.25">
      <c r="A1365">
        <v>406113</v>
      </c>
      <c r="B1365" t="s">
        <v>5139</v>
      </c>
      <c r="C1365" t="e">
        <f>VLOOKUP(A1365,[1]Customer_payment_journal_line!$AL:$BO,30,0)</f>
        <v>#N/A</v>
      </c>
      <c r="D1365" t="s">
        <v>53</v>
      </c>
      <c r="E1365" t="s">
        <v>5131</v>
      </c>
      <c r="F1365" t="s">
        <v>5132</v>
      </c>
      <c r="G1365" t="s">
        <v>4689</v>
      </c>
      <c r="H1365" t="s">
        <v>210</v>
      </c>
      <c r="I1365" t="s">
        <v>5140</v>
      </c>
      <c r="J1365" t="s">
        <v>52</v>
      </c>
      <c r="K1365" t="s">
        <v>5133</v>
      </c>
      <c r="L1365" t="s">
        <v>52</v>
      </c>
      <c r="M1365">
        <v>0</v>
      </c>
      <c r="N1365">
        <v>215</v>
      </c>
      <c r="O1365" t="s">
        <v>61</v>
      </c>
      <c r="P1365">
        <v>100</v>
      </c>
      <c r="Q1365" t="s">
        <v>52</v>
      </c>
      <c r="R1365" t="s">
        <v>52</v>
      </c>
      <c r="S1365" t="s">
        <v>52</v>
      </c>
      <c r="T1365" t="s">
        <v>52</v>
      </c>
      <c r="U1365" t="s">
        <v>52</v>
      </c>
      <c r="V1365" t="s">
        <v>62</v>
      </c>
      <c r="W1365" t="s">
        <v>63</v>
      </c>
      <c r="Y1365" t="s">
        <v>5138</v>
      </c>
      <c r="AB1365" t="s">
        <v>5134</v>
      </c>
      <c r="AE1365" t="s">
        <v>5134</v>
      </c>
      <c r="AF1365" t="s">
        <v>52</v>
      </c>
      <c r="AH1365">
        <v>0</v>
      </c>
      <c r="AI1365">
        <v>0</v>
      </c>
      <c r="AJ1365" t="s">
        <v>52</v>
      </c>
      <c r="AK1365">
        <v>0</v>
      </c>
      <c r="AL1365" t="s">
        <v>52</v>
      </c>
      <c r="AM1365" t="s">
        <v>52</v>
      </c>
      <c r="AN1365">
        <v>0</v>
      </c>
      <c r="AO1365">
        <v>0</v>
      </c>
      <c r="AP1365" t="s">
        <v>52</v>
      </c>
      <c r="AQ1365" t="s">
        <v>52</v>
      </c>
      <c r="AR1365" t="s">
        <v>62</v>
      </c>
      <c r="AS1365" t="s">
        <v>52</v>
      </c>
      <c r="AT1365" t="s">
        <v>52</v>
      </c>
      <c r="AU1365" t="s">
        <v>64</v>
      </c>
      <c r="AV1365" t="s">
        <v>62</v>
      </c>
      <c r="AW1365" t="s">
        <v>65</v>
      </c>
      <c r="AX1365" t="s">
        <v>66</v>
      </c>
      <c r="AY1365" t="s">
        <v>67</v>
      </c>
    </row>
    <row r="1366" spans="1:51" hidden="1" x14ac:dyDescent="0.25">
      <c r="A1366">
        <v>406114</v>
      </c>
      <c r="B1366" t="s">
        <v>5141</v>
      </c>
      <c r="C1366" t="e">
        <f>VLOOKUP(A1366,[1]Customer_payment_journal_line!$AL:$BO,30,0)</f>
        <v>#N/A</v>
      </c>
      <c r="D1366" t="s">
        <v>53</v>
      </c>
      <c r="E1366" t="s">
        <v>5142</v>
      </c>
      <c r="F1366" t="s">
        <v>5143</v>
      </c>
      <c r="G1366" t="s">
        <v>4689</v>
      </c>
      <c r="H1366" t="s">
        <v>57</v>
      </c>
      <c r="I1366" t="s">
        <v>58</v>
      </c>
      <c r="J1366" t="s">
        <v>5144</v>
      </c>
      <c r="K1366" t="s">
        <v>5133</v>
      </c>
      <c r="L1366" t="s">
        <v>52</v>
      </c>
      <c r="M1366">
        <v>1140</v>
      </c>
      <c r="N1366">
        <v>0</v>
      </c>
      <c r="O1366" t="s">
        <v>61</v>
      </c>
      <c r="P1366">
        <v>100</v>
      </c>
      <c r="Q1366" t="s">
        <v>52</v>
      </c>
      <c r="R1366" t="s">
        <v>52</v>
      </c>
      <c r="S1366" t="s">
        <v>52</v>
      </c>
      <c r="T1366" t="s">
        <v>52</v>
      </c>
      <c r="U1366" t="s">
        <v>52</v>
      </c>
      <c r="V1366" t="s">
        <v>62</v>
      </c>
      <c r="W1366" t="s">
        <v>63</v>
      </c>
      <c r="Y1366" t="s">
        <v>52</v>
      </c>
      <c r="AB1366" t="s">
        <v>52</v>
      </c>
      <c r="AE1366" t="s">
        <v>52</v>
      </c>
      <c r="AF1366" t="s">
        <v>52</v>
      </c>
      <c r="AH1366">
        <v>0</v>
      </c>
      <c r="AI1366">
        <v>0</v>
      </c>
      <c r="AJ1366" t="s">
        <v>52</v>
      </c>
      <c r="AK1366">
        <v>0</v>
      </c>
      <c r="AL1366" t="s">
        <v>52</v>
      </c>
      <c r="AM1366" t="s">
        <v>52</v>
      </c>
      <c r="AN1366">
        <v>0</v>
      </c>
      <c r="AO1366">
        <v>0</v>
      </c>
      <c r="AP1366" t="s">
        <v>52</v>
      </c>
      <c r="AQ1366" t="s">
        <v>52</v>
      </c>
      <c r="AR1366" t="s">
        <v>62</v>
      </c>
      <c r="AS1366" t="s">
        <v>52</v>
      </c>
      <c r="AT1366" t="s">
        <v>52</v>
      </c>
      <c r="AU1366" t="s">
        <v>64</v>
      </c>
      <c r="AV1366" t="s">
        <v>62</v>
      </c>
      <c r="AW1366" t="s">
        <v>65</v>
      </c>
      <c r="AX1366" t="s">
        <v>66</v>
      </c>
      <c r="AY1366" t="s">
        <v>67</v>
      </c>
    </row>
    <row r="1367" spans="1:51" hidden="1" x14ac:dyDescent="0.25">
      <c r="A1367">
        <v>406114</v>
      </c>
      <c r="B1367" t="s">
        <v>5145</v>
      </c>
      <c r="C1367" t="e">
        <f>VLOOKUP(A1367,[1]Customer_payment_journal_line!$AL:$BO,30,0)</f>
        <v>#N/A</v>
      </c>
      <c r="D1367" t="s">
        <v>53</v>
      </c>
      <c r="E1367" t="s">
        <v>5142</v>
      </c>
      <c r="F1367" t="s">
        <v>5143</v>
      </c>
      <c r="G1367" t="s">
        <v>4689</v>
      </c>
      <c r="H1367" t="s">
        <v>69</v>
      </c>
      <c r="I1367" t="s">
        <v>5136</v>
      </c>
      <c r="J1367" t="s">
        <v>5144</v>
      </c>
      <c r="K1367" t="s">
        <v>5133</v>
      </c>
      <c r="L1367" t="s">
        <v>52</v>
      </c>
      <c r="M1367">
        <v>0</v>
      </c>
      <c r="N1367">
        <v>1140</v>
      </c>
      <c r="O1367" t="s">
        <v>61</v>
      </c>
      <c r="P1367">
        <v>100</v>
      </c>
      <c r="Q1367" t="s">
        <v>52</v>
      </c>
      <c r="R1367" t="s">
        <v>52</v>
      </c>
      <c r="S1367" t="s">
        <v>52</v>
      </c>
      <c r="T1367" t="s">
        <v>52</v>
      </c>
      <c r="U1367" t="s">
        <v>52</v>
      </c>
      <c r="V1367" t="s">
        <v>62</v>
      </c>
      <c r="W1367" t="s">
        <v>52</v>
      </c>
      <c r="Y1367" t="s">
        <v>5138</v>
      </c>
      <c r="Z1367" t="s">
        <v>62</v>
      </c>
      <c r="AB1367" t="s">
        <v>5146</v>
      </c>
      <c r="AE1367" t="s">
        <v>5147</v>
      </c>
      <c r="AF1367" t="s">
        <v>52</v>
      </c>
      <c r="AH1367">
        <v>0</v>
      </c>
      <c r="AI1367">
        <v>0</v>
      </c>
      <c r="AJ1367" t="s">
        <v>52</v>
      </c>
      <c r="AK1367">
        <v>0</v>
      </c>
      <c r="AL1367" t="s">
        <v>52</v>
      </c>
      <c r="AM1367" t="s">
        <v>52</v>
      </c>
      <c r="AN1367">
        <v>0</v>
      </c>
      <c r="AO1367">
        <v>0</v>
      </c>
      <c r="AP1367" t="s">
        <v>52</v>
      </c>
      <c r="AQ1367" t="s">
        <v>52</v>
      </c>
      <c r="AR1367" t="s">
        <v>62</v>
      </c>
      <c r="AS1367" t="s">
        <v>52</v>
      </c>
      <c r="AT1367" t="s">
        <v>74</v>
      </c>
      <c r="AU1367" t="s">
        <v>64</v>
      </c>
      <c r="AV1367" t="s">
        <v>62</v>
      </c>
      <c r="AW1367" t="s">
        <v>65</v>
      </c>
      <c r="AX1367" t="s">
        <v>66</v>
      </c>
      <c r="AY1367" t="s">
        <v>67</v>
      </c>
    </row>
    <row r="1368" spans="1:51" hidden="1" x14ac:dyDescent="0.25">
      <c r="A1368">
        <v>406115</v>
      </c>
      <c r="B1368" t="s">
        <v>5148</v>
      </c>
      <c r="C1368" t="e">
        <f>VLOOKUP(A1368,[1]Customer_payment_journal_line!$AL:$BO,30,0)</f>
        <v>#N/A</v>
      </c>
      <c r="D1368" t="s">
        <v>53</v>
      </c>
      <c r="E1368" t="s">
        <v>5149</v>
      </c>
      <c r="F1368" t="s">
        <v>5150</v>
      </c>
      <c r="G1368" t="s">
        <v>4689</v>
      </c>
      <c r="H1368" t="s">
        <v>57</v>
      </c>
      <c r="I1368" t="s">
        <v>58</v>
      </c>
      <c r="J1368" t="s">
        <v>5144</v>
      </c>
      <c r="K1368" t="s">
        <v>5133</v>
      </c>
      <c r="L1368" t="s">
        <v>52</v>
      </c>
      <c r="M1368">
        <v>855</v>
      </c>
      <c r="N1368">
        <v>0</v>
      </c>
      <c r="O1368" t="s">
        <v>61</v>
      </c>
      <c r="P1368">
        <v>100</v>
      </c>
      <c r="Q1368" t="s">
        <v>52</v>
      </c>
      <c r="R1368" t="s">
        <v>52</v>
      </c>
      <c r="S1368" t="s">
        <v>52</v>
      </c>
      <c r="T1368" t="s">
        <v>52</v>
      </c>
      <c r="U1368" t="s">
        <v>52</v>
      </c>
      <c r="V1368" t="s">
        <v>62</v>
      </c>
      <c r="W1368" t="s">
        <v>63</v>
      </c>
      <c r="Y1368" t="s">
        <v>52</v>
      </c>
      <c r="AB1368" t="s">
        <v>52</v>
      </c>
      <c r="AE1368" t="s">
        <v>52</v>
      </c>
      <c r="AF1368" t="s">
        <v>52</v>
      </c>
      <c r="AH1368">
        <v>0</v>
      </c>
      <c r="AI1368">
        <v>0</v>
      </c>
      <c r="AJ1368" t="s">
        <v>52</v>
      </c>
      <c r="AK1368">
        <v>0</v>
      </c>
      <c r="AL1368" t="s">
        <v>52</v>
      </c>
      <c r="AM1368" t="s">
        <v>52</v>
      </c>
      <c r="AN1368">
        <v>0</v>
      </c>
      <c r="AO1368">
        <v>0</v>
      </c>
      <c r="AP1368" t="s">
        <v>52</v>
      </c>
      <c r="AQ1368" t="s">
        <v>52</v>
      </c>
      <c r="AR1368" t="s">
        <v>62</v>
      </c>
      <c r="AS1368" t="s">
        <v>52</v>
      </c>
      <c r="AT1368" t="s">
        <v>52</v>
      </c>
      <c r="AU1368" t="s">
        <v>64</v>
      </c>
      <c r="AV1368" t="s">
        <v>62</v>
      </c>
      <c r="AW1368" t="s">
        <v>65</v>
      </c>
      <c r="AX1368" t="s">
        <v>66</v>
      </c>
      <c r="AY1368" t="s">
        <v>67</v>
      </c>
    </row>
    <row r="1369" spans="1:51" hidden="1" x14ac:dyDescent="0.25">
      <c r="A1369">
        <v>406115</v>
      </c>
      <c r="B1369" t="s">
        <v>5151</v>
      </c>
      <c r="C1369" t="e">
        <f>VLOOKUP(A1369,[1]Customer_payment_journal_line!$AL:$BO,30,0)</f>
        <v>#N/A</v>
      </c>
      <c r="D1369" t="s">
        <v>53</v>
      </c>
      <c r="E1369" t="s">
        <v>5149</v>
      </c>
      <c r="F1369" t="s">
        <v>5150</v>
      </c>
      <c r="G1369" t="s">
        <v>4689</v>
      </c>
      <c r="H1369" t="s">
        <v>69</v>
      </c>
      <c r="I1369" t="s">
        <v>5136</v>
      </c>
      <c r="J1369" t="s">
        <v>5144</v>
      </c>
      <c r="K1369" t="s">
        <v>5133</v>
      </c>
      <c r="L1369" t="s">
        <v>52</v>
      </c>
      <c r="M1369">
        <v>0</v>
      </c>
      <c r="N1369">
        <v>855</v>
      </c>
      <c r="O1369" t="s">
        <v>61</v>
      </c>
      <c r="P1369">
        <v>100</v>
      </c>
      <c r="Q1369" t="s">
        <v>52</v>
      </c>
      <c r="R1369" t="s">
        <v>52</v>
      </c>
      <c r="S1369" t="s">
        <v>52</v>
      </c>
      <c r="T1369" t="s">
        <v>52</v>
      </c>
      <c r="U1369" t="s">
        <v>52</v>
      </c>
      <c r="V1369" t="s">
        <v>62</v>
      </c>
      <c r="W1369" t="s">
        <v>52</v>
      </c>
      <c r="Y1369" t="s">
        <v>5138</v>
      </c>
      <c r="Z1369" t="s">
        <v>62</v>
      </c>
      <c r="AB1369" t="s">
        <v>5152</v>
      </c>
      <c r="AE1369" t="s">
        <v>5153</v>
      </c>
      <c r="AF1369" t="s">
        <v>52</v>
      </c>
      <c r="AH1369">
        <v>0</v>
      </c>
      <c r="AI1369">
        <v>0</v>
      </c>
      <c r="AJ1369" t="s">
        <v>52</v>
      </c>
      <c r="AK1369">
        <v>0</v>
      </c>
      <c r="AL1369" t="s">
        <v>52</v>
      </c>
      <c r="AM1369" t="s">
        <v>52</v>
      </c>
      <c r="AN1369">
        <v>0</v>
      </c>
      <c r="AO1369">
        <v>0</v>
      </c>
      <c r="AP1369" t="s">
        <v>52</v>
      </c>
      <c r="AQ1369" t="s">
        <v>52</v>
      </c>
      <c r="AR1369" t="s">
        <v>62</v>
      </c>
      <c r="AS1369" t="s">
        <v>52</v>
      </c>
      <c r="AT1369" t="s">
        <v>74</v>
      </c>
      <c r="AU1369" t="s">
        <v>64</v>
      </c>
      <c r="AV1369" t="s">
        <v>62</v>
      </c>
      <c r="AW1369" t="s">
        <v>65</v>
      </c>
      <c r="AX1369" t="s">
        <v>66</v>
      </c>
      <c r="AY1369" t="s">
        <v>67</v>
      </c>
    </row>
    <row r="1370" spans="1:51" hidden="1" x14ac:dyDescent="0.25">
      <c r="A1370">
        <v>406116</v>
      </c>
      <c r="B1370" t="s">
        <v>5154</v>
      </c>
      <c r="C1370" t="e">
        <f>VLOOKUP(A1370,[1]Customer_payment_journal_line!$AL:$BO,30,0)</f>
        <v>#N/A</v>
      </c>
      <c r="D1370" t="s">
        <v>53</v>
      </c>
      <c r="E1370" t="s">
        <v>5155</v>
      </c>
      <c r="F1370" t="s">
        <v>5156</v>
      </c>
      <c r="G1370" t="s">
        <v>4689</v>
      </c>
      <c r="H1370" t="s">
        <v>57</v>
      </c>
      <c r="I1370" t="s">
        <v>1349</v>
      </c>
      <c r="J1370" t="s">
        <v>5157</v>
      </c>
      <c r="K1370" t="s">
        <v>3824</v>
      </c>
      <c r="L1370" t="s">
        <v>52</v>
      </c>
      <c r="M1370">
        <v>625</v>
      </c>
      <c r="N1370">
        <v>0</v>
      </c>
      <c r="O1370" t="s">
        <v>61</v>
      </c>
      <c r="P1370">
        <v>100</v>
      </c>
      <c r="Q1370" t="s">
        <v>52</v>
      </c>
      <c r="R1370" t="s">
        <v>52</v>
      </c>
      <c r="S1370" t="s">
        <v>52</v>
      </c>
      <c r="T1370" t="s">
        <v>52</v>
      </c>
      <c r="U1370" t="s">
        <v>52</v>
      </c>
      <c r="V1370" t="s">
        <v>62</v>
      </c>
      <c r="W1370" t="s">
        <v>63</v>
      </c>
      <c r="Y1370" t="s">
        <v>52</v>
      </c>
      <c r="AB1370" t="s">
        <v>52</v>
      </c>
      <c r="AE1370" t="s">
        <v>52</v>
      </c>
      <c r="AF1370" t="s">
        <v>52</v>
      </c>
      <c r="AH1370">
        <v>0</v>
      </c>
      <c r="AI1370">
        <v>0</v>
      </c>
      <c r="AJ1370" t="s">
        <v>52</v>
      </c>
      <c r="AK1370">
        <v>0</v>
      </c>
      <c r="AL1370" t="s">
        <v>52</v>
      </c>
      <c r="AM1370" t="s">
        <v>52</v>
      </c>
      <c r="AN1370">
        <v>0</v>
      </c>
      <c r="AO1370">
        <v>0</v>
      </c>
      <c r="AP1370" t="s">
        <v>52</v>
      </c>
      <c r="AQ1370" t="s">
        <v>52</v>
      </c>
      <c r="AR1370" t="s">
        <v>62</v>
      </c>
      <c r="AS1370" t="s">
        <v>52</v>
      </c>
      <c r="AT1370" t="s">
        <v>52</v>
      </c>
      <c r="AU1370" t="s">
        <v>64</v>
      </c>
      <c r="AV1370" t="s">
        <v>62</v>
      </c>
      <c r="AW1370" t="s">
        <v>65</v>
      </c>
      <c r="AX1370" t="s">
        <v>66</v>
      </c>
      <c r="AY1370" t="s">
        <v>67</v>
      </c>
    </row>
    <row r="1371" spans="1:51" hidden="1" x14ac:dyDescent="0.25">
      <c r="A1371">
        <v>406116</v>
      </c>
      <c r="B1371" t="s">
        <v>5158</v>
      </c>
      <c r="C1371" t="e">
        <f>VLOOKUP(A1371,[1]Customer_payment_journal_line!$AL:$BO,30,0)</f>
        <v>#N/A</v>
      </c>
      <c r="D1371" t="s">
        <v>53</v>
      </c>
      <c r="E1371" t="s">
        <v>5155</v>
      </c>
      <c r="F1371" t="s">
        <v>5156</v>
      </c>
      <c r="G1371" t="s">
        <v>4689</v>
      </c>
      <c r="H1371" t="s">
        <v>69</v>
      </c>
      <c r="I1371" t="s">
        <v>3826</v>
      </c>
      <c r="J1371" t="s">
        <v>5157</v>
      </c>
      <c r="K1371" t="s">
        <v>3824</v>
      </c>
      <c r="L1371" t="s">
        <v>52</v>
      </c>
      <c r="M1371">
        <v>0</v>
      </c>
      <c r="N1371">
        <v>625</v>
      </c>
      <c r="O1371" t="s">
        <v>61</v>
      </c>
      <c r="P1371">
        <v>100</v>
      </c>
      <c r="Q1371" t="s">
        <v>52</v>
      </c>
      <c r="R1371" t="s">
        <v>52</v>
      </c>
      <c r="S1371" t="s">
        <v>52</v>
      </c>
      <c r="T1371" t="s">
        <v>52</v>
      </c>
      <c r="U1371" t="s">
        <v>52</v>
      </c>
      <c r="V1371" t="s">
        <v>62</v>
      </c>
      <c r="W1371" t="s">
        <v>52</v>
      </c>
      <c r="Y1371" t="s">
        <v>3827</v>
      </c>
      <c r="Z1371" t="s">
        <v>62</v>
      </c>
      <c r="AB1371" t="s">
        <v>5159</v>
      </c>
      <c r="AE1371" t="s">
        <v>5160</v>
      </c>
      <c r="AF1371" t="s">
        <v>52</v>
      </c>
      <c r="AH1371">
        <v>0</v>
      </c>
      <c r="AI1371">
        <v>0</v>
      </c>
      <c r="AJ1371" t="s">
        <v>52</v>
      </c>
      <c r="AK1371">
        <v>0</v>
      </c>
      <c r="AL1371" t="s">
        <v>52</v>
      </c>
      <c r="AM1371" t="s">
        <v>52</v>
      </c>
      <c r="AN1371">
        <v>0</v>
      </c>
      <c r="AO1371">
        <v>0</v>
      </c>
      <c r="AP1371" t="s">
        <v>52</v>
      </c>
      <c r="AQ1371" t="s">
        <v>52</v>
      </c>
      <c r="AR1371" t="s">
        <v>62</v>
      </c>
      <c r="AS1371" t="s">
        <v>52</v>
      </c>
      <c r="AT1371" t="s">
        <v>74</v>
      </c>
      <c r="AU1371" t="s">
        <v>64</v>
      </c>
      <c r="AV1371" t="s">
        <v>62</v>
      </c>
      <c r="AW1371" t="s">
        <v>65</v>
      </c>
      <c r="AX1371" t="s">
        <v>66</v>
      </c>
      <c r="AY1371" t="s">
        <v>67</v>
      </c>
    </row>
    <row r="1372" spans="1:51" hidden="1" x14ac:dyDescent="0.25">
      <c r="A1372">
        <v>406117</v>
      </c>
      <c r="B1372" t="s">
        <v>5161</v>
      </c>
      <c r="C1372" t="e">
        <f>VLOOKUP(A1372,[1]Customer_payment_journal_line!$AL:$BO,30,0)</f>
        <v>#N/A</v>
      </c>
      <c r="D1372" t="s">
        <v>53</v>
      </c>
      <c r="E1372" t="s">
        <v>5162</v>
      </c>
      <c r="F1372" t="s">
        <v>5163</v>
      </c>
      <c r="G1372" t="s">
        <v>4689</v>
      </c>
      <c r="H1372" t="s">
        <v>57</v>
      </c>
      <c r="I1372" t="s">
        <v>1349</v>
      </c>
      <c r="J1372" t="s">
        <v>5157</v>
      </c>
      <c r="K1372" t="s">
        <v>3824</v>
      </c>
      <c r="L1372" t="s">
        <v>52</v>
      </c>
      <c r="M1372">
        <v>4300</v>
      </c>
      <c r="N1372">
        <v>0</v>
      </c>
      <c r="O1372" t="s">
        <v>61</v>
      </c>
      <c r="P1372">
        <v>100</v>
      </c>
      <c r="Q1372" t="s">
        <v>52</v>
      </c>
      <c r="R1372" t="s">
        <v>52</v>
      </c>
      <c r="S1372" t="s">
        <v>52</v>
      </c>
      <c r="T1372" t="s">
        <v>52</v>
      </c>
      <c r="U1372" t="s">
        <v>52</v>
      </c>
      <c r="V1372" t="s">
        <v>62</v>
      </c>
      <c r="W1372" t="s">
        <v>63</v>
      </c>
      <c r="Y1372" t="s">
        <v>52</v>
      </c>
      <c r="AB1372" t="s">
        <v>52</v>
      </c>
      <c r="AE1372" t="s">
        <v>52</v>
      </c>
      <c r="AF1372" t="s">
        <v>52</v>
      </c>
      <c r="AH1372">
        <v>0</v>
      </c>
      <c r="AI1372">
        <v>0</v>
      </c>
      <c r="AJ1372" t="s">
        <v>52</v>
      </c>
      <c r="AK1372">
        <v>0</v>
      </c>
      <c r="AL1372" t="s">
        <v>52</v>
      </c>
      <c r="AM1372" t="s">
        <v>52</v>
      </c>
      <c r="AN1372">
        <v>0</v>
      </c>
      <c r="AO1372">
        <v>0</v>
      </c>
      <c r="AP1372" t="s">
        <v>52</v>
      </c>
      <c r="AQ1372" t="s">
        <v>52</v>
      </c>
      <c r="AR1372" t="s">
        <v>62</v>
      </c>
      <c r="AS1372" t="s">
        <v>52</v>
      </c>
      <c r="AT1372" t="s">
        <v>52</v>
      </c>
      <c r="AU1372" t="s">
        <v>64</v>
      </c>
      <c r="AV1372" t="s">
        <v>62</v>
      </c>
      <c r="AW1372" t="s">
        <v>65</v>
      </c>
      <c r="AX1372" t="s">
        <v>66</v>
      </c>
      <c r="AY1372" t="s">
        <v>67</v>
      </c>
    </row>
    <row r="1373" spans="1:51" hidden="1" x14ac:dyDescent="0.25">
      <c r="A1373">
        <v>406117</v>
      </c>
      <c r="B1373" t="s">
        <v>5164</v>
      </c>
      <c r="C1373" t="e">
        <f>VLOOKUP(A1373,[1]Customer_payment_journal_line!$AL:$BO,30,0)</f>
        <v>#N/A</v>
      </c>
      <c r="D1373" t="s">
        <v>53</v>
      </c>
      <c r="E1373" t="s">
        <v>5162</v>
      </c>
      <c r="F1373" t="s">
        <v>5163</v>
      </c>
      <c r="G1373" t="s">
        <v>4689</v>
      </c>
      <c r="H1373" t="s">
        <v>69</v>
      </c>
      <c r="I1373" t="s">
        <v>3826</v>
      </c>
      <c r="J1373" t="s">
        <v>5157</v>
      </c>
      <c r="K1373" t="s">
        <v>3824</v>
      </c>
      <c r="L1373" t="s">
        <v>52</v>
      </c>
      <c r="M1373">
        <v>0</v>
      </c>
      <c r="N1373">
        <v>4300</v>
      </c>
      <c r="O1373" t="s">
        <v>61</v>
      </c>
      <c r="P1373">
        <v>100</v>
      </c>
      <c r="Q1373" t="s">
        <v>52</v>
      </c>
      <c r="R1373" t="s">
        <v>52</v>
      </c>
      <c r="S1373" t="s">
        <v>52</v>
      </c>
      <c r="T1373" t="s">
        <v>52</v>
      </c>
      <c r="U1373" t="s">
        <v>52</v>
      </c>
      <c r="V1373" t="s">
        <v>62</v>
      </c>
      <c r="W1373" t="s">
        <v>52</v>
      </c>
      <c r="Y1373" t="s">
        <v>3827</v>
      </c>
      <c r="Z1373" t="s">
        <v>62</v>
      </c>
      <c r="AB1373" t="s">
        <v>5165</v>
      </c>
      <c r="AE1373" t="s">
        <v>5166</v>
      </c>
      <c r="AF1373" t="s">
        <v>52</v>
      </c>
      <c r="AH1373">
        <v>0</v>
      </c>
      <c r="AI1373">
        <v>0</v>
      </c>
      <c r="AJ1373" t="s">
        <v>52</v>
      </c>
      <c r="AK1373">
        <v>0</v>
      </c>
      <c r="AL1373" t="s">
        <v>52</v>
      </c>
      <c r="AM1373" t="s">
        <v>52</v>
      </c>
      <c r="AN1373">
        <v>0</v>
      </c>
      <c r="AO1373">
        <v>0</v>
      </c>
      <c r="AP1373" t="s">
        <v>52</v>
      </c>
      <c r="AQ1373" t="s">
        <v>52</v>
      </c>
      <c r="AR1373" t="s">
        <v>62</v>
      </c>
      <c r="AS1373" t="s">
        <v>52</v>
      </c>
      <c r="AT1373" t="s">
        <v>74</v>
      </c>
      <c r="AU1373" t="s">
        <v>64</v>
      </c>
      <c r="AV1373" t="s">
        <v>62</v>
      </c>
      <c r="AW1373" t="s">
        <v>65</v>
      </c>
      <c r="AX1373" t="s">
        <v>66</v>
      </c>
      <c r="AY1373" t="s">
        <v>67</v>
      </c>
    </row>
    <row r="1374" spans="1:51" hidden="1" x14ac:dyDescent="0.25">
      <c r="A1374">
        <v>317156</v>
      </c>
      <c r="B1374" t="s">
        <v>5167</v>
      </c>
      <c r="C1374" t="str">
        <f>VLOOKUP(A1374,[1]Customer_payment_journal_line!$AL:$BO,30,0)</f>
        <v>CPay-000000087</v>
      </c>
      <c r="D1374" t="s">
        <v>53</v>
      </c>
      <c r="E1374" t="s">
        <v>5168</v>
      </c>
      <c r="F1374" t="s">
        <v>5169</v>
      </c>
      <c r="G1374" t="s">
        <v>4689</v>
      </c>
      <c r="H1374" t="s">
        <v>201</v>
      </c>
      <c r="I1374" t="s">
        <v>95</v>
      </c>
      <c r="J1374" t="s">
        <v>5170</v>
      </c>
      <c r="K1374" t="s">
        <v>4811</v>
      </c>
      <c r="L1374">
        <f>VLOOKUP(A1374,[1]Customer_payment_journal_line!$B:$L,11,0)</f>
        <v>540</v>
      </c>
      <c r="M1374" s="1">
        <v>530</v>
      </c>
      <c r="N1374" s="2">
        <f>L1374-M1374</f>
        <v>10</v>
      </c>
      <c r="O1374" t="s">
        <v>61</v>
      </c>
      <c r="P1374">
        <v>100</v>
      </c>
      <c r="Q1374" t="s">
        <v>52</v>
      </c>
      <c r="R1374" t="s">
        <v>52</v>
      </c>
      <c r="S1374" t="s">
        <v>52</v>
      </c>
      <c r="T1374" t="s">
        <v>52</v>
      </c>
      <c r="U1374" t="s">
        <v>52</v>
      </c>
      <c r="V1374" t="s">
        <v>62</v>
      </c>
      <c r="W1374" t="s">
        <v>63</v>
      </c>
      <c r="Y1374" t="s">
        <v>52</v>
      </c>
      <c r="AB1374" t="s">
        <v>5171</v>
      </c>
      <c r="AE1374" t="s">
        <v>5171</v>
      </c>
      <c r="AF1374" t="s">
        <v>52</v>
      </c>
      <c r="AH1374">
        <v>0</v>
      </c>
      <c r="AI1374">
        <v>0</v>
      </c>
      <c r="AJ1374" t="s">
        <v>52</v>
      </c>
      <c r="AK1374">
        <v>0</v>
      </c>
      <c r="AL1374" t="s">
        <v>52</v>
      </c>
      <c r="AM1374" t="s">
        <v>52</v>
      </c>
      <c r="AN1374">
        <v>0</v>
      </c>
      <c r="AO1374">
        <v>0</v>
      </c>
      <c r="AP1374" t="s">
        <v>52</v>
      </c>
      <c r="AQ1374" t="s">
        <v>52</v>
      </c>
      <c r="AR1374" t="s">
        <v>62</v>
      </c>
      <c r="AS1374" t="s">
        <v>52</v>
      </c>
      <c r="AT1374" t="s">
        <v>52</v>
      </c>
      <c r="AU1374" t="s">
        <v>64</v>
      </c>
      <c r="AV1374" t="s">
        <v>62</v>
      </c>
      <c r="AW1374" t="s">
        <v>65</v>
      </c>
      <c r="AX1374" t="s">
        <v>66</v>
      </c>
      <c r="AY1374" t="s">
        <v>67</v>
      </c>
    </row>
    <row r="1375" spans="1:51" hidden="1" x14ac:dyDescent="0.25">
      <c r="A1375">
        <v>317156</v>
      </c>
      <c r="B1375" t="s">
        <v>5172</v>
      </c>
      <c r="C1375" t="str">
        <f>VLOOKUP(A1375,[1]Customer_payment_journal_line!$AL:$BO,30,0)</f>
        <v>CPay-000000087</v>
      </c>
      <c r="D1375" t="s">
        <v>53</v>
      </c>
      <c r="E1375" t="s">
        <v>5168</v>
      </c>
      <c r="F1375" t="s">
        <v>5169</v>
      </c>
      <c r="G1375" t="s">
        <v>4689</v>
      </c>
      <c r="H1375" t="s">
        <v>210</v>
      </c>
      <c r="I1375" t="s">
        <v>5173</v>
      </c>
      <c r="J1375" t="s">
        <v>52</v>
      </c>
      <c r="K1375" t="s">
        <v>4811</v>
      </c>
      <c r="L1375">
        <f>VLOOKUP(A1375,[1]Customer_payment_journal_line!$B:$L,11,0)</f>
        <v>540</v>
      </c>
      <c r="M1375" s="1">
        <v>530</v>
      </c>
      <c r="N1375" s="2">
        <f>L1375-M1375</f>
        <v>10</v>
      </c>
      <c r="O1375" t="s">
        <v>178</v>
      </c>
      <c r="P1375">
        <v>5085</v>
      </c>
      <c r="Q1375" t="s">
        <v>52</v>
      </c>
      <c r="R1375" t="s">
        <v>52</v>
      </c>
      <c r="S1375" t="s">
        <v>52</v>
      </c>
      <c r="T1375" t="s">
        <v>52</v>
      </c>
      <c r="U1375" t="s">
        <v>52</v>
      </c>
      <c r="V1375" t="s">
        <v>62</v>
      </c>
      <c r="W1375" t="s">
        <v>63</v>
      </c>
      <c r="Y1375" t="s">
        <v>52</v>
      </c>
      <c r="AB1375" t="s">
        <v>5171</v>
      </c>
      <c r="AE1375" t="s">
        <v>5171</v>
      </c>
      <c r="AF1375" t="s">
        <v>52</v>
      </c>
      <c r="AH1375">
        <v>0</v>
      </c>
      <c r="AI1375">
        <v>0</v>
      </c>
      <c r="AJ1375" t="s">
        <v>52</v>
      </c>
      <c r="AK1375">
        <v>0</v>
      </c>
      <c r="AL1375" t="s">
        <v>52</v>
      </c>
      <c r="AM1375" t="s">
        <v>52</v>
      </c>
      <c r="AN1375">
        <v>0</v>
      </c>
      <c r="AO1375">
        <v>0</v>
      </c>
      <c r="AP1375" t="s">
        <v>52</v>
      </c>
      <c r="AQ1375" t="s">
        <v>52</v>
      </c>
      <c r="AR1375" t="s">
        <v>62</v>
      </c>
      <c r="AS1375" t="s">
        <v>52</v>
      </c>
      <c r="AT1375" t="s">
        <v>52</v>
      </c>
      <c r="AU1375" t="s">
        <v>64</v>
      </c>
      <c r="AV1375" t="s">
        <v>62</v>
      </c>
      <c r="AW1375" t="s">
        <v>65</v>
      </c>
      <c r="AX1375" t="s">
        <v>66</v>
      </c>
      <c r="AY1375" t="s">
        <v>67</v>
      </c>
    </row>
    <row r="1376" spans="1:51" hidden="1" x14ac:dyDescent="0.25">
      <c r="A1376">
        <v>317156</v>
      </c>
      <c r="B1376" t="s">
        <v>5174</v>
      </c>
      <c r="C1376" t="str">
        <f>VLOOKUP(A1376,[1]Customer_payment_journal_line!$AL:$BO,30,0)</f>
        <v>CPay-000000087</v>
      </c>
      <c r="D1376" t="s">
        <v>53</v>
      </c>
      <c r="E1376" t="s">
        <v>5168</v>
      </c>
      <c r="F1376" t="s">
        <v>5169</v>
      </c>
      <c r="G1376" t="s">
        <v>4689</v>
      </c>
      <c r="H1376" t="s">
        <v>69</v>
      </c>
      <c r="I1376" t="s">
        <v>3696</v>
      </c>
      <c r="J1376" t="s">
        <v>5175</v>
      </c>
      <c r="K1376" t="s">
        <v>4811</v>
      </c>
      <c r="L1376">
        <f>VLOOKUP(A1376,[1]Customer_payment_journal_line!$B:$L,11,0)</f>
        <v>540</v>
      </c>
      <c r="M1376" s="1">
        <v>0</v>
      </c>
      <c r="N1376">
        <v>540</v>
      </c>
      <c r="O1376" t="s">
        <v>178</v>
      </c>
      <c r="P1376">
        <v>5085</v>
      </c>
      <c r="Q1376" t="s">
        <v>52</v>
      </c>
      <c r="R1376" t="s">
        <v>52</v>
      </c>
      <c r="S1376" t="s">
        <v>52</v>
      </c>
      <c r="T1376" t="s">
        <v>52</v>
      </c>
      <c r="U1376" t="s">
        <v>52</v>
      </c>
      <c r="V1376" t="s">
        <v>62</v>
      </c>
      <c r="W1376" t="s">
        <v>52</v>
      </c>
      <c r="Y1376" t="s">
        <v>3697</v>
      </c>
      <c r="Z1376" t="s">
        <v>62</v>
      </c>
      <c r="AB1376" t="s">
        <v>5171</v>
      </c>
      <c r="AE1376" t="s">
        <v>5171</v>
      </c>
      <c r="AF1376" t="s">
        <v>52</v>
      </c>
      <c r="AH1376">
        <v>0</v>
      </c>
      <c r="AI1376">
        <v>0</v>
      </c>
      <c r="AJ1376" t="s">
        <v>52</v>
      </c>
      <c r="AK1376">
        <v>0</v>
      </c>
      <c r="AL1376" t="s">
        <v>52</v>
      </c>
      <c r="AM1376" t="s">
        <v>52</v>
      </c>
      <c r="AN1376">
        <v>0</v>
      </c>
      <c r="AO1376">
        <v>0</v>
      </c>
      <c r="AP1376" t="s">
        <v>52</v>
      </c>
      <c r="AQ1376" t="s">
        <v>52</v>
      </c>
      <c r="AR1376" t="s">
        <v>62</v>
      </c>
      <c r="AS1376" t="s">
        <v>52</v>
      </c>
      <c r="AT1376" t="s">
        <v>74</v>
      </c>
      <c r="AU1376" t="s">
        <v>64</v>
      </c>
      <c r="AV1376" t="s">
        <v>62</v>
      </c>
      <c r="AW1376" t="s">
        <v>65</v>
      </c>
      <c r="AX1376" t="s">
        <v>66</v>
      </c>
      <c r="AY1376" t="s">
        <v>67</v>
      </c>
    </row>
    <row r="1377" spans="1:51" hidden="1" x14ac:dyDescent="0.25">
      <c r="A1377">
        <v>317156</v>
      </c>
      <c r="B1377" t="s">
        <v>5176</v>
      </c>
      <c r="C1377" t="str">
        <f>VLOOKUP(A1377,[1]Customer_payment_journal_line!$AL:$BO,30,0)</f>
        <v>CPay-000000087</v>
      </c>
      <c r="D1377" t="s">
        <v>53</v>
      </c>
      <c r="E1377" t="s">
        <v>5168</v>
      </c>
      <c r="F1377" t="s">
        <v>5169</v>
      </c>
      <c r="G1377" t="s">
        <v>4689</v>
      </c>
      <c r="H1377" t="s">
        <v>210</v>
      </c>
      <c r="I1377" t="s">
        <v>5177</v>
      </c>
      <c r="J1377" t="s">
        <v>52</v>
      </c>
      <c r="K1377" t="s">
        <v>4811</v>
      </c>
      <c r="L1377">
        <f>VLOOKUP(A1377,[1]Customer_payment_journal_line!$B:$L,11,0)</f>
        <v>540</v>
      </c>
      <c r="M1377" s="1">
        <v>0</v>
      </c>
      <c r="N1377">
        <v>21.5</v>
      </c>
      <c r="O1377" t="s">
        <v>61</v>
      </c>
      <c r="P1377">
        <v>100</v>
      </c>
      <c r="Q1377" t="s">
        <v>52</v>
      </c>
      <c r="R1377" t="s">
        <v>52</v>
      </c>
      <c r="S1377" t="s">
        <v>52</v>
      </c>
      <c r="T1377" t="s">
        <v>52</v>
      </c>
      <c r="U1377" t="s">
        <v>52</v>
      </c>
      <c r="V1377" t="s">
        <v>62</v>
      </c>
      <c r="W1377" t="s">
        <v>63</v>
      </c>
      <c r="Y1377" t="s">
        <v>3697</v>
      </c>
      <c r="AB1377" t="s">
        <v>5171</v>
      </c>
      <c r="AE1377" t="s">
        <v>5171</v>
      </c>
      <c r="AF1377" t="s">
        <v>52</v>
      </c>
      <c r="AH1377">
        <v>0</v>
      </c>
      <c r="AI1377">
        <v>0</v>
      </c>
      <c r="AJ1377" t="s">
        <v>52</v>
      </c>
      <c r="AK1377">
        <v>0</v>
      </c>
      <c r="AL1377" t="s">
        <v>52</v>
      </c>
      <c r="AM1377" t="s">
        <v>52</v>
      </c>
      <c r="AN1377">
        <v>0</v>
      </c>
      <c r="AO1377">
        <v>0</v>
      </c>
      <c r="AP1377" t="s">
        <v>52</v>
      </c>
      <c r="AQ1377" t="s">
        <v>52</v>
      </c>
      <c r="AR1377" t="s">
        <v>62</v>
      </c>
      <c r="AS1377" t="s">
        <v>52</v>
      </c>
      <c r="AT1377" t="s">
        <v>52</v>
      </c>
      <c r="AU1377" t="s">
        <v>64</v>
      </c>
      <c r="AV1377" t="s">
        <v>62</v>
      </c>
      <c r="AW1377" t="s">
        <v>65</v>
      </c>
      <c r="AX1377" t="s">
        <v>66</v>
      </c>
      <c r="AY1377" t="s">
        <v>67</v>
      </c>
    </row>
    <row r="1378" spans="1:51" hidden="1" x14ac:dyDescent="0.25">
      <c r="A1378">
        <v>406118</v>
      </c>
      <c r="B1378" t="s">
        <v>5178</v>
      </c>
      <c r="C1378" t="e">
        <f>VLOOKUP(A1378,[1]Customer_payment_journal_line!$AL:$BO,30,0)</f>
        <v>#N/A</v>
      </c>
      <c r="D1378" t="s">
        <v>53</v>
      </c>
      <c r="E1378" t="s">
        <v>5179</v>
      </c>
      <c r="F1378" t="s">
        <v>5180</v>
      </c>
      <c r="G1378" t="s">
        <v>4689</v>
      </c>
      <c r="H1378" t="s">
        <v>57</v>
      </c>
      <c r="I1378" t="s">
        <v>1349</v>
      </c>
      <c r="J1378" t="s">
        <v>5181</v>
      </c>
      <c r="K1378" t="s">
        <v>2815</v>
      </c>
      <c r="L1378" t="s">
        <v>52</v>
      </c>
      <c r="M1378">
        <v>5130</v>
      </c>
      <c r="N1378">
        <v>0</v>
      </c>
      <c r="O1378" t="s">
        <v>61</v>
      </c>
      <c r="P1378">
        <v>100</v>
      </c>
      <c r="Q1378" t="s">
        <v>52</v>
      </c>
      <c r="R1378" t="s">
        <v>52</v>
      </c>
      <c r="S1378" t="s">
        <v>52</v>
      </c>
      <c r="T1378" t="s">
        <v>52</v>
      </c>
      <c r="U1378" t="s">
        <v>52</v>
      </c>
      <c r="V1378" t="s">
        <v>62</v>
      </c>
      <c r="W1378" t="s">
        <v>63</v>
      </c>
      <c r="Y1378" t="s">
        <v>52</v>
      </c>
      <c r="AB1378" t="s">
        <v>52</v>
      </c>
      <c r="AE1378" t="s">
        <v>52</v>
      </c>
      <c r="AF1378" t="s">
        <v>52</v>
      </c>
      <c r="AH1378">
        <v>0</v>
      </c>
      <c r="AI1378">
        <v>0</v>
      </c>
      <c r="AJ1378" t="s">
        <v>52</v>
      </c>
      <c r="AK1378">
        <v>0</v>
      </c>
      <c r="AL1378" t="s">
        <v>52</v>
      </c>
      <c r="AM1378" t="s">
        <v>52</v>
      </c>
      <c r="AN1378">
        <v>0</v>
      </c>
      <c r="AO1378">
        <v>0</v>
      </c>
      <c r="AP1378" t="s">
        <v>52</v>
      </c>
      <c r="AQ1378" t="s">
        <v>52</v>
      </c>
      <c r="AR1378" t="s">
        <v>62</v>
      </c>
      <c r="AS1378" t="s">
        <v>52</v>
      </c>
      <c r="AT1378" t="s">
        <v>52</v>
      </c>
      <c r="AU1378" t="s">
        <v>64</v>
      </c>
      <c r="AV1378" t="s">
        <v>62</v>
      </c>
      <c r="AW1378" t="s">
        <v>65</v>
      </c>
      <c r="AX1378" t="s">
        <v>66</v>
      </c>
      <c r="AY1378" t="s">
        <v>67</v>
      </c>
    </row>
    <row r="1379" spans="1:51" hidden="1" x14ac:dyDescent="0.25">
      <c r="A1379">
        <v>406118</v>
      </c>
      <c r="B1379" t="s">
        <v>5182</v>
      </c>
      <c r="C1379" t="e">
        <f>VLOOKUP(A1379,[1]Customer_payment_journal_line!$AL:$BO,30,0)</f>
        <v>#N/A</v>
      </c>
      <c r="D1379" t="s">
        <v>53</v>
      </c>
      <c r="E1379" t="s">
        <v>5179</v>
      </c>
      <c r="F1379" t="s">
        <v>5180</v>
      </c>
      <c r="G1379" t="s">
        <v>4689</v>
      </c>
      <c r="H1379" t="s">
        <v>69</v>
      </c>
      <c r="I1379" t="s">
        <v>2817</v>
      </c>
      <c r="J1379" t="s">
        <v>5181</v>
      </c>
      <c r="K1379" t="s">
        <v>2815</v>
      </c>
      <c r="L1379" t="s">
        <v>52</v>
      </c>
      <c r="M1379">
        <v>0</v>
      </c>
      <c r="N1379">
        <v>5130</v>
      </c>
      <c r="O1379" t="s">
        <v>61</v>
      </c>
      <c r="P1379">
        <v>100</v>
      </c>
      <c r="Q1379" t="s">
        <v>52</v>
      </c>
      <c r="R1379" t="s">
        <v>52</v>
      </c>
      <c r="S1379" t="s">
        <v>52</v>
      </c>
      <c r="T1379" t="s">
        <v>52</v>
      </c>
      <c r="U1379" t="s">
        <v>52</v>
      </c>
      <c r="V1379" t="s">
        <v>62</v>
      </c>
      <c r="W1379" t="s">
        <v>52</v>
      </c>
      <c r="Y1379" t="s">
        <v>2818</v>
      </c>
      <c r="Z1379" t="s">
        <v>62</v>
      </c>
      <c r="AB1379" t="s">
        <v>5183</v>
      </c>
      <c r="AE1379" t="s">
        <v>5184</v>
      </c>
      <c r="AF1379" t="s">
        <v>52</v>
      </c>
      <c r="AH1379">
        <v>0</v>
      </c>
      <c r="AI1379">
        <v>0</v>
      </c>
      <c r="AJ1379" t="s">
        <v>52</v>
      </c>
      <c r="AK1379">
        <v>0</v>
      </c>
      <c r="AL1379" t="s">
        <v>52</v>
      </c>
      <c r="AM1379" t="s">
        <v>52</v>
      </c>
      <c r="AN1379">
        <v>0</v>
      </c>
      <c r="AO1379">
        <v>0</v>
      </c>
      <c r="AP1379" t="s">
        <v>52</v>
      </c>
      <c r="AQ1379" t="s">
        <v>52</v>
      </c>
      <c r="AR1379" t="s">
        <v>62</v>
      </c>
      <c r="AS1379" t="s">
        <v>52</v>
      </c>
      <c r="AT1379" t="s">
        <v>74</v>
      </c>
      <c r="AU1379" t="s">
        <v>64</v>
      </c>
      <c r="AV1379" t="s">
        <v>62</v>
      </c>
      <c r="AW1379" t="s">
        <v>65</v>
      </c>
      <c r="AX1379" t="s">
        <v>66</v>
      </c>
      <c r="AY1379" t="s">
        <v>67</v>
      </c>
    </row>
    <row r="1380" spans="1:51" hidden="1" x14ac:dyDescent="0.25">
      <c r="A1380">
        <v>203376</v>
      </c>
      <c r="B1380" t="s">
        <v>5185</v>
      </c>
      <c r="C1380" t="e">
        <f>VLOOKUP(A1380,[1]Customer_payment_journal_line!$AL:$BO,30,0)</f>
        <v>#N/A</v>
      </c>
      <c r="D1380" t="s">
        <v>53</v>
      </c>
      <c r="E1380" t="s">
        <v>5186</v>
      </c>
      <c r="F1380" t="s">
        <v>5187</v>
      </c>
      <c r="G1380" t="s">
        <v>4689</v>
      </c>
      <c r="H1380" t="s">
        <v>57</v>
      </c>
      <c r="I1380" t="s">
        <v>319</v>
      </c>
      <c r="J1380" t="s">
        <v>4822</v>
      </c>
      <c r="K1380" t="s">
        <v>5188</v>
      </c>
      <c r="L1380" t="s">
        <v>52</v>
      </c>
      <c r="M1380">
        <v>3420</v>
      </c>
      <c r="N1380">
        <v>0</v>
      </c>
      <c r="O1380" t="s">
        <v>61</v>
      </c>
      <c r="P1380">
        <v>100</v>
      </c>
      <c r="Q1380" t="s">
        <v>52</v>
      </c>
      <c r="R1380" t="s">
        <v>52</v>
      </c>
      <c r="S1380" t="s">
        <v>52</v>
      </c>
      <c r="T1380" t="s">
        <v>52</v>
      </c>
      <c r="U1380" t="s">
        <v>52</v>
      </c>
      <c r="V1380" t="s">
        <v>62</v>
      </c>
      <c r="W1380" t="s">
        <v>63</v>
      </c>
      <c r="Y1380" t="s">
        <v>52</v>
      </c>
      <c r="AB1380" t="s">
        <v>52</v>
      </c>
      <c r="AE1380" t="s">
        <v>52</v>
      </c>
      <c r="AF1380" t="s">
        <v>52</v>
      </c>
      <c r="AH1380">
        <v>0</v>
      </c>
      <c r="AI1380">
        <v>0</v>
      </c>
      <c r="AJ1380" t="s">
        <v>52</v>
      </c>
      <c r="AK1380">
        <v>0</v>
      </c>
      <c r="AL1380" t="s">
        <v>52</v>
      </c>
      <c r="AM1380" t="s">
        <v>52</v>
      </c>
      <c r="AN1380">
        <v>0</v>
      </c>
      <c r="AO1380">
        <v>0</v>
      </c>
      <c r="AP1380" t="s">
        <v>52</v>
      </c>
      <c r="AQ1380" t="s">
        <v>52</v>
      </c>
      <c r="AR1380" t="s">
        <v>62</v>
      </c>
      <c r="AS1380" t="s">
        <v>52</v>
      </c>
      <c r="AT1380" t="s">
        <v>52</v>
      </c>
      <c r="AU1380" t="s">
        <v>64</v>
      </c>
      <c r="AV1380" t="s">
        <v>62</v>
      </c>
      <c r="AW1380" t="s">
        <v>65</v>
      </c>
      <c r="AX1380" t="s">
        <v>66</v>
      </c>
      <c r="AY1380" t="s">
        <v>67</v>
      </c>
    </row>
    <row r="1381" spans="1:51" hidden="1" x14ac:dyDescent="0.25">
      <c r="A1381">
        <v>203376</v>
      </c>
      <c r="B1381" t="s">
        <v>5189</v>
      </c>
      <c r="C1381" t="e">
        <f>VLOOKUP(A1381,[1]Customer_payment_journal_line!$AL:$BO,30,0)</f>
        <v>#N/A</v>
      </c>
      <c r="D1381" t="s">
        <v>53</v>
      </c>
      <c r="E1381" t="s">
        <v>5186</v>
      </c>
      <c r="F1381" t="s">
        <v>5187</v>
      </c>
      <c r="G1381" t="s">
        <v>4689</v>
      </c>
      <c r="H1381" t="s">
        <v>69</v>
      </c>
      <c r="I1381" t="s">
        <v>4821</v>
      </c>
      <c r="J1381" t="s">
        <v>4822</v>
      </c>
      <c r="K1381" t="s">
        <v>5188</v>
      </c>
      <c r="L1381" t="s">
        <v>52</v>
      </c>
      <c r="M1381">
        <v>0</v>
      </c>
      <c r="N1381">
        <v>3420</v>
      </c>
      <c r="O1381" t="s">
        <v>61</v>
      </c>
      <c r="P1381">
        <v>100</v>
      </c>
      <c r="Q1381" t="s">
        <v>52</v>
      </c>
      <c r="R1381" t="s">
        <v>52</v>
      </c>
      <c r="S1381" t="s">
        <v>52</v>
      </c>
      <c r="T1381" t="s">
        <v>52</v>
      </c>
      <c r="U1381" t="s">
        <v>52</v>
      </c>
      <c r="V1381" t="s">
        <v>62</v>
      </c>
      <c r="W1381" t="s">
        <v>52</v>
      </c>
      <c r="Y1381" t="s">
        <v>4824</v>
      </c>
      <c r="Z1381" t="s">
        <v>62</v>
      </c>
      <c r="AB1381" t="s">
        <v>5190</v>
      </c>
      <c r="AE1381" t="s">
        <v>5191</v>
      </c>
      <c r="AF1381" t="s">
        <v>52</v>
      </c>
      <c r="AH1381">
        <v>0</v>
      </c>
      <c r="AI1381">
        <v>0</v>
      </c>
      <c r="AJ1381" t="s">
        <v>52</v>
      </c>
      <c r="AK1381">
        <v>0</v>
      </c>
      <c r="AL1381" t="s">
        <v>52</v>
      </c>
      <c r="AM1381" t="s">
        <v>52</v>
      </c>
      <c r="AN1381">
        <v>0</v>
      </c>
      <c r="AO1381">
        <v>0</v>
      </c>
      <c r="AP1381" t="s">
        <v>52</v>
      </c>
      <c r="AQ1381" t="s">
        <v>52</v>
      </c>
      <c r="AR1381" t="s">
        <v>62</v>
      </c>
      <c r="AS1381" t="s">
        <v>52</v>
      </c>
      <c r="AT1381" t="s">
        <v>74</v>
      </c>
      <c r="AU1381" t="s">
        <v>64</v>
      </c>
      <c r="AV1381" t="s">
        <v>62</v>
      </c>
      <c r="AW1381" t="s">
        <v>65</v>
      </c>
      <c r="AX1381" t="s">
        <v>66</v>
      </c>
      <c r="AY1381" t="s">
        <v>67</v>
      </c>
    </row>
    <row r="1382" spans="1:51" hidden="1" x14ac:dyDescent="0.25">
      <c r="A1382">
        <v>203377</v>
      </c>
      <c r="B1382" t="s">
        <v>5192</v>
      </c>
      <c r="C1382" t="e">
        <f>VLOOKUP(A1382,[1]Customer_payment_journal_line!$AL:$BO,30,0)</f>
        <v>#N/A</v>
      </c>
      <c r="D1382" t="s">
        <v>53</v>
      </c>
      <c r="E1382" t="s">
        <v>5193</v>
      </c>
      <c r="F1382" t="s">
        <v>5194</v>
      </c>
      <c r="G1382" t="s">
        <v>4689</v>
      </c>
      <c r="H1382" t="s">
        <v>57</v>
      </c>
      <c r="I1382" t="s">
        <v>319</v>
      </c>
      <c r="J1382" t="s">
        <v>4822</v>
      </c>
      <c r="K1382" t="s">
        <v>4823</v>
      </c>
      <c r="L1382" t="s">
        <v>52</v>
      </c>
      <c r="M1382">
        <v>3420</v>
      </c>
      <c r="N1382">
        <v>0</v>
      </c>
      <c r="O1382" t="s">
        <v>61</v>
      </c>
      <c r="P1382">
        <v>100</v>
      </c>
      <c r="Q1382" t="s">
        <v>52</v>
      </c>
      <c r="R1382" t="s">
        <v>52</v>
      </c>
      <c r="S1382" t="s">
        <v>52</v>
      </c>
      <c r="T1382" t="s">
        <v>52</v>
      </c>
      <c r="U1382" t="s">
        <v>52</v>
      </c>
      <c r="V1382" t="s">
        <v>62</v>
      </c>
      <c r="W1382" t="s">
        <v>63</v>
      </c>
      <c r="Y1382" t="s">
        <v>52</v>
      </c>
      <c r="AB1382" t="s">
        <v>52</v>
      </c>
      <c r="AE1382" t="s">
        <v>52</v>
      </c>
      <c r="AF1382" t="s">
        <v>52</v>
      </c>
      <c r="AH1382">
        <v>0</v>
      </c>
      <c r="AI1382">
        <v>0</v>
      </c>
      <c r="AJ1382" t="s">
        <v>52</v>
      </c>
      <c r="AK1382">
        <v>0</v>
      </c>
      <c r="AL1382" t="s">
        <v>52</v>
      </c>
      <c r="AM1382" t="s">
        <v>52</v>
      </c>
      <c r="AN1382">
        <v>0</v>
      </c>
      <c r="AO1382">
        <v>0</v>
      </c>
      <c r="AP1382" t="s">
        <v>52</v>
      </c>
      <c r="AQ1382" t="s">
        <v>52</v>
      </c>
      <c r="AR1382" t="s">
        <v>62</v>
      </c>
      <c r="AS1382" t="s">
        <v>52</v>
      </c>
      <c r="AT1382" t="s">
        <v>52</v>
      </c>
      <c r="AU1382" t="s">
        <v>64</v>
      </c>
      <c r="AV1382" t="s">
        <v>62</v>
      </c>
      <c r="AW1382" t="s">
        <v>65</v>
      </c>
      <c r="AX1382" t="s">
        <v>66</v>
      </c>
      <c r="AY1382" t="s">
        <v>67</v>
      </c>
    </row>
    <row r="1383" spans="1:51" hidden="1" x14ac:dyDescent="0.25">
      <c r="A1383">
        <v>203377</v>
      </c>
      <c r="B1383" t="s">
        <v>5195</v>
      </c>
      <c r="C1383" t="e">
        <f>VLOOKUP(A1383,[1]Customer_payment_journal_line!$AL:$BO,30,0)</f>
        <v>#N/A</v>
      </c>
      <c r="D1383" t="s">
        <v>53</v>
      </c>
      <c r="E1383" t="s">
        <v>5193</v>
      </c>
      <c r="F1383" t="s">
        <v>5194</v>
      </c>
      <c r="G1383" t="s">
        <v>4689</v>
      </c>
      <c r="H1383" t="s">
        <v>69</v>
      </c>
      <c r="I1383" t="s">
        <v>4821</v>
      </c>
      <c r="J1383" t="s">
        <v>4822</v>
      </c>
      <c r="K1383" t="s">
        <v>4823</v>
      </c>
      <c r="L1383" t="s">
        <v>52</v>
      </c>
      <c r="M1383">
        <v>0</v>
      </c>
      <c r="N1383">
        <v>3420</v>
      </c>
      <c r="O1383" t="s">
        <v>61</v>
      </c>
      <c r="P1383">
        <v>100</v>
      </c>
      <c r="Q1383" t="s">
        <v>52</v>
      </c>
      <c r="R1383" t="s">
        <v>52</v>
      </c>
      <c r="S1383" t="s">
        <v>52</v>
      </c>
      <c r="T1383" t="s">
        <v>52</v>
      </c>
      <c r="U1383" t="s">
        <v>52</v>
      </c>
      <c r="V1383" t="s">
        <v>62</v>
      </c>
      <c r="W1383" t="s">
        <v>52</v>
      </c>
      <c r="Y1383" t="s">
        <v>4824</v>
      </c>
      <c r="Z1383" t="s">
        <v>62</v>
      </c>
      <c r="AB1383" t="s">
        <v>5196</v>
      </c>
      <c r="AE1383" t="s">
        <v>5197</v>
      </c>
      <c r="AF1383" t="s">
        <v>52</v>
      </c>
      <c r="AH1383">
        <v>0</v>
      </c>
      <c r="AI1383">
        <v>0</v>
      </c>
      <c r="AJ1383" t="s">
        <v>52</v>
      </c>
      <c r="AK1383">
        <v>0</v>
      </c>
      <c r="AL1383" t="s">
        <v>52</v>
      </c>
      <c r="AM1383" t="s">
        <v>52</v>
      </c>
      <c r="AN1383">
        <v>0</v>
      </c>
      <c r="AO1383">
        <v>0</v>
      </c>
      <c r="AP1383" t="s">
        <v>52</v>
      </c>
      <c r="AQ1383" t="s">
        <v>52</v>
      </c>
      <c r="AR1383" t="s">
        <v>62</v>
      </c>
      <c r="AS1383" t="s">
        <v>52</v>
      </c>
      <c r="AT1383" t="s">
        <v>74</v>
      </c>
      <c r="AU1383" t="s">
        <v>64</v>
      </c>
      <c r="AV1383" t="s">
        <v>62</v>
      </c>
      <c r="AW1383" t="s">
        <v>65</v>
      </c>
      <c r="AX1383" t="s">
        <v>66</v>
      </c>
      <c r="AY1383" t="s">
        <v>67</v>
      </c>
    </row>
    <row r="1384" spans="1:51" hidden="1" x14ac:dyDescent="0.25">
      <c r="A1384">
        <v>317157</v>
      </c>
      <c r="B1384" t="s">
        <v>5198</v>
      </c>
      <c r="C1384" t="str">
        <f>VLOOKUP(A1384,[1]Customer_payment_journal_line!$AL:$BO,30,0)</f>
        <v>CPay-000000088</v>
      </c>
      <c r="D1384" t="s">
        <v>53</v>
      </c>
      <c r="E1384" t="s">
        <v>5199</v>
      </c>
      <c r="F1384" t="s">
        <v>5200</v>
      </c>
      <c r="G1384" t="s">
        <v>4689</v>
      </c>
      <c r="H1384" t="s">
        <v>201</v>
      </c>
      <c r="I1384" t="s">
        <v>95</v>
      </c>
      <c r="J1384" t="s">
        <v>5170</v>
      </c>
      <c r="K1384" t="s">
        <v>5201</v>
      </c>
      <c r="L1384">
        <f>VLOOKUP(A1384,[1]Customer_payment_journal_line!$B:$L,11,0)</f>
        <v>1653</v>
      </c>
      <c r="M1384" s="1">
        <v>3</v>
      </c>
      <c r="N1384" s="2">
        <f>L1384-M1384</f>
        <v>1650</v>
      </c>
      <c r="O1384" t="s">
        <v>61</v>
      </c>
      <c r="P1384">
        <v>100</v>
      </c>
      <c r="Q1384" t="s">
        <v>52</v>
      </c>
      <c r="R1384" t="s">
        <v>52</v>
      </c>
      <c r="S1384" t="s">
        <v>52</v>
      </c>
      <c r="T1384" t="s">
        <v>52</v>
      </c>
      <c r="U1384" t="s">
        <v>52</v>
      </c>
      <c r="V1384" t="s">
        <v>62</v>
      </c>
      <c r="W1384" t="s">
        <v>63</v>
      </c>
      <c r="Y1384" t="s">
        <v>52</v>
      </c>
      <c r="AB1384" t="s">
        <v>5202</v>
      </c>
      <c r="AE1384" t="s">
        <v>5202</v>
      </c>
      <c r="AF1384" t="s">
        <v>52</v>
      </c>
      <c r="AH1384">
        <v>0</v>
      </c>
      <c r="AI1384">
        <v>0</v>
      </c>
      <c r="AJ1384" t="s">
        <v>52</v>
      </c>
      <c r="AK1384">
        <v>0</v>
      </c>
      <c r="AL1384" t="s">
        <v>52</v>
      </c>
      <c r="AM1384" t="s">
        <v>52</v>
      </c>
      <c r="AN1384">
        <v>0</v>
      </c>
      <c r="AO1384">
        <v>0</v>
      </c>
      <c r="AP1384" t="s">
        <v>52</v>
      </c>
      <c r="AQ1384" t="s">
        <v>52</v>
      </c>
      <c r="AR1384" t="s">
        <v>62</v>
      </c>
      <c r="AS1384" t="s">
        <v>52</v>
      </c>
      <c r="AT1384" t="s">
        <v>52</v>
      </c>
      <c r="AU1384" t="s">
        <v>64</v>
      </c>
      <c r="AV1384" t="s">
        <v>62</v>
      </c>
      <c r="AW1384" t="s">
        <v>65</v>
      </c>
      <c r="AX1384" t="s">
        <v>66</v>
      </c>
      <c r="AY1384" t="s">
        <v>67</v>
      </c>
    </row>
    <row r="1385" spans="1:51" hidden="1" x14ac:dyDescent="0.25">
      <c r="A1385">
        <v>317157</v>
      </c>
      <c r="B1385" t="s">
        <v>5203</v>
      </c>
      <c r="C1385" t="str">
        <f>VLOOKUP(A1385,[1]Customer_payment_journal_line!$AL:$BO,30,0)</f>
        <v>CPay-000000088</v>
      </c>
      <c r="D1385" t="s">
        <v>53</v>
      </c>
      <c r="E1385" t="s">
        <v>5199</v>
      </c>
      <c r="F1385" t="s">
        <v>5200</v>
      </c>
      <c r="G1385" t="s">
        <v>4689</v>
      </c>
      <c r="H1385" t="s">
        <v>210</v>
      </c>
      <c r="I1385" t="s">
        <v>5204</v>
      </c>
      <c r="J1385" t="s">
        <v>52</v>
      </c>
      <c r="K1385" t="s">
        <v>5201</v>
      </c>
      <c r="L1385">
        <f>VLOOKUP(A1385,[1]Customer_payment_journal_line!$B:$L,11,0)</f>
        <v>1653</v>
      </c>
      <c r="M1385" s="1">
        <v>1650</v>
      </c>
      <c r="N1385" s="2">
        <f>L1385-M1385</f>
        <v>3</v>
      </c>
      <c r="O1385" t="s">
        <v>61</v>
      </c>
      <c r="P1385">
        <v>100</v>
      </c>
      <c r="Q1385" t="s">
        <v>52</v>
      </c>
      <c r="R1385" t="s">
        <v>52</v>
      </c>
      <c r="S1385" t="s">
        <v>52</v>
      </c>
      <c r="T1385" t="s">
        <v>52</v>
      </c>
      <c r="U1385" t="s">
        <v>52</v>
      </c>
      <c r="V1385" t="s">
        <v>62</v>
      </c>
      <c r="W1385" t="s">
        <v>63</v>
      </c>
      <c r="Y1385" t="s">
        <v>52</v>
      </c>
      <c r="AB1385" t="s">
        <v>5202</v>
      </c>
      <c r="AE1385" t="s">
        <v>5202</v>
      </c>
      <c r="AF1385" t="s">
        <v>52</v>
      </c>
      <c r="AH1385">
        <v>0</v>
      </c>
      <c r="AI1385">
        <v>0</v>
      </c>
      <c r="AJ1385" t="s">
        <v>52</v>
      </c>
      <c r="AK1385">
        <v>0</v>
      </c>
      <c r="AL1385" t="s">
        <v>52</v>
      </c>
      <c r="AM1385" t="s">
        <v>52</v>
      </c>
      <c r="AN1385">
        <v>0</v>
      </c>
      <c r="AO1385">
        <v>0</v>
      </c>
      <c r="AP1385" t="s">
        <v>52</v>
      </c>
      <c r="AQ1385" t="s">
        <v>52</v>
      </c>
      <c r="AR1385" t="s">
        <v>62</v>
      </c>
      <c r="AS1385" t="s">
        <v>52</v>
      </c>
      <c r="AT1385" t="s">
        <v>52</v>
      </c>
      <c r="AU1385" t="s">
        <v>64</v>
      </c>
      <c r="AV1385" t="s">
        <v>62</v>
      </c>
      <c r="AW1385" t="s">
        <v>65</v>
      </c>
      <c r="AX1385" t="s">
        <v>66</v>
      </c>
      <c r="AY1385" t="s">
        <v>67</v>
      </c>
    </row>
    <row r="1386" spans="1:51" hidden="1" x14ac:dyDescent="0.25">
      <c r="A1386">
        <v>317157</v>
      </c>
      <c r="B1386" t="s">
        <v>5205</v>
      </c>
      <c r="C1386" t="str">
        <f>VLOOKUP(A1386,[1]Customer_payment_journal_line!$AL:$BO,30,0)</f>
        <v>CPay-000000088</v>
      </c>
      <c r="D1386" t="s">
        <v>53</v>
      </c>
      <c r="E1386" t="s">
        <v>5199</v>
      </c>
      <c r="F1386" t="s">
        <v>5200</v>
      </c>
      <c r="G1386" t="s">
        <v>4689</v>
      </c>
      <c r="H1386" t="s">
        <v>69</v>
      </c>
      <c r="I1386" t="s">
        <v>4878</v>
      </c>
      <c r="J1386" t="s">
        <v>5206</v>
      </c>
      <c r="K1386" t="s">
        <v>5201</v>
      </c>
      <c r="L1386">
        <f>VLOOKUP(A1386,[1]Customer_payment_journal_line!$B:$L,11,0)</f>
        <v>1653</v>
      </c>
      <c r="M1386" s="1">
        <v>0</v>
      </c>
      <c r="N1386">
        <v>1653</v>
      </c>
      <c r="O1386" t="s">
        <v>61</v>
      </c>
      <c r="P1386">
        <v>100</v>
      </c>
      <c r="Q1386" t="s">
        <v>52</v>
      </c>
      <c r="R1386" t="s">
        <v>52</v>
      </c>
      <c r="S1386" t="s">
        <v>52</v>
      </c>
      <c r="T1386" t="s">
        <v>52</v>
      </c>
      <c r="U1386" t="s">
        <v>52</v>
      </c>
      <c r="V1386" t="s">
        <v>62</v>
      </c>
      <c r="W1386" t="s">
        <v>52</v>
      </c>
      <c r="Y1386" t="s">
        <v>4879</v>
      </c>
      <c r="Z1386" t="s">
        <v>62</v>
      </c>
      <c r="AB1386" t="s">
        <v>5202</v>
      </c>
      <c r="AE1386" t="s">
        <v>5202</v>
      </c>
      <c r="AF1386" t="s">
        <v>52</v>
      </c>
      <c r="AH1386">
        <v>0</v>
      </c>
      <c r="AI1386">
        <v>0</v>
      </c>
      <c r="AJ1386" t="s">
        <v>52</v>
      </c>
      <c r="AK1386">
        <v>0</v>
      </c>
      <c r="AL1386" t="s">
        <v>52</v>
      </c>
      <c r="AM1386" t="s">
        <v>52</v>
      </c>
      <c r="AN1386">
        <v>0</v>
      </c>
      <c r="AO1386">
        <v>0</v>
      </c>
      <c r="AP1386" t="s">
        <v>52</v>
      </c>
      <c r="AQ1386" t="s">
        <v>52</v>
      </c>
      <c r="AR1386" t="s">
        <v>62</v>
      </c>
      <c r="AS1386" t="s">
        <v>52</v>
      </c>
      <c r="AT1386" t="s">
        <v>74</v>
      </c>
      <c r="AU1386" t="s">
        <v>64</v>
      </c>
      <c r="AV1386" t="s">
        <v>62</v>
      </c>
      <c r="AW1386" t="s">
        <v>65</v>
      </c>
      <c r="AX1386" t="s">
        <v>66</v>
      </c>
      <c r="AY1386" t="s">
        <v>67</v>
      </c>
    </row>
    <row r="1387" spans="1:51" hidden="1" x14ac:dyDescent="0.25">
      <c r="A1387">
        <v>203396</v>
      </c>
      <c r="B1387" t="s">
        <v>5207</v>
      </c>
      <c r="C1387" t="e">
        <f>VLOOKUP(A1387,[1]Customer_payment_journal_line!$AL:$BO,30,0)</f>
        <v>#N/A</v>
      </c>
      <c r="D1387" t="s">
        <v>159</v>
      </c>
      <c r="E1387" t="s">
        <v>5208</v>
      </c>
      <c r="F1387" t="s">
        <v>5209</v>
      </c>
      <c r="G1387" t="s">
        <v>4689</v>
      </c>
      <c r="H1387" t="s">
        <v>210</v>
      </c>
      <c r="I1387" t="s">
        <v>5210</v>
      </c>
      <c r="K1387" t="s">
        <v>5201</v>
      </c>
      <c r="L1387" t="s">
        <v>52</v>
      </c>
      <c r="M1387">
        <v>1600</v>
      </c>
      <c r="N1387">
        <v>0</v>
      </c>
      <c r="O1387" t="s">
        <v>178</v>
      </c>
      <c r="P1387">
        <v>5085</v>
      </c>
      <c r="Q1387" t="s">
        <v>52</v>
      </c>
      <c r="R1387" t="s">
        <v>52</v>
      </c>
      <c r="S1387" t="s">
        <v>52</v>
      </c>
      <c r="T1387" t="s">
        <v>52</v>
      </c>
      <c r="U1387" t="s">
        <v>52</v>
      </c>
      <c r="V1387" t="s">
        <v>62</v>
      </c>
      <c r="W1387" t="s">
        <v>63</v>
      </c>
      <c r="Y1387" t="s">
        <v>52</v>
      </c>
      <c r="AB1387" t="s">
        <v>5211</v>
      </c>
      <c r="AE1387" t="s">
        <v>5212</v>
      </c>
      <c r="AF1387" t="s">
        <v>52</v>
      </c>
      <c r="AG1387" t="s">
        <v>5213</v>
      </c>
      <c r="AH1387">
        <v>0</v>
      </c>
      <c r="AI1387">
        <v>0</v>
      </c>
      <c r="AJ1387" t="s">
        <v>52</v>
      </c>
      <c r="AK1387">
        <v>0</v>
      </c>
      <c r="AL1387" t="s">
        <v>52</v>
      </c>
      <c r="AM1387" t="s">
        <v>52</v>
      </c>
      <c r="AN1387">
        <v>0</v>
      </c>
      <c r="AO1387">
        <v>0</v>
      </c>
      <c r="AP1387" t="s">
        <v>52</v>
      </c>
      <c r="AQ1387" t="s">
        <v>52</v>
      </c>
      <c r="AR1387" t="s">
        <v>62</v>
      </c>
      <c r="AS1387" t="s">
        <v>52</v>
      </c>
      <c r="AT1387" t="s">
        <v>52</v>
      </c>
      <c r="AU1387" t="s">
        <v>64</v>
      </c>
      <c r="AV1387" t="s">
        <v>62</v>
      </c>
      <c r="AW1387" t="s">
        <v>65</v>
      </c>
      <c r="AX1387" t="s">
        <v>66</v>
      </c>
      <c r="AY1387" t="s">
        <v>165</v>
      </c>
    </row>
    <row r="1388" spans="1:51" hidden="1" x14ac:dyDescent="0.25">
      <c r="A1388">
        <v>203396</v>
      </c>
      <c r="B1388" t="s">
        <v>5214</v>
      </c>
      <c r="C1388" t="e">
        <f>VLOOKUP(A1388,[1]Customer_payment_journal_line!$AL:$BO,30,0)</f>
        <v>#N/A</v>
      </c>
      <c r="D1388" t="s">
        <v>159</v>
      </c>
      <c r="E1388" t="s">
        <v>5208</v>
      </c>
      <c r="F1388" t="s">
        <v>5209</v>
      </c>
      <c r="G1388" t="s">
        <v>4689</v>
      </c>
      <c r="H1388" t="s">
        <v>69</v>
      </c>
      <c r="I1388" t="s">
        <v>4878</v>
      </c>
      <c r="J1388" t="s">
        <v>4875</v>
      </c>
      <c r="K1388" t="s">
        <v>5201</v>
      </c>
      <c r="L1388" t="s">
        <v>52</v>
      </c>
      <c r="M1388">
        <v>0</v>
      </c>
      <c r="N1388">
        <v>1600</v>
      </c>
      <c r="O1388" t="s">
        <v>178</v>
      </c>
      <c r="P1388">
        <v>5085</v>
      </c>
      <c r="Q1388" t="s">
        <v>52</v>
      </c>
      <c r="R1388" t="s">
        <v>52</v>
      </c>
      <c r="S1388" t="s">
        <v>52</v>
      </c>
      <c r="T1388" t="s">
        <v>52</v>
      </c>
      <c r="U1388" t="s">
        <v>52</v>
      </c>
      <c r="V1388" t="s">
        <v>62</v>
      </c>
      <c r="W1388" t="s">
        <v>52</v>
      </c>
      <c r="Y1388" t="s">
        <v>4879</v>
      </c>
      <c r="Z1388" t="s">
        <v>62</v>
      </c>
      <c r="AB1388" t="s">
        <v>5211</v>
      </c>
      <c r="AE1388" t="s">
        <v>5212</v>
      </c>
      <c r="AF1388" t="s">
        <v>52</v>
      </c>
      <c r="AG1388" t="s">
        <v>5213</v>
      </c>
      <c r="AH1388">
        <v>0</v>
      </c>
      <c r="AI1388">
        <v>0</v>
      </c>
      <c r="AJ1388" t="s">
        <v>52</v>
      </c>
      <c r="AK1388">
        <v>0</v>
      </c>
      <c r="AL1388" t="s">
        <v>52</v>
      </c>
      <c r="AM1388" t="s">
        <v>52</v>
      </c>
      <c r="AN1388">
        <v>0</v>
      </c>
      <c r="AO1388">
        <v>0</v>
      </c>
      <c r="AP1388" t="s">
        <v>52</v>
      </c>
      <c r="AQ1388" t="s">
        <v>52</v>
      </c>
      <c r="AR1388" t="s">
        <v>62</v>
      </c>
      <c r="AS1388" t="s">
        <v>52</v>
      </c>
      <c r="AT1388" t="s">
        <v>74</v>
      </c>
      <c r="AU1388" t="s">
        <v>64</v>
      </c>
      <c r="AV1388" t="s">
        <v>62</v>
      </c>
      <c r="AW1388" t="s">
        <v>65</v>
      </c>
      <c r="AX1388" t="s">
        <v>66</v>
      </c>
      <c r="AY1388" t="s">
        <v>165</v>
      </c>
    </row>
    <row r="1389" spans="1:51" hidden="1" x14ac:dyDescent="0.25">
      <c r="A1389">
        <v>203412</v>
      </c>
      <c r="B1389" t="s">
        <v>5215</v>
      </c>
      <c r="C1389" t="e">
        <f>VLOOKUP(A1389,[1]Customer_payment_journal_line!$AL:$BO,30,0)</f>
        <v>#N/A</v>
      </c>
      <c r="D1389" t="s">
        <v>644</v>
      </c>
      <c r="E1389" t="s">
        <v>5216</v>
      </c>
      <c r="F1389" t="s">
        <v>5217</v>
      </c>
      <c r="G1389" t="s">
        <v>4689</v>
      </c>
      <c r="H1389" t="s">
        <v>210</v>
      </c>
      <c r="I1389" t="s">
        <v>5218</v>
      </c>
      <c r="K1389" t="s">
        <v>4256</v>
      </c>
      <c r="L1389" t="s">
        <v>52</v>
      </c>
      <c r="M1389">
        <v>630</v>
      </c>
      <c r="N1389">
        <v>0</v>
      </c>
      <c r="O1389" t="s">
        <v>178</v>
      </c>
      <c r="P1389">
        <v>5085</v>
      </c>
      <c r="Q1389" t="s">
        <v>52</v>
      </c>
      <c r="R1389" t="s">
        <v>52</v>
      </c>
      <c r="S1389" t="s">
        <v>52</v>
      </c>
      <c r="T1389" t="s">
        <v>52</v>
      </c>
      <c r="U1389" t="s">
        <v>52</v>
      </c>
      <c r="V1389" t="s">
        <v>62</v>
      </c>
      <c r="W1389" t="s">
        <v>63</v>
      </c>
      <c r="Y1389" t="s">
        <v>52</v>
      </c>
      <c r="AB1389" t="s">
        <v>5219</v>
      </c>
      <c r="AE1389" t="s">
        <v>5220</v>
      </c>
      <c r="AF1389" t="s">
        <v>177</v>
      </c>
      <c r="AG1389" t="s">
        <v>5221</v>
      </c>
      <c r="AH1389">
        <v>0</v>
      </c>
      <c r="AI1389">
        <v>0</v>
      </c>
      <c r="AJ1389" t="s">
        <v>52</v>
      </c>
      <c r="AK1389">
        <v>0</v>
      </c>
      <c r="AL1389" t="s">
        <v>52</v>
      </c>
      <c r="AM1389" t="s">
        <v>52</v>
      </c>
      <c r="AN1389">
        <v>0</v>
      </c>
      <c r="AO1389">
        <v>0</v>
      </c>
      <c r="AP1389" t="s">
        <v>52</v>
      </c>
      <c r="AQ1389" t="s">
        <v>52</v>
      </c>
      <c r="AR1389" t="s">
        <v>62</v>
      </c>
      <c r="AS1389" t="s">
        <v>52</v>
      </c>
      <c r="AT1389" t="s">
        <v>52</v>
      </c>
      <c r="AU1389" t="s">
        <v>64</v>
      </c>
      <c r="AV1389" t="s">
        <v>62</v>
      </c>
      <c r="AW1389" t="s">
        <v>65</v>
      </c>
      <c r="AX1389" t="s">
        <v>66</v>
      </c>
      <c r="AY1389" t="s">
        <v>654</v>
      </c>
    </row>
    <row r="1390" spans="1:51" hidden="1" x14ac:dyDescent="0.25">
      <c r="A1390">
        <v>203412</v>
      </c>
      <c r="B1390" t="s">
        <v>5222</v>
      </c>
      <c r="C1390" t="e">
        <f>VLOOKUP(A1390,[1]Customer_payment_journal_line!$AL:$BO,30,0)</f>
        <v>#N/A</v>
      </c>
      <c r="D1390" t="s">
        <v>644</v>
      </c>
      <c r="E1390" t="s">
        <v>5216</v>
      </c>
      <c r="F1390" t="s">
        <v>5217</v>
      </c>
      <c r="G1390" t="s">
        <v>4689</v>
      </c>
      <c r="H1390" t="s">
        <v>69</v>
      </c>
      <c r="I1390" t="s">
        <v>4258</v>
      </c>
      <c r="J1390" t="s">
        <v>4255</v>
      </c>
      <c r="K1390" t="s">
        <v>4256</v>
      </c>
      <c r="L1390" t="s">
        <v>52</v>
      </c>
      <c r="M1390">
        <v>0</v>
      </c>
      <c r="N1390">
        <v>630</v>
      </c>
      <c r="O1390" t="s">
        <v>178</v>
      </c>
      <c r="P1390">
        <v>5085</v>
      </c>
      <c r="Q1390" t="s">
        <v>52</v>
      </c>
      <c r="R1390" t="s">
        <v>52</v>
      </c>
      <c r="S1390" t="s">
        <v>52</v>
      </c>
      <c r="T1390" t="s">
        <v>52</v>
      </c>
      <c r="U1390" t="s">
        <v>52</v>
      </c>
      <c r="V1390" t="s">
        <v>62</v>
      </c>
      <c r="W1390" t="s">
        <v>52</v>
      </c>
      <c r="Y1390" t="s">
        <v>4259</v>
      </c>
      <c r="Z1390" t="s">
        <v>62</v>
      </c>
      <c r="AB1390" t="s">
        <v>5219</v>
      </c>
      <c r="AE1390" t="s">
        <v>5220</v>
      </c>
      <c r="AF1390" t="s">
        <v>177</v>
      </c>
      <c r="AG1390" t="s">
        <v>5221</v>
      </c>
      <c r="AH1390">
        <v>0</v>
      </c>
      <c r="AI1390">
        <v>0</v>
      </c>
      <c r="AJ1390" t="s">
        <v>52</v>
      </c>
      <c r="AK1390">
        <v>0</v>
      </c>
      <c r="AL1390" t="s">
        <v>52</v>
      </c>
      <c r="AM1390" t="s">
        <v>52</v>
      </c>
      <c r="AN1390">
        <v>0</v>
      </c>
      <c r="AO1390">
        <v>0</v>
      </c>
      <c r="AP1390" t="s">
        <v>52</v>
      </c>
      <c r="AQ1390" t="s">
        <v>52</v>
      </c>
      <c r="AR1390" t="s">
        <v>62</v>
      </c>
      <c r="AS1390" t="s">
        <v>52</v>
      </c>
      <c r="AT1390" t="s">
        <v>74</v>
      </c>
      <c r="AU1390" t="s">
        <v>64</v>
      </c>
      <c r="AV1390" t="s">
        <v>62</v>
      </c>
      <c r="AW1390" t="s">
        <v>65</v>
      </c>
      <c r="AX1390" t="s">
        <v>66</v>
      </c>
      <c r="AY1390" t="s">
        <v>654</v>
      </c>
    </row>
    <row r="1391" spans="1:51" hidden="1" x14ac:dyDescent="0.25">
      <c r="A1391">
        <v>203414</v>
      </c>
      <c r="B1391" t="s">
        <v>5223</v>
      </c>
      <c r="C1391" t="e">
        <f>VLOOKUP(A1391,[1]Customer_payment_journal_line!$AL:$BO,30,0)</f>
        <v>#N/A</v>
      </c>
      <c r="D1391" t="s">
        <v>644</v>
      </c>
      <c r="E1391" t="s">
        <v>5224</v>
      </c>
      <c r="F1391" t="s">
        <v>5225</v>
      </c>
      <c r="G1391" t="s">
        <v>4689</v>
      </c>
      <c r="H1391" t="s">
        <v>210</v>
      </c>
      <c r="I1391" t="s">
        <v>5226</v>
      </c>
      <c r="K1391" t="s">
        <v>5227</v>
      </c>
      <c r="L1391" t="s">
        <v>52</v>
      </c>
      <c r="M1391">
        <v>3150</v>
      </c>
      <c r="N1391">
        <v>0</v>
      </c>
      <c r="O1391" t="s">
        <v>178</v>
      </c>
      <c r="P1391">
        <v>5085</v>
      </c>
      <c r="Q1391" t="s">
        <v>52</v>
      </c>
      <c r="R1391" t="s">
        <v>52</v>
      </c>
      <c r="S1391" t="s">
        <v>52</v>
      </c>
      <c r="T1391" t="s">
        <v>52</v>
      </c>
      <c r="U1391" t="s">
        <v>52</v>
      </c>
      <c r="V1391" t="s">
        <v>62</v>
      </c>
      <c r="W1391" t="s">
        <v>63</v>
      </c>
      <c r="Y1391" t="s">
        <v>52</v>
      </c>
      <c r="AB1391" t="s">
        <v>5228</v>
      </c>
      <c r="AE1391" t="s">
        <v>5229</v>
      </c>
      <c r="AF1391" t="s">
        <v>177</v>
      </c>
      <c r="AG1391" t="s">
        <v>5221</v>
      </c>
      <c r="AH1391">
        <v>0</v>
      </c>
      <c r="AI1391">
        <v>0</v>
      </c>
      <c r="AJ1391" t="s">
        <v>52</v>
      </c>
      <c r="AK1391">
        <v>0</v>
      </c>
      <c r="AL1391" t="s">
        <v>52</v>
      </c>
      <c r="AM1391" t="s">
        <v>52</v>
      </c>
      <c r="AN1391">
        <v>0</v>
      </c>
      <c r="AO1391">
        <v>0</v>
      </c>
      <c r="AP1391" t="s">
        <v>52</v>
      </c>
      <c r="AQ1391" t="s">
        <v>52</v>
      </c>
      <c r="AR1391" t="s">
        <v>62</v>
      </c>
      <c r="AS1391" t="s">
        <v>52</v>
      </c>
      <c r="AT1391" t="s">
        <v>52</v>
      </c>
      <c r="AU1391" t="s">
        <v>64</v>
      </c>
      <c r="AV1391" t="s">
        <v>62</v>
      </c>
      <c r="AW1391" t="s">
        <v>65</v>
      </c>
      <c r="AX1391" t="s">
        <v>66</v>
      </c>
      <c r="AY1391" t="s">
        <v>654</v>
      </c>
    </row>
    <row r="1392" spans="1:51" hidden="1" x14ac:dyDescent="0.25">
      <c r="A1392">
        <v>203414</v>
      </c>
      <c r="B1392" t="s">
        <v>5230</v>
      </c>
      <c r="C1392" t="e">
        <f>VLOOKUP(A1392,[1]Customer_payment_journal_line!$AL:$BO,30,0)</f>
        <v>#N/A</v>
      </c>
      <c r="D1392" t="s">
        <v>644</v>
      </c>
      <c r="E1392" t="s">
        <v>5224</v>
      </c>
      <c r="F1392" t="s">
        <v>5225</v>
      </c>
      <c r="G1392" t="s">
        <v>4689</v>
      </c>
      <c r="H1392" t="s">
        <v>69</v>
      </c>
      <c r="I1392" t="s">
        <v>4258</v>
      </c>
      <c r="J1392" t="s">
        <v>5231</v>
      </c>
      <c r="K1392" t="s">
        <v>5227</v>
      </c>
      <c r="L1392" t="s">
        <v>52</v>
      </c>
      <c r="M1392">
        <v>0</v>
      </c>
      <c r="N1392">
        <v>3150</v>
      </c>
      <c r="O1392" t="s">
        <v>178</v>
      </c>
      <c r="P1392">
        <v>5085</v>
      </c>
      <c r="Q1392" t="s">
        <v>52</v>
      </c>
      <c r="R1392" t="s">
        <v>52</v>
      </c>
      <c r="S1392" t="s">
        <v>52</v>
      </c>
      <c r="T1392" t="s">
        <v>52</v>
      </c>
      <c r="U1392" t="s">
        <v>52</v>
      </c>
      <c r="V1392" t="s">
        <v>62</v>
      </c>
      <c r="W1392" t="s">
        <v>52</v>
      </c>
      <c r="Y1392" t="s">
        <v>4259</v>
      </c>
      <c r="Z1392" t="s">
        <v>62</v>
      </c>
      <c r="AB1392" t="s">
        <v>5228</v>
      </c>
      <c r="AE1392" t="s">
        <v>5229</v>
      </c>
      <c r="AF1392" t="s">
        <v>177</v>
      </c>
      <c r="AG1392" t="s">
        <v>5221</v>
      </c>
      <c r="AH1392">
        <v>0</v>
      </c>
      <c r="AI1392">
        <v>0</v>
      </c>
      <c r="AJ1392" t="s">
        <v>52</v>
      </c>
      <c r="AK1392">
        <v>0</v>
      </c>
      <c r="AL1392" t="s">
        <v>52</v>
      </c>
      <c r="AM1392" t="s">
        <v>52</v>
      </c>
      <c r="AN1392">
        <v>0</v>
      </c>
      <c r="AO1392">
        <v>0</v>
      </c>
      <c r="AP1392" t="s">
        <v>52</v>
      </c>
      <c r="AQ1392" t="s">
        <v>52</v>
      </c>
      <c r="AR1392" t="s">
        <v>62</v>
      </c>
      <c r="AS1392" t="s">
        <v>52</v>
      </c>
      <c r="AT1392" t="s">
        <v>74</v>
      </c>
      <c r="AU1392" t="s">
        <v>64</v>
      </c>
      <c r="AV1392" t="s">
        <v>62</v>
      </c>
      <c r="AW1392" t="s">
        <v>65</v>
      </c>
      <c r="AX1392" t="s">
        <v>66</v>
      </c>
      <c r="AY1392" t="s">
        <v>654</v>
      </c>
    </row>
    <row r="1393" spans="1:51" hidden="1" x14ac:dyDescent="0.25">
      <c r="A1393">
        <v>203423</v>
      </c>
      <c r="B1393" t="s">
        <v>5232</v>
      </c>
      <c r="C1393" t="e">
        <f>VLOOKUP(A1393,[1]Customer_payment_journal_line!$AL:$BO,30,0)</f>
        <v>#N/A</v>
      </c>
      <c r="D1393" t="s">
        <v>53</v>
      </c>
      <c r="E1393" t="s">
        <v>5233</v>
      </c>
      <c r="F1393" t="s">
        <v>5234</v>
      </c>
      <c r="G1393" t="s">
        <v>4689</v>
      </c>
      <c r="H1393" t="s">
        <v>57</v>
      </c>
      <c r="I1393" t="s">
        <v>1349</v>
      </c>
      <c r="J1393" t="s">
        <v>5235</v>
      </c>
      <c r="K1393" t="s">
        <v>2790</v>
      </c>
      <c r="L1393" t="s">
        <v>52</v>
      </c>
      <c r="M1393">
        <v>1504.8</v>
      </c>
      <c r="N1393">
        <v>0</v>
      </c>
      <c r="O1393" t="s">
        <v>61</v>
      </c>
      <c r="P1393">
        <v>100</v>
      </c>
      <c r="Q1393" t="s">
        <v>52</v>
      </c>
      <c r="R1393" t="s">
        <v>52</v>
      </c>
      <c r="S1393" t="s">
        <v>52</v>
      </c>
      <c r="T1393" t="s">
        <v>52</v>
      </c>
      <c r="U1393" t="s">
        <v>52</v>
      </c>
      <c r="V1393" t="s">
        <v>62</v>
      </c>
      <c r="W1393" t="s">
        <v>63</v>
      </c>
      <c r="Y1393" t="s">
        <v>52</v>
      </c>
      <c r="AB1393" t="s">
        <v>52</v>
      </c>
      <c r="AE1393" t="s">
        <v>52</v>
      </c>
      <c r="AF1393" t="s">
        <v>52</v>
      </c>
      <c r="AH1393">
        <v>0</v>
      </c>
      <c r="AI1393">
        <v>0</v>
      </c>
      <c r="AJ1393" t="s">
        <v>52</v>
      </c>
      <c r="AK1393">
        <v>0</v>
      </c>
      <c r="AL1393" t="s">
        <v>52</v>
      </c>
      <c r="AM1393" t="s">
        <v>52</v>
      </c>
      <c r="AN1393">
        <v>0</v>
      </c>
      <c r="AO1393">
        <v>0</v>
      </c>
      <c r="AP1393" t="s">
        <v>52</v>
      </c>
      <c r="AQ1393" t="s">
        <v>52</v>
      </c>
      <c r="AR1393" t="s">
        <v>62</v>
      </c>
      <c r="AS1393" t="s">
        <v>52</v>
      </c>
      <c r="AT1393" t="s">
        <v>52</v>
      </c>
      <c r="AU1393" t="s">
        <v>64</v>
      </c>
      <c r="AV1393" t="s">
        <v>62</v>
      </c>
      <c r="AW1393" t="s">
        <v>65</v>
      </c>
      <c r="AX1393" t="s">
        <v>66</v>
      </c>
      <c r="AY1393" t="s">
        <v>67</v>
      </c>
    </row>
    <row r="1394" spans="1:51" hidden="1" x14ac:dyDescent="0.25">
      <c r="A1394">
        <v>203423</v>
      </c>
      <c r="B1394" t="s">
        <v>5236</v>
      </c>
      <c r="C1394" t="e">
        <f>VLOOKUP(A1394,[1]Customer_payment_journal_line!$AL:$BO,30,0)</f>
        <v>#N/A</v>
      </c>
      <c r="D1394" t="s">
        <v>53</v>
      </c>
      <c r="E1394" t="s">
        <v>5233</v>
      </c>
      <c r="F1394" t="s">
        <v>5234</v>
      </c>
      <c r="G1394" t="s">
        <v>4689</v>
      </c>
      <c r="H1394" t="s">
        <v>69</v>
      </c>
      <c r="I1394" t="s">
        <v>2793</v>
      </c>
      <c r="J1394" t="s">
        <v>5235</v>
      </c>
      <c r="K1394" t="s">
        <v>2790</v>
      </c>
      <c r="L1394" t="s">
        <v>52</v>
      </c>
      <c r="M1394">
        <v>0</v>
      </c>
      <c r="N1394">
        <v>1504.8</v>
      </c>
      <c r="O1394" t="s">
        <v>61</v>
      </c>
      <c r="P1394">
        <v>100</v>
      </c>
      <c r="Q1394" t="s">
        <v>52</v>
      </c>
      <c r="R1394" t="s">
        <v>52</v>
      </c>
      <c r="S1394" t="s">
        <v>52</v>
      </c>
      <c r="T1394" t="s">
        <v>52</v>
      </c>
      <c r="U1394" t="s">
        <v>52</v>
      </c>
      <c r="V1394" t="s">
        <v>62</v>
      </c>
      <c r="W1394" t="s">
        <v>52</v>
      </c>
      <c r="Y1394" t="s">
        <v>2795</v>
      </c>
      <c r="Z1394" t="s">
        <v>62</v>
      </c>
      <c r="AB1394" t="s">
        <v>5237</v>
      </c>
      <c r="AE1394" t="s">
        <v>5238</v>
      </c>
      <c r="AF1394" t="s">
        <v>52</v>
      </c>
      <c r="AH1394">
        <v>0</v>
      </c>
      <c r="AI1394">
        <v>0</v>
      </c>
      <c r="AJ1394" t="s">
        <v>52</v>
      </c>
      <c r="AK1394">
        <v>0</v>
      </c>
      <c r="AL1394" t="s">
        <v>52</v>
      </c>
      <c r="AM1394" t="s">
        <v>52</v>
      </c>
      <c r="AN1394">
        <v>0</v>
      </c>
      <c r="AO1394">
        <v>0</v>
      </c>
      <c r="AP1394" t="s">
        <v>52</v>
      </c>
      <c r="AQ1394" t="s">
        <v>52</v>
      </c>
      <c r="AR1394" t="s">
        <v>62</v>
      </c>
      <c r="AS1394" t="s">
        <v>52</v>
      </c>
      <c r="AT1394" t="s">
        <v>74</v>
      </c>
      <c r="AU1394" t="s">
        <v>64</v>
      </c>
      <c r="AV1394" t="s">
        <v>62</v>
      </c>
      <c r="AW1394" t="s">
        <v>65</v>
      </c>
      <c r="AX1394" t="s">
        <v>66</v>
      </c>
      <c r="AY1394" t="s">
        <v>67</v>
      </c>
    </row>
    <row r="1395" spans="1:51" hidden="1" x14ac:dyDescent="0.25">
      <c r="A1395">
        <v>203427</v>
      </c>
      <c r="B1395" t="s">
        <v>5239</v>
      </c>
      <c r="C1395" t="e">
        <f>VLOOKUP(A1395,[1]Customer_payment_journal_line!$AL:$BO,30,0)</f>
        <v>#N/A</v>
      </c>
      <c r="D1395" t="s">
        <v>53</v>
      </c>
      <c r="E1395" t="s">
        <v>5240</v>
      </c>
      <c r="F1395" t="s">
        <v>5241</v>
      </c>
      <c r="G1395" t="s">
        <v>4689</v>
      </c>
      <c r="H1395" t="s">
        <v>57</v>
      </c>
      <c r="I1395" t="s">
        <v>5242</v>
      </c>
      <c r="J1395" t="s">
        <v>5243</v>
      </c>
      <c r="K1395" t="s">
        <v>5244</v>
      </c>
      <c r="L1395" t="s">
        <v>52</v>
      </c>
      <c r="M1395">
        <v>1653</v>
      </c>
      <c r="N1395">
        <v>0</v>
      </c>
      <c r="O1395" t="s">
        <v>61</v>
      </c>
      <c r="P1395">
        <v>100</v>
      </c>
      <c r="Q1395" t="s">
        <v>52</v>
      </c>
      <c r="R1395" t="s">
        <v>52</v>
      </c>
      <c r="S1395" t="s">
        <v>52</v>
      </c>
      <c r="T1395" t="s">
        <v>52</v>
      </c>
      <c r="U1395" t="s">
        <v>52</v>
      </c>
      <c r="V1395" t="s">
        <v>62</v>
      </c>
      <c r="W1395" t="s">
        <v>63</v>
      </c>
      <c r="Y1395" t="s">
        <v>52</v>
      </c>
      <c r="AB1395" t="s">
        <v>52</v>
      </c>
      <c r="AE1395" t="s">
        <v>52</v>
      </c>
      <c r="AF1395" t="s">
        <v>52</v>
      </c>
      <c r="AH1395">
        <v>0</v>
      </c>
      <c r="AI1395">
        <v>0</v>
      </c>
      <c r="AJ1395" t="s">
        <v>52</v>
      </c>
      <c r="AK1395">
        <v>0</v>
      </c>
      <c r="AL1395" t="s">
        <v>52</v>
      </c>
      <c r="AM1395" t="s">
        <v>52</v>
      </c>
      <c r="AN1395">
        <v>0</v>
      </c>
      <c r="AO1395">
        <v>0</v>
      </c>
      <c r="AP1395" t="s">
        <v>52</v>
      </c>
      <c r="AQ1395" t="s">
        <v>52</v>
      </c>
      <c r="AR1395" t="s">
        <v>62</v>
      </c>
      <c r="AS1395" t="s">
        <v>52</v>
      </c>
      <c r="AT1395" t="s">
        <v>52</v>
      </c>
      <c r="AU1395" t="s">
        <v>64</v>
      </c>
      <c r="AV1395" t="s">
        <v>62</v>
      </c>
      <c r="AW1395" t="s">
        <v>65</v>
      </c>
      <c r="AX1395" t="s">
        <v>66</v>
      </c>
      <c r="AY1395" t="s">
        <v>67</v>
      </c>
    </row>
    <row r="1396" spans="1:51" hidden="1" x14ac:dyDescent="0.25">
      <c r="A1396">
        <v>203427</v>
      </c>
      <c r="B1396" t="s">
        <v>5245</v>
      </c>
      <c r="C1396" t="e">
        <f>VLOOKUP(A1396,[1]Customer_payment_journal_line!$AL:$BO,30,0)</f>
        <v>#N/A</v>
      </c>
      <c r="D1396" t="s">
        <v>53</v>
      </c>
      <c r="E1396" t="s">
        <v>5240</v>
      </c>
      <c r="F1396" t="s">
        <v>5241</v>
      </c>
      <c r="G1396" t="s">
        <v>4689</v>
      </c>
      <c r="H1396" t="s">
        <v>69</v>
      </c>
      <c r="I1396" t="s">
        <v>5246</v>
      </c>
      <c r="J1396" t="s">
        <v>5243</v>
      </c>
      <c r="K1396" t="s">
        <v>5244</v>
      </c>
      <c r="L1396" t="s">
        <v>52</v>
      </c>
      <c r="M1396">
        <v>0</v>
      </c>
      <c r="N1396">
        <v>1653</v>
      </c>
      <c r="O1396" t="s">
        <v>61</v>
      </c>
      <c r="P1396">
        <v>100</v>
      </c>
      <c r="Q1396" t="s">
        <v>52</v>
      </c>
      <c r="R1396" t="s">
        <v>52</v>
      </c>
      <c r="S1396" t="s">
        <v>52</v>
      </c>
      <c r="T1396" t="s">
        <v>52</v>
      </c>
      <c r="U1396" t="s">
        <v>52</v>
      </c>
      <c r="V1396" t="s">
        <v>62</v>
      </c>
      <c r="W1396" t="s">
        <v>52</v>
      </c>
      <c r="Y1396" t="s">
        <v>5247</v>
      </c>
      <c r="Z1396" t="s">
        <v>62</v>
      </c>
      <c r="AB1396" t="s">
        <v>5248</v>
      </c>
      <c r="AE1396" t="s">
        <v>5249</v>
      </c>
      <c r="AF1396" t="s">
        <v>52</v>
      </c>
      <c r="AH1396">
        <v>0</v>
      </c>
      <c r="AI1396">
        <v>0</v>
      </c>
      <c r="AJ1396" t="s">
        <v>52</v>
      </c>
      <c r="AK1396">
        <v>0</v>
      </c>
      <c r="AL1396" t="s">
        <v>52</v>
      </c>
      <c r="AM1396" t="s">
        <v>52</v>
      </c>
      <c r="AN1396">
        <v>0</v>
      </c>
      <c r="AO1396">
        <v>0</v>
      </c>
      <c r="AP1396" t="s">
        <v>52</v>
      </c>
      <c r="AQ1396" t="s">
        <v>52</v>
      </c>
      <c r="AR1396" t="s">
        <v>62</v>
      </c>
      <c r="AS1396" t="s">
        <v>52</v>
      </c>
      <c r="AT1396" t="s">
        <v>74</v>
      </c>
      <c r="AU1396" t="s">
        <v>64</v>
      </c>
      <c r="AV1396" t="s">
        <v>62</v>
      </c>
      <c r="AW1396" t="s">
        <v>65</v>
      </c>
      <c r="AX1396" t="s">
        <v>66</v>
      </c>
      <c r="AY1396" t="s">
        <v>67</v>
      </c>
    </row>
    <row r="1397" spans="1:51" hidden="1" x14ac:dyDescent="0.25">
      <c r="A1397">
        <v>203428</v>
      </c>
      <c r="B1397" t="s">
        <v>5250</v>
      </c>
      <c r="C1397" t="e">
        <f>VLOOKUP(A1397,[1]Customer_payment_journal_line!$AL:$BO,30,0)</f>
        <v>#N/A</v>
      </c>
      <c r="D1397" t="s">
        <v>53</v>
      </c>
      <c r="E1397" t="s">
        <v>5251</v>
      </c>
      <c r="F1397" t="s">
        <v>5252</v>
      </c>
      <c r="G1397" t="s">
        <v>4689</v>
      </c>
      <c r="H1397" t="s">
        <v>57</v>
      </c>
      <c r="I1397" t="s">
        <v>5242</v>
      </c>
      <c r="J1397" t="s">
        <v>5243</v>
      </c>
      <c r="K1397" t="s">
        <v>5244</v>
      </c>
      <c r="L1397" t="s">
        <v>52</v>
      </c>
      <c r="M1397">
        <v>1522.81</v>
      </c>
      <c r="N1397">
        <v>0</v>
      </c>
      <c r="O1397" t="s">
        <v>61</v>
      </c>
      <c r="P1397">
        <v>100</v>
      </c>
      <c r="Q1397" t="s">
        <v>52</v>
      </c>
      <c r="R1397" t="s">
        <v>52</v>
      </c>
      <c r="S1397" t="s">
        <v>52</v>
      </c>
      <c r="T1397" t="s">
        <v>52</v>
      </c>
      <c r="U1397" t="s">
        <v>52</v>
      </c>
      <c r="V1397" t="s">
        <v>62</v>
      </c>
      <c r="W1397" t="s">
        <v>63</v>
      </c>
      <c r="Y1397" t="s">
        <v>52</v>
      </c>
      <c r="AB1397" t="s">
        <v>52</v>
      </c>
      <c r="AE1397" t="s">
        <v>52</v>
      </c>
      <c r="AF1397" t="s">
        <v>52</v>
      </c>
      <c r="AH1397">
        <v>0</v>
      </c>
      <c r="AI1397">
        <v>0</v>
      </c>
      <c r="AJ1397" t="s">
        <v>52</v>
      </c>
      <c r="AK1397">
        <v>0</v>
      </c>
      <c r="AL1397" t="s">
        <v>52</v>
      </c>
      <c r="AM1397" t="s">
        <v>52</v>
      </c>
      <c r="AN1397">
        <v>0</v>
      </c>
      <c r="AO1397">
        <v>0</v>
      </c>
      <c r="AP1397" t="s">
        <v>52</v>
      </c>
      <c r="AQ1397" t="s">
        <v>52</v>
      </c>
      <c r="AR1397" t="s">
        <v>62</v>
      </c>
      <c r="AS1397" t="s">
        <v>52</v>
      </c>
      <c r="AT1397" t="s">
        <v>52</v>
      </c>
      <c r="AU1397" t="s">
        <v>64</v>
      </c>
      <c r="AV1397" t="s">
        <v>62</v>
      </c>
      <c r="AW1397" t="s">
        <v>65</v>
      </c>
      <c r="AX1397" t="s">
        <v>66</v>
      </c>
      <c r="AY1397" t="s">
        <v>67</v>
      </c>
    </row>
    <row r="1398" spans="1:51" hidden="1" x14ac:dyDescent="0.25">
      <c r="A1398">
        <v>203428</v>
      </c>
      <c r="B1398" t="s">
        <v>5253</v>
      </c>
      <c r="C1398" t="e">
        <f>VLOOKUP(A1398,[1]Customer_payment_journal_line!$AL:$BO,30,0)</f>
        <v>#N/A</v>
      </c>
      <c r="D1398" t="s">
        <v>53</v>
      </c>
      <c r="E1398" t="s">
        <v>5251</v>
      </c>
      <c r="F1398" t="s">
        <v>5252</v>
      </c>
      <c r="G1398" t="s">
        <v>4689</v>
      </c>
      <c r="H1398" t="s">
        <v>69</v>
      </c>
      <c r="I1398" t="s">
        <v>5246</v>
      </c>
      <c r="J1398" t="s">
        <v>5243</v>
      </c>
      <c r="K1398" t="s">
        <v>5244</v>
      </c>
      <c r="L1398" t="s">
        <v>52</v>
      </c>
      <c r="M1398">
        <v>0</v>
      </c>
      <c r="N1398">
        <v>1522.81</v>
      </c>
      <c r="O1398" t="s">
        <v>61</v>
      </c>
      <c r="P1398">
        <v>100</v>
      </c>
      <c r="Q1398" t="s">
        <v>52</v>
      </c>
      <c r="R1398" t="s">
        <v>52</v>
      </c>
      <c r="S1398" t="s">
        <v>52</v>
      </c>
      <c r="T1398" t="s">
        <v>52</v>
      </c>
      <c r="U1398" t="s">
        <v>52</v>
      </c>
      <c r="V1398" t="s">
        <v>62</v>
      </c>
      <c r="W1398" t="s">
        <v>52</v>
      </c>
      <c r="Y1398" t="s">
        <v>5247</v>
      </c>
      <c r="Z1398" t="s">
        <v>62</v>
      </c>
      <c r="AB1398" t="s">
        <v>5254</v>
      </c>
      <c r="AE1398" t="s">
        <v>5255</v>
      </c>
      <c r="AF1398" t="s">
        <v>52</v>
      </c>
      <c r="AH1398">
        <v>0</v>
      </c>
      <c r="AI1398">
        <v>0</v>
      </c>
      <c r="AJ1398" t="s">
        <v>52</v>
      </c>
      <c r="AK1398">
        <v>0</v>
      </c>
      <c r="AL1398" t="s">
        <v>52</v>
      </c>
      <c r="AM1398" t="s">
        <v>52</v>
      </c>
      <c r="AN1398">
        <v>0</v>
      </c>
      <c r="AO1398">
        <v>0</v>
      </c>
      <c r="AP1398" t="s">
        <v>52</v>
      </c>
      <c r="AQ1398" t="s">
        <v>52</v>
      </c>
      <c r="AR1398" t="s">
        <v>62</v>
      </c>
      <c r="AS1398" t="s">
        <v>52</v>
      </c>
      <c r="AT1398" t="s">
        <v>74</v>
      </c>
      <c r="AU1398" t="s">
        <v>64</v>
      </c>
      <c r="AV1398" t="s">
        <v>62</v>
      </c>
      <c r="AW1398" t="s">
        <v>65</v>
      </c>
      <c r="AX1398" t="s">
        <v>66</v>
      </c>
      <c r="AY1398" t="s">
        <v>67</v>
      </c>
    </row>
    <row r="1399" spans="1:51" hidden="1" x14ac:dyDescent="0.25">
      <c r="A1399">
        <v>203429</v>
      </c>
      <c r="B1399" t="s">
        <v>5256</v>
      </c>
      <c r="C1399" t="e">
        <f>VLOOKUP(A1399,[1]Customer_payment_journal_line!$AL:$BO,30,0)</f>
        <v>#N/A</v>
      </c>
      <c r="D1399" t="s">
        <v>53</v>
      </c>
      <c r="E1399" t="s">
        <v>5257</v>
      </c>
      <c r="F1399" t="s">
        <v>5258</v>
      </c>
      <c r="G1399" t="s">
        <v>4689</v>
      </c>
      <c r="H1399" t="s">
        <v>57</v>
      </c>
      <c r="I1399" t="s">
        <v>905</v>
      </c>
      <c r="J1399" t="s">
        <v>5243</v>
      </c>
      <c r="K1399" t="s">
        <v>5244</v>
      </c>
      <c r="L1399" t="s">
        <v>52</v>
      </c>
      <c r="M1399">
        <v>2940</v>
      </c>
      <c r="N1399">
        <v>0</v>
      </c>
      <c r="O1399" t="s">
        <v>178</v>
      </c>
      <c r="P1399">
        <v>5085</v>
      </c>
      <c r="Q1399" t="s">
        <v>52</v>
      </c>
      <c r="R1399" t="s">
        <v>52</v>
      </c>
      <c r="S1399" t="s">
        <v>52</v>
      </c>
      <c r="T1399" t="s">
        <v>52</v>
      </c>
      <c r="U1399" t="s">
        <v>52</v>
      </c>
      <c r="V1399" t="s">
        <v>62</v>
      </c>
      <c r="W1399" t="s">
        <v>63</v>
      </c>
      <c r="Y1399" t="s">
        <v>52</v>
      </c>
      <c r="AB1399" t="s">
        <v>52</v>
      </c>
      <c r="AE1399" t="s">
        <v>52</v>
      </c>
      <c r="AF1399" t="s">
        <v>52</v>
      </c>
      <c r="AH1399">
        <v>0</v>
      </c>
      <c r="AI1399">
        <v>0</v>
      </c>
      <c r="AJ1399" t="s">
        <v>52</v>
      </c>
      <c r="AK1399">
        <v>0</v>
      </c>
      <c r="AL1399" t="s">
        <v>52</v>
      </c>
      <c r="AM1399" t="s">
        <v>52</v>
      </c>
      <c r="AN1399">
        <v>0</v>
      </c>
      <c r="AO1399">
        <v>0</v>
      </c>
      <c r="AP1399" t="s">
        <v>52</v>
      </c>
      <c r="AQ1399" t="s">
        <v>52</v>
      </c>
      <c r="AR1399" t="s">
        <v>62</v>
      </c>
      <c r="AS1399" t="s">
        <v>52</v>
      </c>
      <c r="AT1399" t="s">
        <v>52</v>
      </c>
      <c r="AU1399" t="s">
        <v>64</v>
      </c>
      <c r="AV1399" t="s">
        <v>62</v>
      </c>
      <c r="AW1399" t="s">
        <v>65</v>
      </c>
      <c r="AX1399" t="s">
        <v>66</v>
      </c>
      <c r="AY1399" t="s">
        <v>67</v>
      </c>
    </row>
    <row r="1400" spans="1:51" hidden="1" x14ac:dyDescent="0.25">
      <c r="A1400">
        <v>203429</v>
      </c>
      <c r="B1400" t="s">
        <v>5259</v>
      </c>
      <c r="C1400" t="e">
        <f>VLOOKUP(A1400,[1]Customer_payment_journal_line!$AL:$BO,30,0)</f>
        <v>#N/A</v>
      </c>
      <c r="D1400" t="s">
        <v>53</v>
      </c>
      <c r="E1400" t="s">
        <v>5257</v>
      </c>
      <c r="F1400" t="s">
        <v>5258</v>
      </c>
      <c r="G1400" t="s">
        <v>4689</v>
      </c>
      <c r="H1400" t="s">
        <v>69</v>
      </c>
      <c r="I1400" t="s">
        <v>5246</v>
      </c>
      <c r="J1400" t="s">
        <v>5243</v>
      </c>
      <c r="K1400" t="s">
        <v>5244</v>
      </c>
      <c r="L1400" t="s">
        <v>52</v>
      </c>
      <c r="M1400">
        <v>0</v>
      </c>
      <c r="N1400">
        <v>2940</v>
      </c>
      <c r="O1400" t="s">
        <v>178</v>
      </c>
      <c r="P1400">
        <v>5085</v>
      </c>
      <c r="Q1400" t="s">
        <v>52</v>
      </c>
      <c r="R1400" t="s">
        <v>52</v>
      </c>
      <c r="S1400" t="s">
        <v>52</v>
      </c>
      <c r="T1400" t="s">
        <v>52</v>
      </c>
      <c r="U1400" t="s">
        <v>52</v>
      </c>
      <c r="V1400" t="s">
        <v>62</v>
      </c>
      <c r="W1400" t="s">
        <v>52</v>
      </c>
      <c r="Y1400" t="s">
        <v>5247</v>
      </c>
      <c r="Z1400" t="s">
        <v>62</v>
      </c>
      <c r="AB1400" t="s">
        <v>5260</v>
      </c>
      <c r="AE1400" t="s">
        <v>5261</v>
      </c>
      <c r="AF1400" t="s">
        <v>52</v>
      </c>
      <c r="AH1400">
        <v>0</v>
      </c>
      <c r="AI1400">
        <v>0</v>
      </c>
      <c r="AJ1400" t="s">
        <v>52</v>
      </c>
      <c r="AK1400">
        <v>0</v>
      </c>
      <c r="AL1400" t="s">
        <v>52</v>
      </c>
      <c r="AM1400" t="s">
        <v>52</v>
      </c>
      <c r="AN1400">
        <v>0</v>
      </c>
      <c r="AO1400">
        <v>0</v>
      </c>
      <c r="AP1400" t="s">
        <v>52</v>
      </c>
      <c r="AQ1400" t="s">
        <v>52</v>
      </c>
      <c r="AR1400" t="s">
        <v>62</v>
      </c>
      <c r="AS1400" t="s">
        <v>52</v>
      </c>
      <c r="AT1400" t="s">
        <v>74</v>
      </c>
      <c r="AU1400" t="s">
        <v>64</v>
      </c>
      <c r="AV1400" t="s">
        <v>62</v>
      </c>
      <c r="AW1400" t="s">
        <v>65</v>
      </c>
      <c r="AX1400" t="s">
        <v>66</v>
      </c>
      <c r="AY1400" t="s">
        <v>67</v>
      </c>
    </row>
    <row r="1401" spans="1:51" hidden="1" x14ac:dyDescent="0.25">
      <c r="A1401">
        <v>203439</v>
      </c>
      <c r="B1401" t="s">
        <v>5262</v>
      </c>
      <c r="C1401" t="e">
        <f>VLOOKUP(A1401,[1]Customer_payment_journal_line!$AL:$BO,30,0)</f>
        <v>#N/A</v>
      </c>
      <c r="D1401" t="s">
        <v>159</v>
      </c>
      <c r="E1401" t="s">
        <v>5263</v>
      </c>
      <c r="F1401" t="s">
        <v>5264</v>
      </c>
      <c r="G1401" t="s">
        <v>5265</v>
      </c>
      <c r="H1401" t="s">
        <v>80</v>
      </c>
      <c r="I1401" t="s">
        <v>632</v>
      </c>
      <c r="J1401" t="s">
        <v>5266</v>
      </c>
      <c r="K1401" t="s">
        <v>5267</v>
      </c>
      <c r="L1401" t="s">
        <v>52</v>
      </c>
      <c r="M1401">
        <v>2850</v>
      </c>
      <c r="N1401">
        <v>0</v>
      </c>
      <c r="O1401" t="s">
        <v>61</v>
      </c>
      <c r="P1401">
        <v>100</v>
      </c>
      <c r="Q1401" t="s">
        <v>52</v>
      </c>
      <c r="R1401" t="s">
        <v>52</v>
      </c>
      <c r="S1401" t="s">
        <v>52</v>
      </c>
      <c r="T1401" t="s">
        <v>52</v>
      </c>
      <c r="U1401" t="s">
        <v>52</v>
      </c>
      <c r="V1401" t="s">
        <v>62</v>
      </c>
      <c r="W1401" t="s">
        <v>52</v>
      </c>
      <c r="Y1401" t="s">
        <v>52</v>
      </c>
      <c r="AB1401" t="s">
        <v>52</v>
      </c>
      <c r="AE1401" t="s">
        <v>52</v>
      </c>
      <c r="AF1401" t="s">
        <v>52</v>
      </c>
      <c r="AH1401">
        <v>0</v>
      </c>
      <c r="AI1401">
        <v>0</v>
      </c>
      <c r="AJ1401" t="s">
        <v>52</v>
      </c>
      <c r="AK1401">
        <v>0</v>
      </c>
      <c r="AL1401" t="s">
        <v>52</v>
      </c>
      <c r="AM1401" t="s">
        <v>52</v>
      </c>
      <c r="AN1401">
        <v>0</v>
      </c>
      <c r="AO1401">
        <v>0</v>
      </c>
      <c r="AP1401" t="s">
        <v>52</v>
      </c>
      <c r="AQ1401" t="s">
        <v>52</v>
      </c>
      <c r="AR1401" t="s">
        <v>62</v>
      </c>
      <c r="AS1401" t="s">
        <v>52</v>
      </c>
      <c r="AT1401" t="s">
        <v>52</v>
      </c>
      <c r="AU1401" t="s">
        <v>64</v>
      </c>
      <c r="AV1401" t="s">
        <v>62</v>
      </c>
      <c r="AW1401" t="s">
        <v>65</v>
      </c>
      <c r="AX1401" t="s">
        <v>66</v>
      </c>
      <c r="AY1401" t="s">
        <v>165</v>
      </c>
    </row>
    <row r="1402" spans="1:51" hidden="1" x14ac:dyDescent="0.25">
      <c r="A1402">
        <v>203439</v>
      </c>
      <c r="B1402" t="s">
        <v>5268</v>
      </c>
      <c r="C1402" t="e">
        <f>VLOOKUP(A1402,[1]Customer_payment_journal_line!$AL:$BO,30,0)</f>
        <v>#N/A</v>
      </c>
      <c r="D1402" t="s">
        <v>159</v>
      </c>
      <c r="E1402" t="s">
        <v>5263</v>
      </c>
      <c r="F1402" t="s">
        <v>5264</v>
      </c>
      <c r="G1402" t="s">
        <v>5265</v>
      </c>
      <c r="H1402" t="s">
        <v>69</v>
      </c>
      <c r="I1402" t="s">
        <v>2023</v>
      </c>
      <c r="J1402" t="s">
        <v>5266</v>
      </c>
      <c r="K1402" t="s">
        <v>5267</v>
      </c>
      <c r="L1402" t="s">
        <v>52</v>
      </c>
      <c r="M1402">
        <v>0</v>
      </c>
      <c r="N1402">
        <v>2850</v>
      </c>
      <c r="O1402" t="s">
        <v>61</v>
      </c>
      <c r="P1402">
        <v>100</v>
      </c>
      <c r="Q1402" t="s">
        <v>52</v>
      </c>
      <c r="R1402" t="s">
        <v>52</v>
      </c>
      <c r="S1402" t="s">
        <v>52</v>
      </c>
      <c r="T1402" t="s">
        <v>52</v>
      </c>
      <c r="U1402" t="s">
        <v>52</v>
      </c>
      <c r="V1402" t="s">
        <v>62</v>
      </c>
      <c r="W1402" t="s">
        <v>52</v>
      </c>
      <c r="Y1402" t="s">
        <v>2025</v>
      </c>
      <c r="Z1402" t="s">
        <v>62</v>
      </c>
      <c r="AB1402" t="s">
        <v>5269</v>
      </c>
      <c r="AE1402" t="s">
        <v>5270</v>
      </c>
      <c r="AF1402" t="s">
        <v>52</v>
      </c>
      <c r="AH1402">
        <v>0</v>
      </c>
      <c r="AI1402">
        <v>0</v>
      </c>
      <c r="AJ1402" t="s">
        <v>52</v>
      </c>
      <c r="AK1402">
        <v>0</v>
      </c>
      <c r="AL1402" t="s">
        <v>52</v>
      </c>
      <c r="AM1402" t="s">
        <v>52</v>
      </c>
      <c r="AN1402">
        <v>0</v>
      </c>
      <c r="AO1402">
        <v>0</v>
      </c>
      <c r="AP1402" t="s">
        <v>52</v>
      </c>
      <c r="AQ1402" t="s">
        <v>52</v>
      </c>
      <c r="AR1402" t="s">
        <v>62</v>
      </c>
      <c r="AS1402" t="s">
        <v>52</v>
      </c>
      <c r="AT1402" t="s">
        <v>74</v>
      </c>
      <c r="AU1402" t="s">
        <v>64</v>
      </c>
      <c r="AV1402" t="s">
        <v>62</v>
      </c>
      <c r="AW1402" t="s">
        <v>65</v>
      </c>
      <c r="AX1402" t="s">
        <v>66</v>
      </c>
      <c r="AY1402" t="s">
        <v>165</v>
      </c>
    </row>
    <row r="1403" spans="1:51" hidden="1" x14ac:dyDescent="0.25">
      <c r="A1403">
        <v>203440</v>
      </c>
      <c r="B1403" t="s">
        <v>5271</v>
      </c>
      <c r="C1403" t="e">
        <f>VLOOKUP(A1403,[1]Customer_payment_journal_line!$AL:$BO,30,0)</f>
        <v>#N/A</v>
      </c>
      <c r="D1403" t="s">
        <v>159</v>
      </c>
      <c r="E1403" t="s">
        <v>5272</v>
      </c>
      <c r="F1403" t="s">
        <v>5273</v>
      </c>
      <c r="G1403" t="s">
        <v>5265</v>
      </c>
      <c r="H1403" t="s">
        <v>80</v>
      </c>
      <c r="I1403" t="s">
        <v>269</v>
      </c>
      <c r="J1403" t="s">
        <v>5266</v>
      </c>
      <c r="K1403" t="s">
        <v>5267</v>
      </c>
      <c r="L1403" t="s">
        <v>52</v>
      </c>
      <c r="M1403">
        <v>4080</v>
      </c>
      <c r="N1403">
        <v>0</v>
      </c>
      <c r="O1403" t="s">
        <v>178</v>
      </c>
      <c r="P1403">
        <v>5085</v>
      </c>
      <c r="Q1403" t="s">
        <v>52</v>
      </c>
      <c r="R1403" t="s">
        <v>52</v>
      </c>
      <c r="S1403" t="s">
        <v>52</v>
      </c>
      <c r="T1403" t="s">
        <v>52</v>
      </c>
      <c r="U1403" t="s">
        <v>52</v>
      </c>
      <c r="V1403" t="s">
        <v>62</v>
      </c>
      <c r="W1403" t="s">
        <v>52</v>
      </c>
      <c r="Y1403" t="s">
        <v>52</v>
      </c>
      <c r="AB1403" t="s">
        <v>52</v>
      </c>
      <c r="AE1403" t="s">
        <v>52</v>
      </c>
      <c r="AF1403" t="s">
        <v>52</v>
      </c>
      <c r="AH1403">
        <v>0</v>
      </c>
      <c r="AI1403">
        <v>0</v>
      </c>
      <c r="AJ1403" t="s">
        <v>52</v>
      </c>
      <c r="AK1403">
        <v>0</v>
      </c>
      <c r="AL1403" t="s">
        <v>52</v>
      </c>
      <c r="AM1403" t="s">
        <v>52</v>
      </c>
      <c r="AN1403">
        <v>0</v>
      </c>
      <c r="AO1403">
        <v>0</v>
      </c>
      <c r="AP1403" t="s">
        <v>52</v>
      </c>
      <c r="AQ1403" t="s">
        <v>52</v>
      </c>
      <c r="AR1403" t="s">
        <v>62</v>
      </c>
      <c r="AS1403" t="s">
        <v>52</v>
      </c>
      <c r="AT1403" t="s">
        <v>52</v>
      </c>
      <c r="AU1403" t="s">
        <v>64</v>
      </c>
      <c r="AV1403" t="s">
        <v>62</v>
      </c>
      <c r="AW1403" t="s">
        <v>65</v>
      </c>
      <c r="AX1403" t="s">
        <v>66</v>
      </c>
      <c r="AY1403" t="s">
        <v>165</v>
      </c>
    </row>
    <row r="1404" spans="1:51" hidden="1" x14ac:dyDescent="0.25">
      <c r="A1404">
        <v>203440</v>
      </c>
      <c r="B1404" t="s">
        <v>5274</v>
      </c>
      <c r="C1404" t="e">
        <f>VLOOKUP(A1404,[1]Customer_payment_journal_line!$AL:$BO,30,0)</f>
        <v>#N/A</v>
      </c>
      <c r="D1404" t="s">
        <v>159</v>
      </c>
      <c r="E1404" t="s">
        <v>5272</v>
      </c>
      <c r="F1404" t="s">
        <v>5273</v>
      </c>
      <c r="G1404" t="s">
        <v>5265</v>
      </c>
      <c r="H1404" t="s">
        <v>69</v>
      </c>
      <c r="I1404" t="s">
        <v>2023</v>
      </c>
      <c r="J1404" t="s">
        <v>5266</v>
      </c>
      <c r="K1404" t="s">
        <v>5267</v>
      </c>
      <c r="L1404" t="s">
        <v>52</v>
      </c>
      <c r="M1404">
        <v>0</v>
      </c>
      <c r="N1404">
        <v>4080</v>
      </c>
      <c r="O1404" t="s">
        <v>178</v>
      </c>
      <c r="P1404">
        <v>5085</v>
      </c>
      <c r="Q1404" t="s">
        <v>52</v>
      </c>
      <c r="R1404" t="s">
        <v>52</v>
      </c>
      <c r="S1404" t="s">
        <v>52</v>
      </c>
      <c r="T1404" t="s">
        <v>52</v>
      </c>
      <c r="U1404" t="s">
        <v>52</v>
      </c>
      <c r="V1404" t="s">
        <v>62</v>
      </c>
      <c r="W1404" t="s">
        <v>52</v>
      </c>
      <c r="Y1404" t="s">
        <v>2025</v>
      </c>
      <c r="Z1404" t="s">
        <v>62</v>
      </c>
      <c r="AB1404" t="s">
        <v>5275</v>
      </c>
      <c r="AE1404" t="s">
        <v>5276</v>
      </c>
      <c r="AF1404" t="s">
        <v>52</v>
      </c>
      <c r="AH1404">
        <v>0</v>
      </c>
      <c r="AI1404">
        <v>0</v>
      </c>
      <c r="AJ1404" t="s">
        <v>52</v>
      </c>
      <c r="AK1404">
        <v>0</v>
      </c>
      <c r="AL1404" t="s">
        <v>52</v>
      </c>
      <c r="AM1404" t="s">
        <v>52</v>
      </c>
      <c r="AN1404">
        <v>0</v>
      </c>
      <c r="AO1404">
        <v>0</v>
      </c>
      <c r="AP1404" t="s">
        <v>52</v>
      </c>
      <c r="AQ1404" t="s">
        <v>52</v>
      </c>
      <c r="AR1404" t="s">
        <v>62</v>
      </c>
      <c r="AS1404" t="s">
        <v>52</v>
      </c>
      <c r="AT1404" t="s">
        <v>74</v>
      </c>
      <c r="AU1404" t="s">
        <v>64</v>
      </c>
      <c r="AV1404" t="s">
        <v>62</v>
      </c>
      <c r="AW1404" t="s">
        <v>65</v>
      </c>
      <c r="AX1404" t="s">
        <v>66</v>
      </c>
      <c r="AY1404" t="s">
        <v>165</v>
      </c>
    </row>
    <row r="1405" spans="1:51" hidden="1" x14ac:dyDescent="0.25">
      <c r="A1405">
        <v>203459</v>
      </c>
      <c r="B1405" t="s">
        <v>5277</v>
      </c>
      <c r="C1405" t="e">
        <f>VLOOKUP(A1405,[1]Customer_payment_journal_line!$AL:$BO,30,0)</f>
        <v>#N/A</v>
      </c>
      <c r="D1405" t="s">
        <v>76</v>
      </c>
      <c r="E1405" t="s">
        <v>5278</v>
      </c>
      <c r="F1405" t="s">
        <v>5279</v>
      </c>
      <c r="G1405" t="s">
        <v>5265</v>
      </c>
      <c r="H1405" t="s">
        <v>80</v>
      </c>
      <c r="I1405" t="s">
        <v>81</v>
      </c>
      <c r="J1405" t="s">
        <v>5280</v>
      </c>
      <c r="K1405" t="s">
        <v>5281</v>
      </c>
      <c r="L1405" t="s">
        <v>52</v>
      </c>
      <c r="M1405">
        <v>8379</v>
      </c>
      <c r="N1405">
        <v>0</v>
      </c>
      <c r="O1405" t="s">
        <v>61</v>
      </c>
      <c r="P1405">
        <v>100</v>
      </c>
      <c r="Q1405" t="s">
        <v>52</v>
      </c>
      <c r="R1405" t="s">
        <v>52</v>
      </c>
      <c r="S1405" t="s">
        <v>52</v>
      </c>
      <c r="T1405" t="s">
        <v>52</v>
      </c>
      <c r="U1405" t="s">
        <v>52</v>
      </c>
      <c r="V1405" t="s">
        <v>62</v>
      </c>
      <c r="W1405" t="s">
        <v>52</v>
      </c>
      <c r="Y1405" t="s">
        <v>52</v>
      </c>
      <c r="AB1405" t="s">
        <v>52</v>
      </c>
      <c r="AE1405" t="s">
        <v>52</v>
      </c>
      <c r="AF1405" t="s">
        <v>52</v>
      </c>
      <c r="AH1405">
        <v>0</v>
      </c>
      <c r="AI1405">
        <v>0</v>
      </c>
      <c r="AJ1405" t="s">
        <v>52</v>
      </c>
      <c r="AK1405">
        <v>0</v>
      </c>
      <c r="AL1405" t="s">
        <v>52</v>
      </c>
      <c r="AM1405" t="s">
        <v>52</v>
      </c>
      <c r="AN1405">
        <v>0</v>
      </c>
      <c r="AO1405">
        <v>0</v>
      </c>
      <c r="AP1405" t="s">
        <v>52</v>
      </c>
      <c r="AQ1405" t="s">
        <v>52</v>
      </c>
      <c r="AR1405" t="s">
        <v>62</v>
      </c>
      <c r="AS1405" t="s">
        <v>52</v>
      </c>
      <c r="AT1405" t="s">
        <v>52</v>
      </c>
      <c r="AU1405" t="s">
        <v>64</v>
      </c>
      <c r="AV1405" t="s">
        <v>62</v>
      </c>
      <c r="AW1405" t="s">
        <v>65</v>
      </c>
      <c r="AX1405" t="s">
        <v>66</v>
      </c>
      <c r="AY1405" t="s">
        <v>76</v>
      </c>
    </row>
    <row r="1406" spans="1:51" hidden="1" x14ac:dyDescent="0.25">
      <c r="A1406">
        <v>203459</v>
      </c>
      <c r="B1406" t="s">
        <v>5282</v>
      </c>
      <c r="C1406" t="e">
        <f>VLOOKUP(A1406,[1]Customer_payment_journal_line!$AL:$BO,30,0)</f>
        <v>#N/A</v>
      </c>
      <c r="D1406" t="s">
        <v>76</v>
      </c>
      <c r="E1406" t="s">
        <v>5278</v>
      </c>
      <c r="F1406" t="s">
        <v>5279</v>
      </c>
      <c r="G1406" t="s">
        <v>5265</v>
      </c>
      <c r="H1406" t="s">
        <v>69</v>
      </c>
      <c r="I1406" t="s">
        <v>5283</v>
      </c>
      <c r="J1406" t="s">
        <v>5280</v>
      </c>
      <c r="K1406" t="s">
        <v>5281</v>
      </c>
      <c r="L1406" t="s">
        <v>52</v>
      </c>
      <c r="M1406">
        <v>0</v>
      </c>
      <c r="N1406">
        <v>855</v>
      </c>
      <c r="O1406" t="s">
        <v>61</v>
      </c>
      <c r="P1406">
        <v>100</v>
      </c>
      <c r="Q1406" t="s">
        <v>52</v>
      </c>
      <c r="R1406" t="s">
        <v>52</v>
      </c>
      <c r="S1406" t="s">
        <v>52</v>
      </c>
      <c r="T1406" t="s">
        <v>52</v>
      </c>
      <c r="U1406" t="s">
        <v>52</v>
      </c>
      <c r="V1406" t="s">
        <v>62</v>
      </c>
      <c r="W1406" t="s">
        <v>52</v>
      </c>
      <c r="Y1406" t="s">
        <v>5284</v>
      </c>
      <c r="Z1406" t="s">
        <v>62</v>
      </c>
      <c r="AB1406" t="s">
        <v>5285</v>
      </c>
      <c r="AE1406" t="s">
        <v>5286</v>
      </c>
      <c r="AF1406" t="s">
        <v>52</v>
      </c>
      <c r="AH1406">
        <v>0</v>
      </c>
      <c r="AI1406">
        <v>0</v>
      </c>
      <c r="AJ1406" t="s">
        <v>52</v>
      </c>
      <c r="AK1406">
        <v>0</v>
      </c>
      <c r="AL1406" t="s">
        <v>52</v>
      </c>
      <c r="AM1406" t="s">
        <v>52</v>
      </c>
      <c r="AN1406">
        <v>0</v>
      </c>
      <c r="AO1406">
        <v>0</v>
      </c>
      <c r="AP1406" t="s">
        <v>52</v>
      </c>
      <c r="AQ1406" t="s">
        <v>52</v>
      </c>
      <c r="AR1406" t="s">
        <v>62</v>
      </c>
      <c r="AS1406" t="s">
        <v>52</v>
      </c>
      <c r="AT1406" t="s">
        <v>74</v>
      </c>
      <c r="AU1406" t="s">
        <v>64</v>
      </c>
      <c r="AV1406" t="s">
        <v>62</v>
      </c>
      <c r="AW1406" t="s">
        <v>65</v>
      </c>
      <c r="AX1406" t="s">
        <v>66</v>
      </c>
      <c r="AY1406" t="s">
        <v>76</v>
      </c>
    </row>
    <row r="1407" spans="1:51" hidden="1" x14ac:dyDescent="0.25">
      <c r="A1407">
        <v>203459</v>
      </c>
      <c r="B1407" t="s">
        <v>5287</v>
      </c>
      <c r="C1407" t="e">
        <f>VLOOKUP(A1407,[1]Customer_payment_journal_line!$AL:$BO,30,0)</f>
        <v>#N/A</v>
      </c>
      <c r="D1407" t="s">
        <v>76</v>
      </c>
      <c r="E1407" t="s">
        <v>5278</v>
      </c>
      <c r="F1407" t="s">
        <v>5279</v>
      </c>
      <c r="G1407" t="s">
        <v>5265</v>
      </c>
      <c r="H1407" t="s">
        <v>69</v>
      </c>
      <c r="I1407" t="s">
        <v>5283</v>
      </c>
      <c r="J1407" t="s">
        <v>5280</v>
      </c>
      <c r="K1407" t="s">
        <v>5281</v>
      </c>
      <c r="L1407" t="s">
        <v>52</v>
      </c>
      <c r="M1407">
        <v>0</v>
      </c>
      <c r="N1407">
        <v>7524</v>
      </c>
      <c r="O1407" t="s">
        <v>61</v>
      </c>
      <c r="P1407">
        <v>100</v>
      </c>
      <c r="Q1407" t="s">
        <v>52</v>
      </c>
      <c r="R1407" t="s">
        <v>52</v>
      </c>
      <c r="S1407" t="s">
        <v>52</v>
      </c>
      <c r="T1407" t="s">
        <v>52</v>
      </c>
      <c r="U1407" t="s">
        <v>52</v>
      </c>
      <c r="V1407" t="s">
        <v>62</v>
      </c>
      <c r="W1407" t="s">
        <v>52</v>
      </c>
      <c r="Y1407" t="s">
        <v>5284</v>
      </c>
      <c r="Z1407" t="s">
        <v>62</v>
      </c>
      <c r="AB1407" t="s">
        <v>5288</v>
      </c>
      <c r="AE1407" t="s">
        <v>5289</v>
      </c>
      <c r="AF1407" t="s">
        <v>52</v>
      </c>
      <c r="AH1407">
        <v>0</v>
      </c>
      <c r="AI1407">
        <v>0</v>
      </c>
      <c r="AJ1407" t="s">
        <v>52</v>
      </c>
      <c r="AK1407">
        <v>0</v>
      </c>
      <c r="AL1407" t="s">
        <v>52</v>
      </c>
      <c r="AM1407" t="s">
        <v>52</v>
      </c>
      <c r="AN1407">
        <v>0</v>
      </c>
      <c r="AO1407">
        <v>0</v>
      </c>
      <c r="AP1407" t="s">
        <v>52</v>
      </c>
      <c r="AQ1407" t="s">
        <v>52</v>
      </c>
      <c r="AR1407" t="s">
        <v>62</v>
      </c>
      <c r="AS1407" t="s">
        <v>52</v>
      </c>
      <c r="AT1407" t="s">
        <v>74</v>
      </c>
      <c r="AU1407" t="s">
        <v>64</v>
      </c>
      <c r="AV1407" t="s">
        <v>62</v>
      </c>
      <c r="AW1407" t="s">
        <v>65</v>
      </c>
      <c r="AX1407" t="s">
        <v>66</v>
      </c>
      <c r="AY1407" t="s">
        <v>76</v>
      </c>
    </row>
    <row r="1408" spans="1:51" hidden="1" x14ac:dyDescent="0.25">
      <c r="A1408">
        <v>203464</v>
      </c>
      <c r="B1408" t="s">
        <v>5290</v>
      </c>
      <c r="C1408" t="e">
        <f>VLOOKUP(A1408,[1]Customer_payment_journal_line!$AL:$BO,30,0)</f>
        <v>#N/A</v>
      </c>
      <c r="D1408" t="s">
        <v>76</v>
      </c>
      <c r="E1408" t="s">
        <v>5291</v>
      </c>
      <c r="F1408" t="s">
        <v>5292</v>
      </c>
      <c r="G1408" t="s">
        <v>5265</v>
      </c>
      <c r="H1408" t="s">
        <v>80</v>
      </c>
      <c r="I1408" t="s">
        <v>81</v>
      </c>
      <c r="J1408" t="s">
        <v>4654</v>
      </c>
      <c r="K1408" t="s">
        <v>5293</v>
      </c>
      <c r="L1408" t="s">
        <v>52</v>
      </c>
      <c r="M1408">
        <v>14535</v>
      </c>
      <c r="N1408">
        <v>0</v>
      </c>
      <c r="O1408" t="s">
        <v>61</v>
      </c>
      <c r="P1408">
        <v>100</v>
      </c>
      <c r="Q1408" t="s">
        <v>52</v>
      </c>
      <c r="R1408" t="s">
        <v>52</v>
      </c>
      <c r="S1408" t="s">
        <v>52</v>
      </c>
      <c r="T1408" t="s">
        <v>52</v>
      </c>
      <c r="U1408" t="s">
        <v>52</v>
      </c>
      <c r="V1408" t="s">
        <v>62</v>
      </c>
      <c r="W1408" t="s">
        <v>52</v>
      </c>
      <c r="Y1408" t="s">
        <v>52</v>
      </c>
      <c r="AB1408" t="s">
        <v>52</v>
      </c>
      <c r="AE1408" t="s">
        <v>52</v>
      </c>
      <c r="AF1408" t="s">
        <v>52</v>
      </c>
      <c r="AH1408">
        <v>0</v>
      </c>
      <c r="AI1408">
        <v>0</v>
      </c>
      <c r="AJ1408" t="s">
        <v>52</v>
      </c>
      <c r="AK1408">
        <v>0</v>
      </c>
      <c r="AL1408" t="s">
        <v>52</v>
      </c>
      <c r="AM1408" t="s">
        <v>52</v>
      </c>
      <c r="AN1408">
        <v>0</v>
      </c>
      <c r="AO1408">
        <v>0</v>
      </c>
      <c r="AP1408" t="s">
        <v>52</v>
      </c>
      <c r="AQ1408" t="s">
        <v>52</v>
      </c>
      <c r="AR1408" t="s">
        <v>62</v>
      </c>
      <c r="AS1408" t="s">
        <v>52</v>
      </c>
      <c r="AT1408" t="s">
        <v>52</v>
      </c>
      <c r="AU1408" t="s">
        <v>64</v>
      </c>
      <c r="AV1408" t="s">
        <v>62</v>
      </c>
      <c r="AW1408" t="s">
        <v>65</v>
      </c>
      <c r="AX1408" t="s">
        <v>66</v>
      </c>
      <c r="AY1408" t="s">
        <v>76</v>
      </c>
    </row>
    <row r="1409" spans="1:51" hidden="1" x14ac:dyDescent="0.25">
      <c r="A1409">
        <v>203464</v>
      </c>
      <c r="B1409" t="s">
        <v>5294</v>
      </c>
      <c r="C1409" t="e">
        <f>VLOOKUP(A1409,[1]Customer_payment_journal_line!$AL:$BO,30,0)</f>
        <v>#N/A</v>
      </c>
      <c r="D1409" t="s">
        <v>76</v>
      </c>
      <c r="E1409" t="s">
        <v>5291</v>
      </c>
      <c r="F1409" t="s">
        <v>5292</v>
      </c>
      <c r="G1409" t="s">
        <v>5265</v>
      </c>
      <c r="H1409" t="s">
        <v>69</v>
      </c>
      <c r="I1409" t="s">
        <v>4657</v>
      </c>
      <c r="J1409" t="s">
        <v>4654</v>
      </c>
      <c r="K1409" t="s">
        <v>5293</v>
      </c>
      <c r="L1409" t="s">
        <v>52</v>
      </c>
      <c r="M1409">
        <v>0</v>
      </c>
      <c r="N1409">
        <v>855</v>
      </c>
      <c r="O1409" t="s">
        <v>61</v>
      </c>
      <c r="P1409">
        <v>100</v>
      </c>
      <c r="Q1409" t="s">
        <v>52</v>
      </c>
      <c r="R1409" t="s">
        <v>52</v>
      </c>
      <c r="S1409" t="s">
        <v>52</v>
      </c>
      <c r="T1409" t="s">
        <v>52</v>
      </c>
      <c r="U1409" t="s">
        <v>52</v>
      </c>
      <c r="V1409" t="s">
        <v>62</v>
      </c>
      <c r="W1409" t="s">
        <v>52</v>
      </c>
      <c r="Y1409" t="s">
        <v>4658</v>
      </c>
      <c r="Z1409" t="s">
        <v>62</v>
      </c>
      <c r="AB1409" t="s">
        <v>5295</v>
      </c>
      <c r="AE1409" t="s">
        <v>5296</v>
      </c>
      <c r="AF1409" t="s">
        <v>52</v>
      </c>
      <c r="AH1409">
        <v>0</v>
      </c>
      <c r="AI1409">
        <v>0</v>
      </c>
      <c r="AJ1409" t="s">
        <v>52</v>
      </c>
      <c r="AK1409">
        <v>0</v>
      </c>
      <c r="AL1409" t="s">
        <v>52</v>
      </c>
      <c r="AM1409" t="s">
        <v>52</v>
      </c>
      <c r="AN1409">
        <v>0</v>
      </c>
      <c r="AO1409">
        <v>0</v>
      </c>
      <c r="AP1409" t="s">
        <v>52</v>
      </c>
      <c r="AQ1409" t="s">
        <v>52</v>
      </c>
      <c r="AR1409" t="s">
        <v>62</v>
      </c>
      <c r="AS1409" t="s">
        <v>52</v>
      </c>
      <c r="AT1409" t="s">
        <v>74</v>
      </c>
      <c r="AU1409" t="s">
        <v>64</v>
      </c>
      <c r="AV1409" t="s">
        <v>62</v>
      </c>
      <c r="AW1409" t="s">
        <v>65</v>
      </c>
      <c r="AX1409" t="s">
        <v>66</v>
      </c>
      <c r="AY1409" t="s">
        <v>76</v>
      </c>
    </row>
    <row r="1410" spans="1:51" hidden="1" x14ac:dyDescent="0.25">
      <c r="A1410">
        <v>203464</v>
      </c>
      <c r="B1410" t="s">
        <v>5297</v>
      </c>
      <c r="C1410" t="e">
        <f>VLOOKUP(A1410,[1]Customer_payment_journal_line!$AL:$BO,30,0)</f>
        <v>#N/A</v>
      </c>
      <c r="D1410" t="s">
        <v>76</v>
      </c>
      <c r="E1410" t="s">
        <v>5291</v>
      </c>
      <c r="F1410" t="s">
        <v>5292</v>
      </c>
      <c r="G1410" t="s">
        <v>5265</v>
      </c>
      <c r="H1410" t="s">
        <v>69</v>
      </c>
      <c r="I1410" t="s">
        <v>4657</v>
      </c>
      <c r="J1410" t="s">
        <v>4654</v>
      </c>
      <c r="K1410" t="s">
        <v>5293</v>
      </c>
      <c r="L1410" t="s">
        <v>52</v>
      </c>
      <c r="M1410">
        <v>0</v>
      </c>
      <c r="N1410">
        <v>13680</v>
      </c>
      <c r="O1410" t="s">
        <v>61</v>
      </c>
      <c r="P1410">
        <v>100</v>
      </c>
      <c r="Q1410" t="s">
        <v>52</v>
      </c>
      <c r="R1410" t="s">
        <v>52</v>
      </c>
      <c r="S1410" t="s">
        <v>52</v>
      </c>
      <c r="T1410" t="s">
        <v>52</v>
      </c>
      <c r="U1410" t="s">
        <v>52</v>
      </c>
      <c r="V1410" t="s">
        <v>62</v>
      </c>
      <c r="W1410" t="s">
        <v>52</v>
      </c>
      <c r="Y1410" t="s">
        <v>4658</v>
      </c>
      <c r="Z1410" t="s">
        <v>62</v>
      </c>
      <c r="AB1410" t="s">
        <v>5298</v>
      </c>
      <c r="AE1410" t="s">
        <v>5299</v>
      </c>
      <c r="AF1410" t="s">
        <v>52</v>
      </c>
      <c r="AH1410">
        <v>0</v>
      </c>
      <c r="AI1410">
        <v>0</v>
      </c>
      <c r="AJ1410" t="s">
        <v>52</v>
      </c>
      <c r="AK1410">
        <v>0</v>
      </c>
      <c r="AL1410" t="s">
        <v>52</v>
      </c>
      <c r="AM1410" t="s">
        <v>52</v>
      </c>
      <c r="AN1410">
        <v>0</v>
      </c>
      <c r="AO1410">
        <v>0</v>
      </c>
      <c r="AP1410" t="s">
        <v>52</v>
      </c>
      <c r="AQ1410" t="s">
        <v>52</v>
      </c>
      <c r="AR1410" t="s">
        <v>62</v>
      </c>
      <c r="AS1410" t="s">
        <v>52</v>
      </c>
      <c r="AT1410" t="s">
        <v>74</v>
      </c>
      <c r="AU1410" t="s">
        <v>64</v>
      </c>
      <c r="AV1410" t="s">
        <v>62</v>
      </c>
      <c r="AW1410" t="s">
        <v>65</v>
      </c>
      <c r="AX1410" t="s">
        <v>66</v>
      </c>
      <c r="AY1410" t="s">
        <v>76</v>
      </c>
    </row>
    <row r="1411" spans="1:51" hidden="1" x14ac:dyDescent="0.25">
      <c r="A1411">
        <v>203466</v>
      </c>
      <c r="B1411" t="s">
        <v>5300</v>
      </c>
      <c r="C1411" t="e">
        <f>VLOOKUP(A1411,[1]Customer_payment_journal_line!$AL:$BO,30,0)</f>
        <v>#N/A</v>
      </c>
      <c r="D1411" t="s">
        <v>159</v>
      </c>
      <c r="E1411" t="s">
        <v>5301</v>
      </c>
      <c r="F1411" t="s">
        <v>5302</v>
      </c>
      <c r="G1411" t="s">
        <v>5265</v>
      </c>
      <c r="H1411" t="s">
        <v>80</v>
      </c>
      <c r="I1411" t="s">
        <v>177</v>
      </c>
      <c r="J1411" t="s">
        <v>5303</v>
      </c>
      <c r="K1411" t="s">
        <v>5304</v>
      </c>
      <c r="L1411" t="s">
        <v>52</v>
      </c>
      <c r="M1411">
        <v>1758</v>
      </c>
      <c r="N1411">
        <v>0</v>
      </c>
      <c r="O1411" t="s">
        <v>178</v>
      </c>
      <c r="P1411">
        <v>5085</v>
      </c>
      <c r="Q1411" t="s">
        <v>52</v>
      </c>
      <c r="R1411" t="s">
        <v>52</v>
      </c>
      <c r="S1411" t="s">
        <v>52</v>
      </c>
      <c r="T1411" t="s">
        <v>52</v>
      </c>
      <c r="U1411" t="s">
        <v>52</v>
      </c>
      <c r="V1411" t="s">
        <v>62</v>
      </c>
      <c r="W1411" t="s">
        <v>52</v>
      </c>
      <c r="Y1411" t="s">
        <v>52</v>
      </c>
      <c r="AB1411" t="s">
        <v>52</v>
      </c>
      <c r="AE1411" t="s">
        <v>52</v>
      </c>
      <c r="AF1411" t="s">
        <v>52</v>
      </c>
      <c r="AH1411">
        <v>0</v>
      </c>
      <c r="AI1411">
        <v>0</v>
      </c>
      <c r="AJ1411" t="s">
        <v>52</v>
      </c>
      <c r="AK1411">
        <v>0</v>
      </c>
      <c r="AL1411" t="s">
        <v>52</v>
      </c>
      <c r="AM1411" t="s">
        <v>52</v>
      </c>
      <c r="AN1411">
        <v>0</v>
      </c>
      <c r="AO1411">
        <v>0</v>
      </c>
      <c r="AP1411" t="s">
        <v>52</v>
      </c>
      <c r="AQ1411" t="s">
        <v>52</v>
      </c>
      <c r="AR1411" t="s">
        <v>62</v>
      </c>
      <c r="AS1411" t="s">
        <v>52</v>
      </c>
      <c r="AT1411" t="s">
        <v>52</v>
      </c>
      <c r="AU1411" t="s">
        <v>64</v>
      </c>
      <c r="AV1411" t="s">
        <v>62</v>
      </c>
      <c r="AW1411" t="s">
        <v>65</v>
      </c>
      <c r="AX1411" t="s">
        <v>66</v>
      </c>
      <c r="AY1411" t="s">
        <v>165</v>
      </c>
    </row>
    <row r="1412" spans="1:51" hidden="1" x14ac:dyDescent="0.25">
      <c r="A1412">
        <v>203466</v>
      </c>
      <c r="B1412" t="s">
        <v>5305</v>
      </c>
      <c r="C1412" t="e">
        <f>VLOOKUP(A1412,[1]Customer_payment_journal_line!$AL:$BO,30,0)</f>
        <v>#N/A</v>
      </c>
      <c r="D1412" t="s">
        <v>159</v>
      </c>
      <c r="E1412" t="s">
        <v>5301</v>
      </c>
      <c r="F1412" t="s">
        <v>5302</v>
      </c>
      <c r="G1412" t="s">
        <v>5265</v>
      </c>
      <c r="H1412" t="s">
        <v>69</v>
      </c>
      <c r="I1412" t="s">
        <v>5306</v>
      </c>
      <c r="J1412" t="s">
        <v>5303</v>
      </c>
      <c r="K1412" t="s">
        <v>5304</v>
      </c>
      <c r="L1412" t="s">
        <v>52</v>
      </c>
      <c r="M1412">
        <v>0</v>
      </c>
      <c r="N1412">
        <v>1758</v>
      </c>
      <c r="O1412" t="s">
        <v>178</v>
      </c>
      <c r="P1412">
        <v>5085</v>
      </c>
      <c r="Q1412" t="s">
        <v>52</v>
      </c>
      <c r="R1412" t="s">
        <v>52</v>
      </c>
      <c r="S1412" t="s">
        <v>52</v>
      </c>
      <c r="T1412" t="s">
        <v>52</v>
      </c>
      <c r="U1412" t="s">
        <v>52</v>
      </c>
      <c r="V1412" t="s">
        <v>62</v>
      </c>
      <c r="W1412" t="s">
        <v>52</v>
      </c>
      <c r="Y1412" t="s">
        <v>5307</v>
      </c>
      <c r="Z1412" t="s">
        <v>62</v>
      </c>
      <c r="AB1412" t="s">
        <v>5308</v>
      </c>
      <c r="AE1412" t="s">
        <v>5309</v>
      </c>
      <c r="AF1412" t="s">
        <v>52</v>
      </c>
      <c r="AH1412">
        <v>0</v>
      </c>
      <c r="AI1412">
        <v>0</v>
      </c>
      <c r="AJ1412" t="s">
        <v>52</v>
      </c>
      <c r="AK1412">
        <v>0</v>
      </c>
      <c r="AL1412" t="s">
        <v>52</v>
      </c>
      <c r="AM1412" t="s">
        <v>52</v>
      </c>
      <c r="AN1412">
        <v>0</v>
      </c>
      <c r="AO1412">
        <v>0</v>
      </c>
      <c r="AP1412" t="s">
        <v>52</v>
      </c>
      <c r="AQ1412" t="s">
        <v>52</v>
      </c>
      <c r="AR1412" t="s">
        <v>62</v>
      </c>
      <c r="AS1412" t="s">
        <v>52</v>
      </c>
      <c r="AT1412" t="s">
        <v>74</v>
      </c>
      <c r="AU1412" t="s">
        <v>64</v>
      </c>
      <c r="AV1412" t="s">
        <v>62</v>
      </c>
      <c r="AW1412" t="s">
        <v>65</v>
      </c>
      <c r="AX1412" t="s">
        <v>66</v>
      </c>
      <c r="AY1412" t="s">
        <v>165</v>
      </c>
    </row>
    <row r="1413" spans="1:51" hidden="1" x14ac:dyDescent="0.25">
      <c r="A1413">
        <v>203470</v>
      </c>
      <c r="B1413" t="s">
        <v>5310</v>
      </c>
      <c r="C1413" t="e">
        <f>VLOOKUP(A1413,[1]Customer_payment_journal_line!$AL:$BO,30,0)</f>
        <v>#N/A</v>
      </c>
      <c r="D1413" t="s">
        <v>76</v>
      </c>
      <c r="E1413" t="s">
        <v>5311</v>
      </c>
      <c r="F1413" t="s">
        <v>5312</v>
      </c>
      <c r="G1413" t="s">
        <v>5265</v>
      </c>
      <c r="H1413" t="s">
        <v>80</v>
      </c>
      <c r="I1413" t="s">
        <v>81</v>
      </c>
      <c r="J1413" t="s">
        <v>5313</v>
      </c>
      <c r="K1413" t="s">
        <v>5314</v>
      </c>
      <c r="L1413" t="s">
        <v>52</v>
      </c>
      <c r="M1413">
        <v>3255</v>
      </c>
      <c r="N1413">
        <v>0</v>
      </c>
      <c r="O1413" t="s">
        <v>61</v>
      </c>
      <c r="P1413">
        <v>100</v>
      </c>
      <c r="Q1413" t="s">
        <v>52</v>
      </c>
      <c r="R1413" t="s">
        <v>52</v>
      </c>
      <c r="S1413" t="s">
        <v>52</v>
      </c>
      <c r="T1413" t="s">
        <v>52</v>
      </c>
      <c r="U1413" t="s">
        <v>52</v>
      </c>
      <c r="V1413" t="s">
        <v>62</v>
      </c>
      <c r="W1413" t="s">
        <v>52</v>
      </c>
      <c r="Y1413" t="s">
        <v>52</v>
      </c>
      <c r="AB1413" t="s">
        <v>52</v>
      </c>
      <c r="AE1413" t="s">
        <v>52</v>
      </c>
      <c r="AF1413" t="s">
        <v>52</v>
      </c>
      <c r="AH1413">
        <v>0</v>
      </c>
      <c r="AI1413">
        <v>0</v>
      </c>
      <c r="AJ1413" t="s">
        <v>52</v>
      </c>
      <c r="AK1413">
        <v>0</v>
      </c>
      <c r="AL1413" t="s">
        <v>52</v>
      </c>
      <c r="AM1413" t="s">
        <v>52</v>
      </c>
      <c r="AN1413">
        <v>0</v>
      </c>
      <c r="AO1413">
        <v>0</v>
      </c>
      <c r="AP1413" t="s">
        <v>52</v>
      </c>
      <c r="AQ1413" t="s">
        <v>52</v>
      </c>
      <c r="AR1413" t="s">
        <v>62</v>
      </c>
      <c r="AS1413" t="s">
        <v>52</v>
      </c>
      <c r="AT1413" t="s">
        <v>52</v>
      </c>
      <c r="AU1413" t="s">
        <v>64</v>
      </c>
      <c r="AV1413" t="s">
        <v>62</v>
      </c>
      <c r="AW1413" t="s">
        <v>65</v>
      </c>
      <c r="AX1413" t="s">
        <v>66</v>
      </c>
      <c r="AY1413" t="s">
        <v>76</v>
      </c>
    </row>
    <row r="1414" spans="1:51" hidden="1" x14ac:dyDescent="0.25">
      <c r="A1414">
        <v>203470</v>
      </c>
      <c r="B1414" t="s">
        <v>5315</v>
      </c>
      <c r="C1414" t="e">
        <f>VLOOKUP(A1414,[1]Customer_payment_journal_line!$AL:$BO,30,0)</f>
        <v>#N/A</v>
      </c>
      <c r="D1414" t="s">
        <v>76</v>
      </c>
      <c r="E1414" t="s">
        <v>5311</v>
      </c>
      <c r="F1414" t="s">
        <v>5312</v>
      </c>
      <c r="G1414" t="s">
        <v>5265</v>
      </c>
      <c r="H1414" t="s">
        <v>69</v>
      </c>
      <c r="I1414" t="s">
        <v>1909</v>
      </c>
      <c r="J1414" t="s">
        <v>5313</v>
      </c>
      <c r="K1414" t="s">
        <v>5314</v>
      </c>
      <c r="L1414" t="s">
        <v>52</v>
      </c>
      <c r="M1414">
        <v>0</v>
      </c>
      <c r="N1414">
        <v>855</v>
      </c>
      <c r="O1414" t="s">
        <v>61</v>
      </c>
      <c r="P1414">
        <v>100</v>
      </c>
      <c r="Q1414" t="s">
        <v>52</v>
      </c>
      <c r="R1414" t="s">
        <v>52</v>
      </c>
      <c r="S1414" t="s">
        <v>52</v>
      </c>
      <c r="T1414" t="s">
        <v>52</v>
      </c>
      <c r="U1414" t="s">
        <v>52</v>
      </c>
      <c r="V1414" t="s">
        <v>62</v>
      </c>
      <c r="W1414" t="s">
        <v>52</v>
      </c>
      <c r="Y1414" t="s">
        <v>1910</v>
      </c>
      <c r="Z1414" t="s">
        <v>62</v>
      </c>
      <c r="AB1414" t="s">
        <v>5316</v>
      </c>
      <c r="AE1414" t="s">
        <v>5317</v>
      </c>
      <c r="AF1414" t="s">
        <v>52</v>
      </c>
      <c r="AH1414">
        <v>0</v>
      </c>
      <c r="AI1414">
        <v>0</v>
      </c>
      <c r="AJ1414" t="s">
        <v>52</v>
      </c>
      <c r="AK1414">
        <v>0</v>
      </c>
      <c r="AL1414" t="s">
        <v>52</v>
      </c>
      <c r="AM1414" t="s">
        <v>52</v>
      </c>
      <c r="AN1414">
        <v>0</v>
      </c>
      <c r="AO1414">
        <v>0</v>
      </c>
      <c r="AP1414" t="s">
        <v>52</v>
      </c>
      <c r="AQ1414" t="s">
        <v>52</v>
      </c>
      <c r="AR1414" t="s">
        <v>62</v>
      </c>
      <c r="AS1414" t="s">
        <v>52</v>
      </c>
      <c r="AT1414" t="s">
        <v>74</v>
      </c>
      <c r="AU1414" t="s">
        <v>64</v>
      </c>
      <c r="AV1414" t="s">
        <v>62</v>
      </c>
      <c r="AW1414" t="s">
        <v>65</v>
      </c>
      <c r="AX1414" t="s">
        <v>66</v>
      </c>
      <c r="AY1414" t="s">
        <v>76</v>
      </c>
    </row>
    <row r="1415" spans="1:51" hidden="1" x14ac:dyDescent="0.25">
      <c r="A1415">
        <v>203470</v>
      </c>
      <c r="B1415" t="s">
        <v>5318</v>
      </c>
      <c r="C1415" t="e">
        <f>VLOOKUP(A1415,[1]Customer_payment_journal_line!$AL:$BO,30,0)</f>
        <v>#N/A</v>
      </c>
      <c r="D1415" t="s">
        <v>76</v>
      </c>
      <c r="E1415" t="s">
        <v>5311</v>
      </c>
      <c r="F1415" t="s">
        <v>5312</v>
      </c>
      <c r="G1415" t="s">
        <v>5265</v>
      </c>
      <c r="H1415" t="s">
        <v>69</v>
      </c>
      <c r="I1415" t="s">
        <v>1909</v>
      </c>
      <c r="J1415" t="s">
        <v>5313</v>
      </c>
      <c r="K1415" t="s">
        <v>5314</v>
      </c>
      <c r="L1415" t="s">
        <v>52</v>
      </c>
      <c r="M1415">
        <v>0</v>
      </c>
      <c r="N1415">
        <v>2400</v>
      </c>
      <c r="O1415" t="s">
        <v>61</v>
      </c>
      <c r="P1415">
        <v>100</v>
      </c>
      <c r="Q1415" t="s">
        <v>52</v>
      </c>
      <c r="R1415" t="s">
        <v>52</v>
      </c>
      <c r="S1415" t="s">
        <v>52</v>
      </c>
      <c r="T1415" t="s">
        <v>52</v>
      </c>
      <c r="U1415" t="s">
        <v>52</v>
      </c>
      <c r="V1415" t="s">
        <v>62</v>
      </c>
      <c r="W1415" t="s">
        <v>52</v>
      </c>
      <c r="Y1415" t="s">
        <v>1910</v>
      </c>
      <c r="Z1415" t="s">
        <v>62</v>
      </c>
      <c r="AB1415" t="s">
        <v>5319</v>
      </c>
      <c r="AE1415" t="s">
        <v>5320</v>
      </c>
      <c r="AF1415" t="s">
        <v>52</v>
      </c>
      <c r="AH1415">
        <v>0</v>
      </c>
      <c r="AI1415">
        <v>0</v>
      </c>
      <c r="AJ1415" t="s">
        <v>52</v>
      </c>
      <c r="AK1415">
        <v>0</v>
      </c>
      <c r="AL1415" t="s">
        <v>52</v>
      </c>
      <c r="AM1415" t="s">
        <v>52</v>
      </c>
      <c r="AN1415">
        <v>0</v>
      </c>
      <c r="AO1415">
        <v>0</v>
      </c>
      <c r="AP1415" t="s">
        <v>52</v>
      </c>
      <c r="AQ1415" t="s">
        <v>52</v>
      </c>
      <c r="AR1415" t="s">
        <v>62</v>
      </c>
      <c r="AS1415" t="s">
        <v>52</v>
      </c>
      <c r="AT1415" t="s">
        <v>74</v>
      </c>
      <c r="AU1415" t="s">
        <v>64</v>
      </c>
      <c r="AV1415" t="s">
        <v>62</v>
      </c>
      <c r="AW1415" t="s">
        <v>65</v>
      </c>
      <c r="AX1415" t="s">
        <v>66</v>
      </c>
      <c r="AY1415" t="s">
        <v>76</v>
      </c>
    </row>
    <row r="1416" spans="1:51" hidden="1" x14ac:dyDescent="0.25">
      <c r="A1416">
        <v>203473</v>
      </c>
      <c r="B1416" t="s">
        <v>5321</v>
      </c>
      <c r="C1416" t="e">
        <f>VLOOKUP(A1416,[1]Customer_payment_journal_line!$AL:$BO,30,0)</f>
        <v>#N/A</v>
      </c>
      <c r="D1416" t="s">
        <v>159</v>
      </c>
      <c r="E1416" t="s">
        <v>5322</v>
      </c>
      <c r="F1416" t="s">
        <v>5323</v>
      </c>
      <c r="G1416" t="s">
        <v>5265</v>
      </c>
      <c r="H1416" t="s">
        <v>80</v>
      </c>
      <c r="I1416" t="s">
        <v>1940</v>
      </c>
      <c r="J1416" t="s">
        <v>5313</v>
      </c>
      <c r="K1416" t="s">
        <v>5314</v>
      </c>
      <c r="L1416" t="s">
        <v>52</v>
      </c>
      <c r="M1416">
        <v>30</v>
      </c>
      <c r="N1416">
        <v>0</v>
      </c>
      <c r="O1416" t="s">
        <v>126</v>
      </c>
      <c r="P1416">
        <v>5285</v>
      </c>
      <c r="Q1416" t="s">
        <v>52</v>
      </c>
      <c r="R1416" t="s">
        <v>52</v>
      </c>
      <c r="S1416" t="s">
        <v>52</v>
      </c>
      <c r="T1416" t="s">
        <v>52</v>
      </c>
      <c r="U1416" t="s">
        <v>52</v>
      </c>
      <c r="V1416" t="s">
        <v>62</v>
      </c>
      <c r="W1416" t="s">
        <v>52</v>
      </c>
      <c r="Y1416" t="s">
        <v>52</v>
      </c>
      <c r="AB1416" t="s">
        <v>52</v>
      </c>
      <c r="AE1416" t="s">
        <v>52</v>
      </c>
      <c r="AF1416" t="s">
        <v>52</v>
      </c>
      <c r="AH1416">
        <v>0</v>
      </c>
      <c r="AI1416">
        <v>0</v>
      </c>
      <c r="AJ1416" t="s">
        <v>52</v>
      </c>
      <c r="AK1416">
        <v>0</v>
      </c>
      <c r="AL1416" t="s">
        <v>52</v>
      </c>
      <c r="AM1416" t="s">
        <v>52</v>
      </c>
      <c r="AN1416">
        <v>0</v>
      </c>
      <c r="AO1416">
        <v>0</v>
      </c>
      <c r="AP1416" t="s">
        <v>52</v>
      </c>
      <c r="AQ1416" t="s">
        <v>52</v>
      </c>
      <c r="AR1416" t="s">
        <v>62</v>
      </c>
      <c r="AS1416" t="s">
        <v>52</v>
      </c>
      <c r="AT1416" t="s">
        <v>52</v>
      </c>
      <c r="AU1416" t="s">
        <v>64</v>
      </c>
      <c r="AV1416" t="s">
        <v>62</v>
      </c>
      <c r="AW1416" t="s">
        <v>65</v>
      </c>
      <c r="AX1416" t="s">
        <v>66</v>
      </c>
      <c r="AY1416" t="s">
        <v>165</v>
      </c>
    </row>
    <row r="1417" spans="1:51" hidden="1" x14ac:dyDescent="0.25">
      <c r="A1417">
        <v>203473</v>
      </c>
      <c r="B1417" t="s">
        <v>5324</v>
      </c>
      <c r="C1417" t="e">
        <f>VLOOKUP(A1417,[1]Customer_payment_journal_line!$AL:$BO,30,0)</f>
        <v>#N/A</v>
      </c>
      <c r="D1417" t="s">
        <v>159</v>
      </c>
      <c r="E1417" t="s">
        <v>5322</v>
      </c>
      <c r="F1417" t="s">
        <v>5323</v>
      </c>
      <c r="G1417" t="s">
        <v>5265</v>
      </c>
      <c r="H1417" t="s">
        <v>69</v>
      </c>
      <c r="I1417" t="s">
        <v>1909</v>
      </c>
      <c r="J1417" t="s">
        <v>5313</v>
      </c>
      <c r="K1417" t="s">
        <v>5314</v>
      </c>
      <c r="L1417" t="s">
        <v>52</v>
      </c>
      <c r="M1417">
        <v>0</v>
      </c>
      <c r="N1417">
        <v>30</v>
      </c>
      <c r="O1417" t="s">
        <v>126</v>
      </c>
      <c r="P1417">
        <v>5285</v>
      </c>
      <c r="Q1417" t="s">
        <v>52</v>
      </c>
      <c r="R1417" t="s">
        <v>52</v>
      </c>
      <c r="S1417" t="s">
        <v>52</v>
      </c>
      <c r="T1417" t="s">
        <v>52</v>
      </c>
      <c r="U1417" t="s">
        <v>52</v>
      </c>
      <c r="V1417" t="s">
        <v>62</v>
      </c>
      <c r="W1417" t="s">
        <v>52</v>
      </c>
      <c r="Y1417" t="s">
        <v>1910</v>
      </c>
      <c r="Z1417" t="s">
        <v>62</v>
      </c>
      <c r="AB1417" t="s">
        <v>5325</v>
      </c>
      <c r="AE1417" t="s">
        <v>5326</v>
      </c>
      <c r="AF1417" t="s">
        <v>52</v>
      </c>
      <c r="AH1417">
        <v>0</v>
      </c>
      <c r="AI1417">
        <v>0</v>
      </c>
      <c r="AJ1417" t="s">
        <v>52</v>
      </c>
      <c r="AK1417">
        <v>0</v>
      </c>
      <c r="AL1417" t="s">
        <v>52</v>
      </c>
      <c r="AM1417" t="s">
        <v>52</v>
      </c>
      <c r="AN1417">
        <v>0</v>
      </c>
      <c r="AO1417">
        <v>0</v>
      </c>
      <c r="AP1417" t="s">
        <v>52</v>
      </c>
      <c r="AQ1417" t="s">
        <v>52</v>
      </c>
      <c r="AR1417" t="s">
        <v>62</v>
      </c>
      <c r="AS1417" t="s">
        <v>52</v>
      </c>
      <c r="AT1417" t="s">
        <v>74</v>
      </c>
      <c r="AU1417" t="s">
        <v>64</v>
      </c>
      <c r="AV1417" t="s">
        <v>62</v>
      </c>
      <c r="AW1417" t="s">
        <v>65</v>
      </c>
      <c r="AX1417" t="s">
        <v>66</v>
      </c>
      <c r="AY1417" t="s">
        <v>165</v>
      </c>
    </row>
    <row r="1418" spans="1:51" hidden="1" x14ac:dyDescent="0.25">
      <c r="A1418">
        <v>203475</v>
      </c>
      <c r="B1418" t="s">
        <v>5327</v>
      </c>
      <c r="C1418" t="e">
        <f>VLOOKUP(A1418,[1]Customer_payment_journal_line!$AL:$BO,30,0)</f>
        <v>#N/A</v>
      </c>
      <c r="D1418" t="s">
        <v>76</v>
      </c>
      <c r="E1418" t="s">
        <v>5328</v>
      </c>
      <c r="F1418" t="s">
        <v>5329</v>
      </c>
      <c r="G1418" t="s">
        <v>5265</v>
      </c>
      <c r="H1418" t="s">
        <v>80</v>
      </c>
      <c r="I1418" t="s">
        <v>81</v>
      </c>
      <c r="J1418" t="s">
        <v>5330</v>
      </c>
      <c r="K1418" t="s">
        <v>3104</v>
      </c>
      <c r="L1418" t="s">
        <v>52</v>
      </c>
      <c r="M1418">
        <v>6657.6</v>
      </c>
      <c r="N1418">
        <v>0</v>
      </c>
      <c r="O1418" t="s">
        <v>61</v>
      </c>
      <c r="P1418">
        <v>100</v>
      </c>
      <c r="Q1418" t="s">
        <v>52</v>
      </c>
      <c r="R1418" t="s">
        <v>52</v>
      </c>
      <c r="S1418" t="s">
        <v>52</v>
      </c>
      <c r="T1418" t="s">
        <v>52</v>
      </c>
      <c r="U1418" t="s">
        <v>52</v>
      </c>
      <c r="V1418" t="s">
        <v>62</v>
      </c>
      <c r="W1418" t="s">
        <v>52</v>
      </c>
      <c r="Y1418" t="s">
        <v>52</v>
      </c>
      <c r="AB1418" t="s">
        <v>52</v>
      </c>
      <c r="AE1418" t="s">
        <v>52</v>
      </c>
      <c r="AF1418" t="s">
        <v>52</v>
      </c>
      <c r="AH1418">
        <v>0</v>
      </c>
      <c r="AI1418">
        <v>0</v>
      </c>
      <c r="AJ1418" t="s">
        <v>52</v>
      </c>
      <c r="AK1418">
        <v>0</v>
      </c>
      <c r="AL1418" t="s">
        <v>52</v>
      </c>
      <c r="AM1418" t="s">
        <v>52</v>
      </c>
      <c r="AN1418">
        <v>0</v>
      </c>
      <c r="AO1418">
        <v>0</v>
      </c>
      <c r="AP1418" t="s">
        <v>52</v>
      </c>
      <c r="AQ1418" t="s">
        <v>52</v>
      </c>
      <c r="AR1418" t="s">
        <v>62</v>
      </c>
      <c r="AS1418" t="s">
        <v>52</v>
      </c>
      <c r="AT1418" t="s">
        <v>52</v>
      </c>
      <c r="AU1418" t="s">
        <v>64</v>
      </c>
      <c r="AV1418" t="s">
        <v>62</v>
      </c>
      <c r="AW1418" t="s">
        <v>65</v>
      </c>
      <c r="AX1418" t="s">
        <v>66</v>
      </c>
      <c r="AY1418" t="s">
        <v>76</v>
      </c>
    </row>
    <row r="1419" spans="1:51" hidden="1" x14ac:dyDescent="0.25">
      <c r="A1419">
        <v>203475</v>
      </c>
      <c r="B1419" t="s">
        <v>5331</v>
      </c>
      <c r="C1419" t="e">
        <f>VLOOKUP(A1419,[1]Customer_payment_journal_line!$AL:$BO,30,0)</f>
        <v>#N/A</v>
      </c>
      <c r="D1419" t="s">
        <v>76</v>
      </c>
      <c r="E1419" t="s">
        <v>5328</v>
      </c>
      <c r="F1419" t="s">
        <v>5329</v>
      </c>
      <c r="G1419" t="s">
        <v>5265</v>
      </c>
      <c r="H1419" t="s">
        <v>69</v>
      </c>
      <c r="I1419" t="s">
        <v>3106</v>
      </c>
      <c r="J1419" t="s">
        <v>5330</v>
      </c>
      <c r="K1419" t="s">
        <v>3104</v>
      </c>
      <c r="L1419" t="s">
        <v>52</v>
      </c>
      <c r="M1419">
        <v>0</v>
      </c>
      <c r="N1419">
        <v>6657.6</v>
      </c>
      <c r="O1419" t="s">
        <v>61</v>
      </c>
      <c r="P1419">
        <v>100</v>
      </c>
      <c r="Q1419" t="s">
        <v>52</v>
      </c>
      <c r="R1419" t="s">
        <v>52</v>
      </c>
      <c r="S1419" t="s">
        <v>52</v>
      </c>
      <c r="T1419" t="s">
        <v>52</v>
      </c>
      <c r="U1419" t="s">
        <v>52</v>
      </c>
      <c r="V1419" t="s">
        <v>62</v>
      </c>
      <c r="W1419" t="s">
        <v>52</v>
      </c>
      <c r="Y1419" t="s">
        <v>3107</v>
      </c>
      <c r="Z1419" t="s">
        <v>62</v>
      </c>
      <c r="AB1419" t="s">
        <v>5332</v>
      </c>
      <c r="AE1419" t="s">
        <v>5333</v>
      </c>
      <c r="AF1419" t="s">
        <v>52</v>
      </c>
      <c r="AH1419">
        <v>0</v>
      </c>
      <c r="AI1419">
        <v>0</v>
      </c>
      <c r="AJ1419" t="s">
        <v>52</v>
      </c>
      <c r="AK1419">
        <v>0</v>
      </c>
      <c r="AL1419" t="s">
        <v>52</v>
      </c>
      <c r="AM1419" t="s">
        <v>52</v>
      </c>
      <c r="AN1419">
        <v>0</v>
      </c>
      <c r="AO1419">
        <v>0</v>
      </c>
      <c r="AP1419" t="s">
        <v>52</v>
      </c>
      <c r="AQ1419" t="s">
        <v>52</v>
      </c>
      <c r="AR1419" t="s">
        <v>62</v>
      </c>
      <c r="AS1419" t="s">
        <v>52</v>
      </c>
      <c r="AT1419" t="s">
        <v>74</v>
      </c>
      <c r="AU1419" t="s">
        <v>64</v>
      </c>
      <c r="AV1419" t="s">
        <v>62</v>
      </c>
      <c r="AW1419" t="s">
        <v>65</v>
      </c>
      <c r="AX1419" t="s">
        <v>66</v>
      </c>
      <c r="AY1419" t="s">
        <v>76</v>
      </c>
    </row>
    <row r="1420" spans="1:51" hidden="1" x14ac:dyDescent="0.25">
      <c r="A1420">
        <v>203478</v>
      </c>
      <c r="B1420" t="s">
        <v>5334</v>
      </c>
      <c r="C1420" t="str">
        <f>VLOOKUP(A1420,[1]Customer_payment_journal_line!$AL:$BO,30,0)</f>
        <v>CPay-000000089</v>
      </c>
      <c r="D1420" t="s">
        <v>53</v>
      </c>
      <c r="E1420" t="s">
        <v>5335</v>
      </c>
      <c r="F1420" t="s">
        <v>5336</v>
      </c>
      <c r="G1420" t="s">
        <v>5265</v>
      </c>
      <c r="H1420" t="s">
        <v>57</v>
      </c>
      <c r="I1420" t="s">
        <v>95</v>
      </c>
      <c r="J1420" t="s">
        <v>666</v>
      </c>
      <c r="K1420" t="s">
        <v>5337</v>
      </c>
      <c r="L1420">
        <f>VLOOKUP(A1420,[1]Customer_payment_journal_line!$B:$L,11,0)</f>
        <v>1653</v>
      </c>
      <c r="M1420" s="1">
        <v>1653</v>
      </c>
      <c r="N1420" s="2">
        <f>L1420-M1420</f>
        <v>0</v>
      </c>
      <c r="O1420" t="s">
        <v>61</v>
      </c>
      <c r="P1420">
        <v>100</v>
      </c>
      <c r="Q1420" t="s">
        <v>52</v>
      </c>
      <c r="R1420" t="s">
        <v>52</v>
      </c>
      <c r="S1420" t="s">
        <v>52</v>
      </c>
      <c r="T1420" t="s">
        <v>52</v>
      </c>
      <c r="U1420" t="s">
        <v>52</v>
      </c>
      <c r="V1420" t="s">
        <v>62</v>
      </c>
      <c r="W1420" t="s">
        <v>63</v>
      </c>
      <c r="Y1420" t="s">
        <v>52</v>
      </c>
      <c r="AB1420" t="s">
        <v>52</v>
      </c>
      <c r="AE1420" t="s">
        <v>52</v>
      </c>
      <c r="AF1420" t="s">
        <v>52</v>
      </c>
      <c r="AH1420">
        <v>0</v>
      </c>
      <c r="AI1420">
        <v>0</v>
      </c>
      <c r="AJ1420" t="s">
        <v>52</v>
      </c>
      <c r="AK1420">
        <v>0</v>
      </c>
      <c r="AL1420" t="s">
        <v>52</v>
      </c>
      <c r="AM1420" t="s">
        <v>52</v>
      </c>
      <c r="AN1420">
        <v>0</v>
      </c>
      <c r="AO1420">
        <v>0</v>
      </c>
      <c r="AP1420" t="s">
        <v>52</v>
      </c>
      <c r="AQ1420" t="s">
        <v>52</v>
      </c>
      <c r="AR1420" t="s">
        <v>62</v>
      </c>
      <c r="AS1420" t="s">
        <v>52</v>
      </c>
      <c r="AT1420" t="s">
        <v>52</v>
      </c>
      <c r="AU1420" t="s">
        <v>64</v>
      </c>
      <c r="AV1420" t="s">
        <v>62</v>
      </c>
      <c r="AW1420" t="s">
        <v>65</v>
      </c>
      <c r="AX1420" t="s">
        <v>66</v>
      </c>
      <c r="AY1420" t="s">
        <v>67</v>
      </c>
    </row>
    <row r="1421" spans="1:51" hidden="1" x14ac:dyDescent="0.25">
      <c r="A1421">
        <v>203478</v>
      </c>
      <c r="B1421" t="s">
        <v>5338</v>
      </c>
      <c r="C1421" t="str">
        <f>VLOOKUP(A1421,[1]Customer_payment_journal_line!$AL:$BO,30,0)</f>
        <v>CPay-000000089</v>
      </c>
      <c r="D1421" t="s">
        <v>53</v>
      </c>
      <c r="E1421" t="s">
        <v>5335</v>
      </c>
      <c r="F1421" t="s">
        <v>5336</v>
      </c>
      <c r="G1421" t="s">
        <v>5265</v>
      </c>
      <c r="H1421" t="s">
        <v>69</v>
      </c>
      <c r="I1421" t="s">
        <v>669</v>
      </c>
      <c r="J1421" t="s">
        <v>666</v>
      </c>
      <c r="K1421" t="s">
        <v>5337</v>
      </c>
      <c r="L1421">
        <f>VLOOKUP(A1421,[1]Customer_payment_journal_line!$B:$L,11,0)</f>
        <v>1653</v>
      </c>
      <c r="M1421" s="1">
        <v>0</v>
      </c>
      <c r="N1421">
        <v>1653</v>
      </c>
      <c r="O1421" t="s">
        <v>61</v>
      </c>
      <c r="P1421">
        <v>100</v>
      </c>
      <c r="Q1421" t="s">
        <v>52</v>
      </c>
      <c r="R1421" t="s">
        <v>52</v>
      </c>
      <c r="S1421" t="s">
        <v>52</v>
      </c>
      <c r="T1421" t="s">
        <v>52</v>
      </c>
      <c r="U1421" t="s">
        <v>52</v>
      </c>
      <c r="V1421" t="s">
        <v>62</v>
      </c>
      <c r="W1421" t="s">
        <v>52</v>
      </c>
      <c r="Y1421" t="s">
        <v>670</v>
      </c>
      <c r="Z1421" t="s">
        <v>62</v>
      </c>
      <c r="AB1421" t="s">
        <v>5339</v>
      </c>
      <c r="AE1421" t="s">
        <v>5340</v>
      </c>
      <c r="AF1421" t="s">
        <v>52</v>
      </c>
      <c r="AH1421">
        <v>0</v>
      </c>
      <c r="AI1421">
        <v>0</v>
      </c>
      <c r="AJ1421" t="s">
        <v>52</v>
      </c>
      <c r="AK1421">
        <v>0</v>
      </c>
      <c r="AL1421" t="s">
        <v>52</v>
      </c>
      <c r="AM1421" t="s">
        <v>52</v>
      </c>
      <c r="AN1421">
        <v>0</v>
      </c>
      <c r="AO1421">
        <v>0</v>
      </c>
      <c r="AP1421" t="s">
        <v>52</v>
      </c>
      <c r="AQ1421" t="s">
        <v>52</v>
      </c>
      <c r="AR1421" t="s">
        <v>62</v>
      </c>
      <c r="AS1421" t="s">
        <v>52</v>
      </c>
      <c r="AT1421" t="s">
        <v>74</v>
      </c>
      <c r="AU1421" t="s">
        <v>64</v>
      </c>
      <c r="AV1421" t="s">
        <v>62</v>
      </c>
      <c r="AW1421" t="s">
        <v>65</v>
      </c>
      <c r="AX1421" t="s">
        <v>66</v>
      </c>
      <c r="AY1421" t="s">
        <v>67</v>
      </c>
    </row>
    <row r="1422" spans="1:51" hidden="1" x14ac:dyDescent="0.25">
      <c r="A1422">
        <v>203479</v>
      </c>
      <c r="B1422" t="s">
        <v>5341</v>
      </c>
      <c r="C1422" t="str">
        <f>VLOOKUP(A1422,[1]Customer_payment_journal_line!$AL:$BO,30,0)</f>
        <v>CPay-000000090</v>
      </c>
      <c r="D1422" t="s">
        <v>53</v>
      </c>
      <c r="E1422" t="s">
        <v>5342</v>
      </c>
      <c r="F1422" t="s">
        <v>5343</v>
      </c>
      <c r="G1422" t="s">
        <v>5265</v>
      </c>
      <c r="H1422" t="s">
        <v>57</v>
      </c>
      <c r="I1422" t="s">
        <v>95</v>
      </c>
      <c r="J1422" t="s">
        <v>666</v>
      </c>
      <c r="K1422" t="s">
        <v>5337</v>
      </c>
      <c r="L1422">
        <f>VLOOKUP(A1422,[1]Customer_payment_journal_line!$B:$L,11,0)</f>
        <v>2821.64</v>
      </c>
      <c r="M1422" s="1">
        <v>2821.64</v>
      </c>
      <c r="N1422" s="2">
        <f>L1422-M1422</f>
        <v>0</v>
      </c>
      <c r="O1422" t="s">
        <v>61</v>
      </c>
      <c r="P1422">
        <v>100</v>
      </c>
      <c r="Q1422" t="s">
        <v>52</v>
      </c>
      <c r="R1422" t="s">
        <v>52</v>
      </c>
      <c r="S1422" t="s">
        <v>52</v>
      </c>
      <c r="T1422" t="s">
        <v>52</v>
      </c>
      <c r="U1422" t="s">
        <v>52</v>
      </c>
      <c r="V1422" t="s">
        <v>62</v>
      </c>
      <c r="W1422" t="s">
        <v>63</v>
      </c>
      <c r="Y1422" t="s">
        <v>52</v>
      </c>
      <c r="AB1422" t="s">
        <v>52</v>
      </c>
      <c r="AE1422" t="s">
        <v>52</v>
      </c>
      <c r="AF1422" t="s">
        <v>52</v>
      </c>
      <c r="AH1422">
        <v>0</v>
      </c>
      <c r="AI1422">
        <v>0</v>
      </c>
      <c r="AJ1422" t="s">
        <v>52</v>
      </c>
      <c r="AK1422">
        <v>0</v>
      </c>
      <c r="AL1422" t="s">
        <v>52</v>
      </c>
      <c r="AM1422" t="s">
        <v>52</v>
      </c>
      <c r="AN1422">
        <v>0</v>
      </c>
      <c r="AO1422">
        <v>0</v>
      </c>
      <c r="AP1422" t="s">
        <v>52</v>
      </c>
      <c r="AQ1422" t="s">
        <v>52</v>
      </c>
      <c r="AR1422" t="s">
        <v>62</v>
      </c>
      <c r="AS1422" t="s">
        <v>52</v>
      </c>
      <c r="AT1422" t="s">
        <v>52</v>
      </c>
      <c r="AU1422" t="s">
        <v>64</v>
      </c>
      <c r="AV1422" t="s">
        <v>62</v>
      </c>
      <c r="AW1422" t="s">
        <v>65</v>
      </c>
      <c r="AX1422" t="s">
        <v>66</v>
      </c>
      <c r="AY1422" t="s">
        <v>67</v>
      </c>
    </row>
    <row r="1423" spans="1:51" hidden="1" x14ac:dyDescent="0.25">
      <c r="A1423">
        <v>203479</v>
      </c>
      <c r="B1423" t="s">
        <v>5344</v>
      </c>
      <c r="C1423" t="str">
        <f>VLOOKUP(A1423,[1]Customer_payment_journal_line!$AL:$BO,30,0)</f>
        <v>CPay-000000090</v>
      </c>
      <c r="D1423" t="s">
        <v>53</v>
      </c>
      <c r="E1423" t="s">
        <v>5342</v>
      </c>
      <c r="F1423" t="s">
        <v>5343</v>
      </c>
      <c r="G1423" t="s">
        <v>5265</v>
      </c>
      <c r="H1423" t="s">
        <v>69</v>
      </c>
      <c r="I1423" t="s">
        <v>669</v>
      </c>
      <c r="J1423" t="s">
        <v>666</v>
      </c>
      <c r="K1423" t="s">
        <v>5337</v>
      </c>
      <c r="L1423">
        <f>VLOOKUP(A1423,[1]Customer_payment_journal_line!$B:$L,11,0)</f>
        <v>2821.64</v>
      </c>
      <c r="M1423" s="1">
        <v>0</v>
      </c>
      <c r="N1423">
        <v>2821.64</v>
      </c>
      <c r="O1423" t="s">
        <v>61</v>
      </c>
      <c r="P1423">
        <v>100</v>
      </c>
      <c r="Q1423" t="s">
        <v>52</v>
      </c>
      <c r="R1423" t="s">
        <v>52</v>
      </c>
      <c r="S1423" t="s">
        <v>52</v>
      </c>
      <c r="T1423" t="s">
        <v>52</v>
      </c>
      <c r="U1423" t="s">
        <v>52</v>
      </c>
      <c r="V1423" t="s">
        <v>62</v>
      </c>
      <c r="W1423" t="s">
        <v>52</v>
      </c>
      <c r="Y1423" t="s">
        <v>670</v>
      </c>
      <c r="Z1423" t="s">
        <v>62</v>
      </c>
      <c r="AB1423" t="s">
        <v>5345</v>
      </c>
      <c r="AE1423" t="s">
        <v>5346</v>
      </c>
      <c r="AF1423" t="s">
        <v>52</v>
      </c>
      <c r="AH1423">
        <v>0</v>
      </c>
      <c r="AI1423">
        <v>0</v>
      </c>
      <c r="AJ1423" t="s">
        <v>52</v>
      </c>
      <c r="AK1423">
        <v>0</v>
      </c>
      <c r="AL1423" t="s">
        <v>52</v>
      </c>
      <c r="AM1423" t="s">
        <v>52</v>
      </c>
      <c r="AN1423">
        <v>0</v>
      </c>
      <c r="AO1423">
        <v>0</v>
      </c>
      <c r="AP1423" t="s">
        <v>52</v>
      </c>
      <c r="AQ1423" t="s">
        <v>52</v>
      </c>
      <c r="AR1423" t="s">
        <v>62</v>
      </c>
      <c r="AS1423" t="s">
        <v>52</v>
      </c>
      <c r="AT1423" t="s">
        <v>74</v>
      </c>
      <c r="AU1423" t="s">
        <v>64</v>
      </c>
      <c r="AV1423" t="s">
        <v>62</v>
      </c>
      <c r="AW1423" t="s">
        <v>65</v>
      </c>
      <c r="AX1423" t="s">
        <v>66</v>
      </c>
      <c r="AY1423" t="s">
        <v>67</v>
      </c>
    </row>
    <row r="1424" spans="1:51" hidden="1" x14ac:dyDescent="0.25">
      <c r="A1424">
        <v>203481</v>
      </c>
      <c r="B1424" t="s">
        <v>5347</v>
      </c>
      <c r="C1424" t="e">
        <f>VLOOKUP(A1424,[1]Customer_payment_journal_line!$AL:$BO,30,0)</f>
        <v>#N/A</v>
      </c>
      <c r="D1424" t="s">
        <v>76</v>
      </c>
      <c r="E1424" t="s">
        <v>5348</v>
      </c>
      <c r="F1424" t="s">
        <v>5349</v>
      </c>
      <c r="G1424" t="s">
        <v>5265</v>
      </c>
      <c r="H1424" t="s">
        <v>80</v>
      </c>
      <c r="I1424" t="s">
        <v>81</v>
      </c>
      <c r="J1424" t="s">
        <v>5350</v>
      </c>
      <c r="K1424" t="s">
        <v>2175</v>
      </c>
      <c r="L1424" t="s">
        <v>52</v>
      </c>
      <c r="M1424">
        <v>1710</v>
      </c>
      <c r="N1424">
        <v>0</v>
      </c>
      <c r="O1424" t="s">
        <v>61</v>
      </c>
      <c r="P1424">
        <v>100</v>
      </c>
      <c r="Q1424" t="s">
        <v>52</v>
      </c>
      <c r="R1424" t="s">
        <v>52</v>
      </c>
      <c r="S1424" t="s">
        <v>52</v>
      </c>
      <c r="T1424" t="s">
        <v>52</v>
      </c>
      <c r="U1424" t="s">
        <v>52</v>
      </c>
      <c r="V1424" t="s">
        <v>62</v>
      </c>
      <c r="W1424" t="s">
        <v>52</v>
      </c>
      <c r="Y1424" t="s">
        <v>52</v>
      </c>
      <c r="AB1424" t="s">
        <v>52</v>
      </c>
      <c r="AE1424" t="s">
        <v>52</v>
      </c>
      <c r="AF1424" t="s">
        <v>52</v>
      </c>
      <c r="AH1424">
        <v>0</v>
      </c>
      <c r="AI1424">
        <v>0</v>
      </c>
      <c r="AJ1424" t="s">
        <v>52</v>
      </c>
      <c r="AK1424">
        <v>0</v>
      </c>
      <c r="AL1424" t="s">
        <v>52</v>
      </c>
      <c r="AM1424" t="s">
        <v>52</v>
      </c>
      <c r="AN1424">
        <v>0</v>
      </c>
      <c r="AO1424">
        <v>0</v>
      </c>
      <c r="AP1424" t="s">
        <v>52</v>
      </c>
      <c r="AQ1424" t="s">
        <v>52</v>
      </c>
      <c r="AR1424" t="s">
        <v>62</v>
      </c>
      <c r="AS1424" t="s">
        <v>52</v>
      </c>
      <c r="AT1424" t="s">
        <v>52</v>
      </c>
      <c r="AU1424" t="s">
        <v>64</v>
      </c>
      <c r="AV1424" t="s">
        <v>62</v>
      </c>
      <c r="AW1424" t="s">
        <v>65</v>
      </c>
      <c r="AX1424" t="s">
        <v>66</v>
      </c>
      <c r="AY1424" t="s">
        <v>76</v>
      </c>
    </row>
    <row r="1425" spans="1:51" hidden="1" x14ac:dyDescent="0.25">
      <c r="A1425">
        <v>203481</v>
      </c>
      <c r="B1425" t="s">
        <v>5351</v>
      </c>
      <c r="C1425" t="e">
        <f>VLOOKUP(A1425,[1]Customer_payment_journal_line!$AL:$BO,30,0)</f>
        <v>#N/A</v>
      </c>
      <c r="D1425" t="s">
        <v>76</v>
      </c>
      <c r="E1425" t="s">
        <v>5348</v>
      </c>
      <c r="F1425" t="s">
        <v>5349</v>
      </c>
      <c r="G1425" t="s">
        <v>5265</v>
      </c>
      <c r="H1425" t="s">
        <v>69</v>
      </c>
      <c r="I1425" t="s">
        <v>2177</v>
      </c>
      <c r="J1425" t="s">
        <v>5350</v>
      </c>
      <c r="K1425" t="s">
        <v>2175</v>
      </c>
      <c r="L1425" t="s">
        <v>52</v>
      </c>
      <c r="M1425">
        <v>0</v>
      </c>
      <c r="N1425">
        <v>1710</v>
      </c>
      <c r="O1425" t="s">
        <v>61</v>
      </c>
      <c r="P1425">
        <v>100</v>
      </c>
      <c r="Q1425" t="s">
        <v>52</v>
      </c>
      <c r="R1425" t="s">
        <v>52</v>
      </c>
      <c r="S1425" t="s">
        <v>52</v>
      </c>
      <c r="T1425" t="s">
        <v>52</v>
      </c>
      <c r="U1425" t="s">
        <v>52</v>
      </c>
      <c r="V1425" t="s">
        <v>62</v>
      </c>
      <c r="W1425" t="s">
        <v>52</v>
      </c>
      <c r="Y1425" t="s">
        <v>2178</v>
      </c>
      <c r="Z1425" t="s">
        <v>62</v>
      </c>
      <c r="AB1425" t="s">
        <v>5352</v>
      </c>
      <c r="AE1425" t="s">
        <v>5353</v>
      </c>
      <c r="AF1425" t="s">
        <v>52</v>
      </c>
      <c r="AH1425">
        <v>0</v>
      </c>
      <c r="AI1425">
        <v>0</v>
      </c>
      <c r="AJ1425" t="s">
        <v>52</v>
      </c>
      <c r="AK1425">
        <v>0</v>
      </c>
      <c r="AL1425" t="s">
        <v>52</v>
      </c>
      <c r="AM1425" t="s">
        <v>52</v>
      </c>
      <c r="AN1425">
        <v>0</v>
      </c>
      <c r="AO1425">
        <v>0</v>
      </c>
      <c r="AP1425" t="s">
        <v>52</v>
      </c>
      <c r="AQ1425" t="s">
        <v>52</v>
      </c>
      <c r="AR1425" t="s">
        <v>62</v>
      </c>
      <c r="AS1425" t="s">
        <v>52</v>
      </c>
      <c r="AT1425" t="s">
        <v>74</v>
      </c>
      <c r="AU1425" t="s">
        <v>64</v>
      </c>
      <c r="AV1425" t="s">
        <v>62</v>
      </c>
      <c r="AW1425" t="s">
        <v>65</v>
      </c>
      <c r="AX1425" t="s">
        <v>66</v>
      </c>
      <c r="AY1425" t="s">
        <v>76</v>
      </c>
    </row>
    <row r="1426" spans="1:51" hidden="1" x14ac:dyDescent="0.25">
      <c r="A1426">
        <v>203492</v>
      </c>
      <c r="B1426" t="s">
        <v>5354</v>
      </c>
      <c r="C1426" t="e">
        <f>VLOOKUP(A1426,[1]Customer_payment_journal_line!$AL:$BO,30,0)</f>
        <v>#N/A</v>
      </c>
      <c r="D1426" t="s">
        <v>76</v>
      </c>
      <c r="E1426" t="s">
        <v>5355</v>
      </c>
      <c r="F1426" t="s">
        <v>5356</v>
      </c>
      <c r="G1426" t="s">
        <v>5265</v>
      </c>
      <c r="H1426" t="s">
        <v>80</v>
      </c>
      <c r="I1426" t="s">
        <v>81</v>
      </c>
      <c r="J1426" t="s">
        <v>5357</v>
      </c>
      <c r="K1426" t="s">
        <v>4142</v>
      </c>
      <c r="L1426" t="s">
        <v>52</v>
      </c>
      <c r="M1426">
        <v>1710</v>
      </c>
      <c r="N1426">
        <v>0</v>
      </c>
      <c r="O1426" t="s">
        <v>61</v>
      </c>
      <c r="P1426">
        <v>100</v>
      </c>
      <c r="Q1426" t="s">
        <v>52</v>
      </c>
      <c r="R1426" t="s">
        <v>52</v>
      </c>
      <c r="S1426" t="s">
        <v>52</v>
      </c>
      <c r="T1426" t="s">
        <v>52</v>
      </c>
      <c r="U1426" t="s">
        <v>52</v>
      </c>
      <c r="V1426" t="s">
        <v>62</v>
      </c>
      <c r="W1426" t="s">
        <v>52</v>
      </c>
      <c r="Y1426" t="s">
        <v>52</v>
      </c>
      <c r="AB1426" t="s">
        <v>52</v>
      </c>
      <c r="AE1426" t="s">
        <v>52</v>
      </c>
      <c r="AF1426" t="s">
        <v>52</v>
      </c>
      <c r="AH1426">
        <v>0</v>
      </c>
      <c r="AI1426">
        <v>0</v>
      </c>
      <c r="AJ1426" t="s">
        <v>52</v>
      </c>
      <c r="AK1426">
        <v>0</v>
      </c>
      <c r="AL1426" t="s">
        <v>52</v>
      </c>
      <c r="AM1426" t="s">
        <v>52</v>
      </c>
      <c r="AN1426">
        <v>0</v>
      </c>
      <c r="AO1426">
        <v>0</v>
      </c>
      <c r="AP1426" t="s">
        <v>52</v>
      </c>
      <c r="AQ1426" t="s">
        <v>52</v>
      </c>
      <c r="AR1426" t="s">
        <v>62</v>
      </c>
      <c r="AS1426" t="s">
        <v>52</v>
      </c>
      <c r="AT1426" t="s">
        <v>52</v>
      </c>
      <c r="AU1426" t="s">
        <v>64</v>
      </c>
      <c r="AV1426" t="s">
        <v>62</v>
      </c>
      <c r="AW1426" t="s">
        <v>65</v>
      </c>
      <c r="AX1426" t="s">
        <v>66</v>
      </c>
      <c r="AY1426" t="s">
        <v>76</v>
      </c>
    </row>
    <row r="1427" spans="1:51" hidden="1" x14ac:dyDescent="0.25">
      <c r="A1427">
        <v>203492</v>
      </c>
      <c r="B1427" t="s">
        <v>5358</v>
      </c>
      <c r="C1427" t="e">
        <f>VLOOKUP(A1427,[1]Customer_payment_journal_line!$AL:$BO,30,0)</f>
        <v>#N/A</v>
      </c>
      <c r="D1427" t="s">
        <v>76</v>
      </c>
      <c r="E1427" t="s">
        <v>5355</v>
      </c>
      <c r="F1427" t="s">
        <v>5356</v>
      </c>
      <c r="G1427" t="s">
        <v>5265</v>
      </c>
      <c r="H1427" t="s">
        <v>69</v>
      </c>
      <c r="I1427" t="s">
        <v>4144</v>
      </c>
      <c r="J1427" t="s">
        <v>5357</v>
      </c>
      <c r="K1427" t="s">
        <v>4142</v>
      </c>
      <c r="L1427" t="s">
        <v>52</v>
      </c>
      <c r="M1427">
        <v>0</v>
      </c>
      <c r="N1427">
        <v>1710</v>
      </c>
      <c r="O1427" t="s">
        <v>61</v>
      </c>
      <c r="P1427">
        <v>100</v>
      </c>
      <c r="Q1427" t="s">
        <v>52</v>
      </c>
      <c r="R1427" t="s">
        <v>52</v>
      </c>
      <c r="S1427" t="s">
        <v>52</v>
      </c>
      <c r="T1427" t="s">
        <v>52</v>
      </c>
      <c r="U1427" t="s">
        <v>52</v>
      </c>
      <c r="V1427" t="s">
        <v>62</v>
      </c>
      <c r="W1427" t="s">
        <v>52</v>
      </c>
      <c r="Y1427" t="s">
        <v>4145</v>
      </c>
      <c r="Z1427" t="s">
        <v>62</v>
      </c>
      <c r="AB1427" t="s">
        <v>5359</v>
      </c>
      <c r="AE1427" t="s">
        <v>5360</v>
      </c>
      <c r="AF1427" t="s">
        <v>52</v>
      </c>
      <c r="AH1427">
        <v>0</v>
      </c>
      <c r="AI1427">
        <v>0</v>
      </c>
      <c r="AJ1427" t="s">
        <v>52</v>
      </c>
      <c r="AK1427">
        <v>0</v>
      </c>
      <c r="AL1427" t="s">
        <v>52</v>
      </c>
      <c r="AM1427" t="s">
        <v>52</v>
      </c>
      <c r="AN1427">
        <v>0</v>
      </c>
      <c r="AO1427">
        <v>0</v>
      </c>
      <c r="AP1427" t="s">
        <v>52</v>
      </c>
      <c r="AQ1427" t="s">
        <v>52</v>
      </c>
      <c r="AR1427" t="s">
        <v>62</v>
      </c>
      <c r="AS1427" t="s">
        <v>52</v>
      </c>
      <c r="AT1427" t="s">
        <v>74</v>
      </c>
      <c r="AU1427" t="s">
        <v>64</v>
      </c>
      <c r="AV1427" t="s">
        <v>62</v>
      </c>
      <c r="AW1427" t="s">
        <v>65</v>
      </c>
      <c r="AX1427" t="s">
        <v>66</v>
      </c>
      <c r="AY1427" t="s">
        <v>76</v>
      </c>
    </row>
    <row r="1428" spans="1:51" hidden="1" x14ac:dyDescent="0.25">
      <c r="A1428">
        <v>203496</v>
      </c>
      <c r="B1428" t="s">
        <v>5361</v>
      </c>
      <c r="C1428" t="str">
        <f>VLOOKUP(A1428,[1]Customer_payment_journal_line!$AL:$BO,30,0)</f>
        <v>CPay-000000091</v>
      </c>
      <c r="D1428" t="s">
        <v>53</v>
      </c>
      <c r="E1428" t="s">
        <v>5362</v>
      </c>
      <c r="F1428" t="s">
        <v>5363</v>
      </c>
      <c r="G1428" t="s">
        <v>5265</v>
      </c>
      <c r="H1428" t="s">
        <v>57</v>
      </c>
      <c r="I1428" t="s">
        <v>95</v>
      </c>
      <c r="J1428" t="s">
        <v>1618</v>
      </c>
      <c r="K1428" t="s">
        <v>5364</v>
      </c>
      <c r="L1428">
        <f>VLOOKUP(A1428,[1]Customer_payment_journal_line!$B:$L,11,0)</f>
        <v>199.5</v>
      </c>
      <c r="M1428" s="1">
        <v>199.5</v>
      </c>
      <c r="N1428" s="2">
        <f>L1428-M1428</f>
        <v>0</v>
      </c>
      <c r="O1428" t="s">
        <v>61</v>
      </c>
      <c r="P1428">
        <v>100</v>
      </c>
      <c r="Q1428" t="s">
        <v>52</v>
      </c>
      <c r="R1428" t="s">
        <v>52</v>
      </c>
      <c r="S1428" t="s">
        <v>52</v>
      </c>
      <c r="T1428" t="s">
        <v>52</v>
      </c>
      <c r="U1428" t="s">
        <v>52</v>
      </c>
      <c r="V1428" t="s">
        <v>62</v>
      </c>
      <c r="W1428" t="s">
        <v>63</v>
      </c>
      <c r="Y1428" t="s">
        <v>52</v>
      </c>
      <c r="AB1428" t="s">
        <v>52</v>
      </c>
      <c r="AE1428" t="s">
        <v>52</v>
      </c>
      <c r="AF1428" t="s">
        <v>52</v>
      </c>
      <c r="AH1428">
        <v>0</v>
      </c>
      <c r="AI1428">
        <v>0</v>
      </c>
      <c r="AJ1428" t="s">
        <v>52</v>
      </c>
      <c r="AK1428">
        <v>0</v>
      </c>
      <c r="AL1428" t="s">
        <v>52</v>
      </c>
      <c r="AM1428" t="s">
        <v>52</v>
      </c>
      <c r="AN1428">
        <v>0</v>
      </c>
      <c r="AO1428">
        <v>0</v>
      </c>
      <c r="AP1428" t="s">
        <v>52</v>
      </c>
      <c r="AQ1428" t="s">
        <v>52</v>
      </c>
      <c r="AR1428" t="s">
        <v>62</v>
      </c>
      <c r="AS1428" t="s">
        <v>52</v>
      </c>
      <c r="AT1428" t="s">
        <v>52</v>
      </c>
      <c r="AU1428" t="s">
        <v>64</v>
      </c>
      <c r="AV1428" t="s">
        <v>62</v>
      </c>
      <c r="AW1428" t="s">
        <v>65</v>
      </c>
      <c r="AX1428" t="s">
        <v>66</v>
      </c>
      <c r="AY1428" t="s">
        <v>67</v>
      </c>
    </row>
    <row r="1429" spans="1:51" hidden="1" x14ac:dyDescent="0.25">
      <c r="A1429">
        <v>203496</v>
      </c>
      <c r="B1429" t="s">
        <v>5365</v>
      </c>
      <c r="C1429" t="str">
        <f>VLOOKUP(A1429,[1]Customer_payment_journal_line!$AL:$BO,30,0)</f>
        <v>CPay-000000091</v>
      </c>
      <c r="D1429" t="s">
        <v>53</v>
      </c>
      <c r="E1429" t="s">
        <v>5362</v>
      </c>
      <c r="F1429" t="s">
        <v>5363</v>
      </c>
      <c r="G1429" t="s">
        <v>5265</v>
      </c>
      <c r="H1429" t="s">
        <v>69</v>
      </c>
      <c r="I1429" t="s">
        <v>1621</v>
      </c>
      <c r="J1429" t="s">
        <v>1618</v>
      </c>
      <c r="K1429" t="s">
        <v>5364</v>
      </c>
      <c r="L1429">
        <f>VLOOKUP(A1429,[1]Customer_payment_journal_line!$B:$L,11,0)</f>
        <v>199.5</v>
      </c>
      <c r="M1429" s="1">
        <v>0</v>
      </c>
      <c r="N1429">
        <v>199.5</v>
      </c>
      <c r="O1429" t="s">
        <v>61</v>
      </c>
      <c r="P1429">
        <v>100</v>
      </c>
      <c r="Q1429" t="s">
        <v>52</v>
      </c>
      <c r="R1429" t="s">
        <v>52</v>
      </c>
      <c r="S1429" t="s">
        <v>52</v>
      </c>
      <c r="T1429" t="s">
        <v>52</v>
      </c>
      <c r="U1429" t="s">
        <v>52</v>
      </c>
      <c r="V1429" t="s">
        <v>62</v>
      </c>
      <c r="W1429" t="s">
        <v>52</v>
      </c>
      <c r="Y1429" t="s">
        <v>1622</v>
      </c>
      <c r="Z1429" t="s">
        <v>62</v>
      </c>
      <c r="AB1429" t="s">
        <v>5366</v>
      </c>
      <c r="AE1429" t="s">
        <v>5367</v>
      </c>
      <c r="AF1429" t="s">
        <v>52</v>
      </c>
      <c r="AH1429">
        <v>0</v>
      </c>
      <c r="AI1429">
        <v>0</v>
      </c>
      <c r="AJ1429" t="s">
        <v>52</v>
      </c>
      <c r="AK1429">
        <v>0</v>
      </c>
      <c r="AL1429" t="s">
        <v>52</v>
      </c>
      <c r="AM1429" t="s">
        <v>52</v>
      </c>
      <c r="AN1429">
        <v>0</v>
      </c>
      <c r="AO1429">
        <v>0</v>
      </c>
      <c r="AP1429" t="s">
        <v>52</v>
      </c>
      <c r="AQ1429" t="s">
        <v>52</v>
      </c>
      <c r="AR1429" t="s">
        <v>62</v>
      </c>
      <c r="AS1429" t="s">
        <v>52</v>
      </c>
      <c r="AT1429" t="s">
        <v>74</v>
      </c>
      <c r="AU1429" t="s">
        <v>64</v>
      </c>
      <c r="AV1429" t="s">
        <v>62</v>
      </c>
      <c r="AW1429" t="s">
        <v>65</v>
      </c>
      <c r="AX1429" t="s">
        <v>66</v>
      </c>
      <c r="AY1429" t="s">
        <v>67</v>
      </c>
    </row>
    <row r="1430" spans="1:51" hidden="1" x14ac:dyDescent="0.25">
      <c r="A1430">
        <v>203497</v>
      </c>
      <c r="B1430" t="s">
        <v>5368</v>
      </c>
      <c r="C1430" t="str">
        <f>VLOOKUP(A1430,[1]Customer_payment_journal_line!$AL:$BO,30,0)</f>
        <v>CPay-000000092</v>
      </c>
      <c r="D1430" t="s">
        <v>53</v>
      </c>
      <c r="E1430" t="s">
        <v>5369</v>
      </c>
      <c r="F1430" t="s">
        <v>5370</v>
      </c>
      <c r="G1430" t="s">
        <v>5265</v>
      </c>
      <c r="H1430" t="s">
        <v>57</v>
      </c>
      <c r="I1430" t="s">
        <v>95</v>
      </c>
      <c r="J1430" t="s">
        <v>1618</v>
      </c>
      <c r="K1430" t="s">
        <v>5364</v>
      </c>
      <c r="L1430">
        <f>VLOOKUP(A1430,[1]Customer_payment_journal_line!$B:$L,11,0)</f>
        <v>1653</v>
      </c>
      <c r="M1430" s="1">
        <v>1653</v>
      </c>
      <c r="N1430" s="2">
        <f>L1430-M1430</f>
        <v>0</v>
      </c>
      <c r="O1430" t="s">
        <v>61</v>
      </c>
      <c r="P1430">
        <v>100</v>
      </c>
      <c r="Q1430" t="s">
        <v>52</v>
      </c>
      <c r="R1430" t="s">
        <v>52</v>
      </c>
      <c r="S1430" t="s">
        <v>52</v>
      </c>
      <c r="T1430" t="s">
        <v>52</v>
      </c>
      <c r="U1430" t="s">
        <v>52</v>
      </c>
      <c r="V1430" t="s">
        <v>62</v>
      </c>
      <c r="W1430" t="s">
        <v>63</v>
      </c>
      <c r="Y1430" t="s">
        <v>52</v>
      </c>
      <c r="AB1430" t="s">
        <v>52</v>
      </c>
      <c r="AE1430" t="s">
        <v>52</v>
      </c>
      <c r="AF1430" t="s">
        <v>52</v>
      </c>
      <c r="AH1430">
        <v>0</v>
      </c>
      <c r="AI1430">
        <v>0</v>
      </c>
      <c r="AJ1430" t="s">
        <v>52</v>
      </c>
      <c r="AK1430">
        <v>0</v>
      </c>
      <c r="AL1430" t="s">
        <v>52</v>
      </c>
      <c r="AM1430" t="s">
        <v>52</v>
      </c>
      <c r="AN1430">
        <v>0</v>
      </c>
      <c r="AO1430">
        <v>0</v>
      </c>
      <c r="AP1430" t="s">
        <v>52</v>
      </c>
      <c r="AQ1430" t="s">
        <v>52</v>
      </c>
      <c r="AR1430" t="s">
        <v>62</v>
      </c>
      <c r="AS1430" t="s">
        <v>52</v>
      </c>
      <c r="AT1430" t="s">
        <v>52</v>
      </c>
      <c r="AU1430" t="s">
        <v>64</v>
      </c>
      <c r="AV1430" t="s">
        <v>62</v>
      </c>
      <c r="AW1430" t="s">
        <v>65</v>
      </c>
      <c r="AX1430" t="s">
        <v>66</v>
      </c>
      <c r="AY1430" t="s">
        <v>67</v>
      </c>
    </row>
    <row r="1431" spans="1:51" hidden="1" x14ac:dyDescent="0.25">
      <c r="A1431">
        <v>203497</v>
      </c>
      <c r="B1431" t="s">
        <v>5371</v>
      </c>
      <c r="C1431" t="str">
        <f>VLOOKUP(A1431,[1]Customer_payment_journal_line!$AL:$BO,30,0)</f>
        <v>CPay-000000092</v>
      </c>
      <c r="D1431" t="s">
        <v>53</v>
      </c>
      <c r="E1431" t="s">
        <v>5369</v>
      </c>
      <c r="F1431" t="s">
        <v>5370</v>
      </c>
      <c r="G1431" t="s">
        <v>5265</v>
      </c>
      <c r="H1431" t="s">
        <v>69</v>
      </c>
      <c r="I1431" t="s">
        <v>1621</v>
      </c>
      <c r="J1431" t="s">
        <v>1618</v>
      </c>
      <c r="K1431" t="s">
        <v>5364</v>
      </c>
      <c r="L1431">
        <f>VLOOKUP(A1431,[1]Customer_payment_journal_line!$B:$L,11,0)</f>
        <v>1653</v>
      </c>
      <c r="M1431" s="1">
        <v>0</v>
      </c>
      <c r="N1431">
        <v>1653</v>
      </c>
      <c r="O1431" t="s">
        <v>61</v>
      </c>
      <c r="P1431">
        <v>100</v>
      </c>
      <c r="Q1431" t="s">
        <v>52</v>
      </c>
      <c r="R1431" t="s">
        <v>52</v>
      </c>
      <c r="S1431" t="s">
        <v>52</v>
      </c>
      <c r="T1431" t="s">
        <v>52</v>
      </c>
      <c r="U1431" t="s">
        <v>52</v>
      </c>
      <c r="V1431" t="s">
        <v>62</v>
      </c>
      <c r="W1431" t="s">
        <v>52</v>
      </c>
      <c r="Y1431" t="s">
        <v>1622</v>
      </c>
      <c r="Z1431" t="s">
        <v>62</v>
      </c>
      <c r="AB1431" t="s">
        <v>5372</v>
      </c>
      <c r="AE1431" t="s">
        <v>5373</v>
      </c>
      <c r="AF1431" t="s">
        <v>52</v>
      </c>
      <c r="AH1431">
        <v>0</v>
      </c>
      <c r="AI1431">
        <v>0</v>
      </c>
      <c r="AJ1431" t="s">
        <v>52</v>
      </c>
      <c r="AK1431">
        <v>0</v>
      </c>
      <c r="AL1431" t="s">
        <v>52</v>
      </c>
      <c r="AM1431" t="s">
        <v>52</v>
      </c>
      <c r="AN1431">
        <v>0</v>
      </c>
      <c r="AO1431">
        <v>0</v>
      </c>
      <c r="AP1431" t="s">
        <v>52</v>
      </c>
      <c r="AQ1431" t="s">
        <v>52</v>
      </c>
      <c r="AR1431" t="s">
        <v>62</v>
      </c>
      <c r="AS1431" t="s">
        <v>52</v>
      </c>
      <c r="AT1431" t="s">
        <v>74</v>
      </c>
      <c r="AU1431" t="s">
        <v>64</v>
      </c>
      <c r="AV1431" t="s">
        <v>62</v>
      </c>
      <c r="AW1431" t="s">
        <v>65</v>
      </c>
      <c r="AX1431" t="s">
        <v>66</v>
      </c>
      <c r="AY1431" t="s">
        <v>67</v>
      </c>
    </row>
    <row r="1432" spans="1:51" hidden="1" x14ac:dyDescent="0.25">
      <c r="A1432">
        <v>203509</v>
      </c>
      <c r="B1432" t="s">
        <v>5374</v>
      </c>
      <c r="C1432" t="e">
        <f>VLOOKUP(A1432,[1]Customer_payment_journal_line!$AL:$BO,30,0)</f>
        <v>#N/A</v>
      </c>
      <c r="D1432" t="s">
        <v>76</v>
      </c>
      <c r="E1432" t="s">
        <v>5375</v>
      </c>
      <c r="F1432" t="s">
        <v>5376</v>
      </c>
      <c r="G1432" t="s">
        <v>5265</v>
      </c>
      <c r="H1432" t="s">
        <v>80</v>
      </c>
      <c r="I1432" t="s">
        <v>81</v>
      </c>
      <c r="J1432" t="s">
        <v>5377</v>
      </c>
      <c r="K1432" t="s">
        <v>3544</v>
      </c>
      <c r="L1432" t="s">
        <v>52</v>
      </c>
      <c r="M1432">
        <v>2736</v>
      </c>
      <c r="N1432">
        <v>0</v>
      </c>
      <c r="O1432" t="s">
        <v>61</v>
      </c>
      <c r="P1432">
        <v>100</v>
      </c>
      <c r="Q1432" t="s">
        <v>52</v>
      </c>
      <c r="R1432" t="s">
        <v>52</v>
      </c>
      <c r="S1432" t="s">
        <v>52</v>
      </c>
      <c r="T1432" t="s">
        <v>52</v>
      </c>
      <c r="U1432" t="s">
        <v>52</v>
      </c>
      <c r="V1432" t="s">
        <v>62</v>
      </c>
      <c r="W1432" t="s">
        <v>52</v>
      </c>
      <c r="Y1432" t="s">
        <v>52</v>
      </c>
      <c r="AB1432" t="s">
        <v>52</v>
      </c>
      <c r="AE1432" t="s">
        <v>52</v>
      </c>
      <c r="AF1432" t="s">
        <v>52</v>
      </c>
      <c r="AH1432">
        <v>0</v>
      </c>
      <c r="AI1432">
        <v>0</v>
      </c>
      <c r="AJ1432" t="s">
        <v>52</v>
      </c>
      <c r="AK1432">
        <v>0</v>
      </c>
      <c r="AL1432" t="s">
        <v>52</v>
      </c>
      <c r="AM1432" t="s">
        <v>52</v>
      </c>
      <c r="AN1432">
        <v>0</v>
      </c>
      <c r="AO1432">
        <v>0</v>
      </c>
      <c r="AP1432" t="s">
        <v>52</v>
      </c>
      <c r="AQ1432" t="s">
        <v>52</v>
      </c>
      <c r="AR1432" t="s">
        <v>62</v>
      </c>
      <c r="AS1432" t="s">
        <v>52</v>
      </c>
      <c r="AT1432" t="s">
        <v>52</v>
      </c>
      <c r="AU1432" t="s">
        <v>64</v>
      </c>
      <c r="AV1432" t="s">
        <v>62</v>
      </c>
      <c r="AW1432" t="s">
        <v>65</v>
      </c>
      <c r="AX1432" t="s">
        <v>66</v>
      </c>
      <c r="AY1432" t="s">
        <v>76</v>
      </c>
    </row>
    <row r="1433" spans="1:51" hidden="1" x14ac:dyDescent="0.25">
      <c r="A1433">
        <v>203509</v>
      </c>
      <c r="B1433" t="s">
        <v>5378</v>
      </c>
      <c r="C1433" t="e">
        <f>VLOOKUP(A1433,[1]Customer_payment_journal_line!$AL:$BO,30,0)</f>
        <v>#N/A</v>
      </c>
      <c r="D1433" t="s">
        <v>76</v>
      </c>
      <c r="E1433" t="s">
        <v>5375</v>
      </c>
      <c r="F1433" t="s">
        <v>5376</v>
      </c>
      <c r="G1433" t="s">
        <v>5265</v>
      </c>
      <c r="H1433" t="s">
        <v>69</v>
      </c>
      <c r="I1433" t="s">
        <v>3546</v>
      </c>
      <c r="J1433" t="s">
        <v>5377</v>
      </c>
      <c r="K1433" t="s">
        <v>3544</v>
      </c>
      <c r="L1433" t="s">
        <v>52</v>
      </c>
      <c r="M1433">
        <v>0</v>
      </c>
      <c r="N1433">
        <v>2736</v>
      </c>
      <c r="O1433" t="s">
        <v>61</v>
      </c>
      <c r="P1433">
        <v>100</v>
      </c>
      <c r="Q1433" t="s">
        <v>52</v>
      </c>
      <c r="R1433" t="s">
        <v>52</v>
      </c>
      <c r="S1433" t="s">
        <v>52</v>
      </c>
      <c r="T1433" t="s">
        <v>52</v>
      </c>
      <c r="U1433" t="s">
        <v>52</v>
      </c>
      <c r="V1433" t="s">
        <v>62</v>
      </c>
      <c r="W1433" t="s">
        <v>52</v>
      </c>
      <c r="Y1433" t="s">
        <v>3547</v>
      </c>
      <c r="Z1433" t="s">
        <v>62</v>
      </c>
      <c r="AB1433" t="s">
        <v>5379</v>
      </c>
      <c r="AE1433" t="s">
        <v>5380</v>
      </c>
      <c r="AF1433" t="s">
        <v>52</v>
      </c>
      <c r="AH1433">
        <v>0</v>
      </c>
      <c r="AI1433">
        <v>0</v>
      </c>
      <c r="AJ1433" t="s">
        <v>52</v>
      </c>
      <c r="AK1433">
        <v>0</v>
      </c>
      <c r="AL1433" t="s">
        <v>52</v>
      </c>
      <c r="AM1433" t="s">
        <v>52</v>
      </c>
      <c r="AN1433">
        <v>0</v>
      </c>
      <c r="AO1433">
        <v>0</v>
      </c>
      <c r="AP1433" t="s">
        <v>52</v>
      </c>
      <c r="AQ1433" t="s">
        <v>52</v>
      </c>
      <c r="AR1433" t="s">
        <v>62</v>
      </c>
      <c r="AS1433" t="s">
        <v>52</v>
      </c>
      <c r="AT1433" t="s">
        <v>74</v>
      </c>
      <c r="AU1433" t="s">
        <v>64</v>
      </c>
      <c r="AV1433" t="s">
        <v>62</v>
      </c>
      <c r="AW1433" t="s">
        <v>65</v>
      </c>
      <c r="AX1433" t="s">
        <v>66</v>
      </c>
      <c r="AY1433" t="s">
        <v>76</v>
      </c>
    </row>
    <row r="1434" spans="1:51" hidden="1" x14ac:dyDescent="0.25">
      <c r="A1434">
        <v>203527</v>
      </c>
      <c r="B1434" t="s">
        <v>5381</v>
      </c>
      <c r="C1434" t="str">
        <f>VLOOKUP(A1434,[1]Customer_payment_journal_line!$AL:$BO,30,0)</f>
        <v>CPay-000000093</v>
      </c>
      <c r="D1434" t="s">
        <v>53</v>
      </c>
      <c r="E1434" t="s">
        <v>5382</v>
      </c>
      <c r="F1434" t="s">
        <v>5383</v>
      </c>
      <c r="G1434" t="s">
        <v>5265</v>
      </c>
      <c r="H1434" t="s">
        <v>57</v>
      </c>
      <c r="I1434" t="s">
        <v>95</v>
      </c>
      <c r="J1434" t="s">
        <v>1845</v>
      </c>
      <c r="K1434" t="s">
        <v>5384</v>
      </c>
      <c r="L1434">
        <f>VLOOKUP(A1434,[1]Customer_payment_journal_line!$B:$L,11,0)</f>
        <v>1653</v>
      </c>
      <c r="M1434" s="1">
        <v>1653</v>
      </c>
      <c r="N1434" s="2">
        <f>L1434-M1434</f>
        <v>0</v>
      </c>
      <c r="O1434" t="s">
        <v>61</v>
      </c>
      <c r="P1434">
        <v>100</v>
      </c>
      <c r="Q1434" t="s">
        <v>52</v>
      </c>
      <c r="R1434" t="s">
        <v>52</v>
      </c>
      <c r="S1434" t="s">
        <v>52</v>
      </c>
      <c r="T1434" t="s">
        <v>52</v>
      </c>
      <c r="U1434" t="s">
        <v>52</v>
      </c>
      <c r="V1434" t="s">
        <v>62</v>
      </c>
      <c r="W1434" t="s">
        <v>63</v>
      </c>
      <c r="Y1434" t="s">
        <v>52</v>
      </c>
      <c r="AB1434" t="s">
        <v>52</v>
      </c>
      <c r="AE1434" t="s">
        <v>52</v>
      </c>
      <c r="AF1434" t="s">
        <v>52</v>
      </c>
      <c r="AH1434">
        <v>0</v>
      </c>
      <c r="AI1434">
        <v>0</v>
      </c>
      <c r="AJ1434" t="s">
        <v>52</v>
      </c>
      <c r="AK1434">
        <v>0</v>
      </c>
      <c r="AL1434" t="s">
        <v>52</v>
      </c>
      <c r="AM1434" t="s">
        <v>52</v>
      </c>
      <c r="AN1434">
        <v>0</v>
      </c>
      <c r="AO1434">
        <v>0</v>
      </c>
      <c r="AP1434" t="s">
        <v>52</v>
      </c>
      <c r="AQ1434" t="s">
        <v>52</v>
      </c>
      <c r="AR1434" t="s">
        <v>62</v>
      </c>
      <c r="AS1434" t="s">
        <v>52</v>
      </c>
      <c r="AT1434" t="s">
        <v>52</v>
      </c>
      <c r="AU1434" t="s">
        <v>64</v>
      </c>
      <c r="AV1434" t="s">
        <v>62</v>
      </c>
      <c r="AW1434" t="s">
        <v>65</v>
      </c>
      <c r="AX1434" t="s">
        <v>66</v>
      </c>
      <c r="AY1434" t="s">
        <v>67</v>
      </c>
    </row>
    <row r="1435" spans="1:51" hidden="1" x14ac:dyDescent="0.25">
      <c r="A1435">
        <v>203527</v>
      </c>
      <c r="B1435" t="s">
        <v>5385</v>
      </c>
      <c r="C1435" t="str">
        <f>VLOOKUP(A1435,[1]Customer_payment_journal_line!$AL:$BO,30,0)</f>
        <v>CPay-000000093</v>
      </c>
      <c r="D1435" t="s">
        <v>53</v>
      </c>
      <c r="E1435" t="s">
        <v>5382</v>
      </c>
      <c r="F1435" t="s">
        <v>5383</v>
      </c>
      <c r="G1435" t="s">
        <v>5265</v>
      </c>
      <c r="H1435" t="s">
        <v>69</v>
      </c>
      <c r="I1435" t="s">
        <v>685</v>
      </c>
      <c r="J1435" t="s">
        <v>1845</v>
      </c>
      <c r="K1435" t="s">
        <v>5384</v>
      </c>
      <c r="L1435">
        <f>VLOOKUP(A1435,[1]Customer_payment_journal_line!$B:$L,11,0)</f>
        <v>1653</v>
      </c>
      <c r="M1435" s="1">
        <v>0</v>
      </c>
      <c r="N1435">
        <v>1653</v>
      </c>
      <c r="O1435" t="s">
        <v>61</v>
      </c>
      <c r="P1435">
        <v>100</v>
      </c>
      <c r="Q1435" t="s">
        <v>52</v>
      </c>
      <c r="R1435" t="s">
        <v>52</v>
      </c>
      <c r="S1435" t="s">
        <v>52</v>
      </c>
      <c r="T1435" t="s">
        <v>52</v>
      </c>
      <c r="U1435" t="s">
        <v>52</v>
      </c>
      <c r="V1435" t="s">
        <v>62</v>
      </c>
      <c r="W1435" t="s">
        <v>52</v>
      </c>
      <c r="Y1435" t="s">
        <v>686</v>
      </c>
      <c r="Z1435" t="s">
        <v>62</v>
      </c>
      <c r="AB1435" t="s">
        <v>5386</v>
      </c>
      <c r="AE1435" t="s">
        <v>5387</v>
      </c>
      <c r="AF1435" t="s">
        <v>52</v>
      </c>
      <c r="AH1435">
        <v>0</v>
      </c>
      <c r="AI1435">
        <v>0</v>
      </c>
      <c r="AJ1435" t="s">
        <v>52</v>
      </c>
      <c r="AK1435">
        <v>0</v>
      </c>
      <c r="AL1435" t="s">
        <v>52</v>
      </c>
      <c r="AM1435" t="s">
        <v>52</v>
      </c>
      <c r="AN1435">
        <v>0</v>
      </c>
      <c r="AO1435">
        <v>0</v>
      </c>
      <c r="AP1435" t="s">
        <v>52</v>
      </c>
      <c r="AQ1435" t="s">
        <v>52</v>
      </c>
      <c r="AR1435" t="s">
        <v>62</v>
      </c>
      <c r="AS1435" t="s">
        <v>52</v>
      </c>
      <c r="AT1435" t="s">
        <v>74</v>
      </c>
      <c r="AU1435" t="s">
        <v>64</v>
      </c>
      <c r="AV1435" t="s">
        <v>62</v>
      </c>
      <c r="AW1435" t="s">
        <v>65</v>
      </c>
      <c r="AX1435" t="s">
        <v>66</v>
      </c>
      <c r="AY1435" t="s">
        <v>67</v>
      </c>
    </row>
    <row r="1436" spans="1:51" hidden="1" x14ac:dyDescent="0.25">
      <c r="A1436">
        <v>203528</v>
      </c>
      <c r="B1436" t="s">
        <v>5388</v>
      </c>
      <c r="C1436" t="str">
        <f>VLOOKUP(A1436,[1]Customer_payment_journal_line!$AL:$BO,30,0)</f>
        <v>CPay-000000094</v>
      </c>
      <c r="D1436" t="s">
        <v>53</v>
      </c>
      <c r="E1436" t="s">
        <v>5389</v>
      </c>
      <c r="F1436" t="s">
        <v>5390</v>
      </c>
      <c r="G1436" t="s">
        <v>5265</v>
      </c>
      <c r="H1436" t="s">
        <v>57</v>
      </c>
      <c r="I1436" t="s">
        <v>95</v>
      </c>
      <c r="J1436" t="s">
        <v>1845</v>
      </c>
      <c r="K1436" t="s">
        <v>5384</v>
      </c>
      <c r="L1436">
        <f>VLOOKUP(A1436,[1]Customer_payment_journal_line!$B:$L,11,0)</f>
        <v>2867.1</v>
      </c>
      <c r="M1436" s="1">
        <v>2867.1</v>
      </c>
      <c r="N1436" s="2">
        <f>L1436-M1436</f>
        <v>0</v>
      </c>
      <c r="O1436" t="s">
        <v>61</v>
      </c>
      <c r="P1436">
        <v>100</v>
      </c>
      <c r="Q1436" t="s">
        <v>52</v>
      </c>
      <c r="R1436" t="s">
        <v>52</v>
      </c>
      <c r="S1436" t="s">
        <v>52</v>
      </c>
      <c r="T1436" t="s">
        <v>52</v>
      </c>
      <c r="U1436" t="s">
        <v>52</v>
      </c>
      <c r="V1436" t="s">
        <v>62</v>
      </c>
      <c r="W1436" t="s">
        <v>63</v>
      </c>
      <c r="Y1436" t="s">
        <v>52</v>
      </c>
      <c r="AB1436" t="s">
        <v>52</v>
      </c>
      <c r="AE1436" t="s">
        <v>52</v>
      </c>
      <c r="AF1436" t="s">
        <v>52</v>
      </c>
      <c r="AH1436">
        <v>0</v>
      </c>
      <c r="AI1436">
        <v>0</v>
      </c>
      <c r="AJ1436" t="s">
        <v>52</v>
      </c>
      <c r="AK1436">
        <v>0</v>
      </c>
      <c r="AL1436" t="s">
        <v>52</v>
      </c>
      <c r="AM1436" t="s">
        <v>52</v>
      </c>
      <c r="AN1436">
        <v>0</v>
      </c>
      <c r="AO1436">
        <v>0</v>
      </c>
      <c r="AP1436" t="s">
        <v>52</v>
      </c>
      <c r="AQ1436" t="s">
        <v>52</v>
      </c>
      <c r="AR1436" t="s">
        <v>62</v>
      </c>
      <c r="AS1436" t="s">
        <v>52</v>
      </c>
      <c r="AT1436" t="s">
        <v>52</v>
      </c>
      <c r="AU1436" t="s">
        <v>64</v>
      </c>
      <c r="AV1436" t="s">
        <v>62</v>
      </c>
      <c r="AW1436" t="s">
        <v>65</v>
      </c>
      <c r="AX1436" t="s">
        <v>66</v>
      </c>
      <c r="AY1436" t="s">
        <v>67</v>
      </c>
    </row>
    <row r="1437" spans="1:51" hidden="1" x14ac:dyDescent="0.25">
      <c r="A1437">
        <v>203528</v>
      </c>
      <c r="B1437" t="s">
        <v>5391</v>
      </c>
      <c r="C1437" t="str">
        <f>VLOOKUP(A1437,[1]Customer_payment_journal_line!$AL:$BO,30,0)</f>
        <v>CPay-000000094</v>
      </c>
      <c r="D1437" t="s">
        <v>53</v>
      </c>
      <c r="E1437" t="s">
        <v>5389</v>
      </c>
      <c r="F1437" t="s">
        <v>5390</v>
      </c>
      <c r="G1437" t="s">
        <v>5265</v>
      </c>
      <c r="H1437" t="s">
        <v>69</v>
      </c>
      <c r="I1437" t="s">
        <v>685</v>
      </c>
      <c r="J1437" t="s">
        <v>1845</v>
      </c>
      <c r="K1437" t="s">
        <v>5384</v>
      </c>
      <c r="L1437">
        <f>VLOOKUP(A1437,[1]Customer_payment_journal_line!$B:$L,11,0)</f>
        <v>2867.1</v>
      </c>
      <c r="M1437" s="1">
        <v>0</v>
      </c>
      <c r="N1437">
        <v>2867.1</v>
      </c>
      <c r="O1437" t="s">
        <v>61</v>
      </c>
      <c r="P1437">
        <v>100</v>
      </c>
      <c r="Q1437" t="s">
        <v>52</v>
      </c>
      <c r="R1437" t="s">
        <v>52</v>
      </c>
      <c r="S1437" t="s">
        <v>52</v>
      </c>
      <c r="T1437" t="s">
        <v>52</v>
      </c>
      <c r="U1437" t="s">
        <v>52</v>
      </c>
      <c r="V1437" t="s">
        <v>62</v>
      </c>
      <c r="W1437" t="s">
        <v>52</v>
      </c>
      <c r="Y1437" t="s">
        <v>686</v>
      </c>
      <c r="Z1437" t="s">
        <v>62</v>
      </c>
      <c r="AB1437" t="s">
        <v>5392</v>
      </c>
      <c r="AE1437" t="s">
        <v>5393</v>
      </c>
      <c r="AF1437" t="s">
        <v>52</v>
      </c>
      <c r="AH1437">
        <v>0</v>
      </c>
      <c r="AI1437">
        <v>0</v>
      </c>
      <c r="AJ1437" t="s">
        <v>52</v>
      </c>
      <c r="AK1437">
        <v>0</v>
      </c>
      <c r="AL1437" t="s">
        <v>52</v>
      </c>
      <c r="AM1437" t="s">
        <v>52</v>
      </c>
      <c r="AN1437">
        <v>0</v>
      </c>
      <c r="AO1437">
        <v>0</v>
      </c>
      <c r="AP1437" t="s">
        <v>52</v>
      </c>
      <c r="AQ1437" t="s">
        <v>52</v>
      </c>
      <c r="AR1437" t="s">
        <v>62</v>
      </c>
      <c r="AS1437" t="s">
        <v>52</v>
      </c>
      <c r="AT1437" t="s">
        <v>74</v>
      </c>
      <c r="AU1437" t="s">
        <v>64</v>
      </c>
      <c r="AV1437" t="s">
        <v>62</v>
      </c>
      <c r="AW1437" t="s">
        <v>65</v>
      </c>
      <c r="AX1437" t="s">
        <v>66</v>
      </c>
      <c r="AY1437" t="s">
        <v>67</v>
      </c>
    </row>
    <row r="1438" spans="1:51" hidden="1" x14ac:dyDescent="0.25">
      <c r="A1438">
        <v>402639</v>
      </c>
      <c r="B1438" t="s">
        <v>5394</v>
      </c>
      <c r="C1438" t="e">
        <f>VLOOKUP(A1438,[1]Customer_payment_journal_line!$AL:$BO,30,0)</f>
        <v>#N/A</v>
      </c>
      <c r="D1438" t="s">
        <v>76</v>
      </c>
      <c r="E1438" t="s">
        <v>5395</v>
      </c>
      <c r="F1438" t="s">
        <v>5396</v>
      </c>
      <c r="G1438" t="s">
        <v>5265</v>
      </c>
      <c r="H1438" t="s">
        <v>80</v>
      </c>
      <c r="I1438" t="s">
        <v>81</v>
      </c>
      <c r="J1438" t="s">
        <v>5397</v>
      </c>
      <c r="K1438" t="s">
        <v>5398</v>
      </c>
      <c r="L1438" t="s">
        <v>52</v>
      </c>
      <c r="M1438">
        <v>3078</v>
      </c>
      <c r="N1438">
        <v>0</v>
      </c>
      <c r="O1438" t="s">
        <v>61</v>
      </c>
      <c r="P1438">
        <v>100</v>
      </c>
      <c r="Q1438" t="s">
        <v>52</v>
      </c>
      <c r="R1438" t="s">
        <v>52</v>
      </c>
      <c r="S1438" t="s">
        <v>52</v>
      </c>
      <c r="T1438" t="s">
        <v>52</v>
      </c>
      <c r="U1438" t="s">
        <v>52</v>
      </c>
      <c r="V1438" t="s">
        <v>62</v>
      </c>
      <c r="W1438" t="s">
        <v>52</v>
      </c>
      <c r="Y1438" t="s">
        <v>52</v>
      </c>
      <c r="AB1438" t="s">
        <v>52</v>
      </c>
      <c r="AE1438" t="s">
        <v>52</v>
      </c>
      <c r="AF1438" t="s">
        <v>52</v>
      </c>
      <c r="AH1438">
        <v>0</v>
      </c>
      <c r="AI1438">
        <v>0</v>
      </c>
      <c r="AJ1438" t="s">
        <v>52</v>
      </c>
      <c r="AK1438">
        <v>0</v>
      </c>
      <c r="AL1438" t="s">
        <v>52</v>
      </c>
      <c r="AM1438" t="s">
        <v>52</v>
      </c>
      <c r="AN1438">
        <v>0</v>
      </c>
      <c r="AO1438">
        <v>0</v>
      </c>
      <c r="AP1438" t="s">
        <v>52</v>
      </c>
      <c r="AQ1438" t="s">
        <v>52</v>
      </c>
      <c r="AR1438" t="s">
        <v>62</v>
      </c>
      <c r="AS1438" t="s">
        <v>52</v>
      </c>
      <c r="AT1438" t="s">
        <v>52</v>
      </c>
      <c r="AU1438" t="s">
        <v>64</v>
      </c>
      <c r="AV1438" t="s">
        <v>62</v>
      </c>
      <c r="AW1438" t="s">
        <v>65</v>
      </c>
      <c r="AX1438" t="s">
        <v>66</v>
      </c>
      <c r="AY1438" t="s">
        <v>76</v>
      </c>
    </row>
    <row r="1439" spans="1:51" hidden="1" x14ac:dyDescent="0.25">
      <c r="A1439">
        <v>402639</v>
      </c>
      <c r="B1439" t="s">
        <v>5399</v>
      </c>
      <c r="C1439" t="e">
        <f>VLOOKUP(A1439,[1]Customer_payment_journal_line!$AL:$BO,30,0)</f>
        <v>#N/A</v>
      </c>
      <c r="D1439" t="s">
        <v>76</v>
      </c>
      <c r="E1439" t="s">
        <v>5395</v>
      </c>
      <c r="F1439" t="s">
        <v>5396</v>
      </c>
      <c r="G1439" t="s">
        <v>5265</v>
      </c>
      <c r="H1439" t="s">
        <v>69</v>
      </c>
      <c r="I1439" t="s">
        <v>5400</v>
      </c>
      <c r="J1439" t="s">
        <v>5397</v>
      </c>
      <c r="K1439" t="s">
        <v>5398</v>
      </c>
      <c r="L1439" t="s">
        <v>52</v>
      </c>
      <c r="M1439">
        <v>0</v>
      </c>
      <c r="N1439">
        <v>855</v>
      </c>
      <c r="O1439" t="s">
        <v>61</v>
      </c>
      <c r="P1439">
        <v>100</v>
      </c>
      <c r="Q1439" t="s">
        <v>52</v>
      </c>
      <c r="R1439" t="s">
        <v>52</v>
      </c>
      <c r="S1439" t="s">
        <v>52</v>
      </c>
      <c r="T1439" t="s">
        <v>52</v>
      </c>
      <c r="U1439" t="s">
        <v>52</v>
      </c>
      <c r="V1439" t="s">
        <v>62</v>
      </c>
      <c r="W1439" t="s">
        <v>52</v>
      </c>
      <c r="Y1439" t="s">
        <v>5401</v>
      </c>
      <c r="Z1439" t="s">
        <v>62</v>
      </c>
      <c r="AB1439" t="s">
        <v>5402</v>
      </c>
      <c r="AE1439" t="s">
        <v>5403</v>
      </c>
      <c r="AF1439" t="s">
        <v>52</v>
      </c>
      <c r="AH1439">
        <v>0</v>
      </c>
      <c r="AI1439">
        <v>0</v>
      </c>
      <c r="AJ1439" t="s">
        <v>52</v>
      </c>
      <c r="AK1439">
        <v>0</v>
      </c>
      <c r="AL1439" t="s">
        <v>52</v>
      </c>
      <c r="AM1439" t="s">
        <v>52</v>
      </c>
      <c r="AN1439">
        <v>0</v>
      </c>
      <c r="AO1439">
        <v>0</v>
      </c>
      <c r="AP1439" t="s">
        <v>52</v>
      </c>
      <c r="AQ1439" t="s">
        <v>52</v>
      </c>
      <c r="AR1439" t="s">
        <v>62</v>
      </c>
      <c r="AS1439" t="s">
        <v>52</v>
      </c>
      <c r="AT1439" t="s">
        <v>74</v>
      </c>
      <c r="AU1439" t="s">
        <v>64</v>
      </c>
      <c r="AV1439" t="s">
        <v>62</v>
      </c>
      <c r="AW1439" t="s">
        <v>65</v>
      </c>
      <c r="AX1439" t="s">
        <v>66</v>
      </c>
      <c r="AY1439" t="s">
        <v>76</v>
      </c>
    </row>
    <row r="1440" spans="1:51" hidden="1" x14ac:dyDescent="0.25">
      <c r="A1440">
        <v>402639</v>
      </c>
      <c r="B1440" t="s">
        <v>5404</v>
      </c>
      <c r="C1440" t="e">
        <f>VLOOKUP(A1440,[1]Customer_payment_journal_line!$AL:$BO,30,0)</f>
        <v>#N/A</v>
      </c>
      <c r="D1440" t="s">
        <v>76</v>
      </c>
      <c r="E1440" t="s">
        <v>5395</v>
      </c>
      <c r="F1440" t="s">
        <v>5396</v>
      </c>
      <c r="G1440" t="s">
        <v>5265</v>
      </c>
      <c r="H1440" t="s">
        <v>69</v>
      </c>
      <c r="I1440" t="s">
        <v>5400</v>
      </c>
      <c r="J1440" t="s">
        <v>5397</v>
      </c>
      <c r="K1440" t="s">
        <v>5398</v>
      </c>
      <c r="L1440" t="s">
        <v>52</v>
      </c>
      <c r="M1440">
        <v>0</v>
      </c>
      <c r="N1440">
        <v>2223</v>
      </c>
      <c r="O1440" t="s">
        <v>61</v>
      </c>
      <c r="P1440">
        <v>100</v>
      </c>
      <c r="Q1440" t="s">
        <v>52</v>
      </c>
      <c r="R1440" t="s">
        <v>52</v>
      </c>
      <c r="S1440" t="s">
        <v>52</v>
      </c>
      <c r="T1440" t="s">
        <v>52</v>
      </c>
      <c r="U1440" t="s">
        <v>52</v>
      </c>
      <c r="V1440" t="s">
        <v>62</v>
      </c>
      <c r="W1440" t="s">
        <v>52</v>
      </c>
      <c r="Y1440" t="s">
        <v>5401</v>
      </c>
      <c r="Z1440" t="s">
        <v>62</v>
      </c>
      <c r="AB1440" t="s">
        <v>5405</v>
      </c>
      <c r="AE1440" t="s">
        <v>5406</v>
      </c>
      <c r="AF1440" t="s">
        <v>52</v>
      </c>
      <c r="AH1440">
        <v>0</v>
      </c>
      <c r="AI1440">
        <v>0</v>
      </c>
      <c r="AJ1440" t="s">
        <v>52</v>
      </c>
      <c r="AK1440">
        <v>0</v>
      </c>
      <c r="AL1440" t="s">
        <v>52</v>
      </c>
      <c r="AM1440" t="s">
        <v>52</v>
      </c>
      <c r="AN1440">
        <v>0</v>
      </c>
      <c r="AO1440">
        <v>0</v>
      </c>
      <c r="AP1440" t="s">
        <v>52</v>
      </c>
      <c r="AQ1440" t="s">
        <v>52</v>
      </c>
      <c r="AR1440" t="s">
        <v>62</v>
      </c>
      <c r="AS1440" t="s">
        <v>52</v>
      </c>
      <c r="AT1440" t="s">
        <v>74</v>
      </c>
      <c r="AU1440" t="s">
        <v>64</v>
      </c>
      <c r="AV1440" t="s">
        <v>62</v>
      </c>
      <c r="AW1440" t="s">
        <v>65</v>
      </c>
      <c r="AX1440" t="s">
        <v>66</v>
      </c>
      <c r="AY1440" t="s">
        <v>76</v>
      </c>
    </row>
    <row r="1441" spans="1:51" hidden="1" x14ac:dyDescent="0.25">
      <c r="A1441">
        <v>403711</v>
      </c>
      <c r="B1441" t="s">
        <v>5407</v>
      </c>
      <c r="C1441" t="e">
        <f>VLOOKUP(A1441,[1]Customer_payment_journal_line!$AL:$BO,30,0)</f>
        <v>#N/A</v>
      </c>
      <c r="D1441" t="s">
        <v>159</v>
      </c>
      <c r="E1441" t="s">
        <v>5408</v>
      </c>
      <c r="F1441" t="s">
        <v>5409</v>
      </c>
      <c r="G1441" t="s">
        <v>5265</v>
      </c>
      <c r="H1441" t="s">
        <v>80</v>
      </c>
      <c r="I1441" t="s">
        <v>177</v>
      </c>
      <c r="J1441" t="s">
        <v>5410</v>
      </c>
      <c r="K1441" t="s">
        <v>5411</v>
      </c>
      <c r="L1441" t="s">
        <v>52</v>
      </c>
      <c r="M1441">
        <v>1265</v>
      </c>
      <c r="N1441">
        <v>0</v>
      </c>
      <c r="O1441" t="s">
        <v>178</v>
      </c>
      <c r="P1441">
        <v>5085</v>
      </c>
      <c r="Q1441" t="s">
        <v>52</v>
      </c>
      <c r="R1441" t="s">
        <v>52</v>
      </c>
      <c r="S1441" t="s">
        <v>52</v>
      </c>
      <c r="T1441" t="s">
        <v>52</v>
      </c>
      <c r="U1441" t="s">
        <v>52</v>
      </c>
      <c r="V1441" t="s">
        <v>62</v>
      </c>
      <c r="W1441" t="s">
        <v>52</v>
      </c>
      <c r="Y1441" t="s">
        <v>52</v>
      </c>
      <c r="AB1441" t="s">
        <v>52</v>
      </c>
      <c r="AE1441" t="s">
        <v>52</v>
      </c>
      <c r="AF1441" t="s">
        <v>52</v>
      </c>
      <c r="AH1441">
        <v>0</v>
      </c>
      <c r="AI1441">
        <v>0</v>
      </c>
      <c r="AJ1441" t="s">
        <v>52</v>
      </c>
      <c r="AK1441">
        <v>0</v>
      </c>
      <c r="AL1441" t="s">
        <v>52</v>
      </c>
      <c r="AM1441" t="s">
        <v>52</v>
      </c>
      <c r="AN1441">
        <v>0</v>
      </c>
      <c r="AO1441">
        <v>0</v>
      </c>
      <c r="AP1441" t="s">
        <v>52</v>
      </c>
      <c r="AQ1441" t="s">
        <v>52</v>
      </c>
      <c r="AR1441" t="s">
        <v>62</v>
      </c>
      <c r="AS1441" t="s">
        <v>52</v>
      </c>
      <c r="AT1441" t="s">
        <v>52</v>
      </c>
      <c r="AU1441" t="s">
        <v>64</v>
      </c>
      <c r="AV1441" t="s">
        <v>62</v>
      </c>
      <c r="AW1441" t="s">
        <v>65</v>
      </c>
      <c r="AX1441" t="s">
        <v>66</v>
      </c>
      <c r="AY1441" t="s">
        <v>165</v>
      </c>
    </row>
    <row r="1442" spans="1:51" hidden="1" x14ac:dyDescent="0.25">
      <c r="A1442">
        <v>403711</v>
      </c>
      <c r="B1442" t="s">
        <v>5412</v>
      </c>
      <c r="C1442" t="e">
        <f>VLOOKUP(A1442,[1]Customer_payment_journal_line!$AL:$BO,30,0)</f>
        <v>#N/A</v>
      </c>
      <c r="D1442" t="s">
        <v>159</v>
      </c>
      <c r="E1442" t="s">
        <v>5408</v>
      </c>
      <c r="F1442" t="s">
        <v>5409</v>
      </c>
      <c r="G1442" t="s">
        <v>5265</v>
      </c>
      <c r="H1442" t="s">
        <v>69</v>
      </c>
      <c r="I1442" t="s">
        <v>5413</v>
      </c>
      <c r="J1442" t="s">
        <v>5410</v>
      </c>
      <c r="K1442" t="s">
        <v>5411</v>
      </c>
      <c r="L1442" t="s">
        <v>52</v>
      </c>
      <c r="M1442">
        <v>0</v>
      </c>
      <c r="N1442">
        <v>1265</v>
      </c>
      <c r="O1442" t="s">
        <v>178</v>
      </c>
      <c r="P1442">
        <v>5085</v>
      </c>
      <c r="Q1442" t="s">
        <v>52</v>
      </c>
      <c r="R1442" t="s">
        <v>52</v>
      </c>
      <c r="S1442" t="s">
        <v>52</v>
      </c>
      <c r="T1442" t="s">
        <v>52</v>
      </c>
      <c r="U1442" t="s">
        <v>52</v>
      </c>
      <c r="V1442" t="s">
        <v>62</v>
      </c>
      <c r="W1442" t="s">
        <v>52</v>
      </c>
      <c r="Y1442" t="s">
        <v>5414</v>
      </c>
      <c r="Z1442" t="s">
        <v>62</v>
      </c>
      <c r="AB1442" t="s">
        <v>5415</v>
      </c>
      <c r="AE1442" t="s">
        <v>5416</v>
      </c>
      <c r="AF1442" t="s">
        <v>52</v>
      </c>
      <c r="AH1442">
        <v>0</v>
      </c>
      <c r="AI1442">
        <v>0</v>
      </c>
      <c r="AJ1442" t="s">
        <v>52</v>
      </c>
      <c r="AK1442">
        <v>0</v>
      </c>
      <c r="AL1442" t="s">
        <v>52</v>
      </c>
      <c r="AM1442" t="s">
        <v>52</v>
      </c>
      <c r="AN1442">
        <v>0</v>
      </c>
      <c r="AO1442">
        <v>0</v>
      </c>
      <c r="AP1442" t="s">
        <v>52</v>
      </c>
      <c r="AQ1442" t="s">
        <v>52</v>
      </c>
      <c r="AR1442" t="s">
        <v>62</v>
      </c>
      <c r="AS1442" t="s">
        <v>52</v>
      </c>
      <c r="AT1442" t="s">
        <v>74</v>
      </c>
      <c r="AU1442" t="s">
        <v>64</v>
      </c>
      <c r="AV1442" t="s">
        <v>62</v>
      </c>
      <c r="AW1442" t="s">
        <v>65</v>
      </c>
      <c r="AX1442" t="s">
        <v>66</v>
      </c>
      <c r="AY1442" t="s">
        <v>165</v>
      </c>
    </row>
    <row r="1443" spans="1:51" hidden="1" x14ac:dyDescent="0.25">
      <c r="A1443">
        <v>406130</v>
      </c>
      <c r="B1443" t="s">
        <v>5417</v>
      </c>
      <c r="C1443" t="e">
        <f>VLOOKUP(A1443,[1]Customer_payment_journal_line!$AL:$BO,30,0)</f>
        <v>#N/A</v>
      </c>
      <c r="D1443" t="s">
        <v>159</v>
      </c>
      <c r="E1443" t="s">
        <v>5418</v>
      </c>
      <c r="F1443" t="s">
        <v>5419</v>
      </c>
      <c r="G1443" t="s">
        <v>5265</v>
      </c>
      <c r="H1443" t="s">
        <v>80</v>
      </c>
      <c r="I1443" t="s">
        <v>3573</v>
      </c>
      <c r="J1443" t="s">
        <v>5420</v>
      </c>
      <c r="K1443" t="s">
        <v>5421</v>
      </c>
      <c r="L1443" t="s">
        <v>52</v>
      </c>
      <c r="M1443">
        <v>275</v>
      </c>
      <c r="N1443">
        <v>0</v>
      </c>
      <c r="O1443" t="s">
        <v>178</v>
      </c>
      <c r="P1443">
        <v>5085</v>
      </c>
      <c r="Q1443" t="s">
        <v>52</v>
      </c>
      <c r="R1443" t="s">
        <v>52</v>
      </c>
      <c r="S1443" t="s">
        <v>52</v>
      </c>
      <c r="T1443" t="s">
        <v>52</v>
      </c>
      <c r="U1443" t="s">
        <v>52</v>
      </c>
      <c r="V1443" t="s">
        <v>62</v>
      </c>
      <c r="W1443" t="s">
        <v>52</v>
      </c>
      <c r="Y1443" t="s">
        <v>52</v>
      </c>
      <c r="AB1443" t="s">
        <v>52</v>
      </c>
      <c r="AE1443" t="s">
        <v>52</v>
      </c>
      <c r="AF1443" t="s">
        <v>52</v>
      </c>
      <c r="AH1443">
        <v>0</v>
      </c>
      <c r="AI1443">
        <v>0</v>
      </c>
      <c r="AJ1443" t="s">
        <v>52</v>
      </c>
      <c r="AK1443">
        <v>0</v>
      </c>
      <c r="AL1443" t="s">
        <v>52</v>
      </c>
      <c r="AM1443" t="s">
        <v>52</v>
      </c>
      <c r="AN1443">
        <v>0</v>
      </c>
      <c r="AO1443">
        <v>0</v>
      </c>
      <c r="AP1443" t="s">
        <v>52</v>
      </c>
      <c r="AQ1443" t="s">
        <v>52</v>
      </c>
      <c r="AR1443" t="s">
        <v>62</v>
      </c>
      <c r="AS1443" t="s">
        <v>52</v>
      </c>
      <c r="AT1443" t="s">
        <v>52</v>
      </c>
      <c r="AU1443" t="s">
        <v>64</v>
      </c>
      <c r="AV1443" t="s">
        <v>62</v>
      </c>
      <c r="AW1443" t="s">
        <v>65</v>
      </c>
      <c r="AX1443" t="s">
        <v>66</v>
      </c>
      <c r="AY1443" t="s">
        <v>165</v>
      </c>
    </row>
    <row r="1444" spans="1:51" hidden="1" x14ac:dyDescent="0.25">
      <c r="A1444">
        <v>406130</v>
      </c>
      <c r="B1444" t="s">
        <v>5422</v>
      </c>
      <c r="C1444" t="e">
        <f>VLOOKUP(A1444,[1]Customer_payment_journal_line!$AL:$BO,30,0)</f>
        <v>#N/A</v>
      </c>
      <c r="D1444" t="s">
        <v>159</v>
      </c>
      <c r="E1444" t="s">
        <v>5418</v>
      </c>
      <c r="F1444" t="s">
        <v>5419</v>
      </c>
      <c r="G1444" t="s">
        <v>5265</v>
      </c>
      <c r="H1444" t="s">
        <v>69</v>
      </c>
      <c r="I1444" t="s">
        <v>5423</v>
      </c>
      <c r="J1444" t="s">
        <v>5420</v>
      </c>
      <c r="K1444" t="s">
        <v>5421</v>
      </c>
      <c r="L1444" t="s">
        <v>52</v>
      </c>
      <c r="M1444">
        <v>0</v>
      </c>
      <c r="N1444">
        <v>275</v>
      </c>
      <c r="O1444" t="s">
        <v>178</v>
      </c>
      <c r="P1444">
        <v>5085</v>
      </c>
      <c r="Q1444" t="s">
        <v>52</v>
      </c>
      <c r="R1444" t="s">
        <v>52</v>
      </c>
      <c r="S1444" t="s">
        <v>52</v>
      </c>
      <c r="T1444" t="s">
        <v>52</v>
      </c>
      <c r="U1444" t="s">
        <v>52</v>
      </c>
      <c r="V1444" t="s">
        <v>62</v>
      </c>
      <c r="W1444" t="s">
        <v>52</v>
      </c>
      <c r="Y1444" t="s">
        <v>5424</v>
      </c>
      <c r="Z1444" t="s">
        <v>62</v>
      </c>
      <c r="AB1444" t="s">
        <v>5425</v>
      </c>
      <c r="AE1444" t="s">
        <v>5426</v>
      </c>
      <c r="AF1444" t="s">
        <v>52</v>
      </c>
      <c r="AH1444">
        <v>0</v>
      </c>
      <c r="AI1444">
        <v>0</v>
      </c>
      <c r="AJ1444" t="s">
        <v>52</v>
      </c>
      <c r="AK1444">
        <v>0</v>
      </c>
      <c r="AL1444" t="s">
        <v>52</v>
      </c>
      <c r="AM1444" t="s">
        <v>52</v>
      </c>
      <c r="AN1444">
        <v>0</v>
      </c>
      <c r="AO1444">
        <v>0</v>
      </c>
      <c r="AP1444" t="s">
        <v>52</v>
      </c>
      <c r="AQ1444" t="s">
        <v>52</v>
      </c>
      <c r="AR1444" t="s">
        <v>62</v>
      </c>
      <c r="AS1444" t="s">
        <v>52</v>
      </c>
      <c r="AT1444" t="s">
        <v>74</v>
      </c>
      <c r="AU1444" t="s">
        <v>64</v>
      </c>
      <c r="AV1444" t="s">
        <v>62</v>
      </c>
      <c r="AW1444" t="s">
        <v>65</v>
      </c>
      <c r="AX1444" t="s">
        <v>66</v>
      </c>
      <c r="AY1444" t="s">
        <v>165</v>
      </c>
    </row>
    <row r="1445" spans="1:51" hidden="1" x14ac:dyDescent="0.25">
      <c r="A1445">
        <v>406141</v>
      </c>
      <c r="B1445" t="s">
        <v>5427</v>
      </c>
      <c r="C1445" t="e">
        <f>VLOOKUP(A1445,[1]Customer_payment_journal_line!$AL:$BO,30,0)</f>
        <v>#N/A</v>
      </c>
      <c r="D1445" t="s">
        <v>76</v>
      </c>
      <c r="E1445" t="s">
        <v>5428</v>
      </c>
      <c r="F1445" t="s">
        <v>5429</v>
      </c>
      <c r="G1445" t="s">
        <v>5265</v>
      </c>
      <c r="H1445" t="s">
        <v>80</v>
      </c>
      <c r="I1445" t="s">
        <v>81</v>
      </c>
      <c r="J1445" t="s">
        <v>5430</v>
      </c>
      <c r="K1445" t="s">
        <v>2655</v>
      </c>
      <c r="L1445" t="s">
        <v>52</v>
      </c>
      <c r="M1445">
        <v>4400.3999999999996</v>
      </c>
      <c r="N1445">
        <v>0</v>
      </c>
      <c r="O1445" t="s">
        <v>61</v>
      </c>
      <c r="P1445">
        <v>100</v>
      </c>
      <c r="Q1445" t="s">
        <v>52</v>
      </c>
      <c r="R1445" t="s">
        <v>52</v>
      </c>
      <c r="S1445" t="s">
        <v>52</v>
      </c>
      <c r="T1445" t="s">
        <v>52</v>
      </c>
      <c r="U1445" t="s">
        <v>52</v>
      </c>
      <c r="V1445" t="s">
        <v>62</v>
      </c>
      <c r="W1445" t="s">
        <v>52</v>
      </c>
      <c r="Y1445" t="s">
        <v>52</v>
      </c>
      <c r="AB1445" t="s">
        <v>52</v>
      </c>
      <c r="AE1445" t="s">
        <v>52</v>
      </c>
      <c r="AF1445" t="s">
        <v>52</v>
      </c>
      <c r="AH1445">
        <v>0</v>
      </c>
      <c r="AI1445">
        <v>0</v>
      </c>
      <c r="AJ1445" t="s">
        <v>52</v>
      </c>
      <c r="AK1445">
        <v>0</v>
      </c>
      <c r="AL1445" t="s">
        <v>52</v>
      </c>
      <c r="AM1445" t="s">
        <v>52</v>
      </c>
      <c r="AN1445">
        <v>0</v>
      </c>
      <c r="AO1445">
        <v>0</v>
      </c>
      <c r="AP1445" t="s">
        <v>52</v>
      </c>
      <c r="AQ1445" t="s">
        <v>52</v>
      </c>
      <c r="AR1445" t="s">
        <v>62</v>
      </c>
      <c r="AS1445" t="s">
        <v>52</v>
      </c>
      <c r="AT1445" t="s">
        <v>52</v>
      </c>
      <c r="AU1445" t="s">
        <v>64</v>
      </c>
      <c r="AV1445" t="s">
        <v>62</v>
      </c>
      <c r="AW1445" t="s">
        <v>65</v>
      </c>
      <c r="AX1445" t="s">
        <v>66</v>
      </c>
      <c r="AY1445" t="s">
        <v>76</v>
      </c>
    </row>
    <row r="1446" spans="1:51" hidden="1" x14ac:dyDescent="0.25">
      <c r="A1446">
        <v>406141</v>
      </c>
      <c r="B1446" t="s">
        <v>5431</v>
      </c>
      <c r="C1446" t="e">
        <f>VLOOKUP(A1446,[1]Customer_payment_journal_line!$AL:$BO,30,0)</f>
        <v>#N/A</v>
      </c>
      <c r="D1446" t="s">
        <v>76</v>
      </c>
      <c r="E1446" t="s">
        <v>5428</v>
      </c>
      <c r="F1446" t="s">
        <v>5429</v>
      </c>
      <c r="G1446" t="s">
        <v>5265</v>
      </c>
      <c r="H1446" t="s">
        <v>69</v>
      </c>
      <c r="I1446" t="s">
        <v>2657</v>
      </c>
      <c r="J1446" t="s">
        <v>5430</v>
      </c>
      <c r="K1446" t="s">
        <v>2655</v>
      </c>
      <c r="L1446" t="s">
        <v>52</v>
      </c>
      <c r="M1446">
        <v>0</v>
      </c>
      <c r="N1446">
        <v>4400.3999999999996</v>
      </c>
      <c r="O1446" t="s">
        <v>61</v>
      </c>
      <c r="P1446">
        <v>100</v>
      </c>
      <c r="Q1446" t="s">
        <v>52</v>
      </c>
      <c r="R1446" t="s">
        <v>52</v>
      </c>
      <c r="S1446" t="s">
        <v>52</v>
      </c>
      <c r="T1446" t="s">
        <v>52</v>
      </c>
      <c r="U1446" t="s">
        <v>52</v>
      </c>
      <c r="V1446" t="s">
        <v>62</v>
      </c>
      <c r="W1446" t="s">
        <v>52</v>
      </c>
      <c r="Y1446" t="s">
        <v>2658</v>
      </c>
      <c r="Z1446" t="s">
        <v>62</v>
      </c>
      <c r="AB1446" t="s">
        <v>5432</v>
      </c>
      <c r="AE1446" t="s">
        <v>5433</v>
      </c>
      <c r="AF1446" t="s">
        <v>52</v>
      </c>
      <c r="AH1446">
        <v>0</v>
      </c>
      <c r="AI1446">
        <v>0</v>
      </c>
      <c r="AJ1446" t="s">
        <v>52</v>
      </c>
      <c r="AK1446">
        <v>0</v>
      </c>
      <c r="AL1446" t="s">
        <v>52</v>
      </c>
      <c r="AM1446" t="s">
        <v>52</v>
      </c>
      <c r="AN1446">
        <v>0</v>
      </c>
      <c r="AO1446">
        <v>0</v>
      </c>
      <c r="AP1446" t="s">
        <v>52</v>
      </c>
      <c r="AQ1446" t="s">
        <v>52</v>
      </c>
      <c r="AR1446" t="s">
        <v>62</v>
      </c>
      <c r="AS1446" t="s">
        <v>52</v>
      </c>
      <c r="AT1446" t="s">
        <v>74</v>
      </c>
      <c r="AU1446" t="s">
        <v>64</v>
      </c>
      <c r="AV1446" t="s">
        <v>62</v>
      </c>
      <c r="AW1446" t="s">
        <v>65</v>
      </c>
      <c r="AX1446" t="s">
        <v>66</v>
      </c>
      <c r="AY1446" t="s">
        <v>76</v>
      </c>
    </row>
    <row r="1447" spans="1:51" hidden="1" x14ac:dyDescent="0.25">
      <c r="A1447">
        <v>406142</v>
      </c>
      <c r="B1447" t="s">
        <v>5434</v>
      </c>
      <c r="C1447" t="e">
        <f>VLOOKUP(A1447,[1]Customer_payment_journal_line!$AL:$BO,30,0)</f>
        <v>#N/A</v>
      </c>
      <c r="D1447" t="s">
        <v>159</v>
      </c>
      <c r="E1447" t="s">
        <v>5435</v>
      </c>
      <c r="F1447" t="s">
        <v>5436</v>
      </c>
      <c r="G1447" t="s">
        <v>5265</v>
      </c>
      <c r="H1447" t="s">
        <v>80</v>
      </c>
      <c r="I1447" t="s">
        <v>162</v>
      </c>
      <c r="J1447" t="s">
        <v>5437</v>
      </c>
      <c r="K1447" t="s">
        <v>5438</v>
      </c>
      <c r="L1447" t="s">
        <v>52</v>
      </c>
      <c r="M1447">
        <v>4275</v>
      </c>
      <c r="N1447">
        <v>0</v>
      </c>
      <c r="O1447" t="s">
        <v>61</v>
      </c>
      <c r="P1447">
        <v>100</v>
      </c>
      <c r="Q1447" t="s">
        <v>52</v>
      </c>
      <c r="R1447" t="s">
        <v>52</v>
      </c>
      <c r="S1447" t="s">
        <v>52</v>
      </c>
      <c r="T1447" t="s">
        <v>52</v>
      </c>
      <c r="U1447" t="s">
        <v>52</v>
      </c>
      <c r="V1447" t="s">
        <v>62</v>
      </c>
      <c r="W1447" t="s">
        <v>52</v>
      </c>
      <c r="Y1447" t="s">
        <v>52</v>
      </c>
      <c r="AB1447" t="s">
        <v>52</v>
      </c>
      <c r="AE1447" t="s">
        <v>52</v>
      </c>
      <c r="AF1447" t="s">
        <v>52</v>
      </c>
      <c r="AH1447">
        <v>0</v>
      </c>
      <c r="AI1447">
        <v>0</v>
      </c>
      <c r="AJ1447" t="s">
        <v>52</v>
      </c>
      <c r="AK1447">
        <v>0</v>
      </c>
      <c r="AL1447" t="s">
        <v>52</v>
      </c>
      <c r="AM1447" t="s">
        <v>52</v>
      </c>
      <c r="AN1447">
        <v>0</v>
      </c>
      <c r="AO1447">
        <v>0</v>
      </c>
      <c r="AP1447" t="s">
        <v>52</v>
      </c>
      <c r="AQ1447" t="s">
        <v>52</v>
      </c>
      <c r="AR1447" t="s">
        <v>62</v>
      </c>
      <c r="AS1447" t="s">
        <v>52</v>
      </c>
      <c r="AT1447" t="s">
        <v>52</v>
      </c>
      <c r="AU1447" t="s">
        <v>64</v>
      </c>
      <c r="AV1447" t="s">
        <v>62</v>
      </c>
      <c r="AW1447" t="s">
        <v>65</v>
      </c>
      <c r="AX1447" t="s">
        <v>66</v>
      </c>
      <c r="AY1447" t="s">
        <v>165</v>
      </c>
    </row>
    <row r="1448" spans="1:51" hidden="1" x14ac:dyDescent="0.25">
      <c r="A1448">
        <v>406142</v>
      </c>
      <c r="B1448" t="s">
        <v>5439</v>
      </c>
      <c r="C1448" t="e">
        <f>VLOOKUP(A1448,[1]Customer_payment_journal_line!$AL:$BO,30,0)</f>
        <v>#N/A</v>
      </c>
      <c r="D1448" t="s">
        <v>159</v>
      </c>
      <c r="E1448" t="s">
        <v>5435</v>
      </c>
      <c r="F1448" t="s">
        <v>5436</v>
      </c>
      <c r="G1448" t="s">
        <v>5265</v>
      </c>
      <c r="H1448" t="s">
        <v>69</v>
      </c>
      <c r="I1448" t="s">
        <v>5440</v>
      </c>
      <c r="J1448" t="s">
        <v>5437</v>
      </c>
      <c r="K1448" t="s">
        <v>5438</v>
      </c>
      <c r="L1448" t="s">
        <v>52</v>
      </c>
      <c r="M1448">
        <v>0</v>
      </c>
      <c r="N1448">
        <v>855</v>
      </c>
      <c r="O1448" t="s">
        <v>61</v>
      </c>
      <c r="P1448">
        <v>100</v>
      </c>
      <c r="Q1448" t="s">
        <v>52</v>
      </c>
      <c r="R1448" t="s">
        <v>52</v>
      </c>
      <c r="S1448" t="s">
        <v>52</v>
      </c>
      <c r="T1448" t="s">
        <v>52</v>
      </c>
      <c r="U1448" t="s">
        <v>52</v>
      </c>
      <c r="V1448" t="s">
        <v>62</v>
      </c>
      <c r="W1448" t="s">
        <v>52</v>
      </c>
      <c r="Y1448" t="s">
        <v>5441</v>
      </c>
      <c r="Z1448" t="s">
        <v>62</v>
      </c>
      <c r="AB1448" t="s">
        <v>5442</v>
      </c>
      <c r="AE1448" t="s">
        <v>5443</v>
      </c>
      <c r="AF1448" t="s">
        <v>52</v>
      </c>
      <c r="AH1448">
        <v>0</v>
      </c>
      <c r="AI1448">
        <v>0</v>
      </c>
      <c r="AJ1448" t="s">
        <v>52</v>
      </c>
      <c r="AK1448">
        <v>0</v>
      </c>
      <c r="AL1448" t="s">
        <v>52</v>
      </c>
      <c r="AM1448" t="s">
        <v>52</v>
      </c>
      <c r="AN1448">
        <v>0</v>
      </c>
      <c r="AO1448">
        <v>0</v>
      </c>
      <c r="AP1448" t="s">
        <v>52</v>
      </c>
      <c r="AQ1448" t="s">
        <v>52</v>
      </c>
      <c r="AR1448" t="s">
        <v>62</v>
      </c>
      <c r="AS1448" t="s">
        <v>52</v>
      </c>
      <c r="AT1448" t="s">
        <v>74</v>
      </c>
      <c r="AU1448" t="s">
        <v>64</v>
      </c>
      <c r="AV1448" t="s">
        <v>62</v>
      </c>
      <c r="AW1448" t="s">
        <v>65</v>
      </c>
      <c r="AX1448" t="s">
        <v>66</v>
      </c>
      <c r="AY1448" t="s">
        <v>165</v>
      </c>
    </row>
    <row r="1449" spans="1:51" hidden="1" x14ac:dyDescent="0.25">
      <c r="A1449">
        <v>406142</v>
      </c>
      <c r="B1449" t="s">
        <v>5444</v>
      </c>
      <c r="C1449" t="e">
        <f>VLOOKUP(A1449,[1]Customer_payment_journal_line!$AL:$BO,30,0)</f>
        <v>#N/A</v>
      </c>
      <c r="D1449" t="s">
        <v>159</v>
      </c>
      <c r="E1449" t="s">
        <v>5435</v>
      </c>
      <c r="F1449" t="s">
        <v>5436</v>
      </c>
      <c r="G1449" t="s">
        <v>5265</v>
      </c>
      <c r="H1449" t="s">
        <v>69</v>
      </c>
      <c r="I1449" t="s">
        <v>5440</v>
      </c>
      <c r="J1449" t="s">
        <v>5437</v>
      </c>
      <c r="K1449" t="s">
        <v>5438</v>
      </c>
      <c r="L1449" t="s">
        <v>52</v>
      </c>
      <c r="M1449">
        <v>0</v>
      </c>
      <c r="N1449">
        <v>3420</v>
      </c>
      <c r="O1449" t="s">
        <v>61</v>
      </c>
      <c r="P1449">
        <v>100</v>
      </c>
      <c r="Q1449" t="s">
        <v>52</v>
      </c>
      <c r="R1449" t="s">
        <v>52</v>
      </c>
      <c r="S1449" t="s">
        <v>52</v>
      </c>
      <c r="T1449" t="s">
        <v>52</v>
      </c>
      <c r="U1449" t="s">
        <v>52</v>
      </c>
      <c r="V1449" t="s">
        <v>62</v>
      </c>
      <c r="W1449" t="s">
        <v>52</v>
      </c>
      <c r="Y1449" t="s">
        <v>5441</v>
      </c>
      <c r="Z1449" t="s">
        <v>62</v>
      </c>
      <c r="AB1449" t="s">
        <v>5445</v>
      </c>
      <c r="AE1449" t="s">
        <v>5446</v>
      </c>
      <c r="AF1449" t="s">
        <v>52</v>
      </c>
      <c r="AH1449">
        <v>0</v>
      </c>
      <c r="AI1449">
        <v>0</v>
      </c>
      <c r="AJ1449" t="s">
        <v>52</v>
      </c>
      <c r="AK1449">
        <v>0</v>
      </c>
      <c r="AL1449" t="s">
        <v>52</v>
      </c>
      <c r="AM1449" t="s">
        <v>52</v>
      </c>
      <c r="AN1449">
        <v>0</v>
      </c>
      <c r="AO1449">
        <v>0</v>
      </c>
      <c r="AP1449" t="s">
        <v>52</v>
      </c>
      <c r="AQ1449" t="s">
        <v>52</v>
      </c>
      <c r="AR1449" t="s">
        <v>62</v>
      </c>
      <c r="AS1449" t="s">
        <v>52</v>
      </c>
      <c r="AT1449" t="s">
        <v>74</v>
      </c>
      <c r="AU1449" t="s">
        <v>64</v>
      </c>
      <c r="AV1449" t="s">
        <v>62</v>
      </c>
      <c r="AW1449" t="s">
        <v>65</v>
      </c>
      <c r="AX1449" t="s">
        <v>66</v>
      </c>
      <c r="AY1449" t="s">
        <v>165</v>
      </c>
    </row>
    <row r="1450" spans="1:51" hidden="1" x14ac:dyDescent="0.25">
      <c r="A1450">
        <v>406151</v>
      </c>
      <c r="B1450" t="s">
        <v>5447</v>
      </c>
      <c r="C1450" t="e">
        <f>VLOOKUP(A1450,[1]Customer_payment_journal_line!$AL:$BO,30,0)</f>
        <v>#N/A</v>
      </c>
      <c r="D1450" t="s">
        <v>76</v>
      </c>
      <c r="E1450" t="s">
        <v>5448</v>
      </c>
      <c r="F1450" t="s">
        <v>5449</v>
      </c>
      <c r="G1450" t="s">
        <v>5265</v>
      </c>
      <c r="H1450" t="s">
        <v>80</v>
      </c>
      <c r="I1450" t="s">
        <v>81</v>
      </c>
      <c r="J1450" t="s">
        <v>5450</v>
      </c>
      <c r="K1450" t="s">
        <v>5451</v>
      </c>
      <c r="L1450" t="s">
        <v>52</v>
      </c>
      <c r="M1450">
        <v>11115</v>
      </c>
      <c r="N1450">
        <v>0</v>
      </c>
      <c r="O1450" t="s">
        <v>61</v>
      </c>
      <c r="P1450">
        <v>100</v>
      </c>
      <c r="Q1450" t="s">
        <v>52</v>
      </c>
      <c r="R1450" t="s">
        <v>52</v>
      </c>
      <c r="S1450" t="s">
        <v>52</v>
      </c>
      <c r="T1450" t="s">
        <v>52</v>
      </c>
      <c r="U1450" t="s">
        <v>52</v>
      </c>
      <c r="V1450" t="s">
        <v>62</v>
      </c>
      <c r="W1450" t="s">
        <v>52</v>
      </c>
      <c r="Y1450" t="s">
        <v>52</v>
      </c>
      <c r="AB1450" t="s">
        <v>52</v>
      </c>
      <c r="AE1450" t="s">
        <v>52</v>
      </c>
      <c r="AF1450" t="s">
        <v>52</v>
      </c>
      <c r="AH1450">
        <v>0</v>
      </c>
      <c r="AI1450">
        <v>0</v>
      </c>
      <c r="AJ1450" t="s">
        <v>52</v>
      </c>
      <c r="AK1450">
        <v>0</v>
      </c>
      <c r="AL1450" t="s">
        <v>52</v>
      </c>
      <c r="AM1450" t="s">
        <v>52</v>
      </c>
      <c r="AN1450">
        <v>0</v>
      </c>
      <c r="AO1450">
        <v>0</v>
      </c>
      <c r="AP1450" t="s">
        <v>52</v>
      </c>
      <c r="AQ1450" t="s">
        <v>52</v>
      </c>
      <c r="AR1450" t="s">
        <v>62</v>
      </c>
      <c r="AS1450" t="s">
        <v>52</v>
      </c>
      <c r="AT1450" t="s">
        <v>52</v>
      </c>
      <c r="AU1450" t="s">
        <v>64</v>
      </c>
      <c r="AV1450" t="s">
        <v>62</v>
      </c>
      <c r="AW1450" t="s">
        <v>65</v>
      </c>
      <c r="AX1450" t="s">
        <v>66</v>
      </c>
      <c r="AY1450" t="s">
        <v>76</v>
      </c>
    </row>
    <row r="1451" spans="1:51" hidden="1" x14ac:dyDescent="0.25">
      <c r="A1451">
        <v>406151</v>
      </c>
      <c r="B1451" t="s">
        <v>5452</v>
      </c>
      <c r="C1451" t="e">
        <f>VLOOKUP(A1451,[1]Customer_payment_journal_line!$AL:$BO,30,0)</f>
        <v>#N/A</v>
      </c>
      <c r="D1451" t="s">
        <v>76</v>
      </c>
      <c r="E1451" t="s">
        <v>5448</v>
      </c>
      <c r="F1451" t="s">
        <v>5449</v>
      </c>
      <c r="G1451" t="s">
        <v>5265</v>
      </c>
      <c r="H1451" t="s">
        <v>69</v>
      </c>
      <c r="I1451" t="s">
        <v>5453</v>
      </c>
      <c r="J1451" t="s">
        <v>5450</v>
      </c>
      <c r="K1451" t="s">
        <v>5451</v>
      </c>
      <c r="L1451" t="s">
        <v>52</v>
      </c>
      <c r="M1451">
        <v>0</v>
      </c>
      <c r="N1451">
        <v>10260</v>
      </c>
      <c r="O1451" t="s">
        <v>61</v>
      </c>
      <c r="P1451">
        <v>100</v>
      </c>
      <c r="Q1451" t="s">
        <v>52</v>
      </c>
      <c r="R1451" t="s">
        <v>52</v>
      </c>
      <c r="S1451" t="s">
        <v>52</v>
      </c>
      <c r="T1451" t="s">
        <v>52</v>
      </c>
      <c r="U1451" t="s">
        <v>52</v>
      </c>
      <c r="V1451" t="s">
        <v>62</v>
      </c>
      <c r="W1451" t="s">
        <v>52</v>
      </c>
      <c r="Y1451" t="s">
        <v>5454</v>
      </c>
      <c r="Z1451" t="s">
        <v>62</v>
      </c>
      <c r="AB1451" t="s">
        <v>5455</v>
      </c>
      <c r="AE1451" t="s">
        <v>5456</v>
      </c>
      <c r="AF1451" t="s">
        <v>52</v>
      </c>
      <c r="AH1451">
        <v>0</v>
      </c>
      <c r="AI1451">
        <v>0</v>
      </c>
      <c r="AJ1451" t="s">
        <v>52</v>
      </c>
      <c r="AK1451">
        <v>0</v>
      </c>
      <c r="AL1451" t="s">
        <v>52</v>
      </c>
      <c r="AM1451" t="s">
        <v>52</v>
      </c>
      <c r="AN1451">
        <v>0</v>
      </c>
      <c r="AO1451">
        <v>0</v>
      </c>
      <c r="AP1451" t="s">
        <v>52</v>
      </c>
      <c r="AQ1451" t="s">
        <v>52</v>
      </c>
      <c r="AR1451" t="s">
        <v>62</v>
      </c>
      <c r="AS1451" t="s">
        <v>52</v>
      </c>
      <c r="AT1451" t="s">
        <v>74</v>
      </c>
      <c r="AU1451" t="s">
        <v>64</v>
      </c>
      <c r="AV1451" t="s">
        <v>62</v>
      </c>
      <c r="AW1451" t="s">
        <v>65</v>
      </c>
      <c r="AX1451" t="s">
        <v>66</v>
      </c>
      <c r="AY1451" t="s">
        <v>76</v>
      </c>
    </row>
    <row r="1452" spans="1:51" hidden="1" x14ac:dyDescent="0.25">
      <c r="A1452">
        <v>406151</v>
      </c>
      <c r="B1452" t="s">
        <v>5457</v>
      </c>
      <c r="C1452" t="e">
        <f>VLOOKUP(A1452,[1]Customer_payment_journal_line!$AL:$BO,30,0)</f>
        <v>#N/A</v>
      </c>
      <c r="D1452" t="s">
        <v>76</v>
      </c>
      <c r="E1452" t="s">
        <v>5448</v>
      </c>
      <c r="F1452" t="s">
        <v>5449</v>
      </c>
      <c r="G1452" t="s">
        <v>5265</v>
      </c>
      <c r="H1452" t="s">
        <v>69</v>
      </c>
      <c r="I1452" t="s">
        <v>5453</v>
      </c>
      <c r="J1452" t="s">
        <v>5450</v>
      </c>
      <c r="K1452" t="s">
        <v>5451</v>
      </c>
      <c r="L1452" t="s">
        <v>52</v>
      </c>
      <c r="M1452">
        <v>0</v>
      </c>
      <c r="N1452">
        <v>855</v>
      </c>
      <c r="O1452" t="s">
        <v>61</v>
      </c>
      <c r="P1452">
        <v>100</v>
      </c>
      <c r="Q1452" t="s">
        <v>52</v>
      </c>
      <c r="R1452" t="s">
        <v>52</v>
      </c>
      <c r="S1452" t="s">
        <v>52</v>
      </c>
      <c r="T1452" t="s">
        <v>52</v>
      </c>
      <c r="U1452" t="s">
        <v>52</v>
      </c>
      <c r="V1452" t="s">
        <v>62</v>
      </c>
      <c r="W1452" t="s">
        <v>52</v>
      </c>
      <c r="Y1452" t="s">
        <v>5454</v>
      </c>
      <c r="Z1452" t="s">
        <v>62</v>
      </c>
      <c r="AB1452" t="s">
        <v>5458</v>
      </c>
      <c r="AE1452" t="s">
        <v>5459</v>
      </c>
      <c r="AF1452" t="s">
        <v>52</v>
      </c>
      <c r="AH1452">
        <v>0</v>
      </c>
      <c r="AI1452">
        <v>0</v>
      </c>
      <c r="AJ1452" t="s">
        <v>52</v>
      </c>
      <c r="AK1452">
        <v>0</v>
      </c>
      <c r="AL1452" t="s">
        <v>52</v>
      </c>
      <c r="AM1452" t="s">
        <v>52</v>
      </c>
      <c r="AN1452">
        <v>0</v>
      </c>
      <c r="AO1452">
        <v>0</v>
      </c>
      <c r="AP1452" t="s">
        <v>52</v>
      </c>
      <c r="AQ1452" t="s">
        <v>52</v>
      </c>
      <c r="AR1452" t="s">
        <v>62</v>
      </c>
      <c r="AS1452" t="s">
        <v>52</v>
      </c>
      <c r="AT1452" t="s">
        <v>74</v>
      </c>
      <c r="AU1452" t="s">
        <v>64</v>
      </c>
      <c r="AV1452" t="s">
        <v>62</v>
      </c>
      <c r="AW1452" t="s">
        <v>65</v>
      </c>
      <c r="AX1452" t="s">
        <v>66</v>
      </c>
      <c r="AY1452" t="s">
        <v>76</v>
      </c>
    </row>
    <row r="1453" spans="1:51" hidden="1" x14ac:dyDescent="0.25">
      <c r="A1453">
        <v>406155</v>
      </c>
      <c r="B1453" t="s">
        <v>5460</v>
      </c>
      <c r="C1453" t="e">
        <f>VLOOKUP(A1453,[1]Customer_payment_journal_line!$AL:$BO,30,0)</f>
        <v>#N/A</v>
      </c>
      <c r="D1453" t="s">
        <v>76</v>
      </c>
      <c r="E1453" t="s">
        <v>5461</v>
      </c>
      <c r="F1453" t="s">
        <v>5462</v>
      </c>
      <c r="G1453" t="s">
        <v>5265</v>
      </c>
      <c r="H1453" t="s">
        <v>80</v>
      </c>
      <c r="I1453" t="s">
        <v>81</v>
      </c>
      <c r="J1453" t="s">
        <v>5463</v>
      </c>
      <c r="K1453" t="s">
        <v>5464</v>
      </c>
      <c r="L1453" t="s">
        <v>52</v>
      </c>
      <c r="M1453">
        <v>31179</v>
      </c>
      <c r="N1453">
        <v>0</v>
      </c>
      <c r="O1453" t="s">
        <v>61</v>
      </c>
      <c r="P1453">
        <v>100</v>
      </c>
      <c r="Q1453" t="s">
        <v>52</v>
      </c>
      <c r="R1453" t="s">
        <v>52</v>
      </c>
      <c r="S1453" t="s">
        <v>52</v>
      </c>
      <c r="T1453" t="s">
        <v>52</v>
      </c>
      <c r="U1453" t="s">
        <v>52</v>
      </c>
      <c r="V1453" t="s">
        <v>62</v>
      </c>
      <c r="W1453" t="s">
        <v>52</v>
      </c>
      <c r="Y1453" t="s">
        <v>52</v>
      </c>
      <c r="AB1453" t="s">
        <v>52</v>
      </c>
      <c r="AE1453" t="s">
        <v>52</v>
      </c>
      <c r="AF1453" t="s">
        <v>52</v>
      </c>
      <c r="AH1453">
        <v>0</v>
      </c>
      <c r="AI1453">
        <v>0</v>
      </c>
      <c r="AJ1453" t="s">
        <v>52</v>
      </c>
      <c r="AK1453">
        <v>0</v>
      </c>
      <c r="AL1453" t="s">
        <v>52</v>
      </c>
      <c r="AM1453" t="s">
        <v>52</v>
      </c>
      <c r="AN1453">
        <v>0</v>
      </c>
      <c r="AO1453">
        <v>0</v>
      </c>
      <c r="AP1453" t="s">
        <v>52</v>
      </c>
      <c r="AQ1453" t="s">
        <v>52</v>
      </c>
      <c r="AR1453" t="s">
        <v>62</v>
      </c>
      <c r="AS1453" t="s">
        <v>52</v>
      </c>
      <c r="AT1453" t="s">
        <v>52</v>
      </c>
      <c r="AU1453" t="s">
        <v>64</v>
      </c>
      <c r="AV1453" t="s">
        <v>62</v>
      </c>
      <c r="AW1453" t="s">
        <v>65</v>
      </c>
      <c r="AX1453" t="s">
        <v>66</v>
      </c>
      <c r="AY1453" t="s">
        <v>76</v>
      </c>
    </row>
    <row r="1454" spans="1:51" hidden="1" x14ac:dyDescent="0.25">
      <c r="A1454">
        <v>406155</v>
      </c>
      <c r="B1454" t="s">
        <v>5465</v>
      </c>
      <c r="C1454" t="e">
        <f>VLOOKUP(A1454,[1]Customer_payment_journal_line!$AL:$BO,30,0)</f>
        <v>#N/A</v>
      </c>
      <c r="D1454" t="s">
        <v>76</v>
      </c>
      <c r="E1454" t="s">
        <v>5461</v>
      </c>
      <c r="F1454" t="s">
        <v>5462</v>
      </c>
      <c r="G1454" t="s">
        <v>5265</v>
      </c>
      <c r="H1454" t="s">
        <v>69</v>
      </c>
      <c r="I1454" t="s">
        <v>737</v>
      </c>
      <c r="J1454" t="s">
        <v>5466</v>
      </c>
      <c r="K1454" t="s">
        <v>5464</v>
      </c>
      <c r="L1454" t="s">
        <v>52</v>
      </c>
      <c r="M1454">
        <v>0</v>
      </c>
      <c r="N1454">
        <v>14421</v>
      </c>
      <c r="O1454" t="s">
        <v>61</v>
      </c>
      <c r="P1454">
        <v>100</v>
      </c>
      <c r="Q1454" t="s">
        <v>52</v>
      </c>
      <c r="R1454" t="s">
        <v>52</v>
      </c>
      <c r="S1454" t="s">
        <v>52</v>
      </c>
      <c r="T1454" t="s">
        <v>52</v>
      </c>
      <c r="U1454" t="s">
        <v>52</v>
      </c>
      <c r="V1454" t="s">
        <v>62</v>
      </c>
      <c r="W1454" t="s">
        <v>52</v>
      </c>
      <c r="Y1454" t="s">
        <v>738</v>
      </c>
      <c r="Z1454" t="s">
        <v>62</v>
      </c>
      <c r="AB1454" t="s">
        <v>5467</v>
      </c>
      <c r="AE1454" t="s">
        <v>5468</v>
      </c>
      <c r="AF1454" t="s">
        <v>52</v>
      </c>
      <c r="AH1454">
        <v>0</v>
      </c>
      <c r="AI1454">
        <v>0</v>
      </c>
      <c r="AJ1454" t="s">
        <v>52</v>
      </c>
      <c r="AK1454">
        <v>0</v>
      </c>
      <c r="AL1454" t="s">
        <v>52</v>
      </c>
      <c r="AM1454" t="s">
        <v>52</v>
      </c>
      <c r="AN1454">
        <v>0</v>
      </c>
      <c r="AO1454">
        <v>0</v>
      </c>
      <c r="AP1454" t="s">
        <v>52</v>
      </c>
      <c r="AQ1454" t="s">
        <v>52</v>
      </c>
      <c r="AR1454" t="s">
        <v>62</v>
      </c>
      <c r="AS1454" t="s">
        <v>52</v>
      </c>
      <c r="AT1454" t="s">
        <v>74</v>
      </c>
      <c r="AU1454" t="s">
        <v>64</v>
      </c>
      <c r="AV1454" t="s">
        <v>62</v>
      </c>
      <c r="AW1454" t="s">
        <v>65</v>
      </c>
      <c r="AX1454" t="s">
        <v>66</v>
      </c>
      <c r="AY1454" t="s">
        <v>76</v>
      </c>
    </row>
    <row r="1455" spans="1:51" hidden="1" x14ac:dyDescent="0.25">
      <c r="A1455">
        <v>406155</v>
      </c>
      <c r="B1455" t="s">
        <v>5469</v>
      </c>
      <c r="C1455" t="e">
        <f>VLOOKUP(A1455,[1]Customer_payment_journal_line!$AL:$BO,30,0)</f>
        <v>#N/A</v>
      </c>
      <c r="D1455" t="s">
        <v>76</v>
      </c>
      <c r="E1455" t="s">
        <v>5461</v>
      </c>
      <c r="F1455" t="s">
        <v>5462</v>
      </c>
      <c r="G1455" t="s">
        <v>5265</v>
      </c>
      <c r="H1455" t="s">
        <v>69</v>
      </c>
      <c r="I1455" t="s">
        <v>737</v>
      </c>
      <c r="J1455" t="s">
        <v>5466</v>
      </c>
      <c r="K1455" t="s">
        <v>5464</v>
      </c>
      <c r="L1455" t="s">
        <v>52</v>
      </c>
      <c r="M1455">
        <v>0</v>
      </c>
      <c r="N1455">
        <v>855</v>
      </c>
      <c r="O1455" t="s">
        <v>61</v>
      </c>
      <c r="P1455">
        <v>100</v>
      </c>
      <c r="Q1455" t="s">
        <v>52</v>
      </c>
      <c r="R1455" t="s">
        <v>52</v>
      </c>
      <c r="S1455" t="s">
        <v>52</v>
      </c>
      <c r="T1455" t="s">
        <v>52</v>
      </c>
      <c r="U1455" t="s">
        <v>52</v>
      </c>
      <c r="V1455" t="s">
        <v>62</v>
      </c>
      <c r="W1455" t="s">
        <v>52</v>
      </c>
      <c r="Y1455" t="s">
        <v>738</v>
      </c>
      <c r="Z1455" t="s">
        <v>62</v>
      </c>
      <c r="AB1455" t="s">
        <v>5470</v>
      </c>
      <c r="AE1455" t="s">
        <v>5471</v>
      </c>
      <c r="AF1455" t="s">
        <v>52</v>
      </c>
      <c r="AH1455">
        <v>0</v>
      </c>
      <c r="AI1455">
        <v>0</v>
      </c>
      <c r="AJ1455" t="s">
        <v>52</v>
      </c>
      <c r="AK1455">
        <v>0</v>
      </c>
      <c r="AL1455" t="s">
        <v>52</v>
      </c>
      <c r="AM1455" t="s">
        <v>52</v>
      </c>
      <c r="AN1455">
        <v>0</v>
      </c>
      <c r="AO1455">
        <v>0</v>
      </c>
      <c r="AP1455" t="s">
        <v>52</v>
      </c>
      <c r="AQ1455" t="s">
        <v>52</v>
      </c>
      <c r="AR1455" t="s">
        <v>62</v>
      </c>
      <c r="AS1455" t="s">
        <v>52</v>
      </c>
      <c r="AT1455" t="s">
        <v>74</v>
      </c>
      <c r="AU1455" t="s">
        <v>64</v>
      </c>
      <c r="AV1455" t="s">
        <v>62</v>
      </c>
      <c r="AW1455" t="s">
        <v>65</v>
      </c>
      <c r="AX1455" t="s">
        <v>66</v>
      </c>
      <c r="AY1455" t="s">
        <v>76</v>
      </c>
    </row>
    <row r="1456" spans="1:51" hidden="1" x14ac:dyDescent="0.25">
      <c r="A1456">
        <v>406155</v>
      </c>
      <c r="B1456" t="s">
        <v>5472</v>
      </c>
      <c r="C1456" t="e">
        <f>VLOOKUP(A1456,[1]Customer_payment_journal_line!$AL:$BO,30,0)</f>
        <v>#N/A</v>
      </c>
      <c r="D1456" t="s">
        <v>76</v>
      </c>
      <c r="E1456" t="s">
        <v>5461</v>
      </c>
      <c r="F1456" t="s">
        <v>5462</v>
      </c>
      <c r="G1456" t="s">
        <v>5265</v>
      </c>
      <c r="H1456" t="s">
        <v>69</v>
      </c>
      <c r="I1456" t="s">
        <v>737</v>
      </c>
      <c r="J1456" t="s">
        <v>5463</v>
      </c>
      <c r="K1456" t="s">
        <v>5464</v>
      </c>
      <c r="L1456" t="s">
        <v>52</v>
      </c>
      <c r="M1456">
        <v>0</v>
      </c>
      <c r="N1456">
        <v>15048</v>
      </c>
      <c r="O1456" t="s">
        <v>61</v>
      </c>
      <c r="P1456">
        <v>100</v>
      </c>
      <c r="Q1456" t="s">
        <v>52</v>
      </c>
      <c r="R1456" t="s">
        <v>52</v>
      </c>
      <c r="S1456" t="s">
        <v>52</v>
      </c>
      <c r="T1456" t="s">
        <v>52</v>
      </c>
      <c r="U1456" t="s">
        <v>52</v>
      </c>
      <c r="V1456" t="s">
        <v>62</v>
      </c>
      <c r="W1456" t="s">
        <v>52</v>
      </c>
      <c r="Y1456" t="s">
        <v>738</v>
      </c>
      <c r="Z1456" t="s">
        <v>62</v>
      </c>
      <c r="AB1456" t="s">
        <v>5473</v>
      </c>
      <c r="AE1456" t="s">
        <v>5474</v>
      </c>
      <c r="AF1456" t="s">
        <v>52</v>
      </c>
      <c r="AH1456">
        <v>0</v>
      </c>
      <c r="AI1456">
        <v>0</v>
      </c>
      <c r="AJ1456" t="s">
        <v>52</v>
      </c>
      <c r="AK1456">
        <v>0</v>
      </c>
      <c r="AL1456" t="s">
        <v>52</v>
      </c>
      <c r="AM1456" t="s">
        <v>52</v>
      </c>
      <c r="AN1456">
        <v>0</v>
      </c>
      <c r="AO1456">
        <v>0</v>
      </c>
      <c r="AP1456" t="s">
        <v>52</v>
      </c>
      <c r="AQ1456" t="s">
        <v>52</v>
      </c>
      <c r="AR1456" t="s">
        <v>62</v>
      </c>
      <c r="AS1456" t="s">
        <v>52</v>
      </c>
      <c r="AT1456" t="s">
        <v>74</v>
      </c>
      <c r="AU1456" t="s">
        <v>64</v>
      </c>
      <c r="AV1456" t="s">
        <v>62</v>
      </c>
      <c r="AW1456" t="s">
        <v>65</v>
      </c>
      <c r="AX1456" t="s">
        <v>66</v>
      </c>
      <c r="AY1456" t="s">
        <v>76</v>
      </c>
    </row>
    <row r="1457" spans="1:51" hidden="1" x14ac:dyDescent="0.25">
      <c r="A1457">
        <v>406155</v>
      </c>
      <c r="B1457" t="s">
        <v>5475</v>
      </c>
      <c r="C1457" t="e">
        <f>VLOOKUP(A1457,[1]Customer_payment_journal_line!$AL:$BO,30,0)</f>
        <v>#N/A</v>
      </c>
      <c r="D1457" t="s">
        <v>76</v>
      </c>
      <c r="E1457" t="s">
        <v>5461</v>
      </c>
      <c r="F1457" t="s">
        <v>5462</v>
      </c>
      <c r="G1457" t="s">
        <v>5265</v>
      </c>
      <c r="H1457" t="s">
        <v>69</v>
      </c>
      <c r="I1457" t="s">
        <v>737</v>
      </c>
      <c r="J1457" t="s">
        <v>5463</v>
      </c>
      <c r="K1457" t="s">
        <v>5464</v>
      </c>
      <c r="L1457" t="s">
        <v>52</v>
      </c>
      <c r="M1457">
        <v>0</v>
      </c>
      <c r="N1457">
        <v>855</v>
      </c>
      <c r="O1457" t="s">
        <v>61</v>
      </c>
      <c r="P1457">
        <v>100</v>
      </c>
      <c r="Q1457" t="s">
        <v>52</v>
      </c>
      <c r="R1457" t="s">
        <v>52</v>
      </c>
      <c r="S1457" t="s">
        <v>52</v>
      </c>
      <c r="T1457" t="s">
        <v>52</v>
      </c>
      <c r="U1457" t="s">
        <v>52</v>
      </c>
      <c r="V1457" t="s">
        <v>62</v>
      </c>
      <c r="W1457" t="s">
        <v>52</v>
      </c>
      <c r="Y1457" t="s">
        <v>738</v>
      </c>
      <c r="Z1457" t="s">
        <v>62</v>
      </c>
      <c r="AB1457" t="s">
        <v>5476</v>
      </c>
      <c r="AE1457" t="s">
        <v>5477</v>
      </c>
      <c r="AF1457" t="s">
        <v>52</v>
      </c>
      <c r="AH1457">
        <v>0</v>
      </c>
      <c r="AI1457">
        <v>0</v>
      </c>
      <c r="AJ1457" t="s">
        <v>52</v>
      </c>
      <c r="AK1457">
        <v>0</v>
      </c>
      <c r="AL1457" t="s">
        <v>52</v>
      </c>
      <c r="AM1457" t="s">
        <v>52</v>
      </c>
      <c r="AN1457">
        <v>0</v>
      </c>
      <c r="AO1457">
        <v>0</v>
      </c>
      <c r="AP1457" t="s">
        <v>52</v>
      </c>
      <c r="AQ1457" t="s">
        <v>52</v>
      </c>
      <c r="AR1457" t="s">
        <v>62</v>
      </c>
      <c r="AS1457" t="s">
        <v>52</v>
      </c>
      <c r="AT1457" t="s">
        <v>74</v>
      </c>
      <c r="AU1457" t="s">
        <v>64</v>
      </c>
      <c r="AV1457" t="s">
        <v>62</v>
      </c>
      <c r="AW1457" t="s">
        <v>65</v>
      </c>
      <c r="AX1457" t="s">
        <v>66</v>
      </c>
      <c r="AY1457" t="s">
        <v>76</v>
      </c>
    </row>
    <row r="1458" spans="1:51" hidden="1" x14ac:dyDescent="0.25">
      <c r="A1458">
        <v>406156</v>
      </c>
      <c r="B1458" t="s">
        <v>5478</v>
      </c>
      <c r="C1458" t="e">
        <f>VLOOKUP(A1458,[1]Customer_payment_journal_line!$AL:$BO,30,0)</f>
        <v>#N/A</v>
      </c>
      <c r="D1458" t="s">
        <v>76</v>
      </c>
      <c r="E1458" t="s">
        <v>5479</v>
      </c>
      <c r="F1458" t="s">
        <v>5480</v>
      </c>
      <c r="G1458" t="s">
        <v>5265</v>
      </c>
      <c r="H1458" t="s">
        <v>80</v>
      </c>
      <c r="I1458" t="s">
        <v>81</v>
      </c>
      <c r="J1458" t="s">
        <v>5481</v>
      </c>
      <c r="K1458" t="s">
        <v>5482</v>
      </c>
      <c r="L1458" t="s">
        <v>52</v>
      </c>
      <c r="M1458">
        <v>12141</v>
      </c>
      <c r="N1458">
        <v>0</v>
      </c>
      <c r="O1458" t="s">
        <v>61</v>
      </c>
      <c r="P1458">
        <v>100</v>
      </c>
      <c r="Q1458" t="s">
        <v>52</v>
      </c>
      <c r="R1458" t="s">
        <v>52</v>
      </c>
      <c r="S1458" t="s">
        <v>52</v>
      </c>
      <c r="T1458" t="s">
        <v>52</v>
      </c>
      <c r="U1458" t="s">
        <v>52</v>
      </c>
      <c r="V1458" t="s">
        <v>62</v>
      </c>
      <c r="W1458" t="s">
        <v>52</v>
      </c>
      <c r="Y1458" t="s">
        <v>52</v>
      </c>
      <c r="AB1458" t="s">
        <v>52</v>
      </c>
      <c r="AE1458" t="s">
        <v>52</v>
      </c>
      <c r="AF1458" t="s">
        <v>52</v>
      </c>
      <c r="AH1458">
        <v>0</v>
      </c>
      <c r="AI1458">
        <v>0</v>
      </c>
      <c r="AJ1458" t="s">
        <v>52</v>
      </c>
      <c r="AK1458">
        <v>0</v>
      </c>
      <c r="AL1458" t="s">
        <v>52</v>
      </c>
      <c r="AM1458" t="s">
        <v>52</v>
      </c>
      <c r="AN1458">
        <v>0</v>
      </c>
      <c r="AO1458">
        <v>0</v>
      </c>
      <c r="AP1458" t="s">
        <v>52</v>
      </c>
      <c r="AQ1458" t="s">
        <v>52</v>
      </c>
      <c r="AR1458" t="s">
        <v>62</v>
      </c>
      <c r="AS1458" t="s">
        <v>52</v>
      </c>
      <c r="AT1458" t="s">
        <v>52</v>
      </c>
      <c r="AU1458" t="s">
        <v>64</v>
      </c>
      <c r="AV1458" t="s">
        <v>62</v>
      </c>
      <c r="AW1458" t="s">
        <v>65</v>
      </c>
      <c r="AX1458" t="s">
        <v>66</v>
      </c>
      <c r="AY1458" t="s">
        <v>76</v>
      </c>
    </row>
    <row r="1459" spans="1:51" hidden="1" x14ac:dyDescent="0.25">
      <c r="A1459">
        <v>406156</v>
      </c>
      <c r="B1459" t="s">
        <v>5483</v>
      </c>
      <c r="C1459" t="e">
        <f>VLOOKUP(A1459,[1]Customer_payment_journal_line!$AL:$BO,30,0)</f>
        <v>#N/A</v>
      </c>
      <c r="D1459" t="s">
        <v>76</v>
      </c>
      <c r="E1459" t="s">
        <v>5479</v>
      </c>
      <c r="F1459" t="s">
        <v>5480</v>
      </c>
      <c r="G1459" t="s">
        <v>5265</v>
      </c>
      <c r="H1459" t="s">
        <v>69</v>
      </c>
      <c r="I1459" t="s">
        <v>5484</v>
      </c>
      <c r="J1459" t="s">
        <v>5481</v>
      </c>
      <c r="K1459" t="s">
        <v>5482</v>
      </c>
      <c r="L1459" t="s">
        <v>52</v>
      </c>
      <c r="M1459">
        <v>0</v>
      </c>
      <c r="N1459">
        <v>11286</v>
      </c>
      <c r="O1459" t="s">
        <v>61</v>
      </c>
      <c r="P1459">
        <v>100</v>
      </c>
      <c r="Q1459" t="s">
        <v>52</v>
      </c>
      <c r="R1459" t="s">
        <v>52</v>
      </c>
      <c r="S1459" t="s">
        <v>52</v>
      </c>
      <c r="T1459" t="s">
        <v>52</v>
      </c>
      <c r="U1459" t="s">
        <v>52</v>
      </c>
      <c r="V1459" t="s">
        <v>62</v>
      </c>
      <c r="W1459" t="s">
        <v>52</v>
      </c>
      <c r="Y1459" t="s">
        <v>5485</v>
      </c>
      <c r="Z1459" t="s">
        <v>62</v>
      </c>
      <c r="AB1459" t="s">
        <v>5486</v>
      </c>
      <c r="AE1459" t="s">
        <v>5487</v>
      </c>
      <c r="AF1459" t="s">
        <v>52</v>
      </c>
      <c r="AH1459">
        <v>0</v>
      </c>
      <c r="AI1459">
        <v>0</v>
      </c>
      <c r="AJ1459" t="s">
        <v>52</v>
      </c>
      <c r="AK1459">
        <v>0</v>
      </c>
      <c r="AL1459" t="s">
        <v>52</v>
      </c>
      <c r="AM1459" t="s">
        <v>52</v>
      </c>
      <c r="AN1459">
        <v>0</v>
      </c>
      <c r="AO1459">
        <v>0</v>
      </c>
      <c r="AP1459" t="s">
        <v>52</v>
      </c>
      <c r="AQ1459" t="s">
        <v>52</v>
      </c>
      <c r="AR1459" t="s">
        <v>62</v>
      </c>
      <c r="AS1459" t="s">
        <v>52</v>
      </c>
      <c r="AT1459" t="s">
        <v>74</v>
      </c>
      <c r="AU1459" t="s">
        <v>64</v>
      </c>
      <c r="AV1459" t="s">
        <v>62</v>
      </c>
      <c r="AW1459" t="s">
        <v>65</v>
      </c>
      <c r="AX1459" t="s">
        <v>66</v>
      </c>
      <c r="AY1459" t="s">
        <v>76</v>
      </c>
    </row>
    <row r="1460" spans="1:51" hidden="1" x14ac:dyDescent="0.25">
      <c r="A1460">
        <v>406156</v>
      </c>
      <c r="B1460" t="s">
        <v>5488</v>
      </c>
      <c r="C1460" t="e">
        <f>VLOOKUP(A1460,[1]Customer_payment_journal_line!$AL:$BO,30,0)</f>
        <v>#N/A</v>
      </c>
      <c r="D1460" t="s">
        <v>76</v>
      </c>
      <c r="E1460" t="s">
        <v>5479</v>
      </c>
      <c r="F1460" t="s">
        <v>5480</v>
      </c>
      <c r="G1460" t="s">
        <v>5265</v>
      </c>
      <c r="H1460" t="s">
        <v>69</v>
      </c>
      <c r="I1460" t="s">
        <v>5484</v>
      </c>
      <c r="J1460" t="s">
        <v>5481</v>
      </c>
      <c r="K1460" t="s">
        <v>5482</v>
      </c>
      <c r="L1460" t="s">
        <v>52</v>
      </c>
      <c r="M1460">
        <v>0</v>
      </c>
      <c r="N1460">
        <v>855</v>
      </c>
      <c r="O1460" t="s">
        <v>61</v>
      </c>
      <c r="P1460">
        <v>100</v>
      </c>
      <c r="Q1460" t="s">
        <v>52</v>
      </c>
      <c r="R1460" t="s">
        <v>52</v>
      </c>
      <c r="S1460" t="s">
        <v>52</v>
      </c>
      <c r="T1460" t="s">
        <v>52</v>
      </c>
      <c r="U1460" t="s">
        <v>52</v>
      </c>
      <c r="V1460" t="s">
        <v>62</v>
      </c>
      <c r="W1460" t="s">
        <v>52</v>
      </c>
      <c r="Y1460" t="s">
        <v>5485</v>
      </c>
      <c r="Z1460" t="s">
        <v>62</v>
      </c>
      <c r="AB1460" t="s">
        <v>5489</v>
      </c>
      <c r="AE1460" t="s">
        <v>5490</v>
      </c>
      <c r="AF1460" t="s">
        <v>52</v>
      </c>
      <c r="AH1460">
        <v>0</v>
      </c>
      <c r="AI1460">
        <v>0</v>
      </c>
      <c r="AJ1460" t="s">
        <v>52</v>
      </c>
      <c r="AK1460">
        <v>0</v>
      </c>
      <c r="AL1460" t="s">
        <v>52</v>
      </c>
      <c r="AM1460" t="s">
        <v>52</v>
      </c>
      <c r="AN1460">
        <v>0</v>
      </c>
      <c r="AO1460">
        <v>0</v>
      </c>
      <c r="AP1460" t="s">
        <v>52</v>
      </c>
      <c r="AQ1460" t="s">
        <v>52</v>
      </c>
      <c r="AR1460" t="s">
        <v>62</v>
      </c>
      <c r="AS1460" t="s">
        <v>52</v>
      </c>
      <c r="AT1460" t="s">
        <v>74</v>
      </c>
      <c r="AU1460" t="s">
        <v>64</v>
      </c>
      <c r="AV1460" t="s">
        <v>62</v>
      </c>
      <c r="AW1460" t="s">
        <v>65</v>
      </c>
      <c r="AX1460" t="s">
        <v>66</v>
      </c>
      <c r="AY1460" t="s">
        <v>76</v>
      </c>
    </row>
    <row r="1461" spans="1:51" hidden="1" x14ac:dyDescent="0.25">
      <c r="A1461">
        <v>406160</v>
      </c>
      <c r="B1461" t="s">
        <v>5491</v>
      </c>
      <c r="C1461" t="e">
        <f>VLOOKUP(A1461,[1]Customer_payment_journal_line!$AL:$BO,30,0)</f>
        <v>#N/A</v>
      </c>
      <c r="D1461" t="s">
        <v>76</v>
      </c>
      <c r="E1461" t="s">
        <v>5492</v>
      </c>
      <c r="F1461" t="s">
        <v>5493</v>
      </c>
      <c r="G1461" t="s">
        <v>5265</v>
      </c>
      <c r="H1461" t="s">
        <v>80</v>
      </c>
      <c r="I1461" t="s">
        <v>81</v>
      </c>
      <c r="J1461" t="s">
        <v>5494</v>
      </c>
      <c r="K1461" t="s">
        <v>2685</v>
      </c>
      <c r="L1461" t="s">
        <v>52</v>
      </c>
      <c r="M1461">
        <v>4719.6000000000004</v>
      </c>
      <c r="N1461">
        <v>0</v>
      </c>
      <c r="O1461" t="s">
        <v>61</v>
      </c>
      <c r="P1461">
        <v>100</v>
      </c>
      <c r="Q1461" t="s">
        <v>52</v>
      </c>
      <c r="R1461" t="s">
        <v>52</v>
      </c>
      <c r="S1461" t="s">
        <v>52</v>
      </c>
      <c r="T1461" t="s">
        <v>52</v>
      </c>
      <c r="U1461" t="s">
        <v>52</v>
      </c>
      <c r="V1461" t="s">
        <v>62</v>
      </c>
      <c r="W1461" t="s">
        <v>52</v>
      </c>
      <c r="Y1461" t="s">
        <v>52</v>
      </c>
      <c r="AB1461" t="s">
        <v>52</v>
      </c>
      <c r="AE1461" t="s">
        <v>52</v>
      </c>
      <c r="AF1461" t="s">
        <v>52</v>
      </c>
      <c r="AH1461">
        <v>0</v>
      </c>
      <c r="AI1461">
        <v>0</v>
      </c>
      <c r="AJ1461" t="s">
        <v>52</v>
      </c>
      <c r="AK1461">
        <v>0</v>
      </c>
      <c r="AL1461" t="s">
        <v>52</v>
      </c>
      <c r="AM1461" t="s">
        <v>52</v>
      </c>
      <c r="AN1461">
        <v>0</v>
      </c>
      <c r="AO1461">
        <v>0</v>
      </c>
      <c r="AP1461" t="s">
        <v>52</v>
      </c>
      <c r="AQ1461" t="s">
        <v>52</v>
      </c>
      <c r="AR1461" t="s">
        <v>62</v>
      </c>
      <c r="AS1461" t="s">
        <v>52</v>
      </c>
      <c r="AT1461" t="s">
        <v>52</v>
      </c>
      <c r="AU1461" t="s">
        <v>64</v>
      </c>
      <c r="AV1461" t="s">
        <v>62</v>
      </c>
      <c r="AW1461" t="s">
        <v>65</v>
      </c>
      <c r="AX1461" t="s">
        <v>66</v>
      </c>
      <c r="AY1461" t="s">
        <v>76</v>
      </c>
    </row>
    <row r="1462" spans="1:51" hidden="1" x14ac:dyDescent="0.25">
      <c r="A1462">
        <v>406160</v>
      </c>
      <c r="B1462" t="s">
        <v>5495</v>
      </c>
      <c r="C1462" t="e">
        <f>VLOOKUP(A1462,[1]Customer_payment_journal_line!$AL:$BO,30,0)</f>
        <v>#N/A</v>
      </c>
      <c r="D1462" t="s">
        <v>76</v>
      </c>
      <c r="E1462" t="s">
        <v>5492</v>
      </c>
      <c r="F1462" t="s">
        <v>5493</v>
      </c>
      <c r="G1462" t="s">
        <v>5265</v>
      </c>
      <c r="H1462" t="s">
        <v>69</v>
      </c>
      <c r="I1462" t="s">
        <v>2687</v>
      </c>
      <c r="J1462" t="s">
        <v>5494</v>
      </c>
      <c r="K1462" t="s">
        <v>2685</v>
      </c>
      <c r="L1462" t="s">
        <v>52</v>
      </c>
      <c r="M1462">
        <v>0</v>
      </c>
      <c r="N1462">
        <v>4719.6000000000004</v>
      </c>
      <c r="O1462" t="s">
        <v>61</v>
      </c>
      <c r="P1462">
        <v>100</v>
      </c>
      <c r="Q1462" t="s">
        <v>52</v>
      </c>
      <c r="R1462" t="s">
        <v>52</v>
      </c>
      <c r="S1462" t="s">
        <v>52</v>
      </c>
      <c r="T1462" t="s">
        <v>52</v>
      </c>
      <c r="U1462" t="s">
        <v>52</v>
      </c>
      <c r="V1462" t="s">
        <v>62</v>
      </c>
      <c r="W1462" t="s">
        <v>52</v>
      </c>
      <c r="Y1462" t="s">
        <v>2688</v>
      </c>
      <c r="Z1462" t="s">
        <v>62</v>
      </c>
      <c r="AB1462" t="s">
        <v>5496</v>
      </c>
      <c r="AE1462" t="s">
        <v>5497</v>
      </c>
      <c r="AF1462" t="s">
        <v>52</v>
      </c>
      <c r="AH1462">
        <v>0</v>
      </c>
      <c r="AI1462">
        <v>0</v>
      </c>
      <c r="AJ1462" t="s">
        <v>52</v>
      </c>
      <c r="AK1462">
        <v>0</v>
      </c>
      <c r="AL1462" t="s">
        <v>52</v>
      </c>
      <c r="AM1462" t="s">
        <v>52</v>
      </c>
      <c r="AN1462">
        <v>0</v>
      </c>
      <c r="AO1462">
        <v>0</v>
      </c>
      <c r="AP1462" t="s">
        <v>52</v>
      </c>
      <c r="AQ1462" t="s">
        <v>52</v>
      </c>
      <c r="AR1462" t="s">
        <v>62</v>
      </c>
      <c r="AS1462" t="s">
        <v>52</v>
      </c>
      <c r="AT1462" t="s">
        <v>74</v>
      </c>
      <c r="AU1462" t="s">
        <v>64</v>
      </c>
      <c r="AV1462" t="s">
        <v>62</v>
      </c>
      <c r="AW1462" t="s">
        <v>65</v>
      </c>
      <c r="AX1462" t="s">
        <v>66</v>
      </c>
      <c r="AY1462" t="s">
        <v>76</v>
      </c>
    </row>
    <row r="1463" spans="1:51" hidden="1" x14ac:dyDescent="0.25">
      <c r="A1463">
        <v>406163</v>
      </c>
      <c r="B1463" t="s">
        <v>5498</v>
      </c>
      <c r="C1463" t="e">
        <f>VLOOKUP(A1463,[1]Customer_payment_journal_line!$AL:$BO,30,0)</f>
        <v>#N/A</v>
      </c>
      <c r="D1463" t="s">
        <v>76</v>
      </c>
      <c r="E1463" t="s">
        <v>5499</v>
      </c>
      <c r="F1463" t="s">
        <v>5500</v>
      </c>
      <c r="G1463" t="s">
        <v>5265</v>
      </c>
      <c r="H1463" t="s">
        <v>80</v>
      </c>
      <c r="I1463" t="s">
        <v>81</v>
      </c>
      <c r="J1463" t="s">
        <v>5501</v>
      </c>
      <c r="K1463" t="s">
        <v>5502</v>
      </c>
      <c r="L1463" t="s">
        <v>52</v>
      </c>
      <c r="M1463">
        <v>7695</v>
      </c>
      <c r="N1463">
        <v>0</v>
      </c>
      <c r="O1463" t="s">
        <v>61</v>
      </c>
      <c r="P1463">
        <v>100</v>
      </c>
      <c r="Q1463" t="s">
        <v>52</v>
      </c>
      <c r="R1463" t="s">
        <v>52</v>
      </c>
      <c r="S1463" t="s">
        <v>52</v>
      </c>
      <c r="T1463" t="s">
        <v>52</v>
      </c>
      <c r="U1463" t="s">
        <v>52</v>
      </c>
      <c r="V1463" t="s">
        <v>62</v>
      </c>
      <c r="W1463" t="s">
        <v>52</v>
      </c>
      <c r="Y1463" t="s">
        <v>52</v>
      </c>
      <c r="AB1463" t="s">
        <v>52</v>
      </c>
      <c r="AE1463" t="s">
        <v>52</v>
      </c>
      <c r="AF1463" t="s">
        <v>52</v>
      </c>
      <c r="AH1463">
        <v>0</v>
      </c>
      <c r="AI1463">
        <v>0</v>
      </c>
      <c r="AJ1463" t="s">
        <v>52</v>
      </c>
      <c r="AK1463">
        <v>0</v>
      </c>
      <c r="AL1463" t="s">
        <v>52</v>
      </c>
      <c r="AM1463" t="s">
        <v>52</v>
      </c>
      <c r="AN1463">
        <v>0</v>
      </c>
      <c r="AO1463">
        <v>0</v>
      </c>
      <c r="AP1463" t="s">
        <v>52</v>
      </c>
      <c r="AQ1463" t="s">
        <v>52</v>
      </c>
      <c r="AR1463" t="s">
        <v>62</v>
      </c>
      <c r="AS1463" t="s">
        <v>52</v>
      </c>
      <c r="AT1463" t="s">
        <v>52</v>
      </c>
      <c r="AU1463" t="s">
        <v>64</v>
      </c>
      <c r="AV1463" t="s">
        <v>62</v>
      </c>
      <c r="AW1463" t="s">
        <v>65</v>
      </c>
      <c r="AX1463" t="s">
        <v>66</v>
      </c>
      <c r="AY1463" t="s">
        <v>76</v>
      </c>
    </row>
    <row r="1464" spans="1:51" hidden="1" x14ac:dyDescent="0.25">
      <c r="A1464">
        <v>406163</v>
      </c>
      <c r="B1464" t="s">
        <v>5503</v>
      </c>
      <c r="C1464" t="e">
        <f>VLOOKUP(A1464,[1]Customer_payment_journal_line!$AL:$BO,30,0)</f>
        <v>#N/A</v>
      </c>
      <c r="D1464" t="s">
        <v>76</v>
      </c>
      <c r="E1464" t="s">
        <v>5499</v>
      </c>
      <c r="F1464" t="s">
        <v>5500</v>
      </c>
      <c r="G1464" t="s">
        <v>5265</v>
      </c>
      <c r="H1464" t="s">
        <v>69</v>
      </c>
      <c r="I1464" t="s">
        <v>5504</v>
      </c>
      <c r="J1464" t="s">
        <v>5501</v>
      </c>
      <c r="K1464" t="s">
        <v>5502</v>
      </c>
      <c r="L1464" t="s">
        <v>52</v>
      </c>
      <c r="M1464">
        <v>0</v>
      </c>
      <c r="N1464">
        <v>6840</v>
      </c>
      <c r="O1464" t="s">
        <v>61</v>
      </c>
      <c r="P1464">
        <v>100</v>
      </c>
      <c r="Q1464" t="s">
        <v>52</v>
      </c>
      <c r="R1464" t="s">
        <v>52</v>
      </c>
      <c r="S1464" t="s">
        <v>52</v>
      </c>
      <c r="T1464" t="s">
        <v>52</v>
      </c>
      <c r="U1464" t="s">
        <v>52</v>
      </c>
      <c r="V1464" t="s">
        <v>62</v>
      </c>
      <c r="W1464" t="s">
        <v>52</v>
      </c>
      <c r="Y1464" t="s">
        <v>5505</v>
      </c>
      <c r="Z1464" t="s">
        <v>62</v>
      </c>
      <c r="AB1464" t="s">
        <v>5506</v>
      </c>
      <c r="AE1464" t="s">
        <v>5507</v>
      </c>
      <c r="AF1464" t="s">
        <v>52</v>
      </c>
      <c r="AH1464">
        <v>0</v>
      </c>
      <c r="AI1464">
        <v>0</v>
      </c>
      <c r="AJ1464" t="s">
        <v>52</v>
      </c>
      <c r="AK1464">
        <v>0</v>
      </c>
      <c r="AL1464" t="s">
        <v>52</v>
      </c>
      <c r="AM1464" t="s">
        <v>52</v>
      </c>
      <c r="AN1464">
        <v>0</v>
      </c>
      <c r="AO1464">
        <v>0</v>
      </c>
      <c r="AP1464" t="s">
        <v>52</v>
      </c>
      <c r="AQ1464" t="s">
        <v>52</v>
      </c>
      <c r="AR1464" t="s">
        <v>62</v>
      </c>
      <c r="AS1464" t="s">
        <v>52</v>
      </c>
      <c r="AT1464" t="s">
        <v>74</v>
      </c>
      <c r="AU1464" t="s">
        <v>64</v>
      </c>
      <c r="AV1464" t="s">
        <v>62</v>
      </c>
      <c r="AW1464" t="s">
        <v>65</v>
      </c>
      <c r="AX1464" t="s">
        <v>66</v>
      </c>
      <c r="AY1464" t="s">
        <v>76</v>
      </c>
    </row>
    <row r="1465" spans="1:51" hidden="1" x14ac:dyDescent="0.25">
      <c r="A1465">
        <v>406163</v>
      </c>
      <c r="B1465" t="s">
        <v>5508</v>
      </c>
      <c r="C1465" t="e">
        <f>VLOOKUP(A1465,[1]Customer_payment_journal_line!$AL:$BO,30,0)</f>
        <v>#N/A</v>
      </c>
      <c r="D1465" t="s">
        <v>76</v>
      </c>
      <c r="E1465" t="s">
        <v>5499</v>
      </c>
      <c r="F1465" t="s">
        <v>5500</v>
      </c>
      <c r="G1465" t="s">
        <v>5265</v>
      </c>
      <c r="H1465" t="s">
        <v>69</v>
      </c>
      <c r="I1465" t="s">
        <v>5504</v>
      </c>
      <c r="J1465" t="s">
        <v>5501</v>
      </c>
      <c r="K1465" t="s">
        <v>5502</v>
      </c>
      <c r="L1465" t="s">
        <v>52</v>
      </c>
      <c r="M1465">
        <v>0</v>
      </c>
      <c r="N1465">
        <v>855</v>
      </c>
      <c r="O1465" t="s">
        <v>61</v>
      </c>
      <c r="P1465">
        <v>100</v>
      </c>
      <c r="Q1465" t="s">
        <v>52</v>
      </c>
      <c r="R1465" t="s">
        <v>52</v>
      </c>
      <c r="S1465" t="s">
        <v>52</v>
      </c>
      <c r="T1465" t="s">
        <v>52</v>
      </c>
      <c r="U1465" t="s">
        <v>52</v>
      </c>
      <c r="V1465" t="s">
        <v>62</v>
      </c>
      <c r="W1465" t="s">
        <v>52</v>
      </c>
      <c r="Y1465" t="s">
        <v>5505</v>
      </c>
      <c r="Z1465" t="s">
        <v>62</v>
      </c>
      <c r="AB1465" t="s">
        <v>5509</v>
      </c>
      <c r="AE1465" t="s">
        <v>5510</v>
      </c>
      <c r="AF1465" t="s">
        <v>52</v>
      </c>
      <c r="AH1465">
        <v>0</v>
      </c>
      <c r="AI1465">
        <v>0</v>
      </c>
      <c r="AJ1465" t="s">
        <v>52</v>
      </c>
      <c r="AK1465">
        <v>0</v>
      </c>
      <c r="AL1465" t="s">
        <v>52</v>
      </c>
      <c r="AM1465" t="s">
        <v>52</v>
      </c>
      <c r="AN1465">
        <v>0</v>
      </c>
      <c r="AO1465">
        <v>0</v>
      </c>
      <c r="AP1465" t="s">
        <v>52</v>
      </c>
      <c r="AQ1465" t="s">
        <v>52</v>
      </c>
      <c r="AR1465" t="s">
        <v>62</v>
      </c>
      <c r="AS1465" t="s">
        <v>52</v>
      </c>
      <c r="AT1465" t="s">
        <v>74</v>
      </c>
      <c r="AU1465" t="s">
        <v>64</v>
      </c>
      <c r="AV1465" t="s">
        <v>62</v>
      </c>
      <c r="AW1465" t="s">
        <v>65</v>
      </c>
      <c r="AX1465" t="s">
        <v>66</v>
      </c>
      <c r="AY1465" t="s">
        <v>76</v>
      </c>
    </row>
    <row r="1466" spans="1:51" hidden="1" x14ac:dyDescent="0.25">
      <c r="A1466">
        <v>406164</v>
      </c>
      <c r="B1466" t="s">
        <v>5511</v>
      </c>
      <c r="C1466" t="e">
        <f>VLOOKUP(A1466,[1]Customer_payment_journal_line!$AL:$BO,30,0)</f>
        <v>#N/A</v>
      </c>
      <c r="D1466" t="s">
        <v>76</v>
      </c>
      <c r="E1466" t="s">
        <v>5512</v>
      </c>
      <c r="F1466" t="s">
        <v>5513</v>
      </c>
      <c r="G1466" t="s">
        <v>5265</v>
      </c>
      <c r="H1466" t="s">
        <v>80</v>
      </c>
      <c r="I1466" t="s">
        <v>81</v>
      </c>
      <c r="J1466" t="s">
        <v>5514</v>
      </c>
      <c r="K1466" t="s">
        <v>5515</v>
      </c>
      <c r="L1466" t="s">
        <v>52</v>
      </c>
      <c r="M1466">
        <v>1995</v>
      </c>
      <c r="N1466">
        <v>0</v>
      </c>
      <c r="O1466" t="s">
        <v>61</v>
      </c>
      <c r="P1466">
        <v>100</v>
      </c>
      <c r="Q1466" t="s">
        <v>52</v>
      </c>
      <c r="R1466" t="s">
        <v>52</v>
      </c>
      <c r="S1466" t="s">
        <v>52</v>
      </c>
      <c r="T1466" t="s">
        <v>52</v>
      </c>
      <c r="U1466" t="s">
        <v>52</v>
      </c>
      <c r="V1466" t="s">
        <v>62</v>
      </c>
      <c r="W1466" t="s">
        <v>52</v>
      </c>
      <c r="Y1466" t="s">
        <v>52</v>
      </c>
      <c r="AB1466" t="s">
        <v>52</v>
      </c>
      <c r="AE1466" t="s">
        <v>52</v>
      </c>
      <c r="AF1466" t="s">
        <v>52</v>
      </c>
      <c r="AH1466">
        <v>0</v>
      </c>
      <c r="AI1466">
        <v>0</v>
      </c>
      <c r="AJ1466" t="s">
        <v>52</v>
      </c>
      <c r="AK1466">
        <v>0</v>
      </c>
      <c r="AL1466" t="s">
        <v>52</v>
      </c>
      <c r="AM1466" t="s">
        <v>52</v>
      </c>
      <c r="AN1466">
        <v>0</v>
      </c>
      <c r="AO1466">
        <v>0</v>
      </c>
      <c r="AP1466" t="s">
        <v>52</v>
      </c>
      <c r="AQ1466" t="s">
        <v>52</v>
      </c>
      <c r="AR1466" t="s">
        <v>62</v>
      </c>
      <c r="AS1466" t="s">
        <v>52</v>
      </c>
      <c r="AT1466" t="s">
        <v>52</v>
      </c>
      <c r="AU1466" t="s">
        <v>64</v>
      </c>
      <c r="AV1466" t="s">
        <v>62</v>
      </c>
      <c r="AW1466" t="s">
        <v>65</v>
      </c>
      <c r="AX1466" t="s">
        <v>66</v>
      </c>
      <c r="AY1466" t="s">
        <v>76</v>
      </c>
    </row>
    <row r="1467" spans="1:51" hidden="1" x14ac:dyDescent="0.25">
      <c r="A1467">
        <v>406164</v>
      </c>
      <c r="B1467" t="s">
        <v>5516</v>
      </c>
      <c r="C1467" t="e">
        <f>VLOOKUP(A1467,[1]Customer_payment_journal_line!$AL:$BO,30,0)</f>
        <v>#N/A</v>
      </c>
      <c r="D1467" t="s">
        <v>76</v>
      </c>
      <c r="E1467" t="s">
        <v>5512</v>
      </c>
      <c r="F1467" t="s">
        <v>5513</v>
      </c>
      <c r="G1467" t="s">
        <v>5265</v>
      </c>
      <c r="H1467" t="s">
        <v>69</v>
      </c>
      <c r="I1467" t="s">
        <v>5517</v>
      </c>
      <c r="J1467" t="s">
        <v>5514</v>
      </c>
      <c r="K1467" t="s">
        <v>5515</v>
      </c>
      <c r="L1467" t="s">
        <v>52</v>
      </c>
      <c r="M1467">
        <v>0</v>
      </c>
      <c r="N1467">
        <v>855</v>
      </c>
      <c r="O1467" t="s">
        <v>61</v>
      </c>
      <c r="P1467">
        <v>100</v>
      </c>
      <c r="Q1467" t="s">
        <v>52</v>
      </c>
      <c r="R1467" t="s">
        <v>52</v>
      </c>
      <c r="S1467" t="s">
        <v>52</v>
      </c>
      <c r="T1467" t="s">
        <v>52</v>
      </c>
      <c r="U1467" t="s">
        <v>52</v>
      </c>
      <c r="V1467" t="s">
        <v>62</v>
      </c>
      <c r="W1467" t="s">
        <v>52</v>
      </c>
      <c r="Y1467" t="s">
        <v>5518</v>
      </c>
      <c r="Z1467" t="s">
        <v>62</v>
      </c>
      <c r="AB1467" t="s">
        <v>5519</v>
      </c>
      <c r="AE1467" t="s">
        <v>5520</v>
      </c>
      <c r="AF1467" t="s">
        <v>52</v>
      </c>
      <c r="AH1467">
        <v>0</v>
      </c>
      <c r="AI1467">
        <v>0</v>
      </c>
      <c r="AJ1467" t="s">
        <v>52</v>
      </c>
      <c r="AK1467">
        <v>0</v>
      </c>
      <c r="AL1467" t="s">
        <v>52</v>
      </c>
      <c r="AM1467" t="s">
        <v>52</v>
      </c>
      <c r="AN1467">
        <v>0</v>
      </c>
      <c r="AO1467">
        <v>0</v>
      </c>
      <c r="AP1467" t="s">
        <v>52</v>
      </c>
      <c r="AQ1467" t="s">
        <v>52</v>
      </c>
      <c r="AR1467" t="s">
        <v>62</v>
      </c>
      <c r="AS1467" t="s">
        <v>52</v>
      </c>
      <c r="AT1467" t="s">
        <v>74</v>
      </c>
      <c r="AU1467" t="s">
        <v>64</v>
      </c>
      <c r="AV1467" t="s">
        <v>62</v>
      </c>
      <c r="AW1467" t="s">
        <v>65</v>
      </c>
      <c r="AX1467" t="s">
        <v>66</v>
      </c>
      <c r="AY1467" t="s">
        <v>76</v>
      </c>
    </row>
    <row r="1468" spans="1:51" hidden="1" x14ac:dyDescent="0.25">
      <c r="A1468">
        <v>406164</v>
      </c>
      <c r="B1468" t="s">
        <v>5521</v>
      </c>
      <c r="C1468" t="e">
        <f>VLOOKUP(A1468,[1]Customer_payment_journal_line!$AL:$BO,30,0)</f>
        <v>#N/A</v>
      </c>
      <c r="D1468" t="s">
        <v>76</v>
      </c>
      <c r="E1468" t="s">
        <v>5512</v>
      </c>
      <c r="F1468" t="s">
        <v>5513</v>
      </c>
      <c r="G1468" t="s">
        <v>5265</v>
      </c>
      <c r="H1468" t="s">
        <v>69</v>
      </c>
      <c r="I1468" t="s">
        <v>5517</v>
      </c>
      <c r="J1468" t="s">
        <v>5514</v>
      </c>
      <c r="K1468" t="s">
        <v>5515</v>
      </c>
      <c r="L1468" t="s">
        <v>52</v>
      </c>
      <c r="M1468">
        <v>0</v>
      </c>
      <c r="N1468">
        <v>1140</v>
      </c>
      <c r="O1468" t="s">
        <v>61</v>
      </c>
      <c r="P1468">
        <v>100</v>
      </c>
      <c r="Q1468" t="s">
        <v>52</v>
      </c>
      <c r="R1468" t="s">
        <v>52</v>
      </c>
      <c r="S1468" t="s">
        <v>52</v>
      </c>
      <c r="T1468" t="s">
        <v>52</v>
      </c>
      <c r="U1468" t="s">
        <v>52</v>
      </c>
      <c r="V1468" t="s">
        <v>62</v>
      </c>
      <c r="W1468" t="s">
        <v>52</v>
      </c>
      <c r="Y1468" t="s">
        <v>5518</v>
      </c>
      <c r="Z1468" t="s">
        <v>62</v>
      </c>
      <c r="AB1468" t="s">
        <v>5522</v>
      </c>
      <c r="AE1468" t="s">
        <v>5523</v>
      </c>
      <c r="AF1468" t="s">
        <v>52</v>
      </c>
      <c r="AH1468">
        <v>0</v>
      </c>
      <c r="AI1468">
        <v>0</v>
      </c>
      <c r="AJ1468" t="s">
        <v>52</v>
      </c>
      <c r="AK1468">
        <v>0</v>
      </c>
      <c r="AL1468" t="s">
        <v>52</v>
      </c>
      <c r="AM1468" t="s">
        <v>52</v>
      </c>
      <c r="AN1468">
        <v>0</v>
      </c>
      <c r="AO1468">
        <v>0</v>
      </c>
      <c r="AP1468" t="s">
        <v>52</v>
      </c>
      <c r="AQ1468" t="s">
        <v>52</v>
      </c>
      <c r="AR1468" t="s">
        <v>62</v>
      </c>
      <c r="AS1468" t="s">
        <v>52</v>
      </c>
      <c r="AT1468" t="s">
        <v>74</v>
      </c>
      <c r="AU1468" t="s">
        <v>64</v>
      </c>
      <c r="AV1468" t="s">
        <v>62</v>
      </c>
      <c r="AW1468" t="s">
        <v>65</v>
      </c>
      <c r="AX1468" t="s">
        <v>66</v>
      </c>
      <c r="AY1468" t="s">
        <v>76</v>
      </c>
    </row>
    <row r="1469" spans="1:51" hidden="1" x14ac:dyDescent="0.25">
      <c r="A1469">
        <v>406165</v>
      </c>
      <c r="B1469" t="s">
        <v>5524</v>
      </c>
      <c r="C1469" t="e">
        <f>VLOOKUP(A1469,[1]Customer_payment_journal_line!$AL:$BO,30,0)</f>
        <v>#N/A</v>
      </c>
      <c r="D1469" t="s">
        <v>159</v>
      </c>
      <c r="E1469" t="s">
        <v>5525</v>
      </c>
      <c r="F1469" t="s">
        <v>5526</v>
      </c>
      <c r="G1469" t="s">
        <v>5265</v>
      </c>
      <c r="H1469" t="s">
        <v>80</v>
      </c>
      <c r="I1469" t="s">
        <v>269</v>
      </c>
      <c r="J1469" t="s">
        <v>5527</v>
      </c>
      <c r="K1469" t="s">
        <v>5528</v>
      </c>
      <c r="L1469" t="s">
        <v>52</v>
      </c>
      <c r="M1469">
        <v>1560</v>
      </c>
      <c r="N1469">
        <v>0</v>
      </c>
      <c r="O1469" t="s">
        <v>178</v>
      </c>
      <c r="P1469">
        <v>5085</v>
      </c>
      <c r="Q1469" t="s">
        <v>52</v>
      </c>
      <c r="R1469" t="s">
        <v>52</v>
      </c>
      <c r="S1469" t="s">
        <v>52</v>
      </c>
      <c r="T1469" t="s">
        <v>52</v>
      </c>
      <c r="U1469" t="s">
        <v>52</v>
      </c>
      <c r="V1469" t="s">
        <v>62</v>
      </c>
      <c r="W1469" t="s">
        <v>52</v>
      </c>
      <c r="Y1469" t="s">
        <v>52</v>
      </c>
      <c r="AB1469" t="s">
        <v>52</v>
      </c>
      <c r="AE1469" t="s">
        <v>52</v>
      </c>
      <c r="AF1469" t="s">
        <v>52</v>
      </c>
      <c r="AH1469">
        <v>0</v>
      </c>
      <c r="AI1469">
        <v>0</v>
      </c>
      <c r="AJ1469" t="s">
        <v>52</v>
      </c>
      <c r="AK1469">
        <v>0</v>
      </c>
      <c r="AL1469" t="s">
        <v>52</v>
      </c>
      <c r="AM1469" t="s">
        <v>52</v>
      </c>
      <c r="AN1469">
        <v>0</v>
      </c>
      <c r="AO1469">
        <v>0</v>
      </c>
      <c r="AP1469" t="s">
        <v>52</v>
      </c>
      <c r="AQ1469" t="s">
        <v>52</v>
      </c>
      <c r="AR1469" t="s">
        <v>62</v>
      </c>
      <c r="AS1469" t="s">
        <v>52</v>
      </c>
      <c r="AT1469" t="s">
        <v>52</v>
      </c>
      <c r="AU1469" t="s">
        <v>64</v>
      </c>
      <c r="AV1469" t="s">
        <v>62</v>
      </c>
      <c r="AW1469" t="s">
        <v>65</v>
      </c>
      <c r="AX1469" t="s">
        <v>66</v>
      </c>
      <c r="AY1469" t="s">
        <v>165</v>
      </c>
    </row>
    <row r="1470" spans="1:51" hidden="1" x14ac:dyDescent="0.25">
      <c r="A1470">
        <v>406165</v>
      </c>
      <c r="B1470" t="s">
        <v>5529</v>
      </c>
      <c r="C1470" t="e">
        <f>VLOOKUP(A1470,[1]Customer_payment_journal_line!$AL:$BO,30,0)</f>
        <v>#N/A</v>
      </c>
      <c r="D1470" t="s">
        <v>159</v>
      </c>
      <c r="E1470" t="s">
        <v>5525</v>
      </c>
      <c r="F1470" t="s">
        <v>5526</v>
      </c>
      <c r="G1470" t="s">
        <v>5265</v>
      </c>
      <c r="H1470" t="s">
        <v>69</v>
      </c>
      <c r="I1470" t="s">
        <v>5530</v>
      </c>
      <c r="J1470" t="s">
        <v>5527</v>
      </c>
      <c r="K1470" t="s">
        <v>5528</v>
      </c>
      <c r="L1470" t="s">
        <v>52</v>
      </c>
      <c r="M1470">
        <v>0</v>
      </c>
      <c r="N1470">
        <v>1560</v>
      </c>
      <c r="O1470" t="s">
        <v>178</v>
      </c>
      <c r="P1470">
        <v>5085</v>
      </c>
      <c r="Q1470" t="s">
        <v>52</v>
      </c>
      <c r="R1470" t="s">
        <v>52</v>
      </c>
      <c r="S1470" t="s">
        <v>52</v>
      </c>
      <c r="T1470" t="s">
        <v>52</v>
      </c>
      <c r="U1470" t="s">
        <v>52</v>
      </c>
      <c r="V1470" t="s">
        <v>62</v>
      </c>
      <c r="W1470" t="s">
        <v>52</v>
      </c>
      <c r="Y1470" t="s">
        <v>5531</v>
      </c>
      <c r="Z1470" t="s">
        <v>62</v>
      </c>
      <c r="AB1470" t="s">
        <v>5532</v>
      </c>
      <c r="AE1470" t="s">
        <v>5533</v>
      </c>
      <c r="AF1470" t="s">
        <v>52</v>
      </c>
      <c r="AH1470">
        <v>0</v>
      </c>
      <c r="AI1470">
        <v>0</v>
      </c>
      <c r="AJ1470" t="s">
        <v>52</v>
      </c>
      <c r="AK1470">
        <v>0</v>
      </c>
      <c r="AL1470" t="s">
        <v>52</v>
      </c>
      <c r="AM1470" t="s">
        <v>52</v>
      </c>
      <c r="AN1470">
        <v>0</v>
      </c>
      <c r="AO1470">
        <v>0</v>
      </c>
      <c r="AP1470" t="s">
        <v>52</v>
      </c>
      <c r="AQ1470" t="s">
        <v>52</v>
      </c>
      <c r="AR1470" t="s">
        <v>62</v>
      </c>
      <c r="AS1470" t="s">
        <v>52</v>
      </c>
      <c r="AT1470" t="s">
        <v>74</v>
      </c>
      <c r="AU1470" t="s">
        <v>64</v>
      </c>
      <c r="AV1470" t="s">
        <v>62</v>
      </c>
      <c r="AW1470" t="s">
        <v>65</v>
      </c>
      <c r="AX1470" t="s">
        <v>66</v>
      </c>
      <c r="AY1470" t="s">
        <v>165</v>
      </c>
    </row>
    <row r="1471" spans="1:51" hidden="1" x14ac:dyDescent="0.25">
      <c r="A1471">
        <v>406126</v>
      </c>
      <c r="B1471" t="s">
        <v>5534</v>
      </c>
      <c r="C1471" t="e">
        <f>VLOOKUP(A1471,[1]Customer_payment_journal_line!$AL:$BO,30,0)</f>
        <v>#N/A</v>
      </c>
      <c r="D1471" t="s">
        <v>53</v>
      </c>
      <c r="E1471" t="s">
        <v>5535</v>
      </c>
      <c r="F1471" t="s">
        <v>5536</v>
      </c>
      <c r="G1471" t="s">
        <v>5265</v>
      </c>
      <c r="H1471" t="s">
        <v>57</v>
      </c>
      <c r="I1471" t="s">
        <v>58</v>
      </c>
      <c r="J1471" t="s">
        <v>5420</v>
      </c>
      <c r="K1471" t="s">
        <v>5421</v>
      </c>
      <c r="L1471" t="s">
        <v>52</v>
      </c>
      <c r="M1471">
        <v>6270</v>
      </c>
      <c r="N1471">
        <v>0</v>
      </c>
      <c r="O1471" t="s">
        <v>61</v>
      </c>
      <c r="P1471">
        <v>100</v>
      </c>
      <c r="Q1471" t="s">
        <v>52</v>
      </c>
      <c r="R1471" t="s">
        <v>52</v>
      </c>
      <c r="S1471" t="s">
        <v>52</v>
      </c>
      <c r="T1471" t="s">
        <v>52</v>
      </c>
      <c r="U1471" t="s">
        <v>52</v>
      </c>
      <c r="V1471" t="s">
        <v>62</v>
      </c>
      <c r="W1471" t="s">
        <v>63</v>
      </c>
      <c r="Y1471" t="s">
        <v>52</v>
      </c>
      <c r="AB1471" t="s">
        <v>52</v>
      </c>
      <c r="AE1471" t="s">
        <v>52</v>
      </c>
      <c r="AF1471" t="s">
        <v>52</v>
      </c>
      <c r="AH1471">
        <v>0</v>
      </c>
      <c r="AI1471">
        <v>0</v>
      </c>
      <c r="AJ1471" t="s">
        <v>52</v>
      </c>
      <c r="AK1471">
        <v>0</v>
      </c>
      <c r="AL1471" t="s">
        <v>52</v>
      </c>
      <c r="AM1471" t="s">
        <v>52</v>
      </c>
      <c r="AN1471">
        <v>0</v>
      </c>
      <c r="AO1471">
        <v>0</v>
      </c>
      <c r="AP1471" t="s">
        <v>52</v>
      </c>
      <c r="AQ1471" t="s">
        <v>52</v>
      </c>
      <c r="AR1471" t="s">
        <v>62</v>
      </c>
      <c r="AS1471" t="s">
        <v>52</v>
      </c>
      <c r="AT1471" t="s">
        <v>52</v>
      </c>
      <c r="AU1471" t="s">
        <v>64</v>
      </c>
      <c r="AV1471" t="s">
        <v>62</v>
      </c>
      <c r="AW1471" t="s">
        <v>65</v>
      </c>
      <c r="AX1471" t="s">
        <v>66</v>
      </c>
      <c r="AY1471" t="s">
        <v>67</v>
      </c>
    </row>
    <row r="1472" spans="1:51" hidden="1" x14ac:dyDescent="0.25">
      <c r="A1472">
        <v>406126</v>
      </c>
      <c r="B1472" t="s">
        <v>5537</v>
      </c>
      <c r="C1472" t="e">
        <f>VLOOKUP(A1472,[1]Customer_payment_journal_line!$AL:$BO,30,0)</f>
        <v>#N/A</v>
      </c>
      <c r="D1472" t="s">
        <v>53</v>
      </c>
      <c r="E1472" t="s">
        <v>5535</v>
      </c>
      <c r="F1472" t="s">
        <v>5536</v>
      </c>
      <c r="G1472" t="s">
        <v>5265</v>
      </c>
      <c r="H1472" t="s">
        <v>69</v>
      </c>
      <c r="I1472" t="s">
        <v>5423</v>
      </c>
      <c r="J1472" t="s">
        <v>5420</v>
      </c>
      <c r="K1472" t="s">
        <v>5421</v>
      </c>
      <c r="L1472" t="s">
        <v>52</v>
      </c>
      <c r="M1472">
        <v>0</v>
      </c>
      <c r="N1472">
        <v>6270</v>
      </c>
      <c r="O1472" t="s">
        <v>61</v>
      </c>
      <c r="P1472">
        <v>100</v>
      </c>
      <c r="Q1472" t="s">
        <v>52</v>
      </c>
      <c r="R1472" t="s">
        <v>52</v>
      </c>
      <c r="S1472" t="s">
        <v>52</v>
      </c>
      <c r="T1472" t="s">
        <v>52</v>
      </c>
      <c r="U1472" t="s">
        <v>52</v>
      </c>
      <c r="V1472" t="s">
        <v>62</v>
      </c>
      <c r="W1472" t="s">
        <v>52</v>
      </c>
      <c r="Y1472" t="s">
        <v>5424</v>
      </c>
      <c r="Z1472" t="s">
        <v>62</v>
      </c>
      <c r="AB1472" t="s">
        <v>5538</v>
      </c>
      <c r="AE1472" t="s">
        <v>5539</v>
      </c>
      <c r="AF1472" t="s">
        <v>52</v>
      </c>
      <c r="AH1472">
        <v>0</v>
      </c>
      <c r="AI1472">
        <v>0</v>
      </c>
      <c r="AJ1472" t="s">
        <v>52</v>
      </c>
      <c r="AK1472">
        <v>0</v>
      </c>
      <c r="AL1472" t="s">
        <v>52</v>
      </c>
      <c r="AM1472" t="s">
        <v>52</v>
      </c>
      <c r="AN1472">
        <v>0</v>
      </c>
      <c r="AO1472">
        <v>0</v>
      </c>
      <c r="AP1472" t="s">
        <v>52</v>
      </c>
      <c r="AQ1472" t="s">
        <v>52</v>
      </c>
      <c r="AR1472" t="s">
        <v>62</v>
      </c>
      <c r="AS1472" t="s">
        <v>52</v>
      </c>
      <c r="AT1472" t="s">
        <v>74</v>
      </c>
      <c r="AU1472" t="s">
        <v>64</v>
      </c>
      <c r="AV1472" t="s">
        <v>62</v>
      </c>
      <c r="AW1472" t="s">
        <v>65</v>
      </c>
      <c r="AX1472" t="s">
        <v>66</v>
      </c>
      <c r="AY1472" t="s">
        <v>67</v>
      </c>
    </row>
    <row r="1473" spans="1:51" hidden="1" x14ac:dyDescent="0.25">
      <c r="A1473">
        <v>406127</v>
      </c>
      <c r="B1473" t="s">
        <v>5540</v>
      </c>
      <c r="C1473" t="e">
        <f>VLOOKUP(A1473,[1]Customer_payment_journal_line!$AL:$BO,30,0)</f>
        <v>#N/A</v>
      </c>
      <c r="D1473" t="s">
        <v>53</v>
      </c>
      <c r="E1473" t="s">
        <v>5541</v>
      </c>
      <c r="F1473" t="s">
        <v>5542</v>
      </c>
      <c r="G1473" t="s">
        <v>5265</v>
      </c>
      <c r="H1473" t="s">
        <v>57</v>
      </c>
      <c r="I1473" t="s">
        <v>58</v>
      </c>
      <c r="J1473" t="s">
        <v>5420</v>
      </c>
      <c r="K1473" t="s">
        <v>5421</v>
      </c>
      <c r="L1473" t="s">
        <v>52</v>
      </c>
      <c r="M1473">
        <v>855</v>
      </c>
      <c r="N1473">
        <v>0</v>
      </c>
      <c r="O1473" t="s">
        <v>61</v>
      </c>
      <c r="P1473">
        <v>100</v>
      </c>
      <c r="Q1473" t="s">
        <v>52</v>
      </c>
      <c r="R1473" t="s">
        <v>52</v>
      </c>
      <c r="S1473" t="s">
        <v>52</v>
      </c>
      <c r="T1473" t="s">
        <v>52</v>
      </c>
      <c r="U1473" t="s">
        <v>52</v>
      </c>
      <c r="V1473" t="s">
        <v>62</v>
      </c>
      <c r="W1473" t="s">
        <v>63</v>
      </c>
      <c r="Y1473" t="s">
        <v>52</v>
      </c>
      <c r="AB1473" t="s">
        <v>52</v>
      </c>
      <c r="AE1473" t="s">
        <v>52</v>
      </c>
      <c r="AF1473" t="s">
        <v>52</v>
      </c>
      <c r="AH1473">
        <v>0</v>
      </c>
      <c r="AI1473">
        <v>0</v>
      </c>
      <c r="AJ1473" t="s">
        <v>52</v>
      </c>
      <c r="AK1473">
        <v>0</v>
      </c>
      <c r="AL1473" t="s">
        <v>52</v>
      </c>
      <c r="AM1473" t="s">
        <v>52</v>
      </c>
      <c r="AN1473">
        <v>0</v>
      </c>
      <c r="AO1473">
        <v>0</v>
      </c>
      <c r="AP1473" t="s">
        <v>52</v>
      </c>
      <c r="AQ1473" t="s">
        <v>52</v>
      </c>
      <c r="AR1473" t="s">
        <v>62</v>
      </c>
      <c r="AS1473" t="s">
        <v>52</v>
      </c>
      <c r="AT1473" t="s">
        <v>52</v>
      </c>
      <c r="AU1473" t="s">
        <v>64</v>
      </c>
      <c r="AV1473" t="s">
        <v>62</v>
      </c>
      <c r="AW1473" t="s">
        <v>65</v>
      </c>
      <c r="AX1473" t="s">
        <v>66</v>
      </c>
      <c r="AY1473" t="s">
        <v>67</v>
      </c>
    </row>
    <row r="1474" spans="1:51" hidden="1" x14ac:dyDescent="0.25">
      <c r="A1474">
        <v>406127</v>
      </c>
      <c r="B1474" t="s">
        <v>5543</v>
      </c>
      <c r="C1474" t="e">
        <f>VLOOKUP(A1474,[1]Customer_payment_journal_line!$AL:$BO,30,0)</f>
        <v>#N/A</v>
      </c>
      <c r="D1474" t="s">
        <v>53</v>
      </c>
      <c r="E1474" t="s">
        <v>5541</v>
      </c>
      <c r="F1474" t="s">
        <v>5542</v>
      </c>
      <c r="G1474" t="s">
        <v>5265</v>
      </c>
      <c r="H1474" t="s">
        <v>69</v>
      </c>
      <c r="I1474" t="s">
        <v>5423</v>
      </c>
      <c r="J1474" t="s">
        <v>5420</v>
      </c>
      <c r="K1474" t="s">
        <v>5421</v>
      </c>
      <c r="L1474" t="s">
        <v>52</v>
      </c>
      <c r="M1474">
        <v>0</v>
      </c>
      <c r="N1474">
        <v>855</v>
      </c>
      <c r="O1474" t="s">
        <v>61</v>
      </c>
      <c r="P1474">
        <v>100</v>
      </c>
      <c r="Q1474" t="s">
        <v>52</v>
      </c>
      <c r="R1474" t="s">
        <v>52</v>
      </c>
      <c r="S1474" t="s">
        <v>52</v>
      </c>
      <c r="T1474" t="s">
        <v>52</v>
      </c>
      <c r="U1474" t="s">
        <v>52</v>
      </c>
      <c r="V1474" t="s">
        <v>62</v>
      </c>
      <c r="W1474" t="s">
        <v>52</v>
      </c>
      <c r="Y1474" t="s">
        <v>5424</v>
      </c>
      <c r="Z1474" t="s">
        <v>62</v>
      </c>
      <c r="AB1474" t="s">
        <v>5544</v>
      </c>
      <c r="AE1474" t="s">
        <v>5545</v>
      </c>
      <c r="AF1474" t="s">
        <v>52</v>
      </c>
      <c r="AH1474">
        <v>0</v>
      </c>
      <c r="AI1474">
        <v>0</v>
      </c>
      <c r="AJ1474" t="s">
        <v>52</v>
      </c>
      <c r="AK1474">
        <v>0</v>
      </c>
      <c r="AL1474" t="s">
        <v>52</v>
      </c>
      <c r="AM1474" t="s">
        <v>52</v>
      </c>
      <c r="AN1474">
        <v>0</v>
      </c>
      <c r="AO1474">
        <v>0</v>
      </c>
      <c r="AP1474" t="s">
        <v>52</v>
      </c>
      <c r="AQ1474" t="s">
        <v>52</v>
      </c>
      <c r="AR1474" t="s">
        <v>62</v>
      </c>
      <c r="AS1474" t="s">
        <v>52</v>
      </c>
      <c r="AT1474" t="s">
        <v>74</v>
      </c>
      <c r="AU1474" t="s">
        <v>64</v>
      </c>
      <c r="AV1474" t="s">
        <v>62</v>
      </c>
      <c r="AW1474" t="s">
        <v>65</v>
      </c>
      <c r="AX1474" t="s">
        <v>66</v>
      </c>
      <c r="AY1474" t="s">
        <v>67</v>
      </c>
    </row>
    <row r="1475" spans="1:51" hidden="1" x14ac:dyDescent="0.25">
      <c r="A1475">
        <v>406128</v>
      </c>
      <c r="B1475" t="s">
        <v>5546</v>
      </c>
      <c r="C1475" t="e">
        <f>VLOOKUP(A1475,[1]Customer_payment_journal_line!$AL:$BO,30,0)</f>
        <v>#N/A</v>
      </c>
      <c r="D1475" t="s">
        <v>53</v>
      </c>
      <c r="E1475" t="s">
        <v>5547</v>
      </c>
      <c r="F1475" t="s">
        <v>5548</v>
      </c>
      <c r="G1475" t="s">
        <v>5265</v>
      </c>
      <c r="H1475" t="s">
        <v>57</v>
      </c>
      <c r="I1475" t="s">
        <v>58</v>
      </c>
      <c r="J1475" t="s">
        <v>5549</v>
      </c>
      <c r="K1475" t="s">
        <v>5550</v>
      </c>
      <c r="L1475" t="s">
        <v>52</v>
      </c>
      <c r="M1475">
        <v>21533</v>
      </c>
      <c r="N1475">
        <v>0</v>
      </c>
      <c r="O1475" t="s">
        <v>61</v>
      </c>
      <c r="P1475">
        <v>100</v>
      </c>
      <c r="Q1475" t="s">
        <v>52</v>
      </c>
      <c r="R1475" t="s">
        <v>52</v>
      </c>
      <c r="S1475" t="s">
        <v>52</v>
      </c>
      <c r="T1475" t="s">
        <v>52</v>
      </c>
      <c r="U1475" t="s">
        <v>52</v>
      </c>
      <c r="V1475" t="s">
        <v>62</v>
      </c>
      <c r="W1475" t="s">
        <v>63</v>
      </c>
      <c r="Y1475" t="s">
        <v>52</v>
      </c>
      <c r="AB1475" t="s">
        <v>52</v>
      </c>
      <c r="AE1475" t="s">
        <v>52</v>
      </c>
      <c r="AF1475" t="s">
        <v>52</v>
      </c>
      <c r="AH1475">
        <v>0</v>
      </c>
      <c r="AI1475">
        <v>0</v>
      </c>
      <c r="AJ1475" t="s">
        <v>52</v>
      </c>
      <c r="AK1475">
        <v>0</v>
      </c>
      <c r="AL1475" t="s">
        <v>52</v>
      </c>
      <c r="AM1475" t="s">
        <v>52</v>
      </c>
      <c r="AN1475">
        <v>0</v>
      </c>
      <c r="AO1475">
        <v>0</v>
      </c>
      <c r="AP1475" t="s">
        <v>52</v>
      </c>
      <c r="AQ1475" t="s">
        <v>52</v>
      </c>
      <c r="AR1475" t="s">
        <v>62</v>
      </c>
      <c r="AS1475" t="s">
        <v>52</v>
      </c>
      <c r="AT1475" t="s">
        <v>52</v>
      </c>
      <c r="AU1475" t="s">
        <v>64</v>
      </c>
      <c r="AV1475" t="s">
        <v>62</v>
      </c>
      <c r="AW1475" t="s">
        <v>65</v>
      </c>
      <c r="AX1475" t="s">
        <v>66</v>
      </c>
      <c r="AY1475" t="s">
        <v>67</v>
      </c>
    </row>
    <row r="1476" spans="1:51" hidden="1" x14ac:dyDescent="0.25">
      <c r="A1476">
        <v>406128</v>
      </c>
      <c r="B1476" t="s">
        <v>5551</v>
      </c>
      <c r="C1476" t="e">
        <f>VLOOKUP(A1476,[1]Customer_payment_journal_line!$AL:$BO,30,0)</f>
        <v>#N/A</v>
      </c>
      <c r="D1476" t="s">
        <v>53</v>
      </c>
      <c r="E1476" t="s">
        <v>5547</v>
      </c>
      <c r="F1476" t="s">
        <v>5548</v>
      </c>
      <c r="G1476" t="s">
        <v>5265</v>
      </c>
      <c r="H1476" t="s">
        <v>69</v>
      </c>
      <c r="I1476" t="s">
        <v>5552</v>
      </c>
      <c r="J1476" t="s">
        <v>5549</v>
      </c>
      <c r="K1476" t="s">
        <v>5550</v>
      </c>
      <c r="L1476" t="s">
        <v>52</v>
      </c>
      <c r="M1476">
        <v>0</v>
      </c>
      <c r="N1476">
        <v>21533</v>
      </c>
      <c r="O1476" t="s">
        <v>61</v>
      </c>
      <c r="P1476">
        <v>100</v>
      </c>
      <c r="Q1476" t="s">
        <v>52</v>
      </c>
      <c r="R1476" t="s">
        <v>52</v>
      </c>
      <c r="S1476" t="s">
        <v>52</v>
      </c>
      <c r="T1476" t="s">
        <v>52</v>
      </c>
      <c r="U1476" t="s">
        <v>52</v>
      </c>
      <c r="V1476" t="s">
        <v>62</v>
      </c>
      <c r="W1476" t="s">
        <v>52</v>
      </c>
      <c r="Y1476" t="s">
        <v>5553</v>
      </c>
      <c r="Z1476" t="s">
        <v>62</v>
      </c>
      <c r="AB1476" t="s">
        <v>5554</v>
      </c>
      <c r="AE1476" t="s">
        <v>5555</v>
      </c>
      <c r="AF1476" t="s">
        <v>52</v>
      </c>
      <c r="AH1476">
        <v>0</v>
      </c>
      <c r="AI1476">
        <v>0</v>
      </c>
      <c r="AJ1476" t="s">
        <v>52</v>
      </c>
      <c r="AK1476">
        <v>0</v>
      </c>
      <c r="AL1476" t="s">
        <v>52</v>
      </c>
      <c r="AM1476" t="s">
        <v>52</v>
      </c>
      <c r="AN1476">
        <v>0</v>
      </c>
      <c r="AO1476">
        <v>0</v>
      </c>
      <c r="AP1476" t="s">
        <v>52</v>
      </c>
      <c r="AQ1476" t="s">
        <v>52</v>
      </c>
      <c r="AR1476" t="s">
        <v>62</v>
      </c>
      <c r="AS1476" t="s">
        <v>52</v>
      </c>
      <c r="AT1476" t="s">
        <v>74</v>
      </c>
      <c r="AU1476" t="s">
        <v>64</v>
      </c>
      <c r="AV1476" t="s">
        <v>62</v>
      </c>
      <c r="AW1476" t="s">
        <v>65</v>
      </c>
      <c r="AX1476" t="s">
        <v>66</v>
      </c>
      <c r="AY1476" t="s">
        <v>67</v>
      </c>
    </row>
    <row r="1477" spans="1:51" hidden="1" x14ac:dyDescent="0.25">
      <c r="A1477">
        <v>406129</v>
      </c>
      <c r="B1477" t="s">
        <v>5556</v>
      </c>
      <c r="C1477" t="e">
        <f>VLOOKUP(A1477,[1]Customer_payment_journal_line!$AL:$BO,30,0)</f>
        <v>#N/A</v>
      </c>
      <c r="D1477" t="s">
        <v>53</v>
      </c>
      <c r="E1477" t="s">
        <v>5557</v>
      </c>
      <c r="F1477" t="s">
        <v>5558</v>
      </c>
      <c r="G1477" t="s">
        <v>5265</v>
      </c>
      <c r="H1477" t="s">
        <v>57</v>
      </c>
      <c r="I1477" t="s">
        <v>58</v>
      </c>
      <c r="J1477" t="s">
        <v>5549</v>
      </c>
      <c r="K1477" t="s">
        <v>5550</v>
      </c>
      <c r="L1477" t="s">
        <v>52</v>
      </c>
      <c r="M1477">
        <v>855</v>
      </c>
      <c r="N1477">
        <v>0</v>
      </c>
      <c r="O1477" t="s">
        <v>61</v>
      </c>
      <c r="P1477">
        <v>100</v>
      </c>
      <c r="Q1477" t="s">
        <v>52</v>
      </c>
      <c r="R1477" t="s">
        <v>52</v>
      </c>
      <c r="S1477" t="s">
        <v>52</v>
      </c>
      <c r="T1477" t="s">
        <v>52</v>
      </c>
      <c r="U1477" t="s">
        <v>52</v>
      </c>
      <c r="V1477" t="s">
        <v>62</v>
      </c>
      <c r="W1477" t="s">
        <v>63</v>
      </c>
      <c r="Y1477" t="s">
        <v>52</v>
      </c>
      <c r="AB1477" t="s">
        <v>52</v>
      </c>
      <c r="AE1477" t="s">
        <v>52</v>
      </c>
      <c r="AF1477" t="s">
        <v>52</v>
      </c>
      <c r="AH1477">
        <v>0</v>
      </c>
      <c r="AI1477">
        <v>0</v>
      </c>
      <c r="AJ1477" t="s">
        <v>52</v>
      </c>
      <c r="AK1477">
        <v>0</v>
      </c>
      <c r="AL1477" t="s">
        <v>52</v>
      </c>
      <c r="AM1477" t="s">
        <v>52</v>
      </c>
      <c r="AN1477">
        <v>0</v>
      </c>
      <c r="AO1477">
        <v>0</v>
      </c>
      <c r="AP1477" t="s">
        <v>52</v>
      </c>
      <c r="AQ1477" t="s">
        <v>52</v>
      </c>
      <c r="AR1477" t="s">
        <v>62</v>
      </c>
      <c r="AS1477" t="s">
        <v>52</v>
      </c>
      <c r="AT1477" t="s">
        <v>52</v>
      </c>
      <c r="AU1477" t="s">
        <v>64</v>
      </c>
      <c r="AV1477" t="s">
        <v>62</v>
      </c>
      <c r="AW1477" t="s">
        <v>65</v>
      </c>
      <c r="AX1477" t="s">
        <v>66</v>
      </c>
      <c r="AY1477" t="s">
        <v>67</v>
      </c>
    </row>
    <row r="1478" spans="1:51" hidden="1" x14ac:dyDescent="0.25">
      <c r="A1478">
        <v>406129</v>
      </c>
      <c r="B1478" t="s">
        <v>5559</v>
      </c>
      <c r="C1478" t="e">
        <f>VLOOKUP(A1478,[1]Customer_payment_journal_line!$AL:$BO,30,0)</f>
        <v>#N/A</v>
      </c>
      <c r="D1478" t="s">
        <v>53</v>
      </c>
      <c r="E1478" t="s">
        <v>5557</v>
      </c>
      <c r="F1478" t="s">
        <v>5558</v>
      </c>
      <c r="G1478" t="s">
        <v>5265</v>
      </c>
      <c r="H1478" t="s">
        <v>69</v>
      </c>
      <c r="I1478" t="s">
        <v>5552</v>
      </c>
      <c r="J1478" t="s">
        <v>5549</v>
      </c>
      <c r="K1478" t="s">
        <v>5550</v>
      </c>
      <c r="L1478" t="s">
        <v>52</v>
      </c>
      <c r="M1478">
        <v>0</v>
      </c>
      <c r="N1478">
        <v>855</v>
      </c>
      <c r="O1478" t="s">
        <v>61</v>
      </c>
      <c r="P1478">
        <v>100</v>
      </c>
      <c r="Q1478" t="s">
        <v>52</v>
      </c>
      <c r="R1478" t="s">
        <v>52</v>
      </c>
      <c r="S1478" t="s">
        <v>52</v>
      </c>
      <c r="T1478" t="s">
        <v>52</v>
      </c>
      <c r="U1478" t="s">
        <v>52</v>
      </c>
      <c r="V1478" t="s">
        <v>62</v>
      </c>
      <c r="W1478" t="s">
        <v>52</v>
      </c>
      <c r="Y1478" t="s">
        <v>5553</v>
      </c>
      <c r="Z1478" t="s">
        <v>62</v>
      </c>
      <c r="AB1478" t="s">
        <v>5560</v>
      </c>
      <c r="AE1478" t="s">
        <v>5561</v>
      </c>
      <c r="AF1478" t="s">
        <v>52</v>
      </c>
      <c r="AH1478">
        <v>0</v>
      </c>
      <c r="AI1478">
        <v>0</v>
      </c>
      <c r="AJ1478" t="s">
        <v>52</v>
      </c>
      <c r="AK1478">
        <v>0</v>
      </c>
      <c r="AL1478" t="s">
        <v>52</v>
      </c>
      <c r="AM1478" t="s">
        <v>52</v>
      </c>
      <c r="AN1478">
        <v>0</v>
      </c>
      <c r="AO1478">
        <v>0</v>
      </c>
      <c r="AP1478" t="s">
        <v>52</v>
      </c>
      <c r="AQ1478" t="s">
        <v>52</v>
      </c>
      <c r="AR1478" t="s">
        <v>62</v>
      </c>
      <c r="AS1478" t="s">
        <v>52</v>
      </c>
      <c r="AT1478" t="s">
        <v>74</v>
      </c>
      <c r="AU1478" t="s">
        <v>64</v>
      </c>
      <c r="AV1478" t="s">
        <v>62</v>
      </c>
      <c r="AW1478" t="s">
        <v>65</v>
      </c>
      <c r="AX1478" t="s">
        <v>66</v>
      </c>
      <c r="AY1478" t="s">
        <v>67</v>
      </c>
    </row>
    <row r="1479" spans="1:51" hidden="1" x14ac:dyDescent="0.25">
      <c r="A1479">
        <v>406131</v>
      </c>
      <c r="B1479" t="s">
        <v>5562</v>
      </c>
      <c r="C1479" t="e">
        <f>VLOOKUP(A1479,[1]Customer_payment_journal_line!$AL:$BO,30,0)</f>
        <v>#N/A</v>
      </c>
      <c r="D1479" t="s">
        <v>53</v>
      </c>
      <c r="E1479" t="s">
        <v>5563</v>
      </c>
      <c r="F1479" t="s">
        <v>5564</v>
      </c>
      <c r="G1479" t="s">
        <v>5265</v>
      </c>
      <c r="H1479" t="s">
        <v>57</v>
      </c>
      <c r="I1479" t="s">
        <v>58</v>
      </c>
      <c r="J1479" t="s">
        <v>336</v>
      </c>
      <c r="K1479" t="s">
        <v>5565</v>
      </c>
      <c r="L1479" t="s">
        <v>52</v>
      </c>
      <c r="M1479">
        <v>1938</v>
      </c>
      <c r="N1479">
        <v>0</v>
      </c>
      <c r="O1479" t="s">
        <v>61</v>
      </c>
      <c r="P1479">
        <v>100</v>
      </c>
      <c r="Q1479" t="s">
        <v>52</v>
      </c>
      <c r="R1479" t="s">
        <v>52</v>
      </c>
      <c r="S1479" t="s">
        <v>52</v>
      </c>
      <c r="T1479" t="s">
        <v>52</v>
      </c>
      <c r="U1479" t="s">
        <v>52</v>
      </c>
      <c r="V1479" t="s">
        <v>62</v>
      </c>
      <c r="W1479" t="s">
        <v>63</v>
      </c>
      <c r="Y1479" t="s">
        <v>52</v>
      </c>
      <c r="AB1479" t="s">
        <v>52</v>
      </c>
      <c r="AE1479" t="s">
        <v>52</v>
      </c>
      <c r="AF1479" t="s">
        <v>52</v>
      </c>
      <c r="AH1479">
        <v>0</v>
      </c>
      <c r="AI1479">
        <v>0</v>
      </c>
      <c r="AJ1479" t="s">
        <v>52</v>
      </c>
      <c r="AK1479">
        <v>0</v>
      </c>
      <c r="AL1479" t="s">
        <v>52</v>
      </c>
      <c r="AM1479" t="s">
        <v>52</v>
      </c>
      <c r="AN1479">
        <v>0</v>
      </c>
      <c r="AO1479">
        <v>0</v>
      </c>
      <c r="AP1479" t="s">
        <v>52</v>
      </c>
      <c r="AQ1479" t="s">
        <v>52</v>
      </c>
      <c r="AR1479" t="s">
        <v>62</v>
      </c>
      <c r="AS1479" t="s">
        <v>52</v>
      </c>
      <c r="AT1479" t="s">
        <v>52</v>
      </c>
      <c r="AU1479" t="s">
        <v>64</v>
      </c>
      <c r="AV1479" t="s">
        <v>62</v>
      </c>
      <c r="AW1479" t="s">
        <v>65</v>
      </c>
      <c r="AX1479" t="s">
        <v>66</v>
      </c>
      <c r="AY1479" t="s">
        <v>67</v>
      </c>
    </row>
    <row r="1480" spans="1:51" hidden="1" x14ac:dyDescent="0.25">
      <c r="A1480">
        <v>406131</v>
      </c>
      <c r="B1480" t="s">
        <v>5566</v>
      </c>
      <c r="C1480" t="e">
        <f>VLOOKUP(A1480,[1]Customer_payment_journal_line!$AL:$BO,30,0)</f>
        <v>#N/A</v>
      </c>
      <c r="D1480" t="s">
        <v>53</v>
      </c>
      <c r="E1480" t="s">
        <v>5563</v>
      </c>
      <c r="F1480" t="s">
        <v>5564</v>
      </c>
      <c r="G1480" t="s">
        <v>5265</v>
      </c>
      <c r="H1480" t="s">
        <v>69</v>
      </c>
      <c r="I1480" t="s">
        <v>339</v>
      </c>
      <c r="J1480" t="s">
        <v>336</v>
      </c>
      <c r="K1480" t="s">
        <v>5565</v>
      </c>
      <c r="L1480" t="s">
        <v>52</v>
      </c>
      <c r="M1480">
        <v>0</v>
      </c>
      <c r="N1480">
        <v>1938</v>
      </c>
      <c r="O1480" t="s">
        <v>61</v>
      </c>
      <c r="P1480">
        <v>100</v>
      </c>
      <c r="Q1480" t="s">
        <v>52</v>
      </c>
      <c r="R1480" t="s">
        <v>52</v>
      </c>
      <c r="S1480" t="s">
        <v>52</v>
      </c>
      <c r="T1480" t="s">
        <v>52</v>
      </c>
      <c r="U1480" t="s">
        <v>52</v>
      </c>
      <c r="V1480" t="s">
        <v>62</v>
      </c>
      <c r="W1480" t="s">
        <v>52</v>
      </c>
      <c r="Y1480" t="s">
        <v>340</v>
      </c>
      <c r="Z1480" t="s">
        <v>62</v>
      </c>
      <c r="AB1480" t="s">
        <v>5567</v>
      </c>
      <c r="AE1480" t="s">
        <v>5568</v>
      </c>
      <c r="AF1480" t="s">
        <v>52</v>
      </c>
      <c r="AH1480">
        <v>0</v>
      </c>
      <c r="AI1480">
        <v>0</v>
      </c>
      <c r="AJ1480" t="s">
        <v>52</v>
      </c>
      <c r="AK1480">
        <v>0</v>
      </c>
      <c r="AL1480" t="s">
        <v>52</v>
      </c>
      <c r="AM1480" t="s">
        <v>52</v>
      </c>
      <c r="AN1480">
        <v>0</v>
      </c>
      <c r="AO1480">
        <v>0</v>
      </c>
      <c r="AP1480" t="s">
        <v>52</v>
      </c>
      <c r="AQ1480" t="s">
        <v>52</v>
      </c>
      <c r="AR1480" t="s">
        <v>62</v>
      </c>
      <c r="AS1480" t="s">
        <v>52</v>
      </c>
      <c r="AT1480" t="s">
        <v>74</v>
      </c>
      <c r="AU1480" t="s">
        <v>64</v>
      </c>
      <c r="AV1480" t="s">
        <v>62</v>
      </c>
      <c r="AW1480" t="s">
        <v>65</v>
      </c>
      <c r="AX1480" t="s">
        <v>66</v>
      </c>
      <c r="AY1480" t="s">
        <v>67</v>
      </c>
    </row>
    <row r="1481" spans="1:51" hidden="1" x14ac:dyDescent="0.25">
      <c r="A1481">
        <v>406132</v>
      </c>
      <c r="B1481" t="s">
        <v>5569</v>
      </c>
      <c r="C1481" t="e">
        <f>VLOOKUP(A1481,[1]Customer_payment_journal_line!$AL:$BO,30,0)</f>
        <v>#N/A</v>
      </c>
      <c r="D1481" t="s">
        <v>53</v>
      </c>
      <c r="E1481" t="s">
        <v>5570</v>
      </c>
      <c r="F1481" t="s">
        <v>5571</v>
      </c>
      <c r="G1481" t="s">
        <v>5265</v>
      </c>
      <c r="H1481" t="s">
        <v>57</v>
      </c>
      <c r="I1481" t="s">
        <v>58</v>
      </c>
      <c r="J1481" t="s">
        <v>336</v>
      </c>
      <c r="K1481" t="s">
        <v>5565</v>
      </c>
      <c r="L1481" t="s">
        <v>52</v>
      </c>
      <c r="M1481">
        <v>855</v>
      </c>
      <c r="N1481">
        <v>0</v>
      </c>
      <c r="O1481" t="s">
        <v>61</v>
      </c>
      <c r="P1481">
        <v>100</v>
      </c>
      <c r="Q1481" t="s">
        <v>52</v>
      </c>
      <c r="R1481" t="s">
        <v>52</v>
      </c>
      <c r="S1481" t="s">
        <v>52</v>
      </c>
      <c r="T1481" t="s">
        <v>52</v>
      </c>
      <c r="U1481" t="s">
        <v>52</v>
      </c>
      <c r="V1481" t="s">
        <v>62</v>
      </c>
      <c r="W1481" t="s">
        <v>63</v>
      </c>
      <c r="Y1481" t="s">
        <v>52</v>
      </c>
      <c r="AB1481" t="s">
        <v>52</v>
      </c>
      <c r="AE1481" t="s">
        <v>52</v>
      </c>
      <c r="AF1481" t="s">
        <v>52</v>
      </c>
      <c r="AH1481">
        <v>0</v>
      </c>
      <c r="AI1481">
        <v>0</v>
      </c>
      <c r="AJ1481" t="s">
        <v>52</v>
      </c>
      <c r="AK1481">
        <v>0</v>
      </c>
      <c r="AL1481" t="s">
        <v>52</v>
      </c>
      <c r="AM1481" t="s">
        <v>52</v>
      </c>
      <c r="AN1481">
        <v>0</v>
      </c>
      <c r="AO1481">
        <v>0</v>
      </c>
      <c r="AP1481" t="s">
        <v>52</v>
      </c>
      <c r="AQ1481" t="s">
        <v>52</v>
      </c>
      <c r="AR1481" t="s">
        <v>62</v>
      </c>
      <c r="AS1481" t="s">
        <v>52</v>
      </c>
      <c r="AT1481" t="s">
        <v>52</v>
      </c>
      <c r="AU1481" t="s">
        <v>64</v>
      </c>
      <c r="AV1481" t="s">
        <v>62</v>
      </c>
      <c r="AW1481" t="s">
        <v>65</v>
      </c>
      <c r="AX1481" t="s">
        <v>66</v>
      </c>
      <c r="AY1481" t="s">
        <v>67</v>
      </c>
    </row>
    <row r="1482" spans="1:51" hidden="1" x14ac:dyDescent="0.25">
      <c r="A1482">
        <v>406132</v>
      </c>
      <c r="B1482" t="s">
        <v>5572</v>
      </c>
      <c r="C1482" t="e">
        <f>VLOOKUP(A1482,[1]Customer_payment_journal_line!$AL:$BO,30,0)</f>
        <v>#N/A</v>
      </c>
      <c r="D1482" t="s">
        <v>53</v>
      </c>
      <c r="E1482" t="s">
        <v>5570</v>
      </c>
      <c r="F1482" t="s">
        <v>5571</v>
      </c>
      <c r="G1482" t="s">
        <v>5265</v>
      </c>
      <c r="H1482" t="s">
        <v>69</v>
      </c>
      <c r="I1482" t="s">
        <v>339</v>
      </c>
      <c r="J1482" t="s">
        <v>336</v>
      </c>
      <c r="K1482" t="s">
        <v>5565</v>
      </c>
      <c r="L1482" t="s">
        <v>52</v>
      </c>
      <c r="M1482">
        <v>0</v>
      </c>
      <c r="N1482">
        <v>855</v>
      </c>
      <c r="O1482" t="s">
        <v>61</v>
      </c>
      <c r="P1482">
        <v>100</v>
      </c>
      <c r="Q1482" t="s">
        <v>52</v>
      </c>
      <c r="R1482" t="s">
        <v>52</v>
      </c>
      <c r="S1482" t="s">
        <v>52</v>
      </c>
      <c r="T1482" t="s">
        <v>52</v>
      </c>
      <c r="U1482" t="s">
        <v>52</v>
      </c>
      <c r="V1482" t="s">
        <v>62</v>
      </c>
      <c r="W1482" t="s">
        <v>52</v>
      </c>
      <c r="Y1482" t="s">
        <v>340</v>
      </c>
      <c r="Z1482" t="s">
        <v>62</v>
      </c>
      <c r="AB1482" t="s">
        <v>5573</v>
      </c>
      <c r="AE1482" t="s">
        <v>5574</v>
      </c>
      <c r="AF1482" t="s">
        <v>52</v>
      </c>
      <c r="AH1482">
        <v>0</v>
      </c>
      <c r="AI1482">
        <v>0</v>
      </c>
      <c r="AJ1482" t="s">
        <v>52</v>
      </c>
      <c r="AK1482">
        <v>0</v>
      </c>
      <c r="AL1482" t="s">
        <v>52</v>
      </c>
      <c r="AM1482" t="s">
        <v>52</v>
      </c>
      <c r="AN1482">
        <v>0</v>
      </c>
      <c r="AO1482">
        <v>0</v>
      </c>
      <c r="AP1482" t="s">
        <v>52</v>
      </c>
      <c r="AQ1482" t="s">
        <v>52</v>
      </c>
      <c r="AR1482" t="s">
        <v>62</v>
      </c>
      <c r="AS1482" t="s">
        <v>52</v>
      </c>
      <c r="AT1482" t="s">
        <v>74</v>
      </c>
      <c r="AU1482" t="s">
        <v>64</v>
      </c>
      <c r="AV1482" t="s">
        <v>62</v>
      </c>
      <c r="AW1482" t="s">
        <v>65</v>
      </c>
      <c r="AX1482" t="s">
        <v>66</v>
      </c>
      <c r="AY1482" t="s">
        <v>67</v>
      </c>
    </row>
    <row r="1483" spans="1:51" hidden="1" x14ac:dyDescent="0.25">
      <c r="A1483">
        <v>203441</v>
      </c>
      <c r="B1483" t="s">
        <v>5575</v>
      </c>
      <c r="C1483" t="e">
        <f>VLOOKUP(A1483,[1]Customer_payment_journal_line!$AL:$BO,30,0)</f>
        <v>#N/A</v>
      </c>
      <c r="D1483" t="s">
        <v>53</v>
      </c>
      <c r="E1483" t="s">
        <v>5576</v>
      </c>
      <c r="F1483" t="s">
        <v>5577</v>
      </c>
      <c r="G1483" t="s">
        <v>5265</v>
      </c>
      <c r="H1483" t="s">
        <v>57</v>
      </c>
      <c r="I1483" t="s">
        <v>319</v>
      </c>
      <c r="J1483" t="s">
        <v>352</v>
      </c>
      <c r="K1483" t="s">
        <v>5578</v>
      </c>
      <c r="L1483" t="s">
        <v>52</v>
      </c>
      <c r="M1483">
        <v>570</v>
      </c>
      <c r="N1483">
        <v>0</v>
      </c>
      <c r="O1483" t="s">
        <v>61</v>
      </c>
      <c r="P1483">
        <v>100</v>
      </c>
      <c r="Q1483" t="s">
        <v>52</v>
      </c>
      <c r="R1483" t="s">
        <v>52</v>
      </c>
      <c r="S1483" t="s">
        <v>52</v>
      </c>
      <c r="T1483" t="s">
        <v>52</v>
      </c>
      <c r="U1483" t="s">
        <v>52</v>
      </c>
      <c r="V1483" t="s">
        <v>62</v>
      </c>
      <c r="W1483" t="s">
        <v>63</v>
      </c>
      <c r="Y1483" t="s">
        <v>52</v>
      </c>
      <c r="AB1483" t="s">
        <v>52</v>
      </c>
      <c r="AE1483" t="s">
        <v>52</v>
      </c>
      <c r="AF1483" t="s">
        <v>52</v>
      </c>
      <c r="AH1483">
        <v>0</v>
      </c>
      <c r="AI1483">
        <v>0</v>
      </c>
      <c r="AJ1483" t="s">
        <v>52</v>
      </c>
      <c r="AK1483">
        <v>0</v>
      </c>
      <c r="AL1483" t="s">
        <v>52</v>
      </c>
      <c r="AM1483" t="s">
        <v>52</v>
      </c>
      <c r="AN1483">
        <v>0</v>
      </c>
      <c r="AO1483">
        <v>0</v>
      </c>
      <c r="AP1483" t="s">
        <v>52</v>
      </c>
      <c r="AQ1483" t="s">
        <v>52</v>
      </c>
      <c r="AR1483" t="s">
        <v>62</v>
      </c>
      <c r="AS1483" t="s">
        <v>52</v>
      </c>
      <c r="AT1483" t="s">
        <v>52</v>
      </c>
      <c r="AU1483" t="s">
        <v>64</v>
      </c>
      <c r="AV1483" t="s">
        <v>62</v>
      </c>
      <c r="AW1483" t="s">
        <v>65</v>
      </c>
      <c r="AX1483" t="s">
        <v>66</v>
      </c>
      <c r="AY1483" t="s">
        <v>67</v>
      </c>
    </row>
    <row r="1484" spans="1:51" hidden="1" x14ac:dyDescent="0.25">
      <c r="A1484">
        <v>203441</v>
      </c>
      <c r="B1484" t="s">
        <v>5579</v>
      </c>
      <c r="C1484" t="e">
        <f>VLOOKUP(A1484,[1]Customer_payment_journal_line!$AL:$BO,30,0)</f>
        <v>#N/A</v>
      </c>
      <c r="D1484" t="s">
        <v>53</v>
      </c>
      <c r="E1484" t="s">
        <v>5576</v>
      </c>
      <c r="F1484" t="s">
        <v>5577</v>
      </c>
      <c r="G1484" t="s">
        <v>5265</v>
      </c>
      <c r="H1484" t="s">
        <v>69</v>
      </c>
      <c r="I1484" t="s">
        <v>355</v>
      </c>
      <c r="J1484" t="s">
        <v>352</v>
      </c>
      <c r="K1484" t="s">
        <v>5578</v>
      </c>
      <c r="L1484" t="s">
        <v>52</v>
      </c>
      <c r="M1484">
        <v>0</v>
      </c>
      <c r="N1484">
        <v>570</v>
      </c>
      <c r="O1484" t="s">
        <v>61</v>
      </c>
      <c r="P1484">
        <v>100</v>
      </c>
      <c r="Q1484" t="s">
        <v>52</v>
      </c>
      <c r="R1484" t="s">
        <v>52</v>
      </c>
      <c r="S1484" t="s">
        <v>52</v>
      </c>
      <c r="T1484" t="s">
        <v>52</v>
      </c>
      <c r="U1484" t="s">
        <v>52</v>
      </c>
      <c r="V1484" t="s">
        <v>62</v>
      </c>
      <c r="W1484" t="s">
        <v>52</v>
      </c>
      <c r="Y1484" t="s">
        <v>356</v>
      </c>
      <c r="Z1484" t="s">
        <v>62</v>
      </c>
      <c r="AB1484" t="s">
        <v>5580</v>
      </c>
      <c r="AE1484" t="s">
        <v>5581</v>
      </c>
      <c r="AF1484" t="s">
        <v>52</v>
      </c>
      <c r="AH1484">
        <v>0</v>
      </c>
      <c r="AI1484">
        <v>0</v>
      </c>
      <c r="AJ1484" t="s">
        <v>52</v>
      </c>
      <c r="AK1484">
        <v>0</v>
      </c>
      <c r="AL1484" t="s">
        <v>52</v>
      </c>
      <c r="AM1484" t="s">
        <v>52</v>
      </c>
      <c r="AN1484">
        <v>0</v>
      </c>
      <c r="AO1484">
        <v>0</v>
      </c>
      <c r="AP1484" t="s">
        <v>52</v>
      </c>
      <c r="AQ1484" t="s">
        <v>52</v>
      </c>
      <c r="AR1484" t="s">
        <v>62</v>
      </c>
      <c r="AS1484" t="s">
        <v>52</v>
      </c>
      <c r="AT1484" t="s">
        <v>74</v>
      </c>
      <c r="AU1484" t="s">
        <v>64</v>
      </c>
      <c r="AV1484" t="s">
        <v>62</v>
      </c>
      <c r="AW1484" t="s">
        <v>65</v>
      </c>
      <c r="AX1484" t="s">
        <v>66</v>
      </c>
      <c r="AY1484" t="s">
        <v>67</v>
      </c>
    </row>
    <row r="1485" spans="1:51" hidden="1" x14ac:dyDescent="0.25">
      <c r="A1485">
        <v>402927</v>
      </c>
      <c r="B1485" t="s">
        <v>5582</v>
      </c>
      <c r="C1485" t="e">
        <f>VLOOKUP(A1485,[1]Customer_payment_journal_line!$AL:$BO,30,0)</f>
        <v>#N/A</v>
      </c>
      <c r="D1485" t="s">
        <v>53</v>
      </c>
      <c r="E1485" t="s">
        <v>5583</v>
      </c>
      <c r="F1485" t="s">
        <v>5584</v>
      </c>
      <c r="G1485" t="s">
        <v>5265</v>
      </c>
      <c r="H1485" t="s">
        <v>57</v>
      </c>
      <c r="I1485" t="s">
        <v>319</v>
      </c>
      <c r="J1485" t="s">
        <v>5585</v>
      </c>
      <c r="K1485" t="s">
        <v>5586</v>
      </c>
      <c r="L1485" t="s">
        <v>52</v>
      </c>
      <c r="M1485">
        <v>570</v>
      </c>
      <c r="N1485">
        <v>0</v>
      </c>
      <c r="O1485" t="s">
        <v>61</v>
      </c>
      <c r="P1485">
        <v>100</v>
      </c>
      <c r="Q1485" t="s">
        <v>52</v>
      </c>
      <c r="R1485" t="s">
        <v>52</v>
      </c>
      <c r="S1485" t="s">
        <v>52</v>
      </c>
      <c r="T1485" t="s">
        <v>52</v>
      </c>
      <c r="U1485" t="s">
        <v>52</v>
      </c>
      <c r="V1485" t="s">
        <v>62</v>
      </c>
      <c r="W1485" t="s">
        <v>63</v>
      </c>
      <c r="Y1485" t="s">
        <v>52</v>
      </c>
      <c r="AB1485" t="s">
        <v>52</v>
      </c>
      <c r="AE1485" t="s">
        <v>52</v>
      </c>
      <c r="AF1485" t="s">
        <v>52</v>
      </c>
      <c r="AH1485">
        <v>0</v>
      </c>
      <c r="AI1485">
        <v>0</v>
      </c>
      <c r="AJ1485" t="s">
        <v>52</v>
      </c>
      <c r="AK1485">
        <v>0</v>
      </c>
      <c r="AL1485" t="s">
        <v>52</v>
      </c>
      <c r="AM1485" t="s">
        <v>52</v>
      </c>
      <c r="AN1485">
        <v>0</v>
      </c>
      <c r="AO1485">
        <v>0</v>
      </c>
      <c r="AP1485" t="s">
        <v>52</v>
      </c>
      <c r="AQ1485" t="s">
        <v>52</v>
      </c>
      <c r="AR1485" t="s">
        <v>62</v>
      </c>
      <c r="AS1485" t="s">
        <v>52</v>
      </c>
      <c r="AT1485" t="s">
        <v>52</v>
      </c>
      <c r="AU1485" t="s">
        <v>64</v>
      </c>
      <c r="AV1485" t="s">
        <v>62</v>
      </c>
      <c r="AW1485" t="s">
        <v>65</v>
      </c>
      <c r="AX1485" t="s">
        <v>66</v>
      </c>
      <c r="AY1485" t="s">
        <v>67</v>
      </c>
    </row>
    <row r="1486" spans="1:51" hidden="1" x14ac:dyDescent="0.25">
      <c r="A1486">
        <v>402927</v>
      </c>
      <c r="B1486" t="s">
        <v>5587</v>
      </c>
      <c r="C1486" t="e">
        <f>VLOOKUP(A1486,[1]Customer_payment_journal_line!$AL:$BO,30,0)</f>
        <v>#N/A</v>
      </c>
      <c r="D1486" t="s">
        <v>53</v>
      </c>
      <c r="E1486" t="s">
        <v>5583</v>
      </c>
      <c r="F1486" t="s">
        <v>5584</v>
      </c>
      <c r="G1486" t="s">
        <v>5265</v>
      </c>
      <c r="H1486" t="s">
        <v>69</v>
      </c>
      <c r="I1486" t="s">
        <v>3609</v>
      </c>
      <c r="J1486" t="s">
        <v>5585</v>
      </c>
      <c r="K1486" t="s">
        <v>5586</v>
      </c>
      <c r="L1486" t="s">
        <v>52</v>
      </c>
      <c r="M1486">
        <v>0</v>
      </c>
      <c r="N1486">
        <v>570</v>
      </c>
      <c r="O1486" t="s">
        <v>61</v>
      </c>
      <c r="P1486">
        <v>100</v>
      </c>
      <c r="Q1486" t="s">
        <v>52</v>
      </c>
      <c r="R1486" t="s">
        <v>52</v>
      </c>
      <c r="S1486" t="s">
        <v>52</v>
      </c>
      <c r="T1486" t="s">
        <v>52</v>
      </c>
      <c r="U1486" t="s">
        <v>52</v>
      </c>
      <c r="V1486" t="s">
        <v>62</v>
      </c>
      <c r="W1486" t="s">
        <v>52</v>
      </c>
      <c r="Y1486" t="s">
        <v>3611</v>
      </c>
      <c r="Z1486" t="s">
        <v>62</v>
      </c>
      <c r="AB1486" t="s">
        <v>5588</v>
      </c>
      <c r="AE1486" t="s">
        <v>5589</v>
      </c>
      <c r="AF1486" t="s">
        <v>52</v>
      </c>
      <c r="AH1486">
        <v>0</v>
      </c>
      <c r="AI1486">
        <v>0</v>
      </c>
      <c r="AJ1486" t="s">
        <v>52</v>
      </c>
      <c r="AK1486">
        <v>0</v>
      </c>
      <c r="AL1486" t="s">
        <v>52</v>
      </c>
      <c r="AM1486" t="s">
        <v>52</v>
      </c>
      <c r="AN1486">
        <v>0</v>
      </c>
      <c r="AO1486">
        <v>0</v>
      </c>
      <c r="AP1486" t="s">
        <v>52</v>
      </c>
      <c r="AQ1486" t="s">
        <v>52</v>
      </c>
      <c r="AR1486" t="s">
        <v>62</v>
      </c>
      <c r="AS1486" t="s">
        <v>52</v>
      </c>
      <c r="AT1486" t="s">
        <v>74</v>
      </c>
      <c r="AU1486" t="s">
        <v>64</v>
      </c>
      <c r="AV1486" t="s">
        <v>62</v>
      </c>
      <c r="AW1486" t="s">
        <v>65</v>
      </c>
      <c r="AX1486" t="s">
        <v>66</v>
      </c>
      <c r="AY1486" t="s">
        <v>67</v>
      </c>
    </row>
    <row r="1487" spans="1:51" hidden="1" x14ac:dyDescent="0.25">
      <c r="A1487">
        <v>406133</v>
      </c>
      <c r="B1487" t="s">
        <v>5590</v>
      </c>
      <c r="C1487" t="e">
        <f>VLOOKUP(A1487,[1]Customer_payment_journal_line!$AL:$BO,30,0)</f>
        <v>#N/A</v>
      </c>
      <c r="D1487" t="s">
        <v>53</v>
      </c>
      <c r="E1487" t="s">
        <v>5591</v>
      </c>
      <c r="F1487" t="s">
        <v>5592</v>
      </c>
      <c r="G1487" t="s">
        <v>5265</v>
      </c>
      <c r="H1487" t="s">
        <v>201</v>
      </c>
      <c r="I1487" t="s">
        <v>58</v>
      </c>
      <c r="J1487" t="s">
        <v>202</v>
      </c>
      <c r="K1487" t="s">
        <v>5593</v>
      </c>
      <c r="L1487" t="s">
        <v>52</v>
      </c>
      <c r="M1487">
        <v>1140</v>
      </c>
      <c r="N1487">
        <v>0</v>
      </c>
      <c r="O1487" t="s">
        <v>61</v>
      </c>
      <c r="P1487">
        <v>100</v>
      </c>
      <c r="Q1487" t="s">
        <v>52</v>
      </c>
      <c r="R1487" t="s">
        <v>52</v>
      </c>
      <c r="S1487" t="s">
        <v>52</v>
      </c>
      <c r="T1487" t="s">
        <v>52</v>
      </c>
      <c r="U1487" t="s">
        <v>52</v>
      </c>
      <c r="V1487" t="s">
        <v>62</v>
      </c>
      <c r="W1487" t="s">
        <v>63</v>
      </c>
      <c r="Y1487" t="s">
        <v>52</v>
      </c>
      <c r="AB1487" t="s">
        <v>5594</v>
      </c>
      <c r="AE1487" t="s">
        <v>5594</v>
      </c>
      <c r="AF1487" t="s">
        <v>52</v>
      </c>
      <c r="AH1487">
        <v>0</v>
      </c>
      <c r="AI1487">
        <v>0</v>
      </c>
      <c r="AJ1487" t="s">
        <v>52</v>
      </c>
      <c r="AK1487">
        <v>0</v>
      </c>
      <c r="AL1487" t="s">
        <v>52</v>
      </c>
      <c r="AM1487" t="s">
        <v>52</v>
      </c>
      <c r="AN1487">
        <v>0</v>
      </c>
      <c r="AO1487">
        <v>0</v>
      </c>
      <c r="AP1487" t="s">
        <v>52</v>
      </c>
      <c r="AQ1487" t="s">
        <v>52</v>
      </c>
      <c r="AR1487" t="s">
        <v>62</v>
      </c>
      <c r="AS1487" t="s">
        <v>52</v>
      </c>
      <c r="AT1487" t="s">
        <v>52</v>
      </c>
      <c r="AU1487" t="s">
        <v>64</v>
      </c>
      <c r="AV1487" t="s">
        <v>62</v>
      </c>
      <c r="AW1487" t="s">
        <v>65</v>
      </c>
      <c r="AX1487" t="s">
        <v>66</v>
      </c>
      <c r="AY1487" t="s">
        <v>67</v>
      </c>
    </row>
    <row r="1488" spans="1:51" hidden="1" x14ac:dyDescent="0.25">
      <c r="A1488">
        <v>406133</v>
      </c>
      <c r="B1488" t="s">
        <v>5595</v>
      </c>
      <c r="C1488" t="e">
        <f>VLOOKUP(A1488,[1]Customer_payment_journal_line!$AL:$BO,30,0)</f>
        <v>#N/A</v>
      </c>
      <c r="D1488" t="s">
        <v>53</v>
      </c>
      <c r="E1488" t="s">
        <v>5591</v>
      </c>
      <c r="F1488" t="s">
        <v>5592</v>
      </c>
      <c r="G1488" t="s">
        <v>5265</v>
      </c>
      <c r="H1488" t="s">
        <v>69</v>
      </c>
      <c r="I1488" t="s">
        <v>5596</v>
      </c>
      <c r="J1488" t="s">
        <v>5597</v>
      </c>
      <c r="K1488" t="s">
        <v>5593</v>
      </c>
      <c r="L1488" t="s">
        <v>52</v>
      </c>
      <c r="M1488">
        <v>0</v>
      </c>
      <c r="N1488">
        <v>20</v>
      </c>
      <c r="O1488" t="s">
        <v>126</v>
      </c>
      <c r="P1488">
        <v>5285</v>
      </c>
      <c r="Q1488" t="s">
        <v>52</v>
      </c>
      <c r="R1488" t="s">
        <v>52</v>
      </c>
      <c r="S1488" t="s">
        <v>52</v>
      </c>
      <c r="T1488" t="s">
        <v>52</v>
      </c>
      <c r="U1488" t="s">
        <v>52</v>
      </c>
      <c r="V1488" t="s">
        <v>62</v>
      </c>
      <c r="W1488" t="s">
        <v>52</v>
      </c>
      <c r="Y1488" t="s">
        <v>5598</v>
      </c>
      <c r="Z1488" t="s">
        <v>62</v>
      </c>
      <c r="AB1488" t="s">
        <v>5594</v>
      </c>
      <c r="AE1488" t="s">
        <v>5594</v>
      </c>
      <c r="AF1488" t="s">
        <v>52</v>
      </c>
      <c r="AH1488">
        <v>0</v>
      </c>
      <c r="AI1488">
        <v>0</v>
      </c>
      <c r="AJ1488" t="s">
        <v>52</v>
      </c>
      <c r="AK1488">
        <v>0</v>
      </c>
      <c r="AL1488" t="s">
        <v>52</v>
      </c>
      <c r="AM1488" t="s">
        <v>52</v>
      </c>
      <c r="AN1488">
        <v>0</v>
      </c>
      <c r="AO1488">
        <v>0</v>
      </c>
      <c r="AP1488" t="s">
        <v>52</v>
      </c>
      <c r="AQ1488" t="s">
        <v>52</v>
      </c>
      <c r="AR1488" t="s">
        <v>62</v>
      </c>
      <c r="AS1488" t="s">
        <v>52</v>
      </c>
      <c r="AT1488" t="s">
        <v>74</v>
      </c>
      <c r="AU1488" t="s">
        <v>64</v>
      </c>
      <c r="AV1488" t="s">
        <v>62</v>
      </c>
      <c r="AW1488" t="s">
        <v>65</v>
      </c>
      <c r="AX1488" t="s">
        <v>66</v>
      </c>
      <c r="AY1488" t="s">
        <v>67</v>
      </c>
    </row>
    <row r="1489" spans="1:51" hidden="1" x14ac:dyDescent="0.25">
      <c r="A1489">
        <v>406133</v>
      </c>
      <c r="B1489" t="s">
        <v>5599</v>
      </c>
      <c r="C1489" t="e">
        <f>VLOOKUP(A1489,[1]Customer_payment_journal_line!$AL:$BO,30,0)</f>
        <v>#N/A</v>
      </c>
      <c r="D1489" t="s">
        <v>53</v>
      </c>
      <c r="E1489" t="s">
        <v>5591</v>
      </c>
      <c r="F1489" t="s">
        <v>5592</v>
      </c>
      <c r="G1489" t="s">
        <v>5265</v>
      </c>
      <c r="H1489" t="s">
        <v>210</v>
      </c>
      <c r="I1489" t="s">
        <v>5600</v>
      </c>
      <c r="J1489" t="s">
        <v>52</v>
      </c>
      <c r="K1489" t="s">
        <v>5593</v>
      </c>
      <c r="L1489" t="s">
        <v>52</v>
      </c>
      <c r="M1489">
        <v>0</v>
      </c>
      <c r="N1489">
        <v>83</v>
      </c>
      <c r="O1489" t="s">
        <v>61</v>
      </c>
      <c r="P1489">
        <v>100</v>
      </c>
      <c r="Q1489" t="s">
        <v>52</v>
      </c>
      <c r="R1489" t="s">
        <v>52</v>
      </c>
      <c r="S1489" t="s">
        <v>52</v>
      </c>
      <c r="T1489" t="s">
        <v>52</v>
      </c>
      <c r="U1489" t="s">
        <v>52</v>
      </c>
      <c r="V1489" t="s">
        <v>62</v>
      </c>
      <c r="W1489" t="s">
        <v>63</v>
      </c>
      <c r="Y1489" t="s">
        <v>5598</v>
      </c>
      <c r="AB1489" t="s">
        <v>5594</v>
      </c>
      <c r="AE1489" t="s">
        <v>5594</v>
      </c>
      <c r="AF1489" t="s">
        <v>52</v>
      </c>
      <c r="AH1489">
        <v>0</v>
      </c>
      <c r="AI1489">
        <v>0</v>
      </c>
      <c r="AJ1489" t="s">
        <v>52</v>
      </c>
      <c r="AK1489">
        <v>0</v>
      </c>
      <c r="AL1489" t="s">
        <v>52</v>
      </c>
      <c r="AM1489" t="s">
        <v>52</v>
      </c>
      <c r="AN1489">
        <v>0</v>
      </c>
      <c r="AO1489">
        <v>0</v>
      </c>
      <c r="AP1489" t="s">
        <v>52</v>
      </c>
      <c r="AQ1489" t="s">
        <v>52</v>
      </c>
      <c r="AR1489" t="s">
        <v>62</v>
      </c>
      <c r="AS1489" t="s">
        <v>52</v>
      </c>
      <c r="AT1489" t="s">
        <v>52</v>
      </c>
      <c r="AU1489" t="s">
        <v>64</v>
      </c>
      <c r="AV1489" t="s">
        <v>62</v>
      </c>
      <c r="AW1489" t="s">
        <v>65</v>
      </c>
      <c r="AX1489" t="s">
        <v>66</v>
      </c>
      <c r="AY1489" t="s">
        <v>67</v>
      </c>
    </row>
    <row r="1490" spans="1:51" hidden="1" x14ac:dyDescent="0.25">
      <c r="A1490">
        <v>406134</v>
      </c>
      <c r="B1490" t="s">
        <v>5601</v>
      </c>
      <c r="C1490" t="e">
        <f>VLOOKUP(A1490,[1]Customer_payment_journal_line!$AL:$BO,30,0)</f>
        <v>#N/A</v>
      </c>
      <c r="D1490" t="s">
        <v>53</v>
      </c>
      <c r="E1490" t="s">
        <v>5602</v>
      </c>
      <c r="F1490" t="s">
        <v>5603</v>
      </c>
      <c r="G1490" t="s">
        <v>5265</v>
      </c>
      <c r="H1490" t="s">
        <v>57</v>
      </c>
      <c r="I1490" t="s">
        <v>58</v>
      </c>
      <c r="J1490" t="s">
        <v>5604</v>
      </c>
      <c r="K1490" t="s">
        <v>5593</v>
      </c>
      <c r="L1490" t="s">
        <v>52</v>
      </c>
      <c r="M1490">
        <v>1482</v>
      </c>
      <c r="N1490">
        <v>0</v>
      </c>
      <c r="O1490" t="s">
        <v>61</v>
      </c>
      <c r="P1490">
        <v>100</v>
      </c>
      <c r="Q1490" t="s">
        <v>52</v>
      </c>
      <c r="R1490" t="s">
        <v>52</v>
      </c>
      <c r="S1490" t="s">
        <v>52</v>
      </c>
      <c r="T1490" t="s">
        <v>52</v>
      </c>
      <c r="U1490" t="s">
        <v>52</v>
      </c>
      <c r="V1490" t="s">
        <v>62</v>
      </c>
      <c r="W1490" t="s">
        <v>63</v>
      </c>
      <c r="Y1490" t="s">
        <v>52</v>
      </c>
      <c r="AB1490" t="s">
        <v>52</v>
      </c>
      <c r="AE1490" t="s">
        <v>52</v>
      </c>
      <c r="AF1490" t="s">
        <v>52</v>
      </c>
      <c r="AH1490">
        <v>0</v>
      </c>
      <c r="AI1490">
        <v>0</v>
      </c>
      <c r="AJ1490" t="s">
        <v>52</v>
      </c>
      <c r="AK1490">
        <v>0</v>
      </c>
      <c r="AL1490" t="s">
        <v>52</v>
      </c>
      <c r="AM1490" t="s">
        <v>52</v>
      </c>
      <c r="AN1490">
        <v>0</v>
      </c>
      <c r="AO1490">
        <v>0</v>
      </c>
      <c r="AP1490" t="s">
        <v>52</v>
      </c>
      <c r="AQ1490" t="s">
        <v>52</v>
      </c>
      <c r="AR1490" t="s">
        <v>62</v>
      </c>
      <c r="AS1490" t="s">
        <v>52</v>
      </c>
      <c r="AT1490" t="s">
        <v>52</v>
      </c>
      <c r="AU1490" t="s">
        <v>64</v>
      </c>
      <c r="AV1490" t="s">
        <v>62</v>
      </c>
      <c r="AW1490" t="s">
        <v>65</v>
      </c>
      <c r="AX1490" t="s">
        <v>66</v>
      </c>
      <c r="AY1490" t="s">
        <v>67</v>
      </c>
    </row>
    <row r="1491" spans="1:51" hidden="1" x14ac:dyDescent="0.25">
      <c r="A1491">
        <v>406134</v>
      </c>
      <c r="B1491" t="s">
        <v>5605</v>
      </c>
      <c r="C1491" t="e">
        <f>VLOOKUP(A1491,[1]Customer_payment_journal_line!$AL:$BO,30,0)</f>
        <v>#N/A</v>
      </c>
      <c r="D1491" t="s">
        <v>53</v>
      </c>
      <c r="E1491" t="s">
        <v>5602</v>
      </c>
      <c r="F1491" t="s">
        <v>5603</v>
      </c>
      <c r="G1491" t="s">
        <v>5265</v>
      </c>
      <c r="H1491" t="s">
        <v>69</v>
      </c>
      <c r="I1491" t="s">
        <v>5596</v>
      </c>
      <c r="J1491" t="s">
        <v>5604</v>
      </c>
      <c r="K1491" t="s">
        <v>5593</v>
      </c>
      <c r="L1491" t="s">
        <v>52</v>
      </c>
      <c r="M1491">
        <v>0</v>
      </c>
      <c r="N1491">
        <v>1482</v>
      </c>
      <c r="O1491" t="s">
        <v>61</v>
      </c>
      <c r="P1491">
        <v>100</v>
      </c>
      <c r="Q1491" t="s">
        <v>52</v>
      </c>
      <c r="R1491" t="s">
        <v>52</v>
      </c>
      <c r="S1491" t="s">
        <v>52</v>
      </c>
      <c r="T1491" t="s">
        <v>52</v>
      </c>
      <c r="U1491" t="s">
        <v>52</v>
      </c>
      <c r="V1491" t="s">
        <v>62</v>
      </c>
      <c r="W1491" t="s">
        <v>52</v>
      </c>
      <c r="Y1491" t="s">
        <v>5598</v>
      </c>
      <c r="Z1491" t="s">
        <v>62</v>
      </c>
      <c r="AB1491" t="s">
        <v>5606</v>
      </c>
      <c r="AE1491" t="s">
        <v>5607</v>
      </c>
      <c r="AF1491" t="s">
        <v>52</v>
      </c>
      <c r="AH1491">
        <v>0</v>
      </c>
      <c r="AI1491">
        <v>0</v>
      </c>
      <c r="AJ1491" t="s">
        <v>52</v>
      </c>
      <c r="AK1491">
        <v>0</v>
      </c>
      <c r="AL1491" t="s">
        <v>52</v>
      </c>
      <c r="AM1491" t="s">
        <v>52</v>
      </c>
      <c r="AN1491">
        <v>0</v>
      </c>
      <c r="AO1491">
        <v>0</v>
      </c>
      <c r="AP1491" t="s">
        <v>52</v>
      </c>
      <c r="AQ1491" t="s">
        <v>52</v>
      </c>
      <c r="AR1491" t="s">
        <v>62</v>
      </c>
      <c r="AS1491" t="s">
        <v>52</v>
      </c>
      <c r="AT1491" t="s">
        <v>74</v>
      </c>
      <c r="AU1491" t="s">
        <v>64</v>
      </c>
      <c r="AV1491" t="s">
        <v>62</v>
      </c>
      <c r="AW1491" t="s">
        <v>65</v>
      </c>
      <c r="AX1491" t="s">
        <v>66</v>
      </c>
      <c r="AY1491" t="s">
        <v>67</v>
      </c>
    </row>
    <row r="1492" spans="1:51" hidden="1" x14ac:dyDescent="0.25">
      <c r="A1492">
        <v>406135</v>
      </c>
      <c r="B1492" t="s">
        <v>5608</v>
      </c>
      <c r="C1492" t="e">
        <f>VLOOKUP(A1492,[1]Customer_payment_journal_line!$AL:$BO,30,0)</f>
        <v>#N/A</v>
      </c>
      <c r="D1492" t="s">
        <v>53</v>
      </c>
      <c r="E1492" t="s">
        <v>5609</v>
      </c>
      <c r="F1492" t="s">
        <v>5610</v>
      </c>
      <c r="G1492" t="s">
        <v>5265</v>
      </c>
      <c r="H1492" t="s">
        <v>57</v>
      </c>
      <c r="I1492" t="s">
        <v>58</v>
      </c>
      <c r="J1492" t="s">
        <v>5604</v>
      </c>
      <c r="K1492" t="s">
        <v>5593</v>
      </c>
      <c r="L1492" t="s">
        <v>52</v>
      </c>
      <c r="M1492">
        <v>855</v>
      </c>
      <c r="N1492">
        <v>0</v>
      </c>
      <c r="O1492" t="s">
        <v>61</v>
      </c>
      <c r="P1492">
        <v>100</v>
      </c>
      <c r="Q1492" t="s">
        <v>52</v>
      </c>
      <c r="R1492" t="s">
        <v>52</v>
      </c>
      <c r="S1492" t="s">
        <v>52</v>
      </c>
      <c r="T1492" t="s">
        <v>52</v>
      </c>
      <c r="U1492" t="s">
        <v>52</v>
      </c>
      <c r="V1492" t="s">
        <v>62</v>
      </c>
      <c r="W1492" t="s">
        <v>63</v>
      </c>
      <c r="Y1492" t="s">
        <v>52</v>
      </c>
      <c r="AB1492" t="s">
        <v>52</v>
      </c>
      <c r="AE1492" t="s">
        <v>52</v>
      </c>
      <c r="AF1492" t="s">
        <v>52</v>
      </c>
      <c r="AH1492">
        <v>0</v>
      </c>
      <c r="AI1492">
        <v>0</v>
      </c>
      <c r="AJ1492" t="s">
        <v>52</v>
      </c>
      <c r="AK1492">
        <v>0</v>
      </c>
      <c r="AL1492" t="s">
        <v>52</v>
      </c>
      <c r="AM1492" t="s">
        <v>52</v>
      </c>
      <c r="AN1492">
        <v>0</v>
      </c>
      <c r="AO1492">
        <v>0</v>
      </c>
      <c r="AP1492" t="s">
        <v>52</v>
      </c>
      <c r="AQ1492" t="s">
        <v>52</v>
      </c>
      <c r="AR1492" t="s">
        <v>62</v>
      </c>
      <c r="AS1492" t="s">
        <v>52</v>
      </c>
      <c r="AT1492" t="s">
        <v>52</v>
      </c>
      <c r="AU1492" t="s">
        <v>64</v>
      </c>
      <c r="AV1492" t="s">
        <v>62</v>
      </c>
      <c r="AW1492" t="s">
        <v>65</v>
      </c>
      <c r="AX1492" t="s">
        <v>66</v>
      </c>
      <c r="AY1492" t="s">
        <v>67</v>
      </c>
    </row>
    <row r="1493" spans="1:51" hidden="1" x14ac:dyDescent="0.25">
      <c r="A1493">
        <v>406135</v>
      </c>
      <c r="B1493" t="s">
        <v>5611</v>
      </c>
      <c r="C1493" t="e">
        <f>VLOOKUP(A1493,[1]Customer_payment_journal_line!$AL:$BO,30,0)</f>
        <v>#N/A</v>
      </c>
      <c r="D1493" t="s">
        <v>53</v>
      </c>
      <c r="E1493" t="s">
        <v>5609</v>
      </c>
      <c r="F1493" t="s">
        <v>5610</v>
      </c>
      <c r="G1493" t="s">
        <v>5265</v>
      </c>
      <c r="H1493" t="s">
        <v>69</v>
      </c>
      <c r="I1493" t="s">
        <v>5596</v>
      </c>
      <c r="J1493" t="s">
        <v>5604</v>
      </c>
      <c r="K1493" t="s">
        <v>5593</v>
      </c>
      <c r="L1493" t="s">
        <v>52</v>
      </c>
      <c r="M1493">
        <v>0</v>
      </c>
      <c r="N1493">
        <v>855</v>
      </c>
      <c r="O1493" t="s">
        <v>61</v>
      </c>
      <c r="P1493">
        <v>100</v>
      </c>
      <c r="Q1493" t="s">
        <v>52</v>
      </c>
      <c r="R1493" t="s">
        <v>52</v>
      </c>
      <c r="S1493" t="s">
        <v>52</v>
      </c>
      <c r="T1493" t="s">
        <v>52</v>
      </c>
      <c r="U1493" t="s">
        <v>52</v>
      </c>
      <c r="V1493" t="s">
        <v>62</v>
      </c>
      <c r="W1493" t="s">
        <v>52</v>
      </c>
      <c r="Y1493" t="s">
        <v>5598</v>
      </c>
      <c r="Z1493" t="s">
        <v>62</v>
      </c>
      <c r="AB1493" t="s">
        <v>5612</v>
      </c>
      <c r="AE1493" t="s">
        <v>5613</v>
      </c>
      <c r="AF1493" t="s">
        <v>52</v>
      </c>
      <c r="AH1493">
        <v>0</v>
      </c>
      <c r="AI1493">
        <v>0</v>
      </c>
      <c r="AJ1493" t="s">
        <v>52</v>
      </c>
      <c r="AK1493">
        <v>0</v>
      </c>
      <c r="AL1493" t="s">
        <v>52</v>
      </c>
      <c r="AM1493" t="s">
        <v>52</v>
      </c>
      <c r="AN1493">
        <v>0</v>
      </c>
      <c r="AO1493">
        <v>0</v>
      </c>
      <c r="AP1493" t="s">
        <v>52</v>
      </c>
      <c r="AQ1493" t="s">
        <v>52</v>
      </c>
      <c r="AR1493" t="s">
        <v>62</v>
      </c>
      <c r="AS1493" t="s">
        <v>52</v>
      </c>
      <c r="AT1493" t="s">
        <v>74</v>
      </c>
      <c r="AU1493" t="s">
        <v>64</v>
      </c>
      <c r="AV1493" t="s">
        <v>62</v>
      </c>
      <c r="AW1493" t="s">
        <v>65</v>
      </c>
      <c r="AX1493" t="s">
        <v>66</v>
      </c>
      <c r="AY1493" t="s">
        <v>67</v>
      </c>
    </row>
    <row r="1494" spans="1:51" hidden="1" x14ac:dyDescent="0.25">
      <c r="A1494">
        <v>402221</v>
      </c>
      <c r="B1494" t="s">
        <v>5614</v>
      </c>
      <c r="C1494" t="e">
        <f>VLOOKUP(A1494,[1]Customer_payment_journal_line!$AL:$BO,30,0)</f>
        <v>#N/A</v>
      </c>
      <c r="D1494" t="s">
        <v>53</v>
      </c>
      <c r="E1494" t="s">
        <v>5615</v>
      </c>
      <c r="F1494" t="s">
        <v>5616</v>
      </c>
      <c r="G1494" t="s">
        <v>5265</v>
      </c>
      <c r="H1494" t="s">
        <v>57</v>
      </c>
      <c r="I1494" t="s">
        <v>58</v>
      </c>
      <c r="J1494" t="s">
        <v>5617</v>
      </c>
      <c r="K1494" t="s">
        <v>5618</v>
      </c>
      <c r="L1494" t="s">
        <v>52</v>
      </c>
      <c r="M1494">
        <v>22059</v>
      </c>
      <c r="N1494">
        <v>0</v>
      </c>
      <c r="O1494" t="s">
        <v>61</v>
      </c>
      <c r="P1494">
        <v>100</v>
      </c>
      <c r="Q1494" t="s">
        <v>52</v>
      </c>
      <c r="R1494" t="s">
        <v>52</v>
      </c>
      <c r="S1494" t="s">
        <v>52</v>
      </c>
      <c r="T1494" t="s">
        <v>52</v>
      </c>
      <c r="U1494" t="s">
        <v>52</v>
      </c>
      <c r="V1494" t="s">
        <v>62</v>
      </c>
      <c r="W1494" t="s">
        <v>63</v>
      </c>
      <c r="Y1494" t="s">
        <v>52</v>
      </c>
      <c r="AB1494" t="s">
        <v>52</v>
      </c>
      <c r="AE1494" t="s">
        <v>52</v>
      </c>
      <c r="AF1494" t="s">
        <v>52</v>
      </c>
      <c r="AH1494">
        <v>0</v>
      </c>
      <c r="AI1494">
        <v>0</v>
      </c>
      <c r="AJ1494" t="s">
        <v>52</v>
      </c>
      <c r="AK1494">
        <v>0</v>
      </c>
      <c r="AL1494" t="s">
        <v>52</v>
      </c>
      <c r="AM1494" t="s">
        <v>52</v>
      </c>
      <c r="AN1494">
        <v>0</v>
      </c>
      <c r="AO1494">
        <v>0</v>
      </c>
      <c r="AP1494" t="s">
        <v>52</v>
      </c>
      <c r="AQ1494" t="s">
        <v>52</v>
      </c>
      <c r="AR1494" t="s">
        <v>62</v>
      </c>
      <c r="AS1494" t="s">
        <v>52</v>
      </c>
      <c r="AT1494" t="s">
        <v>52</v>
      </c>
      <c r="AU1494" t="s">
        <v>64</v>
      </c>
      <c r="AV1494" t="s">
        <v>62</v>
      </c>
      <c r="AW1494" t="s">
        <v>65</v>
      </c>
      <c r="AX1494" t="s">
        <v>66</v>
      </c>
      <c r="AY1494" t="s">
        <v>67</v>
      </c>
    </row>
    <row r="1495" spans="1:51" hidden="1" x14ac:dyDescent="0.25">
      <c r="A1495">
        <v>402221</v>
      </c>
      <c r="B1495" t="s">
        <v>5619</v>
      </c>
      <c r="C1495" t="e">
        <f>VLOOKUP(A1495,[1]Customer_payment_journal_line!$AL:$BO,30,0)</f>
        <v>#N/A</v>
      </c>
      <c r="D1495" t="s">
        <v>53</v>
      </c>
      <c r="E1495" t="s">
        <v>5615</v>
      </c>
      <c r="F1495" t="s">
        <v>5616</v>
      </c>
      <c r="G1495" t="s">
        <v>5265</v>
      </c>
      <c r="H1495" t="s">
        <v>69</v>
      </c>
      <c r="I1495" t="s">
        <v>5620</v>
      </c>
      <c r="J1495" t="s">
        <v>5617</v>
      </c>
      <c r="K1495" t="s">
        <v>5618</v>
      </c>
      <c r="L1495" t="s">
        <v>52</v>
      </c>
      <c r="M1495">
        <v>0</v>
      </c>
      <c r="N1495">
        <v>22059</v>
      </c>
      <c r="O1495" t="s">
        <v>61</v>
      </c>
      <c r="P1495">
        <v>100</v>
      </c>
      <c r="Q1495" t="s">
        <v>52</v>
      </c>
      <c r="R1495" t="s">
        <v>52</v>
      </c>
      <c r="S1495" t="s">
        <v>52</v>
      </c>
      <c r="T1495" t="s">
        <v>52</v>
      </c>
      <c r="U1495" t="s">
        <v>52</v>
      </c>
      <c r="V1495" t="s">
        <v>62</v>
      </c>
      <c r="W1495" t="s">
        <v>52</v>
      </c>
      <c r="Y1495" t="s">
        <v>5621</v>
      </c>
      <c r="Z1495" t="s">
        <v>62</v>
      </c>
      <c r="AB1495" t="s">
        <v>5622</v>
      </c>
      <c r="AE1495" t="s">
        <v>5623</v>
      </c>
      <c r="AF1495" t="s">
        <v>52</v>
      </c>
      <c r="AH1495">
        <v>0</v>
      </c>
      <c r="AI1495">
        <v>0</v>
      </c>
      <c r="AJ1495" t="s">
        <v>52</v>
      </c>
      <c r="AK1495">
        <v>0</v>
      </c>
      <c r="AL1495" t="s">
        <v>52</v>
      </c>
      <c r="AM1495" t="s">
        <v>52</v>
      </c>
      <c r="AN1495">
        <v>0</v>
      </c>
      <c r="AO1495">
        <v>0</v>
      </c>
      <c r="AP1495" t="s">
        <v>52</v>
      </c>
      <c r="AQ1495" t="s">
        <v>52</v>
      </c>
      <c r="AR1495" t="s">
        <v>62</v>
      </c>
      <c r="AS1495" t="s">
        <v>52</v>
      </c>
      <c r="AT1495" t="s">
        <v>74</v>
      </c>
      <c r="AU1495" t="s">
        <v>64</v>
      </c>
      <c r="AV1495" t="s">
        <v>62</v>
      </c>
      <c r="AW1495" t="s">
        <v>65</v>
      </c>
      <c r="AX1495" t="s">
        <v>66</v>
      </c>
      <c r="AY1495" t="s">
        <v>67</v>
      </c>
    </row>
    <row r="1496" spans="1:51" hidden="1" x14ac:dyDescent="0.25">
      <c r="A1496">
        <v>403216</v>
      </c>
      <c r="B1496" t="s">
        <v>5624</v>
      </c>
      <c r="C1496" t="e">
        <f>VLOOKUP(A1496,[1]Customer_payment_journal_line!$AL:$BO,30,0)</f>
        <v>#N/A</v>
      </c>
      <c r="D1496" t="s">
        <v>53</v>
      </c>
      <c r="E1496" t="s">
        <v>5625</v>
      </c>
      <c r="F1496" t="s">
        <v>5626</v>
      </c>
      <c r="G1496" t="s">
        <v>5265</v>
      </c>
      <c r="H1496" t="s">
        <v>57</v>
      </c>
      <c r="I1496" t="s">
        <v>58</v>
      </c>
      <c r="J1496" t="s">
        <v>5617</v>
      </c>
      <c r="K1496" t="s">
        <v>5618</v>
      </c>
      <c r="L1496" t="s">
        <v>52</v>
      </c>
      <c r="M1496">
        <v>855</v>
      </c>
      <c r="N1496">
        <v>0</v>
      </c>
      <c r="O1496" t="s">
        <v>61</v>
      </c>
      <c r="P1496">
        <v>100</v>
      </c>
      <c r="Q1496" t="s">
        <v>52</v>
      </c>
      <c r="R1496" t="s">
        <v>52</v>
      </c>
      <c r="S1496" t="s">
        <v>52</v>
      </c>
      <c r="T1496" t="s">
        <v>52</v>
      </c>
      <c r="U1496" t="s">
        <v>52</v>
      </c>
      <c r="V1496" t="s">
        <v>62</v>
      </c>
      <c r="W1496" t="s">
        <v>63</v>
      </c>
      <c r="Y1496" t="s">
        <v>52</v>
      </c>
      <c r="AB1496" t="s">
        <v>52</v>
      </c>
      <c r="AE1496" t="s">
        <v>52</v>
      </c>
      <c r="AF1496" t="s">
        <v>52</v>
      </c>
      <c r="AH1496">
        <v>0</v>
      </c>
      <c r="AI1496">
        <v>0</v>
      </c>
      <c r="AJ1496" t="s">
        <v>52</v>
      </c>
      <c r="AK1496">
        <v>0</v>
      </c>
      <c r="AL1496" t="s">
        <v>52</v>
      </c>
      <c r="AM1496" t="s">
        <v>52</v>
      </c>
      <c r="AN1496">
        <v>0</v>
      </c>
      <c r="AO1496">
        <v>0</v>
      </c>
      <c r="AP1496" t="s">
        <v>52</v>
      </c>
      <c r="AQ1496" t="s">
        <v>52</v>
      </c>
      <c r="AR1496" t="s">
        <v>62</v>
      </c>
      <c r="AS1496" t="s">
        <v>52</v>
      </c>
      <c r="AT1496" t="s">
        <v>52</v>
      </c>
      <c r="AU1496" t="s">
        <v>64</v>
      </c>
      <c r="AV1496" t="s">
        <v>62</v>
      </c>
      <c r="AW1496" t="s">
        <v>65</v>
      </c>
      <c r="AX1496" t="s">
        <v>66</v>
      </c>
      <c r="AY1496" t="s">
        <v>67</v>
      </c>
    </row>
    <row r="1497" spans="1:51" hidden="1" x14ac:dyDescent="0.25">
      <c r="A1497">
        <v>403216</v>
      </c>
      <c r="B1497" t="s">
        <v>5627</v>
      </c>
      <c r="C1497" t="e">
        <f>VLOOKUP(A1497,[1]Customer_payment_journal_line!$AL:$BO,30,0)</f>
        <v>#N/A</v>
      </c>
      <c r="D1497" t="s">
        <v>53</v>
      </c>
      <c r="E1497" t="s">
        <v>5625</v>
      </c>
      <c r="F1497" t="s">
        <v>5626</v>
      </c>
      <c r="G1497" t="s">
        <v>5265</v>
      </c>
      <c r="H1497" t="s">
        <v>69</v>
      </c>
      <c r="I1497" t="s">
        <v>5620</v>
      </c>
      <c r="J1497" t="s">
        <v>5617</v>
      </c>
      <c r="K1497" t="s">
        <v>5618</v>
      </c>
      <c r="L1497" t="s">
        <v>52</v>
      </c>
      <c r="M1497">
        <v>0</v>
      </c>
      <c r="N1497">
        <v>855</v>
      </c>
      <c r="O1497" t="s">
        <v>61</v>
      </c>
      <c r="P1497">
        <v>100</v>
      </c>
      <c r="Q1497" t="s">
        <v>52</v>
      </c>
      <c r="R1497" t="s">
        <v>52</v>
      </c>
      <c r="S1497" t="s">
        <v>52</v>
      </c>
      <c r="T1497" t="s">
        <v>52</v>
      </c>
      <c r="U1497" t="s">
        <v>52</v>
      </c>
      <c r="V1497" t="s">
        <v>62</v>
      </c>
      <c r="W1497" t="s">
        <v>52</v>
      </c>
      <c r="Y1497" t="s">
        <v>5621</v>
      </c>
      <c r="Z1497" t="s">
        <v>62</v>
      </c>
      <c r="AB1497" t="s">
        <v>5628</v>
      </c>
      <c r="AE1497" t="s">
        <v>5629</v>
      </c>
      <c r="AF1497" t="s">
        <v>52</v>
      </c>
      <c r="AH1497">
        <v>0</v>
      </c>
      <c r="AI1497">
        <v>0</v>
      </c>
      <c r="AJ1497" t="s">
        <v>52</v>
      </c>
      <c r="AK1497">
        <v>0</v>
      </c>
      <c r="AL1497" t="s">
        <v>52</v>
      </c>
      <c r="AM1497" t="s">
        <v>52</v>
      </c>
      <c r="AN1497">
        <v>0</v>
      </c>
      <c r="AO1497">
        <v>0</v>
      </c>
      <c r="AP1497" t="s">
        <v>52</v>
      </c>
      <c r="AQ1497" t="s">
        <v>52</v>
      </c>
      <c r="AR1497" t="s">
        <v>62</v>
      </c>
      <c r="AS1497" t="s">
        <v>52</v>
      </c>
      <c r="AT1497" t="s">
        <v>74</v>
      </c>
      <c r="AU1497" t="s">
        <v>64</v>
      </c>
      <c r="AV1497" t="s">
        <v>62</v>
      </c>
      <c r="AW1497" t="s">
        <v>65</v>
      </c>
      <c r="AX1497" t="s">
        <v>66</v>
      </c>
      <c r="AY1497" t="s">
        <v>67</v>
      </c>
    </row>
    <row r="1498" spans="1:51" hidden="1" x14ac:dyDescent="0.25">
      <c r="A1498">
        <v>406136</v>
      </c>
      <c r="B1498" t="s">
        <v>5630</v>
      </c>
      <c r="C1498" t="e">
        <f>VLOOKUP(A1498,[1]Customer_payment_journal_line!$AL:$BO,30,0)</f>
        <v>#N/A</v>
      </c>
      <c r="D1498" t="s">
        <v>53</v>
      </c>
      <c r="E1498" t="s">
        <v>5631</v>
      </c>
      <c r="F1498" t="s">
        <v>5632</v>
      </c>
      <c r="G1498" t="s">
        <v>5265</v>
      </c>
      <c r="H1498" t="s">
        <v>57</v>
      </c>
      <c r="I1498" t="s">
        <v>58</v>
      </c>
      <c r="J1498" t="s">
        <v>5633</v>
      </c>
      <c r="K1498" t="s">
        <v>5634</v>
      </c>
      <c r="L1498" t="s">
        <v>52</v>
      </c>
      <c r="M1498">
        <v>2052</v>
      </c>
      <c r="N1498">
        <v>0</v>
      </c>
      <c r="O1498" t="s">
        <v>61</v>
      </c>
      <c r="P1498">
        <v>100</v>
      </c>
      <c r="Q1498" t="s">
        <v>52</v>
      </c>
      <c r="R1498" t="s">
        <v>52</v>
      </c>
      <c r="S1498" t="s">
        <v>52</v>
      </c>
      <c r="T1498" t="s">
        <v>52</v>
      </c>
      <c r="U1498" t="s">
        <v>52</v>
      </c>
      <c r="V1498" t="s">
        <v>62</v>
      </c>
      <c r="W1498" t="s">
        <v>63</v>
      </c>
      <c r="Y1498" t="s">
        <v>52</v>
      </c>
      <c r="AB1498" t="s">
        <v>52</v>
      </c>
      <c r="AE1498" t="s">
        <v>52</v>
      </c>
      <c r="AF1498" t="s">
        <v>52</v>
      </c>
      <c r="AH1498">
        <v>0</v>
      </c>
      <c r="AI1498">
        <v>0</v>
      </c>
      <c r="AJ1498" t="s">
        <v>52</v>
      </c>
      <c r="AK1498">
        <v>0</v>
      </c>
      <c r="AL1498" t="s">
        <v>52</v>
      </c>
      <c r="AM1498" t="s">
        <v>52</v>
      </c>
      <c r="AN1498">
        <v>0</v>
      </c>
      <c r="AO1498">
        <v>0</v>
      </c>
      <c r="AP1498" t="s">
        <v>52</v>
      </c>
      <c r="AQ1498" t="s">
        <v>52</v>
      </c>
      <c r="AR1498" t="s">
        <v>62</v>
      </c>
      <c r="AS1498" t="s">
        <v>52</v>
      </c>
      <c r="AT1498" t="s">
        <v>52</v>
      </c>
      <c r="AU1498" t="s">
        <v>64</v>
      </c>
      <c r="AV1498" t="s">
        <v>62</v>
      </c>
      <c r="AW1498" t="s">
        <v>65</v>
      </c>
      <c r="AX1498" t="s">
        <v>66</v>
      </c>
      <c r="AY1498" t="s">
        <v>67</v>
      </c>
    </row>
    <row r="1499" spans="1:51" hidden="1" x14ac:dyDescent="0.25">
      <c r="A1499">
        <v>406136</v>
      </c>
      <c r="B1499" t="s">
        <v>5635</v>
      </c>
      <c r="C1499" t="e">
        <f>VLOOKUP(A1499,[1]Customer_payment_journal_line!$AL:$BO,30,0)</f>
        <v>#N/A</v>
      </c>
      <c r="D1499" t="s">
        <v>53</v>
      </c>
      <c r="E1499" t="s">
        <v>5631</v>
      </c>
      <c r="F1499" t="s">
        <v>5632</v>
      </c>
      <c r="G1499" t="s">
        <v>5265</v>
      </c>
      <c r="H1499" t="s">
        <v>69</v>
      </c>
      <c r="I1499" t="s">
        <v>5620</v>
      </c>
      <c r="J1499" t="s">
        <v>5633</v>
      </c>
      <c r="K1499" t="s">
        <v>5634</v>
      </c>
      <c r="L1499" t="s">
        <v>52</v>
      </c>
      <c r="M1499">
        <v>0</v>
      </c>
      <c r="N1499">
        <v>2052</v>
      </c>
      <c r="O1499" t="s">
        <v>61</v>
      </c>
      <c r="P1499">
        <v>100</v>
      </c>
      <c r="Q1499" t="s">
        <v>52</v>
      </c>
      <c r="R1499" t="s">
        <v>52</v>
      </c>
      <c r="S1499" t="s">
        <v>52</v>
      </c>
      <c r="T1499" t="s">
        <v>52</v>
      </c>
      <c r="U1499" t="s">
        <v>52</v>
      </c>
      <c r="V1499" t="s">
        <v>62</v>
      </c>
      <c r="W1499" t="s">
        <v>52</v>
      </c>
      <c r="Y1499" t="s">
        <v>5621</v>
      </c>
      <c r="Z1499" t="s">
        <v>62</v>
      </c>
      <c r="AB1499" t="s">
        <v>5636</v>
      </c>
      <c r="AE1499" t="s">
        <v>5637</v>
      </c>
      <c r="AF1499" t="s">
        <v>52</v>
      </c>
      <c r="AH1499">
        <v>0</v>
      </c>
      <c r="AI1499">
        <v>0</v>
      </c>
      <c r="AJ1499" t="s">
        <v>52</v>
      </c>
      <c r="AK1499">
        <v>0</v>
      </c>
      <c r="AL1499" t="s">
        <v>52</v>
      </c>
      <c r="AM1499" t="s">
        <v>52</v>
      </c>
      <c r="AN1499">
        <v>0</v>
      </c>
      <c r="AO1499">
        <v>0</v>
      </c>
      <c r="AP1499" t="s">
        <v>52</v>
      </c>
      <c r="AQ1499" t="s">
        <v>52</v>
      </c>
      <c r="AR1499" t="s">
        <v>62</v>
      </c>
      <c r="AS1499" t="s">
        <v>52</v>
      </c>
      <c r="AT1499" t="s">
        <v>74</v>
      </c>
      <c r="AU1499" t="s">
        <v>64</v>
      </c>
      <c r="AV1499" t="s">
        <v>62</v>
      </c>
      <c r="AW1499" t="s">
        <v>65</v>
      </c>
      <c r="AX1499" t="s">
        <v>66</v>
      </c>
      <c r="AY1499" t="s">
        <v>67</v>
      </c>
    </row>
    <row r="1500" spans="1:51" hidden="1" x14ac:dyDescent="0.25">
      <c r="A1500">
        <v>406137</v>
      </c>
      <c r="B1500" t="s">
        <v>5638</v>
      </c>
      <c r="C1500" t="e">
        <f>VLOOKUP(A1500,[1]Customer_payment_journal_line!$AL:$BO,30,0)</f>
        <v>#N/A</v>
      </c>
      <c r="D1500" t="s">
        <v>53</v>
      </c>
      <c r="E1500" t="s">
        <v>5639</v>
      </c>
      <c r="F1500" t="s">
        <v>5640</v>
      </c>
      <c r="G1500" t="s">
        <v>5265</v>
      </c>
      <c r="H1500" t="s">
        <v>57</v>
      </c>
      <c r="I1500" t="s">
        <v>58</v>
      </c>
      <c r="J1500" t="s">
        <v>5633</v>
      </c>
      <c r="K1500" t="s">
        <v>5634</v>
      </c>
      <c r="L1500" t="s">
        <v>52</v>
      </c>
      <c r="M1500">
        <v>855</v>
      </c>
      <c r="N1500">
        <v>0</v>
      </c>
      <c r="O1500" t="s">
        <v>61</v>
      </c>
      <c r="P1500">
        <v>100</v>
      </c>
      <c r="Q1500" t="s">
        <v>52</v>
      </c>
      <c r="R1500" t="s">
        <v>52</v>
      </c>
      <c r="S1500" t="s">
        <v>52</v>
      </c>
      <c r="T1500" t="s">
        <v>52</v>
      </c>
      <c r="U1500" t="s">
        <v>52</v>
      </c>
      <c r="V1500" t="s">
        <v>62</v>
      </c>
      <c r="W1500" t="s">
        <v>63</v>
      </c>
      <c r="Y1500" t="s">
        <v>52</v>
      </c>
      <c r="AB1500" t="s">
        <v>52</v>
      </c>
      <c r="AE1500" t="s">
        <v>52</v>
      </c>
      <c r="AF1500" t="s">
        <v>52</v>
      </c>
      <c r="AH1500">
        <v>0</v>
      </c>
      <c r="AI1500">
        <v>0</v>
      </c>
      <c r="AJ1500" t="s">
        <v>52</v>
      </c>
      <c r="AK1500">
        <v>0</v>
      </c>
      <c r="AL1500" t="s">
        <v>52</v>
      </c>
      <c r="AM1500" t="s">
        <v>52</v>
      </c>
      <c r="AN1500">
        <v>0</v>
      </c>
      <c r="AO1500">
        <v>0</v>
      </c>
      <c r="AP1500" t="s">
        <v>52</v>
      </c>
      <c r="AQ1500" t="s">
        <v>52</v>
      </c>
      <c r="AR1500" t="s">
        <v>62</v>
      </c>
      <c r="AS1500" t="s">
        <v>52</v>
      </c>
      <c r="AT1500" t="s">
        <v>52</v>
      </c>
      <c r="AU1500" t="s">
        <v>64</v>
      </c>
      <c r="AV1500" t="s">
        <v>62</v>
      </c>
      <c r="AW1500" t="s">
        <v>65</v>
      </c>
      <c r="AX1500" t="s">
        <v>66</v>
      </c>
      <c r="AY1500" t="s">
        <v>67</v>
      </c>
    </row>
    <row r="1501" spans="1:51" hidden="1" x14ac:dyDescent="0.25">
      <c r="A1501">
        <v>406137</v>
      </c>
      <c r="B1501" t="s">
        <v>5641</v>
      </c>
      <c r="C1501" t="e">
        <f>VLOOKUP(A1501,[1]Customer_payment_journal_line!$AL:$BO,30,0)</f>
        <v>#N/A</v>
      </c>
      <c r="D1501" t="s">
        <v>53</v>
      </c>
      <c r="E1501" t="s">
        <v>5639</v>
      </c>
      <c r="F1501" t="s">
        <v>5640</v>
      </c>
      <c r="G1501" t="s">
        <v>5265</v>
      </c>
      <c r="H1501" t="s">
        <v>69</v>
      </c>
      <c r="I1501" t="s">
        <v>5620</v>
      </c>
      <c r="J1501" t="s">
        <v>5633</v>
      </c>
      <c r="K1501" t="s">
        <v>5634</v>
      </c>
      <c r="L1501" t="s">
        <v>52</v>
      </c>
      <c r="M1501">
        <v>0</v>
      </c>
      <c r="N1501">
        <v>855</v>
      </c>
      <c r="O1501" t="s">
        <v>61</v>
      </c>
      <c r="P1501">
        <v>100</v>
      </c>
      <c r="Q1501" t="s">
        <v>52</v>
      </c>
      <c r="R1501" t="s">
        <v>52</v>
      </c>
      <c r="S1501" t="s">
        <v>52</v>
      </c>
      <c r="T1501" t="s">
        <v>52</v>
      </c>
      <c r="U1501" t="s">
        <v>52</v>
      </c>
      <c r="V1501" t="s">
        <v>62</v>
      </c>
      <c r="W1501" t="s">
        <v>52</v>
      </c>
      <c r="Y1501" t="s">
        <v>5621</v>
      </c>
      <c r="Z1501" t="s">
        <v>62</v>
      </c>
      <c r="AB1501" t="s">
        <v>5642</v>
      </c>
      <c r="AE1501" t="s">
        <v>5643</v>
      </c>
      <c r="AF1501" t="s">
        <v>52</v>
      </c>
      <c r="AH1501">
        <v>0</v>
      </c>
      <c r="AI1501">
        <v>0</v>
      </c>
      <c r="AJ1501" t="s">
        <v>52</v>
      </c>
      <c r="AK1501">
        <v>0</v>
      </c>
      <c r="AL1501" t="s">
        <v>52</v>
      </c>
      <c r="AM1501" t="s">
        <v>52</v>
      </c>
      <c r="AN1501">
        <v>0</v>
      </c>
      <c r="AO1501">
        <v>0</v>
      </c>
      <c r="AP1501" t="s">
        <v>52</v>
      </c>
      <c r="AQ1501" t="s">
        <v>52</v>
      </c>
      <c r="AR1501" t="s">
        <v>62</v>
      </c>
      <c r="AS1501" t="s">
        <v>52</v>
      </c>
      <c r="AT1501" t="s">
        <v>74</v>
      </c>
      <c r="AU1501" t="s">
        <v>64</v>
      </c>
      <c r="AV1501" t="s">
        <v>62</v>
      </c>
      <c r="AW1501" t="s">
        <v>65</v>
      </c>
      <c r="AX1501" t="s">
        <v>66</v>
      </c>
      <c r="AY1501" t="s">
        <v>67</v>
      </c>
    </row>
    <row r="1502" spans="1:51" hidden="1" x14ac:dyDescent="0.25">
      <c r="A1502">
        <v>403137</v>
      </c>
      <c r="B1502" t="s">
        <v>5644</v>
      </c>
      <c r="C1502" t="e">
        <f>VLOOKUP(A1502,[1]Customer_payment_journal_line!$AL:$BO,30,0)</f>
        <v>#N/A</v>
      </c>
      <c r="D1502" t="s">
        <v>53</v>
      </c>
      <c r="E1502" t="s">
        <v>5645</v>
      </c>
      <c r="F1502" t="s">
        <v>5646</v>
      </c>
      <c r="G1502" t="s">
        <v>5265</v>
      </c>
      <c r="H1502" t="s">
        <v>57</v>
      </c>
      <c r="I1502" t="s">
        <v>58</v>
      </c>
      <c r="J1502" t="s">
        <v>5617</v>
      </c>
      <c r="K1502" t="s">
        <v>5647</v>
      </c>
      <c r="L1502" t="s">
        <v>52</v>
      </c>
      <c r="M1502">
        <v>18468</v>
      </c>
      <c r="N1502">
        <v>0</v>
      </c>
      <c r="O1502" t="s">
        <v>61</v>
      </c>
      <c r="P1502">
        <v>100</v>
      </c>
      <c r="Q1502" t="s">
        <v>52</v>
      </c>
      <c r="R1502" t="s">
        <v>52</v>
      </c>
      <c r="S1502" t="s">
        <v>52</v>
      </c>
      <c r="T1502" t="s">
        <v>52</v>
      </c>
      <c r="U1502" t="s">
        <v>52</v>
      </c>
      <c r="V1502" t="s">
        <v>62</v>
      </c>
      <c r="W1502" t="s">
        <v>63</v>
      </c>
      <c r="Y1502" t="s">
        <v>52</v>
      </c>
      <c r="AB1502" t="s">
        <v>52</v>
      </c>
      <c r="AE1502" t="s">
        <v>52</v>
      </c>
      <c r="AF1502" t="s">
        <v>52</v>
      </c>
      <c r="AH1502">
        <v>0</v>
      </c>
      <c r="AI1502">
        <v>0</v>
      </c>
      <c r="AJ1502" t="s">
        <v>52</v>
      </c>
      <c r="AK1502">
        <v>0</v>
      </c>
      <c r="AL1502" t="s">
        <v>52</v>
      </c>
      <c r="AM1502" t="s">
        <v>52</v>
      </c>
      <c r="AN1502">
        <v>0</v>
      </c>
      <c r="AO1502">
        <v>0</v>
      </c>
      <c r="AP1502" t="s">
        <v>52</v>
      </c>
      <c r="AQ1502" t="s">
        <v>52</v>
      </c>
      <c r="AR1502" t="s">
        <v>62</v>
      </c>
      <c r="AS1502" t="s">
        <v>52</v>
      </c>
      <c r="AT1502" t="s">
        <v>52</v>
      </c>
      <c r="AU1502" t="s">
        <v>64</v>
      </c>
      <c r="AV1502" t="s">
        <v>62</v>
      </c>
      <c r="AW1502" t="s">
        <v>65</v>
      </c>
      <c r="AX1502" t="s">
        <v>66</v>
      </c>
      <c r="AY1502" t="s">
        <v>67</v>
      </c>
    </row>
    <row r="1503" spans="1:51" hidden="1" x14ac:dyDescent="0.25">
      <c r="A1503">
        <v>403137</v>
      </c>
      <c r="B1503" t="s">
        <v>5648</v>
      </c>
      <c r="C1503" t="e">
        <f>VLOOKUP(A1503,[1]Customer_payment_journal_line!$AL:$BO,30,0)</f>
        <v>#N/A</v>
      </c>
      <c r="D1503" t="s">
        <v>53</v>
      </c>
      <c r="E1503" t="s">
        <v>5645</v>
      </c>
      <c r="F1503" t="s">
        <v>5646</v>
      </c>
      <c r="G1503" t="s">
        <v>5265</v>
      </c>
      <c r="H1503" t="s">
        <v>69</v>
      </c>
      <c r="I1503" t="s">
        <v>5620</v>
      </c>
      <c r="J1503" t="s">
        <v>5617</v>
      </c>
      <c r="K1503" t="s">
        <v>5647</v>
      </c>
      <c r="L1503" t="s">
        <v>52</v>
      </c>
      <c r="M1503">
        <v>0</v>
      </c>
      <c r="N1503">
        <v>18468</v>
      </c>
      <c r="O1503" t="s">
        <v>61</v>
      </c>
      <c r="P1503">
        <v>100</v>
      </c>
      <c r="Q1503" t="s">
        <v>52</v>
      </c>
      <c r="R1503" t="s">
        <v>52</v>
      </c>
      <c r="S1503" t="s">
        <v>52</v>
      </c>
      <c r="T1503" t="s">
        <v>52</v>
      </c>
      <c r="U1503" t="s">
        <v>52</v>
      </c>
      <c r="V1503" t="s">
        <v>62</v>
      </c>
      <c r="W1503" t="s">
        <v>52</v>
      </c>
      <c r="Y1503" t="s">
        <v>5621</v>
      </c>
      <c r="Z1503" t="s">
        <v>62</v>
      </c>
      <c r="AB1503" t="s">
        <v>5649</v>
      </c>
      <c r="AE1503" t="s">
        <v>5650</v>
      </c>
      <c r="AF1503" t="s">
        <v>52</v>
      </c>
      <c r="AH1503">
        <v>0</v>
      </c>
      <c r="AI1503">
        <v>0</v>
      </c>
      <c r="AJ1503" t="s">
        <v>52</v>
      </c>
      <c r="AK1503">
        <v>0</v>
      </c>
      <c r="AL1503" t="s">
        <v>52</v>
      </c>
      <c r="AM1503" t="s">
        <v>52</v>
      </c>
      <c r="AN1503">
        <v>0</v>
      </c>
      <c r="AO1503">
        <v>0</v>
      </c>
      <c r="AP1503" t="s">
        <v>52</v>
      </c>
      <c r="AQ1503" t="s">
        <v>52</v>
      </c>
      <c r="AR1503" t="s">
        <v>62</v>
      </c>
      <c r="AS1503" t="s">
        <v>52</v>
      </c>
      <c r="AT1503" t="s">
        <v>74</v>
      </c>
      <c r="AU1503" t="s">
        <v>64</v>
      </c>
      <c r="AV1503" t="s">
        <v>62</v>
      </c>
      <c r="AW1503" t="s">
        <v>65</v>
      </c>
      <c r="AX1503" t="s">
        <v>66</v>
      </c>
      <c r="AY1503" t="s">
        <v>67</v>
      </c>
    </row>
    <row r="1504" spans="1:51" hidden="1" x14ac:dyDescent="0.25">
      <c r="A1504">
        <v>404484</v>
      </c>
      <c r="B1504" t="s">
        <v>5651</v>
      </c>
      <c r="C1504" t="e">
        <f>VLOOKUP(A1504,[1]Customer_payment_journal_line!$AL:$BO,30,0)</f>
        <v>#N/A</v>
      </c>
      <c r="D1504" t="s">
        <v>53</v>
      </c>
      <c r="E1504" t="s">
        <v>5652</v>
      </c>
      <c r="F1504" t="s">
        <v>5653</v>
      </c>
      <c r="G1504" t="s">
        <v>5265</v>
      </c>
      <c r="H1504" t="s">
        <v>57</v>
      </c>
      <c r="I1504" t="s">
        <v>58</v>
      </c>
      <c r="J1504" t="s">
        <v>5617</v>
      </c>
      <c r="K1504" t="s">
        <v>5647</v>
      </c>
      <c r="L1504" t="s">
        <v>52</v>
      </c>
      <c r="M1504">
        <v>855</v>
      </c>
      <c r="N1504">
        <v>0</v>
      </c>
      <c r="O1504" t="s">
        <v>61</v>
      </c>
      <c r="P1504">
        <v>100</v>
      </c>
      <c r="Q1504" t="s">
        <v>52</v>
      </c>
      <c r="R1504" t="s">
        <v>52</v>
      </c>
      <c r="S1504" t="s">
        <v>52</v>
      </c>
      <c r="T1504" t="s">
        <v>52</v>
      </c>
      <c r="U1504" t="s">
        <v>52</v>
      </c>
      <c r="V1504" t="s">
        <v>62</v>
      </c>
      <c r="W1504" t="s">
        <v>63</v>
      </c>
      <c r="Y1504" t="s">
        <v>52</v>
      </c>
      <c r="AB1504" t="s">
        <v>52</v>
      </c>
      <c r="AE1504" t="s">
        <v>52</v>
      </c>
      <c r="AF1504" t="s">
        <v>52</v>
      </c>
      <c r="AH1504">
        <v>0</v>
      </c>
      <c r="AI1504">
        <v>0</v>
      </c>
      <c r="AJ1504" t="s">
        <v>52</v>
      </c>
      <c r="AK1504">
        <v>0</v>
      </c>
      <c r="AL1504" t="s">
        <v>52</v>
      </c>
      <c r="AM1504" t="s">
        <v>52</v>
      </c>
      <c r="AN1504">
        <v>0</v>
      </c>
      <c r="AO1504">
        <v>0</v>
      </c>
      <c r="AP1504" t="s">
        <v>52</v>
      </c>
      <c r="AQ1504" t="s">
        <v>52</v>
      </c>
      <c r="AR1504" t="s">
        <v>62</v>
      </c>
      <c r="AS1504" t="s">
        <v>52</v>
      </c>
      <c r="AT1504" t="s">
        <v>52</v>
      </c>
      <c r="AU1504" t="s">
        <v>64</v>
      </c>
      <c r="AV1504" t="s">
        <v>62</v>
      </c>
      <c r="AW1504" t="s">
        <v>65</v>
      </c>
      <c r="AX1504" t="s">
        <v>66</v>
      </c>
      <c r="AY1504" t="s">
        <v>67</v>
      </c>
    </row>
    <row r="1505" spans="1:51" hidden="1" x14ac:dyDescent="0.25">
      <c r="A1505">
        <v>404484</v>
      </c>
      <c r="B1505" t="s">
        <v>5654</v>
      </c>
      <c r="C1505" t="e">
        <f>VLOOKUP(A1505,[1]Customer_payment_journal_line!$AL:$BO,30,0)</f>
        <v>#N/A</v>
      </c>
      <c r="D1505" t="s">
        <v>53</v>
      </c>
      <c r="E1505" t="s">
        <v>5652</v>
      </c>
      <c r="F1505" t="s">
        <v>5653</v>
      </c>
      <c r="G1505" t="s">
        <v>5265</v>
      </c>
      <c r="H1505" t="s">
        <v>69</v>
      </c>
      <c r="I1505" t="s">
        <v>5620</v>
      </c>
      <c r="J1505" t="s">
        <v>5617</v>
      </c>
      <c r="K1505" t="s">
        <v>5647</v>
      </c>
      <c r="L1505" t="s">
        <v>52</v>
      </c>
      <c r="M1505">
        <v>0</v>
      </c>
      <c r="N1505">
        <v>855</v>
      </c>
      <c r="O1505" t="s">
        <v>61</v>
      </c>
      <c r="P1505">
        <v>100</v>
      </c>
      <c r="Q1505" t="s">
        <v>52</v>
      </c>
      <c r="R1505" t="s">
        <v>52</v>
      </c>
      <c r="S1505" t="s">
        <v>52</v>
      </c>
      <c r="T1505" t="s">
        <v>52</v>
      </c>
      <c r="U1505" t="s">
        <v>52</v>
      </c>
      <c r="V1505" t="s">
        <v>62</v>
      </c>
      <c r="W1505" t="s">
        <v>52</v>
      </c>
      <c r="Y1505" t="s">
        <v>5621</v>
      </c>
      <c r="Z1505" t="s">
        <v>62</v>
      </c>
      <c r="AB1505" t="s">
        <v>5655</v>
      </c>
      <c r="AE1505" t="s">
        <v>5656</v>
      </c>
      <c r="AF1505" t="s">
        <v>52</v>
      </c>
      <c r="AH1505">
        <v>0</v>
      </c>
      <c r="AI1505">
        <v>0</v>
      </c>
      <c r="AJ1505" t="s">
        <v>52</v>
      </c>
      <c r="AK1505">
        <v>0</v>
      </c>
      <c r="AL1505" t="s">
        <v>52</v>
      </c>
      <c r="AM1505" t="s">
        <v>52</v>
      </c>
      <c r="AN1505">
        <v>0</v>
      </c>
      <c r="AO1505">
        <v>0</v>
      </c>
      <c r="AP1505" t="s">
        <v>52</v>
      </c>
      <c r="AQ1505" t="s">
        <v>52</v>
      </c>
      <c r="AR1505" t="s">
        <v>62</v>
      </c>
      <c r="AS1505" t="s">
        <v>52</v>
      </c>
      <c r="AT1505" t="s">
        <v>74</v>
      </c>
      <c r="AU1505" t="s">
        <v>64</v>
      </c>
      <c r="AV1505" t="s">
        <v>62</v>
      </c>
      <c r="AW1505" t="s">
        <v>65</v>
      </c>
      <c r="AX1505" t="s">
        <v>66</v>
      </c>
      <c r="AY1505" t="s">
        <v>67</v>
      </c>
    </row>
    <row r="1506" spans="1:51" hidden="1" x14ac:dyDescent="0.25">
      <c r="A1506">
        <v>406138</v>
      </c>
      <c r="B1506" t="s">
        <v>5657</v>
      </c>
      <c r="C1506" t="e">
        <f>VLOOKUP(A1506,[1]Customer_payment_journal_line!$AL:$BO,30,0)</f>
        <v>#N/A</v>
      </c>
      <c r="D1506" t="s">
        <v>53</v>
      </c>
      <c r="E1506" t="s">
        <v>5658</v>
      </c>
      <c r="F1506" t="s">
        <v>5659</v>
      </c>
      <c r="G1506" t="s">
        <v>5265</v>
      </c>
      <c r="H1506" t="s">
        <v>57</v>
      </c>
      <c r="I1506" t="s">
        <v>58</v>
      </c>
      <c r="J1506" t="s">
        <v>5660</v>
      </c>
      <c r="K1506" t="s">
        <v>5661</v>
      </c>
      <c r="L1506" t="s">
        <v>52</v>
      </c>
      <c r="M1506">
        <v>1710</v>
      </c>
      <c r="N1506">
        <v>0</v>
      </c>
      <c r="O1506" t="s">
        <v>61</v>
      </c>
      <c r="P1506">
        <v>100</v>
      </c>
      <c r="Q1506" t="s">
        <v>52</v>
      </c>
      <c r="R1506" t="s">
        <v>52</v>
      </c>
      <c r="S1506" t="s">
        <v>52</v>
      </c>
      <c r="T1506" t="s">
        <v>52</v>
      </c>
      <c r="U1506" t="s">
        <v>52</v>
      </c>
      <c r="V1506" t="s">
        <v>62</v>
      </c>
      <c r="W1506" t="s">
        <v>63</v>
      </c>
      <c r="Y1506" t="s">
        <v>52</v>
      </c>
      <c r="AB1506" t="s">
        <v>52</v>
      </c>
      <c r="AE1506" t="s">
        <v>52</v>
      </c>
      <c r="AF1506" t="s">
        <v>52</v>
      </c>
      <c r="AH1506">
        <v>0</v>
      </c>
      <c r="AI1506">
        <v>0</v>
      </c>
      <c r="AJ1506" t="s">
        <v>52</v>
      </c>
      <c r="AK1506">
        <v>0</v>
      </c>
      <c r="AL1506" t="s">
        <v>52</v>
      </c>
      <c r="AM1506" t="s">
        <v>52</v>
      </c>
      <c r="AN1506">
        <v>0</v>
      </c>
      <c r="AO1506">
        <v>0</v>
      </c>
      <c r="AP1506" t="s">
        <v>52</v>
      </c>
      <c r="AQ1506" t="s">
        <v>52</v>
      </c>
      <c r="AR1506" t="s">
        <v>62</v>
      </c>
      <c r="AS1506" t="s">
        <v>52</v>
      </c>
      <c r="AT1506" t="s">
        <v>52</v>
      </c>
      <c r="AU1506" t="s">
        <v>64</v>
      </c>
      <c r="AV1506" t="s">
        <v>62</v>
      </c>
      <c r="AW1506" t="s">
        <v>65</v>
      </c>
      <c r="AX1506" t="s">
        <v>66</v>
      </c>
      <c r="AY1506" t="s">
        <v>67</v>
      </c>
    </row>
    <row r="1507" spans="1:51" hidden="1" x14ac:dyDescent="0.25">
      <c r="A1507">
        <v>406138</v>
      </c>
      <c r="B1507" t="s">
        <v>5662</v>
      </c>
      <c r="C1507" t="e">
        <f>VLOOKUP(A1507,[1]Customer_payment_journal_line!$AL:$BO,30,0)</f>
        <v>#N/A</v>
      </c>
      <c r="D1507" t="s">
        <v>53</v>
      </c>
      <c r="E1507" t="s">
        <v>5658</v>
      </c>
      <c r="F1507" t="s">
        <v>5659</v>
      </c>
      <c r="G1507" t="s">
        <v>5265</v>
      </c>
      <c r="H1507" t="s">
        <v>69</v>
      </c>
      <c r="I1507" t="s">
        <v>5663</v>
      </c>
      <c r="J1507" t="s">
        <v>5660</v>
      </c>
      <c r="K1507" t="s">
        <v>5661</v>
      </c>
      <c r="L1507" t="s">
        <v>52</v>
      </c>
      <c r="M1507">
        <v>0</v>
      </c>
      <c r="N1507">
        <v>1710</v>
      </c>
      <c r="O1507" t="s">
        <v>61</v>
      </c>
      <c r="P1507">
        <v>100</v>
      </c>
      <c r="Q1507" t="s">
        <v>52</v>
      </c>
      <c r="R1507" t="s">
        <v>52</v>
      </c>
      <c r="S1507" t="s">
        <v>52</v>
      </c>
      <c r="T1507" t="s">
        <v>52</v>
      </c>
      <c r="U1507" t="s">
        <v>52</v>
      </c>
      <c r="V1507" t="s">
        <v>62</v>
      </c>
      <c r="W1507" t="s">
        <v>52</v>
      </c>
      <c r="Y1507" t="s">
        <v>5664</v>
      </c>
      <c r="Z1507" t="s">
        <v>62</v>
      </c>
      <c r="AB1507" t="s">
        <v>5665</v>
      </c>
      <c r="AE1507" t="s">
        <v>5666</v>
      </c>
      <c r="AF1507" t="s">
        <v>52</v>
      </c>
      <c r="AH1507">
        <v>0</v>
      </c>
      <c r="AI1507">
        <v>0</v>
      </c>
      <c r="AJ1507" t="s">
        <v>52</v>
      </c>
      <c r="AK1507">
        <v>0</v>
      </c>
      <c r="AL1507" t="s">
        <v>52</v>
      </c>
      <c r="AM1507" t="s">
        <v>52</v>
      </c>
      <c r="AN1507">
        <v>0</v>
      </c>
      <c r="AO1507">
        <v>0</v>
      </c>
      <c r="AP1507" t="s">
        <v>52</v>
      </c>
      <c r="AQ1507" t="s">
        <v>52</v>
      </c>
      <c r="AR1507" t="s">
        <v>62</v>
      </c>
      <c r="AS1507" t="s">
        <v>52</v>
      </c>
      <c r="AT1507" t="s">
        <v>74</v>
      </c>
      <c r="AU1507" t="s">
        <v>64</v>
      </c>
      <c r="AV1507" t="s">
        <v>62</v>
      </c>
      <c r="AW1507" t="s">
        <v>65</v>
      </c>
      <c r="AX1507" t="s">
        <v>66</v>
      </c>
      <c r="AY1507" t="s">
        <v>67</v>
      </c>
    </row>
    <row r="1508" spans="1:51" hidden="1" x14ac:dyDescent="0.25">
      <c r="A1508">
        <v>406139</v>
      </c>
      <c r="B1508" t="s">
        <v>5667</v>
      </c>
      <c r="C1508" t="e">
        <f>VLOOKUP(A1508,[1]Customer_payment_journal_line!$AL:$BO,30,0)</f>
        <v>#N/A</v>
      </c>
      <c r="D1508" t="s">
        <v>53</v>
      </c>
      <c r="E1508" t="s">
        <v>5668</v>
      </c>
      <c r="F1508" t="s">
        <v>5669</v>
      </c>
      <c r="G1508" t="s">
        <v>5265</v>
      </c>
      <c r="H1508" t="s">
        <v>57</v>
      </c>
      <c r="I1508" t="s">
        <v>58</v>
      </c>
      <c r="J1508" t="s">
        <v>5660</v>
      </c>
      <c r="K1508" t="s">
        <v>5661</v>
      </c>
      <c r="L1508" t="s">
        <v>52</v>
      </c>
      <c r="M1508">
        <v>855</v>
      </c>
      <c r="N1508">
        <v>0</v>
      </c>
      <c r="O1508" t="s">
        <v>61</v>
      </c>
      <c r="P1508">
        <v>100</v>
      </c>
      <c r="Q1508" t="s">
        <v>52</v>
      </c>
      <c r="R1508" t="s">
        <v>52</v>
      </c>
      <c r="S1508" t="s">
        <v>52</v>
      </c>
      <c r="T1508" t="s">
        <v>52</v>
      </c>
      <c r="U1508" t="s">
        <v>52</v>
      </c>
      <c r="V1508" t="s">
        <v>62</v>
      </c>
      <c r="W1508" t="s">
        <v>63</v>
      </c>
      <c r="Y1508" t="s">
        <v>52</v>
      </c>
      <c r="AB1508" t="s">
        <v>52</v>
      </c>
      <c r="AE1508" t="s">
        <v>52</v>
      </c>
      <c r="AF1508" t="s">
        <v>52</v>
      </c>
      <c r="AH1508">
        <v>0</v>
      </c>
      <c r="AI1508">
        <v>0</v>
      </c>
      <c r="AJ1508" t="s">
        <v>52</v>
      </c>
      <c r="AK1508">
        <v>0</v>
      </c>
      <c r="AL1508" t="s">
        <v>52</v>
      </c>
      <c r="AM1508" t="s">
        <v>52</v>
      </c>
      <c r="AN1508">
        <v>0</v>
      </c>
      <c r="AO1508">
        <v>0</v>
      </c>
      <c r="AP1508" t="s">
        <v>52</v>
      </c>
      <c r="AQ1508" t="s">
        <v>52</v>
      </c>
      <c r="AR1508" t="s">
        <v>62</v>
      </c>
      <c r="AS1508" t="s">
        <v>52</v>
      </c>
      <c r="AT1508" t="s">
        <v>52</v>
      </c>
      <c r="AU1508" t="s">
        <v>64</v>
      </c>
      <c r="AV1508" t="s">
        <v>62</v>
      </c>
      <c r="AW1508" t="s">
        <v>65</v>
      </c>
      <c r="AX1508" t="s">
        <v>66</v>
      </c>
      <c r="AY1508" t="s">
        <v>67</v>
      </c>
    </row>
    <row r="1509" spans="1:51" hidden="1" x14ac:dyDescent="0.25">
      <c r="A1509">
        <v>406139</v>
      </c>
      <c r="B1509" t="s">
        <v>5670</v>
      </c>
      <c r="C1509" t="e">
        <f>VLOOKUP(A1509,[1]Customer_payment_journal_line!$AL:$BO,30,0)</f>
        <v>#N/A</v>
      </c>
      <c r="D1509" t="s">
        <v>53</v>
      </c>
      <c r="E1509" t="s">
        <v>5668</v>
      </c>
      <c r="F1509" t="s">
        <v>5669</v>
      </c>
      <c r="G1509" t="s">
        <v>5265</v>
      </c>
      <c r="H1509" t="s">
        <v>69</v>
      </c>
      <c r="I1509" t="s">
        <v>5663</v>
      </c>
      <c r="J1509" t="s">
        <v>5660</v>
      </c>
      <c r="K1509" t="s">
        <v>5661</v>
      </c>
      <c r="L1509" t="s">
        <v>52</v>
      </c>
      <c r="M1509">
        <v>0</v>
      </c>
      <c r="N1509">
        <v>855</v>
      </c>
      <c r="O1509" t="s">
        <v>61</v>
      </c>
      <c r="P1509">
        <v>100</v>
      </c>
      <c r="Q1509" t="s">
        <v>52</v>
      </c>
      <c r="R1509" t="s">
        <v>52</v>
      </c>
      <c r="S1509" t="s">
        <v>52</v>
      </c>
      <c r="T1509" t="s">
        <v>52</v>
      </c>
      <c r="U1509" t="s">
        <v>52</v>
      </c>
      <c r="V1509" t="s">
        <v>62</v>
      </c>
      <c r="W1509" t="s">
        <v>52</v>
      </c>
      <c r="Y1509" t="s">
        <v>5664</v>
      </c>
      <c r="Z1509" t="s">
        <v>62</v>
      </c>
      <c r="AB1509" t="s">
        <v>5671</v>
      </c>
      <c r="AE1509" t="s">
        <v>5672</v>
      </c>
      <c r="AF1509" t="s">
        <v>52</v>
      </c>
      <c r="AH1509">
        <v>0</v>
      </c>
      <c r="AI1509">
        <v>0</v>
      </c>
      <c r="AJ1509" t="s">
        <v>52</v>
      </c>
      <c r="AK1509">
        <v>0</v>
      </c>
      <c r="AL1509" t="s">
        <v>52</v>
      </c>
      <c r="AM1509" t="s">
        <v>52</v>
      </c>
      <c r="AN1509">
        <v>0</v>
      </c>
      <c r="AO1509">
        <v>0</v>
      </c>
      <c r="AP1509" t="s">
        <v>52</v>
      </c>
      <c r="AQ1509" t="s">
        <v>52</v>
      </c>
      <c r="AR1509" t="s">
        <v>62</v>
      </c>
      <c r="AS1509" t="s">
        <v>52</v>
      </c>
      <c r="AT1509" t="s">
        <v>74</v>
      </c>
      <c r="AU1509" t="s">
        <v>64</v>
      </c>
      <c r="AV1509" t="s">
        <v>62</v>
      </c>
      <c r="AW1509" t="s">
        <v>65</v>
      </c>
      <c r="AX1509" t="s">
        <v>66</v>
      </c>
      <c r="AY1509" t="s">
        <v>67</v>
      </c>
    </row>
    <row r="1510" spans="1:51" hidden="1" x14ac:dyDescent="0.25">
      <c r="A1510">
        <v>406140</v>
      </c>
      <c r="B1510" t="s">
        <v>5673</v>
      </c>
      <c r="C1510" t="e">
        <f>VLOOKUP(A1510,[1]Customer_payment_journal_line!$AL:$BO,30,0)</f>
        <v>#N/A</v>
      </c>
      <c r="D1510" t="s">
        <v>53</v>
      </c>
      <c r="E1510" t="s">
        <v>5674</v>
      </c>
      <c r="F1510" t="s">
        <v>5675</v>
      </c>
      <c r="G1510" t="s">
        <v>5265</v>
      </c>
      <c r="H1510" t="s">
        <v>201</v>
      </c>
      <c r="I1510" t="s">
        <v>58</v>
      </c>
      <c r="J1510" t="s">
        <v>202</v>
      </c>
      <c r="K1510" t="s">
        <v>5661</v>
      </c>
      <c r="L1510" t="s">
        <v>52</v>
      </c>
      <c r="M1510">
        <v>4240</v>
      </c>
      <c r="N1510">
        <v>0</v>
      </c>
      <c r="O1510" t="s">
        <v>61</v>
      </c>
      <c r="P1510">
        <v>100</v>
      </c>
      <c r="Q1510" t="s">
        <v>52</v>
      </c>
      <c r="R1510" t="s">
        <v>52</v>
      </c>
      <c r="S1510" t="s">
        <v>52</v>
      </c>
      <c r="T1510" t="s">
        <v>52</v>
      </c>
      <c r="U1510" t="s">
        <v>52</v>
      </c>
      <c r="V1510" t="s">
        <v>62</v>
      </c>
      <c r="W1510" t="s">
        <v>63</v>
      </c>
      <c r="Y1510" t="s">
        <v>52</v>
      </c>
      <c r="AB1510" t="s">
        <v>5676</v>
      </c>
      <c r="AE1510" t="s">
        <v>5676</v>
      </c>
      <c r="AF1510" t="s">
        <v>52</v>
      </c>
      <c r="AH1510">
        <v>0</v>
      </c>
      <c r="AI1510">
        <v>0</v>
      </c>
      <c r="AJ1510" t="s">
        <v>52</v>
      </c>
      <c r="AK1510">
        <v>0</v>
      </c>
      <c r="AL1510" t="s">
        <v>52</v>
      </c>
      <c r="AM1510" t="s">
        <v>52</v>
      </c>
      <c r="AN1510">
        <v>0</v>
      </c>
      <c r="AO1510">
        <v>0</v>
      </c>
      <c r="AP1510" t="s">
        <v>52</v>
      </c>
      <c r="AQ1510" t="s">
        <v>52</v>
      </c>
      <c r="AR1510" t="s">
        <v>62</v>
      </c>
      <c r="AS1510" t="s">
        <v>52</v>
      </c>
      <c r="AT1510" t="s">
        <v>52</v>
      </c>
      <c r="AU1510" t="s">
        <v>64</v>
      </c>
      <c r="AV1510" t="s">
        <v>62</v>
      </c>
      <c r="AW1510" t="s">
        <v>65</v>
      </c>
      <c r="AX1510" t="s">
        <v>66</v>
      </c>
      <c r="AY1510" t="s">
        <v>67</v>
      </c>
    </row>
    <row r="1511" spans="1:51" hidden="1" x14ac:dyDescent="0.25">
      <c r="A1511">
        <v>406140</v>
      </c>
      <c r="B1511" t="s">
        <v>5677</v>
      </c>
      <c r="C1511" t="e">
        <f>VLOOKUP(A1511,[1]Customer_payment_journal_line!$AL:$BO,30,0)</f>
        <v>#N/A</v>
      </c>
      <c r="D1511" t="s">
        <v>53</v>
      </c>
      <c r="E1511" t="s">
        <v>5674</v>
      </c>
      <c r="F1511" t="s">
        <v>5675</v>
      </c>
      <c r="G1511" t="s">
        <v>5265</v>
      </c>
      <c r="H1511" t="s">
        <v>69</v>
      </c>
      <c r="I1511" t="s">
        <v>5663</v>
      </c>
      <c r="J1511" t="s">
        <v>5678</v>
      </c>
      <c r="K1511" t="s">
        <v>5661</v>
      </c>
      <c r="L1511" t="s">
        <v>52</v>
      </c>
      <c r="M1511">
        <v>0</v>
      </c>
      <c r="N1511">
        <v>80</v>
      </c>
      <c r="O1511" t="s">
        <v>178</v>
      </c>
      <c r="P1511">
        <v>5085</v>
      </c>
      <c r="Q1511" t="s">
        <v>52</v>
      </c>
      <c r="R1511" t="s">
        <v>52</v>
      </c>
      <c r="S1511" t="s">
        <v>52</v>
      </c>
      <c r="T1511" t="s">
        <v>52</v>
      </c>
      <c r="U1511" t="s">
        <v>52</v>
      </c>
      <c r="V1511" t="s">
        <v>62</v>
      </c>
      <c r="W1511" t="s">
        <v>52</v>
      </c>
      <c r="Y1511" t="s">
        <v>5664</v>
      </c>
      <c r="Z1511" t="s">
        <v>62</v>
      </c>
      <c r="AB1511" t="s">
        <v>5676</v>
      </c>
      <c r="AE1511" t="s">
        <v>5676</v>
      </c>
      <c r="AF1511" t="s">
        <v>52</v>
      </c>
      <c r="AH1511">
        <v>0</v>
      </c>
      <c r="AI1511">
        <v>0</v>
      </c>
      <c r="AJ1511" t="s">
        <v>52</v>
      </c>
      <c r="AK1511">
        <v>0</v>
      </c>
      <c r="AL1511" t="s">
        <v>52</v>
      </c>
      <c r="AM1511" t="s">
        <v>52</v>
      </c>
      <c r="AN1511">
        <v>0</v>
      </c>
      <c r="AO1511">
        <v>0</v>
      </c>
      <c r="AP1511" t="s">
        <v>52</v>
      </c>
      <c r="AQ1511" t="s">
        <v>52</v>
      </c>
      <c r="AR1511" t="s">
        <v>62</v>
      </c>
      <c r="AS1511" t="s">
        <v>52</v>
      </c>
      <c r="AT1511" t="s">
        <v>74</v>
      </c>
      <c r="AU1511" t="s">
        <v>64</v>
      </c>
      <c r="AV1511" t="s">
        <v>62</v>
      </c>
      <c r="AW1511" t="s">
        <v>65</v>
      </c>
      <c r="AX1511" t="s">
        <v>66</v>
      </c>
      <c r="AY1511" t="s">
        <v>67</v>
      </c>
    </row>
    <row r="1512" spans="1:51" hidden="1" x14ac:dyDescent="0.25">
      <c r="A1512">
        <v>406140</v>
      </c>
      <c r="B1512" t="s">
        <v>5679</v>
      </c>
      <c r="C1512" t="e">
        <f>VLOOKUP(A1512,[1]Customer_payment_journal_line!$AL:$BO,30,0)</f>
        <v>#N/A</v>
      </c>
      <c r="D1512" t="s">
        <v>53</v>
      </c>
      <c r="E1512" t="s">
        <v>5674</v>
      </c>
      <c r="F1512" t="s">
        <v>5675</v>
      </c>
      <c r="G1512" t="s">
        <v>5265</v>
      </c>
      <c r="H1512" t="s">
        <v>210</v>
      </c>
      <c r="I1512" t="s">
        <v>5680</v>
      </c>
      <c r="J1512" t="s">
        <v>52</v>
      </c>
      <c r="K1512" t="s">
        <v>5661</v>
      </c>
      <c r="L1512" t="s">
        <v>52</v>
      </c>
      <c r="M1512">
        <v>0</v>
      </c>
      <c r="N1512">
        <v>172</v>
      </c>
      <c r="O1512" t="s">
        <v>61</v>
      </c>
      <c r="P1512">
        <v>100</v>
      </c>
      <c r="Q1512" t="s">
        <v>52</v>
      </c>
      <c r="R1512" t="s">
        <v>52</v>
      </c>
      <c r="S1512" t="s">
        <v>52</v>
      </c>
      <c r="T1512" t="s">
        <v>52</v>
      </c>
      <c r="U1512" t="s">
        <v>52</v>
      </c>
      <c r="V1512" t="s">
        <v>62</v>
      </c>
      <c r="W1512" t="s">
        <v>63</v>
      </c>
      <c r="Y1512" t="s">
        <v>5664</v>
      </c>
      <c r="AB1512" t="s">
        <v>5676</v>
      </c>
      <c r="AE1512" t="s">
        <v>5676</v>
      </c>
      <c r="AF1512" t="s">
        <v>52</v>
      </c>
      <c r="AH1512">
        <v>0</v>
      </c>
      <c r="AI1512">
        <v>0</v>
      </c>
      <c r="AJ1512" t="s">
        <v>52</v>
      </c>
      <c r="AK1512">
        <v>0</v>
      </c>
      <c r="AL1512" t="s">
        <v>52</v>
      </c>
      <c r="AM1512" t="s">
        <v>52</v>
      </c>
      <c r="AN1512">
        <v>0</v>
      </c>
      <c r="AO1512">
        <v>0</v>
      </c>
      <c r="AP1512" t="s">
        <v>52</v>
      </c>
      <c r="AQ1512" t="s">
        <v>52</v>
      </c>
      <c r="AR1512" t="s">
        <v>62</v>
      </c>
      <c r="AS1512" t="s">
        <v>52</v>
      </c>
      <c r="AT1512" t="s">
        <v>52</v>
      </c>
      <c r="AU1512" t="s">
        <v>64</v>
      </c>
      <c r="AV1512" t="s">
        <v>62</v>
      </c>
      <c r="AW1512" t="s">
        <v>65</v>
      </c>
      <c r="AX1512" t="s">
        <v>66</v>
      </c>
      <c r="AY1512" t="s">
        <v>67</v>
      </c>
    </row>
    <row r="1513" spans="1:51" hidden="1" x14ac:dyDescent="0.25">
      <c r="A1513">
        <v>317160</v>
      </c>
      <c r="B1513" t="s">
        <v>5681</v>
      </c>
      <c r="C1513" t="e">
        <f>VLOOKUP(A1513,[1]Customer_payment_journal_line!$AL:$BO,30,0)</f>
        <v>#N/A</v>
      </c>
      <c r="D1513" t="s">
        <v>76</v>
      </c>
      <c r="E1513" t="s">
        <v>5682</v>
      </c>
      <c r="F1513" t="s">
        <v>5683</v>
      </c>
      <c r="G1513" t="s">
        <v>5265</v>
      </c>
      <c r="H1513" t="s">
        <v>210</v>
      </c>
      <c r="I1513" t="s">
        <v>5684</v>
      </c>
      <c r="J1513" t="s">
        <v>52</v>
      </c>
      <c r="K1513" t="s">
        <v>5281</v>
      </c>
      <c r="L1513" t="s">
        <v>52</v>
      </c>
      <c r="M1513">
        <v>9405</v>
      </c>
      <c r="N1513">
        <v>0</v>
      </c>
      <c r="O1513" t="s">
        <v>61</v>
      </c>
      <c r="P1513">
        <v>100</v>
      </c>
      <c r="Q1513" t="s">
        <v>52</v>
      </c>
      <c r="R1513" t="s">
        <v>52</v>
      </c>
      <c r="S1513" t="s">
        <v>52</v>
      </c>
      <c r="T1513" t="s">
        <v>52</v>
      </c>
      <c r="U1513" t="s">
        <v>52</v>
      </c>
      <c r="V1513" t="s">
        <v>62</v>
      </c>
      <c r="W1513" t="s">
        <v>63</v>
      </c>
      <c r="Y1513" t="s">
        <v>52</v>
      </c>
      <c r="AB1513" t="s">
        <v>5685</v>
      </c>
      <c r="AE1513" t="s">
        <v>5685</v>
      </c>
      <c r="AF1513" t="s">
        <v>52</v>
      </c>
      <c r="AH1513">
        <v>0</v>
      </c>
      <c r="AI1513">
        <v>0</v>
      </c>
      <c r="AJ1513" t="s">
        <v>52</v>
      </c>
      <c r="AK1513">
        <v>0</v>
      </c>
      <c r="AL1513" t="s">
        <v>52</v>
      </c>
      <c r="AM1513" t="s">
        <v>52</v>
      </c>
      <c r="AN1513">
        <v>0</v>
      </c>
      <c r="AO1513">
        <v>0</v>
      </c>
      <c r="AP1513" t="s">
        <v>52</v>
      </c>
      <c r="AQ1513" t="s">
        <v>52</v>
      </c>
      <c r="AR1513" t="s">
        <v>62</v>
      </c>
      <c r="AS1513" t="s">
        <v>52</v>
      </c>
      <c r="AT1513" t="s">
        <v>52</v>
      </c>
      <c r="AU1513" t="s">
        <v>64</v>
      </c>
      <c r="AV1513" t="s">
        <v>62</v>
      </c>
      <c r="AW1513" t="s">
        <v>65</v>
      </c>
      <c r="AX1513" t="s">
        <v>66</v>
      </c>
      <c r="AY1513" t="s">
        <v>76</v>
      </c>
    </row>
    <row r="1514" spans="1:51" hidden="1" x14ac:dyDescent="0.25">
      <c r="A1514">
        <v>317160</v>
      </c>
      <c r="B1514" t="s">
        <v>5686</v>
      </c>
      <c r="C1514" t="e">
        <f>VLOOKUP(A1514,[1]Customer_payment_journal_line!$AL:$BO,30,0)</f>
        <v>#N/A</v>
      </c>
      <c r="D1514" t="s">
        <v>76</v>
      </c>
      <c r="E1514" t="s">
        <v>5682</v>
      </c>
      <c r="F1514" t="s">
        <v>5683</v>
      </c>
      <c r="G1514" t="s">
        <v>5265</v>
      </c>
      <c r="H1514" t="s">
        <v>69</v>
      </c>
      <c r="I1514" t="s">
        <v>5283</v>
      </c>
      <c r="J1514" t="s">
        <v>5687</v>
      </c>
      <c r="K1514" t="s">
        <v>5281</v>
      </c>
      <c r="L1514" t="s">
        <v>52</v>
      </c>
      <c r="M1514">
        <v>0</v>
      </c>
      <c r="N1514">
        <v>165</v>
      </c>
      <c r="O1514" t="s">
        <v>126</v>
      </c>
      <c r="P1514">
        <v>5285</v>
      </c>
      <c r="Q1514" t="s">
        <v>52</v>
      </c>
      <c r="R1514" t="s">
        <v>52</v>
      </c>
      <c r="S1514" t="s">
        <v>52</v>
      </c>
      <c r="T1514" t="s">
        <v>52</v>
      </c>
      <c r="U1514" t="s">
        <v>52</v>
      </c>
      <c r="V1514" t="s">
        <v>62</v>
      </c>
      <c r="W1514" t="s">
        <v>52</v>
      </c>
      <c r="Y1514" t="s">
        <v>5284</v>
      </c>
      <c r="Z1514" t="s">
        <v>62</v>
      </c>
      <c r="AB1514" t="s">
        <v>5685</v>
      </c>
      <c r="AE1514" t="s">
        <v>5685</v>
      </c>
      <c r="AF1514" t="s">
        <v>52</v>
      </c>
      <c r="AH1514">
        <v>0</v>
      </c>
      <c r="AI1514">
        <v>0</v>
      </c>
      <c r="AJ1514" t="s">
        <v>52</v>
      </c>
      <c r="AK1514">
        <v>0</v>
      </c>
      <c r="AL1514" t="s">
        <v>52</v>
      </c>
      <c r="AM1514" t="s">
        <v>52</v>
      </c>
      <c r="AN1514">
        <v>0</v>
      </c>
      <c r="AO1514">
        <v>0</v>
      </c>
      <c r="AP1514" t="s">
        <v>52</v>
      </c>
      <c r="AQ1514" t="s">
        <v>52</v>
      </c>
      <c r="AR1514" t="s">
        <v>62</v>
      </c>
      <c r="AS1514" t="s">
        <v>52</v>
      </c>
      <c r="AT1514" t="s">
        <v>74</v>
      </c>
      <c r="AU1514" t="s">
        <v>64</v>
      </c>
      <c r="AV1514" t="s">
        <v>62</v>
      </c>
      <c r="AW1514" t="s">
        <v>65</v>
      </c>
      <c r="AX1514" t="s">
        <v>66</v>
      </c>
      <c r="AY1514" t="s">
        <v>76</v>
      </c>
    </row>
    <row r="1515" spans="1:51" hidden="1" x14ac:dyDescent="0.25">
      <c r="A1515">
        <v>317160</v>
      </c>
      <c r="B1515" t="s">
        <v>5688</v>
      </c>
      <c r="C1515" t="e">
        <f>VLOOKUP(A1515,[1]Customer_payment_journal_line!$AL:$BO,30,0)</f>
        <v>#N/A</v>
      </c>
      <c r="D1515" t="s">
        <v>76</v>
      </c>
      <c r="E1515" t="s">
        <v>5682</v>
      </c>
      <c r="F1515" t="s">
        <v>5683</v>
      </c>
      <c r="G1515" t="s">
        <v>5265</v>
      </c>
      <c r="H1515" t="s">
        <v>210</v>
      </c>
      <c r="I1515" t="s">
        <v>5689</v>
      </c>
      <c r="J1515" t="s">
        <v>52</v>
      </c>
      <c r="K1515" t="s">
        <v>5281</v>
      </c>
      <c r="L1515" t="s">
        <v>52</v>
      </c>
      <c r="M1515">
        <v>0</v>
      </c>
      <c r="N1515">
        <v>684.75</v>
      </c>
      <c r="O1515" t="s">
        <v>61</v>
      </c>
      <c r="P1515">
        <v>100</v>
      </c>
      <c r="Q1515" t="s">
        <v>52</v>
      </c>
      <c r="R1515" t="s">
        <v>52</v>
      </c>
      <c r="S1515" t="s">
        <v>52</v>
      </c>
      <c r="T1515" t="s">
        <v>52</v>
      </c>
      <c r="U1515" t="s">
        <v>52</v>
      </c>
      <c r="V1515" t="s">
        <v>62</v>
      </c>
      <c r="W1515" t="s">
        <v>63</v>
      </c>
      <c r="Y1515" t="s">
        <v>5284</v>
      </c>
      <c r="AB1515" t="s">
        <v>5685</v>
      </c>
      <c r="AE1515" t="s">
        <v>5685</v>
      </c>
      <c r="AF1515" t="s">
        <v>52</v>
      </c>
      <c r="AH1515">
        <v>0</v>
      </c>
      <c r="AI1515">
        <v>0</v>
      </c>
      <c r="AJ1515" t="s">
        <v>52</v>
      </c>
      <c r="AK1515">
        <v>0</v>
      </c>
      <c r="AL1515" t="s">
        <v>52</v>
      </c>
      <c r="AM1515" t="s">
        <v>52</v>
      </c>
      <c r="AN1515">
        <v>0</v>
      </c>
      <c r="AO1515">
        <v>0</v>
      </c>
      <c r="AP1515" t="s">
        <v>52</v>
      </c>
      <c r="AQ1515" t="s">
        <v>52</v>
      </c>
      <c r="AR1515" t="s">
        <v>62</v>
      </c>
      <c r="AS1515" t="s">
        <v>52</v>
      </c>
      <c r="AT1515" t="s">
        <v>52</v>
      </c>
      <c r="AU1515" t="s">
        <v>64</v>
      </c>
      <c r="AV1515" t="s">
        <v>62</v>
      </c>
      <c r="AW1515" t="s">
        <v>65</v>
      </c>
      <c r="AX1515" t="s">
        <v>66</v>
      </c>
      <c r="AY1515" t="s">
        <v>76</v>
      </c>
    </row>
    <row r="1516" spans="1:51" hidden="1" x14ac:dyDescent="0.25">
      <c r="A1516">
        <v>203461</v>
      </c>
      <c r="B1516" t="s">
        <v>5690</v>
      </c>
      <c r="C1516" t="e">
        <f>VLOOKUP(A1516,[1]Customer_payment_journal_line!$AL:$BO,30,0)</f>
        <v>#N/A</v>
      </c>
      <c r="D1516" t="s">
        <v>53</v>
      </c>
      <c r="E1516" t="s">
        <v>5691</v>
      </c>
      <c r="F1516" t="s">
        <v>5692</v>
      </c>
      <c r="G1516" t="s">
        <v>5265</v>
      </c>
      <c r="H1516" t="s">
        <v>57</v>
      </c>
      <c r="I1516" t="s">
        <v>58</v>
      </c>
      <c r="J1516" t="s">
        <v>5693</v>
      </c>
      <c r="K1516" t="s">
        <v>5694</v>
      </c>
      <c r="L1516" t="s">
        <v>52</v>
      </c>
      <c r="M1516">
        <v>2850</v>
      </c>
      <c r="N1516">
        <v>0</v>
      </c>
      <c r="O1516" t="s">
        <v>61</v>
      </c>
      <c r="P1516">
        <v>100</v>
      </c>
      <c r="Q1516" t="s">
        <v>52</v>
      </c>
      <c r="R1516" t="s">
        <v>52</v>
      </c>
      <c r="S1516" t="s">
        <v>52</v>
      </c>
      <c r="T1516" t="s">
        <v>52</v>
      </c>
      <c r="U1516" t="s">
        <v>52</v>
      </c>
      <c r="V1516" t="s">
        <v>62</v>
      </c>
      <c r="W1516" t="s">
        <v>63</v>
      </c>
      <c r="Y1516" t="s">
        <v>52</v>
      </c>
      <c r="AB1516" t="s">
        <v>52</v>
      </c>
      <c r="AE1516" t="s">
        <v>52</v>
      </c>
      <c r="AF1516" t="s">
        <v>52</v>
      </c>
      <c r="AH1516">
        <v>0</v>
      </c>
      <c r="AI1516">
        <v>0</v>
      </c>
      <c r="AJ1516" t="s">
        <v>52</v>
      </c>
      <c r="AK1516">
        <v>0</v>
      </c>
      <c r="AL1516" t="s">
        <v>52</v>
      </c>
      <c r="AM1516" t="s">
        <v>52</v>
      </c>
      <c r="AN1516">
        <v>0</v>
      </c>
      <c r="AO1516">
        <v>0</v>
      </c>
      <c r="AP1516" t="s">
        <v>52</v>
      </c>
      <c r="AQ1516" t="s">
        <v>52</v>
      </c>
      <c r="AR1516" t="s">
        <v>62</v>
      </c>
      <c r="AS1516" t="s">
        <v>52</v>
      </c>
      <c r="AT1516" t="s">
        <v>52</v>
      </c>
      <c r="AU1516" t="s">
        <v>64</v>
      </c>
      <c r="AV1516" t="s">
        <v>62</v>
      </c>
      <c r="AW1516" t="s">
        <v>65</v>
      </c>
      <c r="AX1516" t="s">
        <v>66</v>
      </c>
      <c r="AY1516" t="s">
        <v>67</v>
      </c>
    </row>
    <row r="1517" spans="1:51" hidden="1" x14ac:dyDescent="0.25">
      <c r="A1517">
        <v>203461</v>
      </c>
      <c r="B1517" t="s">
        <v>5695</v>
      </c>
      <c r="C1517" t="e">
        <f>VLOOKUP(A1517,[1]Customer_payment_journal_line!$AL:$BO,30,0)</f>
        <v>#N/A</v>
      </c>
      <c r="D1517" t="s">
        <v>53</v>
      </c>
      <c r="E1517" t="s">
        <v>5691</v>
      </c>
      <c r="F1517" t="s">
        <v>5692</v>
      </c>
      <c r="G1517" t="s">
        <v>5265</v>
      </c>
      <c r="H1517" t="s">
        <v>69</v>
      </c>
      <c r="I1517" t="s">
        <v>5696</v>
      </c>
      <c r="J1517" t="s">
        <v>5693</v>
      </c>
      <c r="K1517" t="s">
        <v>5694</v>
      </c>
      <c r="L1517" t="s">
        <v>52</v>
      </c>
      <c r="M1517">
        <v>0</v>
      </c>
      <c r="N1517">
        <v>2850</v>
      </c>
      <c r="O1517" t="s">
        <v>61</v>
      </c>
      <c r="P1517">
        <v>100</v>
      </c>
      <c r="Q1517" t="s">
        <v>52</v>
      </c>
      <c r="R1517" t="s">
        <v>52</v>
      </c>
      <c r="S1517" t="s">
        <v>52</v>
      </c>
      <c r="T1517" t="s">
        <v>52</v>
      </c>
      <c r="U1517" t="s">
        <v>52</v>
      </c>
      <c r="V1517" t="s">
        <v>62</v>
      </c>
      <c r="W1517" t="s">
        <v>52</v>
      </c>
      <c r="Y1517" t="s">
        <v>5697</v>
      </c>
      <c r="Z1517" t="s">
        <v>62</v>
      </c>
      <c r="AB1517" t="s">
        <v>5698</v>
      </c>
      <c r="AE1517" t="s">
        <v>5699</v>
      </c>
      <c r="AF1517" t="s">
        <v>52</v>
      </c>
      <c r="AH1517">
        <v>0</v>
      </c>
      <c r="AI1517">
        <v>0</v>
      </c>
      <c r="AJ1517" t="s">
        <v>52</v>
      </c>
      <c r="AK1517">
        <v>0</v>
      </c>
      <c r="AL1517" t="s">
        <v>52</v>
      </c>
      <c r="AM1517" t="s">
        <v>52</v>
      </c>
      <c r="AN1517">
        <v>0</v>
      </c>
      <c r="AO1517">
        <v>0</v>
      </c>
      <c r="AP1517" t="s">
        <v>52</v>
      </c>
      <c r="AQ1517" t="s">
        <v>52</v>
      </c>
      <c r="AR1517" t="s">
        <v>62</v>
      </c>
      <c r="AS1517" t="s">
        <v>52</v>
      </c>
      <c r="AT1517" t="s">
        <v>74</v>
      </c>
      <c r="AU1517" t="s">
        <v>64</v>
      </c>
      <c r="AV1517" t="s">
        <v>62</v>
      </c>
      <c r="AW1517" t="s">
        <v>65</v>
      </c>
      <c r="AX1517" t="s">
        <v>66</v>
      </c>
      <c r="AY1517" t="s">
        <v>67</v>
      </c>
    </row>
    <row r="1518" spans="1:51" hidden="1" x14ac:dyDescent="0.25">
      <c r="A1518">
        <v>203471</v>
      </c>
      <c r="B1518" t="s">
        <v>5700</v>
      </c>
      <c r="C1518" t="e">
        <f>VLOOKUP(A1518,[1]Customer_payment_journal_line!$AL:$BO,30,0)</f>
        <v>#N/A</v>
      </c>
      <c r="D1518" t="s">
        <v>53</v>
      </c>
      <c r="E1518" t="s">
        <v>5701</v>
      </c>
      <c r="F1518" t="s">
        <v>5702</v>
      </c>
      <c r="G1518" t="s">
        <v>5265</v>
      </c>
      <c r="H1518" t="s">
        <v>57</v>
      </c>
      <c r="I1518" t="s">
        <v>319</v>
      </c>
      <c r="J1518" t="s">
        <v>5703</v>
      </c>
      <c r="K1518" t="s">
        <v>5704</v>
      </c>
      <c r="L1518" t="s">
        <v>52</v>
      </c>
      <c r="M1518">
        <v>2850</v>
      </c>
      <c r="N1518">
        <v>0</v>
      </c>
      <c r="O1518" t="s">
        <v>61</v>
      </c>
      <c r="P1518">
        <v>100</v>
      </c>
      <c r="Q1518" t="s">
        <v>52</v>
      </c>
      <c r="R1518" t="s">
        <v>52</v>
      </c>
      <c r="S1518" t="s">
        <v>52</v>
      </c>
      <c r="T1518" t="s">
        <v>52</v>
      </c>
      <c r="U1518" t="s">
        <v>52</v>
      </c>
      <c r="V1518" t="s">
        <v>62</v>
      </c>
      <c r="W1518" t="s">
        <v>63</v>
      </c>
      <c r="Y1518" t="s">
        <v>52</v>
      </c>
      <c r="AB1518" t="s">
        <v>52</v>
      </c>
      <c r="AE1518" t="s">
        <v>52</v>
      </c>
      <c r="AF1518" t="s">
        <v>52</v>
      </c>
      <c r="AH1518">
        <v>0</v>
      </c>
      <c r="AI1518">
        <v>0</v>
      </c>
      <c r="AJ1518" t="s">
        <v>52</v>
      </c>
      <c r="AK1518">
        <v>0</v>
      </c>
      <c r="AL1518" t="s">
        <v>52</v>
      </c>
      <c r="AM1518" t="s">
        <v>52</v>
      </c>
      <c r="AN1518">
        <v>0</v>
      </c>
      <c r="AO1518">
        <v>0</v>
      </c>
      <c r="AP1518" t="s">
        <v>52</v>
      </c>
      <c r="AQ1518" t="s">
        <v>52</v>
      </c>
      <c r="AR1518" t="s">
        <v>62</v>
      </c>
      <c r="AS1518" t="s">
        <v>52</v>
      </c>
      <c r="AT1518" t="s">
        <v>52</v>
      </c>
      <c r="AU1518" t="s">
        <v>64</v>
      </c>
      <c r="AV1518" t="s">
        <v>62</v>
      </c>
      <c r="AW1518" t="s">
        <v>65</v>
      </c>
      <c r="AX1518" t="s">
        <v>66</v>
      </c>
      <c r="AY1518" t="s">
        <v>67</v>
      </c>
    </row>
    <row r="1519" spans="1:51" hidden="1" x14ac:dyDescent="0.25">
      <c r="A1519">
        <v>203471</v>
      </c>
      <c r="B1519" t="s">
        <v>5705</v>
      </c>
      <c r="C1519" t="e">
        <f>VLOOKUP(A1519,[1]Customer_payment_journal_line!$AL:$BO,30,0)</f>
        <v>#N/A</v>
      </c>
      <c r="D1519" t="s">
        <v>53</v>
      </c>
      <c r="E1519" t="s">
        <v>5701</v>
      </c>
      <c r="F1519" t="s">
        <v>5702</v>
      </c>
      <c r="G1519" t="s">
        <v>5265</v>
      </c>
      <c r="H1519" t="s">
        <v>69</v>
      </c>
      <c r="I1519" t="s">
        <v>2079</v>
      </c>
      <c r="J1519" t="s">
        <v>5703</v>
      </c>
      <c r="K1519" t="s">
        <v>5704</v>
      </c>
      <c r="L1519" t="s">
        <v>52</v>
      </c>
      <c r="M1519">
        <v>0</v>
      </c>
      <c r="N1519">
        <v>2850</v>
      </c>
      <c r="O1519" t="s">
        <v>61</v>
      </c>
      <c r="P1519">
        <v>100</v>
      </c>
      <c r="Q1519" t="s">
        <v>52</v>
      </c>
      <c r="R1519" t="s">
        <v>52</v>
      </c>
      <c r="S1519" t="s">
        <v>52</v>
      </c>
      <c r="T1519" t="s">
        <v>52</v>
      </c>
      <c r="U1519" t="s">
        <v>52</v>
      </c>
      <c r="V1519" t="s">
        <v>62</v>
      </c>
      <c r="W1519" t="s">
        <v>52</v>
      </c>
      <c r="Y1519" t="s">
        <v>2080</v>
      </c>
      <c r="Z1519" t="s">
        <v>62</v>
      </c>
      <c r="AB1519" t="s">
        <v>5706</v>
      </c>
      <c r="AE1519" t="s">
        <v>5707</v>
      </c>
      <c r="AF1519" t="s">
        <v>52</v>
      </c>
      <c r="AH1519">
        <v>0</v>
      </c>
      <c r="AI1519">
        <v>0</v>
      </c>
      <c r="AJ1519" t="s">
        <v>52</v>
      </c>
      <c r="AK1519">
        <v>0</v>
      </c>
      <c r="AL1519" t="s">
        <v>52</v>
      </c>
      <c r="AM1519" t="s">
        <v>52</v>
      </c>
      <c r="AN1519">
        <v>0</v>
      </c>
      <c r="AO1519">
        <v>0</v>
      </c>
      <c r="AP1519" t="s">
        <v>52</v>
      </c>
      <c r="AQ1519" t="s">
        <v>52</v>
      </c>
      <c r="AR1519" t="s">
        <v>62</v>
      </c>
      <c r="AS1519" t="s">
        <v>52</v>
      </c>
      <c r="AT1519" t="s">
        <v>74</v>
      </c>
      <c r="AU1519" t="s">
        <v>64</v>
      </c>
      <c r="AV1519" t="s">
        <v>62</v>
      </c>
      <c r="AW1519" t="s">
        <v>65</v>
      </c>
      <c r="AX1519" t="s">
        <v>66</v>
      </c>
      <c r="AY1519" t="s">
        <v>67</v>
      </c>
    </row>
    <row r="1520" spans="1:51" hidden="1" x14ac:dyDescent="0.25">
      <c r="A1520">
        <v>203472</v>
      </c>
      <c r="B1520" t="s">
        <v>5708</v>
      </c>
      <c r="C1520" t="e">
        <f>VLOOKUP(A1520,[1]Customer_payment_journal_line!$AL:$BO,30,0)</f>
        <v>#N/A</v>
      </c>
      <c r="D1520" t="s">
        <v>53</v>
      </c>
      <c r="E1520" t="s">
        <v>5709</v>
      </c>
      <c r="F1520" t="s">
        <v>5710</v>
      </c>
      <c r="G1520" t="s">
        <v>5265</v>
      </c>
      <c r="H1520" t="s">
        <v>57</v>
      </c>
      <c r="I1520" t="s">
        <v>319</v>
      </c>
      <c r="J1520" t="s">
        <v>5703</v>
      </c>
      <c r="K1520" t="s">
        <v>5711</v>
      </c>
      <c r="L1520" t="s">
        <v>52</v>
      </c>
      <c r="M1520">
        <v>2850</v>
      </c>
      <c r="N1520">
        <v>0</v>
      </c>
      <c r="O1520" t="s">
        <v>61</v>
      </c>
      <c r="P1520">
        <v>100</v>
      </c>
      <c r="Q1520" t="s">
        <v>52</v>
      </c>
      <c r="R1520" t="s">
        <v>52</v>
      </c>
      <c r="S1520" t="s">
        <v>52</v>
      </c>
      <c r="T1520" t="s">
        <v>52</v>
      </c>
      <c r="U1520" t="s">
        <v>52</v>
      </c>
      <c r="V1520" t="s">
        <v>62</v>
      </c>
      <c r="W1520" t="s">
        <v>63</v>
      </c>
      <c r="Y1520" t="s">
        <v>52</v>
      </c>
      <c r="AB1520" t="s">
        <v>52</v>
      </c>
      <c r="AE1520" t="s">
        <v>52</v>
      </c>
      <c r="AF1520" t="s">
        <v>52</v>
      </c>
      <c r="AH1520">
        <v>0</v>
      </c>
      <c r="AI1520">
        <v>0</v>
      </c>
      <c r="AJ1520" t="s">
        <v>52</v>
      </c>
      <c r="AK1520">
        <v>0</v>
      </c>
      <c r="AL1520" t="s">
        <v>52</v>
      </c>
      <c r="AM1520" t="s">
        <v>52</v>
      </c>
      <c r="AN1520">
        <v>0</v>
      </c>
      <c r="AO1520">
        <v>0</v>
      </c>
      <c r="AP1520" t="s">
        <v>52</v>
      </c>
      <c r="AQ1520" t="s">
        <v>52</v>
      </c>
      <c r="AR1520" t="s">
        <v>62</v>
      </c>
      <c r="AS1520" t="s">
        <v>52</v>
      </c>
      <c r="AT1520" t="s">
        <v>52</v>
      </c>
      <c r="AU1520" t="s">
        <v>64</v>
      </c>
      <c r="AV1520" t="s">
        <v>62</v>
      </c>
      <c r="AW1520" t="s">
        <v>65</v>
      </c>
      <c r="AX1520" t="s">
        <v>66</v>
      </c>
      <c r="AY1520" t="s">
        <v>67</v>
      </c>
    </row>
    <row r="1521" spans="1:51" hidden="1" x14ac:dyDescent="0.25">
      <c r="A1521">
        <v>203472</v>
      </c>
      <c r="B1521" t="s">
        <v>5712</v>
      </c>
      <c r="C1521" t="e">
        <f>VLOOKUP(A1521,[1]Customer_payment_journal_line!$AL:$BO,30,0)</f>
        <v>#N/A</v>
      </c>
      <c r="D1521" t="s">
        <v>53</v>
      </c>
      <c r="E1521" t="s">
        <v>5709</v>
      </c>
      <c r="F1521" t="s">
        <v>5710</v>
      </c>
      <c r="G1521" t="s">
        <v>5265</v>
      </c>
      <c r="H1521" t="s">
        <v>69</v>
      </c>
      <c r="I1521" t="s">
        <v>2079</v>
      </c>
      <c r="J1521" t="s">
        <v>5703</v>
      </c>
      <c r="K1521" t="s">
        <v>5711</v>
      </c>
      <c r="L1521" t="s">
        <v>52</v>
      </c>
      <c r="M1521">
        <v>0</v>
      </c>
      <c r="N1521">
        <v>2850</v>
      </c>
      <c r="O1521" t="s">
        <v>61</v>
      </c>
      <c r="P1521">
        <v>100</v>
      </c>
      <c r="Q1521" t="s">
        <v>52</v>
      </c>
      <c r="R1521" t="s">
        <v>52</v>
      </c>
      <c r="S1521" t="s">
        <v>52</v>
      </c>
      <c r="T1521" t="s">
        <v>52</v>
      </c>
      <c r="U1521" t="s">
        <v>52</v>
      </c>
      <c r="V1521" t="s">
        <v>62</v>
      </c>
      <c r="W1521" t="s">
        <v>52</v>
      </c>
      <c r="Y1521" t="s">
        <v>2080</v>
      </c>
      <c r="Z1521" t="s">
        <v>62</v>
      </c>
      <c r="AB1521" t="s">
        <v>5713</v>
      </c>
      <c r="AE1521" t="s">
        <v>5714</v>
      </c>
      <c r="AF1521" t="s">
        <v>52</v>
      </c>
      <c r="AH1521">
        <v>0</v>
      </c>
      <c r="AI1521">
        <v>0</v>
      </c>
      <c r="AJ1521" t="s">
        <v>52</v>
      </c>
      <c r="AK1521">
        <v>0</v>
      </c>
      <c r="AL1521" t="s">
        <v>52</v>
      </c>
      <c r="AM1521" t="s">
        <v>52</v>
      </c>
      <c r="AN1521">
        <v>0</v>
      </c>
      <c r="AO1521">
        <v>0</v>
      </c>
      <c r="AP1521" t="s">
        <v>52</v>
      </c>
      <c r="AQ1521" t="s">
        <v>52</v>
      </c>
      <c r="AR1521" t="s">
        <v>62</v>
      </c>
      <c r="AS1521" t="s">
        <v>52</v>
      </c>
      <c r="AT1521" t="s">
        <v>74</v>
      </c>
      <c r="AU1521" t="s">
        <v>64</v>
      </c>
      <c r="AV1521" t="s">
        <v>62</v>
      </c>
      <c r="AW1521" t="s">
        <v>65</v>
      </c>
      <c r="AX1521" t="s">
        <v>66</v>
      </c>
      <c r="AY1521" t="s">
        <v>67</v>
      </c>
    </row>
    <row r="1522" spans="1:51" hidden="1" x14ac:dyDescent="0.25">
      <c r="A1522">
        <v>203474</v>
      </c>
      <c r="B1522" t="s">
        <v>5715</v>
      </c>
      <c r="C1522" t="e">
        <f>VLOOKUP(A1522,[1]Customer_payment_journal_line!$AL:$BO,30,0)</f>
        <v>#N/A</v>
      </c>
      <c r="D1522" t="s">
        <v>53</v>
      </c>
      <c r="E1522" t="s">
        <v>5716</v>
      </c>
      <c r="F1522" t="s">
        <v>5717</v>
      </c>
      <c r="G1522" t="s">
        <v>5265</v>
      </c>
      <c r="H1522" t="s">
        <v>57</v>
      </c>
      <c r="I1522" t="s">
        <v>516</v>
      </c>
      <c r="J1522" t="s">
        <v>5718</v>
      </c>
      <c r="K1522" t="s">
        <v>5719</v>
      </c>
      <c r="L1522" t="s">
        <v>52</v>
      </c>
      <c r="M1522">
        <v>4620</v>
      </c>
      <c r="N1522">
        <v>0</v>
      </c>
      <c r="O1522" t="s">
        <v>178</v>
      </c>
      <c r="P1522">
        <v>5085</v>
      </c>
      <c r="Q1522" t="s">
        <v>52</v>
      </c>
      <c r="R1522" t="s">
        <v>52</v>
      </c>
      <c r="S1522" t="s">
        <v>52</v>
      </c>
      <c r="T1522" t="s">
        <v>52</v>
      </c>
      <c r="U1522" t="s">
        <v>52</v>
      </c>
      <c r="V1522" t="s">
        <v>62</v>
      </c>
      <c r="W1522" t="s">
        <v>63</v>
      </c>
      <c r="Y1522" t="s">
        <v>52</v>
      </c>
      <c r="AB1522" t="s">
        <v>52</v>
      </c>
      <c r="AE1522" t="s">
        <v>52</v>
      </c>
      <c r="AF1522" t="s">
        <v>52</v>
      </c>
      <c r="AH1522">
        <v>0</v>
      </c>
      <c r="AI1522">
        <v>0</v>
      </c>
      <c r="AJ1522" t="s">
        <v>52</v>
      </c>
      <c r="AK1522">
        <v>0</v>
      </c>
      <c r="AL1522" t="s">
        <v>52</v>
      </c>
      <c r="AM1522" t="s">
        <v>52</v>
      </c>
      <c r="AN1522">
        <v>0</v>
      </c>
      <c r="AO1522">
        <v>0</v>
      </c>
      <c r="AP1522" t="s">
        <v>52</v>
      </c>
      <c r="AQ1522" t="s">
        <v>52</v>
      </c>
      <c r="AR1522" t="s">
        <v>62</v>
      </c>
      <c r="AS1522" t="s">
        <v>52</v>
      </c>
      <c r="AT1522" t="s">
        <v>52</v>
      </c>
      <c r="AU1522" t="s">
        <v>64</v>
      </c>
      <c r="AV1522" t="s">
        <v>62</v>
      </c>
      <c r="AW1522" t="s">
        <v>65</v>
      </c>
      <c r="AX1522" t="s">
        <v>66</v>
      </c>
      <c r="AY1522" t="s">
        <v>67</v>
      </c>
    </row>
    <row r="1523" spans="1:51" hidden="1" x14ac:dyDescent="0.25">
      <c r="A1523">
        <v>203474</v>
      </c>
      <c r="B1523" t="s">
        <v>5720</v>
      </c>
      <c r="C1523" t="e">
        <f>VLOOKUP(A1523,[1]Customer_payment_journal_line!$AL:$BO,30,0)</f>
        <v>#N/A</v>
      </c>
      <c r="D1523" t="s">
        <v>53</v>
      </c>
      <c r="E1523" t="s">
        <v>5716</v>
      </c>
      <c r="F1523" t="s">
        <v>5717</v>
      </c>
      <c r="G1523" t="s">
        <v>5265</v>
      </c>
      <c r="H1523" t="s">
        <v>69</v>
      </c>
      <c r="I1523" t="s">
        <v>5721</v>
      </c>
      <c r="J1523" t="s">
        <v>5718</v>
      </c>
      <c r="K1523" t="s">
        <v>5719</v>
      </c>
      <c r="L1523" t="s">
        <v>52</v>
      </c>
      <c r="M1523">
        <v>0</v>
      </c>
      <c r="N1523">
        <v>4620</v>
      </c>
      <c r="O1523" t="s">
        <v>178</v>
      </c>
      <c r="P1523">
        <v>5085</v>
      </c>
      <c r="Q1523" t="s">
        <v>52</v>
      </c>
      <c r="R1523" t="s">
        <v>52</v>
      </c>
      <c r="S1523" t="s">
        <v>52</v>
      </c>
      <c r="T1523" t="s">
        <v>52</v>
      </c>
      <c r="U1523" t="s">
        <v>52</v>
      </c>
      <c r="V1523" t="s">
        <v>62</v>
      </c>
      <c r="W1523" t="s">
        <v>52</v>
      </c>
      <c r="Y1523" t="s">
        <v>5722</v>
      </c>
      <c r="Z1523" t="s">
        <v>62</v>
      </c>
      <c r="AB1523" t="s">
        <v>5723</v>
      </c>
      <c r="AE1523" t="s">
        <v>5724</v>
      </c>
      <c r="AF1523" t="s">
        <v>52</v>
      </c>
      <c r="AH1523">
        <v>0</v>
      </c>
      <c r="AI1523">
        <v>0</v>
      </c>
      <c r="AJ1523" t="s">
        <v>52</v>
      </c>
      <c r="AK1523">
        <v>0</v>
      </c>
      <c r="AL1523" t="s">
        <v>52</v>
      </c>
      <c r="AM1523" t="s">
        <v>52</v>
      </c>
      <c r="AN1523">
        <v>0</v>
      </c>
      <c r="AO1523">
        <v>0</v>
      </c>
      <c r="AP1523" t="s">
        <v>52</v>
      </c>
      <c r="AQ1523" t="s">
        <v>52</v>
      </c>
      <c r="AR1523" t="s">
        <v>62</v>
      </c>
      <c r="AS1523" t="s">
        <v>52</v>
      </c>
      <c r="AT1523" t="s">
        <v>74</v>
      </c>
      <c r="AU1523" t="s">
        <v>64</v>
      </c>
      <c r="AV1523" t="s">
        <v>62</v>
      </c>
      <c r="AW1523" t="s">
        <v>65</v>
      </c>
      <c r="AX1523" t="s">
        <v>66</v>
      </c>
      <c r="AY1523" t="s">
        <v>67</v>
      </c>
    </row>
    <row r="1524" spans="1:51" hidden="1" x14ac:dyDescent="0.25">
      <c r="A1524">
        <v>406143</v>
      </c>
      <c r="B1524" t="s">
        <v>5725</v>
      </c>
      <c r="C1524" t="e">
        <f>VLOOKUP(A1524,[1]Customer_payment_journal_line!$AL:$BO,30,0)</f>
        <v>#N/A</v>
      </c>
      <c r="D1524" t="s">
        <v>159</v>
      </c>
      <c r="E1524" t="s">
        <v>5726</v>
      </c>
      <c r="F1524" t="s">
        <v>5727</v>
      </c>
      <c r="G1524" t="s">
        <v>5265</v>
      </c>
      <c r="H1524" t="s">
        <v>210</v>
      </c>
      <c r="I1524" t="s">
        <v>5728</v>
      </c>
      <c r="K1524" t="s">
        <v>5438</v>
      </c>
      <c r="L1524" t="s">
        <v>52</v>
      </c>
      <c r="M1524">
        <v>195</v>
      </c>
      <c r="N1524">
        <v>0</v>
      </c>
      <c r="O1524" t="s">
        <v>178</v>
      </c>
      <c r="P1524">
        <v>5085</v>
      </c>
      <c r="Q1524" t="s">
        <v>52</v>
      </c>
      <c r="R1524" t="s">
        <v>52</v>
      </c>
      <c r="S1524" t="s">
        <v>52</v>
      </c>
      <c r="T1524" t="s">
        <v>52</v>
      </c>
      <c r="U1524" t="s">
        <v>52</v>
      </c>
      <c r="V1524" t="s">
        <v>62</v>
      </c>
      <c r="W1524" t="s">
        <v>63</v>
      </c>
      <c r="Y1524" t="s">
        <v>52</v>
      </c>
      <c r="AB1524" t="s">
        <v>5729</v>
      </c>
      <c r="AE1524" t="s">
        <v>5730</v>
      </c>
      <c r="AF1524" t="s">
        <v>52</v>
      </c>
      <c r="AG1524" t="s">
        <v>52</v>
      </c>
      <c r="AH1524">
        <v>0</v>
      </c>
      <c r="AI1524">
        <v>0</v>
      </c>
      <c r="AJ1524" t="s">
        <v>52</v>
      </c>
      <c r="AK1524">
        <v>0</v>
      </c>
      <c r="AL1524" t="s">
        <v>52</v>
      </c>
      <c r="AM1524" t="s">
        <v>52</v>
      </c>
      <c r="AN1524">
        <v>0</v>
      </c>
      <c r="AO1524">
        <v>0</v>
      </c>
      <c r="AP1524" t="s">
        <v>52</v>
      </c>
      <c r="AQ1524" t="s">
        <v>52</v>
      </c>
      <c r="AR1524" t="s">
        <v>62</v>
      </c>
      <c r="AS1524" t="s">
        <v>52</v>
      </c>
      <c r="AT1524" t="s">
        <v>52</v>
      </c>
      <c r="AU1524" t="s">
        <v>64</v>
      </c>
      <c r="AV1524" t="s">
        <v>62</v>
      </c>
      <c r="AW1524" t="s">
        <v>65</v>
      </c>
      <c r="AX1524" t="s">
        <v>66</v>
      </c>
      <c r="AY1524" t="s">
        <v>165</v>
      </c>
    </row>
    <row r="1525" spans="1:51" hidden="1" x14ac:dyDescent="0.25">
      <c r="A1525">
        <v>406143</v>
      </c>
      <c r="B1525" t="s">
        <v>5731</v>
      </c>
      <c r="C1525" t="e">
        <f>VLOOKUP(A1525,[1]Customer_payment_journal_line!$AL:$BO,30,0)</f>
        <v>#N/A</v>
      </c>
      <c r="D1525" t="s">
        <v>159</v>
      </c>
      <c r="E1525" t="s">
        <v>5726</v>
      </c>
      <c r="F1525" t="s">
        <v>5727</v>
      </c>
      <c r="G1525" t="s">
        <v>5265</v>
      </c>
      <c r="H1525" t="s">
        <v>69</v>
      </c>
      <c r="I1525" t="s">
        <v>5440</v>
      </c>
      <c r="J1525" t="s">
        <v>5437</v>
      </c>
      <c r="K1525" t="s">
        <v>5438</v>
      </c>
      <c r="L1525" t="s">
        <v>52</v>
      </c>
      <c r="M1525">
        <v>0</v>
      </c>
      <c r="N1525">
        <v>195</v>
      </c>
      <c r="O1525" t="s">
        <v>178</v>
      </c>
      <c r="P1525">
        <v>5085</v>
      </c>
      <c r="Q1525" t="s">
        <v>52</v>
      </c>
      <c r="R1525" t="s">
        <v>52</v>
      </c>
      <c r="S1525" t="s">
        <v>52</v>
      </c>
      <c r="T1525" t="s">
        <v>52</v>
      </c>
      <c r="U1525" t="s">
        <v>52</v>
      </c>
      <c r="V1525" t="s">
        <v>62</v>
      </c>
      <c r="W1525" t="s">
        <v>52</v>
      </c>
      <c r="Y1525" t="s">
        <v>5441</v>
      </c>
      <c r="Z1525" t="s">
        <v>62</v>
      </c>
      <c r="AB1525" t="s">
        <v>5729</v>
      </c>
      <c r="AE1525" t="s">
        <v>5730</v>
      </c>
      <c r="AF1525" t="s">
        <v>52</v>
      </c>
      <c r="AG1525" t="s">
        <v>52</v>
      </c>
      <c r="AH1525">
        <v>0</v>
      </c>
      <c r="AI1525">
        <v>0</v>
      </c>
      <c r="AJ1525" t="s">
        <v>52</v>
      </c>
      <c r="AK1525">
        <v>0</v>
      </c>
      <c r="AL1525" t="s">
        <v>52</v>
      </c>
      <c r="AM1525" t="s">
        <v>52</v>
      </c>
      <c r="AN1525">
        <v>0</v>
      </c>
      <c r="AO1525">
        <v>0</v>
      </c>
      <c r="AP1525" t="s">
        <v>52</v>
      </c>
      <c r="AQ1525" t="s">
        <v>52</v>
      </c>
      <c r="AR1525" t="s">
        <v>62</v>
      </c>
      <c r="AS1525" t="s">
        <v>52</v>
      </c>
      <c r="AT1525" t="s">
        <v>74</v>
      </c>
      <c r="AU1525" t="s">
        <v>64</v>
      </c>
      <c r="AV1525" t="s">
        <v>62</v>
      </c>
      <c r="AW1525" t="s">
        <v>65</v>
      </c>
      <c r="AX1525" t="s">
        <v>66</v>
      </c>
      <c r="AY1525" t="s">
        <v>165</v>
      </c>
    </row>
    <row r="1526" spans="1:51" hidden="1" x14ac:dyDescent="0.25">
      <c r="A1526">
        <v>401744</v>
      </c>
      <c r="B1526" t="s">
        <v>5732</v>
      </c>
      <c r="C1526" t="e">
        <f>VLOOKUP(A1526,[1]Customer_payment_journal_line!$AL:$BO,30,0)</f>
        <v>#N/A</v>
      </c>
      <c r="D1526" t="s">
        <v>159</v>
      </c>
      <c r="E1526" t="s">
        <v>5733</v>
      </c>
      <c r="F1526" t="s">
        <v>5734</v>
      </c>
      <c r="G1526" t="s">
        <v>5265</v>
      </c>
      <c r="H1526" t="s">
        <v>210</v>
      </c>
      <c r="I1526" t="s">
        <v>5735</v>
      </c>
      <c r="K1526" t="s">
        <v>5647</v>
      </c>
      <c r="L1526" t="s">
        <v>52</v>
      </c>
      <c r="M1526">
        <v>1422</v>
      </c>
      <c r="N1526">
        <v>0</v>
      </c>
      <c r="O1526" t="s">
        <v>178</v>
      </c>
      <c r="P1526">
        <v>5085</v>
      </c>
      <c r="Q1526" t="s">
        <v>52</v>
      </c>
      <c r="R1526" t="s">
        <v>52</v>
      </c>
      <c r="S1526" t="s">
        <v>52</v>
      </c>
      <c r="T1526" t="s">
        <v>52</v>
      </c>
      <c r="U1526" t="s">
        <v>52</v>
      </c>
      <c r="V1526" t="s">
        <v>62</v>
      </c>
      <c r="W1526" t="s">
        <v>63</v>
      </c>
      <c r="Y1526" t="s">
        <v>52</v>
      </c>
      <c r="AB1526" t="s">
        <v>5736</v>
      </c>
      <c r="AE1526" t="s">
        <v>5737</v>
      </c>
      <c r="AF1526" t="s">
        <v>52</v>
      </c>
      <c r="AG1526" t="s">
        <v>52</v>
      </c>
      <c r="AH1526">
        <v>0</v>
      </c>
      <c r="AI1526">
        <v>0</v>
      </c>
      <c r="AJ1526" t="s">
        <v>52</v>
      </c>
      <c r="AK1526">
        <v>0</v>
      </c>
      <c r="AL1526" t="s">
        <v>52</v>
      </c>
      <c r="AM1526" t="s">
        <v>52</v>
      </c>
      <c r="AN1526">
        <v>0</v>
      </c>
      <c r="AO1526">
        <v>0</v>
      </c>
      <c r="AP1526" t="s">
        <v>52</v>
      </c>
      <c r="AQ1526" t="s">
        <v>52</v>
      </c>
      <c r="AR1526" t="s">
        <v>62</v>
      </c>
      <c r="AS1526" t="s">
        <v>52</v>
      </c>
      <c r="AT1526" t="s">
        <v>52</v>
      </c>
      <c r="AU1526" t="s">
        <v>64</v>
      </c>
      <c r="AV1526" t="s">
        <v>62</v>
      </c>
      <c r="AW1526" t="s">
        <v>65</v>
      </c>
      <c r="AX1526" t="s">
        <v>66</v>
      </c>
      <c r="AY1526" t="s">
        <v>165</v>
      </c>
    </row>
    <row r="1527" spans="1:51" hidden="1" x14ac:dyDescent="0.25">
      <c r="A1527">
        <v>401744</v>
      </c>
      <c r="B1527" t="s">
        <v>5738</v>
      </c>
      <c r="C1527" t="e">
        <f>VLOOKUP(A1527,[1]Customer_payment_journal_line!$AL:$BO,30,0)</f>
        <v>#N/A</v>
      </c>
      <c r="D1527" t="s">
        <v>159</v>
      </c>
      <c r="E1527" t="s">
        <v>5733</v>
      </c>
      <c r="F1527" t="s">
        <v>5734</v>
      </c>
      <c r="G1527" t="s">
        <v>5265</v>
      </c>
      <c r="H1527" t="s">
        <v>69</v>
      </c>
      <c r="I1527" t="s">
        <v>5620</v>
      </c>
      <c r="J1527" t="s">
        <v>5617</v>
      </c>
      <c r="K1527" t="s">
        <v>5647</v>
      </c>
      <c r="L1527" t="s">
        <v>52</v>
      </c>
      <c r="M1527">
        <v>0</v>
      </c>
      <c r="N1527">
        <v>1422</v>
      </c>
      <c r="O1527" t="s">
        <v>178</v>
      </c>
      <c r="P1527">
        <v>5085</v>
      </c>
      <c r="Q1527" t="s">
        <v>52</v>
      </c>
      <c r="R1527" t="s">
        <v>52</v>
      </c>
      <c r="S1527" t="s">
        <v>52</v>
      </c>
      <c r="T1527" t="s">
        <v>52</v>
      </c>
      <c r="U1527" t="s">
        <v>52</v>
      </c>
      <c r="V1527" t="s">
        <v>62</v>
      </c>
      <c r="W1527" t="s">
        <v>52</v>
      </c>
      <c r="Y1527" t="s">
        <v>5621</v>
      </c>
      <c r="Z1527" t="s">
        <v>62</v>
      </c>
      <c r="AB1527" t="s">
        <v>5736</v>
      </c>
      <c r="AE1527" t="s">
        <v>5737</v>
      </c>
      <c r="AF1527" t="s">
        <v>52</v>
      </c>
      <c r="AG1527" t="s">
        <v>52</v>
      </c>
      <c r="AH1527">
        <v>0</v>
      </c>
      <c r="AI1527">
        <v>0</v>
      </c>
      <c r="AJ1527" t="s">
        <v>52</v>
      </c>
      <c r="AK1527">
        <v>0</v>
      </c>
      <c r="AL1527" t="s">
        <v>52</v>
      </c>
      <c r="AM1527" t="s">
        <v>52</v>
      </c>
      <c r="AN1527">
        <v>0</v>
      </c>
      <c r="AO1527">
        <v>0</v>
      </c>
      <c r="AP1527" t="s">
        <v>52</v>
      </c>
      <c r="AQ1527" t="s">
        <v>52</v>
      </c>
      <c r="AR1527" t="s">
        <v>62</v>
      </c>
      <c r="AS1527" t="s">
        <v>52</v>
      </c>
      <c r="AT1527" t="s">
        <v>74</v>
      </c>
      <c r="AU1527" t="s">
        <v>64</v>
      </c>
      <c r="AV1527" t="s">
        <v>62</v>
      </c>
      <c r="AW1527" t="s">
        <v>65</v>
      </c>
      <c r="AX1527" t="s">
        <v>66</v>
      </c>
      <c r="AY1527" t="s">
        <v>165</v>
      </c>
    </row>
    <row r="1528" spans="1:51" hidden="1" x14ac:dyDescent="0.25">
      <c r="A1528">
        <v>406144</v>
      </c>
      <c r="B1528" t="s">
        <v>5739</v>
      </c>
      <c r="C1528" t="e">
        <f>VLOOKUP(A1528,[1]Customer_payment_journal_line!$AL:$BO,30,0)</f>
        <v>#N/A</v>
      </c>
      <c r="D1528" t="s">
        <v>159</v>
      </c>
      <c r="E1528" t="s">
        <v>5740</v>
      </c>
      <c r="F1528" t="s">
        <v>5741</v>
      </c>
      <c r="G1528" t="s">
        <v>5265</v>
      </c>
      <c r="H1528" t="s">
        <v>210</v>
      </c>
      <c r="I1528" t="s">
        <v>5742</v>
      </c>
      <c r="K1528" t="s">
        <v>5634</v>
      </c>
      <c r="L1528" t="s">
        <v>52</v>
      </c>
      <c r="M1528">
        <v>40</v>
      </c>
      <c r="N1528">
        <v>0</v>
      </c>
      <c r="O1528" t="s">
        <v>178</v>
      </c>
      <c r="P1528">
        <v>5085</v>
      </c>
      <c r="Q1528" t="s">
        <v>52</v>
      </c>
      <c r="R1528" t="s">
        <v>52</v>
      </c>
      <c r="S1528" t="s">
        <v>52</v>
      </c>
      <c r="T1528" t="s">
        <v>52</v>
      </c>
      <c r="U1528" t="s">
        <v>52</v>
      </c>
      <c r="V1528" t="s">
        <v>62</v>
      </c>
      <c r="W1528" t="s">
        <v>63</v>
      </c>
      <c r="Y1528" t="s">
        <v>52</v>
      </c>
      <c r="AB1528" t="s">
        <v>5743</v>
      </c>
      <c r="AE1528" t="s">
        <v>5744</v>
      </c>
      <c r="AF1528" t="s">
        <v>52</v>
      </c>
      <c r="AG1528" t="s">
        <v>52</v>
      </c>
      <c r="AH1528">
        <v>0</v>
      </c>
      <c r="AI1528">
        <v>0</v>
      </c>
      <c r="AJ1528" t="s">
        <v>52</v>
      </c>
      <c r="AK1528">
        <v>0</v>
      </c>
      <c r="AL1528" t="s">
        <v>52</v>
      </c>
      <c r="AM1528" t="s">
        <v>52</v>
      </c>
      <c r="AN1528">
        <v>0</v>
      </c>
      <c r="AO1528">
        <v>0</v>
      </c>
      <c r="AP1528" t="s">
        <v>52</v>
      </c>
      <c r="AQ1528" t="s">
        <v>52</v>
      </c>
      <c r="AR1528" t="s">
        <v>62</v>
      </c>
      <c r="AS1528" t="s">
        <v>52</v>
      </c>
      <c r="AT1528" t="s">
        <v>52</v>
      </c>
      <c r="AU1528" t="s">
        <v>64</v>
      </c>
      <c r="AV1528" t="s">
        <v>62</v>
      </c>
      <c r="AW1528" t="s">
        <v>65</v>
      </c>
      <c r="AX1528" t="s">
        <v>66</v>
      </c>
      <c r="AY1528" t="s">
        <v>165</v>
      </c>
    </row>
    <row r="1529" spans="1:51" hidden="1" x14ac:dyDescent="0.25">
      <c r="A1529">
        <v>406144</v>
      </c>
      <c r="B1529" t="s">
        <v>5745</v>
      </c>
      <c r="C1529" t="e">
        <f>VLOOKUP(A1529,[1]Customer_payment_journal_line!$AL:$BO,30,0)</f>
        <v>#N/A</v>
      </c>
      <c r="D1529" t="s">
        <v>159</v>
      </c>
      <c r="E1529" t="s">
        <v>5740</v>
      </c>
      <c r="F1529" t="s">
        <v>5741</v>
      </c>
      <c r="G1529" t="s">
        <v>5265</v>
      </c>
      <c r="H1529" t="s">
        <v>69</v>
      </c>
      <c r="I1529" t="s">
        <v>5620</v>
      </c>
      <c r="J1529" t="s">
        <v>5633</v>
      </c>
      <c r="K1529" t="s">
        <v>5634</v>
      </c>
      <c r="L1529" t="s">
        <v>52</v>
      </c>
      <c r="M1529">
        <v>0</v>
      </c>
      <c r="N1529">
        <v>40</v>
      </c>
      <c r="O1529" t="s">
        <v>178</v>
      </c>
      <c r="P1529">
        <v>5085</v>
      </c>
      <c r="Q1529" t="s">
        <v>52</v>
      </c>
      <c r="R1529" t="s">
        <v>52</v>
      </c>
      <c r="S1529" t="s">
        <v>52</v>
      </c>
      <c r="T1529" t="s">
        <v>52</v>
      </c>
      <c r="U1529" t="s">
        <v>52</v>
      </c>
      <c r="V1529" t="s">
        <v>62</v>
      </c>
      <c r="W1529" t="s">
        <v>52</v>
      </c>
      <c r="Y1529" t="s">
        <v>5621</v>
      </c>
      <c r="Z1529" t="s">
        <v>62</v>
      </c>
      <c r="AB1529" t="s">
        <v>5743</v>
      </c>
      <c r="AE1529" t="s">
        <v>5744</v>
      </c>
      <c r="AF1529" t="s">
        <v>52</v>
      </c>
      <c r="AG1529" t="s">
        <v>52</v>
      </c>
      <c r="AH1529">
        <v>0</v>
      </c>
      <c r="AI1529">
        <v>0</v>
      </c>
      <c r="AJ1529" t="s">
        <v>52</v>
      </c>
      <c r="AK1529">
        <v>0</v>
      </c>
      <c r="AL1529" t="s">
        <v>52</v>
      </c>
      <c r="AM1529" t="s">
        <v>52</v>
      </c>
      <c r="AN1529">
        <v>0</v>
      </c>
      <c r="AO1529">
        <v>0</v>
      </c>
      <c r="AP1529" t="s">
        <v>52</v>
      </c>
      <c r="AQ1529" t="s">
        <v>52</v>
      </c>
      <c r="AR1529" t="s">
        <v>62</v>
      </c>
      <c r="AS1529" t="s">
        <v>52</v>
      </c>
      <c r="AT1529" t="s">
        <v>74</v>
      </c>
      <c r="AU1529" t="s">
        <v>64</v>
      </c>
      <c r="AV1529" t="s">
        <v>62</v>
      </c>
      <c r="AW1529" t="s">
        <v>65</v>
      </c>
      <c r="AX1529" t="s">
        <v>66</v>
      </c>
      <c r="AY1529" t="s">
        <v>165</v>
      </c>
    </row>
    <row r="1530" spans="1:51" hidden="1" x14ac:dyDescent="0.25">
      <c r="A1530">
        <v>404085</v>
      </c>
      <c r="B1530" t="s">
        <v>5746</v>
      </c>
      <c r="C1530" t="e">
        <f>VLOOKUP(A1530,[1]Customer_payment_journal_line!$AL:$BO,30,0)</f>
        <v>#N/A</v>
      </c>
      <c r="D1530" t="s">
        <v>159</v>
      </c>
      <c r="E1530" t="s">
        <v>5747</v>
      </c>
      <c r="F1530" t="s">
        <v>5748</v>
      </c>
      <c r="G1530" t="s">
        <v>5265</v>
      </c>
      <c r="H1530" t="s">
        <v>210</v>
      </c>
      <c r="I1530" t="s">
        <v>5735</v>
      </c>
      <c r="K1530" t="s">
        <v>5618</v>
      </c>
      <c r="L1530" t="s">
        <v>52</v>
      </c>
      <c r="M1530">
        <v>1761</v>
      </c>
      <c r="N1530">
        <v>0</v>
      </c>
      <c r="O1530" t="s">
        <v>178</v>
      </c>
      <c r="P1530">
        <v>5085</v>
      </c>
      <c r="Q1530" t="s">
        <v>52</v>
      </c>
      <c r="R1530" t="s">
        <v>52</v>
      </c>
      <c r="S1530" t="s">
        <v>52</v>
      </c>
      <c r="T1530" t="s">
        <v>52</v>
      </c>
      <c r="U1530" t="s">
        <v>52</v>
      </c>
      <c r="V1530" t="s">
        <v>62</v>
      </c>
      <c r="W1530" t="s">
        <v>63</v>
      </c>
      <c r="Y1530" t="s">
        <v>52</v>
      </c>
      <c r="AB1530" t="s">
        <v>5749</v>
      </c>
      <c r="AE1530" t="s">
        <v>5750</v>
      </c>
      <c r="AF1530" t="s">
        <v>52</v>
      </c>
      <c r="AG1530" t="s">
        <v>52</v>
      </c>
      <c r="AH1530">
        <v>0</v>
      </c>
      <c r="AI1530">
        <v>0</v>
      </c>
      <c r="AJ1530" t="s">
        <v>52</v>
      </c>
      <c r="AK1530">
        <v>0</v>
      </c>
      <c r="AL1530" t="s">
        <v>52</v>
      </c>
      <c r="AM1530" t="s">
        <v>52</v>
      </c>
      <c r="AN1530">
        <v>0</v>
      </c>
      <c r="AO1530">
        <v>0</v>
      </c>
      <c r="AP1530" t="s">
        <v>52</v>
      </c>
      <c r="AQ1530" t="s">
        <v>52</v>
      </c>
      <c r="AR1530" t="s">
        <v>62</v>
      </c>
      <c r="AS1530" t="s">
        <v>52</v>
      </c>
      <c r="AT1530" t="s">
        <v>52</v>
      </c>
      <c r="AU1530" t="s">
        <v>64</v>
      </c>
      <c r="AV1530" t="s">
        <v>62</v>
      </c>
      <c r="AW1530" t="s">
        <v>65</v>
      </c>
      <c r="AX1530" t="s">
        <v>66</v>
      </c>
      <c r="AY1530" t="s">
        <v>165</v>
      </c>
    </row>
    <row r="1531" spans="1:51" hidden="1" x14ac:dyDescent="0.25">
      <c r="A1531">
        <v>404085</v>
      </c>
      <c r="B1531" t="s">
        <v>5751</v>
      </c>
      <c r="C1531" t="e">
        <f>VLOOKUP(A1531,[1]Customer_payment_journal_line!$AL:$BO,30,0)</f>
        <v>#N/A</v>
      </c>
      <c r="D1531" t="s">
        <v>159</v>
      </c>
      <c r="E1531" t="s">
        <v>5747</v>
      </c>
      <c r="F1531" t="s">
        <v>5748</v>
      </c>
      <c r="G1531" t="s">
        <v>5265</v>
      </c>
      <c r="H1531" t="s">
        <v>69</v>
      </c>
      <c r="I1531" t="s">
        <v>5620</v>
      </c>
      <c r="J1531" t="s">
        <v>5617</v>
      </c>
      <c r="K1531" t="s">
        <v>5618</v>
      </c>
      <c r="L1531" t="s">
        <v>52</v>
      </c>
      <c r="M1531">
        <v>0</v>
      </c>
      <c r="N1531">
        <v>1761</v>
      </c>
      <c r="O1531" t="s">
        <v>178</v>
      </c>
      <c r="P1531">
        <v>5085</v>
      </c>
      <c r="Q1531" t="s">
        <v>52</v>
      </c>
      <c r="R1531" t="s">
        <v>52</v>
      </c>
      <c r="S1531" t="s">
        <v>52</v>
      </c>
      <c r="T1531" t="s">
        <v>52</v>
      </c>
      <c r="U1531" t="s">
        <v>52</v>
      </c>
      <c r="V1531" t="s">
        <v>62</v>
      </c>
      <c r="W1531" t="s">
        <v>52</v>
      </c>
      <c r="Y1531" t="s">
        <v>5621</v>
      </c>
      <c r="Z1531" t="s">
        <v>62</v>
      </c>
      <c r="AB1531" t="s">
        <v>5749</v>
      </c>
      <c r="AE1531" t="s">
        <v>5750</v>
      </c>
      <c r="AF1531" t="s">
        <v>52</v>
      </c>
      <c r="AG1531" t="s">
        <v>52</v>
      </c>
      <c r="AH1531">
        <v>0</v>
      </c>
      <c r="AI1531">
        <v>0</v>
      </c>
      <c r="AJ1531" t="s">
        <v>52</v>
      </c>
      <c r="AK1531">
        <v>0</v>
      </c>
      <c r="AL1531" t="s">
        <v>52</v>
      </c>
      <c r="AM1531" t="s">
        <v>52</v>
      </c>
      <c r="AN1531">
        <v>0</v>
      </c>
      <c r="AO1531">
        <v>0</v>
      </c>
      <c r="AP1531" t="s">
        <v>52</v>
      </c>
      <c r="AQ1531" t="s">
        <v>52</v>
      </c>
      <c r="AR1531" t="s">
        <v>62</v>
      </c>
      <c r="AS1531" t="s">
        <v>52</v>
      </c>
      <c r="AT1531" t="s">
        <v>74</v>
      </c>
      <c r="AU1531" t="s">
        <v>64</v>
      </c>
      <c r="AV1531" t="s">
        <v>62</v>
      </c>
      <c r="AW1531" t="s">
        <v>65</v>
      </c>
      <c r="AX1531" t="s">
        <v>66</v>
      </c>
      <c r="AY1531" t="s">
        <v>165</v>
      </c>
    </row>
    <row r="1532" spans="1:51" hidden="1" x14ac:dyDescent="0.25">
      <c r="A1532">
        <v>203487</v>
      </c>
      <c r="B1532" t="s">
        <v>5752</v>
      </c>
      <c r="C1532" t="e">
        <f>VLOOKUP(A1532,[1]Customer_payment_journal_line!$AL:$BO,30,0)</f>
        <v>#N/A</v>
      </c>
      <c r="D1532" t="s">
        <v>53</v>
      </c>
      <c r="E1532" t="s">
        <v>5753</v>
      </c>
      <c r="F1532" t="s">
        <v>5754</v>
      </c>
      <c r="G1532" t="s">
        <v>5265</v>
      </c>
      <c r="H1532" t="s">
        <v>57</v>
      </c>
      <c r="I1532" t="s">
        <v>58</v>
      </c>
      <c r="J1532" t="s">
        <v>5755</v>
      </c>
      <c r="K1532" t="s">
        <v>4568</v>
      </c>
      <c r="L1532" t="s">
        <v>52</v>
      </c>
      <c r="M1532">
        <v>1413.6</v>
      </c>
      <c r="N1532">
        <v>0</v>
      </c>
      <c r="O1532" t="s">
        <v>61</v>
      </c>
      <c r="P1532">
        <v>100</v>
      </c>
      <c r="Q1532" t="s">
        <v>52</v>
      </c>
      <c r="R1532" t="s">
        <v>52</v>
      </c>
      <c r="S1532" t="s">
        <v>52</v>
      </c>
      <c r="T1532" t="s">
        <v>52</v>
      </c>
      <c r="U1532" t="s">
        <v>52</v>
      </c>
      <c r="V1532" t="s">
        <v>62</v>
      </c>
      <c r="W1532" t="s">
        <v>63</v>
      </c>
      <c r="Y1532" t="s">
        <v>52</v>
      </c>
      <c r="AB1532" t="s">
        <v>52</v>
      </c>
      <c r="AE1532" t="s">
        <v>52</v>
      </c>
      <c r="AF1532" t="s">
        <v>52</v>
      </c>
      <c r="AH1532">
        <v>0</v>
      </c>
      <c r="AI1532">
        <v>0</v>
      </c>
      <c r="AJ1532" t="s">
        <v>52</v>
      </c>
      <c r="AK1532">
        <v>0</v>
      </c>
      <c r="AL1532" t="s">
        <v>52</v>
      </c>
      <c r="AM1532" t="s">
        <v>52</v>
      </c>
      <c r="AN1532">
        <v>0</v>
      </c>
      <c r="AO1532">
        <v>0</v>
      </c>
      <c r="AP1532" t="s">
        <v>52</v>
      </c>
      <c r="AQ1532" t="s">
        <v>52</v>
      </c>
      <c r="AR1532" t="s">
        <v>62</v>
      </c>
      <c r="AS1532" t="s">
        <v>52</v>
      </c>
      <c r="AT1532" t="s">
        <v>52</v>
      </c>
      <c r="AU1532" t="s">
        <v>64</v>
      </c>
      <c r="AV1532" t="s">
        <v>62</v>
      </c>
      <c r="AW1532" t="s">
        <v>65</v>
      </c>
      <c r="AX1532" t="s">
        <v>66</v>
      </c>
      <c r="AY1532" t="s">
        <v>67</v>
      </c>
    </row>
    <row r="1533" spans="1:51" hidden="1" x14ac:dyDescent="0.25">
      <c r="A1533">
        <v>203487</v>
      </c>
      <c r="B1533" t="s">
        <v>5756</v>
      </c>
      <c r="C1533" t="e">
        <f>VLOOKUP(A1533,[1]Customer_payment_journal_line!$AL:$BO,30,0)</f>
        <v>#N/A</v>
      </c>
      <c r="D1533" t="s">
        <v>53</v>
      </c>
      <c r="E1533" t="s">
        <v>5753</v>
      </c>
      <c r="F1533" t="s">
        <v>5754</v>
      </c>
      <c r="G1533" t="s">
        <v>5265</v>
      </c>
      <c r="H1533" t="s">
        <v>69</v>
      </c>
      <c r="I1533" t="s">
        <v>379</v>
      </c>
      <c r="J1533" t="s">
        <v>5755</v>
      </c>
      <c r="K1533" t="s">
        <v>4568</v>
      </c>
      <c r="L1533" t="s">
        <v>52</v>
      </c>
      <c r="M1533">
        <v>0</v>
      </c>
      <c r="N1533">
        <v>1413.6</v>
      </c>
      <c r="O1533" t="s">
        <v>61</v>
      </c>
      <c r="P1533">
        <v>100</v>
      </c>
      <c r="Q1533" t="s">
        <v>52</v>
      </c>
      <c r="R1533" t="s">
        <v>52</v>
      </c>
      <c r="S1533" t="s">
        <v>52</v>
      </c>
      <c r="T1533" t="s">
        <v>52</v>
      </c>
      <c r="U1533" t="s">
        <v>52</v>
      </c>
      <c r="V1533" t="s">
        <v>62</v>
      </c>
      <c r="W1533" t="s">
        <v>52</v>
      </c>
      <c r="Y1533" t="s">
        <v>380</v>
      </c>
      <c r="Z1533" t="s">
        <v>62</v>
      </c>
      <c r="AB1533" t="s">
        <v>5757</v>
      </c>
      <c r="AE1533" t="s">
        <v>5758</v>
      </c>
      <c r="AF1533" t="s">
        <v>52</v>
      </c>
      <c r="AH1533">
        <v>0</v>
      </c>
      <c r="AI1533">
        <v>0</v>
      </c>
      <c r="AJ1533" t="s">
        <v>52</v>
      </c>
      <c r="AK1533">
        <v>0</v>
      </c>
      <c r="AL1533" t="s">
        <v>52</v>
      </c>
      <c r="AM1533" t="s">
        <v>52</v>
      </c>
      <c r="AN1533">
        <v>0</v>
      </c>
      <c r="AO1533">
        <v>0</v>
      </c>
      <c r="AP1533" t="s">
        <v>52</v>
      </c>
      <c r="AQ1533" t="s">
        <v>52</v>
      </c>
      <c r="AR1533" t="s">
        <v>62</v>
      </c>
      <c r="AS1533" t="s">
        <v>52</v>
      </c>
      <c r="AT1533" t="s">
        <v>74</v>
      </c>
      <c r="AU1533" t="s">
        <v>64</v>
      </c>
      <c r="AV1533" t="s">
        <v>62</v>
      </c>
      <c r="AW1533" t="s">
        <v>65</v>
      </c>
      <c r="AX1533" t="s">
        <v>66</v>
      </c>
      <c r="AY1533" t="s">
        <v>67</v>
      </c>
    </row>
    <row r="1534" spans="1:51" hidden="1" x14ac:dyDescent="0.25">
      <c r="A1534">
        <v>203488</v>
      </c>
      <c r="B1534" t="s">
        <v>5759</v>
      </c>
      <c r="C1534" t="e">
        <f>VLOOKUP(A1534,[1]Customer_payment_journal_line!$AL:$BO,30,0)</f>
        <v>#N/A</v>
      </c>
      <c r="D1534" t="s">
        <v>53</v>
      </c>
      <c r="E1534" t="s">
        <v>5760</v>
      </c>
      <c r="F1534" t="s">
        <v>5761</v>
      </c>
      <c r="G1534" t="s">
        <v>5265</v>
      </c>
      <c r="H1534" t="s">
        <v>57</v>
      </c>
      <c r="I1534" t="s">
        <v>58</v>
      </c>
      <c r="J1534" t="s">
        <v>5762</v>
      </c>
      <c r="K1534" t="s">
        <v>4801</v>
      </c>
      <c r="L1534" t="s">
        <v>52</v>
      </c>
      <c r="M1534">
        <v>9500.01</v>
      </c>
      <c r="N1534">
        <v>0</v>
      </c>
      <c r="O1534" t="s">
        <v>61</v>
      </c>
      <c r="P1534">
        <v>100</v>
      </c>
      <c r="Q1534" t="s">
        <v>52</v>
      </c>
      <c r="R1534" t="s">
        <v>52</v>
      </c>
      <c r="S1534" t="s">
        <v>52</v>
      </c>
      <c r="T1534" t="s">
        <v>52</v>
      </c>
      <c r="U1534" t="s">
        <v>52</v>
      </c>
      <c r="V1534" t="s">
        <v>62</v>
      </c>
      <c r="W1534" t="s">
        <v>63</v>
      </c>
      <c r="Y1534" t="s">
        <v>52</v>
      </c>
      <c r="AB1534" t="s">
        <v>52</v>
      </c>
      <c r="AE1534" t="s">
        <v>52</v>
      </c>
      <c r="AF1534" t="s">
        <v>52</v>
      </c>
      <c r="AH1534">
        <v>0</v>
      </c>
      <c r="AI1534">
        <v>0</v>
      </c>
      <c r="AJ1534" t="s">
        <v>52</v>
      </c>
      <c r="AK1534">
        <v>0</v>
      </c>
      <c r="AL1534" t="s">
        <v>52</v>
      </c>
      <c r="AM1534" t="s">
        <v>52</v>
      </c>
      <c r="AN1534">
        <v>0</v>
      </c>
      <c r="AO1534">
        <v>0</v>
      </c>
      <c r="AP1534" t="s">
        <v>52</v>
      </c>
      <c r="AQ1534" t="s">
        <v>52</v>
      </c>
      <c r="AR1534" t="s">
        <v>62</v>
      </c>
      <c r="AS1534" t="s">
        <v>52</v>
      </c>
      <c r="AT1534" t="s">
        <v>52</v>
      </c>
      <c r="AU1534" t="s">
        <v>64</v>
      </c>
      <c r="AV1534" t="s">
        <v>62</v>
      </c>
      <c r="AW1534" t="s">
        <v>65</v>
      </c>
      <c r="AX1534" t="s">
        <v>66</v>
      </c>
      <c r="AY1534" t="s">
        <v>67</v>
      </c>
    </row>
    <row r="1535" spans="1:51" hidden="1" x14ac:dyDescent="0.25">
      <c r="A1535">
        <v>203488</v>
      </c>
      <c r="B1535" t="s">
        <v>5763</v>
      </c>
      <c r="C1535" t="e">
        <f>VLOOKUP(A1535,[1]Customer_payment_journal_line!$AL:$BO,30,0)</f>
        <v>#N/A</v>
      </c>
      <c r="D1535" t="s">
        <v>53</v>
      </c>
      <c r="E1535" t="s">
        <v>5760</v>
      </c>
      <c r="F1535" t="s">
        <v>5761</v>
      </c>
      <c r="G1535" t="s">
        <v>5265</v>
      </c>
      <c r="H1535" t="s">
        <v>69</v>
      </c>
      <c r="I1535" t="s">
        <v>5764</v>
      </c>
      <c r="J1535" t="s">
        <v>5762</v>
      </c>
      <c r="K1535" t="s">
        <v>4801</v>
      </c>
      <c r="L1535" t="s">
        <v>52</v>
      </c>
      <c r="M1535">
        <v>0</v>
      </c>
      <c r="N1535">
        <v>9500.01</v>
      </c>
      <c r="O1535" t="s">
        <v>61</v>
      </c>
      <c r="P1535">
        <v>100</v>
      </c>
      <c r="Q1535" t="s">
        <v>52</v>
      </c>
      <c r="R1535" t="s">
        <v>52</v>
      </c>
      <c r="S1535" t="s">
        <v>52</v>
      </c>
      <c r="T1535" t="s">
        <v>52</v>
      </c>
      <c r="U1535" t="s">
        <v>52</v>
      </c>
      <c r="V1535" t="s">
        <v>62</v>
      </c>
      <c r="W1535" t="s">
        <v>52</v>
      </c>
      <c r="Y1535" t="s">
        <v>5765</v>
      </c>
      <c r="Z1535" t="s">
        <v>62</v>
      </c>
      <c r="AB1535" t="s">
        <v>5766</v>
      </c>
      <c r="AE1535" t="s">
        <v>5767</v>
      </c>
      <c r="AF1535" t="s">
        <v>52</v>
      </c>
      <c r="AH1535">
        <v>0</v>
      </c>
      <c r="AI1535">
        <v>0</v>
      </c>
      <c r="AJ1535" t="s">
        <v>52</v>
      </c>
      <c r="AK1535">
        <v>0</v>
      </c>
      <c r="AL1535" t="s">
        <v>52</v>
      </c>
      <c r="AM1535" t="s">
        <v>52</v>
      </c>
      <c r="AN1535">
        <v>0</v>
      </c>
      <c r="AO1535">
        <v>0</v>
      </c>
      <c r="AP1535" t="s">
        <v>52</v>
      </c>
      <c r="AQ1535" t="s">
        <v>52</v>
      </c>
      <c r="AR1535" t="s">
        <v>62</v>
      </c>
      <c r="AS1535" t="s">
        <v>52</v>
      </c>
      <c r="AT1535" t="s">
        <v>74</v>
      </c>
      <c r="AU1535" t="s">
        <v>64</v>
      </c>
      <c r="AV1535" t="s">
        <v>62</v>
      </c>
      <c r="AW1535" t="s">
        <v>65</v>
      </c>
      <c r="AX1535" t="s">
        <v>66</v>
      </c>
      <c r="AY1535" t="s">
        <v>67</v>
      </c>
    </row>
    <row r="1536" spans="1:51" hidden="1" x14ac:dyDescent="0.25">
      <c r="A1536">
        <v>203489</v>
      </c>
      <c r="B1536" t="s">
        <v>5768</v>
      </c>
      <c r="C1536" t="e">
        <f>VLOOKUP(A1536,[1]Customer_payment_journal_line!$AL:$BO,30,0)</f>
        <v>#N/A</v>
      </c>
      <c r="D1536" t="s">
        <v>53</v>
      </c>
      <c r="E1536" t="s">
        <v>5769</v>
      </c>
      <c r="F1536" t="s">
        <v>5770</v>
      </c>
      <c r="G1536" t="s">
        <v>5265</v>
      </c>
      <c r="H1536" t="s">
        <v>57</v>
      </c>
      <c r="I1536" t="s">
        <v>58</v>
      </c>
      <c r="J1536" t="s">
        <v>5762</v>
      </c>
      <c r="K1536" t="s">
        <v>4801</v>
      </c>
      <c r="L1536" t="s">
        <v>52</v>
      </c>
      <c r="M1536">
        <v>855</v>
      </c>
      <c r="N1536">
        <v>0</v>
      </c>
      <c r="O1536" t="s">
        <v>61</v>
      </c>
      <c r="P1536">
        <v>100</v>
      </c>
      <c r="Q1536" t="s">
        <v>52</v>
      </c>
      <c r="R1536" t="s">
        <v>52</v>
      </c>
      <c r="S1536" t="s">
        <v>52</v>
      </c>
      <c r="T1536" t="s">
        <v>52</v>
      </c>
      <c r="U1536" t="s">
        <v>52</v>
      </c>
      <c r="V1536" t="s">
        <v>62</v>
      </c>
      <c r="W1536" t="s">
        <v>63</v>
      </c>
      <c r="Y1536" t="s">
        <v>52</v>
      </c>
      <c r="AB1536" t="s">
        <v>52</v>
      </c>
      <c r="AE1536" t="s">
        <v>52</v>
      </c>
      <c r="AF1536" t="s">
        <v>52</v>
      </c>
      <c r="AH1536">
        <v>0</v>
      </c>
      <c r="AI1536">
        <v>0</v>
      </c>
      <c r="AJ1536" t="s">
        <v>52</v>
      </c>
      <c r="AK1536">
        <v>0</v>
      </c>
      <c r="AL1536" t="s">
        <v>52</v>
      </c>
      <c r="AM1536" t="s">
        <v>52</v>
      </c>
      <c r="AN1536">
        <v>0</v>
      </c>
      <c r="AO1536">
        <v>0</v>
      </c>
      <c r="AP1536" t="s">
        <v>52</v>
      </c>
      <c r="AQ1536" t="s">
        <v>52</v>
      </c>
      <c r="AR1536" t="s">
        <v>62</v>
      </c>
      <c r="AS1536" t="s">
        <v>52</v>
      </c>
      <c r="AT1536" t="s">
        <v>52</v>
      </c>
      <c r="AU1536" t="s">
        <v>64</v>
      </c>
      <c r="AV1536" t="s">
        <v>62</v>
      </c>
      <c r="AW1536" t="s">
        <v>65</v>
      </c>
      <c r="AX1536" t="s">
        <v>66</v>
      </c>
      <c r="AY1536" t="s">
        <v>67</v>
      </c>
    </row>
    <row r="1537" spans="1:51" hidden="1" x14ac:dyDescent="0.25">
      <c r="A1537">
        <v>203489</v>
      </c>
      <c r="B1537" t="s">
        <v>5771</v>
      </c>
      <c r="C1537" t="e">
        <f>VLOOKUP(A1537,[1]Customer_payment_journal_line!$AL:$BO,30,0)</f>
        <v>#N/A</v>
      </c>
      <c r="D1537" t="s">
        <v>53</v>
      </c>
      <c r="E1537" t="s">
        <v>5769</v>
      </c>
      <c r="F1537" t="s">
        <v>5770</v>
      </c>
      <c r="G1537" t="s">
        <v>5265</v>
      </c>
      <c r="H1537" t="s">
        <v>69</v>
      </c>
      <c r="I1537" t="s">
        <v>5764</v>
      </c>
      <c r="J1537" t="s">
        <v>5762</v>
      </c>
      <c r="K1537" t="s">
        <v>4801</v>
      </c>
      <c r="L1537" t="s">
        <v>52</v>
      </c>
      <c r="M1537">
        <v>0</v>
      </c>
      <c r="N1537">
        <v>855</v>
      </c>
      <c r="O1537" t="s">
        <v>61</v>
      </c>
      <c r="P1537">
        <v>100</v>
      </c>
      <c r="Q1537" t="s">
        <v>52</v>
      </c>
      <c r="R1537" t="s">
        <v>52</v>
      </c>
      <c r="S1537" t="s">
        <v>52</v>
      </c>
      <c r="T1537" t="s">
        <v>52</v>
      </c>
      <c r="U1537" t="s">
        <v>52</v>
      </c>
      <c r="V1537" t="s">
        <v>62</v>
      </c>
      <c r="W1537" t="s">
        <v>52</v>
      </c>
      <c r="Y1537" t="s">
        <v>5765</v>
      </c>
      <c r="Z1537" t="s">
        <v>62</v>
      </c>
      <c r="AB1537" t="s">
        <v>5772</v>
      </c>
      <c r="AE1537" t="s">
        <v>5773</v>
      </c>
      <c r="AF1537" t="s">
        <v>52</v>
      </c>
      <c r="AH1537">
        <v>0</v>
      </c>
      <c r="AI1537">
        <v>0</v>
      </c>
      <c r="AJ1537" t="s">
        <v>52</v>
      </c>
      <c r="AK1537">
        <v>0</v>
      </c>
      <c r="AL1537" t="s">
        <v>52</v>
      </c>
      <c r="AM1537" t="s">
        <v>52</v>
      </c>
      <c r="AN1537">
        <v>0</v>
      </c>
      <c r="AO1537">
        <v>0</v>
      </c>
      <c r="AP1537" t="s">
        <v>52</v>
      </c>
      <c r="AQ1537" t="s">
        <v>52</v>
      </c>
      <c r="AR1537" t="s">
        <v>62</v>
      </c>
      <c r="AS1537" t="s">
        <v>52</v>
      </c>
      <c r="AT1537" t="s">
        <v>74</v>
      </c>
      <c r="AU1537" t="s">
        <v>64</v>
      </c>
      <c r="AV1537" t="s">
        <v>62</v>
      </c>
      <c r="AW1537" t="s">
        <v>65</v>
      </c>
      <c r="AX1537" t="s">
        <v>66</v>
      </c>
      <c r="AY1537" t="s">
        <v>67</v>
      </c>
    </row>
    <row r="1538" spans="1:51" hidden="1" x14ac:dyDescent="0.25">
      <c r="A1538">
        <v>406145</v>
      </c>
      <c r="B1538" t="s">
        <v>5774</v>
      </c>
      <c r="C1538" t="e">
        <f>VLOOKUP(A1538,[1]Customer_payment_journal_line!$AL:$BO,30,0)</f>
        <v>#N/A</v>
      </c>
      <c r="D1538" t="s">
        <v>53</v>
      </c>
      <c r="E1538" t="s">
        <v>5775</v>
      </c>
      <c r="F1538" t="s">
        <v>5776</v>
      </c>
      <c r="G1538" t="s">
        <v>5265</v>
      </c>
      <c r="H1538" t="s">
        <v>57</v>
      </c>
      <c r="I1538" t="s">
        <v>58</v>
      </c>
      <c r="J1538" t="s">
        <v>5777</v>
      </c>
      <c r="K1538" t="s">
        <v>5778</v>
      </c>
      <c r="L1538" t="s">
        <v>52</v>
      </c>
      <c r="M1538">
        <v>27518</v>
      </c>
      <c r="N1538">
        <v>0</v>
      </c>
      <c r="O1538" t="s">
        <v>61</v>
      </c>
      <c r="P1538">
        <v>100</v>
      </c>
      <c r="Q1538" t="s">
        <v>52</v>
      </c>
      <c r="R1538" t="s">
        <v>52</v>
      </c>
      <c r="S1538" t="s">
        <v>52</v>
      </c>
      <c r="T1538" t="s">
        <v>52</v>
      </c>
      <c r="U1538" t="s">
        <v>52</v>
      </c>
      <c r="V1538" t="s">
        <v>62</v>
      </c>
      <c r="W1538" t="s">
        <v>63</v>
      </c>
      <c r="Y1538" t="s">
        <v>52</v>
      </c>
      <c r="AB1538" t="s">
        <v>52</v>
      </c>
      <c r="AE1538" t="s">
        <v>52</v>
      </c>
      <c r="AF1538" t="s">
        <v>52</v>
      </c>
      <c r="AH1538">
        <v>0</v>
      </c>
      <c r="AI1538">
        <v>0</v>
      </c>
      <c r="AJ1538" t="s">
        <v>52</v>
      </c>
      <c r="AK1538">
        <v>0</v>
      </c>
      <c r="AL1538" t="s">
        <v>52</v>
      </c>
      <c r="AM1538" t="s">
        <v>52</v>
      </c>
      <c r="AN1538">
        <v>0</v>
      </c>
      <c r="AO1538">
        <v>0</v>
      </c>
      <c r="AP1538" t="s">
        <v>52</v>
      </c>
      <c r="AQ1538" t="s">
        <v>52</v>
      </c>
      <c r="AR1538" t="s">
        <v>62</v>
      </c>
      <c r="AS1538" t="s">
        <v>52</v>
      </c>
      <c r="AT1538" t="s">
        <v>52</v>
      </c>
      <c r="AU1538" t="s">
        <v>64</v>
      </c>
      <c r="AV1538" t="s">
        <v>62</v>
      </c>
      <c r="AW1538" t="s">
        <v>65</v>
      </c>
      <c r="AX1538" t="s">
        <v>66</v>
      </c>
      <c r="AY1538" t="s">
        <v>67</v>
      </c>
    </row>
    <row r="1539" spans="1:51" hidden="1" x14ac:dyDescent="0.25">
      <c r="A1539">
        <v>406145</v>
      </c>
      <c r="B1539" t="s">
        <v>5779</v>
      </c>
      <c r="C1539" t="e">
        <f>VLOOKUP(A1539,[1]Customer_payment_journal_line!$AL:$BO,30,0)</f>
        <v>#N/A</v>
      </c>
      <c r="D1539" t="s">
        <v>53</v>
      </c>
      <c r="E1539" t="s">
        <v>5775</v>
      </c>
      <c r="F1539" t="s">
        <v>5776</v>
      </c>
      <c r="G1539" t="s">
        <v>5265</v>
      </c>
      <c r="H1539" t="s">
        <v>69</v>
      </c>
      <c r="I1539" t="s">
        <v>5780</v>
      </c>
      <c r="J1539" t="s">
        <v>5777</v>
      </c>
      <c r="K1539" t="s">
        <v>5778</v>
      </c>
      <c r="L1539" t="s">
        <v>52</v>
      </c>
      <c r="M1539">
        <v>0</v>
      </c>
      <c r="N1539">
        <v>27518</v>
      </c>
      <c r="O1539" t="s">
        <v>61</v>
      </c>
      <c r="P1539">
        <v>100</v>
      </c>
      <c r="Q1539" t="s">
        <v>52</v>
      </c>
      <c r="R1539" t="s">
        <v>52</v>
      </c>
      <c r="S1539" t="s">
        <v>52</v>
      </c>
      <c r="T1539" t="s">
        <v>52</v>
      </c>
      <c r="U1539" t="s">
        <v>52</v>
      </c>
      <c r="V1539" t="s">
        <v>62</v>
      </c>
      <c r="W1539" t="s">
        <v>52</v>
      </c>
      <c r="Y1539" t="s">
        <v>5781</v>
      </c>
      <c r="Z1539" t="s">
        <v>62</v>
      </c>
      <c r="AB1539" t="s">
        <v>5782</v>
      </c>
      <c r="AE1539" t="s">
        <v>5783</v>
      </c>
      <c r="AF1539" t="s">
        <v>52</v>
      </c>
      <c r="AH1539">
        <v>0</v>
      </c>
      <c r="AI1539">
        <v>0</v>
      </c>
      <c r="AJ1539" t="s">
        <v>52</v>
      </c>
      <c r="AK1539">
        <v>0</v>
      </c>
      <c r="AL1539" t="s">
        <v>52</v>
      </c>
      <c r="AM1539" t="s">
        <v>52</v>
      </c>
      <c r="AN1539">
        <v>0</v>
      </c>
      <c r="AO1539">
        <v>0</v>
      </c>
      <c r="AP1539" t="s">
        <v>52</v>
      </c>
      <c r="AQ1539" t="s">
        <v>52</v>
      </c>
      <c r="AR1539" t="s">
        <v>62</v>
      </c>
      <c r="AS1539" t="s">
        <v>52</v>
      </c>
      <c r="AT1539" t="s">
        <v>74</v>
      </c>
      <c r="AU1539" t="s">
        <v>64</v>
      </c>
      <c r="AV1539" t="s">
        <v>62</v>
      </c>
      <c r="AW1539" t="s">
        <v>65</v>
      </c>
      <c r="AX1539" t="s">
        <v>66</v>
      </c>
      <c r="AY1539" t="s">
        <v>67</v>
      </c>
    </row>
    <row r="1540" spans="1:51" hidden="1" x14ac:dyDescent="0.25">
      <c r="A1540">
        <v>406146</v>
      </c>
      <c r="B1540" t="s">
        <v>5784</v>
      </c>
      <c r="C1540" t="e">
        <f>VLOOKUP(A1540,[1]Customer_payment_journal_line!$AL:$BO,30,0)</f>
        <v>#N/A</v>
      </c>
      <c r="D1540" t="s">
        <v>53</v>
      </c>
      <c r="E1540" t="s">
        <v>5785</v>
      </c>
      <c r="F1540" t="s">
        <v>5786</v>
      </c>
      <c r="G1540" t="s">
        <v>5265</v>
      </c>
      <c r="H1540" t="s">
        <v>57</v>
      </c>
      <c r="I1540" t="s">
        <v>58</v>
      </c>
      <c r="J1540" t="s">
        <v>5777</v>
      </c>
      <c r="K1540" t="s">
        <v>5778</v>
      </c>
      <c r="L1540" t="s">
        <v>52</v>
      </c>
      <c r="M1540">
        <v>855</v>
      </c>
      <c r="N1540">
        <v>0</v>
      </c>
      <c r="O1540" t="s">
        <v>61</v>
      </c>
      <c r="P1540">
        <v>100</v>
      </c>
      <c r="Q1540" t="s">
        <v>52</v>
      </c>
      <c r="R1540" t="s">
        <v>52</v>
      </c>
      <c r="S1540" t="s">
        <v>52</v>
      </c>
      <c r="T1540" t="s">
        <v>52</v>
      </c>
      <c r="U1540" t="s">
        <v>52</v>
      </c>
      <c r="V1540" t="s">
        <v>62</v>
      </c>
      <c r="W1540" t="s">
        <v>63</v>
      </c>
      <c r="Y1540" t="s">
        <v>52</v>
      </c>
      <c r="AB1540" t="s">
        <v>52</v>
      </c>
      <c r="AE1540" t="s">
        <v>52</v>
      </c>
      <c r="AF1540" t="s">
        <v>52</v>
      </c>
      <c r="AH1540">
        <v>0</v>
      </c>
      <c r="AI1540">
        <v>0</v>
      </c>
      <c r="AJ1540" t="s">
        <v>52</v>
      </c>
      <c r="AK1540">
        <v>0</v>
      </c>
      <c r="AL1540" t="s">
        <v>52</v>
      </c>
      <c r="AM1540" t="s">
        <v>52</v>
      </c>
      <c r="AN1540">
        <v>0</v>
      </c>
      <c r="AO1540">
        <v>0</v>
      </c>
      <c r="AP1540" t="s">
        <v>52</v>
      </c>
      <c r="AQ1540" t="s">
        <v>52</v>
      </c>
      <c r="AR1540" t="s">
        <v>62</v>
      </c>
      <c r="AS1540" t="s">
        <v>52</v>
      </c>
      <c r="AT1540" t="s">
        <v>52</v>
      </c>
      <c r="AU1540" t="s">
        <v>64</v>
      </c>
      <c r="AV1540" t="s">
        <v>62</v>
      </c>
      <c r="AW1540" t="s">
        <v>65</v>
      </c>
      <c r="AX1540" t="s">
        <v>66</v>
      </c>
      <c r="AY1540" t="s">
        <v>67</v>
      </c>
    </row>
    <row r="1541" spans="1:51" hidden="1" x14ac:dyDescent="0.25">
      <c r="A1541">
        <v>406146</v>
      </c>
      <c r="B1541" t="s">
        <v>5787</v>
      </c>
      <c r="C1541" t="e">
        <f>VLOOKUP(A1541,[1]Customer_payment_journal_line!$AL:$BO,30,0)</f>
        <v>#N/A</v>
      </c>
      <c r="D1541" t="s">
        <v>53</v>
      </c>
      <c r="E1541" t="s">
        <v>5785</v>
      </c>
      <c r="F1541" t="s">
        <v>5786</v>
      </c>
      <c r="G1541" t="s">
        <v>5265</v>
      </c>
      <c r="H1541" t="s">
        <v>69</v>
      </c>
      <c r="I1541" t="s">
        <v>5780</v>
      </c>
      <c r="J1541" t="s">
        <v>5777</v>
      </c>
      <c r="K1541" t="s">
        <v>5778</v>
      </c>
      <c r="L1541" t="s">
        <v>52</v>
      </c>
      <c r="M1541">
        <v>0</v>
      </c>
      <c r="N1541">
        <v>855</v>
      </c>
      <c r="O1541" t="s">
        <v>61</v>
      </c>
      <c r="P1541">
        <v>100</v>
      </c>
      <c r="Q1541" t="s">
        <v>52</v>
      </c>
      <c r="R1541" t="s">
        <v>52</v>
      </c>
      <c r="S1541" t="s">
        <v>52</v>
      </c>
      <c r="T1541" t="s">
        <v>52</v>
      </c>
      <c r="U1541" t="s">
        <v>52</v>
      </c>
      <c r="V1541" t="s">
        <v>62</v>
      </c>
      <c r="W1541" t="s">
        <v>52</v>
      </c>
      <c r="Y1541" t="s">
        <v>5781</v>
      </c>
      <c r="Z1541" t="s">
        <v>62</v>
      </c>
      <c r="AB1541" t="s">
        <v>5788</v>
      </c>
      <c r="AE1541" t="s">
        <v>5789</v>
      </c>
      <c r="AF1541" t="s">
        <v>52</v>
      </c>
      <c r="AH1541">
        <v>0</v>
      </c>
      <c r="AI1541">
        <v>0</v>
      </c>
      <c r="AJ1541" t="s">
        <v>52</v>
      </c>
      <c r="AK1541">
        <v>0</v>
      </c>
      <c r="AL1541" t="s">
        <v>52</v>
      </c>
      <c r="AM1541" t="s">
        <v>52</v>
      </c>
      <c r="AN1541">
        <v>0</v>
      </c>
      <c r="AO1541">
        <v>0</v>
      </c>
      <c r="AP1541" t="s">
        <v>52</v>
      </c>
      <c r="AQ1541" t="s">
        <v>52</v>
      </c>
      <c r="AR1541" t="s">
        <v>62</v>
      </c>
      <c r="AS1541" t="s">
        <v>52</v>
      </c>
      <c r="AT1541" t="s">
        <v>74</v>
      </c>
      <c r="AU1541" t="s">
        <v>64</v>
      </c>
      <c r="AV1541" t="s">
        <v>62</v>
      </c>
      <c r="AW1541" t="s">
        <v>65</v>
      </c>
      <c r="AX1541" t="s">
        <v>66</v>
      </c>
      <c r="AY1541" t="s">
        <v>67</v>
      </c>
    </row>
    <row r="1542" spans="1:51" hidden="1" x14ac:dyDescent="0.25">
      <c r="A1542">
        <v>406147</v>
      </c>
      <c r="B1542" t="s">
        <v>5790</v>
      </c>
      <c r="C1542" t="e">
        <f>VLOOKUP(A1542,[1]Customer_payment_journal_line!$AL:$BO,30,0)</f>
        <v>#N/A</v>
      </c>
      <c r="D1542" t="s">
        <v>53</v>
      </c>
      <c r="E1542" t="s">
        <v>5791</v>
      </c>
      <c r="F1542" t="s">
        <v>5792</v>
      </c>
      <c r="G1542" t="s">
        <v>5265</v>
      </c>
      <c r="H1542" t="s">
        <v>57</v>
      </c>
      <c r="I1542" t="s">
        <v>58</v>
      </c>
      <c r="J1542" t="s">
        <v>5793</v>
      </c>
      <c r="K1542" t="s">
        <v>5794</v>
      </c>
      <c r="L1542" t="s">
        <v>52</v>
      </c>
      <c r="M1542">
        <v>4104</v>
      </c>
      <c r="N1542">
        <v>0</v>
      </c>
      <c r="O1542" t="s">
        <v>61</v>
      </c>
      <c r="P1542">
        <v>100</v>
      </c>
      <c r="Q1542" t="s">
        <v>52</v>
      </c>
      <c r="R1542" t="s">
        <v>52</v>
      </c>
      <c r="S1542" t="s">
        <v>52</v>
      </c>
      <c r="T1542" t="s">
        <v>52</v>
      </c>
      <c r="U1542" t="s">
        <v>52</v>
      </c>
      <c r="V1542" t="s">
        <v>62</v>
      </c>
      <c r="W1542" t="s">
        <v>63</v>
      </c>
      <c r="Y1542" t="s">
        <v>52</v>
      </c>
      <c r="AB1542" t="s">
        <v>52</v>
      </c>
      <c r="AE1542" t="s">
        <v>52</v>
      </c>
      <c r="AF1542" t="s">
        <v>52</v>
      </c>
      <c r="AH1542">
        <v>0</v>
      </c>
      <c r="AI1542">
        <v>0</v>
      </c>
      <c r="AJ1542" t="s">
        <v>52</v>
      </c>
      <c r="AK1542">
        <v>0</v>
      </c>
      <c r="AL1542" t="s">
        <v>52</v>
      </c>
      <c r="AM1542" t="s">
        <v>52</v>
      </c>
      <c r="AN1542">
        <v>0</v>
      </c>
      <c r="AO1542">
        <v>0</v>
      </c>
      <c r="AP1542" t="s">
        <v>52</v>
      </c>
      <c r="AQ1542" t="s">
        <v>52</v>
      </c>
      <c r="AR1542" t="s">
        <v>62</v>
      </c>
      <c r="AS1542" t="s">
        <v>52</v>
      </c>
      <c r="AT1542" t="s">
        <v>52</v>
      </c>
      <c r="AU1542" t="s">
        <v>64</v>
      </c>
      <c r="AV1542" t="s">
        <v>62</v>
      </c>
      <c r="AW1542" t="s">
        <v>65</v>
      </c>
      <c r="AX1542" t="s">
        <v>66</v>
      </c>
      <c r="AY1542" t="s">
        <v>67</v>
      </c>
    </row>
    <row r="1543" spans="1:51" hidden="1" x14ac:dyDescent="0.25">
      <c r="A1543">
        <v>406147</v>
      </c>
      <c r="B1543" t="s">
        <v>5795</v>
      </c>
      <c r="C1543" t="e">
        <f>VLOOKUP(A1543,[1]Customer_payment_journal_line!$AL:$BO,30,0)</f>
        <v>#N/A</v>
      </c>
      <c r="D1543" t="s">
        <v>53</v>
      </c>
      <c r="E1543" t="s">
        <v>5791</v>
      </c>
      <c r="F1543" t="s">
        <v>5792</v>
      </c>
      <c r="G1543" t="s">
        <v>5265</v>
      </c>
      <c r="H1543" t="s">
        <v>69</v>
      </c>
      <c r="I1543" t="s">
        <v>5796</v>
      </c>
      <c r="J1543" t="s">
        <v>5793</v>
      </c>
      <c r="K1543" t="s">
        <v>5794</v>
      </c>
      <c r="L1543" t="s">
        <v>52</v>
      </c>
      <c r="M1543">
        <v>0</v>
      </c>
      <c r="N1543">
        <v>4104</v>
      </c>
      <c r="O1543" t="s">
        <v>61</v>
      </c>
      <c r="P1543">
        <v>100</v>
      </c>
      <c r="Q1543" t="s">
        <v>52</v>
      </c>
      <c r="R1543" t="s">
        <v>52</v>
      </c>
      <c r="S1543" t="s">
        <v>52</v>
      </c>
      <c r="T1543" t="s">
        <v>52</v>
      </c>
      <c r="U1543" t="s">
        <v>52</v>
      </c>
      <c r="V1543" t="s">
        <v>62</v>
      </c>
      <c r="W1543" t="s">
        <v>52</v>
      </c>
      <c r="Y1543" t="s">
        <v>5797</v>
      </c>
      <c r="Z1543" t="s">
        <v>62</v>
      </c>
      <c r="AB1543" t="s">
        <v>5798</v>
      </c>
      <c r="AE1543" t="s">
        <v>5799</v>
      </c>
      <c r="AF1543" t="s">
        <v>52</v>
      </c>
      <c r="AH1543">
        <v>0</v>
      </c>
      <c r="AI1543">
        <v>0</v>
      </c>
      <c r="AJ1543" t="s">
        <v>52</v>
      </c>
      <c r="AK1543">
        <v>0</v>
      </c>
      <c r="AL1543" t="s">
        <v>52</v>
      </c>
      <c r="AM1543" t="s">
        <v>52</v>
      </c>
      <c r="AN1543">
        <v>0</v>
      </c>
      <c r="AO1543">
        <v>0</v>
      </c>
      <c r="AP1543" t="s">
        <v>52</v>
      </c>
      <c r="AQ1543" t="s">
        <v>52</v>
      </c>
      <c r="AR1543" t="s">
        <v>62</v>
      </c>
      <c r="AS1543" t="s">
        <v>52</v>
      </c>
      <c r="AT1543" t="s">
        <v>74</v>
      </c>
      <c r="AU1543" t="s">
        <v>64</v>
      </c>
      <c r="AV1543" t="s">
        <v>62</v>
      </c>
      <c r="AW1543" t="s">
        <v>65</v>
      </c>
      <c r="AX1543" t="s">
        <v>66</v>
      </c>
      <c r="AY1543" t="s">
        <v>67</v>
      </c>
    </row>
    <row r="1544" spans="1:51" hidden="1" x14ac:dyDescent="0.25">
      <c r="A1544">
        <v>406148</v>
      </c>
      <c r="B1544" t="s">
        <v>5800</v>
      </c>
      <c r="C1544" t="e">
        <f>VLOOKUP(A1544,[1]Customer_payment_journal_line!$AL:$BO,30,0)</f>
        <v>#N/A</v>
      </c>
      <c r="D1544" t="s">
        <v>53</v>
      </c>
      <c r="E1544" t="s">
        <v>5801</v>
      </c>
      <c r="F1544" t="s">
        <v>5802</v>
      </c>
      <c r="G1544" t="s">
        <v>5265</v>
      </c>
      <c r="H1544" t="s">
        <v>57</v>
      </c>
      <c r="I1544" t="s">
        <v>58</v>
      </c>
      <c r="J1544" t="s">
        <v>5793</v>
      </c>
      <c r="K1544" t="s">
        <v>5794</v>
      </c>
      <c r="L1544" t="s">
        <v>52</v>
      </c>
      <c r="M1544">
        <v>855</v>
      </c>
      <c r="N1544">
        <v>0</v>
      </c>
      <c r="O1544" t="s">
        <v>61</v>
      </c>
      <c r="P1544">
        <v>100</v>
      </c>
      <c r="Q1544" t="s">
        <v>52</v>
      </c>
      <c r="R1544" t="s">
        <v>52</v>
      </c>
      <c r="S1544" t="s">
        <v>52</v>
      </c>
      <c r="T1544" t="s">
        <v>52</v>
      </c>
      <c r="U1544" t="s">
        <v>52</v>
      </c>
      <c r="V1544" t="s">
        <v>62</v>
      </c>
      <c r="W1544" t="s">
        <v>63</v>
      </c>
      <c r="Y1544" t="s">
        <v>52</v>
      </c>
      <c r="AB1544" t="s">
        <v>52</v>
      </c>
      <c r="AE1544" t="s">
        <v>52</v>
      </c>
      <c r="AF1544" t="s">
        <v>52</v>
      </c>
      <c r="AH1544">
        <v>0</v>
      </c>
      <c r="AI1544">
        <v>0</v>
      </c>
      <c r="AJ1544" t="s">
        <v>52</v>
      </c>
      <c r="AK1544">
        <v>0</v>
      </c>
      <c r="AL1544" t="s">
        <v>52</v>
      </c>
      <c r="AM1544" t="s">
        <v>52</v>
      </c>
      <c r="AN1544">
        <v>0</v>
      </c>
      <c r="AO1544">
        <v>0</v>
      </c>
      <c r="AP1544" t="s">
        <v>52</v>
      </c>
      <c r="AQ1544" t="s">
        <v>52</v>
      </c>
      <c r="AR1544" t="s">
        <v>62</v>
      </c>
      <c r="AS1544" t="s">
        <v>52</v>
      </c>
      <c r="AT1544" t="s">
        <v>52</v>
      </c>
      <c r="AU1544" t="s">
        <v>64</v>
      </c>
      <c r="AV1544" t="s">
        <v>62</v>
      </c>
      <c r="AW1544" t="s">
        <v>65</v>
      </c>
      <c r="AX1544" t="s">
        <v>66</v>
      </c>
      <c r="AY1544" t="s">
        <v>67</v>
      </c>
    </row>
    <row r="1545" spans="1:51" hidden="1" x14ac:dyDescent="0.25">
      <c r="A1545">
        <v>406148</v>
      </c>
      <c r="B1545" t="s">
        <v>5803</v>
      </c>
      <c r="C1545" t="e">
        <f>VLOOKUP(A1545,[1]Customer_payment_journal_line!$AL:$BO,30,0)</f>
        <v>#N/A</v>
      </c>
      <c r="D1545" t="s">
        <v>53</v>
      </c>
      <c r="E1545" t="s">
        <v>5801</v>
      </c>
      <c r="F1545" t="s">
        <v>5802</v>
      </c>
      <c r="G1545" t="s">
        <v>5265</v>
      </c>
      <c r="H1545" t="s">
        <v>69</v>
      </c>
      <c r="I1545" t="s">
        <v>5796</v>
      </c>
      <c r="J1545" t="s">
        <v>5793</v>
      </c>
      <c r="K1545" t="s">
        <v>5794</v>
      </c>
      <c r="L1545" t="s">
        <v>52</v>
      </c>
      <c r="M1545">
        <v>0</v>
      </c>
      <c r="N1545">
        <v>855</v>
      </c>
      <c r="O1545" t="s">
        <v>61</v>
      </c>
      <c r="P1545">
        <v>100</v>
      </c>
      <c r="Q1545" t="s">
        <v>52</v>
      </c>
      <c r="R1545" t="s">
        <v>52</v>
      </c>
      <c r="S1545" t="s">
        <v>52</v>
      </c>
      <c r="T1545" t="s">
        <v>52</v>
      </c>
      <c r="U1545" t="s">
        <v>52</v>
      </c>
      <c r="V1545" t="s">
        <v>62</v>
      </c>
      <c r="W1545" t="s">
        <v>52</v>
      </c>
      <c r="Y1545" t="s">
        <v>5797</v>
      </c>
      <c r="Z1545" t="s">
        <v>62</v>
      </c>
      <c r="AB1545" t="s">
        <v>5804</v>
      </c>
      <c r="AE1545" t="s">
        <v>5805</v>
      </c>
      <c r="AF1545" t="s">
        <v>52</v>
      </c>
      <c r="AH1545">
        <v>0</v>
      </c>
      <c r="AI1545">
        <v>0</v>
      </c>
      <c r="AJ1545" t="s">
        <v>52</v>
      </c>
      <c r="AK1545">
        <v>0</v>
      </c>
      <c r="AL1545" t="s">
        <v>52</v>
      </c>
      <c r="AM1545" t="s">
        <v>52</v>
      </c>
      <c r="AN1545">
        <v>0</v>
      </c>
      <c r="AO1545">
        <v>0</v>
      </c>
      <c r="AP1545" t="s">
        <v>52</v>
      </c>
      <c r="AQ1545" t="s">
        <v>52</v>
      </c>
      <c r="AR1545" t="s">
        <v>62</v>
      </c>
      <c r="AS1545" t="s">
        <v>52</v>
      </c>
      <c r="AT1545" t="s">
        <v>74</v>
      </c>
      <c r="AU1545" t="s">
        <v>64</v>
      </c>
      <c r="AV1545" t="s">
        <v>62</v>
      </c>
      <c r="AW1545" t="s">
        <v>65</v>
      </c>
      <c r="AX1545" t="s">
        <v>66</v>
      </c>
      <c r="AY1545" t="s">
        <v>67</v>
      </c>
    </row>
    <row r="1546" spans="1:51" hidden="1" x14ac:dyDescent="0.25">
      <c r="A1546">
        <v>406149</v>
      </c>
      <c r="B1546" t="s">
        <v>5806</v>
      </c>
      <c r="C1546" t="e">
        <f>VLOOKUP(A1546,[1]Customer_payment_journal_line!$AL:$BO,30,0)</f>
        <v>#N/A</v>
      </c>
      <c r="D1546" t="s">
        <v>53</v>
      </c>
      <c r="E1546" t="s">
        <v>5807</v>
      </c>
      <c r="F1546" t="s">
        <v>5808</v>
      </c>
      <c r="G1546" t="s">
        <v>5265</v>
      </c>
      <c r="H1546" t="s">
        <v>57</v>
      </c>
      <c r="I1546" t="s">
        <v>516</v>
      </c>
      <c r="J1546" t="s">
        <v>5793</v>
      </c>
      <c r="K1546" t="s">
        <v>5794</v>
      </c>
      <c r="L1546" t="s">
        <v>52</v>
      </c>
      <c r="M1546">
        <v>120</v>
      </c>
      <c r="N1546">
        <v>0</v>
      </c>
      <c r="O1546" t="s">
        <v>178</v>
      </c>
      <c r="P1546">
        <v>5085</v>
      </c>
      <c r="Q1546" t="s">
        <v>52</v>
      </c>
      <c r="R1546" t="s">
        <v>52</v>
      </c>
      <c r="S1546" t="s">
        <v>52</v>
      </c>
      <c r="T1546" t="s">
        <v>52</v>
      </c>
      <c r="U1546" t="s">
        <v>52</v>
      </c>
      <c r="V1546" t="s">
        <v>62</v>
      </c>
      <c r="W1546" t="s">
        <v>63</v>
      </c>
      <c r="Y1546" t="s">
        <v>52</v>
      </c>
      <c r="AB1546" t="s">
        <v>52</v>
      </c>
      <c r="AE1546" t="s">
        <v>52</v>
      </c>
      <c r="AF1546" t="s">
        <v>52</v>
      </c>
      <c r="AH1546">
        <v>0</v>
      </c>
      <c r="AI1546">
        <v>0</v>
      </c>
      <c r="AJ1546" t="s">
        <v>52</v>
      </c>
      <c r="AK1546">
        <v>0</v>
      </c>
      <c r="AL1546" t="s">
        <v>52</v>
      </c>
      <c r="AM1546" t="s">
        <v>52</v>
      </c>
      <c r="AN1546">
        <v>0</v>
      </c>
      <c r="AO1546">
        <v>0</v>
      </c>
      <c r="AP1546" t="s">
        <v>52</v>
      </c>
      <c r="AQ1546" t="s">
        <v>52</v>
      </c>
      <c r="AR1546" t="s">
        <v>62</v>
      </c>
      <c r="AS1546" t="s">
        <v>52</v>
      </c>
      <c r="AT1546" t="s">
        <v>52</v>
      </c>
      <c r="AU1546" t="s">
        <v>64</v>
      </c>
      <c r="AV1546" t="s">
        <v>62</v>
      </c>
      <c r="AW1546" t="s">
        <v>65</v>
      </c>
      <c r="AX1546" t="s">
        <v>66</v>
      </c>
      <c r="AY1546" t="s">
        <v>67</v>
      </c>
    </row>
    <row r="1547" spans="1:51" hidden="1" x14ac:dyDescent="0.25">
      <c r="A1547">
        <v>406149</v>
      </c>
      <c r="B1547" t="s">
        <v>5809</v>
      </c>
      <c r="C1547" t="e">
        <f>VLOOKUP(A1547,[1]Customer_payment_journal_line!$AL:$BO,30,0)</f>
        <v>#N/A</v>
      </c>
      <c r="D1547" t="s">
        <v>53</v>
      </c>
      <c r="E1547" t="s">
        <v>5807</v>
      </c>
      <c r="F1547" t="s">
        <v>5808</v>
      </c>
      <c r="G1547" t="s">
        <v>5265</v>
      </c>
      <c r="H1547" t="s">
        <v>69</v>
      </c>
      <c r="I1547" t="s">
        <v>5796</v>
      </c>
      <c r="J1547" t="s">
        <v>5793</v>
      </c>
      <c r="K1547" t="s">
        <v>5794</v>
      </c>
      <c r="L1547" t="s">
        <v>52</v>
      </c>
      <c r="M1547">
        <v>0</v>
      </c>
      <c r="N1547">
        <v>120</v>
      </c>
      <c r="O1547" t="s">
        <v>178</v>
      </c>
      <c r="P1547">
        <v>5085</v>
      </c>
      <c r="Q1547" t="s">
        <v>52</v>
      </c>
      <c r="R1547" t="s">
        <v>52</v>
      </c>
      <c r="S1547" t="s">
        <v>52</v>
      </c>
      <c r="T1547" t="s">
        <v>52</v>
      </c>
      <c r="U1547" t="s">
        <v>52</v>
      </c>
      <c r="V1547" t="s">
        <v>62</v>
      </c>
      <c r="W1547" t="s">
        <v>52</v>
      </c>
      <c r="Y1547" t="s">
        <v>5797</v>
      </c>
      <c r="Z1547" t="s">
        <v>62</v>
      </c>
      <c r="AB1547" t="s">
        <v>5810</v>
      </c>
      <c r="AE1547" t="s">
        <v>5811</v>
      </c>
      <c r="AF1547" t="s">
        <v>52</v>
      </c>
      <c r="AH1547">
        <v>0</v>
      </c>
      <c r="AI1547">
        <v>0</v>
      </c>
      <c r="AJ1547" t="s">
        <v>52</v>
      </c>
      <c r="AK1547">
        <v>0</v>
      </c>
      <c r="AL1547" t="s">
        <v>52</v>
      </c>
      <c r="AM1547" t="s">
        <v>52</v>
      </c>
      <c r="AN1547">
        <v>0</v>
      </c>
      <c r="AO1547">
        <v>0</v>
      </c>
      <c r="AP1547" t="s">
        <v>52</v>
      </c>
      <c r="AQ1547" t="s">
        <v>52</v>
      </c>
      <c r="AR1547" t="s">
        <v>62</v>
      </c>
      <c r="AS1547" t="s">
        <v>52</v>
      </c>
      <c r="AT1547" t="s">
        <v>74</v>
      </c>
      <c r="AU1547" t="s">
        <v>64</v>
      </c>
      <c r="AV1547" t="s">
        <v>62</v>
      </c>
      <c r="AW1547" t="s">
        <v>65</v>
      </c>
      <c r="AX1547" t="s">
        <v>66</v>
      </c>
      <c r="AY1547" t="s">
        <v>67</v>
      </c>
    </row>
    <row r="1548" spans="1:51" hidden="1" x14ac:dyDescent="0.25">
      <c r="A1548">
        <v>406150</v>
      </c>
      <c r="B1548" t="s">
        <v>5812</v>
      </c>
      <c r="C1548" t="e">
        <f>VLOOKUP(A1548,[1]Customer_payment_journal_line!$AL:$BO,30,0)</f>
        <v>#N/A</v>
      </c>
      <c r="D1548" t="s">
        <v>53</v>
      </c>
      <c r="E1548" t="s">
        <v>5813</v>
      </c>
      <c r="F1548" t="s">
        <v>5814</v>
      </c>
      <c r="G1548" t="s">
        <v>5265</v>
      </c>
      <c r="H1548" t="s">
        <v>57</v>
      </c>
      <c r="I1548" t="s">
        <v>516</v>
      </c>
      <c r="J1548" t="s">
        <v>5450</v>
      </c>
      <c r="K1548" t="s">
        <v>5451</v>
      </c>
      <c r="L1548" t="s">
        <v>52</v>
      </c>
      <c r="M1548">
        <v>270</v>
      </c>
      <c r="N1548">
        <v>0</v>
      </c>
      <c r="O1548" t="s">
        <v>178</v>
      </c>
      <c r="P1548">
        <v>5085</v>
      </c>
      <c r="Q1548" t="s">
        <v>52</v>
      </c>
      <c r="R1548" t="s">
        <v>52</v>
      </c>
      <c r="S1548" t="s">
        <v>52</v>
      </c>
      <c r="T1548" t="s">
        <v>52</v>
      </c>
      <c r="U1548" t="s">
        <v>52</v>
      </c>
      <c r="V1548" t="s">
        <v>62</v>
      </c>
      <c r="W1548" t="s">
        <v>63</v>
      </c>
      <c r="Y1548" t="s">
        <v>52</v>
      </c>
      <c r="AB1548" t="s">
        <v>52</v>
      </c>
      <c r="AE1548" t="s">
        <v>52</v>
      </c>
      <c r="AF1548" t="s">
        <v>52</v>
      </c>
      <c r="AH1548">
        <v>0</v>
      </c>
      <c r="AI1548">
        <v>0</v>
      </c>
      <c r="AJ1548" t="s">
        <v>52</v>
      </c>
      <c r="AK1548">
        <v>0</v>
      </c>
      <c r="AL1548" t="s">
        <v>52</v>
      </c>
      <c r="AM1548" t="s">
        <v>52</v>
      </c>
      <c r="AN1548">
        <v>0</v>
      </c>
      <c r="AO1548">
        <v>0</v>
      </c>
      <c r="AP1548" t="s">
        <v>52</v>
      </c>
      <c r="AQ1548" t="s">
        <v>52</v>
      </c>
      <c r="AR1548" t="s">
        <v>62</v>
      </c>
      <c r="AS1548" t="s">
        <v>52</v>
      </c>
      <c r="AT1548" t="s">
        <v>52</v>
      </c>
      <c r="AU1548" t="s">
        <v>64</v>
      </c>
      <c r="AV1548" t="s">
        <v>62</v>
      </c>
      <c r="AW1548" t="s">
        <v>65</v>
      </c>
      <c r="AX1548" t="s">
        <v>66</v>
      </c>
      <c r="AY1548" t="s">
        <v>67</v>
      </c>
    </row>
    <row r="1549" spans="1:51" hidden="1" x14ac:dyDescent="0.25">
      <c r="A1549">
        <v>406150</v>
      </c>
      <c r="B1549" t="s">
        <v>5815</v>
      </c>
      <c r="C1549" t="e">
        <f>VLOOKUP(A1549,[1]Customer_payment_journal_line!$AL:$BO,30,0)</f>
        <v>#N/A</v>
      </c>
      <c r="D1549" t="s">
        <v>53</v>
      </c>
      <c r="E1549" t="s">
        <v>5813</v>
      </c>
      <c r="F1549" t="s">
        <v>5814</v>
      </c>
      <c r="G1549" t="s">
        <v>5265</v>
      </c>
      <c r="H1549" t="s">
        <v>69</v>
      </c>
      <c r="I1549" t="s">
        <v>5453</v>
      </c>
      <c r="J1549" t="s">
        <v>5450</v>
      </c>
      <c r="K1549" t="s">
        <v>5451</v>
      </c>
      <c r="L1549" t="s">
        <v>52</v>
      </c>
      <c r="M1549">
        <v>0</v>
      </c>
      <c r="N1549">
        <v>270</v>
      </c>
      <c r="O1549" t="s">
        <v>178</v>
      </c>
      <c r="P1549">
        <v>5085</v>
      </c>
      <c r="Q1549" t="s">
        <v>52</v>
      </c>
      <c r="R1549" t="s">
        <v>52</v>
      </c>
      <c r="S1549" t="s">
        <v>52</v>
      </c>
      <c r="T1549" t="s">
        <v>52</v>
      </c>
      <c r="U1549" t="s">
        <v>52</v>
      </c>
      <c r="V1549" t="s">
        <v>62</v>
      </c>
      <c r="W1549" t="s">
        <v>52</v>
      </c>
      <c r="Y1549" t="s">
        <v>5454</v>
      </c>
      <c r="Z1549" t="s">
        <v>62</v>
      </c>
      <c r="AB1549" t="s">
        <v>5816</v>
      </c>
      <c r="AE1549" t="s">
        <v>5817</v>
      </c>
      <c r="AF1549" t="s">
        <v>52</v>
      </c>
      <c r="AH1549">
        <v>0</v>
      </c>
      <c r="AI1549">
        <v>0</v>
      </c>
      <c r="AJ1549" t="s">
        <v>52</v>
      </c>
      <c r="AK1549">
        <v>0</v>
      </c>
      <c r="AL1549" t="s">
        <v>52</v>
      </c>
      <c r="AM1549" t="s">
        <v>52</v>
      </c>
      <c r="AN1549">
        <v>0</v>
      </c>
      <c r="AO1549">
        <v>0</v>
      </c>
      <c r="AP1549" t="s">
        <v>52</v>
      </c>
      <c r="AQ1549" t="s">
        <v>52</v>
      </c>
      <c r="AR1549" t="s">
        <v>62</v>
      </c>
      <c r="AS1549" t="s">
        <v>52</v>
      </c>
      <c r="AT1549" t="s">
        <v>74</v>
      </c>
      <c r="AU1549" t="s">
        <v>64</v>
      </c>
      <c r="AV1549" t="s">
        <v>62</v>
      </c>
      <c r="AW1549" t="s">
        <v>65</v>
      </c>
      <c r="AX1549" t="s">
        <v>66</v>
      </c>
      <c r="AY1549" t="s">
        <v>67</v>
      </c>
    </row>
    <row r="1550" spans="1:51" hidden="1" x14ac:dyDescent="0.25">
      <c r="A1550">
        <v>406152</v>
      </c>
      <c r="B1550" t="s">
        <v>5818</v>
      </c>
      <c r="C1550" t="e">
        <f>VLOOKUP(A1550,[1]Customer_payment_journal_line!$AL:$BO,30,0)</f>
        <v>#N/A</v>
      </c>
      <c r="D1550" t="s">
        <v>53</v>
      </c>
      <c r="E1550" t="s">
        <v>5819</v>
      </c>
      <c r="F1550" t="s">
        <v>5820</v>
      </c>
      <c r="G1550" t="s">
        <v>5265</v>
      </c>
      <c r="H1550" t="s">
        <v>57</v>
      </c>
      <c r="I1550" t="s">
        <v>1349</v>
      </c>
      <c r="J1550" t="s">
        <v>5821</v>
      </c>
      <c r="K1550" t="s">
        <v>2942</v>
      </c>
      <c r="L1550" t="s">
        <v>52</v>
      </c>
      <c r="M1550">
        <v>1687.2</v>
      </c>
      <c r="N1550">
        <v>0</v>
      </c>
      <c r="O1550" t="s">
        <v>61</v>
      </c>
      <c r="P1550">
        <v>100</v>
      </c>
      <c r="Q1550" t="s">
        <v>52</v>
      </c>
      <c r="R1550" t="s">
        <v>52</v>
      </c>
      <c r="S1550" t="s">
        <v>52</v>
      </c>
      <c r="T1550" t="s">
        <v>52</v>
      </c>
      <c r="U1550" t="s">
        <v>52</v>
      </c>
      <c r="V1550" t="s">
        <v>62</v>
      </c>
      <c r="W1550" t="s">
        <v>63</v>
      </c>
      <c r="Y1550" t="s">
        <v>52</v>
      </c>
      <c r="AB1550" t="s">
        <v>52</v>
      </c>
      <c r="AE1550" t="s">
        <v>52</v>
      </c>
      <c r="AF1550" t="s">
        <v>52</v>
      </c>
      <c r="AH1550">
        <v>0</v>
      </c>
      <c r="AI1550">
        <v>0</v>
      </c>
      <c r="AJ1550" t="s">
        <v>52</v>
      </c>
      <c r="AK1550">
        <v>0</v>
      </c>
      <c r="AL1550" t="s">
        <v>52</v>
      </c>
      <c r="AM1550" t="s">
        <v>52</v>
      </c>
      <c r="AN1550">
        <v>0</v>
      </c>
      <c r="AO1550">
        <v>0</v>
      </c>
      <c r="AP1550" t="s">
        <v>52</v>
      </c>
      <c r="AQ1550" t="s">
        <v>52</v>
      </c>
      <c r="AR1550" t="s">
        <v>62</v>
      </c>
      <c r="AS1550" t="s">
        <v>52</v>
      </c>
      <c r="AT1550" t="s">
        <v>52</v>
      </c>
      <c r="AU1550" t="s">
        <v>64</v>
      </c>
      <c r="AV1550" t="s">
        <v>62</v>
      </c>
      <c r="AW1550" t="s">
        <v>65</v>
      </c>
      <c r="AX1550" t="s">
        <v>66</v>
      </c>
      <c r="AY1550" t="s">
        <v>67</v>
      </c>
    </row>
    <row r="1551" spans="1:51" hidden="1" x14ac:dyDescent="0.25">
      <c r="A1551">
        <v>406152</v>
      </c>
      <c r="B1551" t="s">
        <v>5822</v>
      </c>
      <c r="C1551" t="e">
        <f>VLOOKUP(A1551,[1]Customer_payment_journal_line!$AL:$BO,30,0)</f>
        <v>#N/A</v>
      </c>
      <c r="D1551" t="s">
        <v>53</v>
      </c>
      <c r="E1551" t="s">
        <v>5819</v>
      </c>
      <c r="F1551" t="s">
        <v>5820</v>
      </c>
      <c r="G1551" t="s">
        <v>5265</v>
      </c>
      <c r="H1551" t="s">
        <v>69</v>
      </c>
      <c r="I1551" t="s">
        <v>2902</v>
      </c>
      <c r="J1551" t="s">
        <v>5821</v>
      </c>
      <c r="K1551" t="s">
        <v>2942</v>
      </c>
      <c r="L1551" t="s">
        <v>52</v>
      </c>
      <c r="M1551">
        <v>0</v>
      </c>
      <c r="N1551">
        <v>1687.2</v>
      </c>
      <c r="O1551" t="s">
        <v>61</v>
      </c>
      <c r="P1551">
        <v>100</v>
      </c>
      <c r="Q1551" t="s">
        <v>52</v>
      </c>
      <c r="R1551" t="s">
        <v>52</v>
      </c>
      <c r="S1551" t="s">
        <v>52</v>
      </c>
      <c r="T1551" t="s">
        <v>52</v>
      </c>
      <c r="U1551" t="s">
        <v>52</v>
      </c>
      <c r="V1551" t="s">
        <v>62</v>
      </c>
      <c r="W1551" t="s">
        <v>52</v>
      </c>
      <c r="Y1551" t="s">
        <v>2904</v>
      </c>
      <c r="Z1551" t="s">
        <v>62</v>
      </c>
      <c r="AB1551" t="s">
        <v>5823</v>
      </c>
      <c r="AE1551" t="s">
        <v>5824</v>
      </c>
      <c r="AF1551" t="s">
        <v>52</v>
      </c>
      <c r="AH1551">
        <v>0</v>
      </c>
      <c r="AI1551">
        <v>0</v>
      </c>
      <c r="AJ1551" t="s">
        <v>52</v>
      </c>
      <c r="AK1551">
        <v>0</v>
      </c>
      <c r="AL1551" t="s">
        <v>52</v>
      </c>
      <c r="AM1551" t="s">
        <v>52</v>
      </c>
      <c r="AN1551">
        <v>0</v>
      </c>
      <c r="AO1551">
        <v>0</v>
      </c>
      <c r="AP1551" t="s">
        <v>52</v>
      </c>
      <c r="AQ1551" t="s">
        <v>52</v>
      </c>
      <c r="AR1551" t="s">
        <v>62</v>
      </c>
      <c r="AS1551" t="s">
        <v>52</v>
      </c>
      <c r="AT1551" t="s">
        <v>74</v>
      </c>
      <c r="AU1551" t="s">
        <v>64</v>
      </c>
      <c r="AV1551" t="s">
        <v>62</v>
      </c>
      <c r="AW1551" t="s">
        <v>65</v>
      </c>
      <c r="AX1551" t="s">
        <v>66</v>
      </c>
      <c r="AY1551" t="s">
        <v>67</v>
      </c>
    </row>
    <row r="1552" spans="1:51" hidden="1" x14ac:dyDescent="0.25">
      <c r="A1552">
        <v>406153</v>
      </c>
      <c r="B1552" t="s">
        <v>5825</v>
      </c>
      <c r="C1552" t="e">
        <f>VLOOKUP(A1552,[1]Customer_payment_journal_line!$AL:$BO,30,0)</f>
        <v>#N/A</v>
      </c>
      <c r="D1552" t="s">
        <v>53</v>
      </c>
      <c r="E1552" t="s">
        <v>5826</v>
      </c>
      <c r="F1552" t="s">
        <v>5827</v>
      </c>
      <c r="G1552" t="s">
        <v>5265</v>
      </c>
      <c r="H1552" t="s">
        <v>57</v>
      </c>
      <c r="I1552" t="s">
        <v>1349</v>
      </c>
      <c r="J1552" t="s">
        <v>5828</v>
      </c>
      <c r="K1552" t="s">
        <v>2884</v>
      </c>
      <c r="L1552" t="s">
        <v>52</v>
      </c>
      <c r="M1552">
        <v>3209.1</v>
      </c>
      <c r="N1552">
        <v>0</v>
      </c>
      <c r="O1552" t="s">
        <v>61</v>
      </c>
      <c r="P1552">
        <v>100</v>
      </c>
      <c r="Q1552" t="s">
        <v>52</v>
      </c>
      <c r="R1552" t="s">
        <v>52</v>
      </c>
      <c r="S1552" t="s">
        <v>52</v>
      </c>
      <c r="T1552" t="s">
        <v>52</v>
      </c>
      <c r="U1552" t="s">
        <v>52</v>
      </c>
      <c r="V1552" t="s">
        <v>62</v>
      </c>
      <c r="W1552" t="s">
        <v>63</v>
      </c>
      <c r="Y1552" t="s">
        <v>52</v>
      </c>
      <c r="AB1552" t="s">
        <v>52</v>
      </c>
      <c r="AE1552" t="s">
        <v>52</v>
      </c>
      <c r="AF1552" t="s">
        <v>52</v>
      </c>
      <c r="AH1552">
        <v>0</v>
      </c>
      <c r="AI1552">
        <v>0</v>
      </c>
      <c r="AJ1552" t="s">
        <v>52</v>
      </c>
      <c r="AK1552">
        <v>0</v>
      </c>
      <c r="AL1552" t="s">
        <v>52</v>
      </c>
      <c r="AM1552" t="s">
        <v>52</v>
      </c>
      <c r="AN1552">
        <v>0</v>
      </c>
      <c r="AO1552">
        <v>0</v>
      </c>
      <c r="AP1552" t="s">
        <v>52</v>
      </c>
      <c r="AQ1552" t="s">
        <v>52</v>
      </c>
      <c r="AR1552" t="s">
        <v>62</v>
      </c>
      <c r="AS1552" t="s">
        <v>52</v>
      </c>
      <c r="AT1552" t="s">
        <v>52</v>
      </c>
      <c r="AU1552" t="s">
        <v>64</v>
      </c>
      <c r="AV1552" t="s">
        <v>62</v>
      </c>
      <c r="AW1552" t="s">
        <v>65</v>
      </c>
      <c r="AX1552" t="s">
        <v>66</v>
      </c>
      <c r="AY1552" t="s">
        <v>67</v>
      </c>
    </row>
    <row r="1553" spans="1:51" hidden="1" x14ac:dyDescent="0.25">
      <c r="A1553">
        <v>406153</v>
      </c>
      <c r="B1553" t="s">
        <v>5829</v>
      </c>
      <c r="C1553" t="e">
        <f>VLOOKUP(A1553,[1]Customer_payment_journal_line!$AL:$BO,30,0)</f>
        <v>#N/A</v>
      </c>
      <c r="D1553" t="s">
        <v>53</v>
      </c>
      <c r="E1553" t="s">
        <v>5826</v>
      </c>
      <c r="F1553" t="s">
        <v>5827</v>
      </c>
      <c r="G1553" t="s">
        <v>5265</v>
      </c>
      <c r="H1553" t="s">
        <v>69</v>
      </c>
      <c r="I1553" t="s">
        <v>2886</v>
      </c>
      <c r="J1553" t="s">
        <v>5828</v>
      </c>
      <c r="K1553" t="s">
        <v>2884</v>
      </c>
      <c r="L1553" t="s">
        <v>52</v>
      </c>
      <c r="M1553">
        <v>0</v>
      </c>
      <c r="N1553">
        <v>3209.1</v>
      </c>
      <c r="O1553" t="s">
        <v>61</v>
      </c>
      <c r="P1553">
        <v>100</v>
      </c>
      <c r="Q1553" t="s">
        <v>52</v>
      </c>
      <c r="R1553" t="s">
        <v>52</v>
      </c>
      <c r="S1553" t="s">
        <v>52</v>
      </c>
      <c r="T1553" t="s">
        <v>52</v>
      </c>
      <c r="U1553" t="s">
        <v>52</v>
      </c>
      <c r="V1553" t="s">
        <v>62</v>
      </c>
      <c r="W1553" t="s">
        <v>52</v>
      </c>
      <c r="Y1553" t="s">
        <v>2887</v>
      </c>
      <c r="Z1553" t="s">
        <v>62</v>
      </c>
      <c r="AB1553" t="s">
        <v>5830</v>
      </c>
      <c r="AE1553" t="s">
        <v>5831</v>
      </c>
      <c r="AF1553" t="s">
        <v>52</v>
      </c>
      <c r="AH1553">
        <v>0</v>
      </c>
      <c r="AI1553">
        <v>0</v>
      </c>
      <c r="AJ1553" t="s">
        <v>52</v>
      </c>
      <c r="AK1553">
        <v>0</v>
      </c>
      <c r="AL1553" t="s">
        <v>52</v>
      </c>
      <c r="AM1553" t="s">
        <v>52</v>
      </c>
      <c r="AN1553">
        <v>0</v>
      </c>
      <c r="AO1553">
        <v>0</v>
      </c>
      <c r="AP1553" t="s">
        <v>52</v>
      </c>
      <c r="AQ1553" t="s">
        <v>52</v>
      </c>
      <c r="AR1553" t="s">
        <v>62</v>
      </c>
      <c r="AS1553" t="s">
        <v>52</v>
      </c>
      <c r="AT1553" t="s">
        <v>74</v>
      </c>
      <c r="AU1553" t="s">
        <v>64</v>
      </c>
      <c r="AV1553" t="s">
        <v>62</v>
      </c>
      <c r="AW1553" t="s">
        <v>65</v>
      </c>
      <c r="AX1553" t="s">
        <v>66</v>
      </c>
      <c r="AY1553" t="s">
        <v>67</v>
      </c>
    </row>
    <row r="1554" spans="1:51" hidden="1" x14ac:dyDescent="0.25">
      <c r="A1554">
        <v>406154</v>
      </c>
      <c r="B1554" t="s">
        <v>5832</v>
      </c>
      <c r="C1554" t="e">
        <f>VLOOKUP(A1554,[1]Customer_payment_journal_line!$AL:$BO,30,0)</f>
        <v>#N/A</v>
      </c>
      <c r="D1554" t="s">
        <v>53</v>
      </c>
      <c r="E1554" t="s">
        <v>5833</v>
      </c>
      <c r="F1554" t="s">
        <v>5834</v>
      </c>
      <c r="G1554" t="s">
        <v>5265</v>
      </c>
      <c r="H1554" t="s">
        <v>57</v>
      </c>
      <c r="I1554" t="s">
        <v>1349</v>
      </c>
      <c r="J1554" t="s">
        <v>5835</v>
      </c>
      <c r="K1554" t="s">
        <v>2961</v>
      </c>
      <c r="L1554" t="s">
        <v>52</v>
      </c>
      <c r="M1554">
        <v>1687.2</v>
      </c>
      <c r="N1554">
        <v>0</v>
      </c>
      <c r="O1554" t="s">
        <v>61</v>
      </c>
      <c r="P1554">
        <v>100</v>
      </c>
      <c r="Q1554" t="s">
        <v>52</v>
      </c>
      <c r="R1554" t="s">
        <v>52</v>
      </c>
      <c r="S1554" t="s">
        <v>52</v>
      </c>
      <c r="T1554" t="s">
        <v>52</v>
      </c>
      <c r="U1554" t="s">
        <v>52</v>
      </c>
      <c r="V1554" t="s">
        <v>62</v>
      </c>
      <c r="W1554" t="s">
        <v>63</v>
      </c>
      <c r="Y1554" t="s">
        <v>52</v>
      </c>
      <c r="AB1554" t="s">
        <v>52</v>
      </c>
      <c r="AE1554" t="s">
        <v>52</v>
      </c>
      <c r="AF1554" t="s">
        <v>52</v>
      </c>
      <c r="AH1554">
        <v>0</v>
      </c>
      <c r="AI1554">
        <v>0</v>
      </c>
      <c r="AJ1554" t="s">
        <v>52</v>
      </c>
      <c r="AK1554">
        <v>0</v>
      </c>
      <c r="AL1554" t="s">
        <v>52</v>
      </c>
      <c r="AM1554" t="s">
        <v>52</v>
      </c>
      <c r="AN1554">
        <v>0</v>
      </c>
      <c r="AO1554">
        <v>0</v>
      </c>
      <c r="AP1554" t="s">
        <v>52</v>
      </c>
      <c r="AQ1554" t="s">
        <v>52</v>
      </c>
      <c r="AR1554" t="s">
        <v>62</v>
      </c>
      <c r="AS1554" t="s">
        <v>52</v>
      </c>
      <c r="AT1554" t="s">
        <v>52</v>
      </c>
      <c r="AU1554" t="s">
        <v>64</v>
      </c>
      <c r="AV1554" t="s">
        <v>62</v>
      </c>
      <c r="AW1554" t="s">
        <v>65</v>
      </c>
      <c r="AX1554" t="s">
        <v>66</v>
      </c>
      <c r="AY1554" t="s">
        <v>67</v>
      </c>
    </row>
    <row r="1555" spans="1:51" hidden="1" x14ac:dyDescent="0.25">
      <c r="A1555">
        <v>406154</v>
      </c>
      <c r="B1555" t="s">
        <v>5836</v>
      </c>
      <c r="C1555" t="e">
        <f>VLOOKUP(A1555,[1]Customer_payment_journal_line!$AL:$BO,30,0)</f>
        <v>#N/A</v>
      </c>
      <c r="D1555" t="s">
        <v>53</v>
      </c>
      <c r="E1555" t="s">
        <v>5833</v>
      </c>
      <c r="F1555" t="s">
        <v>5834</v>
      </c>
      <c r="G1555" t="s">
        <v>5265</v>
      </c>
      <c r="H1555" t="s">
        <v>69</v>
      </c>
      <c r="I1555" t="s">
        <v>2964</v>
      </c>
      <c r="J1555" t="s">
        <v>5835</v>
      </c>
      <c r="K1555" t="s">
        <v>2961</v>
      </c>
      <c r="L1555" t="s">
        <v>52</v>
      </c>
      <c r="M1555">
        <v>0</v>
      </c>
      <c r="N1555">
        <v>1687.2</v>
      </c>
      <c r="O1555" t="s">
        <v>61</v>
      </c>
      <c r="P1555">
        <v>100</v>
      </c>
      <c r="Q1555" t="s">
        <v>52</v>
      </c>
      <c r="R1555" t="s">
        <v>52</v>
      </c>
      <c r="S1555" t="s">
        <v>52</v>
      </c>
      <c r="T1555" t="s">
        <v>52</v>
      </c>
      <c r="U1555" t="s">
        <v>52</v>
      </c>
      <c r="V1555" t="s">
        <v>62</v>
      </c>
      <c r="W1555" t="s">
        <v>52</v>
      </c>
      <c r="Y1555" t="s">
        <v>2966</v>
      </c>
      <c r="Z1555" t="s">
        <v>62</v>
      </c>
      <c r="AB1555" t="s">
        <v>5837</v>
      </c>
      <c r="AE1555" t="s">
        <v>5838</v>
      </c>
      <c r="AF1555" t="s">
        <v>52</v>
      </c>
      <c r="AH1555">
        <v>0</v>
      </c>
      <c r="AI1555">
        <v>0</v>
      </c>
      <c r="AJ1555" t="s">
        <v>52</v>
      </c>
      <c r="AK1555">
        <v>0</v>
      </c>
      <c r="AL1555" t="s">
        <v>52</v>
      </c>
      <c r="AM1555" t="s">
        <v>52</v>
      </c>
      <c r="AN1555">
        <v>0</v>
      </c>
      <c r="AO1555">
        <v>0</v>
      </c>
      <c r="AP1555" t="s">
        <v>52</v>
      </c>
      <c r="AQ1555" t="s">
        <v>52</v>
      </c>
      <c r="AR1555" t="s">
        <v>62</v>
      </c>
      <c r="AS1555" t="s">
        <v>52</v>
      </c>
      <c r="AT1555" t="s">
        <v>74</v>
      </c>
      <c r="AU1555" t="s">
        <v>64</v>
      </c>
      <c r="AV1555" t="s">
        <v>62</v>
      </c>
      <c r="AW1555" t="s">
        <v>65</v>
      </c>
      <c r="AX1555" t="s">
        <v>66</v>
      </c>
      <c r="AY1555" t="s">
        <v>67</v>
      </c>
    </row>
    <row r="1556" spans="1:51" hidden="1" x14ac:dyDescent="0.25">
      <c r="A1556">
        <v>203505</v>
      </c>
      <c r="B1556" t="s">
        <v>5839</v>
      </c>
      <c r="C1556" t="e">
        <f>VLOOKUP(A1556,[1]Customer_payment_journal_line!$AL:$BO,30,0)</f>
        <v>#N/A</v>
      </c>
      <c r="D1556" t="s">
        <v>159</v>
      </c>
      <c r="E1556" t="s">
        <v>5840</v>
      </c>
      <c r="F1556" t="s">
        <v>5841</v>
      </c>
      <c r="G1556" t="s">
        <v>5265</v>
      </c>
      <c r="H1556" t="s">
        <v>80</v>
      </c>
      <c r="I1556" t="s">
        <v>5842</v>
      </c>
      <c r="J1556" t="s">
        <v>5843</v>
      </c>
      <c r="K1556" t="s">
        <v>5844</v>
      </c>
      <c r="L1556" t="s">
        <v>52</v>
      </c>
      <c r="M1556">
        <v>3420</v>
      </c>
      <c r="N1556">
        <v>0</v>
      </c>
      <c r="O1556" t="s">
        <v>61</v>
      </c>
      <c r="P1556">
        <v>100</v>
      </c>
      <c r="Q1556" t="s">
        <v>52</v>
      </c>
      <c r="R1556" t="s">
        <v>52</v>
      </c>
      <c r="S1556" t="s">
        <v>52</v>
      </c>
      <c r="T1556" t="s">
        <v>52</v>
      </c>
      <c r="U1556" t="s">
        <v>52</v>
      </c>
      <c r="V1556" t="s">
        <v>62</v>
      </c>
      <c r="W1556" t="s">
        <v>52</v>
      </c>
      <c r="Y1556" t="s">
        <v>52</v>
      </c>
      <c r="AB1556" t="s">
        <v>52</v>
      </c>
      <c r="AE1556" t="s">
        <v>52</v>
      </c>
      <c r="AF1556" t="s">
        <v>52</v>
      </c>
      <c r="AH1556">
        <v>0</v>
      </c>
      <c r="AI1556">
        <v>0</v>
      </c>
      <c r="AJ1556" t="s">
        <v>52</v>
      </c>
      <c r="AK1556">
        <v>0</v>
      </c>
      <c r="AL1556" t="s">
        <v>52</v>
      </c>
      <c r="AM1556" t="s">
        <v>52</v>
      </c>
      <c r="AN1556">
        <v>0</v>
      </c>
      <c r="AO1556">
        <v>0</v>
      </c>
      <c r="AP1556" t="s">
        <v>52</v>
      </c>
      <c r="AQ1556" t="s">
        <v>52</v>
      </c>
      <c r="AR1556" t="s">
        <v>62</v>
      </c>
      <c r="AS1556" t="s">
        <v>52</v>
      </c>
      <c r="AT1556" t="s">
        <v>52</v>
      </c>
      <c r="AU1556" t="s">
        <v>64</v>
      </c>
      <c r="AV1556" t="s">
        <v>62</v>
      </c>
      <c r="AW1556" t="s">
        <v>65</v>
      </c>
      <c r="AX1556" t="s">
        <v>66</v>
      </c>
      <c r="AY1556" t="s">
        <v>165</v>
      </c>
    </row>
    <row r="1557" spans="1:51" hidden="1" x14ac:dyDescent="0.25">
      <c r="A1557">
        <v>203505</v>
      </c>
      <c r="B1557" t="s">
        <v>5845</v>
      </c>
      <c r="C1557" t="e">
        <f>VLOOKUP(A1557,[1]Customer_payment_journal_line!$AL:$BO,30,0)</f>
        <v>#N/A</v>
      </c>
      <c r="D1557" t="s">
        <v>159</v>
      </c>
      <c r="E1557" t="s">
        <v>5840</v>
      </c>
      <c r="F1557" t="s">
        <v>5841</v>
      </c>
      <c r="G1557" t="s">
        <v>5265</v>
      </c>
      <c r="H1557" t="s">
        <v>69</v>
      </c>
      <c r="I1557" t="s">
        <v>5846</v>
      </c>
      <c r="J1557" t="s">
        <v>5843</v>
      </c>
      <c r="K1557" t="s">
        <v>5844</v>
      </c>
      <c r="L1557" t="s">
        <v>52</v>
      </c>
      <c r="M1557">
        <v>0</v>
      </c>
      <c r="N1557">
        <v>3420</v>
      </c>
      <c r="O1557" t="s">
        <v>61</v>
      </c>
      <c r="P1557">
        <v>100</v>
      </c>
      <c r="Q1557" t="s">
        <v>52</v>
      </c>
      <c r="R1557" t="s">
        <v>52</v>
      </c>
      <c r="S1557" t="s">
        <v>52</v>
      </c>
      <c r="T1557" t="s">
        <v>52</v>
      </c>
      <c r="U1557" t="s">
        <v>52</v>
      </c>
      <c r="V1557" t="s">
        <v>62</v>
      </c>
      <c r="W1557" t="s">
        <v>52</v>
      </c>
      <c r="Y1557" t="s">
        <v>5847</v>
      </c>
      <c r="Z1557" t="s">
        <v>62</v>
      </c>
      <c r="AB1557" t="s">
        <v>5848</v>
      </c>
      <c r="AE1557" t="s">
        <v>5849</v>
      </c>
      <c r="AF1557" t="s">
        <v>52</v>
      </c>
      <c r="AH1557">
        <v>0</v>
      </c>
      <c r="AI1557">
        <v>0</v>
      </c>
      <c r="AJ1557" t="s">
        <v>52</v>
      </c>
      <c r="AK1557">
        <v>0</v>
      </c>
      <c r="AL1557" t="s">
        <v>52</v>
      </c>
      <c r="AM1557" t="s">
        <v>52</v>
      </c>
      <c r="AN1557">
        <v>0</v>
      </c>
      <c r="AO1557">
        <v>0</v>
      </c>
      <c r="AP1557" t="s">
        <v>52</v>
      </c>
      <c r="AQ1557" t="s">
        <v>52</v>
      </c>
      <c r="AR1557" t="s">
        <v>62</v>
      </c>
      <c r="AS1557" t="s">
        <v>52</v>
      </c>
      <c r="AT1557" t="s">
        <v>74</v>
      </c>
      <c r="AU1557" t="s">
        <v>64</v>
      </c>
      <c r="AV1557" t="s">
        <v>62</v>
      </c>
      <c r="AW1557" t="s">
        <v>65</v>
      </c>
      <c r="AX1557" t="s">
        <v>66</v>
      </c>
      <c r="AY1557" t="s">
        <v>165</v>
      </c>
    </row>
    <row r="1558" spans="1:51" hidden="1" x14ac:dyDescent="0.25">
      <c r="A1558">
        <v>203507</v>
      </c>
      <c r="B1558" t="s">
        <v>5850</v>
      </c>
      <c r="C1558" t="e">
        <f>VLOOKUP(A1558,[1]Customer_payment_journal_line!$AL:$BO,30,0)</f>
        <v>#N/A</v>
      </c>
      <c r="D1558" t="s">
        <v>159</v>
      </c>
      <c r="E1558" t="s">
        <v>5851</v>
      </c>
      <c r="F1558" t="s">
        <v>5852</v>
      </c>
      <c r="G1558" t="s">
        <v>5265</v>
      </c>
      <c r="H1558" t="s">
        <v>80</v>
      </c>
      <c r="I1558" t="s">
        <v>5842</v>
      </c>
      <c r="J1558" t="s">
        <v>5843</v>
      </c>
      <c r="K1558" t="s">
        <v>5844</v>
      </c>
      <c r="L1558" t="s">
        <v>52</v>
      </c>
      <c r="M1558">
        <v>855</v>
      </c>
      <c r="N1558">
        <v>0</v>
      </c>
      <c r="O1558" t="s">
        <v>61</v>
      </c>
      <c r="P1558">
        <v>100</v>
      </c>
      <c r="Q1558" t="s">
        <v>52</v>
      </c>
      <c r="R1558" t="s">
        <v>52</v>
      </c>
      <c r="S1558" t="s">
        <v>52</v>
      </c>
      <c r="T1558" t="s">
        <v>52</v>
      </c>
      <c r="U1558" t="s">
        <v>52</v>
      </c>
      <c r="V1558" t="s">
        <v>62</v>
      </c>
      <c r="W1558" t="s">
        <v>52</v>
      </c>
      <c r="Y1558" t="s">
        <v>52</v>
      </c>
      <c r="AB1558" t="s">
        <v>52</v>
      </c>
      <c r="AE1558" t="s">
        <v>52</v>
      </c>
      <c r="AF1558" t="s">
        <v>52</v>
      </c>
      <c r="AH1558">
        <v>0</v>
      </c>
      <c r="AI1558">
        <v>0</v>
      </c>
      <c r="AJ1558" t="s">
        <v>52</v>
      </c>
      <c r="AK1558">
        <v>0</v>
      </c>
      <c r="AL1558" t="s">
        <v>52</v>
      </c>
      <c r="AM1558" t="s">
        <v>52</v>
      </c>
      <c r="AN1558">
        <v>0</v>
      </c>
      <c r="AO1558">
        <v>0</v>
      </c>
      <c r="AP1558" t="s">
        <v>52</v>
      </c>
      <c r="AQ1558" t="s">
        <v>52</v>
      </c>
      <c r="AR1558" t="s">
        <v>62</v>
      </c>
      <c r="AS1558" t="s">
        <v>52</v>
      </c>
      <c r="AT1558" t="s">
        <v>52</v>
      </c>
      <c r="AU1558" t="s">
        <v>64</v>
      </c>
      <c r="AV1558" t="s">
        <v>62</v>
      </c>
      <c r="AW1558" t="s">
        <v>65</v>
      </c>
      <c r="AX1558" t="s">
        <v>66</v>
      </c>
      <c r="AY1558" t="s">
        <v>165</v>
      </c>
    </row>
    <row r="1559" spans="1:51" hidden="1" x14ac:dyDescent="0.25">
      <c r="A1559">
        <v>203507</v>
      </c>
      <c r="B1559" t="s">
        <v>5853</v>
      </c>
      <c r="C1559" t="e">
        <f>VLOOKUP(A1559,[1]Customer_payment_journal_line!$AL:$BO,30,0)</f>
        <v>#N/A</v>
      </c>
      <c r="D1559" t="s">
        <v>159</v>
      </c>
      <c r="E1559" t="s">
        <v>5851</v>
      </c>
      <c r="F1559" t="s">
        <v>5852</v>
      </c>
      <c r="G1559" t="s">
        <v>5265</v>
      </c>
      <c r="H1559" t="s">
        <v>69</v>
      </c>
      <c r="I1559" t="s">
        <v>5846</v>
      </c>
      <c r="J1559" t="s">
        <v>5843</v>
      </c>
      <c r="K1559" t="s">
        <v>5844</v>
      </c>
      <c r="L1559" t="s">
        <v>52</v>
      </c>
      <c r="M1559">
        <v>0</v>
      </c>
      <c r="N1559">
        <v>855</v>
      </c>
      <c r="O1559" t="s">
        <v>61</v>
      </c>
      <c r="P1559">
        <v>100</v>
      </c>
      <c r="Q1559" t="s">
        <v>52</v>
      </c>
      <c r="R1559" t="s">
        <v>52</v>
      </c>
      <c r="S1559" t="s">
        <v>52</v>
      </c>
      <c r="T1559" t="s">
        <v>52</v>
      </c>
      <c r="U1559" t="s">
        <v>52</v>
      </c>
      <c r="V1559" t="s">
        <v>62</v>
      </c>
      <c r="W1559" t="s">
        <v>52</v>
      </c>
      <c r="Y1559" t="s">
        <v>5847</v>
      </c>
      <c r="Z1559" t="s">
        <v>62</v>
      </c>
      <c r="AB1559" t="s">
        <v>5854</v>
      </c>
      <c r="AE1559" t="s">
        <v>5855</v>
      </c>
      <c r="AF1559" t="s">
        <v>52</v>
      </c>
      <c r="AH1559">
        <v>0</v>
      </c>
      <c r="AI1559">
        <v>0</v>
      </c>
      <c r="AJ1559" t="s">
        <v>52</v>
      </c>
      <c r="AK1559">
        <v>0</v>
      </c>
      <c r="AL1559" t="s">
        <v>52</v>
      </c>
      <c r="AM1559" t="s">
        <v>52</v>
      </c>
      <c r="AN1559">
        <v>0</v>
      </c>
      <c r="AO1559">
        <v>0</v>
      </c>
      <c r="AP1559" t="s">
        <v>52</v>
      </c>
      <c r="AQ1559" t="s">
        <v>52</v>
      </c>
      <c r="AR1559" t="s">
        <v>62</v>
      </c>
      <c r="AS1559" t="s">
        <v>52</v>
      </c>
      <c r="AT1559" t="s">
        <v>74</v>
      </c>
      <c r="AU1559" t="s">
        <v>64</v>
      </c>
      <c r="AV1559" t="s">
        <v>62</v>
      </c>
      <c r="AW1559" t="s">
        <v>65</v>
      </c>
      <c r="AX1559" t="s">
        <v>66</v>
      </c>
      <c r="AY1559" t="s">
        <v>165</v>
      </c>
    </row>
    <row r="1560" spans="1:51" hidden="1" x14ac:dyDescent="0.25">
      <c r="A1560">
        <v>203508</v>
      </c>
      <c r="B1560" t="s">
        <v>5856</v>
      </c>
      <c r="C1560" t="e">
        <f>VLOOKUP(A1560,[1]Customer_payment_journal_line!$AL:$BO,30,0)</f>
        <v>#N/A</v>
      </c>
      <c r="D1560" t="s">
        <v>159</v>
      </c>
      <c r="E1560" t="s">
        <v>5857</v>
      </c>
      <c r="F1560" t="s">
        <v>5858</v>
      </c>
      <c r="G1560" t="s">
        <v>5265</v>
      </c>
      <c r="H1560" t="s">
        <v>80</v>
      </c>
      <c r="I1560" t="s">
        <v>3573</v>
      </c>
      <c r="J1560" t="s">
        <v>5843</v>
      </c>
      <c r="K1560" t="s">
        <v>5844</v>
      </c>
      <c r="L1560" t="s">
        <v>52</v>
      </c>
      <c r="M1560">
        <v>60</v>
      </c>
      <c r="N1560">
        <v>0</v>
      </c>
      <c r="O1560" t="s">
        <v>178</v>
      </c>
      <c r="P1560">
        <v>5085</v>
      </c>
      <c r="Q1560" t="s">
        <v>52</v>
      </c>
      <c r="R1560" t="s">
        <v>52</v>
      </c>
      <c r="S1560" t="s">
        <v>52</v>
      </c>
      <c r="T1560" t="s">
        <v>52</v>
      </c>
      <c r="U1560" t="s">
        <v>52</v>
      </c>
      <c r="V1560" t="s">
        <v>62</v>
      </c>
      <c r="W1560" t="s">
        <v>52</v>
      </c>
      <c r="Y1560" t="s">
        <v>52</v>
      </c>
      <c r="AB1560" t="s">
        <v>52</v>
      </c>
      <c r="AE1560" t="s">
        <v>52</v>
      </c>
      <c r="AF1560" t="s">
        <v>52</v>
      </c>
      <c r="AH1560">
        <v>0</v>
      </c>
      <c r="AI1560">
        <v>0</v>
      </c>
      <c r="AJ1560" t="s">
        <v>52</v>
      </c>
      <c r="AK1560">
        <v>0</v>
      </c>
      <c r="AL1560" t="s">
        <v>52</v>
      </c>
      <c r="AM1560" t="s">
        <v>52</v>
      </c>
      <c r="AN1560">
        <v>0</v>
      </c>
      <c r="AO1560">
        <v>0</v>
      </c>
      <c r="AP1560" t="s">
        <v>52</v>
      </c>
      <c r="AQ1560" t="s">
        <v>52</v>
      </c>
      <c r="AR1560" t="s">
        <v>62</v>
      </c>
      <c r="AS1560" t="s">
        <v>52</v>
      </c>
      <c r="AT1560" t="s">
        <v>52</v>
      </c>
      <c r="AU1560" t="s">
        <v>64</v>
      </c>
      <c r="AV1560" t="s">
        <v>62</v>
      </c>
      <c r="AW1560" t="s">
        <v>65</v>
      </c>
      <c r="AX1560" t="s">
        <v>66</v>
      </c>
      <c r="AY1560" t="s">
        <v>165</v>
      </c>
    </row>
    <row r="1561" spans="1:51" hidden="1" x14ac:dyDescent="0.25">
      <c r="A1561">
        <v>203508</v>
      </c>
      <c r="B1561" t="s">
        <v>5859</v>
      </c>
      <c r="C1561" t="e">
        <f>VLOOKUP(A1561,[1]Customer_payment_journal_line!$AL:$BO,30,0)</f>
        <v>#N/A</v>
      </c>
      <c r="D1561" t="s">
        <v>159</v>
      </c>
      <c r="E1561" t="s">
        <v>5857</v>
      </c>
      <c r="F1561" t="s">
        <v>5858</v>
      </c>
      <c r="G1561" t="s">
        <v>5265</v>
      </c>
      <c r="H1561" t="s">
        <v>69</v>
      </c>
      <c r="I1561" t="s">
        <v>5846</v>
      </c>
      <c r="J1561" t="s">
        <v>5843</v>
      </c>
      <c r="K1561" t="s">
        <v>5844</v>
      </c>
      <c r="L1561" t="s">
        <v>52</v>
      </c>
      <c r="M1561">
        <v>0</v>
      </c>
      <c r="N1561">
        <v>60</v>
      </c>
      <c r="O1561" t="s">
        <v>178</v>
      </c>
      <c r="P1561">
        <v>5085</v>
      </c>
      <c r="Q1561" t="s">
        <v>52</v>
      </c>
      <c r="R1561" t="s">
        <v>52</v>
      </c>
      <c r="S1561" t="s">
        <v>52</v>
      </c>
      <c r="T1561" t="s">
        <v>52</v>
      </c>
      <c r="U1561" t="s">
        <v>52</v>
      </c>
      <c r="V1561" t="s">
        <v>62</v>
      </c>
      <c r="W1561" t="s">
        <v>52</v>
      </c>
      <c r="Y1561" t="s">
        <v>5847</v>
      </c>
      <c r="Z1561" t="s">
        <v>62</v>
      </c>
      <c r="AB1561" t="s">
        <v>5860</v>
      </c>
      <c r="AE1561" t="s">
        <v>5861</v>
      </c>
      <c r="AF1561" t="s">
        <v>52</v>
      </c>
      <c r="AH1561">
        <v>0</v>
      </c>
      <c r="AI1561">
        <v>0</v>
      </c>
      <c r="AJ1561" t="s">
        <v>52</v>
      </c>
      <c r="AK1561">
        <v>0</v>
      </c>
      <c r="AL1561" t="s">
        <v>52</v>
      </c>
      <c r="AM1561" t="s">
        <v>52</v>
      </c>
      <c r="AN1561">
        <v>0</v>
      </c>
      <c r="AO1561">
        <v>0</v>
      </c>
      <c r="AP1561" t="s">
        <v>52</v>
      </c>
      <c r="AQ1561" t="s">
        <v>52</v>
      </c>
      <c r="AR1561" t="s">
        <v>62</v>
      </c>
      <c r="AS1561" t="s">
        <v>52</v>
      </c>
      <c r="AT1561" t="s">
        <v>74</v>
      </c>
      <c r="AU1561" t="s">
        <v>64</v>
      </c>
      <c r="AV1561" t="s">
        <v>62</v>
      </c>
      <c r="AW1561" t="s">
        <v>65</v>
      </c>
      <c r="AX1561" t="s">
        <v>66</v>
      </c>
      <c r="AY1561" t="s">
        <v>165</v>
      </c>
    </row>
    <row r="1562" spans="1:51" hidden="1" x14ac:dyDescent="0.25">
      <c r="A1562">
        <v>403437</v>
      </c>
      <c r="B1562" t="s">
        <v>5862</v>
      </c>
      <c r="C1562" t="e">
        <f>VLOOKUP(A1562,[1]Customer_payment_journal_line!$AL:$BO,30,0)</f>
        <v>#N/A</v>
      </c>
      <c r="D1562" t="s">
        <v>53</v>
      </c>
      <c r="E1562" t="s">
        <v>5863</v>
      </c>
      <c r="F1562" t="s">
        <v>5864</v>
      </c>
      <c r="G1562" t="s">
        <v>5265</v>
      </c>
      <c r="H1562" t="s">
        <v>57</v>
      </c>
      <c r="I1562" t="s">
        <v>1349</v>
      </c>
      <c r="J1562" t="s">
        <v>3432</v>
      </c>
      <c r="K1562" t="s">
        <v>337</v>
      </c>
      <c r="L1562" t="s">
        <v>52</v>
      </c>
      <c r="M1562">
        <v>2229.84</v>
      </c>
      <c r="N1562">
        <v>0</v>
      </c>
      <c r="O1562" t="s">
        <v>61</v>
      </c>
      <c r="P1562">
        <v>100</v>
      </c>
      <c r="Q1562" t="s">
        <v>52</v>
      </c>
      <c r="R1562" t="s">
        <v>52</v>
      </c>
      <c r="S1562" t="s">
        <v>52</v>
      </c>
      <c r="T1562" t="s">
        <v>52</v>
      </c>
      <c r="U1562" t="s">
        <v>52</v>
      </c>
      <c r="V1562" t="s">
        <v>62</v>
      </c>
      <c r="W1562" t="s">
        <v>63</v>
      </c>
      <c r="Y1562" t="s">
        <v>52</v>
      </c>
      <c r="AB1562" t="s">
        <v>52</v>
      </c>
      <c r="AE1562" t="s">
        <v>52</v>
      </c>
      <c r="AF1562" t="s">
        <v>52</v>
      </c>
      <c r="AH1562">
        <v>0</v>
      </c>
      <c r="AI1562">
        <v>0</v>
      </c>
      <c r="AJ1562" t="s">
        <v>52</v>
      </c>
      <c r="AK1562">
        <v>0</v>
      </c>
      <c r="AL1562" t="s">
        <v>52</v>
      </c>
      <c r="AM1562" t="s">
        <v>52</v>
      </c>
      <c r="AN1562">
        <v>0</v>
      </c>
      <c r="AO1562">
        <v>0</v>
      </c>
      <c r="AP1562" t="s">
        <v>52</v>
      </c>
      <c r="AQ1562" t="s">
        <v>52</v>
      </c>
      <c r="AR1562" t="s">
        <v>62</v>
      </c>
      <c r="AS1562" t="s">
        <v>52</v>
      </c>
      <c r="AT1562" t="s">
        <v>52</v>
      </c>
      <c r="AU1562" t="s">
        <v>64</v>
      </c>
      <c r="AV1562" t="s">
        <v>62</v>
      </c>
      <c r="AW1562" t="s">
        <v>65</v>
      </c>
      <c r="AX1562" t="s">
        <v>66</v>
      </c>
      <c r="AY1562" t="s">
        <v>67</v>
      </c>
    </row>
    <row r="1563" spans="1:51" hidden="1" x14ac:dyDescent="0.25">
      <c r="A1563">
        <v>403437</v>
      </c>
      <c r="B1563" t="s">
        <v>5865</v>
      </c>
      <c r="C1563" t="e">
        <f>VLOOKUP(A1563,[1]Customer_payment_journal_line!$AL:$BO,30,0)</f>
        <v>#N/A</v>
      </c>
      <c r="D1563" t="s">
        <v>53</v>
      </c>
      <c r="E1563" t="s">
        <v>5863</v>
      </c>
      <c r="F1563" t="s">
        <v>5864</v>
      </c>
      <c r="G1563" t="s">
        <v>5265</v>
      </c>
      <c r="H1563" t="s">
        <v>69</v>
      </c>
      <c r="I1563" t="s">
        <v>339</v>
      </c>
      <c r="J1563" t="s">
        <v>3432</v>
      </c>
      <c r="K1563" t="s">
        <v>337</v>
      </c>
      <c r="L1563" t="s">
        <v>52</v>
      </c>
      <c r="M1563">
        <v>0</v>
      </c>
      <c r="N1563">
        <v>2229.84</v>
      </c>
      <c r="O1563" t="s">
        <v>61</v>
      </c>
      <c r="P1563">
        <v>100</v>
      </c>
      <c r="Q1563" t="s">
        <v>52</v>
      </c>
      <c r="R1563" t="s">
        <v>52</v>
      </c>
      <c r="S1563" t="s">
        <v>52</v>
      </c>
      <c r="T1563" t="s">
        <v>52</v>
      </c>
      <c r="U1563" t="s">
        <v>52</v>
      </c>
      <c r="V1563" t="s">
        <v>62</v>
      </c>
      <c r="W1563" t="s">
        <v>52</v>
      </c>
      <c r="Y1563" t="s">
        <v>340</v>
      </c>
      <c r="Z1563" t="s">
        <v>62</v>
      </c>
      <c r="AB1563" t="s">
        <v>5866</v>
      </c>
      <c r="AE1563" t="s">
        <v>5867</v>
      </c>
      <c r="AF1563" t="s">
        <v>52</v>
      </c>
      <c r="AH1563">
        <v>0</v>
      </c>
      <c r="AI1563">
        <v>0</v>
      </c>
      <c r="AJ1563" t="s">
        <v>52</v>
      </c>
      <c r="AK1563">
        <v>0</v>
      </c>
      <c r="AL1563" t="s">
        <v>52</v>
      </c>
      <c r="AM1563" t="s">
        <v>52</v>
      </c>
      <c r="AN1563">
        <v>0</v>
      </c>
      <c r="AO1563">
        <v>0</v>
      </c>
      <c r="AP1563" t="s">
        <v>52</v>
      </c>
      <c r="AQ1563" t="s">
        <v>52</v>
      </c>
      <c r="AR1563" t="s">
        <v>62</v>
      </c>
      <c r="AS1563" t="s">
        <v>52</v>
      </c>
      <c r="AT1563" t="s">
        <v>74</v>
      </c>
      <c r="AU1563" t="s">
        <v>64</v>
      </c>
      <c r="AV1563" t="s">
        <v>62</v>
      </c>
      <c r="AW1563" t="s">
        <v>65</v>
      </c>
      <c r="AX1563" t="s">
        <v>66</v>
      </c>
      <c r="AY1563" t="s">
        <v>67</v>
      </c>
    </row>
    <row r="1564" spans="1:51" hidden="1" x14ac:dyDescent="0.25">
      <c r="A1564">
        <v>406157</v>
      </c>
      <c r="B1564" t="s">
        <v>5868</v>
      </c>
      <c r="C1564" t="e">
        <f>VLOOKUP(A1564,[1]Customer_payment_journal_line!$AL:$BO,30,0)</f>
        <v>#N/A</v>
      </c>
      <c r="D1564" t="s">
        <v>53</v>
      </c>
      <c r="E1564" t="s">
        <v>5869</v>
      </c>
      <c r="F1564" t="s">
        <v>5870</v>
      </c>
      <c r="G1564" t="s">
        <v>5265</v>
      </c>
      <c r="H1564" t="s">
        <v>57</v>
      </c>
      <c r="I1564" t="s">
        <v>58</v>
      </c>
      <c r="J1564" t="s">
        <v>2814</v>
      </c>
      <c r="K1564" t="s">
        <v>5871</v>
      </c>
      <c r="L1564" t="s">
        <v>52</v>
      </c>
      <c r="M1564">
        <v>5130</v>
      </c>
      <c r="N1564">
        <v>0</v>
      </c>
      <c r="O1564" t="s">
        <v>61</v>
      </c>
      <c r="P1564">
        <v>100</v>
      </c>
      <c r="Q1564" t="s">
        <v>52</v>
      </c>
      <c r="R1564" t="s">
        <v>52</v>
      </c>
      <c r="S1564" t="s">
        <v>52</v>
      </c>
      <c r="T1564" t="s">
        <v>52</v>
      </c>
      <c r="U1564" t="s">
        <v>52</v>
      </c>
      <c r="V1564" t="s">
        <v>62</v>
      </c>
      <c r="W1564" t="s">
        <v>63</v>
      </c>
      <c r="Y1564" t="s">
        <v>52</v>
      </c>
      <c r="AB1564" t="s">
        <v>52</v>
      </c>
      <c r="AE1564" t="s">
        <v>52</v>
      </c>
      <c r="AF1564" t="s">
        <v>52</v>
      </c>
      <c r="AH1564">
        <v>0</v>
      </c>
      <c r="AI1564">
        <v>0</v>
      </c>
      <c r="AJ1564" t="s">
        <v>52</v>
      </c>
      <c r="AK1564">
        <v>0</v>
      </c>
      <c r="AL1564" t="s">
        <v>52</v>
      </c>
      <c r="AM1564" t="s">
        <v>52</v>
      </c>
      <c r="AN1564">
        <v>0</v>
      </c>
      <c r="AO1564">
        <v>0</v>
      </c>
      <c r="AP1564" t="s">
        <v>52</v>
      </c>
      <c r="AQ1564" t="s">
        <v>52</v>
      </c>
      <c r="AR1564" t="s">
        <v>62</v>
      </c>
      <c r="AS1564" t="s">
        <v>52</v>
      </c>
      <c r="AT1564" t="s">
        <v>52</v>
      </c>
      <c r="AU1564" t="s">
        <v>64</v>
      </c>
      <c r="AV1564" t="s">
        <v>62</v>
      </c>
      <c r="AW1564" t="s">
        <v>65</v>
      </c>
      <c r="AX1564" t="s">
        <v>66</v>
      </c>
      <c r="AY1564" t="s">
        <v>67</v>
      </c>
    </row>
    <row r="1565" spans="1:51" hidden="1" x14ac:dyDescent="0.25">
      <c r="A1565">
        <v>406157</v>
      </c>
      <c r="B1565" t="s">
        <v>5872</v>
      </c>
      <c r="C1565" t="e">
        <f>VLOOKUP(A1565,[1]Customer_payment_journal_line!$AL:$BO,30,0)</f>
        <v>#N/A</v>
      </c>
      <c r="D1565" t="s">
        <v>53</v>
      </c>
      <c r="E1565" t="s">
        <v>5869</v>
      </c>
      <c r="F1565" t="s">
        <v>5870</v>
      </c>
      <c r="G1565" t="s">
        <v>5265</v>
      </c>
      <c r="H1565" t="s">
        <v>69</v>
      </c>
      <c r="I1565" t="s">
        <v>2817</v>
      </c>
      <c r="J1565" t="s">
        <v>2814</v>
      </c>
      <c r="K1565" t="s">
        <v>5871</v>
      </c>
      <c r="L1565" t="s">
        <v>52</v>
      </c>
      <c r="M1565">
        <v>0</v>
      </c>
      <c r="N1565">
        <v>5130</v>
      </c>
      <c r="O1565" t="s">
        <v>61</v>
      </c>
      <c r="P1565">
        <v>100</v>
      </c>
      <c r="Q1565" t="s">
        <v>52</v>
      </c>
      <c r="R1565" t="s">
        <v>52</v>
      </c>
      <c r="S1565" t="s">
        <v>52</v>
      </c>
      <c r="T1565" t="s">
        <v>52</v>
      </c>
      <c r="U1565" t="s">
        <v>52</v>
      </c>
      <c r="V1565" t="s">
        <v>62</v>
      </c>
      <c r="W1565" t="s">
        <v>52</v>
      </c>
      <c r="Y1565" t="s">
        <v>2818</v>
      </c>
      <c r="Z1565" t="s">
        <v>62</v>
      </c>
      <c r="AB1565" t="s">
        <v>5873</v>
      </c>
      <c r="AE1565" t="s">
        <v>5874</v>
      </c>
      <c r="AF1565" t="s">
        <v>52</v>
      </c>
      <c r="AH1565">
        <v>0</v>
      </c>
      <c r="AI1565">
        <v>0</v>
      </c>
      <c r="AJ1565" t="s">
        <v>52</v>
      </c>
      <c r="AK1565">
        <v>0</v>
      </c>
      <c r="AL1565" t="s">
        <v>52</v>
      </c>
      <c r="AM1565" t="s">
        <v>52</v>
      </c>
      <c r="AN1565">
        <v>0</v>
      </c>
      <c r="AO1565">
        <v>0</v>
      </c>
      <c r="AP1565" t="s">
        <v>52</v>
      </c>
      <c r="AQ1565" t="s">
        <v>52</v>
      </c>
      <c r="AR1565" t="s">
        <v>62</v>
      </c>
      <c r="AS1565" t="s">
        <v>52</v>
      </c>
      <c r="AT1565" t="s">
        <v>74</v>
      </c>
      <c r="AU1565" t="s">
        <v>64</v>
      </c>
      <c r="AV1565" t="s">
        <v>62</v>
      </c>
      <c r="AW1565" t="s">
        <v>65</v>
      </c>
      <c r="AX1565" t="s">
        <v>66</v>
      </c>
      <c r="AY1565" t="s">
        <v>67</v>
      </c>
    </row>
    <row r="1566" spans="1:51" hidden="1" x14ac:dyDescent="0.25">
      <c r="A1566">
        <v>406158</v>
      </c>
      <c r="B1566" t="s">
        <v>5875</v>
      </c>
      <c r="C1566" t="e">
        <f>VLOOKUP(A1566,[1]Customer_payment_journal_line!$AL:$BO,30,0)</f>
        <v>#N/A</v>
      </c>
      <c r="D1566" t="s">
        <v>53</v>
      </c>
      <c r="E1566" t="s">
        <v>5876</v>
      </c>
      <c r="F1566" t="s">
        <v>5877</v>
      </c>
      <c r="G1566" t="s">
        <v>5265</v>
      </c>
      <c r="H1566" t="s">
        <v>57</v>
      </c>
      <c r="I1566" t="s">
        <v>58</v>
      </c>
      <c r="J1566" t="s">
        <v>2814</v>
      </c>
      <c r="K1566" t="s">
        <v>5871</v>
      </c>
      <c r="L1566" t="s">
        <v>52</v>
      </c>
      <c r="M1566">
        <v>855</v>
      </c>
      <c r="N1566">
        <v>0</v>
      </c>
      <c r="O1566" t="s">
        <v>61</v>
      </c>
      <c r="P1566">
        <v>100</v>
      </c>
      <c r="Q1566" t="s">
        <v>52</v>
      </c>
      <c r="R1566" t="s">
        <v>52</v>
      </c>
      <c r="S1566" t="s">
        <v>52</v>
      </c>
      <c r="T1566" t="s">
        <v>52</v>
      </c>
      <c r="U1566" t="s">
        <v>52</v>
      </c>
      <c r="V1566" t="s">
        <v>62</v>
      </c>
      <c r="W1566" t="s">
        <v>63</v>
      </c>
      <c r="Y1566" t="s">
        <v>52</v>
      </c>
      <c r="AB1566" t="s">
        <v>52</v>
      </c>
      <c r="AE1566" t="s">
        <v>52</v>
      </c>
      <c r="AF1566" t="s">
        <v>52</v>
      </c>
      <c r="AH1566">
        <v>0</v>
      </c>
      <c r="AI1566">
        <v>0</v>
      </c>
      <c r="AJ1566" t="s">
        <v>52</v>
      </c>
      <c r="AK1566">
        <v>0</v>
      </c>
      <c r="AL1566" t="s">
        <v>52</v>
      </c>
      <c r="AM1566" t="s">
        <v>52</v>
      </c>
      <c r="AN1566">
        <v>0</v>
      </c>
      <c r="AO1566">
        <v>0</v>
      </c>
      <c r="AP1566" t="s">
        <v>52</v>
      </c>
      <c r="AQ1566" t="s">
        <v>52</v>
      </c>
      <c r="AR1566" t="s">
        <v>62</v>
      </c>
      <c r="AS1566" t="s">
        <v>52</v>
      </c>
      <c r="AT1566" t="s">
        <v>52</v>
      </c>
      <c r="AU1566" t="s">
        <v>64</v>
      </c>
      <c r="AV1566" t="s">
        <v>62</v>
      </c>
      <c r="AW1566" t="s">
        <v>65</v>
      </c>
      <c r="AX1566" t="s">
        <v>66</v>
      </c>
      <c r="AY1566" t="s">
        <v>67</v>
      </c>
    </row>
    <row r="1567" spans="1:51" hidden="1" x14ac:dyDescent="0.25">
      <c r="A1567">
        <v>406158</v>
      </c>
      <c r="B1567" t="s">
        <v>5878</v>
      </c>
      <c r="C1567" t="e">
        <f>VLOOKUP(A1567,[1]Customer_payment_journal_line!$AL:$BO,30,0)</f>
        <v>#N/A</v>
      </c>
      <c r="D1567" t="s">
        <v>53</v>
      </c>
      <c r="E1567" t="s">
        <v>5876</v>
      </c>
      <c r="F1567" t="s">
        <v>5877</v>
      </c>
      <c r="G1567" t="s">
        <v>5265</v>
      </c>
      <c r="H1567" t="s">
        <v>69</v>
      </c>
      <c r="I1567" t="s">
        <v>2817</v>
      </c>
      <c r="J1567" t="s">
        <v>2814</v>
      </c>
      <c r="K1567" t="s">
        <v>5871</v>
      </c>
      <c r="L1567" t="s">
        <v>52</v>
      </c>
      <c r="M1567">
        <v>0</v>
      </c>
      <c r="N1567">
        <v>855</v>
      </c>
      <c r="O1567" t="s">
        <v>61</v>
      </c>
      <c r="P1567">
        <v>100</v>
      </c>
      <c r="Q1567" t="s">
        <v>52</v>
      </c>
      <c r="R1567" t="s">
        <v>52</v>
      </c>
      <c r="S1567" t="s">
        <v>52</v>
      </c>
      <c r="T1567" t="s">
        <v>52</v>
      </c>
      <c r="U1567" t="s">
        <v>52</v>
      </c>
      <c r="V1567" t="s">
        <v>62</v>
      </c>
      <c r="W1567" t="s">
        <v>52</v>
      </c>
      <c r="Y1567" t="s">
        <v>2818</v>
      </c>
      <c r="Z1567" t="s">
        <v>62</v>
      </c>
      <c r="AB1567" t="s">
        <v>5879</v>
      </c>
      <c r="AE1567" t="s">
        <v>5880</v>
      </c>
      <c r="AF1567" t="s">
        <v>52</v>
      </c>
      <c r="AH1567">
        <v>0</v>
      </c>
      <c r="AI1567">
        <v>0</v>
      </c>
      <c r="AJ1567" t="s">
        <v>52</v>
      </c>
      <c r="AK1567">
        <v>0</v>
      </c>
      <c r="AL1567" t="s">
        <v>52</v>
      </c>
      <c r="AM1567" t="s">
        <v>52</v>
      </c>
      <c r="AN1567">
        <v>0</v>
      </c>
      <c r="AO1567">
        <v>0</v>
      </c>
      <c r="AP1567" t="s">
        <v>52</v>
      </c>
      <c r="AQ1567" t="s">
        <v>52</v>
      </c>
      <c r="AR1567" t="s">
        <v>62</v>
      </c>
      <c r="AS1567" t="s">
        <v>52</v>
      </c>
      <c r="AT1567" t="s">
        <v>74</v>
      </c>
      <c r="AU1567" t="s">
        <v>64</v>
      </c>
      <c r="AV1567" t="s">
        <v>62</v>
      </c>
      <c r="AW1567" t="s">
        <v>65</v>
      </c>
      <c r="AX1567" t="s">
        <v>66</v>
      </c>
      <c r="AY1567" t="s">
        <v>67</v>
      </c>
    </row>
    <row r="1568" spans="1:51" hidden="1" x14ac:dyDescent="0.25">
      <c r="A1568">
        <v>406159</v>
      </c>
      <c r="B1568" t="s">
        <v>5881</v>
      </c>
      <c r="C1568" t="e">
        <f>VLOOKUP(A1568,[1]Customer_payment_journal_line!$AL:$BO,30,0)</f>
        <v>#N/A</v>
      </c>
      <c r="D1568" t="s">
        <v>53</v>
      </c>
      <c r="E1568" t="s">
        <v>5882</v>
      </c>
      <c r="F1568" t="s">
        <v>5883</v>
      </c>
      <c r="G1568" t="s">
        <v>5265</v>
      </c>
      <c r="H1568" t="s">
        <v>57</v>
      </c>
      <c r="I1568" t="s">
        <v>516</v>
      </c>
      <c r="J1568" t="s">
        <v>2814</v>
      </c>
      <c r="K1568" t="s">
        <v>5871</v>
      </c>
      <c r="L1568" t="s">
        <v>52</v>
      </c>
      <c r="M1568">
        <v>270</v>
      </c>
      <c r="N1568">
        <v>0</v>
      </c>
      <c r="O1568" t="s">
        <v>178</v>
      </c>
      <c r="P1568">
        <v>5085</v>
      </c>
      <c r="Q1568" t="s">
        <v>52</v>
      </c>
      <c r="R1568" t="s">
        <v>52</v>
      </c>
      <c r="S1568" t="s">
        <v>52</v>
      </c>
      <c r="T1568" t="s">
        <v>52</v>
      </c>
      <c r="U1568" t="s">
        <v>52</v>
      </c>
      <c r="V1568" t="s">
        <v>62</v>
      </c>
      <c r="W1568" t="s">
        <v>63</v>
      </c>
      <c r="Y1568" t="s">
        <v>52</v>
      </c>
      <c r="AB1568" t="s">
        <v>52</v>
      </c>
      <c r="AE1568" t="s">
        <v>52</v>
      </c>
      <c r="AF1568" t="s">
        <v>52</v>
      </c>
      <c r="AH1568">
        <v>0</v>
      </c>
      <c r="AI1568">
        <v>0</v>
      </c>
      <c r="AJ1568" t="s">
        <v>52</v>
      </c>
      <c r="AK1568">
        <v>0</v>
      </c>
      <c r="AL1568" t="s">
        <v>52</v>
      </c>
      <c r="AM1568" t="s">
        <v>52</v>
      </c>
      <c r="AN1568">
        <v>0</v>
      </c>
      <c r="AO1568">
        <v>0</v>
      </c>
      <c r="AP1568" t="s">
        <v>52</v>
      </c>
      <c r="AQ1568" t="s">
        <v>52</v>
      </c>
      <c r="AR1568" t="s">
        <v>62</v>
      </c>
      <c r="AS1568" t="s">
        <v>52</v>
      </c>
      <c r="AT1568" t="s">
        <v>52</v>
      </c>
      <c r="AU1568" t="s">
        <v>64</v>
      </c>
      <c r="AV1568" t="s">
        <v>62</v>
      </c>
      <c r="AW1568" t="s">
        <v>65</v>
      </c>
      <c r="AX1568" t="s">
        <v>66</v>
      </c>
      <c r="AY1568" t="s">
        <v>67</v>
      </c>
    </row>
    <row r="1569" spans="1:51" hidden="1" x14ac:dyDescent="0.25">
      <c r="A1569">
        <v>406159</v>
      </c>
      <c r="B1569" t="s">
        <v>5884</v>
      </c>
      <c r="C1569" t="e">
        <f>VLOOKUP(A1569,[1]Customer_payment_journal_line!$AL:$BO,30,0)</f>
        <v>#N/A</v>
      </c>
      <c r="D1569" t="s">
        <v>53</v>
      </c>
      <c r="E1569" t="s">
        <v>5882</v>
      </c>
      <c r="F1569" t="s">
        <v>5883</v>
      </c>
      <c r="G1569" t="s">
        <v>5265</v>
      </c>
      <c r="H1569" t="s">
        <v>69</v>
      </c>
      <c r="I1569" t="s">
        <v>2817</v>
      </c>
      <c r="J1569" t="s">
        <v>2814</v>
      </c>
      <c r="K1569" t="s">
        <v>5871</v>
      </c>
      <c r="L1569" t="s">
        <v>52</v>
      </c>
      <c r="M1569">
        <v>0</v>
      </c>
      <c r="N1569">
        <v>270</v>
      </c>
      <c r="O1569" t="s">
        <v>178</v>
      </c>
      <c r="P1569">
        <v>5085</v>
      </c>
      <c r="Q1569" t="s">
        <v>52</v>
      </c>
      <c r="R1569" t="s">
        <v>52</v>
      </c>
      <c r="S1569" t="s">
        <v>52</v>
      </c>
      <c r="T1569" t="s">
        <v>52</v>
      </c>
      <c r="U1569" t="s">
        <v>52</v>
      </c>
      <c r="V1569" t="s">
        <v>62</v>
      </c>
      <c r="W1569" t="s">
        <v>52</v>
      </c>
      <c r="Y1569" t="s">
        <v>2818</v>
      </c>
      <c r="Z1569" t="s">
        <v>62</v>
      </c>
      <c r="AB1569" t="s">
        <v>5885</v>
      </c>
      <c r="AE1569" t="s">
        <v>5886</v>
      </c>
      <c r="AF1569" t="s">
        <v>52</v>
      </c>
      <c r="AH1569">
        <v>0</v>
      </c>
      <c r="AI1569">
        <v>0</v>
      </c>
      <c r="AJ1569" t="s">
        <v>52</v>
      </c>
      <c r="AK1569">
        <v>0</v>
      </c>
      <c r="AL1569" t="s">
        <v>52</v>
      </c>
      <c r="AM1569" t="s">
        <v>52</v>
      </c>
      <c r="AN1569">
        <v>0</v>
      </c>
      <c r="AO1569">
        <v>0</v>
      </c>
      <c r="AP1569" t="s">
        <v>52</v>
      </c>
      <c r="AQ1569" t="s">
        <v>52</v>
      </c>
      <c r="AR1569" t="s">
        <v>62</v>
      </c>
      <c r="AS1569" t="s">
        <v>52</v>
      </c>
      <c r="AT1569" t="s">
        <v>74</v>
      </c>
      <c r="AU1569" t="s">
        <v>64</v>
      </c>
      <c r="AV1569" t="s">
        <v>62</v>
      </c>
      <c r="AW1569" t="s">
        <v>65</v>
      </c>
      <c r="AX1569" t="s">
        <v>66</v>
      </c>
      <c r="AY1569" t="s">
        <v>67</v>
      </c>
    </row>
    <row r="1570" spans="1:51" hidden="1" x14ac:dyDescent="0.25">
      <c r="A1570">
        <v>203515</v>
      </c>
      <c r="B1570" t="s">
        <v>5887</v>
      </c>
      <c r="C1570" t="e">
        <f>VLOOKUP(A1570,[1]Customer_payment_journal_line!$AL:$BO,30,0)</f>
        <v>#N/A</v>
      </c>
      <c r="D1570" t="s">
        <v>159</v>
      </c>
      <c r="E1570" t="s">
        <v>5888</v>
      </c>
      <c r="F1570" t="s">
        <v>5889</v>
      </c>
      <c r="G1570" t="s">
        <v>5265</v>
      </c>
      <c r="H1570" t="s">
        <v>80</v>
      </c>
      <c r="I1570" t="s">
        <v>632</v>
      </c>
      <c r="J1570" t="s">
        <v>5890</v>
      </c>
      <c r="K1570" t="s">
        <v>5891</v>
      </c>
      <c r="L1570" t="s">
        <v>52</v>
      </c>
      <c r="M1570">
        <v>10930</v>
      </c>
      <c r="N1570">
        <v>0</v>
      </c>
      <c r="O1570" t="s">
        <v>61</v>
      </c>
      <c r="P1570">
        <v>100</v>
      </c>
      <c r="Q1570" t="s">
        <v>52</v>
      </c>
      <c r="R1570" t="s">
        <v>52</v>
      </c>
      <c r="S1570" t="s">
        <v>52</v>
      </c>
      <c r="T1570" t="s">
        <v>52</v>
      </c>
      <c r="U1570" t="s">
        <v>52</v>
      </c>
      <c r="V1570" t="s">
        <v>62</v>
      </c>
      <c r="W1570" t="s">
        <v>52</v>
      </c>
      <c r="Y1570" t="s">
        <v>52</v>
      </c>
      <c r="AB1570" t="s">
        <v>52</v>
      </c>
      <c r="AE1570" t="s">
        <v>52</v>
      </c>
      <c r="AF1570" t="s">
        <v>52</v>
      </c>
      <c r="AH1570">
        <v>0</v>
      </c>
      <c r="AI1570">
        <v>0</v>
      </c>
      <c r="AJ1570" t="s">
        <v>52</v>
      </c>
      <c r="AK1570">
        <v>0</v>
      </c>
      <c r="AL1570" t="s">
        <v>52</v>
      </c>
      <c r="AM1570" t="s">
        <v>52</v>
      </c>
      <c r="AN1570">
        <v>0</v>
      </c>
      <c r="AO1570">
        <v>0</v>
      </c>
      <c r="AP1570" t="s">
        <v>52</v>
      </c>
      <c r="AQ1570" t="s">
        <v>52</v>
      </c>
      <c r="AR1570" t="s">
        <v>62</v>
      </c>
      <c r="AS1570" t="s">
        <v>52</v>
      </c>
      <c r="AT1570" t="s">
        <v>52</v>
      </c>
      <c r="AU1570" t="s">
        <v>64</v>
      </c>
      <c r="AV1570" t="s">
        <v>62</v>
      </c>
      <c r="AW1570" t="s">
        <v>65</v>
      </c>
      <c r="AX1570" t="s">
        <v>66</v>
      </c>
      <c r="AY1570" t="s">
        <v>165</v>
      </c>
    </row>
    <row r="1571" spans="1:51" hidden="1" x14ac:dyDescent="0.25">
      <c r="A1571">
        <v>203515</v>
      </c>
      <c r="B1571" t="s">
        <v>5892</v>
      </c>
      <c r="C1571" t="e">
        <f>VLOOKUP(A1571,[1]Customer_payment_journal_line!$AL:$BO,30,0)</f>
        <v>#N/A</v>
      </c>
      <c r="D1571" t="s">
        <v>159</v>
      </c>
      <c r="E1571" t="s">
        <v>5888</v>
      </c>
      <c r="F1571" t="s">
        <v>5889</v>
      </c>
      <c r="G1571" t="s">
        <v>5265</v>
      </c>
      <c r="H1571" t="s">
        <v>69</v>
      </c>
      <c r="I1571" t="s">
        <v>5893</v>
      </c>
      <c r="J1571" t="s">
        <v>5890</v>
      </c>
      <c r="K1571" t="s">
        <v>5891</v>
      </c>
      <c r="L1571" t="s">
        <v>52</v>
      </c>
      <c r="M1571">
        <v>0</v>
      </c>
      <c r="N1571">
        <v>10930</v>
      </c>
      <c r="O1571" t="s">
        <v>61</v>
      </c>
      <c r="P1571">
        <v>100</v>
      </c>
      <c r="Q1571" t="s">
        <v>52</v>
      </c>
      <c r="R1571" t="s">
        <v>52</v>
      </c>
      <c r="S1571" t="s">
        <v>52</v>
      </c>
      <c r="T1571" t="s">
        <v>52</v>
      </c>
      <c r="U1571" t="s">
        <v>52</v>
      </c>
      <c r="V1571" t="s">
        <v>62</v>
      </c>
      <c r="W1571" t="s">
        <v>52</v>
      </c>
      <c r="Y1571" t="s">
        <v>5894</v>
      </c>
      <c r="Z1571" t="s">
        <v>62</v>
      </c>
      <c r="AB1571" t="s">
        <v>5895</v>
      </c>
      <c r="AE1571" t="s">
        <v>5896</v>
      </c>
      <c r="AF1571" t="s">
        <v>52</v>
      </c>
      <c r="AH1571">
        <v>0</v>
      </c>
      <c r="AI1571">
        <v>0</v>
      </c>
      <c r="AJ1571" t="s">
        <v>52</v>
      </c>
      <c r="AK1571">
        <v>0</v>
      </c>
      <c r="AL1571" t="s">
        <v>52</v>
      </c>
      <c r="AM1571" t="s">
        <v>52</v>
      </c>
      <c r="AN1571">
        <v>0</v>
      </c>
      <c r="AO1571">
        <v>0</v>
      </c>
      <c r="AP1571" t="s">
        <v>52</v>
      </c>
      <c r="AQ1571" t="s">
        <v>52</v>
      </c>
      <c r="AR1571" t="s">
        <v>62</v>
      </c>
      <c r="AS1571" t="s">
        <v>52</v>
      </c>
      <c r="AT1571" t="s">
        <v>74</v>
      </c>
      <c r="AU1571" t="s">
        <v>64</v>
      </c>
      <c r="AV1571" t="s">
        <v>62</v>
      </c>
      <c r="AW1571" t="s">
        <v>65</v>
      </c>
      <c r="AX1571" t="s">
        <v>66</v>
      </c>
      <c r="AY1571" t="s">
        <v>165</v>
      </c>
    </row>
    <row r="1572" spans="1:51" hidden="1" x14ac:dyDescent="0.25">
      <c r="A1572">
        <v>203516</v>
      </c>
      <c r="B1572" t="s">
        <v>5897</v>
      </c>
      <c r="C1572" t="e">
        <f>VLOOKUP(A1572,[1]Customer_payment_journal_line!$AL:$BO,30,0)</f>
        <v>#N/A</v>
      </c>
      <c r="D1572" t="s">
        <v>159</v>
      </c>
      <c r="E1572" t="s">
        <v>5898</v>
      </c>
      <c r="F1572" t="s">
        <v>5899</v>
      </c>
      <c r="G1572" t="s">
        <v>5265</v>
      </c>
      <c r="H1572" t="s">
        <v>80</v>
      </c>
      <c r="I1572" t="s">
        <v>269</v>
      </c>
      <c r="J1572" t="s">
        <v>5890</v>
      </c>
      <c r="K1572" t="s">
        <v>5891</v>
      </c>
      <c r="L1572" t="s">
        <v>52</v>
      </c>
      <c r="M1572">
        <v>1650</v>
      </c>
      <c r="N1572">
        <v>0</v>
      </c>
      <c r="O1572" t="s">
        <v>178</v>
      </c>
      <c r="P1572">
        <v>5085</v>
      </c>
      <c r="Q1572" t="s">
        <v>52</v>
      </c>
      <c r="R1572" t="s">
        <v>52</v>
      </c>
      <c r="S1572" t="s">
        <v>52</v>
      </c>
      <c r="T1572" t="s">
        <v>52</v>
      </c>
      <c r="U1572" t="s">
        <v>52</v>
      </c>
      <c r="V1572" t="s">
        <v>62</v>
      </c>
      <c r="W1572" t="s">
        <v>52</v>
      </c>
      <c r="Y1572" t="s">
        <v>52</v>
      </c>
      <c r="AB1572" t="s">
        <v>52</v>
      </c>
      <c r="AE1572" t="s">
        <v>52</v>
      </c>
      <c r="AF1572" t="s">
        <v>52</v>
      </c>
      <c r="AH1572">
        <v>0</v>
      </c>
      <c r="AI1572">
        <v>0</v>
      </c>
      <c r="AJ1572" t="s">
        <v>52</v>
      </c>
      <c r="AK1572">
        <v>0</v>
      </c>
      <c r="AL1572" t="s">
        <v>52</v>
      </c>
      <c r="AM1572" t="s">
        <v>52</v>
      </c>
      <c r="AN1572">
        <v>0</v>
      </c>
      <c r="AO1572">
        <v>0</v>
      </c>
      <c r="AP1572" t="s">
        <v>52</v>
      </c>
      <c r="AQ1572" t="s">
        <v>52</v>
      </c>
      <c r="AR1572" t="s">
        <v>62</v>
      </c>
      <c r="AS1572" t="s">
        <v>52</v>
      </c>
      <c r="AT1572" t="s">
        <v>52</v>
      </c>
      <c r="AU1572" t="s">
        <v>64</v>
      </c>
      <c r="AV1572" t="s">
        <v>62</v>
      </c>
      <c r="AW1572" t="s">
        <v>65</v>
      </c>
      <c r="AX1572" t="s">
        <v>66</v>
      </c>
      <c r="AY1572" t="s">
        <v>165</v>
      </c>
    </row>
    <row r="1573" spans="1:51" hidden="1" x14ac:dyDescent="0.25">
      <c r="A1573">
        <v>203516</v>
      </c>
      <c r="B1573" t="s">
        <v>5900</v>
      </c>
      <c r="C1573" t="e">
        <f>VLOOKUP(A1573,[1]Customer_payment_journal_line!$AL:$BO,30,0)</f>
        <v>#N/A</v>
      </c>
      <c r="D1573" t="s">
        <v>159</v>
      </c>
      <c r="E1573" t="s">
        <v>5898</v>
      </c>
      <c r="F1573" t="s">
        <v>5899</v>
      </c>
      <c r="G1573" t="s">
        <v>5265</v>
      </c>
      <c r="H1573" t="s">
        <v>69</v>
      </c>
      <c r="I1573" t="s">
        <v>5893</v>
      </c>
      <c r="J1573" t="s">
        <v>5890</v>
      </c>
      <c r="K1573" t="s">
        <v>5891</v>
      </c>
      <c r="L1573" t="s">
        <v>52</v>
      </c>
      <c r="M1573">
        <v>0</v>
      </c>
      <c r="N1573">
        <v>1650</v>
      </c>
      <c r="O1573" t="s">
        <v>178</v>
      </c>
      <c r="P1573">
        <v>5085</v>
      </c>
      <c r="Q1573" t="s">
        <v>52</v>
      </c>
      <c r="R1573" t="s">
        <v>52</v>
      </c>
      <c r="S1573" t="s">
        <v>52</v>
      </c>
      <c r="T1573" t="s">
        <v>52</v>
      </c>
      <c r="U1573" t="s">
        <v>52</v>
      </c>
      <c r="V1573" t="s">
        <v>62</v>
      </c>
      <c r="W1573" t="s">
        <v>52</v>
      </c>
      <c r="Y1573" t="s">
        <v>5894</v>
      </c>
      <c r="Z1573" t="s">
        <v>62</v>
      </c>
      <c r="AB1573" t="s">
        <v>5901</v>
      </c>
      <c r="AE1573" t="s">
        <v>5902</v>
      </c>
      <c r="AF1573" t="s">
        <v>52</v>
      </c>
      <c r="AH1573">
        <v>0</v>
      </c>
      <c r="AI1573">
        <v>0</v>
      </c>
      <c r="AJ1573" t="s">
        <v>52</v>
      </c>
      <c r="AK1573">
        <v>0</v>
      </c>
      <c r="AL1573" t="s">
        <v>52</v>
      </c>
      <c r="AM1573" t="s">
        <v>52</v>
      </c>
      <c r="AN1573">
        <v>0</v>
      </c>
      <c r="AO1573">
        <v>0</v>
      </c>
      <c r="AP1573" t="s">
        <v>52</v>
      </c>
      <c r="AQ1573" t="s">
        <v>52</v>
      </c>
      <c r="AR1573" t="s">
        <v>62</v>
      </c>
      <c r="AS1573" t="s">
        <v>52</v>
      </c>
      <c r="AT1573" t="s">
        <v>74</v>
      </c>
      <c r="AU1573" t="s">
        <v>64</v>
      </c>
      <c r="AV1573" t="s">
        <v>62</v>
      </c>
      <c r="AW1573" t="s">
        <v>65</v>
      </c>
      <c r="AX1573" t="s">
        <v>66</v>
      </c>
      <c r="AY1573" t="s">
        <v>165</v>
      </c>
    </row>
    <row r="1574" spans="1:51" hidden="1" x14ac:dyDescent="0.25">
      <c r="A1574">
        <v>203517</v>
      </c>
      <c r="B1574" t="s">
        <v>5903</v>
      </c>
      <c r="C1574" t="e">
        <f>VLOOKUP(A1574,[1]Customer_payment_journal_line!$AL:$BO,30,0)</f>
        <v>#N/A</v>
      </c>
      <c r="D1574" t="s">
        <v>53</v>
      </c>
      <c r="E1574" t="s">
        <v>5904</v>
      </c>
      <c r="F1574" t="s">
        <v>5905</v>
      </c>
      <c r="G1574" t="s">
        <v>5265</v>
      </c>
      <c r="H1574" t="s">
        <v>57</v>
      </c>
      <c r="I1574" t="s">
        <v>58</v>
      </c>
      <c r="J1574" t="s">
        <v>5906</v>
      </c>
      <c r="K1574" t="s">
        <v>5907</v>
      </c>
      <c r="L1574" t="s">
        <v>52</v>
      </c>
      <c r="M1574">
        <v>1539</v>
      </c>
      <c r="N1574">
        <v>0</v>
      </c>
      <c r="O1574" t="s">
        <v>61</v>
      </c>
      <c r="P1574">
        <v>100</v>
      </c>
      <c r="Q1574" t="s">
        <v>52</v>
      </c>
      <c r="R1574" t="s">
        <v>52</v>
      </c>
      <c r="S1574" t="s">
        <v>52</v>
      </c>
      <c r="T1574" t="s">
        <v>52</v>
      </c>
      <c r="U1574" t="s">
        <v>52</v>
      </c>
      <c r="V1574" t="s">
        <v>62</v>
      </c>
      <c r="W1574" t="s">
        <v>63</v>
      </c>
      <c r="Y1574" t="s">
        <v>52</v>
      </c>
      <c r="AB1574" t="s">
        <v>52</v>
      </c>
      <c r="AE1574" t="s">
        <v>52</v>
      </c>
      <c r="AF1574" t="s">
        <v>52</v>
      </c>
      <c r="AH1574">
        <v>0</v>
      </c>
      <c r="AI1574">
        <v>0</v>
      </c>
      <c r="AJ1574" t="s">
        <v>52</v>
      </c>
      <c r="AK1574">
        <v>0</v>
      </c>
      <c r="AL1574" t="s">
        <v>52</v>
      </c>
      <c r="AM1574" t="s">
        <v>52</v>
      </c>
      <c r="AN1574">
        <v>0</v>
      </c>
      <c r="AO1574">
        <v>0</v>
      </c>
      <c r="AP1574" t="s">
        <v>52</v>
      </c>
      <c r="AQ1574" t="s">
        <v>52</v>
      </c>
      <c r="AR1574" t="s">
        <v>62</v>
      </c>
      <c r="AS1574" t="s">
        <v>52</v>
      </c>
      <c r="AT1574" t="s">
        <v>52</v>
      </c>
      <c r="AU1574" t="s">
        <v>64</v>
      </c>
      <c r="AV1574" t="s">
        <v>62</v>
      </c>
      <c r="AW1574" t="s">
        <v>65</v>
      </c>
      <c r="AX1574" t="s">
        <v>66</v>
      </c>
      <c r="AY1574" t="s">
        <v>67</v>
      </c>
    </row>
    <row r="1575" spans="1:51" hidden="1" x14ac:dyDescent="0.25">
      <c r="A1575">
        <v>203517</v>
      </c>
      <c r="B1575" t="s">
        <v>5908</v>
      </c>
      <c r="C1575" t="e">
        <f>VLOOKUP(A1575,[1]Customer_payment_journal_line!$AL:$BO,30,0)</f>
        <v>#N/A</v>
      </c>
      <c r="D1575" t="s">
        <v>53</v>
      </c>
      <c r="E1575" t="s">
        <v>5904</v>
      </c>
      <c r="F1575" t="s">
        <v>5905</v>
      </c>
      <c r="G1575" t="s">
        <v>5265</v>
      </c>
      <c r="H1575" t="s">
        <v>69</v>
      </c>
      <c r="I1575" t="s">
        <v>5909</v>
      </c>
      <c r="J1575" t="s">
        <v>5906</v>
      </c>
      <c r="K1575" t="s">
        <v>5907</v>
      </c>
      <c r="L1575" t="s">
        <v>52</v>
      </c>
      <c r="M1575">
        <v>0</v>
      </c>
      <c r="N1575">
        <v>1539</v>
      </c>
      <c r="O1575" t="s">
        <v>61</v>
      </c>
      <c r="P1575">
        <v>100</v>
      </c>
      <c r="Q1575" t="s">
        <v>52</v>
      </c>
      <c r="R1575" t="s">
        <v>52</v>
      </c>
      <c r="S1575" t="s">
        <v>52</v>
      </c>
      <c r="T1575" t="s">
        <v>52</v>
      </c>
      <c r="U1575" t="s">
        <v>52</v>
      </c>
      <c r="V1575" t="s">
        <v>62</v>
      </c>
      <c r="W1575" t="s">
        <v>52</v>
      </c>
      <c r="Y1575" t="s">
        <v>5910</v>
      </c>
      <c r="Z1575" t="s">
        <v>62</v>
      </c>
      <c r="AB1575" t="s">
        <v>5911</v>
      </c>
      <c r="AE1575" t="s">
        <v>5912</v>
      </c>
      <c r="AF1575" t="s">
        <v>52</v>
      </c>
      <c r="AH1575">
        <v>0</v>
      </c>
      <c r="AI1575">
        <v>0</v>
      </c>
      <c r="AJ1575" t="s">
        <v>52</v>
      </c>
      <c r="AK1575">
        <v>0</v>
      </c>
      <c r="AL1575" t="s">
        <v>52</v>
      </c>
      <c r="AM1575" t="s">
        <v>52</v>
      </c>
      <c r="AN1575">
        <v>0</v>
      </c>
      <c r="AO1575">
        <v>0</v>
      </c>
      <c r="AP1575" t="s">
        <v>52</v>
      </c>
      <c r="AQ1575" t="s">
        <v>52</v>
      </c>
      <c r="AR1575" t="s">
        <v>62</v>
      </c>
      <c r="AS1575" t="s">
        <v>52</v>
      </c>
      <c r="AT1575" t="s">
        <v>74</v>
      </c>
      <c r="AU1575" t="s">
        <v>64</v>
      </c>
      <c r="AV1575" t="s">
        <v>62</v>
      </c>
      <c r="AW1575" t="s">
        <v>65</v>
      </c>
      <c r="AX1575" t="s">
        <v>66</v>
      </c>
      <c r="AY1575" t="s">
        <v>67</v>
      </c>
    </row>
    <row r="1576" spans="1:51" hidden="1" x14ac:dyDescent="0.25">
      <c r="A1576">
        <v>203518</v>
      </c>
      <c r="B1576" t="s">
        <v>5913</v>
      </c>
      <c r="C1576" t="e">
        <f>VLOOKUP(A1576,[1]Customer_payment_journal_line!$AL:$BO,30,0)</f>
        <v>#N/A</v>
      </c>
      <c r="D1576" t="s">
        <v>53</v>
      </c>
      <c r="E1576" t="s">
        <v>5914</v>
      </c>
      <c r="F1576" t="s">
        <v>5915</v>
      </c>
      <c r="G1576" t="s">
        <v>5265</v>
      </c>
      <c r="H1576" t="s">
        <v>57</v>
      </c>
      <c r="I1576" t="s">
        <v>58</v>
      </c>
      <c r="J1576" t="s">
        <v>5906</v>
      </c>
      <c r="K1576" t="s">
        <v>5907</v>
      </c>
      <c r="L1576" t="s">
        <v>52</v>
      </c>
      <c r="M1576">
        <v>855</v>
      </c>
      <c r="N1576">
        <v>0</v>
      </c>
      <c r="O1576" t="s">
        <v>61</v>
      </c>
      <c r="P1576">
        <v>100</v>
      </c>
      <c r="Q1576" t="s">
        <v>52</v>
      </c>
      <c r="R1576" t="s">
        <v>52</v>
      </c>
      <c r="S1576" t="s">
        <v>52</v>
      </c>
      <c r="T1576" t="s">
        <v>52</v>
      </c>
      <c r="U1576" t="s">
        <v>52</v>
      </c>
      <c r="V1576" t="s">
        <v>62</v>
      </c>
      <c r="W1576" t="s">
        <v>63</v>
      </c>
      <c r="Y1576" t="s">
        <v>52</v>
      </c>
      <c r="AB1576" t="s">
        <v>52</v>
      </c>
      <c r="AE1576" t="s">
        <v>52</v>
      </c>
      <c r="AF1576" t="s">
        <v>52</v>
      </c>
      <c r="AH1576">
        <v>0</v>
      </c>
      <c r="AI1576">
        <v>0</v>
      </c>
      <c r="AJ1576" t="s">
        <v>52</v>
      </c>
      <c r="AK1576">
        <v>0</v>
      </c>
      <c r="AL1576" t="s">
        <v>52</v>
      </c>
      <c r="AM1576" t="s">
        <v>52</v>
      </c>
      <c r="AN1576">
        <v>0</v>
      </c>
      <c r="AO1576">
        <v>0</v>
      </c>
      <c r="AP1576" t="s">
        <v>52</v>
      </c>
      <c r="AQ1576" t="s">
        <v>52</v>
      </c>
      <c r="AR1576" t="s">
        <v>62</v>
      </c>
      <c r="AS1576" t="s">
        <v>52</v>
      </c>
      <c r="AT1576" t="s">
        <v>52</v>
      </c>
      <c r="AU1576" t="s">
        <v>64</v>
      </c>
      <c r="AV1576" t="s">
        <v>62</v>
      </c>
      <c r="AW1576" t="s">
        <v>65</v>
      </c>
      <c r="AX1576" t="s">
        <v>66</v>
      </c>
      <c r="AY1576" t="s">
        <v>67</v>
      </c>
    </row>
    <row r="1577" spans="1:51" hidden="1" x14ac:dyDescent="0.25">
      <c r="A1577">
        <v>203518</v>
      </c>
      <c r="B1577" t="s">
        <v>5916</v>
      </c>
      <c r="C1577" t="e">
        <f>VLOOKUP(A1577,[1]Customer_payment_journal_line!$AL:$BO,30,0)</f>
        <v>#N/A</v>
      </c>
      <c r="D1577" t="s">
        <v>53</v>
      </c>
      <c r="E1577" t="s">
        <v>5914</v>
      </c>
      <c r="F1577" t="s">
        <v>5915</v>
      </c>
      <c r="G1577" t="s">
        <v>5265</v>
      </c>
      <c r="H1577" t="s">
        <v>69</v>
      </c>
      <c r="I1577" t="s">
        <v>5909</v>
      </c>
      <c r="J1577" t="s">
        <v>5906</v>
      </c>
      <c r="K1577" t="s">
        <v>5907</v>
      </c>
      <c r="L1577" t="s">
        <v>52</v>
      </c>
      <c r="M1577">
        <v>0</v>
      </c>
      <c r="N1577">
        <v>855</v>
      </c>
      <c r="O1577" t="s">
        <v>61</v>
      </c>
      <c r="P1577">
        <v>100</v>
      </c>
      <c r="Q1577" t="s">
        <v>52</v>
      </c>
      <c r="R1577" t="s">
        <v>52</v>
      </c>
      <c r="S1577" t="s">
        <v>52</v>
      </c>
      <c r="T1577" t="s">
        <v>52</v>
      </c>
      <c r="U1577" t="s">
        <v>52</v>
      </c>
      <c r="V1577" t="s">
        <v>62</v>
      </c>
      <c r="W1577" t="s">
        <v>52</v>
      </c>
      <c r="Y1577" t="s">
        <v>5910</v>
      </c>
      <c r="Z1577" t="s">
        <v>62</v>
      </c>
      <c r="AB1577" t="s">
        <v>5917</v>
      </c>
      <c r="AE1577" t="s">
        <v>5918</v>
      </c>
      <c r="AF1577" t="s">
        <v>52</v>
      </c>
      <c r="AH1577">
        <v>0</v>
      </c>
      <c r="AI1577">
        <v>0</v>
      </c>
      <c r="AJ1577" t="s">
        <v>52</v>
      </c>
      <c r="AK1577">
        <v>0</v>
      </c>
      <c r="AL1577" t="s">
        <v>52</v>
      </c>
      <c r="AM1577" t="s">
        <v>52</v>
      </c>
      <c r="AN1577">
        <v>0</v>
      </c>
      <c r="AO1577">
        <v>0</v>
      </c>
      <c r="AP1577" t="s">
        <v>52</v>
      </c>
      <c r="AQ1577" t="s">
        <v>52</v>
      </c>
      <c r="AR1577" t="s">
        <v>62</v>
      </c>
      <c r="AS1577" t="s">
        <v>52</v>
      </c>
      <c r="AT1577" t="s">
        <v>74</v>
      </c>
      <c r="AU1577" t="s">
        <v>64</v>
      </c>
      <c r="AV1577" t="s">
        <v>62</v>
      </c>
      <c r="AW1577" t="s">
        <v>65</v>
      </c>
      <c r="AX1577" t="s">
        <v>66</v>
      </c>
      <c r="AY1577" t="s">
        <v>67</v>
      </c>
    </row>
    <row r="1578" spans="1:51" hidden="1" x14ac:dyDescent="0.25">
      <c r="A1578">
        <v>203520</v>
      </c>
      <c r="B1578" t="s">
        <v>5919</v>
      </c>
      <c r="C1578" t="e">
        <f>VLOOKUP(A1578,[1]Customer_payment_journal_line!$AL:$BO,30,0)</f>
        <v>#N/A</v>
      </c>
      <c r="D1578" t="s">
        <v>53</v>
      </c>
      <c r="E1578" t="s">
        <v>5920</v>
      </c>
      <c r="F1578" t="s">
        <v>5921</v>
      </c>
      <c r="G1578" t="s">
        <v>5265</v>
      </c>
      <c r="H1578" t="s">
        <v>57</v>
      </c>
      <c r="I1578" t="s">
        <v>58</v>
      </c>
      <c r="J1578" t="s">
        <v>5922</v>
      </c>
      <c r="K1578" t="s">
        <v>5923</v>
      </c>
      <c r="L1578" t="s">
        <v>52</v>
      </c>
      <c r="M1578">
        <v>3135</v>
      </c>
      <c r="N1578">
        <v>0</v>
      </c>
      <c r="O1578" t="s">
        <v>61</v>
      </c>
      <c r="P1578">
        <v>100</v>
      </c>
      <c r="Q1578" t="s">
        <v>52</v>
      </c>
      <c r="R1578" t="s">
        <v>52</v>
      </c>
      <c r="S1578" t="s">
        <v>52</v>
      </c>
      <c r="T1578" t="s">
        <v>52</v>
      </c>
      <c r="U1578" t="s">
        <v>52</v>
      </c>
      <c r="V1578" t="s">
        <v>62</v>
      </c>
      <c r="W1578" t="s">
        <v>63</v>
      </c>
      <c r="Y1578" t="s">
        <v>52</v>
      </c>
      <c r="AB1578" t="s">
        <v>52</v>
      </c>
      <c r="AE1578" t="s">
        <v>52</v>
      </c>
      <c r="AF1578" t="s">
        <v>52</v>
      </c>
      <c r="AH1578">
        <v>0</v>
      </c>
      <c r="AI1578">
        <v>0</v>
      </c>
      <c r="AJ1578" t="s">
        <v>52</v>
      </c>
      <c r="AK1578">
        <v>0</v>
      </c>
      <c r="AL1578" t="s">
        <v>52</v>
      </c>
      <c r="AM1578" t="s">
        <v>52</v>
      </c>
      <c r="AN1578">
        <v>0</v>
      </c>
      <c r="AO1578">
        <v>0</v>
      </c>
      <c r="AP1578" t="s">
        <v>52</v>
      </c>
      <c r="AQ1578" t="s">
        <v>52</v>
      </c>
      <c r="AR1578" t="s">
        <v>62</v>
      </c>
      <c r="AS1578" t="s">
        <v>52</v>
      </c>
      <c r="AT1578" t="s">
        <v>52</v>
      </c>
      <c r="AU1578" t="s">
        <v>64</v>
      </c>
      <c r="AV1578" t="s">
        <v>62</v>
      </c>
      <c r="AW1578" t="s">
        <v>65</v>
      </c>
      <c r="AX1578" t="s">
        <v>66</v>
      </c>
      <c r="AY1578" t="s">
        <v>67</v>
      </c>
    </row>
    <row r="1579" spans="1:51" hidden="1" x14ac:dyDescent="0.25">
      <c r="A1579">
        <v>203520</v>
      </c>
      <c r="B1579" t="s">
        <v>5924</v>
      </c>
      <c r="C1579" t="e">
        <f>VLOOKUP(A1579,[1]Customer_payment_journal_line!$AL:$BO,30,0)</f>
        <v>#N/A</v>
      </c>
      <c r="D1579" t="s">
        <v>53</v>
      </c>
      <c r="E1579" t="s">
        <v>5920</v>
      </c>
      <c r="F1579" t="s">
        <v>5921</v>
      </c>
      <c r="G1579" t="s">
        <v>5265</v>
      </c>
      <c r="H1579" t="s">
        <v>69</v>
      </c>
      <c r="I1579" t="s">
        <v>5925</v>
      </c>
      <c r="J1579" t="s">
        <v>5922</v>
      </c>
      <c r="K1579" t="s">
        <v>5923</v>
      </c>
      <c r="L1579" t="s">
        <v>52</v>
      </c>
      <c r="M1579">
        <v>0</v>
      </c>
      <c r="N1579">
        <v>3135</v>
      </c>
      <c r="O1579" t="s">
        <v>61</v>
      </c>
      <c r="P1579">
        <v>100</v>
      </c>
      <c r="Q1579" t="s">
        <v>52</v>
      </c>
      <c r="R1579" t="s">
        <v>52</v>
      </c>
      <c r="S1579" t="s">
        <v>52</v>
      </c>
      <c r="T1579" t="s">
        <v>52</v>
      </c>
      <c r="U1579" t="s">
        <v>52</v>
      </c>
      <c r="V1579" t="s">
        <v>62</v>
      </c>
      <c r="W1579" t="s">
        <v>52</v>
      </c>
      <c r="Y1579" t="s">
        <v>5926</v>
      </c>
      <c r="Z1579" t="s">
        <v>62</v>
      </c>
      <c r="AB1579" t="s">
        <v>5927</v>
      </c>
      <c r="AE1579" t="s">
        <v>5928</v>
      </c>
      <c r="AF1579" t="s">
        <v>52</v>
      </c>
      <c r="AH1579">
        <v>0</v>
      </c>
      <c r="AI1579">
        <v>0</v>
      </c>
      <c r="AJ1579" t="s">
        <v>52</v>
      </c>
      <c r="AK1579">
        <v>0</v>
      </c>
      <c r="AL1579" t="s">
        <v>52</v>
      </c>
      <c r="AM1579" t="s">
        <v>52</v>
      </c>
      <c r="AN1579">
        <v>0</v>
      </c>
      <c r="AO1579">
        <v>0</v>
      </c>
      <c r="AP1579" t="s">
        <v>52</v>
      </c>
      <c r="AQ1579" t="s">
        <v>52</v>
      </c>
      <c r="AR1579" t="s">
        <v>62</v>
      </c>
      <c r="AS1579" t="s">
        <v>52</v>
      </c>
      <c r="AT1579" t="s">
        <v>74</v>
      </c>
      <c r="AU1579" t="s">
        <v>64</v>
      </c>
      <c r="AV1579" t="s">
        <v>62</v>
      </c>
      <c r="AW1579" t="s">
        <v>65</v>
      </c>
      <c r="AX1579" t="s">
        <v>66</v>
      </c>
      <c r="AY1579" t="s">
        <v>67</v>
      </c>
    </row>
    <row r="1580" spans="1:51" hidden="1" x14ac:dyDescent="0.25">
      <c r="A1580">
        <v>203521</v>
      </c>
      <c r="B1580" t="s">
        <v>5929</v>
      </c>
      <c r="C1580" t="e">
        <f>VLOOKUP(A1580,[1]Customer_payment_journal_line!$AL:$BO,30,0)</f>
        <v>#N/A</v>
      </c>
      <c r="D1580" t="s">
        <v>53</v>
      </c>
      <c r="E1580" t="s">
        <v>5930</v>
      </c>
      <c r="F1580" t="s">
        <v>5931</v>
      </c>
      <c r="G1580" t="s">
        <v>5265</v>
      </c>
      <c r="H1580" t="s">
        <v>57</v>
      </c>
      <c r="I1580" t="s">
        <v>58</v>
      </c>
      <c r="J1580" t="s">
        <v>5922</v>
      </c>
      <c r="K1580" t="s">
        <v>5923</v>
      </c>
      <c r="L1580" t="s">
        <v>52</v>
      </c>
      <c r="M1580">
        <v>855</v>
      </c>
      <c r="N1580">
        <v>0</v>
      </c>
      <c r="O1580" t="s">
        <v>61</v>
      </c>
      <c r="P1580">
        <v>100</v>
      </c>
      <c r="Q1580" t="s">
        <v>52</v>
      </c>
      <c r="R1580" t="s">
        <v>52</v>
      </c>
      <c r="S1580" t="s">
        <v>52</v>
      </c>
      <c r="T1580" t="s">
        <v>52</v>
      </c>
      <c r="U1580" t="s">
        <v>52</v>
      </c>
      <c r="V1580" t="s">
        <v>62</v>
      </c>
      <c r="W1580" t="s">
        <v>63</v>
      </c>
      <c r="Y1580" t="s">
        <v>52</v>
      </c>
      <c r="AB1580" t="s">
        <v>52</v>
      </c>
      <c r="AE1580" t="s">
        <v>52</v>
      </c>
      <c r="AF1580" t="s">
        <v>52</v>
      </c>
      <c r="AH1580">
        <v>0</v>
      </c>
      <c r="AI1580">
        <v>0</v>
      </c>
      <c r="AJ1580" t="s">
        <v>52</v>
      </c>
      <c r="AK1580">
        <v>0</v>
      </c>
      <c r="AL1580" t="s">
        <v>52</v>
      </c>
      <c r="AM1580" t="s">
        <v>52</v>
      </c>
      <c r="AN1580">
        <v>0</v>
      </c>
      <c r="AO1580">
        <v>0</v>
      </c>
      <c r="AP1580" t="s">
        <v>52</v>
      </c>
      <c r="AQ1580" t="s">
        <v>52</v>
      </c>
      <c r="AR1580" t="s">
        <v>62</v>
      </c>
      <c r="AS1580" t="s">
        <v>52</v>
      </c>
      <c r="AT1580" t="s">
        <v>52</v>
      </c>
      <c r="AU1580" t="s">
        <v>64</v>
      </c>
      <c r="AV1580" t="s">
        <v>62</v>
      </c>
      <c r="AW1580" t="s">
        <v>65</v>
      </c>
      <c r="AX1580" t="s">
        <v>66</v>
      </c>
      <c r="AY1580" t="s">
        <v>67</v>
      </c>
    </row>
    <row r="1581" spans="1:51" hidden="1" x14ac:dyDescent="0.25">
      <c r="A1581">
        <v>203521</v>
      </c>
      <c r="B1581" t="s">
        <v>5932</v>
      </c>
      <c r="C1581" t="e">
        <f>VLOOKUP(A1581,[1]Customer_payment_journal_line!$AL:$BO,30,0)</f>
        <v>#N/A</v>
      </c>
      <c r="D1581" t="s">
        <v>53</v>
      </c>
      <c r="E1581" t="s">
        <v>5930</v>
      </c>
      <c r="F1581" t="s">
        <v>5931</v>
      </c>
      <c r="G1581" t="s">
        <v>5265</v>
      </c>
      <c r="H1581" t="s">
        <v>69</v>
      </c>
      <c r="I1581" t="s">
        <v>5925</v>
      </c>
      <c r="J1581" t="s">
        <v>5922</v>
      </c>
      <c r="K1581" t="s">
        <v>5923</v>
      </c>
      <c r="L1581" t="s">
        <v>52</v>
      </c>
      <c r="M1581">
        <v>0</v>
      </c>
      <c r="N1581">
        <v>855</v>
      </c>
      <c r="O1581" t="s">
        <v>61</v>
      </c>
      <c r="P1581">
        <v>100</v>
      </c>
      <c r="Q1581" t="s">
        <v>52</v>
      </c>
      <c r="R1581" t="s">
        <v>52</v>
      </c>
      <c r="S1581" t="s">
        <v>52</v>
      </c>
      <c r="T1581" t="s">
        <v>52</v>
      </c>
      <c r="U1581" t="s">
        <v>52</v>
      </c>
      <c r="V1581" t="s">
        <v>62</v>
      </c>
      <c r="W1581" t="s">
        <v>52</v>
      </c>
      <c r="Y1581" t="s">
        <v>5926</v>
      </c>
      <c r="Z1581" t="s">
        <v>62</v>
      </c>
      <c r="AB1581" t="s">
        <v>5933</v>
      </c>
      <c r="AE1581" t="s">
        <v>5934</v>
      </c>
      <c r="AF1581" t="s">
        <v>52</v>
      </c>
      <c r="AH1581">
        <v>0</v>
      </c>
      <c r="AI1581">
        <v>0</v>
      </c>
      <c r="AJ1581" t="s">
        <v>52</v>
      </c>
      <c r="AK1581">
        <v>0</v>
      </c>
      <c r="AL1581" t="s">
        <v>52</v>
      </c>
      <c r="AM1581" t="s">
        <v>52</v>
      </c>
      <c r="AN1581">
        <v>0</v>
      </c>
      <c r="AO1581">
        <v>0</v>
      </c>
      <c r="AP1581" t="s">
        <v>52</v>
      </c>
      <c r="AQ1581" t="s">
        <v>52</v>
      </c>
      <c r="AR1581" t="s">
        <v>62</v>
      </c>
      <c r="AS1581" t="s">
        <v>52</v>
      </c>
      <c r="AT1581" t="s">
        <v>74</v>
      </c>
      <c r="AU1581" t="s">
        <v>64</v>
      </c>
      <c r="AV1581" t="s">
        <v>62</v>
      </c>
      <c r="AW1581" t="s">
        <v>65</v>
      </c>
      <c r="AX1581" t="s">
        <v>66</v>
      </c>
      <c r="AY1581" t="s">
        <v>67</v>
      </c>
    </row>
    <row r="1582" spans="1:51" hidden="1" x14ac:dyDescent="0.25">
      <c r="A1582">
        <v>406161</v>
      </c>
      <c r="B1582" t="s">
        <v>5935</v>
      </c>
      <c r="C1582" t="e">
        <f>VLOOKUP(A1582,[1]Customer_payment_journal_line!$AL:$BO,30,0)</f>
        <v>#N/A</v>
      </c>
      <c r="D1582" t="s">
        <v>53</v>
      </c>
      <c r="E1582" t="s">
        <v>5936</v>
      </c>
      <c r="F1582" t="s">
        <v>5937</v>
      </c>
      <c r="G1582" t="s">
        <v>5265</v>
      </c>
      <c r="H1582" t="s">
        <v>57</v>
      </c>
      <c r="I1582" t="s">
        <v>58</v>
      </c>
      <c r="J1582" t="s">
        <v>5938</v>
      </c>
      <c r="K1582" t="s">
        <v>5939</v>
      </c>
      <c r="L1582" t="s">
        <v>52</v>
      </c>
      <c r="M1582">
        <v>5643</v>
      </c>
      <c r="N1582">
        <v>0</v>
      </c>
      <c r="O1582" t="s">
        <v>61</v>
      </c>
      <c r="P1582">
        <v>100</v>
      </c>
      <c r="Q1582" t="s">
        <v>52</v>
      </c>
      <c r="R1582" t="s">
        <v>52</v>
      </c>
      <c r="S1582" t="s">
        <v>52</v>
      </c>
      <c r="T1582" t="s">
        <v>52</v>
      </c>
      <c r="U1582" t="s">
        <v>52</v>
      </c>
      <c r="V1582" t="s">
        <v>62</v>
      </c>
      <c r="W1582" t="s">
        <v>63</v>
      </c>
      <c r="Y1582" t="s">
        <v>52</v>
      </c>
      <c r="AB1582" t="s">
        <v>52</v>
      </c>
      <c r="AE1582" t="s">
        <v>52</v>
      </c>
      <c r="AF1582" t="s">
        <v>52</v>
      </c>
      <c r="AH1582">
        <v>0</v>
      </c>
      <c r="AI1582">
        <v>0</v>
      </c>
      <c r="AJ1582" t="s">
        <v>52</v>
      </c>
      <c r="AK1582">
        <v>0</v>
      </c>
      <c r="AL1582" t="s">
        <v>52</v>
      </c>
      <c r="AM1582" t="s">
        <v>52</v>
      </c>
      <c r="AN1582">
        <v>0</v>
      </c>
      <c r="AO1582">
        <v>0</v>
      </c>
      <c r="AP1582" t="s">
        <v>52</v>
      </c>
      <c r="AQ1582" t="s">
        <v>52</v>
      </c>
      <c r="AR1582" t="s">
        <v>62</v>
      </c>
      <c r="AS1582" t="s">
        <v>52</v>
      </c>
      <c r="AT1582" t="s">
        <v>52</v>
      </c>
      <c r="AU1582" t="s">
        <v>64</v>
      </c>
      <c r="AV1582" t="s">
        <v>62</v>
      </c>
      <c r="AW1582" t="s">
        <v>65</v>
      </c>
      <c r="AX1582" t="s">
        <v>66</v>
      </c>
      <c r="AY1582" t="s">
        <v>67</v>
      </c>
    </row>
    <row r="1583" spans="1:51" hidden="1" x14ac:dyDescent="0.25">
      <c r="A1583">
        <v>406161</v>
      </c>
      <c r="B1583" t="s">
        <v>5940</v>
      </c>
      <c r="C1583" t="e">
        <f>VLOOKUP(A1583,[1]Customer_payment_journal_line!$AL:$BO,30,0)</f>
        <v>#N/A</v>
      </c>
      <c r="D1583" t="s">
        <v>53</v>
      </c>
      <c r="E1583" t="s">
        <v>5936</v>
      </c>
      <c r="F1583" t="s">
        <v>5937</v>
      </c>
      <c r="G1583" t="s">
        <v>5265</v>
      </c>
      <c r="H1583" t="s">
        <v>69</v>
      </c>
      <c r="I1583" t="s">
        <v>5941</v>
      </c>
      <c r="J1583" t="s">
        <v>5938</v>
      </c>
      <c r="K1583" t="s">
        <v>5939</v>
      </c>
      <c r="L1583" t="s">
        <v>52</v>
      </c>
      <c r="M1583">
        <v>0</v>
      </c>
      <c r="N1583">
        <v>5643</v>
      </c>
      <c r="O1583" t="s">
        <v>61</v>
      </c>
      <c r="P1583">
        <v>100</v>
      </c>
      <c r="Q1583" t="s">
        <v>52</v>
      </c>
      <c r="R1583" t="s">
        <v>52</v>
      </c>
      <c r="S1583" t="s">
        <v>52</v>
      </c>
      <c r="T1583" t="s">
        <v>52</v>
      </c>
      <c r="U1583" t="s">
        <v>52</v>
      </c>
      <c r="V1583" t="s">
        <v>62</v>
      </c>
      <c r="W1583" t="s">
        <v>52</v>
      </c>
      <c r="Y1583" t="s">
        <v>5942</v>
      </c>
      <c r="Z1583" t="s">
        <v>62</v>
      </c>
      <c r="AB1583" t="s">
        <v>5943</v>
      </c>
      <c r="AE1583" t="s">
        <v>5944</v>
      </c>
      <c r="AF1583" t="s">
        <v>52</v>
      </c>
      <c r="AH1583">
        <v>0</v>
      </c>
      <c r="AI1583">
        <v>0</v>
      </c>
      <c r="AJ1583" t="s">
        <v>52</v>
      </c>
      <c r="AK1583">
        <v>0</v>
      </c>
      <c r="AL1583" t="s">
        <v>52</v>
      </c>
      <c r="AM1583" t="s">
        <v>52</v>
      </c>
      <c r="AN1583">
        <v>0</v>
      </c>
      <c r="AO1583">
        <v>0</v>
      </c>
      <c r="AP1583" t="s">
        <v>52</v>
      </c>
      <c r="AQ1583" t="s">
        <v>52</v>
      </c>
      <c r="AR1583" t="s">
        <v>62</v>
      </c>
      <c r="AS1583" t="s">
        <v>52</v>
      </c>
      <c r="AT1583" t="s">
        <v>74</v>
      </c>
      <c r="AU1583" t="s">
        <v>64</v>
      </c>
      <c r="AV1583" t="s">
        <v>62</v>
      </c>
      <c r="AW1583" t="s">
        <v>65</v>
      </c>
      <c r="AX1583" t="s">
        <v>66</v>
      </c>
      <c r="AY1583" t="s">
        <v>67</v>
      </c>
    </row>
    <row r="1584" spans="1:51" hidden="1" x14ac:dyDescent="0.25">
      <c r="A1584">
        <v>406162</v>
      </c>
      <c r="B1584" t="s">
        <v>5945</v>
      </c>
      <c r="C1584" t="e">
        <f>VLOOKUP(A1584,[1]Customer_payment_journal_line!$AL:$BO,30,0)</f>
        <v>#N/A</v>
      </c>
      <c r="D1584" t="s">
        <v>53</v>
      </c>
      <c r="E1584" t="s">
        <v>5946</v>
      </c>
      <c r="F1584" t="s">
        <v>5947</v>
      </c>
      <c r="G1584" t="s">
        <v>5265</v>
      </c>
      <c r="H1584" t="s">
        <v>57</v>
      </c>
      <c r="I1584" t="s">
        <v>58</v>
      </c>
      <c r="J1584" t="s">
        <v>5938</v>
      </c>
      <c r="K1584" t="s">
        <v>5939</v>
      </c>
      <c r="L1584" t="s">
        <v>52</v>
      </c>
      <c r="M1584">
        <v>855</v>
      </c>
      <c r="N1584">
        <v>0</v>
      </c>
      <c r="O1584" t="s">
        <v>61</v>
      </c>
      <c r="P1584">
        <v>100</v>
      </c>
      <c r="Q1584" t="s">
        <v>52</v>
      </c>
      <c r="R1584" t="s">
        <v>52</v>
      </c>
      <c r="S1584" t="s">
        <v>52</v>
      </c>
      <c r="T1584" t="s">
        <v>52</v>
      </c>
      <c r="U1584" t="s">
        <v>52</v>
      </c>
      <c r="V1584" t="s">
        <v>62</v>
      </c>
      <c r="W1584" t="s">
        <v>63</v>
      </c>
      <c r="Y1584" t="s">
        <v>52</v>
      </c>
      <c r="AB1584" t="s">
        <v>52</v>
      </c>
      <c r="AE1584" t="s">
        <v>52</v>
      </c>
      <c r="AF1584" t="s">
        <v>52</v>
      </c>
      <c r="AH1584">
        <v>0</v>
      </c>
      <c r="AI1584">
        <v>0</v>
      </c>
      <c r="AJ1584" t="s">
        <v>52</v>
      </c>
      <c r="AK1584">
        <v>0</v>
      </c>
      <c r="AL1584" t="s">
        <v>52</v>
      </c>
      <c r="AM1584" t="s">
        <v>52</v>
      </c>
      <c r="AN1584">
        <v>0</v>
      </c>
      <c r="AO1584">
        <v>0</v>
      </c>
      <c r="AP1584" t="s">
        <v>52</v>
      </c>
      <c r="AQ1584" t="s">
        <v>52</v>
      </c>
      <c r="AR1584" t="s">
        <v>62</v>
      </c>
      <c r="AS1584" t="s">
        <v>52</v>
      </c>
      <c r="AT1584" t="s">
        <v>52</v>
      </c>
      <c r="AU1584" t="s">
        <v>64</v>
      </c>
      <c r="AV1584" t="s">
        <v>62</v>
      </c>
      <c r="AW1584" t="s">
        <v>65</v>
      </c>
      <c r="AX1584" t="s">
        <v>66</v>
      </c>
      <c r="AY1584" t="s">
        <v>67</v>
      </c>
    </row>
    <row r="1585" spans="1:51" hidden="1" x14ac:dyDescent="0.25">
      <c r="A1585">
        <v>406162</v>
      </c>
      <c r="B1585" t="s">
        <v>5948</v>
      </c>
      <c r="C1585" t="e">
        <f>VLOOKUP(A1585,[1]Customer_payment_journal_line!$AL:$BO,30,0)</f>
        <v>#N/A</v>
      </c>
      <c r="D1585" t="s">
        <v>53</v>
      </c>
      <c r="E1585" t="s">
        <v>5946</v>
      </c>
      <c r="F1585" t="s">
        <v>5947</v>
      </c>
      <c r="G1585" t="s">
        <v>5265</v>
      </c>
      <c r="H1585" t="s">
        <v>69</v>
      </c>
      <c r="I1585" t="s">
        <v>5941</v>
      </c>
      <c r="J1585" t="s">
        <v>5938</v>
      </c>
      <c r="K1585" t="s">
        <v>5939</v>
      </c>
      <c r="L1585" t="s">
        <v>52</v>
      </c>
      <c r="M1585">
        <v>0</v>
      </c>
      <c r="N1585">
        <v>855</v>
      </c>
      <c r="O1585" t="s">
        <v>61</v>
      </c>
      <c r="P1585">
        <v>100</v>
      </c>
      <c r="Q1585" t="s">
        <v>52</v>
      </c>
      <c r="R1585" t="s">
        <v>52</v>
      </c>
      <c r="S1585" t="s">
        <v>52</v>
      </c>
      <c r="T1585" t="s">
        <v>52</v>
      </c>
      <c r="U1585" t="s">
        <v>52</v>
      </c>
      <c r="V1585" t="s">
        <v>62</v>
      </c>
      <c r="W1585" t="s">
        <v>52</v>
      </c>
      <c r="Y1585" t="s">
        <v>5942</v>
      </c>
      <c r="Z1585" t="s">
        <v>62</v>
      </c>
      <c r="AB1585" t="s">
        <v>5949</v>
      </c>
      <c r="AE1585" t="s">
        <v>5950</v>
      </c>
      <c r="AF1585" t="s">
        <v>52</v>
      </c>
      <c r="AH1585">
        <v>0</v>
      </c>
      <c r="AI1585">
        <v>0</v>
      </c>
      <c r="AJ1585" t="s">
        <v>52</v>
      </c>
      <c r="AK1585">
        <v>0</v>
      </c>
      <c r="AL1585" t="s">
        <v>52</v>
      </c>
      <c r="AM1585" t="s">
        <v>52</v>
      </c>
      <c r="AN1585">
        <v>0</v>
      </c>
      <c r="AO1585">
        <v>0</v>
      </c>
      <c r="AP1585" t="s">
        <v>52</v>
      </c>
      <c r="AQ1585" t="s">
        <v>52</v>
      </c>
      <c r="AR1585" t="s">
        <v>62</v>
      </c>
      <c r="AS1585" t="s">
        <v>52</v>
      </c>
      <c r="AT1585" t="s">
        <v>74</v>
      </c>
      <c r="AU1585" t="s">
        <v>64</v>
      </c>
      <c r="AV1585" t="s">
        <v>62</v>
      </c>
      <c r="AW1585" t="s">
        <v>65</v>
      </c>
      <c r="AX1585" t="s">
        <v>66</v>
      </c>
      <c r="AY1585" t="s">
        <v>67</v>
      </c>
    </row>
    <row r="1586" spans="1:51" hidden="1" x14ac:dyDescent="0.25">
      <c r="A1586">
        <v>406166</v>
      </c>
      <c r="B1586" t="s">
        <v>5951</v>
      </c>
      <c r="C1586" t="e">
        <f>VLOOKUP(A1586,[1]Customer_payment_journal_line!$AL:$BO,30,0)</f>
        <v>#N/A</v>
      </c>
      <c r="D1586" t="s">
        <v>53</v>
      </c>
      <c r="E1586" t="s">
        <v>5952</v>
      </c>
      <c r="F1586" t="s">
        <v>5953</v>
      </c>
      <c r="G1586" t="s">
        <v>5265</v>
      </c>
      <c r="H1586" t="s">
        <v>57</v>
      </c>
      <c r="I1586" t="s">
        <v>58</v>
      </c>
      <c r="J1586" t="s">
        <v>5954</v>
      </c>
      <c r="K1586" t="s">
        <v>5955</v>
      </c>
      <c r="L1586" t="s">
        <v>52</v>
      </c>
      <c r="M1586">
        <v>1140</v>
      </c>
      <c r="N1586">
        <v>0</v>
      </c>
      <c r="O1586" t="s">
        <v>61</v>
      </c>
      <c r="P1586">
        <v>100</v>
      </c>
      <c r="Q1586" t="s">
        <v>52</v>
      </c>
      <c r="R1586" t="s">
        <v>52</v>
      </c>
      <c r="S1586" t="s">
        <v>52</v>
      </c>
      <c r="T1586" t="s">
        <v>52</v>
      </c>
      <c r="U1586" t="s">
        <v>52</v>
      </c>
      <c r="V1586" t="s">
        <v>62</v>
      </c>
      <c r="W1586" t="s">
        <v>63</v>
      </c>
      <c r="Y1586" t="s">
        <v>52</v>
      </c>
      <c r="AB1586" t="s">
        <v>52</v>
      </c>
      <c r="AE1586" t="s">
        <v>52</v>
      </c>
      <c r="AF1586" t="s">
        <v>52</v>
      </c>
      <c r="AH1586">
        <v>0</v>
      </c>
      <c r="AI1586">
        <v>0</v>
      </c>
      <c r="AJ1586" t="s">
        <v>52</v>
      </c>
      <c r="AK1586">
        <v>0</v>
      </c>
      <c r="AL1586" t="s">
        <v>52</v>
      </c>
      <c r="AM1586" t="s">
        <v>52</v>
      </c>
      <c r="AN1586">
        <v>0</v>
      </c>
      <c r="AO1586">
        <v>0</v>
      </c>
      <c r="AP1586" t="s">
        <v>52</v>
      </c>
      <c r="AQ1586" t="s">
        <v>52</v>
      </c>
      <c r="AR1586" t="s">
        <v>62</v>
      </c>
      <c r="AS1586" t="s">
        <v>52</v>
      </c>
      <c r="AT1586" t="s">
        <v>52</v>
      </c>
      <c r="AU1586" t="s">
        <v>64</v>
      </c>
      <c r="AV1586" t="s">
        <v>62</v>
      </c>
      <c r="AW1586" t="s">
        <v>65</v>
      </c>
      <c r="AX1586" t="s">
        <v>66</v>
      </c>
      <c r="AY1586" t="s">
        <v>67</v>
      </c>
    </row>
    <row r="1587" spans="1:51" hidden="1" x14ac:dyDescent="0.25">
      <c r="A1587">
        <v>406166</v>
      </c>
      <c r="B1587" t="s">
        <v>5956</v>
      </c>
      <c r="C1587" t="e">
        <f>VLOOKUP(A1587,[1]Customer_payment_journal_line!$AL:$BO,30,0)</f>
        <v>#N/A</v>
      </c>
      <c r="D1587" t="s">
        <v>53</v>
      </c>
      <c r="E1587" t="s">
        <v>5952</v>
      </c>
      <c r="F1587" t="s">
        <v>5953</v>
      </c>
      <c r="G1587" t="s">
        <v>5265</v>
      </c>
      <c r="H1587" t="s">
        <v>69</v>
      </c>
      <c r="I1587" t="s">
        <v>797</v>
      </c>
      <c r="J1587" t="s">
        <v>5954</v>
      </c>
      <c r="K1587" t="s">
        <v>5955</v>
      </c>
      <c r="L1587" t="s">
        <v>52</v>
      </c>
      <c r="M1587">
        <v>0</v>
      </c>
      <c r="N1587">
        <v>1140</v>
      </c>
      <c r="O1587" t="s">
        <v>61</v>
      </c>
      <c r="P1587">
        <v>100</v>
      </c>
      <c r="Q1587" t="s">
        <v>52</v>
      </c>
      <c r="R1587" t="s">
        <v>52</v>
      </c>
      <c r="S1587" t="s">
        <v>52</v>
      </c>
      <c r="T1587" t="s">
        <v>52</v>
      </c>
      <c r="U1587" t="s">
        <v>52</v>
      </c>
      <c r="V1587" t="s">
        <v>62</v>
      </c>
      <c r="W1587" t="s">
        <v>52</v>
      </c>
      <c r="Y1587" t="s">
        <v>798</v>
      </c>
      <c r="Z1587" t="s">
        <v>62</v>
      </c>
      <c r="AB1587" t="s">
        <v>5957</v>
      </c>
      <c r="AE1587" t="s">
        <v>5958</v>
      </c>
      <c r="AF1587" t="s">
        <v>52</v>
      </c>
      <c r="AH1587">
        <v>0</v>
      </c>
      <c r="AI1587">
        <v>0</v>
      </c>
      <c r="AJ1587" t="s">
        <v>52</v>
      </c>
      <c r="AK1587">
        <v>0</v>
      </c>
      <c r="AL1587" t="s">
        <v>52</v>
      </c>
      <c r="AM1587" t="s">
        <v>52</v>
      </c>
      <c r="AN1587">
        <v>0</v>
      </c>
      <c r="AO1587">
        <v>0</v>
      </c>
      <c r="AP1587" t="s">
        <v>52</v>
      </c>
      <c r="AQ1587" t="s">
        <v>52</v>
      </c>
      <c r="AR1587" t="s">
        <v>62</v>
      </c>
      <c r="AS1587" t="s">
        <v>52</v>
      </c>
      <c r="AT1587" t="s">
        <v>74</v>
      </c>
      <c r="AU1587" t="s">
        <v>64</v>
      </c>
      <c r="AV1587" t="s">
        <v>62</v>
      </c>
      <c r="AW1587" t="s">
        <v>65</v>
      </c>
      <c r="AX1587" t="s">
        <v>66</v>
      </c>
      <c r="AY1587" t="s">
        <v>67</v>
      </c>
    </row>
    <row r="1588" spans="1:51" hidden="1" x14ac:dyDescent="0.25">
      <c r="A1588">
        <v>406167</v>
      </c>
      <c r="B1588" t="s">
        <v>5959</v>
      </c>
      <c r="C1588" t="e">
        <f>VLOOKUP(A1588,[1]Customer_payment_journal_line!$AL:$BO,30,0)</f>
        <v>#N/A</v>
      </c>
      <c r="D1588" t="s">
        <v>53</v>
      </c>
      <c r="E1588" t="s">
        <v>5960</v>
      </c>
      <c r="F1588" t="s">
        <v>5961</v>
      </c>
      <c r="G1588" t="s">
        <v>5265</v>
      </c>
      <c r="H1588" t="s">
        <v>57</v>
      </c>
      <c r="I1588" t="s">
        <v>58</v>
      </c>
      <c r="J1588" t="s">
        <v>5954</v>
      </c>
      <c r="K1588" t="s">
        <v>5955</v>
      </c>
      <c r="L1588" t="s">
        <v>52</v>
      </c>
      <c r="M1588">
        <v>855</v>
      </c>
      <c r="N1588">
        <v>0</v>
      </c>
      <c r="O1588" t="s">
        <v>61</v>
      </c>
      <c r="P1588">
        <v>100</v>
      </c>
      <c r="Q1588" t="s">
        <v>52</v>
      </c>
      <c r="R1588" t="s">
        <v>52</v>
      </c>
      <c r="S1588" t="s">
        <v>52</v>
      </c>
      <c r="T1588" t="s">
        <v>52</v>
      </c>
      <c r="U1588" t="s">
        <v>52</v>
      </c>
      <c r="V1588" t="s">
        <v>62</v>
      </c>
      <c r="W1588" t="s">
        <v>63</v>
      </c>
      <c r="Y1588" t="s">
        <v>52</v>
      </c>
      <c r="AB1588" t="s">
        <v>52</v>
      </c>
      <c r="AE1588" t="s">
        <v>52</v>
      </c>
      <c r="AF1588" t="s">
        <v>52</v>
      </c>
      <c r="AH1588">
        <v>0</v>
      </c>
      <c r="AI1588">
        <v>0</v>
      </c>
      <c r="AJ1588" t="s">
        <v>52</v>
      </c>
      <c r="AK1588">
        <v>0</v>
      </c>
      <c r="AL1588" t="s">
        <v>52</v>
      </c>
      <c r="AM1588" t="s">
        <v>52</v>
      </c>
      <c r="AN1588">
        <v>0</v>
      </c>
      <c r="AO1588">
        <v>0</v>
      </c>
      <c r="AP1588" t="s">
        <v>52</v>
      </c>
      <c r="AQ1588" t="s">
        <v>52</v>
      </c>
      <c r="AR1588" t="s">
        <v>62</v>
      </c>
      <c r="AS1588" t="s">
        <v>52</v>
      </c>
      <c r="AT1588" t="s">
        <v>52</v>
      </c>
      <c r="AU1588" t="s">
        <v>64</v>
      </c>
      <c r="AV1588" t="s">
        <v>62</v>
      </c>
      <c r="AW1588" t="s">
        <v>65</v>
      </c>
      <c r="AX1588" t="s">
        <v>66</v>
      </c>
      <c r="AY1588" t="s">
        <v>67</v>
      </c>
    </row>
    <row r="1589" spans="1:51" hidden="1" x14ac:dyDescent="0.25">
      <c r="A1589">
        <v>406167</v>
      </c>
      <c r="B1589" t="s">
        <v>5962</v>
      </c>
      <c r="C1589" t="e">
        <f>VLOOKUP(A1589,[1]Customer_payment_journal_line!$AL:$BO,30,0)</f>
        <v>#N/A</v>
      </c>
      <c r="D1589" t="s">
        <v>53</v>
      </c>
      <c r="E1589" t="s">
        <v>5960</v>
      </c>
      <c r="F1589" t="s">
        <v>5961</v>
      </c>
      <c r="G1589" t="s">
        <v>5265</v>
      </c>
      <c r="H1589" t="s">
        <v>69</v>
      </c>
      <c r="I1589" t="s">
        <v>797</v>
      </c>
      <c r="J1589" t="s">
        <v>5954</v>
      </c>
      <c r="K1589" t="s">
        <v>5955</v>
      </c>
      <c r="L1589" t="s">
        <v>52</v>
      </c>
      <c r="M1589">
        <v>0</v>
      </c>
      <c r="N1589">
        <v>855</v>
      </c>
      <c r="O1589" t="s">
        <v>61</v>
      </c>
      <c r="P1589">
        <v>100</v>
      </c>
      <c r="Q1589" t="s">
        <v>52</v>
      </c>
      <c r="R1589" t="s">
        <v>52</v>
      </c>
      <c r="S1589" t="s">
        <v>52</v>
      </c>
      <c r="T1589" t="s">
        <v>52</v>
      </c>
      <c r="U1589" t="s">
        <v>52</v>
      </c>
      <c r="V1589" t="s">
        <v>62</v>
      </c>
      <c r="W1589" t="s">
        <v>52</v>
      </c>
      <c r="Y1589" t="s">
        <v>798</v>
      </c>
      <c r="Z1589" t="s">
        <v>62</v>
      </c>
      <c r="AB1589" t="s">
        <v>5963</v>
      </c>
      <c r="AE1589" t="s">
        <v>5964</v>
      </c>
      <c r="AF1589" t="s">
        <v>52</v>
      </c>
      <c r="AH1589">
        <v>0</v>
      </c>
      <c r="AI1589">
        <v>0</v>
      </c>
      <c r="AJ1589" t="s">
        <v>52</v>
      </c>
      <c r="AK1589">
        <v>0</v>
      </c>
      <c r="AL1589" t="s">
        <v>52</v>
      </c>
      <c r="AM1589" t="s">
        <v>52</v>
      </c>
      <c r="AN1589">
        <v>0</v>
      </c>
      <c r="AO1589">
        <v>0</v>
      </c>
      <c r="AP1589" t="s">
        <v>52</v>
      </c>
      <c r="AQ1589" t="s">
        <v>52</v>
      </c>
      <c r="AR1589" t="s">
        <v>62</v>
      </c>
      <c r="AS1589" t="s">
        <v>52</v>
      </c>
      <c r="AT1589" t="s">
        <v>74</v>
      </c>
      <c r="AU1589" t="s">
        <v>64</v>
      </c>
      <c r="AV1589" t="s">
        <v>62</v>
      </c>
      <c r="AW1589" t="s">
        <v>65</v>
      </c>
      <c r="AX1589" t="s">
        <v>66</v>
      </c>
      <c r="AY1589" t="s">
        <v>67</v>
      </c>
    </row>
    <row r="1590" spans="1:51" hidden="1" x14ac:dyDescent="0.25">
      <c r="A1590">
        <v>406168</v>
      </c>
      <c r="B1590" t="s">
        <v>5965</v>
      </c>
      <c r="C1590" t="e">
        <f>VLOOKUP(A1590,[1]Customer_payment_journal_line!$AL:$BO,30,0)</f>
        <v>#N/A</v>
      </c>
      <c r="D1590" t="s">
        <v>53</v>
      </c>
      <c r="E1590" t="s">
        <v>5966</v>
      </c>
      <c r="F1590" t="s">
        <v>5967</v>
      </c>
      <c r="G1590" t="s">
        <v>5265</v>
      </c>
      <c r="H1590" t="s">
        <v>57</v>
      </c>
      <c r="I1590" t="s">
        <v>58</v>
      </c>
      <c r="J1590" t="s">
        <v>5954</v>
      </c>
      <c r="K1590" t="s">
        <v>5968</v>
      </c>
      <c r="L1590" t="s">
        <v>52</v>
      </c>
      <c r="M1590">
        <v>1710</v>
      </c>
      <c r="N1590">
        <v>0</v>
      </c>
      <c r="O1590" t="s">
        <v>61</v>
      </c>
      <c r="P1590">
        <v>100</v>
      </c>
      <c r="Q1590" t="s">
        <v>52</v>
      </c>
      <c r="R1590" t="s">
        <v>52</v>
      </c>
      <c r="S1590" t="s">
        <v>52</v>
      </c>
      <c r="T1590" t="s">
        <v>52</v>
      </c>
      <c r="U1590" t="s">
        <v>52</v>
      </c>
      <c r="V1590" t="s">
        <v>62</v>
      </c>
      <c r="W1590" t="s">
        <v>63</v>
      </c>
      <c r="Y1590" t="s">
        <v>52</v>
      </c>
      <c r="AB1590" t="s">
        <v>52</v>
      </c>
      <c r="AE1590" t="s">
        <v>52</v>
      </c>
      <c r="AF1590" t="s">
        <v>52</v>
      </c>
      <c r="AH1590">
        <v>0</v>
      </c>
      <c r="AI1590">
        <v>0</v>
      </c>
      <c r="AJ1590" t="s">
        <v>52</v>
      </c>
      <c r="AK1590">
        <v>0</v>
      </c>
      <c r="AL1590" t="s">
        <v>52</v>
      </c>
      <c r="AM1590" t="s">
        <v>52</v>
      </c>
      <c r="AN1590">
        <v>0</v>
      </c>
      <c r="AO1590">
        <v>0</v>
      </c>
      <c r="AP1590" t="s">
        <v>52</v>
      </c>
      <c r="AQ1590" t="s">
        <v>52</v>
      </c>
      <c r="AR1590" t="s">
        <v>62</v>
      </c>
      <c r="AS1590" t="s">
        <v>52</v>
      </c>
      <c r="AT1590" t="s">
        <v>52</v>
      </c>
      <c r="AU1590" t="s">
        <v>64</v>
      </c>
      <c r="AV1590" t="s">
        <v>62</v>
      </c>
      <c r="AW1590" t="s">
        <v>65</v>
      </c>
      <c r="AX1590" t="s">
        <v>66</v>
      </c>
      <c r="AY1590" t="s">
        <v>67</v>
      </c>
    </row>
    <row r="1591" spans="1:51" hidden="1" x14ac:dyDescent="0.25">
      <c r="A1591">
        <v>406168</v>
      </c>
      <c r="B1591" t="s">
        <v>5969</v>
      </c>
      <c r="C1591" t="e">
        <f>VLOOKUP(A1591,[1]Customer_payment_journal_line!$AL:$BO,30,0)</f>
        <v>#N/A</v>
      </c>
      <c r="D1591" t="s">
        <v>53</v>
      </c>
      <c r="E1591" t="s">
        <v>5966</v>
      </c>
      <c r="F1591" t="s">
        <v>5967</v>
      </c>
      <c r="G1591" t="s">
        <v>5265</v>
      </c>
      <c r="H1591" t="s">
        <v>69</v>
      </c>
      <c r="I1591" t="s">
        <v>797</v>
      </c>
      <c r="J1591" t="s">
        <v>5954</v>
      </c>
      <c r="K1591" t="s">
        <v>5968</v>
      </c>
      <c r="L1591" t="s">
        <v>52</v>
      </c>
      <c r="M1591">
        <v>0</v>
      </c>
      <c r="N1591">
        <v>1710</v>
      </c>
      <c r="O1591" t="s">
        <v>61</v>
      </c>
      <c r="P1591">
        <v>100</v>
      </c>
      <c r="Q1591" t="s">
        <v>52</v>
      </c>
      <c r="R1591" t="s">
        <v>52</v>
      </c>
      <c r="S1591" t="s">
        <v>52</v>
      </c>
      <c r="T1591" t="s">
        <v>52</v>
      </c>
      <c r="U1591" t="s">
        <v>52</v>
      </c>
      <c r="V1591" t="s">
        <v>62</v>
      </c>
      <c r="W1591" t="s">
        <v>52</v>
      </c>
      <c r="Y1591" t="s">
        <v>798</v>
      </c>
      <c r="Z1591" t="s">
        <v>62</v>
      </c>
      <c r="AB1591" t="s">
        <v>5970</v>
      </c>
      <c r="AE1591" t="s">
        <v>5971</v>
      </c>
      <c r="AF1591" t="s">
        <v>52</v>
      </c>
      <c r="AH1591">
        <v>0</v>
      </c>
      <c r="AI1591">
        <v>0</v>
      </c>
      <c r="AJ1591" t="s">
        <v>52</v>
      </c>
      <c r="AK1591">
        <v>0</v>
      </c>
      <c r="AL1591" t="s">
        <v>52</v>
      </c>
      <c r="AM1591" t="s">
        <v>52</v>
      </c>
      <c r="AN1591">
        <v>0</v>
      </c>
      <c r="AO1591">
        <v>0</v>
      </c>
      <c r="AP1591" t="s">
        <v>52</v>
      </c>
      <c r="AQ1591" t="s">
        <v>52</v>
      </c>
      <c r="AR1591" t="s">
        <v>62</v>
      </c>
      <c r="AS1591" t="s">
        <v>52</v>
      </c>
      <c r="AT1591" t="s">
        <v>74</v>
      </c>
      <c r="AU1591" t="s">
        <v>64</v>
      </c>
      <c r="AV1591" t="s">
        <v>62</v>
      </c>
      <c r="AW1591" t="s">
        <v>65</v>
      </c>
      <c r="AX1591" t="s">
        <v>66</v>
      </c>
      <c r="AY1591" t="s">
        <v>67</v>
      </c>
    </row>
    <row r="1592" spans="1:51" hidden="1" x14ac:dyDescent="0.25">
      <c r="A1592">
        <v>406169</v>
      </c>
      <c r="B1592" t="s">
        <v>5972</v>
      </c>
      <c r="C1592" t="e">
        <f>VLOOKUP(A1592,[1]Customer_payment_journal_line!$AL:$BO,30,0)</f>
        <v>#N/A</v>
      </c>
      <c r="D1592" t="s">
        <v>53</v>
      </c>
      <c r="E1592" t="s">
        <v>5973</v>
      </c>
      <c r="F1592" t="s">
        <v>5974</v>
      </c>
      <c r="G1592" t="s">
        <v>5265</v>
      </c>
      <c r="H1592" t="s">
        <v>57</v>
      </c>
      <c r="I1592" t="s">
        <v>58</v>
      </c>
      <c r="J1592" t="s">
        <v>5954</v>
      </c>
      <c r="K1592" t="s">
        <v>5968</v>
      </c>
      <c r="L1592" t="s">
        <v>52</v>
      </c>
      <c r="M1592">
        <v>855</v>
      </c>
      <c r="N1592">
        <v>0</v>
      </c>
      <c r="O1592" t="s">
        <v>61</v>
      </c>
      <c r="P1592">
        <v>100</v>
      </c>
      <c r="Q1592" t="s">
        <v>52</v>
      </c>
      <c r="R1592" t="s">
        <v>52</v>
      </c>
      <c r="S1592" t="s">
        <v>52</v>
      </c>
      <c r="T1592" t="s">
        <v>52</v>
      </c>
      <c r="U1592" t="s">
        <v>52</v>
      </c>
      <c r="V1592" t="s">
        <v>62</v>
      </c>
      <c r="W1592" t="s">
        <v>63</v>
      </c>
      <c r="Y1592" t="s">
        <v>52</v>
      </c>
      <c r="AB1592" t="s">
        <v>52</v>
      </c>
      <c r="AE1592" t="s">
        <v>52</v>
      </c>
      <c r="AF1592" t="s">
        <v>52</v>
      </c>
      <c r="AH1592">
        <v>0</v>
      </c>
      <c r="AI1592">
        <v>0</v>
      </c>
      <c r="AJ1592" t="s">
        <v>52</v>
      </c>
      <c r="AK1592">
        <v>0</v>
      </c>
      <c r="AL1592" t="s">
        <v>52</v>
      </c>
      <c r="AM1592" t="s">
        <v>52</v>
      </c>
      <c r="AN1592">
        <v>0</v>
      </c>
      <c r="AO1592">
        <v>0</v>
      </c>
      <c r="AP1592" t="s">
        <v>52</v>
      </c>
      <c r="AQ1592" t="s">
        <v>52</v>
      </c>
      <c r="AR1592" t="s">
        <v>62</v>
      </c>
      <c r="AS1592" t="s">
        <v>52</v>
      </c>
      <c r="AT1592" t="s">
        <v>52</v>
      </c>
      <c r="AU1592" t="s">
        <v>64</v>
      </c>
      <c r="AV1592" t="s">
        <v>62</v>
      </c>
      <c r="AW1592" t="s">
        <v>65</v>
      </c>
      <c r="AX1592" t="s">
        <v>66</v>
      </c>
      <c r="AY1592" t="s">
        <v>67</v>
      </c>
    </row>
    <row r="1593" spans="1:51" hidden="1" x14ac:dyDescent="0.25">
      <c r="A1593">
        <v>406169</v>
      </c>
      <c r="B1593" t="s">
        <v>5975</v>
      </c>
      <c r="C1593" t="e">
        <f>VLOOKUP(A1593,[1]Customer_payment_journal_line!$AL:$BO,30,0)</f>
        <v>#N/A</v>
      </c>
      <c r="D1593" t="s">
        <v>53</v>
      </c>
      <c r="E1593" t="s">
        <v>5973</v>
      </c>
      <c r="F1593" t="s">
        <v>5974</v>
      </c>
      <c r="G1593" t="s">
        <v>5265</v>
      </c>
      <c r="H1593" t="s">
        <v>69</v>
      </c>
      <c r="I1593" t="s">
        <v>797</v>
      </c>
      <c r="J1593" t="s">
        <v>5954</v>
      </c>
      <c r="K1593" t="s">
        <v>5968</v>
      </c>
      <c r="L1593" t="s">
        <v>52</v>
      </c>
      <c r="M1593">
        <v>0</v>
      </c>
      <c r="N1593">
        <v>855</v>
      </c>
      <c r="O1593" t="s">
        <v>61</v>
      </c>
      <c r="P1593">
        <v>100</v>
      </c>
      <c r="Q1593" t="s">
        <v>52</v>
      </c>
      <c r="R1593" t="s">
        <v>52</v>
      </c>
      <c r="S1593" t="s">
        <v>52</v>
      </c>
      <c r="T1593" t="s">
        <v>52</v>
      </c>
      <c r="U1593" t="s">
        <v>52</v>
      </c>
      <c r="V1593" t="s">
        <v>62</v>
      </c>
      <c r="W1593" t="s">
        <v>52</v>
      </c>
      <c r="Y1593" t="s">
        <v>798</v>
      </c>
      <c r="Z1593" t="s">
        <v>62</v>
      </c>
      <c r="AB1593" t="s">
        <v>5976</v>
      </c>
      <c r="AE1593" t="s">
        <v>5977</v>
      </c>
      <c r="AF1593" t="s">
        <v>52</v>
      </c>
      <c r="AH1593">
        <v>0</v>
      </c>
      <c r="AI1593">
        <v>0</v>
      </c>
      <c r="AJ1593" t="s">
        <v>52</v>
      </c>
      <c r="AK1593">
        <v>0</v>
      </c>
      <c r="AL1593" t="s">
        <v>52</v>
      </c>
      <c r="AM1593" t="s">
        <v>52</v>
      </c>
      <c r="AN1593">
        <v>0</v>
      </c>
      <c r="AO1593">
        <v>0</v>
      </c>
      <c r="AP1593" t="s">
        <v>52</v>
      </c>
      <c r="AQ1593" t="s">
        <v>52</v>
      </c>
      <c r="AR1593" t="s">
        <v>62</v>
      </c>
      <c r="AS1593" t="s">
        <v>52</v>
      </c>
      <c r="AT1593" t="s">
        <v>74</v>
      </c>
      <c r="AU1593" t="s">
        <v>64</v>
      </c>
      <c r="AV1593" t="s">
        <v>62</v>
      </c>
      <c r="AW1593" t="s">
        <v>65</v>
      </c>
      <c r="AX1593" t="s">
        <v>66</v>
      </c>
      <c r="AY1593" t="s">
        <v>67</v>
      </c>
    </row>
    <row r="1594" spans="1:51" hidden="1" x14ac:dyDescent="0.25">
      <c r="A1594">
        <v>406170</v>
      </c>
      <c r="B1594" t="s">
        <v>5978</v>
      </c>
      <c r="C1594" t="e">
        <f>VLOOKUP(A1594,[1]Customer_payment_journal_line!$AL:$BO,30,0)</f>
        <v>#N/A</v>
      </c>
      <c r="D1594" t="s">
        <v>53</v>
      </c>
      <c r="E1594" t="s">
        <v>5979</v>
      </c>
      <c r="F1594" t="s">
        <v>5980</v>
      </c>
      <c r="G1594" t="s">
        <v>5265</v>
      </c>
      <c r="H1594" t="s">
        <v>57</v>
      </c>
      <c r="I1594" t="s">
        <v>58</v>
      </c>
      <c r="J1594" t="s">
        <v>5954</v>
      </c>
      <c r="K1594" t="s">
        <v>5981</v>
      </c>
      <c r="L1594" t="s">
        <v>52</v>
      </c>
      <c r="M1594">
        <v>6270</v>
      </c>
      <c r="N1594">
        <v>0</v>
      </c>
      <c r="O1594" t="s">
        <v>61</v>
      </c>
      <c r="P1594">
        <v>100</v>
      </c>
      <c r="Q1594" t="s">
        <v>52</v>
      </c>
      <c r="R1594" t="s">
        <v>52</v>
      </c>
      <c r="S1594" t="s">
        <v>52</v>
      </c>
      <c r="T1594" t="s">
        <v>52</v>
      </c>
      <c r="U1594" t="s">
        <v>52</v>
      </c>
      <c r="V1594" t="s">
        <v>62</v>
      </c>
      <c r="W1594" t="s">
        <v>63</v>
      </c>
      <c r="Y1594" t="s">
        <v>52</v>
      </c>
      <c r="AB1594" t="s">
        <v>52</v>
      </c>
      <c r="AE1594" t="s">
        <v>52</v>
      </c>
      <c r="AF1594" t="s">
        <v>52</v>
      </c>
      <c r="AH1594">
        <v>0</v>
      </c>
      <c r="AI1594">
        <v>0</v>
      </c>
      <c r="AJ1594" t="s">
        <v>52</v>
      </c>
      <c r="AK1594">
        <v>0</v>
      </c>
      <c r="AL1594" t="s">
        <v>52</v>
      </c>
      <c r="AM1594" t="s">
        <v>52</v>
      </c>
      <c r="AN1594">
        <v>0</v>
      </c>
      <c r="AO1594">
        <v>0</v>
      </c>
      <c r="AP1594" t="s">
        <v>52</v>
      </c>
      <c r="AQ1594" t="s">
        <v>52</v>
      </c>
      <c r="AR1594" t="s">
        <v>62</v>
      </c>
      <c r="AS1594" t="s">
        <v>52</v>
      </c>
      <c r="AT1594" t="s">
        <v>52</v>
      </c>
      <c r="AU1594" t="s">
        <v>64</v>
      </c>
      <c r="AV1594" t="s">
        <v>62</v>
      </c>
      <c r="AW1594" t="s">
        <v>65</v>
      </c>
      <c r="AX1594" t="s">
        <v>66</v>
      </c>
      <c r="AY1594" t="s">
        <v>67</v>
      </c>
    </row>
    <row r="1595" spans="1:51" hidden="1" x14ac:dyDescent="0.25">
      <c r="A1595">
        <v>406170</v>
      </c>
      <c r="B1595" t="s">
        <v>5982</v>
      </c>
      <c r="C1595" t="e">
        <f>VLOOKUP(A1595,[1]Customer_payment_journal_line!$AL:$BO,30,0)</f>
        <v>#N/A</v>
      </c>
      <c r="D1595" t="s">
        <v>53</v>
      </c>
      <c r="E1595" t="s">
        <v>5979</v>
      </c>
      <c r="F1595" t="s">
        <v>5980</v>
      </c>
      <c r="G1595" t="s">
        <v>5265</v>
      </c>
      <c r="H1595" t="s">
        <v>69</v>
      </c>
      <c r="I1595" t="s">
        <v>797</v>
      </c>
      <c r="J1595" t="s">
        <v>5954</v>
      </c>
      <c r="K1595" t="s">
        <v>5981</v>
      </c>
      <c r="L1595" t="s">
        <v>52</v>
      </c>
      <c r="M1595">
        <v>0</v>
      </c>
      <c r="N1595">
        <v>6270</v>
      </c>
      <c r="O1595" t="s">
        <v>61</v>
      </c>
      <c r="P1595">
        <v>100</v>
      </c>
      <c r="Q1595" t="s">
        <v>52</v>
      </c>
      <c r="R1595" t="s">
        <v>52</v>
      </c>
      <c r="S1595" t="s">
        <v>52</v>
      </c>
      <c r="T1595" t="s">
        <v>52</v>
      </c>
      <c r="U1595" t="s">
        <v>52</v>
      </c>
      <c r="V1595" t="s">
        <v>62</v>
      </c>
      <c r="W1595" t="s">
        <v>52</v>
      </c>
      <c r="Y1595" t="s">
        <v>798</v>
      </c>
      <c r="Z1595" t="s">
        <v>62</v>
      </c>
      <c r="AB1595" t="s">
        <v>5983</v>
      </c>
      <c r="AE1595" t="s">
        <v>5984</v>
      </c>
      <c r="AF1595" t="s">
        <v>52</v>
      </c>
      <c r="AH1595">
        <v>0</v>
      </c>
      <c r="AI1595">
        <v>0</v>
      </c>
      <c r="AJ1595" t="s">
        <v>52</v>
      </c>
      <c r="AK1595">
        <v>0</v>
      </c>
      <c r="AL1595" t="s">
        <v>52</v>
      </c>
      <c r="AM1595" t="s">
        <v>52</v>
      </c>
      <c r="AN1595">
        <v>0</v>
      </c>
      <c r="AO1595">
        <v>0</v>
      </c>
      <c r="AP1595" t="s">
        <v>52</v>
      </c>
      <c r="AQ1595" t="s">
        <v>52</v>
      </c>
      <c r="AR1595" t="s">
        <v>62</v>
      </c>
      <c r="AS1595" t="s">
        <v>52</v>
      </c>
      <c r="AT1595" t="s">
        <v>74</v>
      </c>
      <c r="AU1595" t="s">
        <v>64</v>
      </c>
      <c r="AV1595" t="s">
        <v>62</v>
      </c>
      <c r="AW1595" t="s">
        <v>65</v>
      </c>
      <c r="AX1595" t="s">
        <v>66</v>
      </c>
      <c r="AY1595" t="s">
        <v>67</v>
      </c>
    </row>
    <row r="1596" spans="1:51" hidden="1" x14ac:dyDescent="0.25">
      <c r="A1596">
        <v>406171</v>
      </c>
      <c r="B1596" t="s">
        <v>5985</v>
      </c>
      <c r="C1596" t="e">
        <f>VLOOKUP(A1596,[1]Customer_payment_journal_line!$AL:$BO,30,0)</f>
        <v>#N/A</v>
      </c>
      <c r="D1596" t="s">
        <v>53</v>
      </c>
      <c r="E1596" t="s">
        <v>5986</v>
      </c>
      <c r="F1596" t="s">
        <v>5987</v>
      </c>
      <c r="G1596" t="s">
        <v>5265</v>
      </c>
      <c r="H1596" t="s">
        <v>57</v>
      </c>
      <c r="I1596" t="s">
        <v>58</v>
      </c>
      <c r="J1596" t="s">
        <v>5954</v>
      </c>
      <c r="K1596" t="s">
        <v>5981</v>
      </c>
      <c r="L1596" t="s">
        <v>52</v>
      </c>
      <c r="M1596">
        <v>855</v>
      </c>
      <c r="N1596">
        <v>0</v>
      </c>
      <c r="O1596" t="s">
        <v>61</v>
      </c>
      <c r="P1596">
        <v>100</v>
      </c>
      <c r="Q1596" t="s">
        <v>52</v>
      </c>
      <c r="R1596" t="s">
        <v>52</v>
      </c>
      <c r="S1596" t="s">
        <v>52</v>
      </c>
      <c r="T1596" t="s">
        <v>52</v>
      </c>
      <c r="U1596" t="s">
        <v>52</v>
      </c>
      <c r="V1596" t="s">
        <v>62</v>
      </c>
      <c r="W1596" t="s">
        <v>63</v>
      </c>
      <c r="Y1596" t="s">
        <v>52</v>
      </c>
      <c r="AB1596" t="s">
        <v>52</v>
      </c>
      <c r="AE1596" t="s">
        <v>52</v>
      </c>
      <c r="AF1596" t="s">
        <v>52</v>
      </c>
      <c r="AH1596">
        <v>0</v>
      </c>
      <c r="AI1596">
        <v>0</v>
      </c>
      <c r="AJ1596" t="s">
        <v>52</v>
      </c>
      <c r="AK1596">
        <v>0</v>
      </c>
      <c r="AL1596" t="s">
        <v>52</v>
      </c>
      <c r="AM1596" t="s">
        <v>52</v>
      </c>
      <c r="AN1596">
        <v>0</v>
      </c>
      <c r="AO1596">
        <v>0</v>
      </c>
      <c r="AP1596" t="s">
        <v>52</v>
      </c>
      <c r="AQ1596" t="s">
        <v>52</v>
      </c>
      <c r="AR1596" t="s">
        <v>62</v>
      </c>
      <c r="AS1596" t="s">
        <v>52</v>
      </c>
      <c r="AT1596" t="s">
        <v>52</v>
      </c>
      <c r="AU1596" t="s">
        <v>64</v>
      </c>
      <c r="AV1596" t="s">
        <v>62</v>
      </c>
      <c r="AW1596" t="s">
        <v>65</v>
      </c>
      <c r="AX1596" t="s">
        <v>66</v>
      </c>
      <c r="AY1596" t="s">
        <v>67</v>
      </c>
    </row>
    <row r="1597" spans="1:51" hidden="1" x14ac:dyDescent="0.25">
      <c r="A1597">
        <v>406171</v>
      </c>
      <c r="B1597" t="s">
        <v>5988</v>
      </c>
      <c r="C1597" t="e">
        <f>VLOOKUP(A1597,[1]Customer_payment_journal_line!$AL:$BO,30,0)</f>
        <v>#N/A</v>
      </c>
      <c r="D1597" t="s">
        <v>53</v>
      </c>
      <c r="E1597" t="s">
        <v>5986</v>
      </c>
      <c r="F1597" t="s">
        <v>5987</v>
      </c>
      <c r="G1597" t="s">
        <v>5265</v>
      </c>
      <c r="H1597" t="s">
        <v>69</v>
      </c>
      <c r="I1597" t="s">
        <v>797</v>
      </c>
      <c r="J1597" t="s">
        <v>5954</v>
      </c>
      <c r="K1597" t="s">
        <v>5981</v>
      </c>
      <c r="L1597" t="s">
        <v>52</v>
      </c>
      <c r="M1597">
        <v>0</v>
      </c>
      <c r="N1597">
        <v>855</v>
      </c>
      <c r="O1597" t="s">
        <v>61</v>
      </c>
      <c r="P1597">
        <v>100</v>
      </c>
      <c r="Q1597" t="s">
        <v>52</v>
      </c>
      <c r="R1597" t="s">
        <v>52</v>
      </c>
      <c r="S1597" t="s">
        <v>52</v>
      </c>
      <c r="T1597" t="s">
        <v>52</v>
      </c>
      <c r="U1597" t="s">
        <v>52</v>
      </c>
      <c r="V1597" t="s">
        <v>62</v>
      </c>
      <c r="W1597" t="s">
        <v>52</v>
      </c>
      <c r="Y1597" t="s">
        <v>798</v>
      </c>
      <c r="Z1597" t="s">
        <v>62</v>
      </c>
      <c r="AB1597" t="s">
        <v>5989</v>
      </c>
      <c r="AE1597" t="s">
        <v>5990</v>
      </c>
      <c r="AF1597" t="s">
        <v>52</v>
      </c>
      <c r="AH1597">
        <v>0</v>
      </c>
      <c r="AI1597">
        <v>0</v>
      </c>
      <c r="AJ1597" t="s">
        <v>52</v>
      </c>
      <c r="AK1597">
        <v>0</v>
      </c>
      <c r="AL1597" t="s">
        <v>52</v>
      </c>
      <c r="AM1597" t="s">
        <v>52</v>
      </c>
      <c r="AN1597">
        <v>0</v>
      </c>
      <c r="AO1597">
        <v>0</v>
      </c>
      <c r="AP1597" t="s">
        <v>52</v>
      </c>
      <c r="AQ1597" t="s">
        <v>52</v>
      </c>
      <c r="AR1597" t="s">
        <v>62</v>
      </c>
      <c r="AS1597" t="s">
        <v>52</v>
      </c>
      <c r="AT1597" t="s">
        <v>74</v>
      </c>
      <c r="AU1597" t="s">
        <v>64</v>
      </c>
      <c r="AV1597" t="s">
        <v>62</v>
      </c>
      <c r="AW1597" t="s">
        <v>65</v>
      </c>
      <c r="AX1597" t="s">
        <v>66</v>
      </c>
      <c r="AY1597" t="s">
        <v>67</v>
      </c>
    </row>
    <row r="1598" spans="1:51" hidden="1" x14ac:dyDescent="0.25">
      <c r="A1598">
        <v>404496</v>
      </c>
      <c r="B1598" t="s">
        <v>5991</v>
      </c>
      <c r="C1598" t="e">
        <f>VLOOKUP(A1598,[1]Customer_payment_journal_line!$AL:$BO,30,0)</f>
        <v>#N/A</v>
      </c>
      <c r="D1598" t="s">
        <v>53</v>
      </c>
      <c r="E1598" t="s">
        <v>5992</v>
      </c>
      <c r="F1598" t="s">
        <v>5993</v>
      </c>
      <c r="G1598" t="s">
        <v>5265</v>
      </c>
      <c r="H1598" t="s">
        <v>57</v>
      </c>
      <c r="I1598" t="s">
        <v>125</v>
      </c>
      <c r="J1598" t="s">
        <v>5994</v>
      </c>
      <c r="K1598" t="s">
        <v>5995</v>
      </c>
      <c r="L1598" t="s">
        <v>52</v>
      </c>
      <c r="M1598">
        <v>70</v>
      </c>
      <c r="N1598">
        <v>0</v>
      </c>
      <c r="O1598" t="s">
        <v>126</v>
      </c>
      <c r="P1598">
        <v>5285</v>
      </c>
      <c r="Q1598" t="s">
        <v>52</v>
      </c>
      <c r="R1598" t="s">
        <v>52</v>
      </c>
      <c r="S1598" t="s">
        <v>52</v>
      </c>
      <c r="T1598" t="s">
        <v>52</v>
      </c>
      <c r="U1598" t="s">
        <v>52</v>
      </c>
      <c r="V1598" t="s">
        <v>62</v>
      </c>
      <c r="W1598" t="s">
        <v>63</v>
      </c>
      <c r="Y1598" t="s">
        <v>52</v>
      </c>
      <c r="AB1598" t="s">
        <v>52</v>
      </c>
      <c r="AE1598" t="s">
        <v>52</v>
      </c>
      <c r="AF1598" t="s">
        <v>52</v>
      </c>
      <c r="AH1598">
        <v>0</v>
      </c>
      <c r="AI1598">
        <v>0</v>
      </c>
      <c r="AJ1598" t="s">
        <v>52</v>
      </c>
      <c r="AK1598">
        <v>0</v>
      </c>
      <c r="AL1598" t="s">
        <v>52</v>
      </c>
      <c r="AM1598" t="s">
        <v>52</v>
      </c>
      <c r="AN1598">
        <v>0</v>
      </c>
      <c r="AO1598">
        <v>0</v>
      </c>
      <c r="AP1598" t="s">
        <v>52</v>
      </c>
      <c r="AQ1598" t="s">
        <v>52</v>
      </c>
      <c r="AR1598" t="s">
        <v>62</v>
      </c>
      <c r="AS1598" t="s">
        <v>52</v>
      </c>
      <c r="AT1598" t="s">
        <v>52</v>
      </c>
      <c r="AU1598" t="s">
        <v>64</v>
      </c>
      <c r="AV1598" t="s">
        <v>62</v>
      </c>
      <c r="AW1598" t="s">
        <v>65</v>
      </c>
      <c r="AX1598" t="s">
        <v>66</v>
      </c>
      <c r="AY1598" t="s">
        <v>67</v>
      </c>
    </row>
    <row r="1599" spans="1:51" hidden="1" x14ac:dyDescent="0.25">
      <c r="A1599">
        <v>404496</v>
      </c>
      <c r="B1599" t="s">
        <v>5996</v>
      </c>
      <c r="C1599" t="e">
        <f>VLOOKUP(A1599,[1]Customer_payment_journal_line!$AL:$BO,30,0)</f>
        <v>#N/A</v>
      </c>
      <c r="D1599" t="s">
        <v>53</v>
      </c>
      <c r="E1599" t="s">
        <v>5992</v>
      </c>
      <c r="F1599" t="s">
        <v>5993</v>
      </c>
      <c r="G1599" t="s">
        <v>5265</v>
      </c>
      <c r="H1599" t="s">
        <v>69</v>
      </c>
      <c r="I1599" t="s">
        <v>5530</v>
      </c>
      <c r="J1599" t="s">
        <v>5994</v>
      </c>
      <c r="K1599" t="s">
        <v>5995</v>
      </c>
      <c r="L1599" t="s">
        <v>52</v>
      </c>
      <c r="M1599">
        <v>0</v>
      </c>
      <c r="N1599">
        <v>70</v>
      </c>
      <c r="O1599" t="s">
        <v>126</v>
      </c>
      <c r="P1599">
        <v>5285</v>
      </c>
      <c r="Q1599" t="s">
        <v>52</v>
      </c>
      <c r="R1599" t="s">
        <v>52</v>
      </c>
      <c r="S1599" t="s">
        <v>52</v>
      </c>
      <c r="T1599" t="s">
        <v>52</v>
      </c>
      <c r="U1599" t="s">
        <v>52</v>
      </c>
      <c r="V1599" t="s">
        <v>62</v>
      </c>
      <c r="W1599" t="s">
        <v>52</v>
      </c>
      <c r="Y1599" t="s">
        <v>5531</v>
      </c>
      <c r="Z1599" t="s">
        <v>62</v>
      </c>
      <c r="AB1599" t="s">
        <v>5997</v>
      </c>
      <c r="AE1599" t="s">
        <v>5998</v>
      </c>
      <c r="AF1599" t="s">
        <v>52</v>
      </c>
      <c r="AH1599">
        <v>0</v>
      </c>
      <c r="AI1599">
        <v>0</v>
      </c>
      <c r="AJ1599" t="s">
        <v>52</v>
      </c>
      <c r="AK1599">
        <v>0</v>
      </c>
      <c r="AL1599" t="s">
        <v>52</v>
      </c>
      <c r="AM1599" t="s">
        <v>52</v>
      </c>
      <c r="AN1599">
        <v>0</v>
      </c>
      <c r="AO1599">
        <v>0</v>
      </c>
      <c r="AP1599" t="s">
        <v>52</v>
      </c>
      <c r="AQ1599" t="s">
        <v>52</v>
      </c>
      <c r="AR1599" t="s">
        <v>62</v>
      </c>
      <c r="AS1599" t="s">
        <v>52</v>
      </c>
      <c r="AT1599" t="s">
        <v>74</v>
      </c>
      <c r="AU1599" t="s">
        <v>64</v>
      </c>
      <c r="AV1599" t="s">
        <v>62</v>
      </c>
      <c r="AW1599" t="s">
        <v>65</v>
      </c>
      <c r="AX1599" t="s">
        <v>66</v>
      </c>
      <c r="AY1599" t="s">
        <v>67</v>
      </c>
    </row>
    <row r="1600" spans="1:51" hidden="1" x14ac:dyDescent="0.25">
      <c r="A1600">
        <v>203539</v>
      </c>
      <c r="B1600" t="s">
        <v>5999</v>
      </c>
      <c r="C1600" t="e">
        <f>VLOOKUP(A1600,[1]Customer_payment_journal_line!$AL:$BO,30,0)</f>
        <v>#N/A</v>
      </c>
      <c r="D1600" t="s">
        <v>53</v>
      </c>
      <c r="E1600" t="s">
        <v>6000</v>
      </c>
      <c r="F1600" t="s">
        <v>6001</v>
      </c>
      <c r="G1600" t="s">
        <v>5265</v>
      </c>
      <c r="H1600" t="s">
        <v>57</v>
      </c>
      <c r="I1600" t="s">
        <v>58</v>
      </c>
      <c r="J1600" t="s">
        <v>6002</v>
      </c>
      <c r="K1600" t="s">
        <v>6003</v>
      </c>
      <c r="L1600" t="s">
        <v>52</v>
      </c>
      <c r="M1600">
        <v>6156</v>
      </c>
      <c r="N1600">
        <v>0</v>
      </c>
      <c r="O1600" t="s">
        <v>61</v>
      </c>
      <c r="P1600">
        <v>100</v>
      </c>
      <c r="Q1600" t="s">
        <v>52</v>
      </c>
      <c r="R1600" t="s">
        <v>52</v>
      </c>
      <c r="S1600" t="s">
        <v>52</v>
      </c>
      <c r="T1600" t="s">
        <v>52</v>
      </c>
      <c r="U1600" t="s">
        <v>52</v>
      </c>
      <c r="V1600" t="s">
        <v>62</v>
      </c>
      <c r="W1600" t="s">
        <v>63</v>
      </c>
      <c r="Y1600" t="s">
        <v>52</v>
      </c>
      <c r="AB1600" t="s">
        <v>52</v>
      </c>
      <c r="AE1600" t="s">
        <v>52</v>
      </c>
      <c r="AF1600" t="s">
        <v>52</v>
      </c>
      <c r="AH1600">
        <v>0</v>
      </c>
      <c r="AI1600">
        <v>0</v>
      </c>
      <c r="AJ1600" t="s">
        <v>52</v>
      </c>
      <c r="AK1600">
        <v>0</v>
      </c>
      <c r="AL1600" t="s">
        <v>52</v>
      </c>
      <c r="AM1600" t="s">
        <v>52</v>
      </c>
      <c r="AN1600">
        <v>0</v>
      </c>
      <c r="AO1600">
        <v>0</v>
      </c>
      <c r="AP1600" t="s">
        <v>52</v>
      </c>
      <c r="AQ1600" t="s">
        <v>52</v>
      </c>
      <c r="AR1600" t="s">
        <v>62</v>
      </c>
      <c r="AS1600" t="s">
        <v>52</v>
      </c>
      <c r="AT1600" t="s">
        <v>52</v>
      </c>
      <c r="AU1600" t="s">
        <v>64</v>
      </c>
      <c r="AV1600" t="s">
        <v>62</v>
      </c>
      <c r="AW1600" t="s">
        <v>65</v>
      </c>
      <c r="AX1600" t="s">
        <v>66</v>
      </c>
      <c r="AY1600" t="s">
        <v>67</v>
      </c>
    </row>
    <row r="1601" spans="1:51" hidden="1" x14ac:dyDescent="0.25">
      <c r="A1601">
        <v>203539</v>
      </c>
      <c r="B1601" t="s">
        <v>6004</v>
      </c>
      <c r="C1601" t="e">
        <f>VLOOKUP(A1601,[1]Customer_payment_journal_line!$AL:$BO,30,0)</f>
        <v>#N/A</v>
      </c>
      <c r="D1601" t="s">
        <v>53</v>
      </c>
      <c r="E1601" t="s">
        <v>6000</v>
      </c>
      <c r="F1601" t="s">
        <v>6001</v>
      </c>
      <c r="G1601" t="s">
        <v>5265</v>
      </c>
      <c r="H1601" t="s">
        <v>69</v>
      </c>
      <c r="I1601" t="s">
        <v>6005</v>
      </c>
      <c r="J1601" t="s">
        <v>6002</v>
      </c>
      <c r="K1601" t="s">
        <v>6003</v>
      </c>
      <c r="L1601" t="s">
        <v>52</v>
      </c>
      <c r="M1601">
        <v>0</v>
      </c>
      <c r="N1601">
        <v>6156</v>
      </c>
      <c r="O1601" t="s">
        <v>61</v>
      </c>
      <c r="P1601">
        <v>100</v>
      </c>
      <c r="Q1601" t="s">
        <v>52</v>
      </c>
      <c r="R1601" t="s">
        <v>52</v>
      </c>
      <c r="S1601" t="s">
        <v>52</v>
      </c>
      <c r="T1601" t="s">
        <v>52</v>
      </c>
      <c r="U1601" t="s">
        <v>52</v>
      </c>
      <c r="V1601" t="s">
        <v>62</v>
      </c>
      <c r="W1601" t="s">
        <v>52</v>
      </c>
      <c r="Y1601" t="s">
        <v>6006</v>
      </c>
      <c r="Z1601" t="s">
        <v>62</v>
      </c>
      <c r="AB1601" t="s">
        <v>6007</v>
      </c>
      <c r="AE1601" t="s">
        <v>6008</v>
      </c>
      <c r="AF1601" t="s">
        <v>52</v>
      </c>
      <c r="AH1601">
        <v>0</v>
      </c>
      <c r="AI1601">
        <v>0</v>
      </c>
      <c r="AJ1601" t="s">
        <v>52</v>
      </c>
      <c r="AK1601">
        <v>0</v>
      </c>
      <c r="AL1601" t="s">
        <v>52</v>
      </c>
      <c r="AM1601" t="s">
        <v>52</v>
      </c>
      <c r="AN1601">
        <v>0</v>
      </c>
      <c r="AO1601">
        <v>0</v>
      </c>
      <c r="AP1601" t="s">
        <v>52</v>
      </c>
      <c r="AQ1601" t="s">
        <v>52</v>
      </c>
      <c r="AR1601" t="s">
        <v>62</v>
      </c>
      <c r="AS1601" t="s">
        <v>52</v>
      </c>
      <c r="AT1601" t="s">
        <v>74</v>
      </c>
      <c r="AU1601" t="s">
        <v>64</v>
      </c>
      <c r="AV1601" t="s">
        <v>62</v>
      </c>
      <c r="AW1601" t="s">
        <v>65</v>
      </c>
      <c r="AX1601" t="s">
        <v>66</v>
      </c>
      <c r="AY1601" t="s">
        <v>67</v>
      </c>
    </row>
    <row r="1602" spans="1:51" hidden="1" x14ac:dyDescent="0.25">
      <c r="A1602">
        <v>203540</v>
      </c>
      <c r="B1602" t="s">
        <v>6009</v>
      </c>
      <c r="C1602" t="e">
        <f>VLOOKUP(A1602,[1]Customer_payment_journal_line!$AL:$BO,30,0)</f>
        <v>#N/A</v>
      </c>
      <c r="D1602" t="s">
        <v>53</v>
      </c>
      <c r="E1602" t="s">
        <v>6010</v>
      </c>
      <c r="F1602" t="s">
        <v>6011</v>
      </c>
      <c r="G1602" t="s">
        <v>5265</v>
      </c>
      <c r="H1602" t="s">
        <v>57</v>
      </c>
      <c r="I1602" t="s">
        <v>58</v>
      </c>
      <c r="J1602" t="s">
        <v>6002</v>
      </c>
      <c r="K1602" t="s">
        <v>6003</v>
      </c>
      <c r="L1602" t="s">
        <v>52</v>
      </c>
      <c r="M1602">
        <v>855</v>
      </c>
      <c r="N1602">
        <v>0</v>
      </c>
      <c r="O1602" t="s">
        <v>61</v>
      </c>
      <c r="P1602">
        <v>100</v>
      </c>
      <c r="Q1602" t="s">
        <v>52</v>
      </c>
      <c r="R1602" t="s">
        <v>52</v>
      </c>
      <c r="S1602" t="s">
        <v>52</v>
      </c>
      <c r="T1602" t="s">
        <v>52</v>
      </c>
      <c r="U1602" t="s">
        <v>52</v>
      </c>
      <c r="V1602" t="s">
        <v>62</v>
      </c>
      <c r="W1602" t="s">
        <v>63</v>
      </c>
      <c r="Y1602" t="s">
        <v>52</v>
      </c>
      <c r="AB1602" t="s">
        <v>52</v>
      </c>
      <c r="AE1602" t="s">
        <v>52</v>
      </c>
      <c r="AF1602" t="s">
        <v>52</v>
      </c>
      <c r="AH1602">
        <v>0</v>
      </c>
      <c r="AI1602">
        <v>0</v>
      </c>
      <c r="AJ1602" t="s">
        <v>52</v>
      </c>
      <c r="AK1602">
        <v>0</v>
      </c>
      <c r="AL1602" t="s">
        <v>52</v>
      </c>
      <c r="AM1602" t="s">
        <v>52</v>
      </c>
      <c r="AN1602">
        <v>0</v>
      </c>
      <c r="AO1602">
        <v>0</v>
      </c>
      <c r="AP1602" t="s">
        <v>52</v>
      </c>
      <c r="AQ1602" t="s">
        <v>52</v>
      </c>
      <c r="AR1602" t="s">
        <v>62</v>
      </c>
      <c r="AS1602" t="s">
        <v>52</v>
      </c>
      <c r="AT1602" t="s">
        <v>52</v>
      </c>
      <c r="AU1602" t="s">
        <v>64</v>
      </c>
      <c r="AV1602" t="s">
        <v>62</v>
      </c>
      <c r="AW1602" t="s">
        <v>65</v>
      </c>
      <c r="AX1602" t="s">
        <v>66</v>
      </c>
      <c r="AY1602" t="s">
        <v>67</v>
      </c>
    </row>
    <row r="1603" spans="1:51" hidden="1" x14ac:dyDescent="0.25">
      <c r="A1603">
        <v>203540</v>
      </c>
      <c r="B1603" t="s">
        <v>6012</v>
      </c>
      <c r="C1603" t="e">
        <f>VLOOKUP(A1603,[1]Customer_payment_journal_line!$AL:$BO,30,0)</f>
        <v>#N/A</v>
      </c>
      <c r="D1603" t="s">
        <v>53</v>
      </c>
      <c r="E1603" t="s">
        <v>6010</v>
      </c>
      <c r="F1603" t="s">
        <v>6011</v>
      </c>
      <c r="G1603" t="s">
        <v>5265</v>
      </c>
      <c r="H1603" t="s">
        <v>69</v>
      </c>
      <c r="I1603" t="s">
        <v>6005</v>
      </c>
      <c r="J1603" t="s">
        <v>6002</v>
      </c>
      <c r="K1603" t="s">
        <v>6003</v>
      </c>
      <c r="L1603" t="s">
        <v>52</v>
      </c>
      <c r="M1603">
        <v>0</v>
      </c>
      <c r="N1603">
        <v>855</v>
      </c>
      <c r="O1603" t="s">
        <v>61</v>
      </c>
      <c r="P1603">
        <v>100</v>
      </c>
      <c r="Q1603" t="s">
        <v>52</v>
      </c>
      <c r="R1603" t="s">
        <v>52</v>
      </c>
      <c r="S1603" t="s">
        <v>52</v>
      </c>
      <c r="T1603" t="s">
        <v>52</v>
      </c>
      <c r="U1603" t="s">
        <v>52</v>
      </c>
      <c r="V1603" t="s">
        <v>62</v>
      </c>
      <c r="W1603" t="s">
        <v>52</v>
      </c>
      <c r="Y1603" t="s">
        <v>6006</v>
      </c>
      <c r="Z1603" t="s">
        <v>62</v>
      </c>
      <c r="AB1603" t="s">
        <v>6013</v>
      </c>
      <c r="AE1603" t="s">
        <v>6014</v>
      </c>
      <c r="AF1603" t="s">
        <v>52</v>
      </c>
      <c r="AH1603">
        <v>0</v>
      </c>
      <c r="AI1603">
        <v>0</v>
      </c>
      <c r="AJ1603" t="s">
        <v>52</v>
      </c>
      <c r="AK1603">
        <v>0</v>
      </c>
      <c r="AL1603" t="s">
        <v>52</v>
      </c>
      <c r="AM1603" t="s">
        <v>52</v>
      </c>
      <c r="AN1603">
        <v>0</v>
      </c>
      <c r="AO1603">
        <v>0</v>
      </c>
      <c r="AP1603" t="s">
        <v>52</v>
      </c>
      <c r="AQ1603" t="s">
        <v>52</v>
      </c>
      <c r="AR1603" t="s">
        <v>62</v>
      </c>
      <c r="AS1603" t="s">
        <v>52</v>
      </c>
      <c r="AT1603" t="s">
        <v>74</v>
      </c>
      <c r="AU1603" t="s">
        <v>64</v>
      </c>
      <c r="AV1603" t="s">
        <v>62</v>
      </c>
      <c r="AW1603" t="s">
        <v>65</v>
      </c>
      <c r="AX1603" t="s">
        <v>66</v>
      </c>
      <c r="AY1603" t="s">
        <v>67</v>
      </c>
    </row>
    <row r="1604" spans="1:51" hidden="1" x14ac:dyDescent="0.25">
      <c r="A1604">
        <v>317161</v>
      </c>
      <c r="B1604" t="s">
        <v>6015</v>
      </c>
      <c r="C1604" t="e">
        <f>VLOOKUP(A1604,[1]Customer_payment_journal_line!$AL:$BO,30,0)</f>
        <v>#N/A</v>
      </c>
      <c r="D1604" t="s">
        <v>53</v>
      </c>
      <c r="E1604" t="s">
        <v>6016</v>
      </c>
      <c r="F1604" t="s">
        <v>6017</v>
      </c>
      <c r="G1604" t="s">
        <v>5265</v>
      </c>
      <c r="H1604" t="s">
        <v>201</v>
      </c>
      <c r="I1604" t="s">
        <v>125</v>
      </c>
      <c r="J1604" t="s">
        <v>202</v>
      </c>
      <c r="K1604" t="s">
        <v>6003</v>
      </c>
      <c r="L1604" t="s">
        <v>52</v>
      </c>
      <c r="M1604">
        <v>125</v>
      </c>
      <c r="N1604">
        <v>0</v>
      </c>
      <c r="O1604" t="s">
        <v>126</v>
      </c>
      <c r="P1604">
        <v>5285</v>
      </c>
      <c r="Q1604" t="s">
        <v>52</v>
      </c>
      <c r="R1604" t="s">
        <v>52</v>
      </c>
      <c r="S1604" t="s">
        <v>52</v>
      </c>
      <c r="T1604" t="s">
        <v>52</v>
      </c>
      <c r="U1604" t="s">
        <v>52</v>
      </c>
      <c r="V1604" t="s">
        <v>62</v>
      </c>
      <c r="W1604" t="s">
        <v>63</v>
      </c>
      <c r="Y1604" t="s">
        <v>52</v>
      </c>
      <c r="AB1604" t="s">
        <v>6018</v>
      </c>
      <c r="AE1604" t="s">
        <v>6018</v>
      </c>
      <c r="AF1604" t="s">
        <v>52</v>
      </c>
      <c r="AH1604">
        <v>0</v>
      </c>
      <c r="AI1604">
        <v>0</v>
      </c>
      <c r="AJ1604" t="s">
        <v>52</v>
      </c>
      <c r="AK1604">
        <v>0</v>
      </c>
      <c r="AL1604" t="s">
        <v>52</v>
      </c>
      <c r="AM1604" t="s">
        <v>52</v>
      </c>
      <c r="AN1604">
        <v>0</v>
      </c>
      <c r="AO1604">
        <v>0</v>
      </c>
      <c r="AP1604" t="s">
        <v>52</v>
      </c>
      <c r="AQ1604" t="s">
        <v>52</v>
      </c>
      <c r="AR1604" t="s">
        <v>62</v>
      </c>
      <c r="AS1604" t="s">
        <v>52</v>
      </c>
      <c r="AT1604" t="s">
        <v>52</v>
      </c>
      <c r="AU1604" t="s">
        <v>64</v>
      </c>
      <c r="AV1604" t="s">
        <v>62</v>
      </c>
      <c r="AW1604" t="s">
        <v>65</v>
      </c>
      <c r="AX1604" t="s">
        <v>66</v>
      </c>
      <c r="AY1604" t="s">
        <v>67</v>
      </c>
    </row>
    <row r="1605" spans="1:51" hidden="1" x14ac:dyDescent="0.25">
      <c r="A1605">
        <v>317161</v>
      </c>
      <c r="B1605" t="s">
        <v>6019</v>
      </c>
      <c r="C1605" t="e">
        <f>VLOOKUP(A1605,[1]Customer_payment_journal_line!$AL:$BO,30,0)</f>
        <v>#N/A</v>
      </c>
      <c r="D1605" t="s">
        <v>53</v>
      </c>
      <c r="E1605" t="s">
        <v>6016</v>
      </c>
      <c r="F1605" t="s">
        <v>6017</v>
      </c>
      <c r="G1605" t="s">
        <v>5265</v>
      </c>
      <c r="H1605" t="s">
        <v>201</v>
      </c>
      <c r="I1605" t="s">
        <v>58</v>
      </c>
      <c r="J1605" t="s">
        <v>202</v>
      </c>
      <c r="K1605" t="s">
        <v>6003</v>
      </c>
      <c r="L1605" t="s">
        <v>52</v>
      </c>
      <c r="M1605">
        <v>570</v>
      </c>
      <c r="N1605">
        <v>0</v>
      </c>
      <c r="O1605" t="s">
        <v>61</v>
      </c>
      <c r="P1605">
        <v>100</v>
      </c>
      <c r="Q1605" t="s">
        <v>52</v>
      </c>
      <c r="R1605" t="s">
        <v>52</v>
      </c>
      <c r="S1605" t="s">
        <v>52</v>
      </c>
      <c r="T1605" t="s">
        <v>52</v>
      </c>
      <c r="U1605" t="s">
        <v>52</v>
      </c>
      <c r="V1605" t="s">
        <v>62</v>
      </c>
      <c r="W1605" t="s">
        <v>63</v>
      </c>
      <c r="Y1605" t="s">
        <v>52</v>
      </c>
      <c r="AB1605" t="s">
        <v>6018</v>
      </c>
      <c r="AE1605" t="s">
        <v>6018</v>
      </c>
      <c r="AF1605" t="s">
        <v>52</v>
      </c>
      <c r="AH1605">
        <v>0</v>
      </c>
      <c r="AI1605">
        <v>0</v>
      </c>
      <c r="AJ1605" t="s">
        <v>52</v>
      </c>
      <c r="AK1605">
        <v>0</v>
      </c>
      <c r="AL1605" t="s">
        <v>52</v>
      </c>
      <c r="AM1605" t="s">
        <v>52</v>
      </c>
      <c r="AN1605">
        <v>0</v>
      </c>
      <c r="AO1605">
        <v>0</v>
      </c>
      <c r="AP1605" t="s">
        <v>52</v>
      </c>
      <c r="AQ1605" t="s">
        <v>52</v>
      </c>
      <c r="AR1605" t="s">
        <v>62</v>
      </c>
      <c r="AS1605" t="s">
        <v>52</v>
      </c>
      <c r="AT1605" t="s">
        <v>52</v>
      </c>
      <c r="AU1605" t="s">
        <v>64</v>
      </c>
      <c r="AV1605" t="s">
        <v>62</v>
      </c>
      <c r="AW1605" t="s">
        <v>65</v>
      </c>
      <c r="AX1605" t="s">
        <v>66</v>
      </c>
      <c r="AY1605" t="s">
        <v>67</v>
      </c>
    </row>
    <row r="1606" spans="1:51" hidden="1" x14ac:dyDescent="0.25">
      <c r="A1606">
        <v>317161</v>
      </c>
      <c r="B1606" t="s">
        <v>6020</v>
      </c>
      <c r="C1606" t="e">
        <f>VLOOKUP(A1606,[1]Customer_payment_journal_line!$AL:$BO,30,0)</f>
        <v>#N/A</v>
      </c>
      <c r="D1606" t="s">
        <v>53</v>
      </c>
      <c r="E1606" t="s">
        <v>6016</v>
      </c>
      <c r="F1606" t="s">
        <v>6017</v>
      </c>
      <c r="G1606" t="s">
        <v>5265</v>
      </c>
      <c r="H1606" t="s">
        <v>69</v>
      </c>
      <c r="I1606" t="s">
        <v>6005</v>
      </c>
      <c r="J1606" t="s">
        <v>6021</v>
      </c>
      <c r="K1606" t="s">
        <v>6003</v>
      </c>
      <c r="L1606" t="s">
        <v>52</v>
      </c>
      <c r="M1606">
        <v>0</v>
      </c>
      <c r="N1606">
        <v>135</v>
      </c>
      <c r="O1606" t="s">
        <v>126</v>
      </c>
      <c r="P1606">
        <v>5285</v>
      </c>
      <c r="Q1606" t="s">
        <v>52</v>
      </c>
      <c r="R1606" t="s">
        <v>52</v>
      </c>
      <c r="S1606" t="s">
        <v>52</v>
      </c>
      <c r="T1606" t="s">
        <v>52</v>
      </c>
      <c r="U1606" t="s">
        <v>52</v>
      </c>
      <c r="V1606" t="s">
        <v>62</v>
      </c>
      <c r="W1606" t="s">
        <v>52</v>
      </c>
      <c r="Y1606" t="s">
        <v>6006</v>
      </c>
      <c r="Z1606" t="s">
        <v>62</v>
      </c>
      <c r="AB1606" t="s">
        <v>6018</v>
      </c>
      <c r="AE1606" t="s">
        <v>6018</v>
      </c>
      <c r="AF1606" t="s">
        <v>52</v>
      </c>
      <c r="AH1606">
        <v>0</v>
      </c>
      <c r="AI1606">
        <v>0</v>
      </c>
      <c r="AJ1606" t="s">
        <v>52</v>
      </c>
      <c r="AK1606">
        <v>0</v>
      </c>
      <c r="AL1606" t="s">
        <v>52</v>
      </c>
      <c r="AM1606" t="s">
        <v>52</v>
      </c>
      <c r="AN1606">
        <v>0</v>
      </c>
      <c r="AO1606">
        <v>0</v>
      </c>
      <c r="AP1606" t="s">
        <v>52</v>
      </c>
      <c r="AQ1606" t="s">
        <v>52</v>
      </c>
      <c r="AR1606" t="s">
        <v>62</v>
      </c>
      <c r="AS1606" t="s">
        <v>52</v>
      </c>
      <c r="AT1606" t="s">
        <v>74</v>
      </c>
      <c r="AU1606" t="s">
        <v>64</v>
      </c>
      <c r="AV1606" t="s">
        <v>62</v>
      </c>
      <c r="AW1606" t="s">
        <v>65</v>
      </c>
      <c r="AX1606" t="s">
        <v>66</v>
      </c>
      <c r="AY1606" t="s">
        <v>67</v>
      </c>
    </row>
    <row r="1607" spans="1:51" hidden="1" x14ac:dyDescent="0.25">
      <c r="A1607">
        <v>317161</v>
      </c>
      <c r="B1607" t="s">
        <v>6022</v>
      </c>
      <c r="C1607" t="e">
        <f>VLOOKUP(A1607,[1]Customer_payment_journal_line!$AL:$BO,30,0)</f>
        <v>#N/A</v>
      </c>
      <c r="D1607" t="s">
        <v>53</v>
      </c>
      <c r="E1607" t="s">
        <v>6016</v>
      </c>
      <c r="F1607" t="s">
        <v>6017</v>
      </c>
      <c r="G1607" t="s">
        <v>5265</v>
      </c>
      <c r="H1607" t="s">
        <v>210</v>
      </c>
      <c r="I1607" t="s">
        <v>6023</v>
      </c>
      <c r="J1607" t="s">
        <v>52</v>
      </c>
      <c r="K1607" t="s">
        <v>6003</v>
      </c>
      <c r="L1607" t="s">
        <v>52</v>
      </c>
      <c r="M1607">
        <v>0</v>
      </c>
      <c r="N1607">
        <v>41.5</v>
      </c>
      <c r="O1607" t="s">
        <v>61</v>
      </c>
      <c r="P1607">
        <v>100</v>
      </c>
      <c r="Q1607" t="s">
        <v>52</v>
      </c>
      <c r="R1607" t="s">
        <v>52</v>
      </c>
      <c r="S1607" t="s">
        <v>52</v>
      </c>
      <c r="T1607" t="s">
        <v>52</v>
      </c>
      <c r="U1607" t="s">
        <v>52</v>
      </c>
      <c r="V1607" t="s">
        <v>62</v>
      </c>
      <c r="W1607" t="s">
        <v>63</v>
      </c>
      <c r="Y1607" t="s">
        <v>6006</v>
      </c>
      <c r="AB1607" t="s">
        <v>6018</v>
      </c>
      <c r="AE1607" t="s">
        <v>6018</v>
      </c>
      <c r="AF1607" t="s">
        <v>52</v>
      </c>
      <c r="AH1607">
        <v>0</v>
      </c>
      <c r="AI1607">
        <v>0</v>
      </c>
      <c r="AJ1607" t="s">
        <v>52</v>
      </c>
      <c r="AK1607">
        <v>0</v>
      </c>
      <c r="AL1607" t="s">
        <v>52</v>
      </c>
      <c r="AM1607" t="s">
        <v>52</v>
      </c>
      <c r="AN1607">
        <v>0</v>
      </c>
      <c r="AO1607">
        <v>0</v>
      </c>
      <c r="AP1607" t="s">
        <v>52</v>
      </c>
      <c r="AQ1607" t="s">
        <v>52</v>
      </c>
      <c r="AR1607" t="s">
        <v>62</v>
      </c>
      <c r="AS1607" t="s">
        <v>52</v>
      </c>
      <c r="AT1607" t="s">
        <v>52</v>
      </c>
      <c r="AU1607" t="s">
        <v>64</v>
      </c>
      <c r="AV1607" t="s">
        <v>62</v>
      </c>
      <c r="AW1607" t="s">
        <v>65</v>
      </c>
      <c r="AX1607" t="s">
        <v>66</v>
      </c>
      <c r="AY1607" t="s">
        <v>67</v>
      </c>
    </row>
    <row r="1608" spans="1:51" hidden="1" x14ac:dyDescent="0.25">
      <c r="A1608">
        <v>203571</v>
      </c>
      <c r="B1608" t="s">
        <v>6024</v>
      </c>
      <c r="C1608" t="str">
        <f>VLOOKUP(A1608,[1]Customer_payment_journal_line!$AL:$BO,30,0)</f>
        <v>CPay-000000095</v>
      </c>
      <c r="D1608" t="s">
        <v>53</v>
      </c>
      <c r="E1608" t="s">
        <v>6025</v>
      </c>
      <c r="F1608" t="s">
        <v>6026</v>
      </c>
      <c r="G1608" t="s">
        <v>6027</v>
      </c>
      <c r="H1608" t="s">
        <v>57</v>
      </c>
      <c r="I1608" t="s">
        <v>95</v>
      </c>
      <c r="J1608" t="s">
        <v>6028</v>
      </c>
      <c r="K1608" t="s">
        <v>6029</v>
      </c>
      <c r="L1608">
        <f>VLOOKUP(A1608,[1]Customer_payment_journal_line!$B:$L,11,0)</f>
        <v>2052</v>
      </c>
      <c r="M1608" s="1">
        <v>2052</v>
      </c>
      <c r="N1608" s="2">
        <f>L1608-M1608</f>
        <v>0</v>
      </c>
      <c r="O1608" t="s">
        <v>61</v>
      </c>
      <c r="P1608">
        <v>100</v>
      </c>
      <c r="Q1608" t="s">
        <v>52</v>
      </c>
      <c r="R1608" t="s">
        <v>52</v>
      </c>
      <c r="S1608" t="s">
        <v>52</v>
      </c>
      <c r="T1608" t="s">
        <v>52</v>
      </c>
      <c r="U1608" t="s">
        <v>52</v>
      </c>
      <c r="V1608" t="s">
        <v>62</v>
      </c>
      <c r="W1608" t="s">
        <v>63</v>
      </c>
      <c r="Y1608" t="s">
        <v>52</v>
      </c>
      <c r="AB1608" t="s">
        <v>52</v>
      </c>
      <c r="AE1608" t="s">
        <v>52</v>
      </c>
      <c r="AF1608" t="s">
        <v>52</v>
      </c>
      <c r="AH1608">
        <v>0</v>
      </c>
      <c r="AI1608">
        <v>0</v>
      </c>
      <c r="AJ1608" t="s">
        <v>52</v>
      </c>
      <c r="AK1608">
        <v>0</v>
      </c>
      <c r="AL1608" t="s">
        <v>52</v>
      </c>
      <c r="AM1608" t="s">
        <v>52</v>
      </c>
      <c r="AN1608">
        <v>0</v>
      </c>
      <c r="AO1608">
        <v>0</v>
      </c>
      <c r="AP1608" t="s">
        <v>52</v>
      </c>
      <c r="AQ1608" t="s">
        <v>52</v>
      </c>
      <c r="AR1608" t="s">
        <v>62</v>
      </c>
      <c r="AS1608" t="s">
        <v>52</v>
      </c>
      <c r="AT1608" t="s">
        <v>52</v>
      </c>
      <c r="AU1608" t="s">
        <v>64</v>
      </c>
      <c r="AV1608" t="s">
        <v>62</v>
      </c>
      <c r="AW1608" t="s">
        <v>65</v>
      </c>
      <c r="AX1608" t="s">
        <v>66</v>
      </c>
      <c r="AY1608" t="s">
        <v>67</v>
      </c>
    </row>
    <row r="1609" spans="1:51" hidden="1" x14ac:dyDescent="0.25">
      <c r="A1609">
        <v>203571</v>
      </c>
      <c r="B1609" t="s">
        <v>6030</v>
      </c>
      <c r="C1609" t="str">
        <f>VLOOKUP(A1609,[1]Customer_payment_journal_line!$AL:$BO,30,0)</f>
        <v>CPay-000000095</v>
      </c>
      <c r="D1609" t="s">
        <v>53</v>
      </c>
      <c r="E1609" t="s">
        <v>6025</v>
      </c>
      <c r="F1609" t="s">
        <v>6026</v>
      </c>
      <c r="G1609" t="s">
        <v>6027</v>
      </c>
      <c r="H1609" t="s">
        <v>69</v>
      </c>
      <c r="I1609" t="s">
        <v>242</v>
      </c>
      <c r="J1609" t="s">
        <v>6028</v>
      </c>
      <c r="K1609" t="s">
        <v>6029</v>
      </c>
      <c r="L1609">
        <f>VLOOKUP(A1609,[1]Customer_payment_journal_line!$B:$L,11,0)</f>
        <v>2052</v>
      </c>
      <c r="M1609" s="1">
        <v>0</v>
      </c>
      <c r="N1609">
        <v>2052</v>
      </c>
      <c r="O1609" t="s">
        <v>61</v>
      </c>
      <c r="P1609">
        <v>100</v>
      </c>
      <c r="Q1609" t="s">
        <v>52</v>
      </c>
      <c r="R1609" t="s">
        <v>52</v>
      </c>
      <c r="S1609" t="s">
        <v>52</v>
      </c>
      <c r="T1609" t="s">
        <v>52</v>
      </c>
      <c r="U1609" t="s">
        <v>52</v>
      </c>
      <c r="V1609" t="s">
        <v>62</v>
      </c>
      <c r="W1609" t="s">
        <v>52</v>
      </c>
      <c r="Y1609" t="s">
        <v>243</v>
      </c>
      <c r="Z1609" t="s">
        <v>62</v>
      </c>
      <c r="AB1609" t="s">
        <v>6031</v>
      </c>
      <c r="AE1609" t="s">
        <v>6032</v>
      </c>
      <c r="AF1609" t="s">
        <v>52</v>
      </c>
      <c r="AH1609">
        <v>0</v>
      </c>
      <c r="AI1609">
        <v>0</v>
      </c>
      <c r="AJ1609" t="s">
        <v>52</v>
      </c>
      <c r="AK1609">
        <v>0</v>
      </c>
      <c r="AL1609" t="s">
        <v>52</v>
      </c>
      <c r="AM1609" t="s">
        <v>52</v>
      </c>
      <c r="AN1609">
        <v>0</v>
      </c>
      <c r="AO1609">
        <v>0</v>
      </c>
      <c r="AP1609" t="s">
        <v>52</v>
      </c>
      <c r="AQ1609" t="s">
        <v>52</v>
      </c>
      <c r="AR1609" t="s">
        <v>62</v>
      </c>
      <c r="AS1609" t="s">
        <v>52</v>
      </c>
      <c r="AT1609" t="s">
        <v>74</v>
      </c>
      <c r="AU1609" t="s">
        <v>64</v>
      </c>
      <c r="AV1609" t="s">
        <v>62</v>
      </c>
      <c r="AW1609" t="s">
        <v>65</v>
      </c>
      <c r="AX1609" t="s">
        <v>66</v>
      </c>
      <c r="AY1609" t="s">
        <v>67</v>
      </c>
    </row>
    <row r="1610" spans="1:51" hidden="1" x14ac:dyDescent="0.25">
      <c r="A1610">
        <v>203572</v>
      </c>
      <c r="B1610" t="s">
        <v>6033</v>
      </c>
      <c r="C1610" t="str">
        <f>VLOOKUP(A1610,[1]Customer_payment_journal_line!$AL:$BO,30,0)</f>
        <v>CPay-000000096</v>
      </c>
      <c r="D1610" t="s">
        <v>53</v>
      </c>
      <c r="E1610" t="s">
        <v>6034</v>
      </c>
      <c r="F1610" t="s">
        <v>6035</v>
      </c>
      <c r="G1610" t="s">
        <v>6027</v>
      </c>
      <c r="H1610" t="s">
        <v>57</v>
      </c>
      <c r="I1610" t="s">
        <v>95</v>
      </c>
      <c r="J1610" t="s">
        <v>239</v>
      </c>
      <c r="K1610" t="s">
        <v>6036</v>
      </c>
      <c r="L1610">
        <f>VLOOKUP(A1610,[1]Customer_payment_journal_line!$B:$L,11,0)</f>
        <v>285</v>
      </c>
      <c r="M1610" s="1">
        <v>285</v>
      </c>
      <c r="N1610" s="2">
        <f>L1610-M1610</f>
        <v>0</v>
      </c>
      <c r="O1610" t="s">
        <v>61</v>
      </c>
      <c r="P1610">
        <v>100</v>
      </c>
      <c r="Q1610" t="s">
        <v>52</v>
      </c>
      <c r="R1610" t="s">
        <v>52</v>
      </c>
      <c r="S1610" t="s">
        <v>52</v>
      </c>
      <c r="T1610" t="s">
        <v>52</v>
      </c>
      <c r="U1610" t="s">
        <v>52</v>
      </c>
      <c r="V1610" t="s">
        <v>62</v>
      </c>
      <c r="W1610" t="s">
        <v>63</v>
      </c>
      <c r="Y1610" t="s">
        <v>52</v>
      </c>
      <c r="AB1610" t="s">
        <v>52</v>
      </c>
      <c r="AE1610" t="s">
        <v>52</v>
      </c>
      <c r="AF1610" t="s">
        <v>52</v>
      </c>
      <c r="AH1610">
        <v>0</v>
      </c>
      <c r="AI1610">
        <v>0</v>
      </c>
      <c r="AJ1610" t="s">
        <v>52</v>
      </c>
      <c r="AK1610">
        <v>0</v>
      </c>
      <c r="AL1610" t="s">
        <v>52</v>
      </c>
      <c r="AM1610" t="s">
        <v>52</v>
      </c>
      <c r="AN1610">
        <v>0</v>
      </c>
      <c r="AO1610">
        <v>0</v>
      </c>
      <c r="AP1610" t="s">
        <v>52</v>
      </c>
      <c r="AQ1610" t="s">
        <v>52</v>
      </c>
      <c r="AR1610" t="s">
        <v>62</v>
      </c>
      <c r="AS1610" t="s">
        <v>52</v>
      </c>
      <c r="AT1610" t="s">
        <v>52</v>
      </c>
      <c r="AU1610" t="s">
        <v>64</v>
      </c>
      <c r="AV1610" t="s">
        <v>62</v>
      </c>
      <c r="AW1610" t="s">
        <v>65</v>
      </c>
      <c r="AX1610" t="s">
        <v>66</v>
      </c>
      <c r="AY1610" t="s">
        <v>67</v>
      </c>
    </row>
    <row r="1611" spans="1:51" hidden="1" x14ac:dyDescent="0.25">
      <c r="A1611">
        <v>203572</v>
      </c>
      <c r="B1611" t="s">
        <v>6037</v>
      </c>
      <c r="C1611" t="str">
        <f>VLOOKUP(A1611,[1]Customer_payment_journal_line!$AL:$BO,30,0)</f>
        <v>CPay-000000096</v>
      </c>
      <c r="D1611" t="s">
        <v>53</v>
      </c>
      <c r="E1611" t="s">
        <v>6034</v>
      </c>
      <c r="F1611" t="s">
        <v>6035</v>
      </c>
      <c r="G1611" t="s">
        <v>6027</v>
      </c>
      <c r="H1611" t="s">
        <v>69</v>
      </c>
      <c r="I1611" t="s">
        <v>242</v>
      </c>
      <c r="J1611" t="s">
        <v>239</v>
      </c>
      <c r="K1611" t="s">
        <v>6036</v>
      </c>
      <c r="L1611">
        <f>VLOOKUP(A1611,[1]Customer_payment_journal_line!$B:$L,11,0)</f>
        <v>285</v>
      </c>
      <c r="M1611" s="1">
        <v>0</v>
      </c>
      <c r="N1611">
        <v>285</v>
      </c>
      <c r="O1611" t="s">
        <v>61</v>
      </c>
      <c r="P1611">
        <v>100</v>
      </c>
      <c r="Q1611" t="s">
        <v>52</v>
      </c>
      <c r="R1611" t="s">
        <v>52</v>
      </c>
      <c r="S1611" t="s">
        <v>52</v>
      </c>
      <c r="T1611" t="s">
        <v>52</v>
      </c>
      <c r="U1611" t="s">
        <v>52</v>
      </c>
      <c r="V1611" t="s">
        <v>62</v>
      </c>
      <c r="W1611" t="s">
        <v>52</v>
      </c>
      <c r="Y1611" t="s">
        <v>243</v>
      </c>
      <c r="Z1611" t="s">
        <v>62</v>
      </c>
      <c r="AB1611" t="s">
        <v>6038</v>
      </c>
      <c r="AE1611" t="s">
        <v>6039</v>
      </c>
      <c r="AF1611" t="s">
        <v>52</v>
      </c>
      <c r="AH1611">
        <v>0</v>
      </c>
      <c r="AI1611">
        <v>0</v>
      </c>
      <c r="AJ1611" t="s">
        <v>52</v>
      </c>
      <c r="AK1611">
        <v>0</v>
      </c>
      <c r="AL1611" t="s">
        <v>52</v>
      </c>
      <c r="AM1611" t="s">
        <v>52</v>
      </c>
      <c r="AN1611">
        <v>0</v>
      </c>
      <c r="AO1611">
        <v>0</v>
      </c>
      <c r="AP1611" t="s">
        <v>52</v>
      </c>
      <c r="AQ1611" t="s">
        <v>52</v>
      </c>
      <c r="AR1611" t="s">
        <v>62</v>
      </c>
      <c r="AS1611" t="s">
        <v>52</v>
      </c>
      <c r="AT1611" t="s">
        <v>74</v>
      </c>
      <c r="AU1611" t="s">
        <v>64</v>
      </c>
      <c r="AV1611" t="s">
        <v>62</v>
      </c>
      <c r="AW1611" t="s">
        <v>65</v>
      </c>
      <c r="AX1611" t="s">
        <v>66</v>
      </c>
      <c r="AY1611" t="s">
        <v>67</v>
      </c>
    </row>
    <row r="1612" spans="1:51" hidden="1" x14ac:dyDescent="0.25">
      <c r="A1612">
        <v>203573</v>
      </c>
      <c r="B1612" t="s">
        <v>6040</v>
      </c>
      <c r="C1612" t="str">
        <f>VLOOKUP(A1612,[1]Customer_payment_journal_line!$AL:$BO,30,0)</f>
        <v>CPay-000000097</v>
      </c>
      <c r="D1612" t="s">
        <v>53</v>
      </c>
      <c r="E1612" t="s">
        <v>6041</v>
      </c>
      <c r="F1612" t="s">
        <v>6042</v>
      </c>
      <c r="G1612" t="s">
        <v>6027</v>
      </c>
      <c r="H1612" t="s">
        <v>57</v>
      </c>
      <c r="I1612" t="s">
        <v>95</v>
      </c>
      <c r="J1612" t="s">
        <v>6043</v>
      </c>
      <c r="K1612" t="s">
        <v>6044</v>
      </c>
      <c r="L1612">
        <f>VLOOKUP(A1612,[1]Customer_payment_journal_line!$B:$L,11,0)</f>
        <v>380.19</v>
      </c>
      <c r="M1612" s="1">
        <v>380.19</v>
      </c>
      <c r="N1612" s="2">
        <f>L1612-M1612</f>
        <v>0</v>
      </c>
      <c r="O1612" t="s">
        <v>61</v>
      </c>
      <c r="P1612">
        <v>100</v>
      </c>
      <c r="Q1612" t="s">
        <v>52</v>
      </c>
      <c r="R1612" t="s">
        <v>52</v>
      </c>
      <c r="S1612" t="s">
        <v>52</v>
      </c>
      <c r="T1612" t="s">
        <v>52</v>
      </c>
      <c r="U1612" t="s">
        <v>52</v>
      </c>
      <c r="V1612" t="s">
        <v>62</v>
      </c>
      <c r="W1612" t="s">
        <v>63</v>
      </c>
      <c r="Y1612" t="s">
        <v>52</v>
      </c>
      <c r="AB1612" t="s">
        <v>52</v>
      </c>
      <c r="AE1612" t="s">
        <v>52</v>
      </c>
      <c r="AF1612" t="s">
        <v>52</v>
      </c>
      <c r="AH1612">
        <v>0</v>
      </c>
      <c r="AI1612">
        <v>0</v>
      </c>
      <c r="AJ1612" t="s">
        <v>52</v>
      </c>
      <c r="AK1612">
        <v>0</v>
      </c>
      <c r="AL1612" t="s">
        <v>52</v>
      </c>
      <c r="AM1612" t="s">
        <v>52</v>
      </c>
      <c r="AN1612">
        <v>0</v>
      </c>
      <c r="AO1612">
        <v>0</v>
      </c>
      <c r="AP1612" t="s">
        <v>52</v>
      </c>
      <c r="AQ1612" t="s">
        <v>52</v>
      </c>
      <c r="AR1612" t="s">
        <v>62</v>
      </c>
      <c r="AS1612" t="s">
        <v>52</v>
      </c>
      <c r="AT1612" t="s">
        <v>52</v>
      </c>
      <c r="AU1612" t="s">
        <v>64</v>
      </c>
      <c r="AV1612" t="s">
        <v>62</v>
      </c>
      <c r="AW1612" t="s">
        <v>65</v>
      </c>
      <c r="AX1612" t="s">
        <v>66</v>
      </c>
      <c r="AY1612" t="s">
        <v>67</v>
      </c>
    </row>
    <row r="1613" spans="1:51" hidden="1" x14ac:dyDescent="0.25">
      <c r="A1613">
        <v>203573</v>
      </c>
      <c r="B1613" t="s">
        <v>6045</v>
      </c>
      <c r="C1613" t="str">
        <f>VLOOKUP(A1613,[1]Customer_payment_journal_line!$AL:$BO,30,0)</f>
        <v>CPay-000000097</v>
      </c>
      <c r="D1613" t="s">
        <v>53</v>
      </c>
      <c r="E1613" t="s">
        <v>6041</v>
      </c>
      <c r="F1613" t="s">
        <v>6042</v>
      </c>
      <c r="G1613" t="s">
        <v>6027</v>
      </c>
      <c r="H1613" t="s">
        <v>69</v>
      </c>
      <c r="I1613" t="s">
        <v>1299</v>
      </c>
      <c r="J1613" t="s">
        <v>6043</v>
      </c>
      <c r="K1613" t="s">
        <v>6044</v>
      </c>
      <c r="L1613">
        <f>VLOOKUP(A1613,[1]Customer_payment_journal_line!$B:$L,11,0)</f>
        <v>380.19</v>
      </c>
      <c r="M1613" s="1">
        <v>0</v>
      </c>
      <c r="N1613">
        <v>380.19</v>
      </c>
      <c r="O1613" t="s">
        <v>61</v>
      </c>
      <c r="P1613">
        <v>100</v>
      </c>
      <c r="Q1613" t="s">
        <v>52</v>
      </c>
      <c r="R1613" t="s">
        <v>52</v>
      </c>
      <c r="S1613" t="s">
        <v>52</v>
      </c>
      <c r="T1613" t="s">
        <v>52</v>
      </c>
      <c r="U1613" t="s">
        <v>52</v>
      </c>
      <c r="V1613" t="s">
        <v>62</v>
      </c>
      <c r="W1613" t="s">
        <v>52</v>
      </c>
      <c r="Y1613" t="s">
        <v>1300</v>
      </c>
      <c r="Z1613" t="s">
        <v>62</v>
      </c>
      <c r="AB1613" t="s">
        <v>6046</v>
      </c>
      <c r="AE1613" t="s">
        <v>6047</v>
      </c>
      <c r="AF1613" t="s">
        <v>52</v>
      </c>
      <c r="AH1613">
        <v>0</v>
      </c>
      <c r="AI1613">
        <v>0</v>
      </c>
      <c r="AJ1613" t="s">
        <v>52</v>
      </c>
      <c r="AK1613">
        <v>0</v>
      </c>
      <c r="AL1613" t="s">
        <v>52</v>
      </c>
      <c r="AM1613" t="s">
        <v>52</v>
      </c>
      <c r="AN1613">
        <v>0</v>
      </c>
      <c r="AO1613">
        <v>0</v>
      </c>
      <c r="AP1613" t="s">
        <v>52</v>
      </c>
      <c r="AQ1613" t="s">
        <v>52</v>
      </c>
      <c r="AR1613" t="s">
        <v>62</v>
      </c>
      <c r="AS1613" t="s">
        <v>52</v>
      </c>
      <c r="AT1613" t="s">
        <v>74</v>
      </c>
      <c r="AU1613" t="s">
        <v>64</v>
      </c>
      <c r="AV1613" t="s">
        <v>62</v>
      </c>
      <c r="AW1613" t="s">
        <v>65</v>
      </c>
      <c r="AX1613" t="s">
        <v>66</v>
      </c>
      <c r="AY1613" t="s">
        <v>67</v>
      </c>
    </row>
    <row r="1614" spans="1:51" x14ac:dyDescent="0.25">
      <c r="A1614">
        <v>203574</v>
      </c>
      <c r="B1614" t="s">
        <v>6048</v>
      </c>
      <c r="C1614" t="e">
        <f>VLOOKUP(A1614,[1]Customer_payment_journal_line!$AL:$BO,30,0)</f>
        <v>#N/A</v>
      </c>
      <c r="D1614" t="s">
        <v>159</v>
      </c>
      <c r="E1614" t="s">
        <v>6049</v>
      </c>
      <c r="F1614" t="s">
        <v>6050</v>
      </c>
      <c r="G1614" t="s">
        <v>6027</v>
      </c>
      <c r="H1614" t="s">
        <v>210</v>
      </c>
      <c r="I1614" t="s">
        <v>6051</v>
      </c>
      <c r="K1614" t="s">
        <v>1065</v>
      </c>
      <c r="L1614" t="s">
        <v>52</v>
      </c>
      <c r="M1614">
        <v>86060.36</v>
      </c>
      <c r="N1614">
        <v>0</v>
      </c>
      <c r="O1614" t="s">
        <v>61</v>
      </c>
      <c r="P1614">
        <v>100</v>
      </c>
      <c r="Q1614" t="s">
        <v>52</v>
      </c>
      <c r="R1614" t="s">
        <v>52</v>
      </c>
      <c r="S1614" t="s">
        <v>52</v>
      </c>
      <c r="T1614" t="s">
        <v>52</v>
      </c>
      <c r="U1614" t="s">
        <v>52</v>
      </c>
      <c r="V1614" t="s">
        <v>62</v>
      </c>
      <c r="W1614" t="s">
        <v>63</v>
      </c>
      <c r="Y1614" t="s">
        <v>52</v>
      </c>
      <c r="AB1614" t="s">
        <v>52</v>
      </c>
      <c r="AE1614" t="s">
        <v>52</v>
      </c>
      <c r="AF1614" t="s">
        <v>52</v>
      </c>
      <c r="AH1614">
        <v>0</v>
      </c>
      <c r="AI1614">
        <v>0</v>
      </c>
      <c r="AJ1614" t="s">
        <v>52</v>
      </c>
      <c r="AK1614">
        <v>0</v>
      </c>
      <c r="AL1614" t="s">
        <v>52</v>
      </c>
      <c r="AM1614" t="s">
        <v>52</v>
      </c>
      <c r="AN1614">
        <v>0</v>
      </c>
      <c r="AO1614">
        <v>0</v>
      </c>
      <c r="AP1614" t="s">
        <v>52</v>
      </c>
      <c r="AQ1614" t="s">
        <v>52</v>
      </c>
      <c r="AR1614" t="s">
        <v>62</v>
      </c>
      <c r="AS1614" t="s">
        <v>52</v>
      </c>
      <c r="AT1614" t="s">
        <v>52</v>
      </c>
      <c r="AU1614" t="s">
        <v>64</v>
      </c>
      <c r="AV1614" t="s">
        <v>62</v>
      </c>
      <c r="AW1614" t="s">
        <v>65</v>
      </c>
      <c r="AX1614" t="s">
        <v>1067</v>
      </c>
      <c r="AY1614" t="s">
        <v>165</v>
      </c>
    </row>
    <row r="1615" spans="1:51" x14ac:dyDescent="0.25">
      <c r="A1615">
        <v>203574</v>
      </c>
      <c r="B1615" t="s">
        <v>6052</v>
      </c>
      <c r="C1615" t="e">
        <f>VLOOKUP(A1615,[1]Customer_payment_journal_line!$AL:$BO,30,0)</f>
        <v>#N/A</v>
      </c>
      <c r="D1615" t="s">
        <v>159</v>
      </c>
      <c r="E1615" t="s">
        <v>6049</v>
      </c>
      <c r="F1615" t="s">
        <v>6050</v>
      </c>
      <c r="G1615" t="s">
        <v>6027</v>
      </c>
      <c r="H1615" t="s">
        <v>69</v>
      </c>
      <c r="I1615" t="s">
        <v>6053</v>
      </c>
      <c r="J1615" t="s">
        <v>6054</v>
      </c>
      <c r="K1615" t="s">
        <v>1065</v>
      </c>
      <c r="L1615" t="s">
        <v>52</v>
      </c>
      <c r="M1615">
        <v>0</v>
      </c>
      <c r="N1615">
        <v>86060.36</v>
      </c>
      <c r="O1615" t="s">
        <v>61</v>
      </c>
      <c r="P1615">
        <v>100</v>
      </c>
      <c r="Q1615" t="s">
        <v>52</v>
      </c>
      <c r="R1615" t="s">
        <v>52</v>
      </c>
      <c r="S1615" t="s">
        <v>52</v>
      </c>
      <c r="T1615" t="s">
        <v>52</v>
      </c>
      <c r="U1615" t="s">
        <v>52</v>
      </c>
      <c r="V1615" t="s">
        <v>1071</v>
      </c>
      <c r="W1615" t="s">
        <v>52</v>
      </c>
      <c r="Y1615" t="s">
        <v>6055</v>
      </c>
      <c r="Z1615" t="s">
        <v>62</v>
      </c>
      <c r="AB1615" t="s">
        <v>52</v>
      </c>
      <c r="AE1615" t="s">
        <v>52</v>
      </c>
      <c r="AF1615" t="s">
        <v>52</v>
      </c>
      <c r="AH1615">
        <v>0</v>
      </c>
      <c r="AI1615">
        <v>0</v>
      </c>
      <c r="AJ1615" t="s">
        <v>52</v>
      </c>
      <c r="AK1615">
        <v>0</v>
      </c>
      <c r="AL1615" t="s">
        <v>52</v>
      </c>
      <c r="AM1615" t="s">
        <v>52</v>
      </c>
      <c r="AN1615">
        <v>0</v>
      </c>
      <c r="AO1615">
        <v>0</v>
      </c>
      <c r="AP1615" t="s">
        <v>52</v>
      </c>
      <c r="AQ1615" t="s">
        <v>52</v>
      </c>
      <c r="AR1615" t="s">
        <v>62</v>
      </c>
      <c r="AS1615" t="s">
        <v>52</v>
      </c>
      <c r="AT1615" t="s">
        <v>21</v>
      </c>
      <c r="AU1615" t="s">
        <v>64</v>
      </c>
      <c r="AV1615" t="s">
        <v>62</v>
      </c>
      <c r="AW1615" t="s">
        <v>65</v>
      </c>
      <c r="AX1615" t="s">
        <v>1067</v>
      </c>
      <c r="AY1615" t="s">
        <v>165</v>
      </c>
    </row>
    <row r="1616" spans="1:51" hidden="1" x14ac:dyDescent="0.25">
      <c r="A1616">
        <v>203575</v>
      </c>
      <c r="B1616" t="s">
        <v>6056</v>
      </c>
      <c r="C1616" t="str">
        <f>VLOOKUP(A1616,[1]Customer_payment_journal_line!$AL:$BO,30,0)</f>
        <v>CPay-000000098</v>
      </c>
      <c r="D1616" t="s">
        <v>53</v>
      </c>
      <c r="E1616" t="s">
        <v>6057</v>
      </c>
      <c r="F1616" t="s">
        <v>6058</v>
      </c>
      <c r="G1616" t="s">
        <v>6027</v>
      </c>
      <c r="H1616" t="s">
        <v>57</v>
      </c>
      <c r="I1616" t="s">
        <v>95</v>
      </c>
      <c r="J1616" t="s">
        <v>6043</v>
      </c>
      <c r="K1616" t="s">
        <v>6044</v>
      </c>
      <c r="L1616">
        <f>VLOOKUP(A1616,[1]Customer_payment_journal_line!$B:$L,11,0)</f>
        <v>1653</v>
      </c>
      <c r="M1616" s="1">
        <v>1653</v>
      </c>
      <c r="N1616" s="2">
        <f>L1616-M1616</f>
        <v>0</v>
      </c>
      <c r="O1616" t="s">
        <v>61</v>
      </c>
      <c r="P1616">
        <v>100</v>
      </c>
      <c r="Q1616" t="s">
        <v>52</v>
      </c>
      <c r="R1616" t="s">
        <v>52</v>
      </c>
      <c r="S1616" t="s">
        <v>52</v>
      </c>
      <c r="T1616" t="s">
        <v>52</v>
      </c>
      <c r="U1616" t="s">
        <v>52</v>
      </c>
      <c r="V1616" t="s">
        <v>62</v>
      </c>
      <c r="W1616" t="s">
        <v>63</v>
      </c>
      <c r="Y1616" t="s">
        <v>52</v>
      </c>
      <c r="AB1616" t="s">
        <v>52</v>
      </c>
      <c r="AE1616" t="s">
        <v>52</v>
      </c>
      <c r="AF1616" t="s">
        <v>52</v>
      </c>
      <c r="AH1616">
        <v>0</v>
      </c>
      <c r="AI1616">
        <v>0</v>
      </c>
      <c r="AJ1616" t="s">
        <v>52</v>
      </c>
      <c r="AK1616">
        <v>0</v>
      </c>
      <c r="AL1616" t="s">
        <v>52</v>
      </c>
      <c r="AM1616" t="s">
        <v>52</v>
      </c>
      <c r="AN1616">
        <v>0</v>
      </c>
      <c r="AO1616">
        <v>0</v>
      </c>
      <c r="AP1616" t="s">
        <v>52</v>
      </c>
      <c r="AQ1616" t="s">
        <v>52</v>
      </c>
      <c r="AR1616" t="s">
        <v>62</v>
      </c>
      <c r="AS1616" t="s">
        <v>52</v>
      </c>
      <c r="AT1616" t="s">
        <v>52</v>
      </c>
      <c r="AU1616" t="s">
        <v>64</v>
      </c>
      <c r="AV1616" t="s">
        <v>62</v>
      </c>
      <c r="AW1616" t="s">
        <v>65</v>
      </c>
      <c r="AX1616" t="s">
        <v>66</v>
      </c>
      <c r="AY1616" t="s">
        <v>67</v>
      </c>
    </row>
    <row r="1617" spans="1:51" hidden="1" x14ac:dyDescent="0.25">
      <c r="A1617">
        <v>203575</v>
      </c>
      <c r="B1617" t="s">
        <v>6059</v>
      </c>
      <c r="C1617" t="str">
        <f>VLOOKUP(A1617,[1]Customer_payment_journal_line!$AL:$BO,30,0)</f>
        <v>CPay-000000098</v>
      </c>
      <c r="D1617" t="s">
        <v>53</v>
      </c>
      <c r="E1617" t="s">
        <v>6057</v>
      </c>
      <c r="F1617" t="s">
        <v>6058</v>
      </c>
      <c r="G1617" t="s">
        <v>6027</v>
      </c>
      <c r="H1617" t="s">
        <v>69</v>
      </c>
      <c r="I1617" t="s">
        <v>1299</v>
      </c>
      <c r="J1617" t="s">
        <v>6043</v>
      </c>
      <c r="K1617" t="s">
        <v>6044</v>
      </c>
      <c r="L1617">
        <f>VLOOKUP(A1617,[1]Customer_payment_journal_line!$B:$L,11,0)</f>
        <v>1653</v>
      </c>
      <c r="M1617" s="1">
        <v>0</v>
      </c>
      <c r="N1617">
        <v>1653</v>
      </c>
      <c r="O1617" t="s">
        <v>61</v>
      </c>
      <c r="P1617">
        <v>100</v>
      </c>
      <c r="Q1617" t="s">
        <v>52</v>
      </c>
      <c r="R1617" t="s">
        <v>52</v>
      </c>
      <c r="S1617" t="s">
        <v>52</v>
      </c>
      <c r="T1617" t="s">
        <v>52</v>
      </c>
      <c r="U1617" t="s">
        <v>52</v>
      </c>
      <c r="V1617" t="s">
        <v>62</v>
      </c>
      <c r="W1617" t="s">
        <v>52</v>
      </c>
      <c r="Y1617" t="s">
        <v>1300</v>
      </c>
      <c r="Z1617" t="s">
        <v>62</v>
      </c>
      <c r="AB1617" t="s">
        <v>6060</v>
      </c>
      <c r="AE1617" t="s">
        <v>6061</v>
      </c>
      <c r="AF1617" t="s">
        <v>52</v>
      </c>
      <c r="AH1617">
        <v>0</v>
      </c>
      <c r="AI1617">
        <v>0</v>
      </c>
      <c r="AJ1617" t="s">
        <v>52</v>
      </c>
      <c r="AK1617">
        <v>0</v>
      </c>
      <c r="AL1617" t="s">
        <v>52</v>
      </c>
      <c r="AM1617" t="s">
        <v>52</v>
      </c>
      <c r="AN1617">
        <v>0</v>
      </c>
      <c r="AO1617">
        <v>0</v>
      </c>
      <c r="AP1617" t="s">
        <v>52</v>
      </c>
      <c r="AQ1617" t="s">
        <v>52</v>
      </c>
      <c r="AR1617" t="s">
        <v>62</v>
      </c>
      <c r="AS1617" t="s">
        <v>52</v>
      </c>
      <c r="AT1617" t="s">
        <v>74</v>
      </c>
      <c r="AU1617" t="s">
        <v>64</v>
      </c>
      <c r="AV1617" t="s">
        <v>62</v>
      </c>
      <c r="AW1617" t="s">
        <v>65</v>
      </c>
      <c r="AX1617" t="s">
        <v>66</v>
      </c>
      <c r="AY1617" t="s">
        <v>67</v>
      </c>
    </row>
    <row r="1618" spans="1:51" hidden="1" x14ac:dyDescent="0.25">
      <c r="A1618">
        <v>203578</v>
      </c>
      <c r="B1618" t="s">
        <v>6062</v>
      </c>
      <c r="C1618" t="str">
        <f>VLOOKUP(A1618,[1]Customer_payment_journal_line!$AL:$BO,30,0)</f>
        <v>CPay-000000099</v>
      </c>
      <c r="D1618" t="s">
        <v>53</v>
      </c>
      <c r="E1618" t="s">
        <v>6063</v>
      </c>
      <c r="F1618" t="s">
        <v>6064</v>
      </c>
      <c r="G1618" t="s">
        <v>6027</v>
      </c>
      <c r="H1618" t="s">
        <v>57</v>
      </c>
      <c r="I1618" t="s">
        <v>95</v>
      </c>
      <c r="J1618" t="s">
        <v>6065</v>
      </c>
      <c r="K1618" t="s">
        <v>6066</v>
      </c>
      <c r="L1618">
        <f>VLOOKUP(A1618,[1]Customer_payment_journal_line!$B:$L,11,0)</f>
        <v>199.5</v>
      </c>
      <c r="M1618" s="1">
        <v>199.5</v>
      </c>
      <c r="N1618" s="2">
        <f>L1618-M1618</f>
        <v>0</v>
      </c>
      <c r="O1618" t="s">
        <v>61</v>
      </c>
      <c r="P1618">
        <v>100</v>
      </c>
      <c r="Q1618" t="s">
        <v>52</v>
      </c>
      <c r="R1618" t="s">
        <v>52</v>
      </c>
      <c r="S1618" t="s">
        <v>52</v>
      </c>
      <c r="T1618" t="s">
        <v>52</v>
      </c>
      <c r="U1618" t="s">
        <v>52</v>
      </c>
      <c r="V1618" t="s">
        <v>62</v>
      </c>
      <c r="W1618" t="s">
        <v>63</v>
      </c>
      <c r="Y1618" t="s">
        <v>52</v>
      </c>
      <c r="AB1618" t="s">
        <v>52</v>
      </c>
      <c r="AE1618" t="s">
        <v>52</v>
      </c>
      <c r="AF1618" t="s">
        <v>52</v>
      </c>
      <c r="AH1618">
        <v>0</v>
      </c>
      <c r="AI1618">
        <v>0</v>
      </c>
      <c r="AJ1618" t="s">
        <v>52</v>
      </c>
      <c r="AK1618">
        <v>0</v>
      </c>
      <c r="AL1618" t="s">
        <v>52</v>
      </c>
      <c r="AM1618" t="s">
        <v>52</v>
      </c>
      <c r="AN1618">
        <v>0</v>
      </c>
      <c r="AO1618">
        <v>0</v>
      </c>
      <c r="AP1618" t="s">
        <v>52</v>
      </c>
      <c r="AQ1618" t="s">
        <v>52</v>
      </c>
      <c r="AR1618" t="s">
        <v>62</v>
      </c>
      <c r="AS1618" t="s">
        <v>52</v>
      </c>
      <c r="AT1618" t="s">
        <v>52</v>
      </c>
      <c r="AU1618" t="s">
        <v>64</v>
      </c>
      <c r="AV1618" t="s">
        <v>62</v>
      </c>
      <c r="AW1618" t="s">
        <v>65</v>
      </c>
      <c r="AX1618" t="s">
        <v>66</v>
      </c>
      <c r="AY1618" t="s">
        <v>67</v>
      </c>
    </row>
    <row r="1619" spans="1:51" hidden="1" x14ac:dyDescent="0.25">
      <c r="A1619">
        <v>203578</v>
      </c>
      <c r="B1619" t="s">
        <v>6067</v>
      </c>
      <c r="C1619" t="str">
        <f>VLOOKUP(A1619,[1]Customer_payment_journal_line!$AL:$BO,30,0)</f>
        <v>CPay-000000099</v>
      </c>
      <c r="D1619" t="s">
        <v>53</v>
      </c>
      <c r="E1619" t="s">
        <v>6063</v>
      </c>
      <c r="F1619" t="s">
        <v>6064</v>
      </c>
      <c r="G1619" t="s">
        <v>6027</v>
      </c>
      <c r="H1619" t="s">
        <v>69</v>
      </c>
      <c r="I1619" t="s">
        <v>6068</v>
      </c>
      <c r="J1619" t="s">
        <v>6065</v>
      </c>
      <c r="K1619" t="s">
        <v>6066</v>
      </c>
      <c r="L1619">
        <f>VLOOKUP(A1619,[1]Customer_payment_journal_line!$B:$L,11,0)</f>
        <v>199.5</v>
      </c>
      <c r="M1619" s="1">
        <v>0</v>
      </c>
      <c r="N1619">
        <v>199.5</v>
      </c>
      <c r="O1619" t="s">
        <v>61</v>
      </c>
      <c r="P1619">
        <v>100</v>
      </c>
      <c r="Q1619" t="s">
        <v>52</v>
      </c>
      <c r="R1619" t="s">
        <v>52</v>
      </c>
      <c r="S1619" t="s">
        <v>52</v>
      </c>
      <c r="T1619" t="s">
        <v>52</v>
      </c>
      <c r="U1619" t="s">
        <v>52</v>
      </c>
      <c r="V1619" t="s">
        <v>62</v>
      </c>
      <c r="W1619" t="s">
        <v>52</v>
      </c>
      <c r="Y1619" t="s">
        <v>6069</v>
      </c>
      <c r="Z1619" t="s">
        <v>62</v>
      </c>
      <c r="AB1619" t="s">
        <v>6070</v>
      </c>
      <c r="AE1619" t="s">
        <v>6071</v>
      </c>
      <c r="AF1619" t="s">
        <v>52</v>
      </c>
      <c r="AH1619">
        <v>0</v>
      </c>
      <c r="AI1619">
        <v>0</v>
      </c>
      <c r="AJ1619" t="s">
        <v>52</v>
      </c>
      <c r="AK1619">
        <v>0</v>
      </c>
      <c r="AL1619" t="s">
        <v>52</v>
      </c>
      <c r="AM1619" t="s">
        <v>52</v>
      </c>
      <c r="AN1619">
        <v>0</v>
      </c>
      <c r="AO1619">
        <v>0</v>
      </c>
      <c r="AP1619" t="s">
        <v>52</v>
      </c>
      <c r="AQ1619" t="s">
        <v>52</v>
      </c>
      <c r="AR1619" t="s">
        <v>62</v>
      </c>
      <c r="AS1619" t="s">
        <v>52</v>
      </c>
      <c r="AT1619" t="s">
        <v>74</v>
      </c>
      <c r="AU1619" t="s">
        <v>64</v>
      </c>
      <c r="AV1619" t="s">
        <v>62</v>
      </c>
      <c r="AW1619" t="s">
        <v>65</v>
      </c>
      <c r="AX1619" t="s">
        <v>66</v>
      </c>
      <c r="AY1619" t="s">
        <v>67</v>
      </c>
    </row>
    <row r="1620" spans="1:51" hidden="1" x14ac:dyDescent="0.25">
      <c r="A1620">
        <v>203580</v>
      </c>
      <c r="B1620" t="s">
        <v>6072</v>
      </c>
      <c r="C1620" t="e">
        <f>VLOOKUP(A1620,[1]Customer_payment_journal_line!$AL:$BO,30,0)</f>
        <v>#N/A</v>
      </c>
      <c r="D1620" t="s">
        <v>159</v>
      </c>
      <c r="E1620" t="s">
        <v>6073</v>
      </c>
      <c r="F1620" t="s">
        <v>6074</v>
      </c>
      <c r="G1620" t="s">
        <v>6027</v>
      </c>
      <c r="H1620" t="s">
        <v>80</v>
      </c>
      <c r="I1620" t="s">
        <v>632</v>
      </c>
      <c r="J1620" t="s">
        <v>6065</v>
      </c>
      <c r="K1620" t="s">
        <v>6066</v>
      </c>
      <c r="L1620" t="s">
        <v>52</v>
      </c>
      <c r="M1620">
        <v>1655</v>
      </c>
      <c r="N1620">
        <v>0</v>
      </c>
      <c r="O1620" t="s">
        <v>61</v>
      </c>
      <c r="P1620">
        <v>100</v>
      </c>
      <c r="Q1620" t="s">
        <v>52</v>
      </c>
      <c r="R1620" t="s">
        <v>52</v>
      </c>
      <c r="S1620" t="s">
        <v>52</v>
      </c>
      <c r="T1620" t="s">
        <v>52</v>
      </c>
      <c r="U1620" t="s">
        <v>52</v>
      </c>
      <c r="V1620" t="s">
        <v>62</v>
      </c>
      <c r="W1620" t="s">
        <v>52</v>
      </c>
      <c r="Y1620" t="s">
        <v>52</v>
      </c>
      <c r="AB1620" t="s">
        <v>52</v>
      </c>
      <c r="AE1620" t="s">
        <v>52</v>
      </c>
      <c r="AF1620" t="s">
        <v>52</v>
      </c>
      <c r="AG1620" t="s">
        <v>5213</v>
      </c>
      <c r="AH1620">
        <v>0</v>
      </c>
      <c r="AI1620">
        <v>0</v>
      </c>
      <c r="AJ1620" t="s">
        <v>52</v>
      </c>
      <c r="AK1620">
        <v>0</v>
      </c>
      <c r="AL1620" t="s">
        <v>52</v>
      </c>
      <c r="AM1620" t="s">
        <v>52</v>
      </c>
      <c r="AN1620">
        <v>0</v>
      </c>
      <c r="AO1620">
        <v>0</v>
      </c>
      <c r="AP1620" t="s">
        <v>52</v>
      </c>
      <c r="AQ1620" t="s">
        <v>52</v>
      </c>
      <c r="AR1620" t="s">
        <v>62</v>
      </c>
      <c r="AS1620" t="s">
        <v>52</v>
      </c>
      <c r="AT1620" t="s">
        <v>52</v>
      </c>
      <c r="AU1620" t="s">
        <v>64</v>
      </c>
      <c r="AV1620" t="s">
        <v>62</v>
      </c>
      <c r="AW1620" t="s">
        <v>65</v>
      </c>
      <c r="AX1620" t="s">
        <v>66</v>
      </c>
      <c r="AY1620" t="s">
        <v>165</v>
      </c>
    </row>
    <row r="1621" spans="1:51" hidden="1" x14ac:dyDescent="0.25">
      <c r="A1621">
        <v>203580</v>
      </c>
      <c r="B1621" t="s">
        <v>6075</v>
      </c>
      <c r="C1621" t="e">
        <f>VLOOKUP(A1621,[1]Customer_payment_journal_line!$AL:$BO,30,0)</f>
        <v>#N/A</v>
      </c>
      <c r="D1621" t="s">
        <v>159</v>
      </c>
      <c r="E1621" t="s">
        <v>6073</v>
      </c>
      <c r="F1621" t="s">
        <v>6074</v>
      </c>
      <c r="G1621" t="s">
        <v>6027</v>
      </c>
      <c r="H1621" t="s">
        <v>69</v>
      </c>
      <c r="I1621" t="s">
        <v>6068</v>
      </c>
      <c r="J1621" t="s">
        <v>6065</v>
      </c>
      <c r="K1621" t="s">
        <v>6066</v>
      </c>
      <c r="L1621" t="s">
        <v>52</v>
      </c>
      <c r="M1621">
        <v>0</v>
      </c>
      <c r="N1621">
        <v>1655</v>
      </c>
      <c r="O1621" t="s">
        <v>61</v>
      </c>
      <c r="P1621">
        <v>100</v>
      </c>
      <c r="Q1621" t="s">
        <v>52</v>
      </c>
      <c r="R1621" t="s">
        <v>52</v>
      </c>
      <c r="S1621" t="s">
        <v>52</v>
      </c>
      <c r="T1621" t="s">
        <v>52</v>
      </c>
      <c r="U1621" t="s">
        <v>52</v>
      </c>
      <c r="V1621" t="s">
        <v>62</v>
      </c>
      <c r="W1621" t="s">
        <v>52</v>
      </c>
      <c r="Y1621" t="s">
        <v>6069</v>
      </c>
      <c r="Z1621" t="s">
        <v>62</v>
      </c>
      <c r="AB1621" t="s">
        <v>6076</v>
      </c>
      <c r="AE1621" t="s">
        <v>6077</v>
      </c>
      <c r="AF1621" t="s">
        <v>52</v>
      </c>
      <c r="AG1621" t="s">
        <v>5213</v>
      </c>
      <c r="AH1621">
        <v>0</v>
      </c>
      <c r="AI1621">
        <v>0</v>
      </c>
      <c r="AJ1621" t="s">
        <v>52</v>
      </c>
      <c r="AK1621">
        <v>0</v>
      </c>
      <c r="AL1621" t="s">
        <v>52</v>
      </c>
      <c r="AM1621" t="s">
        <v>52</v>
      </c>
      <c r="AN1621">
        <v>0</v>
      </c>
      <c r="AO1621">
        <v>0</v>
      </c>
      <c r="AP1621" t="s">
        <v>52</v>
      </c>
      <c r="AQ1621" t="s">
        <v>52</v>
      </c>
      <c r="AR1621" t="s">
        <v>62</v>
      </c>
      <c r="AS1621" t="s">
        <v>52</v>
      </c>
      <c r="AT1621" t="s">
        <v>74</v>
      </c>
      <c r="AU1621" t="s">
        <v>64</v>
      </c>
      <c r="AV1621" t="s">
        <v>62</v>
      </c>
      <c r="AW1621" t="s">
        <v>65</v>
      </c>
      <c r="AX1621" t="s">
        <v>66</v>
      </c>
      <c r="AY1621" t="s">
        <v>165</v>
      </c>
    </row>
    <row r="1622" spans="1:51" x14ac:dyDescent="0.25">
      <c r="A1622">
        <v>203581</v>
      </c>
      <c r="B1622" t="s">
        <v>6078</v>
      </c>
      <c r="C1622" t="e">
        <f>VLOOKUP(A1622,[1]Customer_payment_journal_line!$AL:$BO,30,0)</f>
        <v>#N/A</v>
      </c>
      <c r="D1622" t="s">
        <v>644</v>
      </c>
      <c r="E1622" t="s">
        <v>6079</v>
      </c>
      <c r="F1622" t="s">
        <v>6080</v>
      </c>
      <c r="G1622" t="s">
        <v>6027</v>
      </c>
      <c r="H1622" t="s">
        <v>210</v>
      </c>
      <c r="I1622" t="s">
        <v>6081</v>
      </c>
      <c r="K1622" t="s">
        <v>1065</v>
      </c>
      <c r="L1622" t="s">
        <v>52</v>
      </c>
      <c r="M1622">
        <v>106967.99</v>
      </c>
      <c r="N1622">
        <v>0</v>
      </c>
      <c r="O1622" t="s">
        <v>61</v>
      </c>
      <c r="P1622">
        <v>100</v>
      </c>
      <c r="Q1622" t="s">
        <v>52</v>
      </c>
      <c r="R1622" t="s">
        <v>52</v>
      </c>
      <c r="S1622" t="s">
        <v>52</v>
      </c>
      <c r="T1622" t="s">
        <v>52</v>
      </c>
      <c r="U1622" t="s">
        <v>52</v>
      </c>
      <c r="V1622" t="s">
        <v>62</v>
      </c>
      <c r="W1622" t="s">
        <v>63</v>
      </c>
      <c r="Y1622" t="s">
        <v>52</v>
      </c>
      <c r="AB1622" t="s">
        <v>52</v>
      </c>
      <c r="AE1622" t="s">
        <v>52</v>
      </c>
      <c r="AF1622" t="s">
        <v>632</v>
      </c>
      <c r="AG1622" t="s">
        <v>6082</v>
      </c>
      <c r="AH1622">
        <v>0</v>
      </c>
      <c r="AI1622">
        <v>0</v>
      </c>
      <c r="AJ1622" t="s">
        <v>52</v>
      </c>
      <c r="AK1622">
        <v>0</v>
      </c>
      <c r="AL1622" t="s">
        <v>52</v>
      </c>
      <c r="AM1622" t="s">
        <v>52</v>
      </c>
      <c r="AN1622">
        <v>0</v>
      </c>
      <c r="AO1622">
        <v>0</v>
      </c>
      <c r="AP1622" t="s">
        <v>52</v>
      </c>
      <c r="AQ1622" t="s">
        <v>52</v>
      </c>
      <c r="AR1622" t="s">
        <v>62</v>
      </c>
      <c r="AS1622" t="s">
        <v>52</v>
      </c>
      <c r="AT1622" t="s">
        <v>52</v>
      </c>
      <c r="AU1622" t="s">
        <v>64</v>
      </c>
      <c r="AV1622" t="s">
        <v>62</v>
      </c>
      <c r="AW1622" t="s">
        <v>65</v>
      </c>
      <c r="AX1622" t="s">
        <v>1067</v>
      </c>
      <c r="AY1622" t="s">
        <v>654</v>
      </c>
    </row>
    <row r="1623" spans="1:51" x14ac:dyDescent="0.25">
      <c r="A1623">
        <v>203581</v>
      </c>
      <c r="B1623" t="s">
        <v>6083</v>
      </c>
      <c r="C1623" t="e">
        <f>VLOOKUP(A1623,[1]Customer_payment_journal_line!$AL:$BO,30,0)</f>
        <v>#N/A</v>
      </c>
      <c r="D1623" t="s">
        <v>644</v>
      </c>
      <c r="E1623" t="s">
        <v>6079</v>
      </c>
      <c r="F1623" t="s">
        <v>6080</v>
      </c>
      <c r="G1623" t="s">
        <v>6027</v>
      </c>
      <c r="H1623" t="s">
        <v>69</v>
      </c>
      <c r="I1623" t="s">
        <v>6084</v>
      </c>
      <c r="J1623" t="s">
        <v>6085</v>
      </c>
      <c r="K1623" t="s">
        <v>1065</v>
      </c>
      <c r="L1623" t="s">
        <v>52</v>
      </c>
      <c r="M1623">
        <v>0</v>
      </c>
      <c r="N1623">
        <v>106967.99</v>
      </c>
      <c r="O1623" t="s">
        <v>61</v>
      </c>
      <c r="P1623">
        <v>100</v>
      </c>
      <c r="Q1623" t="s">
        <v>52</v>
      </c>
      <c r="R1623" t="s">
        <v>52</v>
      </c>
      <c r="S1623" t="s">
        <v>52</v>
      </c>
      <c r="T1623" t="s">
        <v>52</v>
      </c>
      <c r="U1623" t="s">
        <v>52</v>
      </c>
      <c r="V1623" t="s">
        <v>1071</v>
      </c>
      <c r="W1623" t="s">
        <v>52</v>
      </c>
      <c r="Y1623" t="s">
        <v>6086</v>
      </c>
      <c r="Z1623" t="s">
        <v>62</v>
      </c>
      <c r="AB1623" t="s">
        <v>52</v>
      </c>
      <c r="AE1623" t="s">
        <v>52</v>
      </c>
      <c r="AF1623" t="s">
        <v>632</v>
      </c>
      <c r="AG1623" t="s">
        <v>6082</v>
      </c>
      <c r="AH1623">
        <v>0</v>
      </c>
      <c r="AI1623">
        <v>0</v>
      </c>
      <c r="AJ1623" t="s">
        <v>52</v>
      </c>
      <c r="AK1623">
        <v>0</v>
      </c>
      <c r="AL1623" t="s">
        <v>52</v>
      </c>
      <c r="AM1623" t="s">
        <v>52</v>
      </c>
      <c r="AN1623">
        <v>0</v>
      </c>
      <c r="AO1623">
        <v>0</v>
      </c>
      <c r="AP1623" t="s">
        <v>52</v>
      </c>
      <c r="AQ1623" t="s">
        <v>52</v>
      </c>
      <c r="AR1623" t="s">
        <v>62</v>
      </c>
      <c r="AS1623" t="s">
        <v>52</v>
      </c>
      <c r="AT1623" t="s">
        <v>21</v>
      </c>
      <c r="AU1623" t="s">
        <v>64</v>
      </c>
      <c r="AV1623" t="s">
        <v>62</v>
      </c>
      <c r="AW1623" t="s">
        <v>65</v>
      </c>
      <c r="AX1623" t="s">
        <v>1067</v>
      </c>
      <c r="AY1623" t="s">
        <v>654</v>
      </c>
    </row>
    <row r="1624" spans="1:51" hidden="1" x14ac:dyDescent="0.25">
      <c r="A1624">
        <v>203612</v>
      </c>
      <c r="B1624" t="s">
        <v>6087</v>
      </c>
      <c r="C1624" t="str">
        <f>VLOOKUP(A1624,[1]Customer_payment_journal_line!$AL:$BO,30,0)</f>
        <v>CPay-000000100</v>
      </c>
      <c r="D1624" t="s">
        <v>53</v>
      </c>
      <c r="E1624" t="s">
        <v>6088</v>
      </c>
      <c r="F1624" t="s">
        <v>6089</v>
      </c>
      <c r="G1624" t="s">
        <v>6027</v>
      </c>
      <c r="H1624" t="s">
        <v>57</v>
      </c>
      <c r="I1624" t="s">
        <v>95</v>
      </c>
      <c r="J1624" t="s">
        <v>6090</v>
      </c>
      <c r="K1624" t="s">
        <v>6091</v>
      </c>
      <c r="L1624">
        <f>VLOOKUP(A1624,[1]Customer_payment_journal_line!$B:$L,11,0)</f>
        <v>2052</v>
      </c>
      <c r="M1624" s="1">
        <v>2052</v>
      </c>
      <c r="N1624" s="2">
        <f>L1624-M1624</f>
        <v>0</v>
      </c>
      <c r="O1624" t="s">
        <v>61</v>
      </c>
      <c r="P1624">
        <v>100</v>
      </c>
      <c r="Q1624" t="s">
        <v>52</v>
      </c>
      <c r="R1624" t="s">
        <v>52</v>
      </c>
      <c r="S1624" t="s">
        <v>52</v>
      </c>
      <c r="T1624" t="s">
        <v>52</v>
      </c>
      <c r="U1624" t="s">
        <v>52</v>
      </c>
      <c r="V1624" t="s">
        <v>62</v>
      </c>
      <c r="W1624" t="s">
        <v>63</v>
      </c>
      <c r="Y1624" t="s">
        <v>52</v>
      </c>
      <c r="AB1624" t="s">
        <v>52</v>
      </c>
      <c r="AE1624" t="s">
        <v>52</v>
      </c>
      <c r="AF1624" t="s">
        <v>52</v>
      </c>
      <c r="AH1624">
        <v>0</v>
      </c>
      <c r="AI1624">
        <v>0</v>
      </c>
      <c r="AJ1624" t="s">
        <v>52</v>
      </c>
      <c r="AK1624">
        <v>0</v>
      </c>
      <c r="AL1624" t="s">
        <v>52</v>
      </c>
      <c r="AM1624" t="s">
        <v>52</v>
      </c>
      <c r="AN1624">
        <v>0</v>
      </c>
      <c r="AO1624">
        <v>0</v>
      </c>
      <c r="AP1624" t="s">
        <v>52</v>
      </c>
      <c r="AQ1624" t="s">
        <v>52</v>
      </c>
      <c r="AR1624" t="s">
        <v>62</v>
      </c>
      <c r="AS1624" t="s">
        <v>52</v>
      </c>
      <c r="AT1624" t="s">
        <v>52</v>
      </c>
      <c r="AU1624" t="s">
        <v>64</v>
      </c>
      <c r="AV1624" t="s">
        <v>62</v>
      </c>
      <c r="AW1624" t="s">
        <v>65</v>
      </c>
      <c r="AX1624" t="s">
        <v>66</v>
      </c>
      <c r="AY1624" t="s">
        <v>67</v>
      </c>
    </row>
    <row r="1625" spans="1:51" hidden="1" x14ac:dyDescent="0.25">
      <c r="A1625">
        <v>203612</v>
      </c>
      <c r="B1625" t="s">
        <v>6092</v>
      </c>
      <c r="C1625" t="str">
        <f>VLOOKUP(A1625,[1]Customer_payment_journal_line!$AL:$BO,30,0)</f>
        <v>CPay-000000100</v>
      </c>
      <c r="D1625" t="s">
        <v>53</v>
      </c>
      <c r="E1625" t="s">
        <v>6088</v>
      </c>
      <c r="F1625" t="s">
        <v>6089</v>
      </c>
      <c r="G1625" t="s">
        <v>6027</v>
      </c>
      <c r="H1625" t="s">
        <v>69</v>
      </c>
      <c r="I1625" t="s">
        <v>6093</v>
      </c>
      <c r="J1625" t="s">
        <v>6090</v>
      </c>
      <c r="K1625" t="s">
        <v>6091</v>
      </c>
      <c r="L1625">
        <f>VLOOKUP(A1625,[1]Customer_payment_journal_line!$B:$L,11,0)</f>
        <v>2052</v>
      </c>
      <c r="M1625" s="1">
        <v>0</v>
      </c>
      <c r="N1625">
        <v>2052</v>
      </c>
      <c r="O1625" t="s">
        <v>61</v>
      </c>
      <c r="P1625">
        <v>100</v>
      </c>
      <c r="Q1625" t="s">
        <v>52</v>
      </c>
      <c r="R1625" t="s">
        <v>52</v>
      </c>
      <c r="S1625" t="s">
        <v>52</v>
      </c>
      <c r="T1625" t="s">
        <v>52</v>
      </c>
      <c r="U1625" t="s">
        <v>52</v>
      </c>
      <c r="V1625" t="s">
        <v>62</v>
      </c>
      <c r="W1625" t="s">
        <v>52</v>
      </c>
      <c r="Y1625" t="s">
        <v>6094</v>
      </c>
      <c r="Z1625" t="s">
        <v>62</v>
      </c>
      <c r="AB1625" t="s">
        <v>6095</v>
      </c>
      <c r="AE1625" t="s">
        <v>6096</v>
      </c>
      <c r="AF1625" t="s">
        <v>52</v>
      </c>
      <c r="AH1625">
        <v>0</v>
      </c>
      <c r="AI1625">
        <v>0</v>
      </c>
      <c r="AJ1625" t="s">
        <v>52</v>
      </c>
      <c r="AK1625">
        <v>0</v>
      </c>
      <c r="AL1625" t="s">
        <v>52</v>
      </c>
      <c r="AM1625" t="s">
        <v>52</v>
      </c>
      <c r="AN1625">
        <v>0</v>
      </c>
      <c r="AO1625">
        <v>0</v>
      </c>
      <c r="AP1625" t="s">
        <v>52</v>
      </c>
      <c r="AQ1625" t="s">
        <v>52</v>
      </c>
      <c r="AR1625" t="s">
        <v>62</v>
      </c>
      <c r="AS1625" t="s">
        <v>52</v>
      </c>
      <c r="AT1625" t="s">
        <v>74</v>
      </c>
      <c r="AU1625" t="s">
        <v>64</v>
      </c>
      <c r="AV1625" t="s">
        <v>62</v>
      </c>
      <c r="AW1625" t="s">
        <v>65</v>
      </c>
      <c r="AX1625" t="s">
        <v>66</v>
      </c>
      <c r="AY1625" t="s">
        <v>67</v>
      </c>
    </row>
    <row r="1626" spans="1:51" hidden="1" x14ac:dyDescent="0.25">
      <c r="A1626">
        <v>203613</v>
      </c>
      <c r="B1626" t="s">
        <v>6097</v>
      </c>
      <c r="C1626" t="str">
        <f>VLOOKUP(A1626,[1]Customer_payment_journal_line!$AL:$BO,30,0)</f>
        <v>CPay-000000101</v>
      </c>
      <c r="D1626" t="s">
        <v>53</v>
      </c>
      <c r="E1626" t="s">
        <v>6098</v>
      </c>
      <c r="F1626" t="s">
        <v>6099</v>
      </c>
      <c r="G1626" t="s">
        <v>6027</v>
      </c>
      <c r="H1626" t="s">
        <v>57</v>
      </c>
      <c r="I1626" t="s">
        <v>95</v>
      </c>
      <c r="J1626" t="s">
        <v>6090</v>
      </c>
      <c r="K1626" t="s">
        <v>6091</v>
      </c>
      <c r="L1626">
        <f>VLOOKUP(A1626,[1]Customer_payment_journal_line!$B:$L,11,0)</f>
        <v>1674.2</v>
      </c>
      <c r="M1626" s="1">
        <v>1674.2</v>
      </c>
      <c r="N1626" s="2">
        <f>L1626-M1626</f>
        <v>0</v>
      </c>
      <c r="O1626" t="s">
        <v>61</v>
      </c>
      <c r="P1626">
        <v>100</v>
      </c>
      <c r="Q1626" t="s">
        <v>52</v>
      </c>
      <c r="R1626" t="s">
        <v>52</v>
      </c>
      <c r="S1626" t="s">
        <v>52</v>
      </c>
      <c r="T1626" t="s">
        <v>52</v>
      </c>
      <c r="U1626" t="s">
        <v>52</v>
      </c>
      <c r="V1626" t="s">
        <v>62</v>
      </c>
      <c r="W1626" t="s">
        <v>63</v>
      </c>
      <c r="Y1626" t="s">
        <v>52</v>
      </c>
      <c r="AB1626" t="s">
        <v>52</v>
      </c>
      <c r="AE1626" t="s">
        <v>52</v>
      </c>
      <c r="AF1626" t="s">
        <v>52</v>
      </c>
      <c r="AH1626">
        <v>0</v>
      </c>
      <c r="AI1626">
        <v>0</v>
      </c>
      <c r="AJ1626" t="s">
        <v>52</v>
      </c>
      <c r="AK1626">
        <v>0</v>
      </c>
      <c r="AL1626" t="s">
        <v>52</v>
      </c>
      <c r="AM1626" t="s">
        <v>52</v>
      </c>
      <c r="AN1626">
        <v>0</v>
      </c>
      <c r="AO1626">
        <v>0</v>
      </c>
      <c r="AP1626" t="s">
        <v>52</v>
      </c>
      <c r="AQ1626" t="s">
        <v>52</v>
      </c>
      <c r="AR1626" t="s">
        <v>62</v>
      </c>
      <c r="AS1626" t="s">
        <v>52</v>
      </c>
      <c r="AT1626" t="s">
        <v>52</v>
      </c>
      <c r="AU1626" t="s">
        <v>64</v>
      </c>
      <c r="AV1626" t="s">
        <v>62</v>
      </c>
      <c r="AW1626" t="s">
        <v>65</v>
      </c>
      <c r="AX1626" t="s">
        <v>66</v>
      </c>
      <c r="AY1626" t="s">
        <v>67</v>
      </c>
    </row>
    <row r="1627" spans="1:51" hidden="1" x14ac:dyDescent="0.25">
      <c r="A1627">
        <v>203613</v>
      </c>
      <c r="B1627" t="s">
        <v>6100</v>
      </c>
      <c r="C1627" t="str">
        <f>VLOOKUP(A1627,[1]Customer_payment_journal_line!$AL:$BO,30,0)</f>
        <v>CPay-000000101</v>
      </c>
      <c r="D1627" t="s">
        <v>53</v>
      </c>
      <c r="E1627" t="s">
        <v>6098</v>
      </c>
      <c r="F1627" t="s">
        <v>6099</v>
      </c>
      <c r="G1627" t="s">
        <v>6027</v>
      </c>
      <c r="H1627" t="s">
        <v>69</v>
      </c>
      <c r="I1627" t="s">
        <v>6093</v>
      </c>
      <c r="J1627" t="s">
        <v>6090</v>
      </c>
      <c r="K1627" t="s">
        <v>6091</v>
      </c>
      <c r="L1627">
        <f>VLOOKUP(A1627,[1]Customer_payment_journal_line!$B:$L,11,0)</f>
        <v>1674.2</v>
      </c>
      <c r="M1627" s="1">
        <v>0</v>
      </c>
      <c r="N1627">
        <v>1674.2</v>
      </c>
      <c r="O1627" t="s">
        <v>61</v>
      </c>
      <c r="P1627">
        <v>100</v>
      </c>
      <c r="Q1627" t="s">
        <v>52</v>
      </c>
      <c r="R1627" t="s">
        <v>52</v>
      </c>
      <c r="S1627" t="s">
        <v>52</v>
      </c>
      <c r="T1627" t="s">
        <v>52</v>
      </c>
      <c r="U1627" t="s">
        <v>52</v>
      </c>
      <c r="V1627" t="s">
        <v>62</v>
      </c>
      <c r="W1627" t="s">
        <v>52</v>
      </c>
      <c r="Y1627" t="s">
        <v>6094</v>
      </c>
      <c r="Z1627" t="s">
        <v>62</v>
      </c>
      <c r="AB1627" t="s">
        <v>6101</v>
      </c>
      <c r="AE1627" t="s">
        <v>6102</v>
      </c>
      <c r="AF1627" t="s">
        <v>52</v>
      </c>
      <c r="AH1627">
        <v>0</v>
      </c>
      <c r="AI1627">
        <v>0</v>
      </c>
      <c r="AJ1627" t="s">
        <v>52</v>
      </c>
      <c r="AK1627">
        <v>0</v>
      </c>
      <c r="AL1627" t="s">
        <v>52</v>
      </c>
      <c r="AM1627" t="s">
        <v>52</v>
      </c>
      <c r="AN1627">
        <v>0</v>
      </c>
      <c r="AO1627">
        <v>0</v>
      </c>
      <c r="AP1627" t="s">
        <v>52</v>
      </c>
      <c r="AQ1627" t="s">
        <v>52</v>
      </c>
      <c r="AR1627" t="s">
        <v>62</v>
      </c>
      <c r="AS1627" t="s">
        <v>52</v>
      </c>
      <c r="AT1627" t="s">
        <v>74</v>
      </c>
      <c r="AU1627" t="s">
        <v>64</v>
      </c>
      <c r="AV1627" t="s">
        <v>62</v>
      </c>
      <c r="AW1627" t="s">
        <v>65</v>
      </c>
      <c r="AX1627" t="s">
        <v>66</v>
      </c>
      <c r="AY1627" t="s">
        <v>67</v>
      </c>
    </row>
    <row r="1628" spans="1:51" hidden="1" x14ac:dyDescent="0.25">
      <c r="A1628">
        <v>203619</v>
      </c>
      <c r="B1628" t="s">
        <v>6103</v>
      </c>
      <c r="C1628" t="str">
        <f>VLOOKUP(A1628,[1]Customer_payment_journal_line!$AL:$BO,30,0)</f>
        <v>CPay-000000102</v>
      </c>
      <c r="D1628" t="s">
        <v>53</v>
      </c>
      <c r="E1628" t="s">
        <v>6104</v>
      </c>
      <c r="F1628" t="s">
        <v>6105</v>
      </c>
      <c r="G1628" t="s">
        <v>6027</v>
      </c>
      <c r="H1628" t="s">
        <v>57</v>
      </c>
      <c r="I1628" t="s">
        <v>95</v>
      </c>
      <c r="J1628" t="s">
        <v>6106</v>
      </c>
      <c r="K1628" t="s">
        <v>4180</v>
      </c>
      <c r="L1628">
        <f>VLOOKUP(A1628,[1]Customer_payment_journal_line!$B:$L,11,0)</f>
        <v>1653</v>
      </c>
      <c r="M1628" s="1">
        <v>1653</v>
      </c>
      <c r="N1628" s="2">
        <f>L1628-M1628</f>
        <v>0</v>
      </c>
      <c r="O1628" t="s">
        <v>61</v>
      </c>
      <c r="P1628">
        <v>100</v>
      </c>
      <c r="Q1628" t="s">
        <v>52</v>
      </c>
      <c r="R1628" t="s">
        <v>52</v>
      </c>
      <c r="S1628" t="s">
        <v>52</v>
      </c>
      <c r="T1628" t="s">
        <v>52</v>
      </c>
      <c r="U1628" t="s">
        <v>52</v>
      </c>
      <c r="V1628" t="s">
        <v>62</v>
      </c>
      <c r="W1628" t="s">
        <v>63</v>
      </c>
      <c r="Y1628" t="s">
        <v>52</v>
      </c>
      <c r="AB1628" t="s">
        <v>52</v>
      </c>
      <c r="AE1628" t="s">
        <v>52</v>
      </c>
      <c r="AF1628" t="s">
        <v>52</v>
      </c>
      <c r="AH1628">
        <v>0</v>
      </c>
      <c r="AI1628">
        <v>0</v>
      </c>
      <c r="AJ1628" t="s">
        <v>52</v>
      </c>
      <c r="AK1628">
        <v>0</v>
      </c>
      <c r="AL1628" t="s">
        <v>52</v>
      </c>
      <c r="AM1628" t="s">
        <v>52</v>
      </c>
      <c r="AN1628">
        <v>0</v>
      </c>
      <c r="AO1628">
        <v>0</v>
      </c>
      <c r="AP1628" t="s">
        <v>52</v>
      </c>
      <c r="AQ1628" t="s">
        <v>52</v>
      </c>
      <c r="AR1628" t="s">
        <v>62</v>
      </c>
      <c r="AS1628" t="s">
        <v>52</v>
      </c>
      <c r="AT1628" t="s">
        <v>52</v>
      </c>
      <c r="AU1628" t="s">
        <v>64</v>
      </c>
      <c r="AV1628" t="s">
        <v>62</v>
      </c>
      <c r="AW1628" t="s">
        <v>65</v>
      </c>
      <c r="AX1628" t="s">
        <v>66</v>
      </c>
      <c r="AY1628" t="s">
        <v>67</v>
      </c>
    </row>
    <row r="1629" spans="1:51" hidden="1" x14ac:dyDescent="0.25">
      <c r="A1629">
        <v>203619</v>
      </c>
      <c r="B1629" t="s">
        <v>6107</v>
      </c>
      <c r="C1629" t="str">
        <f>VLOOKUP(A1629,[1]Customer_payment_journal_line!$AL:$BO,30,0)</f>
        <v>CPay-000000102</v>
      </c>
      <c r="D1629" t="s">
        <v>53</v>
      </c>
      <c r="E1629" t="s">
        <v>6104</v>
      </c>
      <c r="F1629" t="s">
        <v>6105</v>
      </c>
      <c r="G1629" t="s">
        <v>6027</v>
      </c>
      <c r="H1629" t="s">
        <v>69</v>
      </c>
      <c r="I1629" t="s">
        <v>6108</v>
      </c>
      <c r="J1629" t="s">
        <v>6106</v>
      </c>
      <c r="K1629" t="s">
        <v>4180</v>
      </c>
      <c r="L1629">
        <f>VLOOKUP(A1629,[1]Customer_payment_journal_line!$B:$L,11,0)</f>
        <v>1653</v>
      </c>
      <c r="M1629" s="1">
        <v>0</v>
      </c>
      <c r="N1629">
        <v>1653</v>
      </c>
      <c r="O1629" t="s">
        <v>61</v>
      </c>
      <c r="P1629">
        <v>100</v>
      </c>
      <c r="Q1629" t="s">
        <v>52</v>
      </c>
      <c r="R1629" t="s">
        <v>52</v>
      </c>
      <c r="S1629" t="s">
        <v>52</v>
      </c>
      <c r="T1629" t="s">
        <v>52</v>
      </c>
      <c r="U1629" t="s">
        <v>52</v>
      </c>
      <c r="V1629" t="s">
        <v>62</v>
      </c>
      <c r="W1629" t="s">
        <v>52</v>
      </c>
      <c r="Y1629" t="s">
        <v>6109</v>
      </c>
      <c r="Z1629" t="s">
        <v>62</v>
      </c>
      <c r="AB1629" t="s">
        <v>6110</v>
      </c>
      <c r="AE1629" t="s">
        <v>6111</v>
      </c>
      <c r="AF1629" t="s">
        <v>52</v>
      </c>
      <c r="AH1629">
        <v>0</v>
      </c>
      <c r="AI1629">
        <v>0</v>
      </c>
      <c r="AJ1629" t="s">
        <v>52</v>
      </c>
      <c r="AK1629">
        <v>0</v>
      </c>
      <c r="AL1629" t="s">
        <v>52</v>
      </c>
      <c r="AM1629" t="s">
        <v>52</v>
      </c>
      <c r="AN1629">
        <v>0</v>
      </c>
      <c r="AO1629">
        <v>0</v>
      </c>
      <c r="AP1629" t="s">
        <v>52</v>
      </c>
      <c r="AQ1629" t="s">
        <v>52</v>
      </c>
      <c r="AR1629" t="s">
        <v>62</v>
      </c>
      <c r="AS1629" t="s">
        <v>52</v>
      </c>
      <c r="AT1629" t="s">
        <v>74</v>
      </c>
      <c r="AU1629" t="s">
        <v>64</v>
      </c>
      <c r="AV1629" t="s">
        <v>62</v>
      </c>
      <c r="AW1629" t="s">
        <v>65</v>
      </c>
      <c r="AX1629" t="s">
        <v>66</v>
      </c>
      <c r="AY1629" t="s">
        <v>67</v>
      </c>
    </row>
    <row r="1630" spans="1:51" hidden="1" x14ac:dyDescent="0.25">
      <c r="A1630">
        <v>203621</v>
      </c>
      <c r="B1630" t="s">
        <v>6112</v>
      </c>
      <c r="C1630" t="str">
        <f>VLOOKUP(A1630,[1]Customer_payment_journal_line!$AL:$BO,30,0)</f>
        <v>CPay-000000103</v>
      </c>
      <c r="D1630" t="s">
        <v>53</v>
      </c>
      <c r="E1630" t="s">
        <v>6113</v>
      </c>
      <c r="F1630" t="s">
        <v>6114</v>
      </c>
      <c r="G1630" t="s">
        <v>6027</v>
      </c>
      <c r="H1630" t="s">
        <v>57</v>
      </c>
      <c r="I1630" t="s">
        <v>95</v>
      </c>
      <c r="J1630" t="s">
        <v>6106</v>
      </c>
      <c r="K1630" t="s">
        <v>4180</v>
      </c>
      <c r="L1630">
        <f>VLOOKUP(A1630,[1]Customer_payment_journal_line!$B:$L,11,0)</f>
        <v>262.2</v>
      </c>
      <c r="M1630" s="1">
        <v>262.2</v>
      </c>
      <c r="N1630" s="2">
        <f>L1630-M1630</f>
        <v>0</v>
      </c>
      <c r="O1630" t="s">
        <v>61</v>
      </c>
      <c r="P1630">
        <v>100</v>
      </c>
      <c r="Q1630" t="s">
        <v>52</v>
      </c>
      <c r="R1630" t="s">
        <v>52</v>
      </c>
      <c r="S1630" t="s">
        <v>52</v>
      </c>
      <c r="T1630" t="s">
        <v>52</v>
      </c>
      <c r="U1630" t="s">
        <v>52</v>
      </c>
      <c r="V1630" t="s">
        <v>62</v>
      </c>
      <c r="W1630" t="s">
        <v>63</v>
      </c>
      <c r="Y1630" t="s">
        <v>52</v>
      </c>
      <c r="AB1630" t="s">
        <v>52</v>
      </c>
      <c r="AE1630" t="s">
        <v>52</v>
      </c>
      <c r="AF1630" t="s">
        <v>52</v>
      </c>
      <c r="AH1630">
        <v>0</v>
      </c>
      <c r="AI1630">
        <v>0</v>
      </c>
      <c r="AJ1630" t="s">
        <v>52</v>
      </c>
      <c r="AK1630">
        <v>0</v>
      </c>
      <c r="AL1630" t="s">
        <v>52</v>
      </c>
      <c r="AM1630" t="s">
        <v>52</v>
      </c>
      <c r="AN1630">
        <v>0</v>
      </c>
      <c r="AO1630">
        <v>0</v>
      </c>
      <c r="AP1630" t="s">
        <v>52</v>
      </c>
      <c r="AQ1630" t="s">
        <v>52</v>
      </c>
      <c r="AR1630" t="s">
        <v>62</v>
      </c>
      <c r="AS1630" t="s">
        <v>52</v>
      </c>
      <c r="AT1630" t="s">
        <v>52</v>
      </c>
      <c r="AU1630" t="s">
        <v>64</v>
      </c>
      <c r="AV1630" t="s">
        <v>62</v>
      </c>
      <c r="AW1630" t="s">
        <v>65</v>
      </c>
      <c r="AX1630" t="s">
        <v>66</v>
      </c>
      <c r="AY1630" t="s">
        <v>67</v>
      </c>
    </row>
    <row r="1631" spans="1:51" hidden="1" x14ac:dyDescent="0.25">
      <c r="A1631">
        <v>203621</v>
      </c>
      <c r="B1631" t="s">
        <v>6115</v>
      </c>
      <c r="C1631" t="str">
        <f>VLOOKUP(A1631,[1]Customer_payment_journal_line!$AL:$BO,30,0)</f>
        <v>CPay-000000103</v>
      </c>
      <c r="D1631" t="s">
        <v>53</v>
      </c>
      <c r="E1631" t="s">
        <v>6113</v>
      </c>
      <c r="F1631" t="s">
        <v>6114</v>
      </c>
      <c r="G1631" t="s">
        <v>6027</v>
      </c>
      <c r="H1631" t="s">
        <v>69</v>
      </c>
      <c r="I1631" t="s">
        <v>6108</v>
      </c>
      <c r="J1631" t="s">
        <v>6106</v>
      </c>
      <c r="K1631" t="s">
        <v>4180</v>
      </c>
      <c r="L1631">
        <f>VLOOKUP(A1631,[1]Customer_payment_journal_line!$B:$L,11,0)</f>
        <v>262.2</v>
      </c>
      <c r="M1631" s="1">
        <v>0</v>
      </c>
      <c r="N1631">
        <v>262.2</v>
      </c>
      <c r="O1631" t="s">
        <v>61</v>
      </c>
      <c r="P1631">
        <v>100</v>
      </c>
      <c r="Q1631" t="s">
        <v>52</v>
      </c>
      <c r="R1631" t="s">
        <v>52</v>
      </c>
      <c r="S1631" t="s">
        <v>52</v>
      </c>
      <c r="T1631" t="s">
        <v>52</v>
      </c>
      <c r="U1631" t="s">
        <v>52</v>
      </c>
      <c r="V1631" t="s">
        <v>62</v>
      </c>
      <c r="W1631" t="s">
        <v>52</v>
      </c>
      <c r="Y1631" t="s">
        <v>6109</v>
      </c>
      <c r="Z1631" t="s">
        <v>62</v>
      </c>
      <c r="AB1631" t="s">
        <v>6116</v>
      </c>
      <c r="AE1631" t="s">
        <v>6117</v>
      </c>
      <c r="AF1631" t="s">
        <v>52</v>
      </c>
      <c r="AH1631">
        <v>0</v>
      </c>
      <c r="AI1631">
        <v>0</v>
      </c>
      <c r="AJ1631" t="s">
        <v>52</v>
      </c>
      <c r="AK1631">
        <v>0</v>
      </c>
      <c r="AL1631" t="s">
        <v>52</v>
      </c>
      <c r="AM1631" t="s">
        <v>52</v>
      </c>
      <c r="AN1631">
        <v>0</v>
      </c>
      <c r="AO1631">
        <v>0</v>
      </c>
      <c r="AP1631" t="s">
        <v>52</v>
      </c>
      <c r="AQ1631" t="s">
        <v>52</v>
      </c>
      <c r="AR1631" t="s">
        <v>62</v>
      </c>
      <c r="AS1631" t="s">
        <v>52</v>
      </c>
      <c r="AT1631" t="s">
        <v>74</v>
      </c>
      <c r="AU1631" t="s">
        <v>64</v>
      </c>
      <c r="AV1631" t="s">
        <v>62</v>
      </c>
      <c r="AW1631" t="s">
        <v>65</v>
      </c>
      <c r="AX1631" t="s">
        <v>66</v>
      </c>
      <c r="AY1631" t="s">
        <v>67</v>
      </c>
    </row>
    <row r="1632" spans="1:51" hidden="1" x14ac:dyDescent="0.25">
      <c r="A1632">
        <v>203653</v>
      </c>
      <c r="B1632" t="s">
        <v>6118</v>
      </c>
      <c r="C1632" t="str">
        <f>VLOOKUP(A1632,[1]Customer_payment_journal_line!$AL:$BO,30,0)</f>
        <v>CPay-000000104</v>
      </c>
      <c r="D1632" t="s">
        <v>53</v>
      </c>
      <c r="E1632" t="s">
        <v>6119</v>
      </c>
      <c r="F1632" t="s">
        <v>6120</v>
      </c>
      <c r="G1632" t="s">
        <v>6027</v>
      </c>
      <c r="H1632" t="s">
        <v>57</v>
      </c>
      <c r="I1632" t="s">
        <v>95</v>
      </c>
      <c r="J1632" t="s">
        <v>6121</v>
      </c>
      <c r="K1632" t="s">
        <v>6122</v>
      </c>
      <c r="L1632">
        <f>VLOOKUP(A1632,[1]Customer_payment_journal_line!$B:$L,11,0)</f>
        <v>3450.78</v>
      </c>
      <c r="M1632" s="1">
        <v>3450.78</v>
      </c>
      <c r="N1632" s="2">
        <f>L1632-M1632</f>
        <v>0</v>
      </c>
      <c r="O1632" t="s">
        <v>61</v>
      </c>
      <c r="P1632">
        <v>100</v>
      </c>
      <c r="Q1632" t="s">
        <v>52</v>
      </c>
      <c r="R1632" t="s">
        <v>52</v>
      </c>
      <c r="S1632" t="s">
        <v>52</v>
      </c>
      <c r="T1632" t="s">
        <v>52</v>
      </c>
      <c r="U1632" t="s">
        <v>52</v>
      </c>
      <c r="V1632" t="s">
        <v>62</v>
      </c>
      <c r="W1632" t="s">
        <v>63</v>
      </c>
      <c r="Y1632" t="s">
        <v>52</v>
      </c>
      <c r="AB1632" t="s">
        <v>52</v>
      </c>
      <c r="AE1632" t="s">
        <v>52</v>
      </c>
      <c r="AF1632" t="s">
        <v>52</v>
      </c>
      <c r="AH1632">
        <v>0</v>
      </c>
      <c r="AI1632">
        <v>0</v>
      </c>
      <c r="AJ1632" t="s">
        <v>52</v>
      </c>
      <c r="AK1632">
        <v>0</v>
      </c>
      <c r="AL1632" t="s">
        <v>52</v>
      </c>
      <c r="AM1632" t="s">
        <v>52</v>
      </c>
      <c r="AN1632">
        <v>0</v>
      </c>
      <c r="AO1632">
        <v>0</v>
      </c>
      <c r="AP1632" t="s">
        <v>52</v>
      </c>
      <c r="AQ1632" t="s">
        <v>52</v>
      </c>
      <c r="AR1632" t="s">
        <v>62</v>
      </c>
      <c r="AS1632" t="s">
        <v>52</v>
      </c>
      <c r="AT1632" t="s">
        <v>52</v>
      </c>
      <c r="AU1632" t="s">
        <v>64</v>
      </c>
      <c r="AV1632" t="s">
        <v>62</v>
      </c>
      <c r="AW1632" t="s">
        <v>65</v>
      </c>
      <c r="AX1632" t="s">
        <v>66</v>
      </c>
      <c r="AY1632" t="s">
        <v>67</v>
      </c>
    </row>
    <row r="1633" spans="1:51" hidden="1" x14ac:dyDescent="0.25">
      <c r="A1633">
        <v>203653</v>
      </c>
      <c r="B1633" t="s">
        <v>6123</v>
      </c>
      <c r="C1633" t="str">
        <f>VLOOKUP(A1633,[1]Customer_payment_journal_line!$AL:$BO,30,0)</f>
        <v>CPay-000000104</v>
      </c>
      <c r="D1633" t="s">
        <v>53</v>
      </c>
      <c r="E1633" t="s">
        <v>6119</v>
      </c>
      <c r="F1633" t="s">
        <v>6120</v>
      </c>
      <c r="G1633" t="s">
        <v>6027</v>
      </c>
      <c r="H1633" t="s">
        <v>69</v>
      </c>
      <c r="I1633" t="s">
        <v>6124</v>
      </c>
      <c r="J1633" t="s">
        <v>6121</v>
      </c>
      <c r="K1633" t="s">
        <v>6122</v>
      </c>
      <c r="L1633">
        <f>VLOOKUP(A1633,[1]Customer_payment_journal_line!$B:$L,11,0)</f>
        <v>3450.78</v>
      </c>
      <c r="M1633" s="1">
        <v>0</v>
      </c>
      <c r="N1633">
        <v>3450.78</v>
      </c>
      <c r="O1633" t="s">
        <v>61</v>
      </c>
      <c r="P1633">
        <v>100</v>
      </c>
      <c r="Q1633" t="s">
        <v>52</v>
      </c>
      <c r="R1633" t="s">
        <v>52</v>
      </c>
      <c r="S1633" t="s">
        <v>52</v>
      </c>
      <c r="T1633" t="s">
        <v>52</v>
      </c>
      <c r="U1633" t="s">
        <v>52</v>
      </c>
      <c r="V1633" t="s">
        <v>62</v>
      </c>
      <c r="W1633" t="s">
        <v>52</v>
      </c>
      <c r="Y1633" t="s">
        <v>6125</v>
      </c>
      <c r="Z1633" t="s">
        <v>62</v>
      </c>
      <c r="AB1633" t="s">
        <v>6126</v>
      </c>
      <c r="AE1633" t="s">
        <v>6127</v>
      </c>
      <c r="AF1633" t="s">
        <v>52</v>
      </c>
      <c r="AH1633">
        <v>0</v>
      </c>
      <c r="AI1633">
        <v>0</v>
      </c>
      <c r="AJ1633" t="s">
        <v>52</v>
      </c>
      <c r="AK1633">
        <v>0</v>
      </c>
      <c r="AL1633" t="s">
        <v>52</v>
      </c>
      <c r="AM1633" t="s">
        <v>52</v>
      </c>
      <c r="AN1633">
        <v>0</v>
      </c>
      <c r="AO1633">
        <v>0</v>
      </c>
      <c r="AP1633" t="s">
        <v>52</v>
      </c>
      <c r="AQ1633" t="s">
        <v>52</v>
      </c>
      <c r="AR1633" t="s">
        <v>62</v>
      </c>
      <c r="AS1633" t="s">
        <v>52</v>
      </c>
      <c r="AT1633" t="s">
        <v>74</v>
      </c>
      <c r="AU1633" t="s">
        <v>64</v>
      </c>
      <c r="AV1633" t="s">
        <v>62</v>
      </c>
      <c r="AW1633" t="s">
        <v>65</v>
      </c>
      <c r="AX1633" t="s">
        <v>66</v>
      </c>
      <c r="AY1633" t="s">
        <v>67</v>
      </c>
    </row>
    <row r="1634" spans="1:51" hidden="1" x14ac:dyDescent="0.25">
      <c r="A1634">
        <v>203654</v>
      </c>
      <c r="B1634" t="s">
        <v>6128</v>
      </c>
      <c r="C1634" t="str">
        <f>VLOOKUP(A1634,[1]Customer_payment_journal_line!$AL:$BO,30,0)</f>
        <v>CPay-000000105</v>
      </c>
      <c r="D1634" t="s">
        <v>53</v>
      </c>
      <c r="E1634" t="s">
        <v>6129</v>
      </c>
      <c r="F1634" t="s">
        <v>6130</v>
      </c>
      <c r="G1634" t="s">
        <v>6027</v>
      </c>
      <c r="H1634" t="s">
        <v>57</v>
      </c>
      <c r="I1634" t="s">
        <v>95</v>
      </c>
      <c r="J1634" t="s">
        <v>6121</v>
      </c>
      <c r="K1634" t="s">
        <v>6122</v>
      </c>
      <c r="L1634">
        <f>VLOOKUP(A1634,[1]Customer_payment_journal_line!$B:$L,11,0)</f>
        <v>1653</v>
      </c>
      <c r="M1634" s="1">
        <v>1653</v>
      </c>
      <c r="N1634" s="2">
        <f>L1634-M1634</f>
        <v>0</v>
      </c>
      <c r="O1634" t="s">
        <v>61</v>
      </c>
      <c r="P1634">
        <v>100</v>
      </c>
      <c r="Q1634" t="s">
        <v>52</v>
      </c>
      <c r="R1634" t="s">
        <v>52</v>
      </c>
      <c r="S1634" t="s">
        <v>52</v>
      </c>
      <c r="T1634" t="s">
        <v>52</v>
      </c>
      <c r="U1634" t="s">
        <v>52</v>
      </c>
      <c r="V1634" t="s">
        <v>62</v>
      </c>
      <c r="W1634" t="s">
        <v>63</v>
      </c>
      <c r="Y1634" t="s">
        <v>52</v>
      </c>
      <c r="AB1634" t="s">
        <v>52</v>
      </c>
      <c r="AE1634" t="s">
        <v>52</v>
      </c>
      <c r="AF1634" t="s">
        <v>52</v>
      </c>
      <c r="AH1634">
        <v>0</v>
      </c>
      <c r="AI1634">
        <v>0</v>
      </c>
      <c r="AJ1634" t="s">
        <v>52</v>
      </c>
      <c r="AK1634">
        <v>0</v>
      </c>
      <c r="AL1634" t="s">
        <v>52</v>
      </c>
      <c r="AM1634" t="s">
        <v>52</v>
      </c>
      <c r="AN1634">
        <v>0</v>
      </c>
      <c r="AO1634">
        <v>0</v>
      </c>
      <c r="AP1634" t="s">
        <v>52</v>
      </c>
      <c r="AQ1634" t="s">
        <v>52</v>
      </c>
      <c r="AR1634" t="s">
        <v>62</v>
      </c>
      <c r="AS1634" t="s">
        <v>52</v>
      </c>
      <c r="AT1634" t="s">
        <v>52</v>
      </c>
      <c r="AU1634" t="s">
        <v>64</v>
      </c>
      <c r="AV1634" t="s">
        <v>62</v>
      </c>
      <c r="AW1634" t="s">
        <v>65</v>
      </c>
      <c r="AX1634" t="s">
        <v>66</v>
      </c>
      <c r="AY1634" t="s">
        <v>67</v>
      </c>
    </row>
    <row r="1635" spans="1:51" hidden="1" x14ac:dyDescent="0.25">
      <c r="A1635">
        <v>203654</v>
      </c>
      <c r="B1635" t="s">
        <v>6131</v>
      </c>
      <c r="C1635" t="str">
        <f>VLOOKUP(A1635,[1]Customer_payment_journal_line!$AL:$BO,30,0)</f>
        <v>CPay-000000105</v>
      </c>
      <c r="D1635" t="s">
        <v>53</v>
      </c>
      <c r="E1635" t="s">
        <v>6129</v>
      </c>
      <c r="F1635" t="s">
        <v>6130</v>
      </c>
      <c r="G1635" t="s">
        <v>6027</v>
      </c>
      <c r="H1635" t="s">
        <v>69</v>
      </c>
      <c r="I1635" t="s">
        <v>6124</v>
      </c>
      <c r="J1635" t="s">
        <v>6121</v>
      </c>
      <c r="K1635" t="s">
        <v>6122</v>
      </c>
      <c r="L1635">
        <f>VLOOKUP(A1635,[1]Customer_payment_journal_line!$B:$L,11,0)</f>
        <v>1653</v>
      </c>
      <c r="M1635" s="1">
        <v>0</v>
      </c>
      <c r="N1635">
        <v>1653</v>
      </c>
      <c r="O1635" t="s">
        <v>61</v>
      </c>
      <c r="P1635">
        <v>100</v>
      </c>
      <c r="Q1635" t="s">
        <v>52</v>
      </c>
      <c r="R1635" t="s">
        <v>52</v>
      </c>
      <c r="S1635" t="s">
        <v>52</v>
      </c>
      <c r="T1635" t="s">
        <v>52</v>
      </c>
      <c r="U1635" t="s">
        <v>52</v>
      </c>
      <c r="V1635" t="s">
        <v>62</v>
      </c>
      <c r="W1635" t="s">
        <v>52</v>
      </c>
      <c r="Y1635" t="s">
        <v>6125</v>
      </c>
      <c r="Z1635" t="s">
        <v>62</v>
      </c>
      <c r="AB1635" t="s">
        <v>6132</v>
      </c>
      <c r="AE1635" t="s">
        <v>6133</v>
      </c>
      <c r="AF1635" t="s">
        <v>52</v>
      </c>
      <c r="AH1635">
        <v>0</v>
      </c>
      <c r="AI1635">
        <v>0</v>
      </c>
      <c r="AJ1635" t="s">
        <v>52</v>
      </c>
      <c r="AK1635">
        <v>0</v>
      </c>
      <c r="AL1635" t="s">
        <v>52</v>
      </c>
      <c r="AM1635" t="s">
        <v>52</v>
      </c>
      <c r="AN1635">
        <v>0</v>
      </c>
      <c r="AO1635">
        <v>0</v>
      </c>
      <c r="AP1635" t="s">
        <v>52</v>
      </c>
      <c r="AQ1635" t="s">
        <v>52</v>
      </c>
      <c r="AR1635" t="s">
        <v>62</v>
      </c>
      <c r="AS1635" t="s">
        <v>52</v>
      </c>
      <c r="AT1635" t="s">
        <v>74</v>
      </c>
      <c r="AU1635" t="s">
        <v>64</v>
      </c>
      <c r="AV1635" t="s">
        <v>62</v>
      </c>
      <c r="AW1635" t="s">
        <v>65</v>
      </c>
      <c r="AX1635" t="s">
        <v>66</v>
      </c>
      <c r="AY1635" t="s">
        <v>67</v>
      </c>
    </row>
    <row r="1636" spans="1:51" hidden="1" x14ac:dyDescent="0.25">
      <c r="A1636">
        <v>203656</v>
      </c>
      <c r="B1636" t="s">
        <v>6134</v>
      </c>
      <c r="C1636" t="e">
        <f>VLOOKUP(A1636,[1]Customer_payment_journal_line!$AL:$BO,30,0)</f>
        <v>#N/A</v>
      </c>
      <c r="D1636" t="s">
        <v>159</v>
      </c>
      <c r="E1636" t="s">
        <v>6135</v>
      </c>
      <c r="F1636" t="s">
        <v>6136</v>
      </c>
      <c r="G1636" t="s">
        <v>6027</v>
      </c>
      <c r="H1636" t="s">
        <v>80</v>
      </c>
      <c r="I1636" t="s">
        <v>766</v>
      </c>
      <c r="J1636" t="s">
        <v>1610</v>
      </c>
      <c r="K1636" t="s">
        <v>6137</v>
      </c>
      <c r="L1636" t="s">
        <v>52</v>
      </c>
      <c r="M1636">
        <v>3000</v>
      </c>
      <c r="N1636">
        <v>0</v>
      </c>
      <c r="O1636" t="s">
        <v>126</v>
      </c>
      <c r="P1636">
        <v>5285</v>
      </c>
      <c r="Q1636" t="s">
        <v>52</v>
      </c>
      <c r="R1636" t="s">
        <v>52</v>
      </c>
      <c r="S1636" t="s">
        <v>52</v>
      </c>
      <c r="T1636" t="s">
        <v>52</v>
      </c>
      <c r="U1636" t="s">
        <v>52</v>
      </c>
      <c r="V1636" t="s">
        <v>62</v>
      </c>
      <c r="W1636" t="s">
        <v>52</v>
      </c>
      <c r="Y1636" t="s">
        <v>52</v>
      </c>
      <c r="AB1636" t="s">
        <v>52</v>
      </c>
      <c r="AE1636" t="s">
        <v>52</v>
      </c>
      <c r="AF1636" t="s">
        <v>52</v>
      </c>
      <c r="AH1636">
        <v>0</v>
      </c>
      <c r="AI1636">
        <v>0</v>
      </c>
      <c r="AJ1636" t="s">
        <v>52</v>
      </c>
      <c r="AK1636">
        <v>0</v>
      </c>
      <c r="AL1636" t="s">
        <v>52</v>
      </c>
      <c r="AM1636" t="s">
        <v>52</v>
      </c>
      <c r="AN1636">
        <v>0</v>
      </c>
      <c r="AO1636">
        <v>0</v>
      </c>
      <c r="AP1636" t="s">
        <v>52</v>
      </c>
      <c r="AQ1636" t="s">
        <v>52</v>
      </c>
      <c r="AR1636" t="s">
        <v>62</v>
      </c>
      <c r="AS1636" t="s">
        <v>52</v>
      </c>
      <c r="AT1636" t="s">
        <v>52</v>
      </c>
      <c r="AU1636" t="s">
        <v>64</v>
      </c>
      <c r="AV1636" t="s">
        <v>62</v>
      </c>
      <c r="AW1636" t="s">
        <v>65</v>
      </c>
      <c r="AX1636" t="s">
        <v>66</v>
      </c>
      <c r="AY1636" t="s">
        <v>165</v>
      </c>
    </row>
    <row r="1637" spans="1:51" hidden="1" x14ac:dyDescent="0.25">
      <c r="A1637">
        <v>203656</v>
      </c>
      <c r="B1637" t="s">
        <v>6138</v>
      </c>
      <c r="C1637" t="e">
        <f>VLOOKUP(A1637,[1]Customer_payment_journal_line!$AL:$BO,30,0)</f>
        <v>#N/A</v>
      </c>
      <c r="D1637" t="s">
        <v>159</v>
      </c>
      <c r="E1637" t="s">
        <v>6135</v>
      </c>
      <c r="F1637" t="s">
        <v>6136</v>
      </c>
      <c r="G1637" t="s">
        <v>6027</v>
      </c>
      <c r="H1637" t="s">
        <v>69</v>
      </c>
      <c r="I1637" t="s">
        <v>842</v>
      </c>
      <c r="J1637" t="s">
        <v>1610</v>
      </c>
      <c r="K1637" t="s">
        <v>6137</v>
      </c>
      <c r="L1637" t="s">
        <v>52</v>
      </c>
      <c r="M1637">
        <v>0</v>
      </c>
      <c r="N1637">
        <v>3000</v>
      </c>
      <c r="O1637" t="s">
        <v>126</v>
      </c>
      <c r="P1637">
        <v>5285</v>
      </c>
      <c r="Q1637" t="s">
        <v>52</v>
      </c>
      <c r="R1637" t="s">
        <v>52</v>
      </c>
      <c r="S1637" t="s">
        <v>52</v>
      </c>
      <c r="T1637" t="s">
        <v>52</v>
      </c>
      <c r="U1637" t="s">
        <v>52</v>
      </c>
      <c r="V1637" t="s">
        <v>62</v>
      </c>
      <c r="W1637" t="s">
        <v>52</v>
      </c>
      <c r="Y1637" t="s">
        <v>844</v>
      </c>
      <c r="Z1637" t="s">
        <v>62</v>
      </c>
      <c r="AB1637" t="s">
        <v>6139</v>
      </c>
      <c r="AE1637" t="s">
        <v>6140</v>
      </c>
      <c r="AF1637" t="s">
        <v>52</v>
      </c>
      <c r="AH1637">
        <v>0</v>
      </c>
      <c r="AI1637">
        <v>0</v>
      </c>
      <c r="AJ1637" t="s">
        <v>52</v>
      </c>
      <c r="AK1637">
        <v>0</v>
      </c>
      <c r="AL1637" t="s">
        <v>52</v>
      </c>
      <c r="AM1637" t="s">
        <v>52</v>
      </c>
      <c r="AN1637">
        <v>0</v>
      </c>
      <c r="AO1637">
        <v>0</v>
      </c>
      <c r="AP1637" t="s">
        <v>52</v>
      </c>
      <c r="AQ1637" t="s">
        <v>52</v>
      </c>
      <c r="AR1637" t="s">
        <v>62</v>
      </c>
      <c r="AS1637" t="s">
        <v>52</v>
      </c>
      <c r="AT1637" t="s">
        <v>74</v>
      </c>
      <c r="AU1637" t="s">
        <v>64</v>
      </c>
      <c r="AV1637" t="s">
        <v>62</v>
      </c>
      <c r="AW1637" t="s">
        <v>65</v>
      </c>
      <c r="AX1637" t="s">
        <v>66</v>
      </c>
      <c r="AY1637" t="s">
        <v>165</v>
      </c>
    </row>
    <row r="1638" spans="1:51" hidden="1" x14ac:dyDescent="0.25">
      <c r="A1638">
        <v>203659</v>
      </c>
      <c r="B1638" t="s">
        <v>6141</v>
      </c>
      <c r="C1638" t="str">
        <f>VLOOKUP(A1638,[1]Customer_payment_journal_line!$AL:$BO,30,0)</f>
        <v>CPay-000000106</v>
      </c>
      <c r="D1638" t="s">
        <v>53</v>
      </c>
      <c r="E1638" t="s">
        <v>6142</v>
      </c>
      <c r="F1638" t="s">
        <v>6143</v>
      </c>
      <c r="G1638" t="s">
        <v>6027</v>
      </c>
      <c r="H1638" t="s">
        <v>57</v>
      </c>
      <c r="I1638" t="s">
        <v>95</v>
      </c>
      <c r="J1638" t="s">
        <v>6144</v>
      </c>
      <c r="K1638" t="s">
        <v>6145</v>
      </c>
      <c r="L1638">
        <f>VLOOKUP(A1638,[1]Customer_payment_journal_line!$B:$L,11,0)</f>
        <v>2052</v>
      </c>
      <c r="M1638" s="1">
        <v>2052</v>
      </c>
      <c r="N1638" s="2">
        <f>L1638-M1638</f>
        <v>0</v>
      </c>
      <c r="O1638" t="s">
        <v>61</v>
      </c>
      <c r="P1638">
        <v>100</v>
      </c>
      <c r="Q1638" t="s">
        <v>52</v>
      </c>
      <c r="R1638" t="s">
        <v>52</v>
      </c>
      <c r="S1638" t="s">
        <v>52</v>
      </c>
      <c r="T1638" t="s">
        <v>52</v>
      </c>
      <c r="U1638" t="s">
        <v>52</v>
      </c>
      <c r="V1638" t="s">
        <v>62</v>
      </c>
      <c r="W1638" t="s">
        <v>63</v>
      </c>
      <c r="Y1638" t="s">
        <v>52</v>
      </c>
      <c r="AB1638" t="s">
        <v>52</v>
      </c>
      <c r="AE1638" t="s">
        <v>52</v>
      </c>
      <c r="AF1638" t="s">
        <v>52</v>
      </c>
      <c r="AH1638">
        <v>0</v>
      </c>
      <c r="AI1638">
        <v>0</v>
      </c>
      <c r="AJ1638" t="s">
        <v>52</v>
      </c>
      <c r="AK1638">
        <v>0</v>
      </c>
      <c r="AL1638" t="s">
        <v>52</v>
      </c>
      <c r="AM1638" t="s">
        <v>52</v>
      </c>
      <c r="AN1638">
        <v>0</v>
      </c>
      <c r="AO1638">
        <v>0</v>
      </c>
      <c r="AP1638" t="s">
        <v>52</v>
      </c>
      <c r="AQ1638" t="s">
        <v>52</v>
      </c>
      <c r="AR1638" t="s">
        <v>62</v>
      </c>
      <c r="AS1638" t="s">
        <v>52</v>
      </c>
      <c r="AT1638" t="s">
        <v>52</v>
      </c>
      <c r="AU1638" t="s">
        <v>64</v>
      </c>
      <c r="AV1638" t="s">
        <v>62</v>
      </c>
      <c r="AW1638" t="s">
        <v>65</v>
      </c>
      <c r="AX1638" t="s">
        <v>66</v>
      </c>
      <c r="AY1638" t="s">
        <v>67</v>
      </c>
    </row>
    <row r="1639" spans="1:51" hidden="1" x14ac:dyDescent="0.25">
      <c r="A1639">
        <v>203659</v>
      </c>
      <c r="B1639" t="s">
        <v>6146</v>
      </c>
      <c r="C1639" t="str">
        <f>VLOOKUP(A1639,[1]Customer_payment_journal_line!$AL:$BO,30,0)</f>
        <v>CPay-000000106</v>
      </c>
      <c r="D1639" t="s">
        <v>53</v>
      </c>
      <c r="E1639" t="s">
        <v>6142</v>
      </c>
      <c r="F1639" t="s">
        <v>6143</v>
      </c>
      <c r="G1639" t="s">
        <v>6027</v>
      </c>
      <c r="H1639" t="s">
        <v>69</v>
      </c>
      <c r="I1639" t="s">
        <v>148</v>
      </c>
      <c r="J1639" t="s">
        <v>6144</v>
      </c>
      <c r="K1639" t="s">
        <v>6145</v>
      </c>
      <c r="L1639">
        <f>VLOOKUP(A1639,[1]Customer_payment_journal_line!$B:$L,11,0)</f>
        <v>2052</v>
      </c>
      <c r="M1639" s="1">
        <v>0</v>
      </c>
      <c r="N1639">
        <v>2052</v>
      </c>
      <c r="O1639" t="s">
        <v>61</v>
      </c>
      <c r="P1639">
        <v>100</v>
      </c>
      <c r="Q1639" t="s">
        <v>52</v>
      </c>
      <c r="R1639" t="s">
        <v>52</v>
      </c>
      <c r="S1639" t="s">
        <v>52</v>
      </c>
      <c r="T1639" t="s">
        <v>52</v>
      </c>
      <c r="U1639" t="s">
        <v>52</v>
      </c>
      <c r="V1639" t="s">
        <v>62</v>
      </c>
      <c r="W1639" t="s">
        <v>52</v>
      </c>
      <c r="Y1639" t="s">
        <v>149</v>
      </c>
      <c r="Z1639" t="s">
        <v>62</v>
      </c>
      <c r="AB1639" t="s">
        <v>6147</v>
      </c>
      <c r="AE1639" t="s">
        <v>6148</v>
      </c>
      <c r="AF1639" t="s">
        <v>52</v>
      </c>
      <c r="AH1639">
        <v>0</v>
      </c>
      <c r="AI1639">
        <v>0</v>
      </c>
      <c r="AJ1639" t="s">
        <v>52</v>
      </c>
      <c r="AK1639">
        <v>0</v>
      </c>
      <c r="AL1639" t="s">
        <v>52</v>
      </c>
      <c r="AM1639" t="s">
        <v>52</v>
      </c>
      <c r="AN1639">
        <v>0</v>
      </c>
      <c r="AO1639">
        <v>0</v>
      </c>
      <c r="AP1639" t="s">
        <v>52</v>
      </c>
      <c r="AQ1639" t="s">
        <v>52</v>
      </c>
      <c r="AR1639" t="s">
        <v>62</v>
      </c>
      <c r="AS1639" t="s">
        <v>52</v>
      </c>
      <c r="AT1639" t="s">
        <v>74</v>
      </c>
      <c r="AU1639" t="s">
        <v>64</v>
      </c>
      <c r="AV1639" t="s">
        <v>62</v>
      </c>
      <c r="AW1639" t="s">
        <v>65</v>
      </c>
      <c r="AX1639" t="s">
        <v>66</v>
      </c>
      <c r="AY1639" t="s">
        <v>67</v>
      </c>
    </row>
    <row r="1640" spans="1:51" hidden="1" x14ac:dyDescent="0.25">
      <c r="A1640">
        <v>203660</v>
      </c>
      <c r="B1640" t="s">
        <v>6149</v>
      </c>
      <c r="C1640" t="str">
        <f>VLOOKUP(A1640,[1]Customer_payment_journal_line!$AL:$BO,30,0)</f>
        <v>CPay-000000107</v>
      </c>
      <c r="D1640" t="s">
        <v>53</v>
      </c>
      <c r="E1640" t="s">
        <v>6150</v>
      </c>
      <c r="F1640" t="s">
        <v>6151</v>
      </c>
      <c r="G1640" t="s">
        <v>6027</v>
      </c>
      <c r="H1640" t="s">
        <v>57</v>
      </c>
      <c r="I1640" t="s">
        <v>95</v>
      </c>
      <c r="J1640" t="s">
        <v>6144</v>
      </c>
      <c r="K1640" t="s">
        <v>6145</v>
      </c>
      <c r="L1640">
        <f>VLOOKUP(A1640,[1]Customer_payment_journal_line!$B:$L,11,0)</f>
        <v>1334.94</v>
      </c>
      <c r="M1640" s="1">
        <v>1334.94</v>
      </c>
      <c r="N1640" s="2">
        <f>L1640-M1640</f>
        <v>0</v>
      </c>
      <c r="O1640" t="s">
        <v>61</v>
      </c>
      <c r="P1640">
        <v>100</v>
      </c>
      <c r="Q1640" t="s">
        <v>52</v>
      </c>
      <c r="R1640" t="s">
        <v>52</v>
      </c>
      <c r="S1640" t="s">
        <v>52</v>
      </c>
      <c r="T1640" t="s">
        <v>52</v>
      </c>
      <c r="U1640" t="s">
        <v>52</v>
      </c>
      <c r="V1640" t="s">
        <v>62</v>
      </c>
      <c r="W1640" t="s">
        <v>63</v>
      </c>
      <c r="Y1640" t="s">
        <v>52</v>
      </c>
      <c r="AB1640" t="s">
        <v>52</v>
      </c>
      <c r="AE1640" t="s">
        <v>52</v>
      </c>
      <c r="AF1640" t="s">
        <v>52</v>
      </c>
      <c r="AH1640">
        <v>0</v>
      </c>
      <c r="AI1640">
        <v>0</v>
      </c>
      <c r="AJ1640" t="s">
        <v>52</v>
      </c>
      <c r="AK1640">
        <v>0</v>
      </c>
      <c r="AL1640" t="s">
        <v>52</v>
      </c>
      <c r="AM1640" t="s">
        <v>52</v>
      </c>
      <c r="AN1640">
        <v>0</v>
      </c>
      <c r="AO1640">
        <v>0</v>
      </c>
      <c r="AP1640" t="s">
        <v>52</v>
      </c>
      <c r="AQ1640" t="s">
        <v>52</v>
      </c>
      <c r="AR1640" t="s">
        <v>62</v>
      </c>
      <c r="AS1640" t="s">
        <v>52</v>
      </c>
      <c r="AT1640" t="s">
        <v>52</v>
      </c>
      <c r="AU1640" t="s">
        <v>64</v>
      </c>
      <c r="AV1640" t="s">
        <v>62</v>
      </c>
      <c r="AW1640" t="s">
        <v>65</v>
      </c>
      <c r="AX1640" t="s">
        <v>66</v>
      </c>
      <c r="AY1640" t="s">
        <v>67</v>
      </c>
    </row>
    <row r="1641" spans="1:51" hidden="1" x14ac:dyDescent="0.25">
      <c r="A1641">
        <v>203660</v>
      </c>
      <c r="B1641" t="s">
        <v>6152</v>
      </c>
      <c r="C1641" t="str">
        <f>VLOOKUP(A1641,[1]Customer_payment_journal_line!$AL:$BO,30,0)</f>
        <v>CPay-000000107</v>
      </c>
      <c r="D1641" t="s">
        <v>53</v>
      </c>
      <c r="E1641" t="s">
        <v>6150</v>
      </c>
      <c r="F1641" t="s">
        <v>6151</v>
      </c>
      <c r="G1641" t="s">
        <v>6027</v>
      </c>
      <c r="H1641" t="s">
        <v>69</v>
      </c>
      <c r="I1641" t="s">
        <v>148</v>
      </c>
      <c r="J1641" t="s">
        <v>6144</v>
      </c>
      <c r="K1641" t="s">
        <v>6145</v>
      </c>
      <c r="L1641">
        <f>VLOOKUP(A1641,[1]Customer_payment_journal_line!$B:$L,11,0)</f>
        <v>1334.94</v>
      </c>
      <c r="M1641" s="1">
        <v>0</v>
      </c>
      <c r="N1641">
        <v>1334.94</v>
      </c>
      <c r="O1641" t="s">
        <v>61</v>
      </c>
      <c r="P1641">
        <v>100</v>
      </c>
      <c r="Q1641" t="s">
        <v>52</v>
      </c>
      <c r="R1641" t="s">
        <v>52</v>
      </c>
      <c r="S1641" t="s">
        <v>52</v>
      </c>
      <c r="T1641" t="s">
        <v>52</v>
      </c>
      <c r="U1641" t="s">
        <v>52</v>
      </c>
      <c r="V1641" t="s">
        <v>62</v>
      </c>
      <c r="W1641" t="s">
        <v>52</v>
      </c>
      <c r="Y1641" t="s">
        <v>149</v>
      </c>
      <c r="Z1641" t="s">
        <v>62</v>
      </c>
      <c r="AB1641" t="s">
        <v>6153</v>
      </c>
      <c r="AE1641" t="s">
        <v>6154</v>
      </c>
      <c r="AF1641" t="s">
        <v>52</v>
      </c>
      <c r="AH1641">
        <v>0</v>
      </c>
      <c r="AI1641">
        <v>0</v>
      </c>
      <c r="AJ1641" t="s">
        <v>52</v>
      </c>
      <c r="AK1641">
        <v>0</v>
      </c>
      <c r="AL1641" t="s">
        <v>52</v>
      </c>
      <c r="AM1641" t="s">
        <v>52</v>
      </c>
      <c r="AN1641">
        <v>0</v>
      </c>
      <c r="AO1641">
        <v>0</v>
      </c>
      <c r="AP1641" t="s">
        <v>52</v>
      </c>
      <c r="AQ1641" t="s">
        <v>52</v>
      </c>
      <c r="AR1641" t="s">
        <v>62</v>
      </c>
      <c r="AS1641" t="s">
        <v>52</v>
      </c>
      <c r="AT1641" t="s">
        <v>74</v>
      </c>
      <c r="AU1641" t="s">
        <v>64</v>
      </c>
      <c r="AV1641" t="s">
        <v>62</v>
      </c>
      <c r="AW1641" t="s">
        <v>65</v>
      </c>
      <c r="AX1641" t="s">
        <v>66</v>
      </c>
      <c r="AY1641" t="s">
        <v>67</v>
      </c>
    </row>
    <row r="1642" spans="1:51" hidden="1" x14ac:dyDescent="0.25">
      <c r="A1642">
        <v>203661</v>
      </c>
      <c r="B1642" t="s">
        <v>6155</v>
      </c>
      <c r="C1642" t="str">
        <f>VLOOKUP(A1642,[1]Customer_payment_journal_line!$AL:$BO,30,0)</f>
        <v>CPay-000000108</v>
      </c>
      <c r="D1642" t="s">
        <v>53</v>
      </c>
      <c r="E1642" t="s">
        <v>6156</v>
      </c>
      <c r="F1642" t="s">
        <v>6157</v>
      </c>
      <c r="G1642" t="s">
        <v>6027</v>
      </c>
      <c r="H1642" t="s">
        <v>57</v>
      </c>
      <c r="I1642" t="s">
        <v>95</v>
      </c>
      <c r="J1642" t="s">
        <v>6158</v>
      </c>
      <c r="K1642" t="s">
        <v>6159</v>
      </c>
      <c r="L1642">
        <f>VLOOKUP(A1642,[1]Customer_payment_journal_line!$B:$L,11,0)</f>
        <v>2052</v>
      </c>
      <c r="M1642" s="1">
        <v>2052</v>
      </c>
      <c r="N1642" s="2">
        <f>L1642-M1642</f>
        <v>0</v>
      </c>
      <c r="O1642" t="s">
        <v>61</v>
      </c>
      <c r="P1642">
        <v>100</v>
      </c>
      <c r="Q1642" t="s">
        <v>52</v>
      </c>
      <c r="R1642" t="s">
        <v>52</v>
      </c>
      <c r="S1642" t="s">
        <v>52</v>
      </c>
      <c r="T1642" t="s">
        <v>52</v>
      </c>
      <c r="U1642" t="s">
        <v>52</v>
      </c>
      <c r="V1642" t="s">
        <v>62</v>
      </c>
      <c r="W1642" t="s">
        <v>63</v>
      </c>
      <c r="Y1642" t="s">
        <v>52</v>
      </c>
      <c r="AB1642" t="s">
        <v>52</v>
      </c>
      <c r="AE1642" t="s">
        <v>52</v>
      </c>
      <c r="AF1642" t="s">
        <v>52</v>
      </c>
      <c r="AH1642">
        <v>0</v>
      </c>
      <c r="AI1642">
        <v>0</v>
      </c>
      <c r="AJ1642" t="s">
        <v>52</v>
      </c>
      <c r="AK1642">
        <v>0</v>
      </c>
      <c r="AL1642" t="s">
        <v>52</v>
      </c>
      <c r="AM1642" t="s">
        <v>52</v>
      </c>
      <c r="AN1642">
        <v>0</v>
      </c>
      <c r="AO1642">
        <v>0</v>
      </c>
      <c r="AP1642" t="s">
        <v>52</v>
      </c>
      <c r="AQ1642" t="s">
        <v>52</v>
      </c>
      <c r="AR1642" t="s">
        <v>62</v>
      </c>
      <c r="AS1642" t="s">
        <v>52</v>
      </c>
      <c r="AT1642" t="s">
        <v>52</v>
      </c>
      <c r="AU1642" t="s">
        <v>64</v>
      </c>
      <c r="AV1642" t="s">
        <v>62</v>
      </c>
      <c r="AW1642" t="s">
        <v>65</v>
      </c>
      <c r="AX1642" t="s">
        <v>66</v>
      </c>
      <c r="AY1642" t="s">
        <v>67</v>
      </c>
    </row>
    <row r="1643" spans="1:51" hidden="1" x14ac:dyDescent="0.25">
      <c r="A1643">
        <v>203661</v>
      </c>
      <c r="B1643" t="s">
        <v>6160</v>
      </c>
      <c r="C1643" t="str">
        <f>VLOOKUP(A1643,[1]Customer_payment_journal_line!$AL:$BO,30,0)</f>
        <v>CPay-000000108</v>
      </c>
      <c r="D1643" t="s">
        <v>53</v>
      </c>
      <c r="E1643" t="s">
        <v>6156</v>
      </c>
      <c r="F1643" t="s">
        <v>6157</v>
      </c>
      <c r="G1643" t="s">
        <v>6027</v>
      </c>
      <c r="H1643" t="s">
        <v>69</v>
      </c>
      <c r="I1643" t="s">
        <v>2598</v>
      </c>
      <c r="J1643" t="s">
        <v>6158</v>
      </c>
      <c r="K1643" t="s">
        <v>6159</v>
      </c>
      <c r="L1643">
        <f>VLOOKUP(A1643,[1]Customer_payment_journal_line!$B:$L,11,0)</f>
        <v>2052</v>
      </c>
      <c r="M1643" s="1">
        <v>0</v>
      </c>
      <c r="N1643">
        <v>2052</v>
      </c>
      <c r="O1643" t="s">
        <v>61</v>
      </c>
      <c r="P1643">
        <v>100</v>
      </c>
      <c r="Q1643" t="s">
        <v>52</v>
      </c>
      <c r="R1643" t="s">
        <v>52</v>
      </c>
      <c r="S1643" t="s">
        <v>52</v>
      </c>
      <c r="T1643" t="s">
        <v>52</v>
      </c>
      <c r="U1643" t="s">
        <v>52</v>
      </c>
      <c r="V1643" t="s">
        <v>62</v>
      </c>
      <c r="W1643" t="s">
        <v>52</v>
      </c>
      <c r="Y1643" t="s">
        <v>2599</v>
      </c>
      <c r="Z1643" t="s">
        <v>62</v>
      </c>
      <c r="AB1643" t="s">
        <v>6161</v>
      </c>
      <c r="AE1643" t="s">
        <v>6162</v>
      </c>
      <c r="AF1643" t="s">
        <v>52</v>
      </c>
      <c r="AH1643">
        <v>0</v>
      </c>
      <c r="AI1643">
        <v>0</v>
      </c>
      <c r="AJ1643" t="s">
        <v>52</v>
      </c>
      <c r="AK1643">
        <v>0</v>
      </c>
      <c r="AL1643" t="s">
        <v>52</v>
      </c>
      <c r="AM1643" t="s">
        <v>52</v>
      </c>
      <c r="AN1643">
        <v>0</v>
      </c>
      <c r="AO1643">
        <v>0</v>
      </c>
      <c r="AP1643" t="s">
        <v>52</v>
      </c>
      <c r="AQ1643" t="s">
        <v>52</v>
      </c>
      <c r="AR1643" t="s">
        <v>62</v>
      </c>
      <c r="AS1643" t="s">
        <v>52</v>
      </c>
      <c r="AT1643" t="s">
        <v>74</v>
      </c>
      <c r="AU1643" t="s">
        <v>64</v>
      </c>
      <c r="AV1643" t="s">
        <v>62</v>
      </c>
      <c r="AW1643" t="s">
        <v>65</v>
      </c>
      <c r="AX1643" t="s">
        <v>66</v>
      </c>
      <c r="AY1643" t="s">
        <v>67</v>
      </c>
    </row>
    <row r="1644" spans="1:51" hidden="1" x14ac:dyDescent="0.25">
      <c r="A1644">
        <v>203662</v>
      </c>
      <c r="B1644" t="s">
        <v>6163</v>
      </c>
      <c r="C1644" t="str">
        <f>VLOOKUP(A1644,[1]Customer_payment_journal_line!$AL:$BO,30,0)</f>
        <v>CPay-000000109</v>
      </c>
      <c r="D1644" t="s">
        <v>53</v>
      </c>
      <c r="E1644" t="s">
        <v>6164</v>
      </c>
      <c r="F1644" t="s">
        <v>6165</v>
      </c>
      <c r="G1644" t="s">
        <v>6027</v>
      </c>
      <c r="H1644" t="s">
        <v>57</v>
      </c>
      <c r="I1644" t="s">
        <v>95</v>
      </c>
      <c r="J1644" t="s">
        <v>6158</v>
      </c>
      <c r="K1644" t="s">
        <v>6159</v>
      </c>
      <c r="L1644">
        <f>VLOOKUP(A1644,[1]Customer_payment_journal_line!$B:$L,11,0)</f>
        <v>199.5</v>
      </c>
      <c r="M1644" s="1">
        <v>199.5</v>
      </c>
      <c r="N1644" s="2">
        <f>L1644-M1644</f>
        <v>0</v>
      </c>
      <c r="O1644" t="s">
        <v>61</v>
      </c>
      <c r="P1644">
        <v>100</v>
      </c>
      <c r="Q1644" t="s">
        <v>52</v>
      </c>
      <c r="R1644" t="s">
        <v>52</v>
      </c>
      <c r="S1644" t="s">
        <v>52</v>
      </c>
      <c r="T1644" t="s">
        <v>52</v>
      </c>
      <c r="U1644" t="s">
        <v>52</v>
      </c>
      <c r="V1644" t="s">
        <v>62</v>
      </c>
      <c r="W1644" t="s">
        <v>63</v>
      </c>
      <c r="Y1644" t="s">
        <v>52</v>
      </c>
      <c r="AB1644" t="s">
        <v>52</v>
      </c>
      <c r="AE1644" t="s">
        <v>52</v>
      </c>
      <c r="AF1644" t="s">
        <v>52</v>
      </c>
      <c r="AH1644">
        <v>0</v>
      </c>
      <c r="AI1644">
        <v>0</v>
      </c>
      <c r="AJ1644" t="s">
        <v>52</v>
      </c>
      <c r="AK1644">
        <v>0</v>
      </c>
      <c r="AL1644" t="s">
        <v>52</v>
      </c>
      <c r="AM1644" t="s">
        <v>52</v>
      </c>
      <c r="AN1644">
        <v>0</v>
      </c>
      <c r="AO1644">
        <v>0</v>
      </c>
      <c r="AP1644" t="s">
        <v>52</v>
      </c>
      <c r="AQ1644" t="s">
        <v>52</v>
      </c>
      <c r="AR1644" t="s">
        <v>62</v>
      </c>
      <c r="AS1644" t="s">
        <v>52</v>
      </c>
      <c r="AT1644" t="s">
        <v>52</v>
      </c>
      <c r="AU1644" t="s">
        <v>64</v>
      </c>
      <c r="AV1644" t="s">
        <v>62</v>
      </c>
      <c r="AW1644" t="s">
        <v>65</v>
      </c>
      <c r="AX1644" t="s">
        <v>66</v>
      </c>
      <c r="AY1644" t="s">
        <v>67</v>
      </c>
    </row>
    <row r="1645" spans="1:51" hidden="1" x14ac:dyDescent="0.25">
      <c r="A1645">
        <v>203662</v>
      </c>
      <c r="B1645" t="s">
        <v>6166</v>
      </c>
      <c r="C1645" t="str">
        <f>VLOOKUP(A1645,[1]Customer_payment_journal_line!$AL:$BO,30,0)</f>
        <v>CPay-000000109</v>
      </c>
      <c r="D1645" t="s">
        <v>53</v>
      </c>
      <c r="E1645" t="s">
        <v>6164</v>
      </c>
      <c r="F1645" t="s">
        <v>6165</v>
      </c>
      <c r="G1645" t="s">
        <v>6027</v>
      </c>
      <c r="H1645" t="s">
        <v>69</v>
      </c>
      <c r="I1645" t="s">
        <v>2598</v>
      </c>
      <c r="J1645" t="s">
        <v>6158</v>
      </c>
      <c r="K1645" t="s">
        <v>6159</v>
      </c>
      <c r="L1645">
        <f>VLOOKUP(A1645,[1]Customer_payment_journal_line!$B:$L,11,0)</f>
        <v>199.5</v>
      </c>
      <c r="M1645" s="1">
        <v>0</v>
      </c>
      <c r="N1645">
        <v>199.5</v>
      </c>
      <c r="O1645" t="s">
        <v>61</v>
      </c>
      <c r="P1645">
        <v>100</v>
      </c>
      <c r="Q1645" t="s">
        <v>52</v>
      </c>
      <c r="R1645" t="s">
        <v>52</v>
      </c>
      <c r="S1645" t="s">
        <v>52</v>
      </c>
      <c r="T1645" t="s">
        <v>52</v>
      </c>
      <c r="U1645" t="s">
        <v>52</v>
      </c>
      <c r="V1645" t="s">
        <v>62</v>
      </c>
      <c r="W1645" t="s">
        <v>52</v>
      </c>
      <c r="Y1645" t="s">
        <v>2599</v>
      </c>
      <c r="Z1645" t="s">
        <v>62</v>
      </c>
      <c r="AB1645" t="s">
        <v>6167</v>
      </c>
      <c r="AE1645" t="s">
        <v>6168</v>
      </c>
      <c r="AF1645" t="s">
        <v>52</v>
      </c>
      <c r="AH1645">
        <v>0</v>
      </c>
      <c r="AI1645">
        <v>0</v>
      </c>
      <c r="AJ1645" t="s">
        <v>52</v>
      </c>
      <c r="AK1645">
        <v>0</v>
      </c>
      <c r="AL1645" t="s">
        <v>52</v>
      </c>
      <c r="AM1645" t="s">
        <v>52</v>
      </c>
      <c r="AN1645">
        <v>0</v>
      </c>
      <c r="AO1645">
        <v>0</v>
      </c>
      <c r="AP1645" t="s">
        <v>52</v>
      </c>
      <c r="AQ1645" t="s">
        <v>52</v>
      </c>
      <c r="AR1645" t="s">
        <v>62</v>
      </c>
      <c r="AS1645" t="s">
        <v>52</v>
      </c>
      <c r="AT1645" t="s">
        <v>74</v>
      </c>
      <c r="AU1645" t="s">
        <v>64</v>
      </c>
      <c r="AV1645" t="s">
        <v>62</v>
      </c>
      <c r="AW1645" t="s">
        <v>65</v>
      </c>
      <c r="AX1645" t="s">
        <v>66</v>
      </c>
      <c r="AY1645" t="s">
        <v>67</v>
      </c>
    </row>
    <row r="1646" spans="1:51" hidden="1" x14ac:dyDescent="0.25">
      <c r="A1646">
        <v>203674</v>
      </c>
      <c r="B1646" t="s">
        <v>6169</v>
      </c>
      <c r="C1646" t="e">
        <f>VLOOKUP(A1646,[1]Customer_payment_journal_line!$AL:$BO,30,0)</f>
        <v>#N/A</v>
      </c>
      <c r="D1646" t="s">
        <v>644</v>
      </c>
      <c r="E1646" t="s">
        <v>6170</v>
      </c>
      <c r="F1646" t="s">
        <v>6171</v>
      </c>
      <c r="G1646" t="s">
        <v>6027</v>
      </c>
      <c r="H1646" t="s">
        <v>210</v>
      </c>
      <c r="I1646" t="s">
        <v>6172</v>
      </c>
      <c r="K1646" t="s">
        <v>6173</v>
      </c>
      <c r="L1646" t="s">
        <v>52</v>
      </c>
      <c r="M1646">
        <v>965</v>
      </c>
      <c r="N1646">
        <v>0</v>
      </c>
      <c r="O1646" t="s">
        <v>178</v>
      </c>
      <c r="P1646">
        <v>5085</v>
      </c>
      <c r="Q1646" t="s">
        <v>52</v>
      </c>
      <c r="R1646" t="s">
        <v>52</v>
      </c>
      <c r="S1646" t="s">
        <v>52</v>
      </c>
      <c r="T1646" t="s">
        <v>52</v>
      </c>
      <c r="U1646" t="s">
        <v>52</v>
      </c>
      <c r="V1646" t="s">
        <v>62</v>
      </c>
      <c r="W1646" t="s">
        <v>63</v>
      </c>
      <c r="Y1646" t="s">
        <v>52</v>
      </c>
      <c r="AB1646" t="s">
        <v>6174</v>
      </c>
      <c r="AE1646" t="s">
        <v>6175</v>
      </c>
      <c r="AF1646" t="s">
        <v>1233</v>
      </c>
      <c r="AG1646" t="s">
        <v>6176</v>
      </c>
      <c r="AH1646">
        <v>0</v>
      </c>
      <c r="AI1646">
        <v>0</v>
      </c>
      <c r="AJ1646" t="s">
        <v>52</v>
      </c>
      <c r="AK1646">
        <v>0</v>
      </c>
      <c r="AL1646" t="s">
        <v>52</v>
      </c>
      <c r="AM1646" t="s">
        <v>52</v>
      </c>
      <c r="AN1646">
        <v>0</v>
      </c>
      <c r="AO1646">
        <v>0</v>
      </c>
      <c r="AP1646" t="s">
        <v>52</v>
      </c>
      <c r="AQ1646" t="s">
        <v>52</v>
      </c>
      <c r="AR1646" t="s">
        <v>62</v>
      </c>
      <c r="AS1646" t="s">
        <v>52</v>
      </c>
      <c r="AT1646" t="s">
        <v>52</v>
      </c>
      <c r="AU1646" t="s">
        <v>64</v>
      </c>
      <c r="AV1646" t="s">
        <v>62</v>
      </c>
      <c r="AW1646" t="s">
        <v>65</v>
      </c>
      <c r="AX1646" t="s">
        <v>66</v>
      </c>
      <c r="AY1646" t="s">
        <v>654</v>
      </c>
    </row>
    <row r="1647" spans="1:51" hidden="1" x14ac:dyDescent="0.25">
      <c r="A1647">
        <v>203674</v>
      </c>
      <c r="B1647" t="s">
        <v>6177</v>
      </c>
      <c r="C1647" t="e">
        <f>VLOOKUP(A1647,[1]Customer_payment_journal_line!$AL:$BO,30,0)</f>
        <v>#N/A</v>
      </c>
      <c r="D1647" t="s">
        <v>644</v>
      </c>
      <c r="E1647" t="s">
        <v>6170</v>
      </c>
      <c r="F1647" t="s">
        <v>6171</v>
      </c>
      <c r="G1647" t="s">
        <v>6027</v>
      </c>
      <c r="H1647" t="s">
        <v>69</v>
      </c>
      <c r="I1647" t="s">
        <v>6178</v>
      </c>
      <c r="J1647" t="s">
        <v>6179</v>
      </c>
      <c r="K1647" t="s">
        <v>6173</v>
      </c>
      <c r="L1647" t="s">
        <v>52</v>
      </c>
      <c r="M1647">
        <v>0</v>
      </c>
      <c r="N1647">
        <v>965</v>
      </c>
      <c r="O1647" t="s">
        <v>178</v>
      </c>
      <c r="P1647">
        <v>5085</v>
      </c>
      <c r="Q1647" t="s">
        <v>52</v>
      </c>
      <c r="R1647" t="s">
        <v>52</v>
      </c>
      <c r="S1647" t="s">
        <v>52</v>
      </c>
      <c r="T1647" t="s">
        <v>52</v>
      </c>
      <c r="U1647" t="s">
        <v>52</v>
      </c>
      <c r="V1647" t="s">
        <v>62</v>
      </c>
      <c r="W1647" t="s">
        <v>52</v>
      </c>
      <c r="Y1647" t="s">
        <v>6180</v>
      </c>
      <c r="Z1647" t="s">
        <v>62</v>
      </c>
      <c r="AB1647" t="s">
        <v>6174</v>
      </c>
      <c r="AE1647" t="s">
        <v>6175</v>
      </c>
      <c r="AF1647" t="s">
        <v>1233</v>
      </c>
      <c r="AG1647" t="s">
        <v>6176</v>
      </c>
      <c r="AH1647">
        <v>0</v>
      </c>
      <c r="AI1647">
        <v>0</v>
      </c>
      <c r="AJ1647" t="s">
        <v>52</v>
      </c>
      <c r="AK1647">
        <v>0</v>
      </c>
      <c r="AL1647" t="s">
        <v>52</v>
      </c>
      <c r="AM1647" t="s">
        <v>52</v>
      </c>
      <c r="AN1647">
        <v>0</v>
      </c>
      <c r="AO1647">
        <v>0</v>
      </c>
      <c r="AP1647" t="s">
        <v>52</v>
      </c>
      <c r="AQ1647" t="s">
        <v>52</v>
      </c>
      <c r="AR1647" t="s">
        <v>62</v>
      </c>
      <c r="AS1647" t="s">
        <v>52</v>
      </c>
      <c r="AT1647" t="s">
        <v>74</v>
      </c>
      <c r="AU1647" t="s">
        <v>64</v>
      </c>
      <c r="AV1647" t="s">
        <v>62</v>
      </c>
      <c r="AW1647" t="s">
        <v>65</v>
      </c>
      <c r="AX1647" t="s">
        <v>66</v>
      </c>
      <c r="AY1647" t="s">
        <v>654</v>
      </c>
    </row>
    <row r="1648" spans="1:51" hidden="1" x14ac:dyDescent="0.25">
      <c r="A1648">
        <v>203676</v>
      </c>
      <c r="B1648" t="s">
        <v>6181</v>
      </c>
      <c r="C1648" t="e">
        <f>VLOOKUP(A1648,[1]Customer_payment_journal_line!$AL:$BO,30,0)</f>
        <v>#N/A</v>
      </c>
      <c r="D1648" t="s">
        <v>644</v>
      </c>
      <c r="E1648" t="s">
        <v>6182</v>
      </c>
      <c r="F1648" t="s">
        <v>6183</v>
      </c>
      <c r="G1648" t="s">
        <v>6027</v>
      </c>
      <c r="H1648" t="s">
        <v>69</v>
      </c>
      <c r="I1648" t="s">
        <v>6184</v>
      </c>
      <c r="J1648" t="s">
        <v>6185</v>
      </c>
      <c r="K1648" t="s">
        <v>6186</v>
      </c>
      <c r="L1648" t="s">
        <v>52</v>
      </c>
      <c r="M1648">
        <v>0</v>
      </c>
      <c r="N1648">
        <v>1000</v>
      </c>
      <c r="O1648" t="s">
        <v>61</v>
      </c>
      <c r="P1648">
        <v>100</v>
      </c>
      <c r="Q1648" t="s">
        <v>52</v>
      </c>
      <c r="R1648" t="s">
        <v>52</v>
      </c>
      <c r="S1648" t="s">
        <v>52</v>
      </c>
      <c r="T1648" t="s">
        <v>52</v>
      </c>
      <c r="U1648" t="s">
        <v>52</v>
      </c>
      <c r="V1648" t="s">
        <v>62</v>
      </c>
      <c r="W1648" t="s">
        <v>52</v>
      </c>
      <c r="Y1648" t="s">
        <v>6187</v>
      </c>
      <c r="Z1648" t="s">
        <v>62</v>
      </c>
      <c r="AB1648" t="s">
        <v>6188</v>
      </c>
      <c r="AE1648" t="s">
        <v>6189</v>
      </c>
      <c r="AF1648" t="s">
        <v>6190</v>
      </c>
      <c r="AG1648" t="s">
        <v>6191</v>
      </c>
      <c r="AH1648">
        <v>0</v>
      </c>
      <c r="AI1648">
        <v>0</v>
      </c>
      <c r="AJ1648" t="s">
        <v>52</v>
      </c>
      <c r="AK1648">
        <v>0</v>
      </c>
      <c r="AL1648" t="s">
        <v>52</v>
      </c>
      <c r="AM1648" t="s">
        <v>52</v>
      </c>
      <c r="AN1648">
        <v>0</v>
      </c>
      <c r="AO1648">
        <v>0</v>
      </c>
      <c r="AP1648" t="s">
        <v>52</v>
      </c>
      <c r="AQ1648" t="s">
        <v>52</v>
      </c>
      <c r="AR1648" t="s">
        <v>62</v>
      </c>
      <c r="AS1648" t="s">
        <v>52</v>
      </c>
      <c r="AT1648" t="s">
        <v>74</v>
      </c>
      <c r="AU1648" t="s">
        <v>64</v>
      </c>
      <c r="AV1648" t="s">
        <v>62</v>
      </c>
      <c r="AW1648" t="s">
        <v>65</v>
      </c>
      <c r="AX1648" t="s">
        <v>66</v>
      </c>
      <c r="AY1648" t="s">
        <v>654</v>
      </c>
    </row>
    <row r="1649" spans="1:51" hidden="1" x14ac:dyDescent="0.25">
      <c r="A1649">
        <v>203676</v>
      </c>
      <c r="B1649" t="s">
        <v>6192</v>
      </c>
      <c r="C1649" t="e">
        <f>VLOOKUP(A1649,[1]Customer_payment_journal_line!$AL:$BO,30,0)</f>
        <v>#N/A</v>
      </c>
      <c r="D1649" t="s">
        <v>644</v>
      </c>
      <c r="E1649" t="s">
        <v>6182</v>
      </c>
      <c r="F1649" t="s">
        <v>6183</v>
      </c>
      <c r="G1649" t="s">
        <v>6027</v>
      </c>
      <c r="H1649" t="s">
        <v>210</v>
      </c>
      <c r="I1649" t="s">
        <v>6193</v>
      </c>
      <c r="K1649" t="s">
        <v>6186</v>
      </c>
      <c r="L1649" t="s">
        <v>52</v>
      </c>
      <c r="M1649">
        <v>1750</v>
      </c>
      <c r="N1649">
        <v>0</v>
      </c>
      <c r="O1649" t="s">
        <v>61</v>
      </c>
      <c r="P1649">
        <v>100</v>
      </c>
      <c r="Q1649" t="s">
        <v>52</v>
      </c>
      <c r="R1649" t="s">
        <v>52</v>
      </c>
      <c r="S1649" t="s">
        <v>52</v>
      </c>
      <c r="T1649" t="s">
        <v>52</v>
      </c>
      <c r="U1649" t="s">
        <v>52</v>
      </c>
      <c r="V1649" t="s">
        <v>62</v>
      </c>
      <c r="W1649" t="s">
        <v>63</v>
      </c>
      <c r="Y1649" t="s">
        <v>52</v>
      </c>
      <c r="AB1649" t="s">
        <v>6194</v>
      </c>
      <c r="AE1649" t="s">
        <v>6195</v>
      </c>
      <c r="AF1649" t="s">
        <v>6190</v>
      </c>
      <c r="AG1649" t="s">
        <v>6191</v>
      </c>
      <c r="AH1649">
        <v>0</v>
      </c>
      <c r="AI1649">
        <v>0</v>
      </c>
      <c r="AJ1649" t="s">
        <v>52</v>
      </c>
      <c r="AK1649">
        <v>0</v>
      </c>
      <c r="AL1649" t="s">
        <v>52</v>
      </c>
      <c r="AM1649" t="s">
        <v>52</v>
      </c>
      <c r="AN1649">
        <v>0</v>
      </c>
      <c r="AO1649">
        <v>0</v>
      </c>
      <c r="AP1649" t="s">
        <v>52</v>
      </c>
      <c r="AQ1649" t="s">
        <v>52</v>
      </c>
      <c r="AR1649" t="s">
        <v>62</v>
      </c>
      <c r="AS1649" t="s">
        <v>52</v>
      </c>
      <c r="AT1649" t="s">
        <v>52</v>
      </c>
      <c r="AU1649" t="s">
        <v>64</v>
      </c>
      <c r="AV1649" t="s">
        <v>62</v>
      </c>
      <c r="AW1649" t="s">
        <v>65</v>
      </c>
      <c r="AX1649" t="s">
        <v>66</v>
      </c>
      <c r="AY1649" t="s">
        <v>654</v>
      </c>
    </row>
    <row r="1650" spans="1:51" hidden="1" x14ac:dyDescent="0.25">
      <c r="A1650">
        <v>203676</v>
      </c>
      <c r="B1650" t="s">
        <v>6196</v>
      </c>
      <c r="C1650" t="e">
        <f>VLOOKUP(A1650,[1]Customer_payment_journal_line!$AL:$BO,30,0)</f>
        <v>#N/A</v>
      </c>
      <c r="D1650" t="s">
        <v>644</v>
      </c>
      <c r="E1650" t="s">
        <v>6182</v>
      </c>
      <c r="F1650" t="s">
        <v>6183</v>
      </c>
      <c r="G1650" t="s">
        <v>6027</v>
      </c>
      <c r="H1650" t="s">
        <v>69</v>
      </c>
      <c r="I1650" t="s">
        <v>6184</v>
      </c>
      <c r="J1650" t="s">
        <v>6185</v>
      </c>
      <c r="K1650" t="s">
        <v>6186</v>
      </c>
      <c r="L1650" t="s">
        <v>52</v>
      </c>
      <c r="M1650">
        <v>0</v>
      </c>
      <c r="N1650">
        <v>750</v>
      </c>
      <c r="O1650" t="s">
        <v>61</v>
      </c>
      <c r="P1650">
        <v>100</v>
      </c>
      <c r="Q1650" t="s">
        <v>52</v>
      </c>
      <c r="R1650" t="s">
        <v>52</v>
      </c>
      <c r="S1650" t="s">
        <v>52</v>
      </c>
      <c r="T1650" t="s">
        <v>52</v>
      </c>
      <c r="U1650" t="s">
        <v>52</v>
      </c>
      <c r="V1650" t="s">
        <v>62</v>
      </c>
      <c r="W1650" t="s">
        <v>52</v>
      </c>
      <c r="Y1650" t="s">
        <v>6187</v>
      </c>
      <c r="Z1650" t="s">
        <v>62</v>
      </c>
      <c r="AB1650" t="s">
        <v>6194</v>
      </c>
      <c r="AE1650" t="s">
        <v>6195</v>
      </c>
      <c r="AF1650" t="s">
        <v>6190</v>
      </c>
      <c r="AG1650" t="s">
        <v>6191</v>
      </c>
      <c r="AH1650">
        <v>0</v>
      </c>
      <c r="AI1650">
        <v>0</v>
      </c>
      <c r="AJ1650" t="s">
        <v>52</v>
      </c>
      <c r="AK1650">
        <v>0</v>
      </c>
      <c r="AL1650" t="s">
        <v>52</v>
      </c>
      <c r="AM1650" t="s">
        <v>52</v>
      </c>
      <c r="AN1650">
        <v>0</v>
      </c>
      <c r="AO1650">
        <v>0</v>
      </c>
      <c r="AP1650" t="s">
        <v>52</v>
      </c>
      <c r="AQ1650" t="s">
        <v>52</v>
      </c>
      <c r="AR1650" t="s">
        <v>62</v>
      </c>
      <c r="AS1650" t="s">
        <v>52</v>
      </c>
      <c r="AT1650" t="s">
        <v>74</v>
      </c>
      <c r="AU1650" t="s">
        <v>64</v>
      </c>
      <c r="AV1650" t="s">
        <v>62</v>
      </c>
      <c r="AW1650" t="s">
        <v>65</v>
      </c>
      <c r="AX1650" t="s">
        <v>66</v>
      </c>
      <c r="AY1650" t="s">
        <v>654</v>
      </c>
    </row>
    <row r="1651" spans="1:51" hidden="1" x14ac:dyDescent="0.25">
      <c r="A1651">
        <v>203677</v>
      </c>
      <c r="B1651" t="s">
        <v>6197</v>
      </c>
      <c r="C1651" t="e">
        <f>VLOOKUP(A1651,[1]Customer_payment_journal_line!$AL:$BO,30,0)</f>
        <v>#N/A</v>
      </c>
      <c r="D1651" t="s">
        <v>159</v>
      </c>
      <c r="E1651" t="s">
        <v>6198</v>
      </c>
      <c r="F1651" t="s">
        <v>6199</v>
      </c>
      <c r="G1651" t="s">
        <v>6027</v>
      </c>
      <c r="H1651" t="s">
        <v>80</v>
      </c>
      <c r="I1651" t="s">
        <v>269</v>
      </c>
      <c r="J1651" t="s">
        <v>6200</v>
      </c>
      <c r="K1651" t="s">
        <v>6201</v>
      </c>
      <c r="L1651" t="s">
        <v>52</v>
      </c>
      <c r="M1651">
        <v>1985</v>
      </c>
      <c r="N1651">
        <v>0</v>
      </c>
      <c r="O1651" t="s">
        <v>178</v>
      </c>
      <c r="P1651">
        <v>5085</v>
      </c>
      <c r="Q1651" t="s">
        <v>52</v>
      </c>
      <c r="R1651" t="s">
        <v>52</v>
      </c>
      <c r="S1651" t="s">
        <v>52</v>
      </c>
      <c r="T1651" t="s">
        <v>52</v>
      </c>
      <c r="U1651" t="s">
        <v>52</v>
      </c>
      <c r="V1651" t="s">
        <v>62</v>
      </c>
      <c r="W1651" t="s">
        <v>52</v>
      </c>
      <c r="Y1651" t="s">
        <v>52</v>
      </c>
      <c r="AB1651" t="s">
        <v>52</v>
      </c>
      <c r="AE1651" t="s">
        <v>52</v>
      </c>
      <c r="AF1651" t="s">
        <v>52</v>
      </c>
      <c r="AH1651">
        <v>0</v>
      </c>
      <c r="AI1651">
        <v>0</v>
      </c>
      <c r="AJ1651" t="s">
        <v>52</v>
      </c>
      <c r="AK1651">
        <v>0</v>
      </c>
      <c r="AL1651" t="s">
        <v>52</v>
      </c>
      <c r="AM1651" t="s">
        <v>52</v>
      </c>
      <c r="AN1651">
        <v>0</v>
      </c>
      <c r="AO1651">
        <v>0</v>
      </c>
      <c r="AP1651" t="s">
        <v>52</v>
      </c>
      <c r="AQ1651" t="s">
        <v>52</v>
      </c>
      <c r="AR1651" t="s">
        <v>62</v>
      </c>
      <c r="AS1651" t="s">
        <v>52</v>
      </c>
      <c r="AT1651" t="s">
        <v>52</v>
      </c>
      <c r="AU1651" t="s">
        <v>64</v>
      </c>
      <c r="AV1651" t="s">
        <v>62</v>
      </c>
      <c r="AW1651" t="s">
        <v>65</v>
      </c>
      <c r="AX1651" t="s">
        <v>66</v>
      </c>
      <c r="AY1651" t="s">
        <v>165</v>
      </c>
    </row>
    <row r="1652" spans="1:51" hidden="1" x14ac:dyDescent="0.25">
      <c r="A1652">
        <v>203677</v>
      </c>
      <c r="B1652" t="s">
        <v>6202</v>
      </c>
      <c r="C1652" t="e">
        <f>VLOOKUP(A1652,[1]Customer_payment_journal_line!$AL:$BO,30,0)</f>
        <v>#N/A</v>
      </c>
      <c r="D1652" t="s">
        <v>159</v>
      </c>
      <c r="E1652" t="s">
        <v>6198</v>
      </c>
      <c r="F1652" t="s">
        <v>6199</v>
      </c>
      <c r="G1652" t="s">
        <v>6027</v>
      </c>
      <c r="H1652" t="s">
        <v>69</v>
      </c>
      <c r="I1652" t="s">
        <v>6203</v>
      </c>
      <c r="J1652" t="s">
        <v>6200</v>
      </c>
      <c r="K1652" t="s">
        <v>6201</v>
      </c>
      <c r="L1652" t="s">
        <v>52</v>
      </c>
      <c r="M1652">
        <v>0</v>
      </c>
      <c r="N1652">
        <v>1985</v>
      </c>
      <c r="O1652" t="s">
        <v>178</v>
      </c>
      <c r="P1652">
        <v>5085</v>
      </c>
      <c r="Q1652" t="s">
        <v>52</v>
      </c>
      <c r="R1652" t="s">
        <v>52</v>
      </c>
      <c r="S1652" t="s">
        <v>52</v>
      </c>
      <c r="T1652" t="s">
        <v>52</v>
      </c>
      <c r="U1652" t="s">
        <v>52</v>
      </c>
      <c r="V1652" t="s">
        <v>62</v>
      </c>
      <c r="W1652" t="s">
        <v>52</v>
      </c>
      <c r="Y1652" t="s">
        <v>6204</v>
      </c>
      <c r="Z1652" t="s">
        <v>62</v>
      </c>
      <c r="AB1652" t="s">
        <v>6205</v>
      </c>
      <c r="AE1652" t="s">
        <v>6206</v>
      </c>
      <c r="AF1652" t="s">
        <v>52</v>
      </c>
      <c r="AH1652">
        <v>0</v>
      </c>
      <c r="AI1652">
        <v>0</v>
      </c>
      <c r="AJ1652" t="s">
        <v>52</v>
      </c>
      <c r="AK1652">
        <v>0</v>
      </c>
      <c r="AL1652" t="s">
        <v>52</v>
      </c>
      <c r="AM1652" t="s">
        <v>52</v>
      </c>
      <c r="AN1652">
        <v>0</v>
      </c>
      <c r="AO1652">
        <v>0</v>
      </c>
      <c r="AP1652" t="s">
        <v>52</v>
      </c>
      <c r="AQ1652" t="s">
        <v>52</v>
      </c>
      <c r="AR1652" t="s">
        <v>62</v>
      </c>
      <c r="AS1652" t="s">
        <v>52</v>
      </c>
      <c r="AT1652" t="s">
        <v>74</v>
      </c>
      <c r="AU1652" t="s">
        <v>64</v>
      </c>
      <c r="AV1652" t="s">
        <v>62</v>
      </c>
      <c r="AW1652" t="s">
        <v>65</v>
      </c>
      <c r="AX1652" t="s">
        <v>66</v>
      </c>
      <c r="AY1652" t="s">
        <v>165</v>
      </c>
    </row>
    <row r="1653" spans="1:51" hidden="1" x14ac:dyDescent="0.25">
      <c r="A1653">
        <v>203678</v>
      </c>
      <c r="B1653" t="s">
        <v>6207</v>
      </c>
      <c r="C1653" t="e">
        <f>VLOOKUP(A1653,[1]Customer_payment_journal_line!$AL:$BO,30,0)</f>
        <v>#N/A</v>
      </c>
      <c r="D1653" t="s">
        <v>159</v>
      </c>
      <c r="E1653" t="s">
        <v>6208</v>
      </c>
      <c r="F1653" t="s">
        <v>6209</v>
      </c>
      <c r="G1653" t="s">
        <v>6027</v>
      </c>
      <c r="H1653" t="s">
        <v>80</v>
      </c>
      <c r="I1653" t="s">
        <v>632</v>
      </c>
      <c r="J1653" t="s">
        <v>6200</v>
      </c>
      <c r="K1653" t="s">
        <v>6201</v>
      </c>
      <c r="L1653" t="s">
        <v>52</v>
      </c>
      <c r="M1653">
        <v>1140</v>
      </c>
      <c r="N1653">
        <v>0</v>
      </c>
      <c r="O1653" t="s">
        <v>61</v>
      </c>
      <c r="P1653">
        <v>100</v>
      </c>
      <c r="Q1653" t="s">
        <v>52</v>
      </c>
      <c r="R1653" t="s">
        <v>52</v>
      </c>
      <c r="S1653" t="s">
        <v>52</v>
      </c>
      <c r="T1653" t="s">
        <v>52</v>
      </c>
      <c r="U1653" t="s">
        <v>52</v>
      </c>
      <c r="V1653" t="s">
        <v>62</v>
      </c>
      <c r="W1653" t="s">
        <v>52</v>
      </c>
      <c r="Y1653" t="s">
        <v>52</v>
      </c>
      <c r="AB1653" t="s">
        <v>52</v>
      </c>
      <c r="AE1653" t="s">
        <v>52</v>
      </c>
      <c r="AF1653" t="s">
        <v>52</v>
      </c>
      <c r="AH1653">
        <v>0</v>
      </c>
      <c r="AI1653">
        <v>0</v>
      </c>
      <c r="AJ1653" t="s">
        <v>52</v>
      </c>
      <c r="AK1653">
        <v>0</v>
      </c>
      <c r="AL1653" t="s">
        <v>52</v>
      </c>
      <c r="AM1653" t="s">
        <v>52</v>
      </c>
      <c r="AN1653">
        <v>0</v>
      </c>
      <c r="AO1653">
        <v>0</v>
      </c>
      <c r="AP1653" t="s">
        <v>52</v>
      </c>
      <c r="AQ1653" t="s">
        <v>52</v>
      </c>
      <c r="AR1653" t="s">
        <v>62</v>
      </c>
      <c r="AS1653" t="s">
        <v>52</v>
      </c>
      <c r="AT1653" t="s">
        <v>52</v>
      </c>
      <c r="AU1653" t="s">
        <v>64</v>
      </c>
      <c r="AV1653" t="s">
        <v>62</v>
      </c>
      <c r="AW1653" t="s">
        <v>65</v>
      </c>
      <c r="AX1653" t="s">
        <v>66</v>
      </c>
      <c r="AY1653" t="s">
        <v>165</v>
      </c>
    </row>
    <row r="1654" spans="1:51" hidden="1" x14ac:dyDescent="0.25">
      <c r="A1654">
        <v>203678</v>
      </c>
      <c r="B1654" t="s">
        <v>6210</v>
      </c>
      <c r="C1654" t="e">
        <f>VLOOKUP(A1654,[1]Customer_payment_journal_line!$AL:$BO,30,0)</f>
        <v>#N/A</v>
      </c>
      <c r="D1654" t="s">
        <v>159</v>
      </c>
      <c r="E1654" t="s">
        <v>6208</v>
      </c>
      <c r="F1654" t="s">
        <v>6209</v>
      </c>
      <c r="G1654" t="s">
        <v>6027</v>
      </c>
      <c r="H1654" t="s">
        <v>69</v>
      </c>
      <c r="I1654" t="s">
        <v>6203</v>
      </c>
      <c r="J1654" t="s">
        <v>6200</v>
      </c>
      <c r="K1654" t="s">
        <v>6201</v>
      </c>
      <c r="L1654" t="s">
        <v>52</v>
      </c>
      <c r="M1654">
        <v>0</v>
      </c>
      <c r="N1654">
        <v>1140</v>
      </c>
      <c r="O1654" t="s">
        <v>61</v>
      </c>
      <c r="P1654">
        <v>100</v>
      </c>
      <c r="Q1654" t="s">
        <v>52</v>
      </c>
      <c r="R1654" t="s">
        <v>52</v>
      </c>
      <c r="S1654" t="s">
        <v>52</v>
      </c>
      <c r="T1654" t="s">
        <v>52</v>
      </c>
      <c r="U1654" t="s">
        <v>52</v>
      </c>
      <c r="V1654" t="s">
        <v>62</v>
      </c>
      <c r="W1654" t="s">
        <v>52</v>
      </c>
      <c r="Y1654" t="s">
        <v>6204</v>
      </c>
      <c r="Z1654" t="s">
        <v>62</v>
      </c>
      <c r="AB1654" t="s">
        <v>6211</v>
      </c>
      <c r="AE1654" t="s">
        <v>6212</v>
      </c>
      <c r="AF1654" t="s">
        <v>52</v>
      </c>
      <c r="AH1654">
        <v>0</v>
      </c>
      <c r="AI1654">
        <v>0</v>
      </c>
      <c r="AJ1654" t="s">
        <v>52</v>
      </c>
      <c r="AK1654">
        <v>0</v>
      </c>
      <c r="AL1654" t="s">
        <v>52</v>
      </c>
      <c r="AM1654" t="s">
        <v>52</v>
      </c>
      <c r="AN1654">
        <v>0</v>
      </c>
      <c r="AO1654">
        <v>0</v>
      </c>
      <c r="AP1654" t="s">
        <v>52</v>
      </c>
      <c r="AQ1654" t="s">
        <v>52</v>
      </c>
      <c r="AR1654" t="s">
        <v>62</v>
      </c>
      <c r="AS1654" t="s">
        <v>52</v>
      </c>
      <c r="AT1654" t="s">
        <v>74</v>
      </c>
      <c r="AU1654" t="s">
        <v>64</v>
      </c>
      <c r="AV1654" t="s">
        <v>62</v>
      </c>
      <c r="AW1654" t="s">
        <v>65</v>
      </c>
      <c r="AX1654" t="s">
        <v>66</v>
      </c>
      <c r="AY1654" t="s">
        <v>165</v>
      </c>
    </row>
    <row r="1655" spans="1:51" hidden="1" x14ac:dyDescent="0.25">
      <c r="A1655">
        <v>401262</v>
      </c>
      <c r="B1655" t="s">
        <v>6213</v>
      </c>
      <c r="C1655" t="e">
        <f>VLOOKUP(A1655,[1]Customer_payment_journal_line!$AL:$BO,30,0)</f>
        <v>#N/A</v>
      </c>
      <c r="D1655" t="s">
        <v>644</v>
      </c>
      <c r="E1655" t="s">
        <v>6214</v>
      </c>
      <c r="F1655" t="s">
        <v>6215</v>
      </c>
      <c r="G1655" t="s">
        <v>6027</v>
      </c>
      <c r="H1655" t="s">
        <v>69</v>
      </c>
      <c r="I1655" t="s">
        <v>6216</v>
      </c>
      <c r="J1655" t="s">
        <v>6217</v>
      </c>
      <c r="K1655" t="s">
        <v>6218</v>
      </c>
      <c r="L1655" t="s">
        <v>52</v>
      </c>
      <c r="M1655">
        <v>0</v>
      </c>
      <c r="N1655">
        <v>856.14</v>
      </c>
      <c r="O1655" t="s">
        <v>61</v>
      </c>
      <c r="P1655">
        <v>100</v>
      </c>
      <c r="Q1655" t="s">
        <v>52</v>
      </c>
      <c r="R1655" t="s">
        <v>52</v>
      </c>
      <c r="S1655" t="s">
        <v>52</v>
      </c>
      <c r="T1655" t="s">
        <v>52</v>
      </c>
      <c r="U1655" t="s">
        <v>52</v>
      </c>
      <c r="V1655" t="s">
        <v>62</v>
      </c>
      <c r="W1655" t="s">
        <v>52</v>
      </c>
      <c r="Y1655" t="s">
        <v>6219</v>
      </c>
      <c r="Z1655" t="s">
        <v>62</v>
      </c>
      <c r="AB1655" t="s">
        <v>6220</v>
      </c>
      <c r="AE1655" t="s">
        <v>6221</v>
      </c>
      <c r="AF1655" t="s">
        <v>4790</v>
      </c>
      <c r="AG1655" t="s">
        <v>6222</v>
      </c>
      <c r="AH1655">
        <v>0</v>
      </c>
      <c r="AI1655">
        <v>0</v>
      </c>
      <c r="AJ1655" t="s">
        <v>52</v>
      </c>
      <c r="AK1655">
        <v>0</v>
      </c>
      <c r="AL1655" t="s">
        <v>52</v>
      </c>
      <c r="AM1655" t="s">
        <v>52</v>
      </c>
      <c r="AN1655">
        <v>0</v>
      </c>
      <c r="AO1655">
        <v>0</v>
      </c>
      <c r="AP1655" t="s">
        <v>52</v>
      </c>
      <c r="AQ1655" t="s">
        <v>52</v>
      </c>
      <c r="AR1655" t="s">
        <v>62</v>
      </c>
      <c r="AS1655" t="s">
        <v>52</v>
      </c>
      <c r="AT1655" t="s">
        <v>74</v>
      </c>
      <c r="AU1655" t="s">
        <v>64</v>
      </c>
      <c r="AV1655" t="s">
        <v>62</v>
      </c>
      <c r="AW1655" t="s">
        <v>65</v>
      </c>
      <c r="AX1655" t="s">
        <v>66</v>
      </c>
      <c r="AY1655" t="s">
        <v>654</v>
      </c>
    </row>
    <row r="1656" spans="1:51" hidden="1" x14ac:dyDescent="0.25">
      <c r="A1656">
        <v>401262</v>
      </c>
      <c r="B1656" t="s">
        <v>6223</v>
      </c>
      <c r="C1656" t="e">
        <f>VLOOKUP(A1656,[1]Customer_payment_journal_line!$AL:$BO,30,0)</f>
        <v>#N/A</v>
      </c>
      <c r="D1656" t="s">
        <v>644</v>
      </c>
      <c r="E1656" t="s">
        <v>6214</v>
      </c>
      <c r="F1656" t="s">
        <v>6215</v>
      </c>
      <c r="G1656" t="s">
        <v>6027</v>
      </c>
      <c r="H1656" t="s">
        <v>210</v>
      </c>
      <c r="I1656" t="s">
        <v>6224</v>
      </c>
      <c r="K1656" t="s">
        <v>6218</v>
      </c>
      <c r="L1656" t="s">
        <v>52</v>
      </c>
      <c r="M1656">
        <v>266455.16399999999</v>
      </c>
      <c r="N1656">
        <v>0</v>
      </c>
      <c r="O1656" t="s">
        <v>61</v>
      </c>
      <c r="P1656">
        <v>100</v>
      </c>
      <c r="Q1656" t="s">
        <v>52</v>
      </c>
      <c r="R1656" t="s">
        <v>52</v>
      </c>
      <c r="S1656" t="s">
        <v>52</v>
      </c>
      <c r="T1656" t="s">
        <v>52</v>
      </c>
      <c r="U1656" t="s">
        <v>52</v>
      </c>
      <c r="V1656" t="s">
        <v>62</v>
      </c>
      <c r="W1656" t="s">
        <v>63</v>
      </c>
      <c r="Y1656" t="s">
        <v>52</v>
      </c>
      <c r="AB1656" t="s">
        <v>6225</v>
      </c>
      <c r="AE1656" t="s">
        <v>6226</v>
      </c>
      <c r="AF1656" t="s">
        <v>4790</v>
      </c>
      <c r="AG1656" t="s">
        <v>6222</v>
      </c>
      <c r="AH1656">
        <v>0</v>
      </c>
      <c r="AI1656">
        <v>0</v>
      </c>
      <c r="AJ1656" t="s">
        <v>52</v>
      </c>
      <c r="AK1656">
        <v>0</v>
      </c>
      <c r="AL1656" t="s">
        <v>52</v>
      </c>
      <c r="AM1656" t="s">
        <v>52</v>
      </c>
      <c r="AN1656">
        <v>0</v>
      </c>
      <c r="AO1656">
        <v>0</v>
      </c>
      <c r="AP1656" t="s">
        <v>52</v>
      </c>
      <c r="AQ1656" t="s">
        <v>52</v>
      </c>
      <c r="AR1656" t="s">
        <v>62</v>
      </c>
      <c r="AS1656" t="s">
        <v>52</v>
      </c>
      <c r="AT1656" t="s">
        <v>52</v>
      </c>
      <c r="AU1656" t="s">
        <v>64</v>
      </c>
      <c r="AV1656" t="s">
        <v>62</v>
      </c>
      <c r="AW1656" t="s">
        <v>65</v>
      </c>
      <c r="AX1656" t="s">
        <v>66</v>
      </c>
      <c r="AY1656" t="s">
        <v>654</v>
      </c>
    </row>
    <row r="1657" spans="1:51" hidden="1" x14ac:dyDescent="0.25">
      <c r="A1657">
        <v>401262</v>
      </c>
      <c r="B1657" t="s">
        <v>6227</v>
      </c>
      <c r="C1657" t="e">
        <f>VLOOKUP(A1657,[1]Customer_payment_journal_line!$AL:$BO,30,0)</f>
        <v>#N/A</v>
      </c>
      <c r="D1657" t="s">
        <v>644</v>
      </c>
      <c r="E1657" t="s">
        <v>6214</v>
      </c>
      <c r="F1657" t="s">
        <v>6215</v>
      </c>
      <c r="G1657" t="s">
        <v>6027</v>
      </c>
      <c r="H1657" t="s">
        <v>69</v>
      </c>
      <c r="I1657" t="s">
        <v>6216</v>
      </c>
      <c r="J1657" t="s">
        <v>6217</v>
      </c>
      <c r="K1657" t="s">
        <v>6218</v>
      </c>
      <c r="L1657" t="s">
        <v>52</v>
      </c>
      <c r="M1657">
        <v>0</v>
      </c>
      <c r="N1657">
        <v>265599.02399999998</v>
      </c>
      <c r="O1657" t="s">
        <v>61</v>
      </c>
      <c r="P1657">
        <v>100</v>
      </c>
      <c r="Q1657" t="s">
        <v>52</v>
      </c>
      <c r="R1657" t="s">
        <v>52</v>
      </c>
      <c r="S1657" t="s">
        <v>52</v>
      </c>
      <c r="T1657" t="s">
        <v>52</v>
      </c>
      <c r="U1657" t="s">
        <v>52</v>
      </c>
      <c r="V1657" t="s">
        <v>62</v>
      </c>
      <c r="W1657" t="s">
        <v>52</v>
      </c>
      <c r="Y1657" t="s">
        <v>6219</v>
      </c>
      <c r="Z1657" t="s">
        <v>62</v>
      </c>
      <c r="AB1657" t="s">
        <v>6225</v>
      </c>
      <c r="AE1657" t="s">
        <v>6226</v>
      </c>
      <c r="AF1657" t="s">
        <v>4790</v>
      </c>
      <c r="AG1657" t="s">
        <v>6222</v>
      </c>
      <c r="AH1657">
        <v>0</v>
      </c>
      <c r="AI1657">
        <v>0</v>
      </c>
      <c r="AJ1657" t="s">
        <v>52</v>
      </c>
      <c r="AK1657">
        <v>0</v>
      </c>
      <c r="AL1657" t="s">
        <v>52</v>
      </c>
      <c r="AM1657" t="s">
        <v>52</v>
      </c>
      <c r="AN1657">
        <v>0</v>
      </c>
      <c r="AO1657">
        <v>0</v>
      </c>
      <c r="AP1657" t="s">
        <v>52</v>
      </c>
      <c r="AQ1657" t="s">
        <v>52</v>
      </c>
      <c r="AR1657" t="s">
        <v>62</v>
      </c>
      <c r="AS1657" t="s">
        <v>52</v>
      </c>
      <c r="AT1657" t="s">
        <v>74</v>
      </c>
      <c r="AU1657" t="s">
        <v>64</v>
      </c>
      <c r="AV1657" t="s">
        <v>62</v>
      </c>
      <c r="AW1657" t="s">
        <v>65</v>
      </c>
      <c r="AX1657" t="s">
        <v>66</v>
      </c>
      <c r="AY1657" t="s">
        <v>654</v>
      </c>
    </row>
    <row r="1658" spans="1:51" hidden="1" x14ac:dyDescent="0.25">
      <c r="A1658">
        <v>401263</v>
      </c>
      <c r="B1658" t="s">
        <v>6228</v>
      </c>
      <c r="C1658" t="e">
        <f>VLOOKUP(A1658,[1]Customer_payment_journal_line!$AL:$BO,30,0)</f>
        <v>#N/A</v>
      </c>
      <c r="D1658" t="s">
        <v>644</v>
      </c>
      <c r="E1658" t="s">
        <v>6229</v>
      </c>
      <c r="F1658" t="s">
        <v>6230</v>
      </c>
      <c r="G1658" t="s">
        <v>6027</v>
      </c>
      <c r="H1658" t="s">
        <v>69</v>
      </c>
      <c r="I1658" t="s">
        <v>6178</v>
      </c>
      <c r="J1658" t="s">
        <v>6231</v>
      </c>
      <c r="K1658" t="s">
        <v>6232</v>
      </c>
      <c r="L1658" t="s">
        <v>52</v>
      </c>
      <c r="M1658">
        <v>0</v>
      </c>
      <c r="N1658">
        <v>855</v>
      </c>
      <c r="O1658" t="s">
        <v>61</v>
      </c>
      <c r="P1658">
        <v>100</v>
      </c>
      <c r="Q1658" t="s">
        <v>52</v>
      </c>
      <c r="R1658" t="s">
        <v>52</v>
      </c>
      <c r="S1658" t="s">
        <v>52</v>
      </c>
      <c r="T1658" t="s">
        <v>52</v>
      </c>
      <c r="U1658" t="s">
        <v>52</v>
      </c>
      <c r="V1658" t="s">
        <v>62</v>
      </c>
      <c r="W1658" t="s">
        <v>52</v>
      </c>
      <c r="Y1658" t="s">
        <v>6180</v>
      </c>
      <c r="Z1658" t="s">
        <v>62</v>
      </c>
      <c r="AB1658" t="s">
        <v>6233</v>
      </c>
      <c r="AE1658" t="s">
        <v>6234</v>
      </c>
      <c r="AF1658" t="s">
        <v>4790</v>
      </c>
      <c r="AG1658" t="s">
        <v>6235</v>
      </c>
      <c r="AH1658">
        <v>0</v>
      </c>
      <c r="AI1658">
        <v>0</v>
      </c>
      <c r="AJ1658" t="s">
        <v>52</v>
      </c>
      <c r="AK1658">
        <v>0</v>
      </c>
      <c r="AL1658" t="s">
        <v>52</v>
      </c>
      <c r="AM1658" t="s">
        <v>52</v>
      </c>
      <c r="AN1658">
        <v>0</v>
      </c>
      <c r="AO1658">
        <v>0</v>
      </c>
      <c r="AP1658" t="s">
        <v>52</v>
      </c>
      <c r="AQ1658" t="s">
        <v>52</v>
      </c>
      <c r="AR1658" t="s">
        <v>62</v>
      </c>
      <c r="AS1658" t="s">
        <v>52</v>
      </c>
      <c r="AT1658" t="s">
        <v>74</v>
      </c>
      <c r="AU1658" t="s">
        <v>64</v>
      </c>
      <c r="AV1658" t="s">
        <v>62</v>
      </c>
      <c r="AW1658" t="s">
        <v>65</v>
      </c>
      <c r="AX1658" t="s">
        <v>66</v>
      </c>
      <c r="AY1658" t="s">
        <v>654</v>
      </c>
    </row>
    <row r="1659" spans="1:51" hidden="1" x14ac:dyDescent="0.25">
      <c r="A1659">
        <v>401263</v>
      </c>
      <c r="B1659" t="s">
        <v>6236</v>
      </c>
      <c r="C1659" t="e">
        <f>VLOOKUP(A1659,[1]Customer_payment_journal_line!$AL:$BO,30,0)</f>
        <v>#N/A</v>
      </c>
      <c r="D1659" t="s">
        <v>644</v>
      </c>
      <c r="E1659" t="s">
        <v>6229</v>
      </c>
      <c r="F1659" t="s">
        <v>6230</v>
      </c>
      <c r="G1659" t="s">
        <v>6027</v>
      </c>
      <c r="H1659" t="s">
        <v>210</v>
      </c>
      <c r="I1659" t="s">
        <v>6237</v>
      </c>
      <c r="K1659" t="s">
        <v>6232</v>
      </c>
      <c r="L1659" t="s">
        <v>52</v>
      </c>
      <c r="M1659">
        <v>1567.5</v>
      </c>
      <c r="N1659">
        <v>0</v>
      </c>
      <c r="O1659" t="s">
        <v>61</v>
      </c>
      <c r="P1659">
        <v>100</v>
      </c>
      <c r="Q1659" t="s">
        <v>52</v>
      </c>
      <c r="R1659" t="s">
        <v>52</v>
      </c>
      <c r="S1659" t="s">
        <v>52</v>
      </c>
      <c r="T1659" t="s">
        <v>52</v>
      </c>
      <c r="U1659" t="s">
        <v>52</v>
      </c>
      <c r="V1659" t="s">
        <v>62</v>
      </c>
      <c r="W1659" t="s">
        <v>63</v>
      </c>
      <c r="Y1659" t="s">
        <v>52</v>
      </c>
      <c r="AB1659" t="s">
        <v>6238</v>
      </c>
      <c r="AE1659" t="s">
        <v>6239</v>
      </c>
      <c r="AF1659" t="s">
        <v>4790</v>
      </c>
      <c r="AG1659" t="s">
        <v>6235</v>
      </c>
      <c r="AH1659">
        <v>0</v>
      </c>
      <c r="AI1659">
        <v>0</v>
      </c>
      <c r="AJ1659" t="s">
        <v>52</v>
      </c>
      <c r="AK1659">
        <v>0</v>
      </c>
      <c r="AL1659" t="s">
        <v>52</v>
      </c>
      <c r="AM1659" t="s">
        <v>52</v>
      </c>
      <c r="AN1659">
        <v>0</v>
      </c>
      <c r="AO1659">
        <v>0</v>
      </c>
      <c r="AP1659" t="s">
        <v>52</v>
      </c>
      <c r="AQ1659" t="s">
        <v>52</v>
      </c>
      <c r="AR1659" t="s">
        <v>62</v>
      </c>
      <c r="AS1659" t="s">
        <v>52</v>
      </c>
      <c r="AT1659" t="s">
        <v>52</v>
      </c>
      <c r="AU1659" t="s">
        <v>64</v>
      </c>
      <c r="AV1659" t="s">
        <v>62</v>
      </c>
      <c r="AW1659" t="s">
        <v>65</v>
      </c>
      <c r="AX1659" t="s">
        <v>66</v>
      </c>
      <c r="AY1659" t="s">
        <v>654</v>
      </c>
    </row>
    <row r="1660" spans="1:51" hidden="1" x14ac:dyDescent="0.25">
      <c r="A1660">
        <v>401263</v>
      </c>
      <c r="B1660" t="s">
        <v>6240</v>
      </c>
      <c r="C1660" t="e">
        <f>VLOOKUP(A1660,[1]Customer_payment_journal_line!$AL:$BO,30,0)</f>
        <v>#N/A</v>
      </c>
      <c r="D1660" t="s">
        <v>644</v>
      </c>
      <c r="E1660" t="s">
        <v>6229</v>
      </c>
      <c r="F1660" t="s">
        <v>6230</v>
      </c>
      <c r="G1660" t="s">
        <v>6027</v>
      </c>
      <c r="H1660" t="s">
        <v>69</v>
      </c>
      <c r="I1660" t="s">
        <v>6178</v>
      </c>
      <c r="J1660" t="s">
        <v>6231</v>
      </c>
      <c r="K1660" t="s">
        <v>6232</v>
      </c>
      <c r="L1660" t="s">
        <v>52</v>
      </c>
      <c r="M1660">
        <v>0</v>
      </c>
      <c r="N1660">
        <v>712.5</v>
      </c>
      <c r="O1660" t="s">
        <v>61</v>
      </c>
      <c r="P1660">
        <v>100</v>
      </c>
      <c r="Q1660" t="s">
        <v>52</v>
      </c>
      <c r="R1660" t="s">
        <v>52</v>
      </c>
      <c r="S1660" t="s">
        <v>52</v>
      </c>
      <c r="T1660" t="s">
        <v>52</v>
      </c>
      <c r="U1660" t="s">
        <v>52</v>
      </c>
      <c r="V1660" t="s">
        <v>62</v>
      </c>
      <c r="W1660" t="s">
        <v>52</v>
      </c>
      <c r="Y1660" t="s">
        <v>6180</v>
      </c>
      <c r="Z1660" t="s">
        <v>62</v>
      </c>
      <c r="AB1660" t="s">
        <v>6238</v>
      </c>
      <c r="AE1660" t="s">
        <v>6239</v>
      </c>
      <c r="AF1660" t="s">
        <v>4790</v>
      </c>
      <c r="AG1660" t="s">
        <v>6235</v>
      </c>
      <c r="AH1660">
        <v>0</v>
      </c>
      <c r="AI1660">
        <v>0</v>
      </c>
      <c r="AJ1660" t="s">
        <v>52</v>
      </c>
      <c r="AK1660">
        <v>0</v>
      </c>
      <c r="AL1660" t="s">
        <v>52</v>
      </c>
      <c r="AM1660" t="s">
        <v>52</v>
      </c>
      <c r="AN1660">
        <v>0</v>
      </c>
      <c r="AO1660">
        <v>0</v>
      </c>
      <c r="AP1660" t="s">
        <v>52</v>
      </c>
      <c r="AQ1660" t="s">
        <v>52</v>
      </c>
      <c r="AR1660" t="s">
        <v>62</v>
      </c>
      <c r="AS1660" t="s">
        <v>52</v>
      </c>
      <c r="AT1660" t="s">
        <v>74</v>
      </c>
      <c r="AU1660" t="s">
        <v>64</v>
      </c>
      <c r="AV1660" t="s">
        <v>62</v>
      </c>
      <c r="AW1660" t="s">
        <v>65</v>
      </c>
      <c r="AX1660" t="s">
        <v>66</v>
      </c>
      <c r="AY1660" t="s">
        <v>654</v>
      </c>
    </row>
    <row r="1661" spans="1:51" hidden="1" x14ac:dyDescent="0.25">
      <c r="A1661">
        <v>402295</v>
      </c>
      <c r="B1661" t="s">
        <v>6241</v>
      </c>
      <c r="C1661" t="e">
        <f>VLOOKUP(A1661,[1]Customer_payment_journal_line!$AL:$BO,30,0)</f>
        <v>#N/A</v>
      </c>
      <c r="D1661" t="s">
        <v>159</v>
      </c>
      <c r="E1661" t="s">
        <v>6242</v>
      </c>
      <c r="F1661" t="s">
        <v>6243</v>
      </c>
      <c r="G1661" t="s">
        <v>6027</v>
      </c>
      <c r="H1661" t="s">
        <v>80</v>
      </c>
      <c r="I1661" t="s">
        <v>5842</v>
      </c>
      <c r="J1661" t="s">
        <v>5843</v>
      </c>
      <c r="K1661" t="s">
        <v>6244</v>
      </c>
      <c r="L1661" t="s">
        <v>52</v>
      </c>
      <c r="M1661">
        <v>12255</v>
      </c>
      <c r="N1661">
        <v>0</v>
      </c>
      <c r="O1661" t="s">
        <v>61</v>
      </c>
      <c r="P1661">
        <v>100</v>
      </c>
      <c r="Q1661" t="s">
        <v>52</v>
      </c>
      <c r="R1661" t="s">
        <v>52</v>
      </c>
      <c r="S1661" t="s">
        <v>52</v>
      </c>
      <c r="T1661" t="s">
        <v>52</v>
      </c>
      <c r="U1661" t="s">
        <v>52</v>
      </c>
      <c r="V1661" t="s">
        <v>62</v>
      </c>
      <c r="W1661" t="s">
        <v>52</v>
      </c>
      <c r="Y1661" t="s">
        <v>52</v>
      </c>
      <c r="AB1661" t="s">
        <v>52</v>
      </c>
      <c r="AE1661" t="s">
        <v>52</v>
      </c>
      <c r="AF1661" t="s">
        <v>52</v>
      </c>
      <c r="AH1661">
        <v>0</v>
      </c>
      <c r="AI1661">
        <v>0</v>
      </c>
      <c r="AJ1661" t="s">
        <v>52</v>
      </c>
      <c r="AK1661">
        <v>0</v>
      </c>
      <c r="AL1661" t="s">
        <v>52</v>
      </c>
      <c r="AM1661" t="s">
        <v>52</v>
      </c>
      <c r="AN1661">
        <v>0</v>
      </c>
      <c r="AO1661">
        <v>0</v>
      </c>
      <c r="AP1661" t="s">
        <v>52</v>
      </c>
      <c r="AQ1661" t="s">
        <v>52</v>
      </c>
      <c r="AR1661" t="s">
        <v>62</v>
      </c>
      <c r="AS1661" t="s">
        <v>52</v>
      </c>
      <c r="AT1661" t="s">
        <v>52</v>
      </c>
      <c r="AU1661" t="s">
        <v>64</v>
      </c>
      <c r="AV1661" t="s">
        <v>62</v>
      </c>
      <c r="AW1661" t="s">
        <v>65</v>
      </c>
      <c r="AX1661" t="s">
        <v>66</v>
      </c>
      <c r="AY1661" t="s">
        <v>165</v>
      </c>
    </row>
    <row r="1662" spans="1:51" hidden="1" x14ac:dyDescent="0.25">
      <c r="A1662">
        <v>402295</v>
      </c>
      <c r="B1662" t="s">
        <v>6245</v>
      </c>
      <c r="C1662" t="e">
        <f>VLOOKUP(A1662,[1]Customer_payment_journal_line!$AL:$BO,30,0)</f>
        <v>#N/A</v>
      </c>
      <c r="D1662" t="s">
        <v>159</v>
      </c>
      <c r="E1662" t="s">
        <v>6242</v>
      </c>
      <c r="F1662" t="s">
        <v>6243</v>
      </c>
      <c r="G1662" t="s">
        <v>6027</v>
      </c>
      <c r="H1662" t="s">
        <v>69</v>
      </c>
      <c r="I1662" t="s">
        <v>5846</v>
      </c>
      <c r="J1662" t="s">
        <v>5843</v>
      </c>
      <c r="K1662" t="s">
        <v>6244</v>
      </c>
      <c r="L1662" t="s">
        <v>52</v>
      </c>
      <c r="M1662">
        <v>0</v>
      </c>
      <c r="N1662">
        <v>11400</v>
      </c>
      <c r="O1662" t="s">
        <v>61</v>
      </c>
      <c r="P1662">
        <v>100</v>
      </c>
      <c r="Q1662" t="s">
        <v>52</v>
      </c>
      <c r="R1662" t="s">
        <v>52</v>
      </c>
      <c r="S1662" t="s">
        <v>52</v>
      </c>
      <c r="T1662" t="s">
        <v>52</v>
      </c>
      <c r="U1662" t="s">
        <v>52</v>
      </c>
      <c r="V1662" t="s">
        <v>62</v>
      </c>
      <c r="W1662" t="s">
        <v>52</v>
      </c>
      <c r="Y1662" t="s">
        <v>5847</v>
      </c>
      <c r="Z1662" t="s">
        <v>62</v>
      </c>
      <c r="AB1662" t="s">
        <v>6246</v>
      </c>
      <c r="AE1662" t="s">
        <v>6247</v>
      </c>
      <c r="AF1662" t="s">
        <v>52</v>
      </c>
      <c r="AH1662">
        <v>0</v>
      </c>
      <c r="AI1662">
        <v>0</v>
      </c>
      <c r="AJ1662" t="s">
        <v>52</v>
      </c>
      <c r="AK1662">
        <v>0</v>
      </c>
      <c r="AL1662" t="s">
        <v>52</v>
      </c>
      <c r="AM1662" t="s">
        <v>52</v>
      </c>
      <c r="AN1662">
        <v>0</v>
      </c>
      <c r="AO1662">
        <v>0</v>
      </c>
      <c r="AP1662" t="s">
        <v>52</v>
      </c>
      <c r="AQ1662" t="s">
        <v>52</v>
      </c>
      <c r="AR1662" t="s">
        <v>62</v>
      </c>
      <c r="AS1662" t="s">
        <v>52</v>
      </c>
      <c r="AT1662" t="s">
        <v>74</v>
      </c>
      <c r="AU1662" t="s">
        <v>64</v>
      </c>
      <c r="AV1662" t="s">
        <v>62</v>
      </c>
      <c r="AW1662" t="s">
        <v>65</v>
      </c>
      <c r="AX1662" t="s">
        <v>66</v>
      </c>
      <c r="AY1662" t="s">
        <v>165</v>
      </c>
    </row>
    <row r="1663" spans="1:51" hidden="1" x14ac:dyDescent="0.25">
      <c r="A1663">
        <v>402295</v>
      </c>
      <c r="B1663" t="s">
        <v>6248</v>
      </c>
      <c r="C1663" t="e">
        <f>VLOOKUP(A1663,[1]Customer_payment_journal_line!$AL:$BO,30,0)</f>
        <v>#N/A</v>
      </c>
      <c r="D1663" t="s">
        <v>159</v>
      </c>
      <c r="E1663" t="s">
        <v>6242</v>
      </c>
      <c r="F1663" t="s">
        <v>6243</v>
      </c>
      <c r="G1663" t="s">
        <v>6027</v>
      </c>
      <c r="H1663" t="s">
        <v>69</v>
      </c>
      <c r="I1663" t="s">
        <v>5846</v>
      </c>
      <c r="J1663" t="s">
        <v>5843</v>
      </c>
      <c r="K1663" t="s">
        <v>6244</v>
      </c>
      <c r="L1663" t="s">
        <v>52</v>
      </c>
      <c r="M1663">
        <v>0</v>
      </c>
      <c r="N1663">
        <v>855</v>
      </c>
      <c r="O1663" t="s">
        <v>61</v>
      </c>
      <c r="P1663">
        <v>100</v>
      </c>
      <c r="Q1663" t="s">
        <v>52</v>
      </c>
      <c r="R1663" t="s">
        <v>52</v>
      </c>
      <c r="S1663" t="s">
        <v>52</v>
      </c>
      <c r="T1663" t="s">
        <v>52</v>
      </c>
      <c r="U1663" t="s">
        <v>52</v>
      </c>
      <c r="V1663" t="s">
        <v>62</v>
      </c>
      <c r="W1663" t="s">
        <v>52</v>
      </c>
      <c r="Y1663" t="s">
        <v>5847</v>
      </c>
      <c r="Z1663" t="s">
        <v>62</v>
      </c>
      <c r="AB1663" t="s">
        <v>6249</v>
      </c>
      <c r="AE1663" t="s">
        <v>6250</v>
      </c>
      <c r="AF1663" t="s">
        <v>52</v>
      </c>
      <c r="AH1663">
        <v>0</v>
      </c>
      <c r="AI1663">
        <v>0</v>
      </c>
      <c r="AJ1663" t="s">
        <v>52</v>
      </c>
      <c r="AK1663">
        <v>0</v>
      </c>
      <c r="AL1663" t="s">
        <v>52</v>
      </c>
      <c r="AM1663" t="s">
        <v>52</v>
      </c>
      <c r="AN1663">
        <v>0</v>
      </c>
      <c r="AO1663">
        <v>0</v>
      </c>
      <c r="AP1663" t="s">
        <v>52</v>
      </c>
      <c r="AQ1663" t="s">
        <v>52</v>
      </c>
      <c r="AR1663" t="s">
        <v>62</v>
      </c>
      <c r="AS1663" t="s">
        <v>52</v>
      </c>
      <c r="AT1663" t="s">
        <v>74</v>
      </c>
      <c r="AU1663" t="s">
        <v>64</v>
      </c>
      <c r="AV1663" t="s">
        <v>62</v>
      </c>
      <c r="AW1663" t="s">
        <v>65</v>
      </c>
      <c r="AX1663" t="s">
        <v>66</v>
      </c>
      <c r="AY1663" t="s">
        <v>165</v>
      </c>
    </row>
    <row r="1664" spans="1:51" hidden="1" x14ac:dyDescent="0.25">
      <c r="A1664">
        <v>403889</v>
      </c>
      <c r="B1664" t="s">
        <v>6251</v>
      </c>
      <c r="C1664" t="e">
        <f>VLOOKUP(A1664,[1]Customer_payment_journal_line!$AL:$BO,30,0)</f>
        <v>#N/A</v>
      </c>
      <c r="D1664" t="s">
        <v>76</v>
      </c>
      <c r="E1664" t="s">
        <v>6252</v>
      </c>
      <c r="F1664" t="s">
        <v>6253</v>
      </c>
      <c r="G1664" t="s">
        <v>6027</v>
      </c>
      <c r="H1664" t="s">
        <v>80</v>
      </c>
      <c r="I1664" t="s">
        <v>81</v>
      </c>
      <c r="J1664" t="s">
        <v>6254</v>
      </c>
      <c r="K1664" t="s">
        <v>6255</v>
      </c>
      <c r="L1664" t="s">
        <v>52</v>
      </c>
      <c r="M1664">
        <v>2223</v>
      </c>
      <c r="N1664">
        <v>0</v>
      </c>
      <c r="O1664" t="s">
        <v>61</v>
      </c>
      <c r="P1664">
        <v>100</v>
      </c>
      <c r="Q1664" t="s">
        <v>52</v>
      </c>
      <c r="R1664" t="s">
        <v>52</v>
      </c>
      <c r="S1664" t="s">
        <v>52</v>
      </c>
      <c r="T1664" t="s">
        <v>52</v>
      </c>
      <c r="U1664" t="s">
        <v>52</v>
      </c>
      <c r="V1664" t="s">
        <v>62</v>
      </c>
      <c r="W1664" t="s">
        <v>52</v>
      </c>
      <c r="Y1664" t="s">
        <v>52</v>
      </c>
      <c r="AB1664" t="s">
        <v>52</v>
      </c>
      <c r="AE1664" t="s">
        <v>52</v>
      </c>
      <c r="AF1664" t="s">
        <v>52</v>
      </c>
      <c r="AH1664">
        <v>0</v>
      </c>
      <c r="AI1664">
        <v>0</v>
      </c>
      <c r="AJ1664" t="s">
        <v>52</v>
      </c>
      <c r="AK1664">
        <v>0</v>
      </c>
      <c r="AL1664" t="s">
        <v>52</v>
      </c>
      <c r="AM1664" t="s">
        <v>52</v>
      </c>
      <c r="AN1664">
        <v>0</v>
      </c>
      <c r="AO1664">
        <v>0</v>
      </c>
      <c r="AP1664" t="s">
        <v>52</v>
      </c>
      <c r="AQ1664" t="s">
        <v>52</v>
      </c>
      <c r="AR1664" t="s">
        <v>62</v>
      </c>
      <c r="AS1664" t="s">
        <v>52</v>
      </c>
      <c r="AT1664" t="s">
        <v>52</v>
      </c>
      <c r="AU1664" t="s">
        <v>64</v>
      </c>
      <c r="AV1664" t="s">
        <v>62</v>
      </c>
      <c r="AW1664" t="s">
        <v>65</v>
      </c>
      <c r="AX1664" t="s">
        <v>66</v>
      </c>
      <c r="AY1664" t="s">
        <v>76</v>
      </c>
    </row>
    <row r="1665" spans="1:51" hidden="1" x14ac:dyDescent="0.25">
      <c r="A1665">
        <v>403889</v>
      </c>
      <c r="B1665" t="s">
        <v>6256</v>
      </c>
      <c r="C1665" t="e">
        <f>VLOOKUP(A1665,[1]Customer_payment_journal_line!$AL:$BO,30,0)</f>
        <v>#N/A</v>
      </c>
      <c r="D1665" t="s">
        <v>76</v>
      </c>
      <c r="E1665" t="s">
        <v>6252</v>
      </c>
      <c r="F1665" t="s">
        <v>6253</v>
      </c>
      <c r="G1665" t="s">
        <v>6027</v>
      </c>
      <c r="H1665" t="s">
        <v>69</v>
      </c>
      <c r="I1665" t="s">
        <v>6257</v>
      </c>
      <c r="J1665" t="s">
        <v>6254</v>
      </c>
      <c r="K1665" t="s">
        <v>6255</v>
      </c>
      <c r="L1665" t="s">
        <v>52</v>
      </c>
      <c r="M1665">
        <v>0</v>
      </c>
      <c r="N1665">
        <v>1368</v>
      </c>
      <c r="O1665" t="s">
        <v>61</v>
      </c>
      <c r="P1665">
        <v>100</v>
      </c>
      <c r="Q1665" t="s">
        <v>52</v>
      </c>
      <c r="R1665" t="s">
        <v>52</v>
      </c>
      <c r="S1665" t="s">
        <v>52</v>
      </c>
      <c r="T1665" t="s">
        <v>52</v>
      </c>
      <c r="U1665" t="s">
        <v>52</v>
      </c>
      <c r="V1665" t="s">
        <v>62</v>
      </c>
      <c r="W1665" t="s">
        <v>52</v>
      </c>
      <c r="Y1665" t="s">
        <v>6258</v>
      </c>
      <c r="Z1665" t="s">
        <v>62</v>
      </c>
      <c r="AB1665" t="s">
        <v>6259</v>
      </c>
      <c r="AE1665" t="s">
        <v>6260</v>
      </c>
      <c r="AF1665" t="s">
        <v>52</v>
      </c>
      <c r="AH1665">
        <v>0</v>
      </c>
      <c r="AI1665">
        <v>0</v>
      </c>
      <c r="AJ1665" t="s">
        <v>52</v>
      </c>
      <c r="AK1665">
        <v>0</v>
      </c>
      <c r="AL1665" t="s">
        <v>52</v>
      </c>
      <c r="AM1665" t="s">
        <v>52</v>
      </c>
      <c r="AN1665">
        <v>0</v>
      </c>
      <c r="AO1665">
        <v>0</v>
      </c>
      <c r="AP1665" t="s">
        <v>52</v>
      </c>
      <c r="AQ1665" t="s">
        <v>52</v>
      </c>
      <c r="AR1665" t="s">
        <v>62</v>
      </c>
      <c r="AS1665" t="s">
        <v>52</v>
      </c>
      <c r="AT1665" t="s">
        <v>74</v>
      </c>
      <c r="AU1665" t="s">
        <v>64</v>
      </c>
      <c r="AV1665" t="s">
        <v>62</v>
      </c>
      <c r="AW1665" t="s">
        <v>65</v>
      </c>
      <c r="AX1665" t="s">
        <v>66</v>
      </c>
      <c r="AY1665" t="s">
        <v>76</v>
      </c>
    </row>
    <row r="1666" spans="1:51" hidden="1" x14ac:dyDescent="0.25">
      <c r="A1666">
        <v>403889</v>
      </c>
      <c r="B1666" t="s">
        <v>6261</v>
      </c>
      <c r="C1666" t="e">
        <f>VLOOKUP(A1666,[1]Customer_payment_journal_line!$AL:$BO,30,0)</f>
        <v>#N/A</v>
      </c>
      <c r="D1666" t="s">
        <v>76</v>
      </c>
      <c r="E1666" t="s">
        <v>6252</v>
      </c>
      <c r="F1666" t="s">
        <v>6253</v>
      </c>
      <c r="G1666" t="s">
        <v>6027</v>
      </c>
      <c r="H1666" t="s">
        <v>69</v>
      </c>
      <c r="I1666" t="s">
        <v>6257</v>
      </c>
      <c r="J1666" t="s">
        <v>6254</v>
      </c>
      <c r="K1666" t="s">
        <v>6255</v>
      </c>
      <c r="L1666" t="s">
        <v>52</v>
      </c>
      <c r="M1666">
        <v>0</v>
      </c>
      <c r="N1666">
        <v>855</v>
      </c>
      <c r="O1666" t="s">
        <v>61</v>
      </c>
      <c r="P1666">
        <v>100</v>
      </c>
      <c r="Q1666" t="s">
        <v>52</v>
      </c>
      <c r="R1666" t="s">
        <v>52</v>
      </c>
      <c r="S1666" t="s">
        <v>52</v>
      </c>
      <c r="T1666" t="s">
        <v>52</v>
      </c>
      <c r="U1666" t="s">
        <v>52</v>
      </c>
      <c r="V1666" t="s">
        <v>62</v>
      </c>
      <c r="W1666" t="s">
        <v>52</v>
      </c>
      <c r="Y1666" t="s">
        <v>6258</v>
      </c>
      <c r="Z1666" t="s">
        <v>62</v>
      </c>
      <c r="AB1666" t="s">
        <v>6262</v>
      </c>
      <c r="AE1666" t="s">
        <v>6263</v>
      </c>
      <c r="AF1666" t="s">
        <v>52</v>
      </c>
      <c r="AH1666">
        <v>0</v>
      </c>
      <c r="AI1666">
        <v>0</v>
      </c>
      <c r="AJ1666" t="s">
        <v>52</v>
      </c>
      <c r="AK1666">
        <v>0</v>
      </c>
      <c r="AL1666" t="s">
        <v>52</v>
      </c>
      <c r="AM1666" t="s">
        <v>52</v>
      </c>
      <c r="AN1666">
        <v>0</v>
      </c>
      <c r="AO1666">
        <v>0</v>
      </c>
      <c r="AP1666" t="s">
        <v>52</v>
      </c>
      <c r="AQ1666" t="s">
        <v>52</v>
      </c>
      <c r="AR1666" t="s">
        <v>62</v>
      </c>
      <c r="AS1666" t="s">
        <v>52</v>
      </c>
      <c r="AT1666" t="s">
        <v>74</v>
      </c>
      <c r="AU1666" t="s">
        <v>64</v>
      </c>
      <c r="AV1666" t="s">
        <v>62</v>
      </c>
      <c r="AW1666" t="s">
        <v>65</v>
      </c>
      <c r="AX1666" t="s">
        <v>66</v>
      </c>
      <c r="AY1666" t="s">
        <v>76</v>
      </c>
    </row>
    <row r="1667" spans="1:51" hidden="1" x14ac:dyDescent="0.25">
      <c r="A1667">
        <v>406172</v>
      </c>
      <c r="B1667" t="s">
        <v>6264</v>
      </c>
      <c r="C1667" t="e">
        <f>VLOOKUP(A1667,[1]Customer_payment_journal_line!$AL:$BO,30,0)</f>
        <v>#N/A</v>
      </c>
      <c r="D1667" t="s">
        <v>159</v>
      </c>
      <c r="E1667" t="s">
        <v>6265</v>
      </c>
      <c r="F1667" t="s">
        <v>6266</v>
      </c>
      <c r="G1667" t="s">
        <v>6027</v>
      </c>
      <c r="H1667" t="s">
        <v>80</v>
      </c>
      <c r="I1667" t="s">
        <v>3573</v>
      </c>
      <c r="J1667" t="s">
        <v>6267</v>
      </c>
      <c r="K1667" t="s">
        <v>6268</v>
      </c>
      <c r="L1667" t="s">
        <v>52</v>
      </c>
      <c r="M1667">
        <v>1920</v>
      </c>
      <c r="N1667">
        <v>0</v>
      </c>
      <c r="O1667" t="s">
        <v>178</v>
      </c>
      <c r="P1667">
        <v>5085</v>
      </c>
      <c r="Q1667" t="s">
        <v>52</v>
      </c>
      <c r="R1667" t="s">
        <v>52</v>
      </c>
      <c r="S1667" t="s">
        <v>52</v>
      </c>
      <c r="T1667" t="s">
        <v>52</v>
      </c>
      <c r="U1667" t="s">
        <v>52</v>
      </c>
      <c r="V1667" t="s">
        <v>62</v>
      </c>
      <c r="W1667" t="s">
        <v>52</v>
      </c>
      <c r="Y1667" t="s">
        <v>52</v>
      </c>
      <c r="AB1667" t="s">
        <v>52</v>
      </c>
      <c r="AE1667" t="s">
        <v>52</v>
      </c>
      <c r="AF1667" t="s">
        <v>52</v>
      </c>
      <c r="AH1667">
        <v>0</v>
      </c>
      <c r="AI1667">
        <v>0</v>
      </c>
      <c r="AJ1667" t="s">
        <v>52</v>
      </c>
      <c r="AK1667">
        <v>0</v>
      </c>
      <c r="AL1667" t="s">
        <v>52</v>
      </c>
      <c r="AM1667" t="s">
        <v>52</v>
      </c>
      <c r="AN1667">
        <v>0</v>
      </c>
      <c r="AO1667">
        <v>0</v>
      </c>
      <c r="AP1667" t="s">
        <v>52</v>
      </c>
      <c r="AQ1667" t="s">
        <v>52</v>
      </c>
      <c r="AR1667" t="s">
        <v>62</v>
      </c>
      <c r="AS1667" t="s">
        <v>52</v>
      </c>
      <c r="AT1667" t="s">
        <v>52</v>
      </c>
      <c r="AU1667" t="s">
        <v>64</v>
      </c>
      <c r="AV1667" t="s">
        <v>62</v>
      </c>
      <c r="AW1667" t="s">
        <v>65</v>
      </c>
      <c r="AX1667" t="s">
        <v>66</v>
      </c>
      <c r="AY1667" t="s">
        <v>165</v>
      </c>
    </row>
    <row r="1668" spans="1:51" hidden="1" x14ac:dyDescent="0.25">
      <c r="A1668">
        <v>406172</v>
      </c>
      <c r="B1668" t="s">
        <v>6269</v>
      </c>
      <c r="C1668" t="e">
        <f>VLOOKUP(A1668,[1]Customer_payment_journal_line!$AL:$BO,30,0)</f>
        <v>#N/A</v>
      </c>
      <c r="D1668" t="s">
        <v>159</v>
      </c>
      <c r="E1668" t="s">
        <v>6265</v>
      </c>
      <c r="F1668" t="s">
        <v>6266</v>
      </c>
      <c r="G1668" t="s">
        <v>6027</v>
      </c>
      <c r="H1668" t="s">
        <v>69</v>
      </c>
      <c r="I1668" t="s">
        <v>6270</v>
      </c>
      <c r="J1668" t="s">
        <v>6267</v>
      </c>
      <c r="K1668" t="s">
        <v>6268</v>
      </c>
      <c r="L1668" t="s">
        <v>52</v>
      </c>
      <c r="M1668">
        <v>0</v>
      </c>
      <c r="N1668">
        <v>1920</v>
      </c>
      <c r="O1668" t="s">
        <v>178</v>
      </c>
      <c r="P1668">
        <v>5085</v>
      </c>
      <c r="Q1668" t="s">
        <v>52</v>
      </c>
      <c r="R1668" t="s">
        <v>52</v>
      </c>
      <c r="S1668" t="s">
        <v>52</v>
      </c>
      <c r="T1668" t="s">
        <v>52</v>
      </c>
      <c r="U1668" t="s">
        <v>52</v>
      </c>
      <c r="V1668" t="s">
        <v>62</v>
      </c>
      <c r="W1668" t="s">
        <v>52</v>
      </c>
      <c r="Y1668" t="s">
        <v>6271</v>
      </c>
      <c r="Z1668" t="s">
        <v>62</v>
      </c>
      <c r="AB1668" t="s">
        <v>6272</v>
      </c>
      <c r="AE1668" t="s">
        <v>6273</v>
      </c>
      <c r="AF1668" t="s">
        <v>52</v>
      </c>
      <c r="AH1668">
        <v>0</v>
      </c>
      <c r="AI1668">
        <v>0</v>
      </c>
      <c r="AJ1668" t="s">
        <v>52</v>
      </c>
      <c r="AK1668">
        <v>0</v>
      </c>
      <c r="AL1668" t="s">
        <v>52</v>
      </c>
      <c r="AM1668" t="s">
        <v>52</v>
      </c>
      <c r="AN1668">
        <v>0</v>
      </c>
      <c r="AO1668">
        <v>0</v>
      </c>
      <c r="AP1668" t="s">
        <v>52</v>
      </c>
      <c r="AQ1668" t="s">
        <v>52</v>
      </c>
      <c r="AR1668" t="s">
        <v>62</v>
      </c>
      <c r="AS1668" t="s">
        <v>52</v>
      </c>
      <c r="AT1668" t="s">
        <v>74</v>
      </c>
      <c r="AU1668" t="s">
        <v>64</v>
      </c>
      <c r="AV1668" t="s">
        <v>62</v>
      </c>
      <c r="AW1668" t="s">
        <v>65</v>
      </c>
      <c r="AX1668" t="s">
        <v>66</v>
      </c>
      <c r="AY1668" t="s">
        <v>165</v>
      </c>
    </row>
    <row r="1669" spans="1:51" hidden="1" x14ac:dyDescent="0.25">
      <c r="A1669">
        <v>406173</v>
      </c>
      <c r="B1669" t="s">
        <v>6274</v>
      </c>
      <c r="C1669" t="e">
        <f>VLOOKUP(A1669,[1]Customer_payment_journal_line!$AL:$BO,30,0)</f>
        <v>#N/A</v>
      </c>
      <c r="D1669" t="s">
        <v>159</v>
      </c>
      <c r="E1669" t="s">
        <v>6275</v>
      </c>
      <c r="F1669" t="s">
        <v>6276</v>
      </c>
      <c r="G1669" t="s">
        <v>6027</v>
      </c>
      <c r="H1669" t="s">
        <v>80</v>
      </c>
      <c r="I1669" t="s">
        <v>5842</v>
      </c>
      <c r="J1669" t="s">
        <v>6267</v>
      </c>
      <c r="K1669" t="s">
        <v>6268</v>
      </c>
      <c r="L1669" t="s">
        <v>52</v>
      </c>
      <c r="M1669">
        <v>14535</v>
      </c>
      <c r="N1669">
        <v>0</v>
      </c>
      <c r="O1669" t="s">
        <v>61</v>
      </c>
      <c r="P1669">
        <v>100</v>
      </c>
      <c r="Q1669" t="s">
        <v>52</v>
      </c>
      <c r="R1669" t="s">
        <v>52</v>
      </c>
      <c r="S1669" t="s">
        <v>52</v>
      </c>
      <c r="T1669" t="s">
        <v>52</v>
      </c>
      <c r="U1669" t="s">
        <v>52</v>
      </c>
      <c r="V1669" t="s">
        <v>62</v>
      </c>
      <c r="W1669" t="s">
        <v>52</v>
      </c>
      <c r="Y1669" t="s">
        <v>52</v>
      </c>
      <c r="AB1669" t="s">
        <v>52</v>
      </c>
      <c r="AE1669" t="s">
        <v>52</v>
      </c>
      <c r="AF1669" t="s">
        <v>52</v>
      </c>
      <c r="AH1669">
        <v>0</v>
      </c>
      <c r="AI1669">
        <v>0</v>
      </c>
      <c r="AJ1669" t="s">
        <v>52</v>
      </c>
      <c r="AK1669">
        <v>0</v>
      </c>
      <c r="AL1669" t="s">
        <v>52</v>
      </c>
      <c r="AM1669" t="s">
        <v>52</v>
      </c>
      <c r="AN1669">
        <v>0</v>
      </c>
      <c r="AO1669">
        <v>0</v>
      </c>
      <c r="AP1669" t="s">
        <v>52</v>
      </c>
      <c r="AQ1669" t="s">
        <v>52</v>
      </c>
      <c r="AR1669" t="s">
        <v>62</v>
      </c>
      <c r="AS1669" t="s">
        <v>52</v>
      </c>
      <c r="AT1669" t="s">
        <v>52</v>
      </c>
      <c r="AU1669" t="s">
        <v>64</v>
      </c>
      <c r="AV1669" t="s">
        <v>62</v>
      </c>
      <c r="AW1669" t="s">
        <v>65</v>
      </c>
      <c r="AX1669" t="s">
        <v>66</v>
      </c>
      <c r="AY1669" t="s">
        <v>165</v>
      </c>
    </row>
    <row r="1670" spans="1:51" hidden="1" x14ac:dyDescent="0.25">
      <c r="A1670">
        <v>406173</v>
      </c>
      <c r="B1670" t="s">
        <v>6277</v>
      </c>
      <c r="C1670" t="e">
        <f>VLOOKUP(A1670,[1]Customer_payment_journal_line!$AL:$BO,30,0)</f>
        <v>#N/A</v>
      </c>
      <c r="D1670" t="s">
        <v>159</v>
      </c>
      <c r="E1670" t="s">
        <v>6275</v>
      </c>
      <c r="F1670" t="s">
        <v>6276</v>
      </c>
      <c r="G1670" t="s">
        <v>6027</v>
      </c>
      <c r="H1670" t="s">
        <v>69</v>
      </c>
      <c r="I1670" t="s">
        <v>6270</v>
      </c>
      <c r="J1670" t="s">
        <v>6267</v>
      </c>
      <c r="K1670" t="s">
        <v>6268</v>
      </c>
      <c r="L1670" t="s">
        <v>52</v>
      </c>
      <c r="M1670">
        <v>0</v>
      </c>
      <c r="N1670">
        <v>855</v>
      </c>
      <c r="O1670" t="s">
        <v>61</v>
      </c>
      <c r="P1670">
        <v>100</v>
      </c>
      <c r="Q1670" t="s">
        <v>52</v>
      </c>
      <c r="R1670" t="s">
        <v>52</v>
      </c>
      <c r="S1670" t="s">
        <v>52</v>
      </c>
      <c r="T1670" t="s">
        <v>52</v>
      </c>
      <c r="U1670" t="s">
        <v>52</v>
      </c>
      <c r="V1670" t="s">
        <v>62</v>
      </c>
      <c r="W1670" t="s">
        <v>52</v>
      </c>
      <c r="Y1670" t="s">
        <v>6271</v>
      </c>
      <c r="Z1670" t="s">
        <v>62</v>
      </c>
      <c r="AB1670" t="s">
        <v>6278</v>
      </c>
      <c r="AE1670" t="s">
        <v>6279</v>
      </c>
      <c r="AF1670" t="s">
        <v>52</v>
      </c>
      <c r="AH1670">
        <v>0</v>
      </c>
      <c r="AI1670">
        <v>0</v>
      </c>
      <c r="AJ1670" t="s">
        <v>52</v>
      </c>
      <c r="AK1670">
        <v>0</v>
      </c>
      <c r="AL1670" t="s">
        <v>52</v>
      </c>
      <c r="AM1670" t="s">
        <v>52</v>
      </c>
      <c r="AN1670">
        <v>0</v>
      </c>
      <c r="AO1670">
        <v>0</v>
      </c>
      <c r="AP1670" t="s">
        <v>52</v>
      </c>
      <c r="AQ1670" t="s">
        <v>52</v>
      </c>
      <c r="AR1670" t="s">
        <v>62</v>
      </c>
      <c r="AS1670" t="s">
        <v>52</v>
      </c>
      <c r="AT1670" t="s">
        <v>74</v>
      </c>
      <c r="AU1670" t="s">
        <v>64</v>
      </c>
      <c r="AV1670" t="s">
        <v>62</v>
      </c>
      <c r="AW1670" t="s">
        <v>65</v>
      </c>
      <c r="AX1670" t="s">
        <v>66</v>
      </c>
      <c r="AY1670" t="s">
        <v>165</v>
      </c>
    </row>
    <row r="1671" spans="1:51" hidden="1" x14ac:dyDescent="0.25">
      <c r="A1671">
        <v>406173</v>
      </c>
      <c r="B1671" t="s">
        <v>6280</v>
      </c>
      <c r="C1671" t="e">
        <f>VLOOKUP(A1671,[1]Customer_payment_journal_line!$AL:$BO,30,0)</f>
        <v>#N/A</v>
      </c>
      <c r="D1671" t="s">
        <v>159</v>
      </c>
      <c r="E1671" t="s">
        <v>6275</v>
      </c>
      <c r="F1671" t="s">
        <v>6276</v>
      </c>
      <c r="G1671" t="s">
        <v>6027</v>
      </c>
      <c r="H1671" t="s">
        <v>69</v>
      </c>
      <c r="I1671" t="s">
        <v>6270</v>
      </c>
      <c r="J1671" t="s">
        <v>6267</v>
      </c>
      <c r="K1671" t="s">
        <v>6268</v>
      </c>
      <c r="L1671" t="s">
        <v>52</v>
      </c>
      <c r="M1671">
        <v>0</v>
      </c>
      <c r="N1671">
        <v>13680</v>
      </c>
      <c r="O1671" t="s">
        <v>61</v>
      </c>
      <c r="P1671">
        <v>100</v>
      </c>
      <c r="Q1671" t="s">
        <v>52</v>
      </c>
      <c r="R1671" t="s">
        <v>52</v>
      </c>
      <c r="S1671" t="s">
        <v>52</v>
      </c>
      <c r="T1671" t="s">
        <v>52</v>
      </c>
      <c r="U1671" t="s">
        <v>52</v>
      </c>
      <c r="V1671" t="s">
        <v>62</v>
      </c>
      <c r="W1671" t="s">
        <v>52</v>
      </c>
      <c r="Y1671" t="s">
        <v>6271</v>
      </c>
      <c r="Z1671" t="s">
        <v>62</v>
      </c>
      <c r="AB1671" t="s">
        <v>6281</v>
      </c>
      <c r="AE1671" t="s">
        <v>6282</v>
      </c>
      <c r="AF1671" t="s">
        <v>52</v>
      </c>
      <c r="AH1671">
        <v>0</v>
      </c>
      <c r="AI1671">
        <v>0</v>
      </c>
      <c r="AJ1671" t="s">
        <v>52</v>
      </c>
      <c r="AK1671">
        <v>0</v>
      </c>
      <c r="AL1671" t="s">
        <v>52</v>
      </c>
      <c r="AM1671" t="s">
        <v>52</v>
      </c>
      <c r="AN1671">
        <v>0</v>
      </c>
      <c r="AO1671">
        <v>0</v>
      </c>
      <c r="AP1671" t="s">
        <v>52</v>
      </c>
      <c r="AQ1671" t="s">
        <v>52</v>
      </c>
      <c r="AR1671" t="s">
        <v>62</v>
      </c>
      <c r="AS1671" t="s">
        <v>52</v>
      </c>
      <c r="AT1671" t="s">
        <v>74</v>
      </c>
      <c r="AU1671" t="s">
        <v>64</v>
      </c>
      <c r="AV1671" t="s">
        <v>62</v>
      </c>
      <c r="AW1671" t="s">
        <v>65</v>
      </c>
      <c r="AX1671" t="s">
        <v>66</v>
      </c>
      <c r="AY1671" t="s">
        <v>165</v>
      </c>
    </row>
    <row r="1672" spans="1:51" hidden="1" x14ac:dyDescent="0.25">
      <c r="A1672">
        <v>406178</v>
      </c>
      <c r="B1672" t="s">
        <v>6283</v>
      </c>
      <c r="C1672" t="e">
        <f>VLOOKUP(A1672,[1]Customer_payment_journal_line!$AL:$BO,30,0)</f>
        <v>#N/A</v>
      </c>
      <c r="D1672" t="s">
        <v>159</v>
      </c>
      <c r="E1672" t="s">
        <v>6284</v>
      </c>
      <c r="F1672" t="s">
        <v>6285</v>
      </c>
      <c r="G1672" t="s">
        <v>6027</v>
      </c>
      <c r="H1672" t="s">
        <v>80</v>
      </c>
      <c r="I1672" t="s">
        <v>177</v>
      </c>
      <c r="J1672" t="s">
        <v>6286</v>
      </c>
      <c r="K1672" t="s">
        <v>6287</v>
      </c>
      <c r="L1672" t="s">
        <v>52</v>
      </c>
      <c r="M1672">
        <v>120</v>
      </c>
      <c r="N1672">
        <v>0</v>
      </c>
      <c r="O1672" t="s">
        <v>178</v>
      </c>
      <c r="P1672">
        <v>5085</v>
      </c>
      <c r="Q1672" t="s">
        <v>52</v>
      </c>
      <c r="R1672" t="s">
        <v>52</v>
      </c>
      <c r="S1672" t="s">
        <v>52</v>
      </c>
      <c r="T1672" t="s">
        <v>52</v>
      </c>
      <c r="U1672" t="s">
        <v>52</v>
      </c>
      <c r="V1672" t="s">
        <v>62</v>
      </c>
      <c r="W1672" t="s">
        <v>52</v>
      </c>
      <c r="Y1672" t="s">
        <v>52</v>
      </c>
      <c r="AB1672" t="s">
        <v>52</v>
      </c>
      <c r="AE1672" t="s">
        <v>52</v>
      </c>
      <c r="AF1672" t="s">
        <v>52</v>
      </c>
      <c r="AH1672">
        <v>0</v>
      </c>
      <c r="AI1672">
        <v>0</v>
      </c>
      <c r="AJ1672" t="s">
        <v>52</v>
      </c>
      <c r="AK1672">
        <v>0</v>
      </c>
      <c r="AL1672" t="s">
        <v>52</v>
      </c>
      <c r="AM1672" t="s">
        <v>52</v>
      </c>
      <c r="AN1672">
        <v>0</v>
      </c>
      <c r="AO1672">
        <v>0</v>
      </c>
      <c r="AP1672" t="s">
        <v>52</v>
      </c>
      <c r="AQ1672" t="s">
        <v>52</v>
      </c>
      <c r="AR1672" t="s">
        <v>62</v>
      </c>
      <c r="AS1672" t="s">
        <v>52</v>
      </c>
      <c r="AT1672" t="s">
        <v>52</v>
      </c>
      <c r="AU1672" t="s">
        <v>64</v>
      </c>
      <c r="AV1672" t="s">
        <v>62</v>
      </c>
      <c r="AW1672" t="s">
        <v>65</v>
      </c>
      <c r="AX1672" t="s">
        <v>66</v>
      </c>
      <c r="AY1672" t="s">
        <v>165</v>
      </c>
    </row>
    <row r="1673" spans="1:51" hidden="1" x14ac:dyDescent="0.25">
      <c r="A1673">
        <v>406178</v>
      </c>
      <c r="B1673" t="s">
        <v>6288</v>
      </c>
      <c r="C1673" t="e">
        <f>VLOOKUP(A1673,[1]Customer_payment_journal_line!$AL:$BO,30,0)</f>
        <v>#N/A</v>
      </c>
      <c r="D1673" t="s">
        <v>159</v>
      </c>
      <c r="E1673" t="s">
        <v>6284</v>
      </c>
      <c r="F1673" t="s">
        <v>6285</v>
      </c>
      <c r="G1673" t="s">
        <v>6027</v>
      </c>
      <c r="H1673" t="s">
        <v>69</v>
      </c>
      <c r="I1673" t="s">
        <v>6289</v>
      </c>
      <c r="J1673" t="s">
        <v>6286</v>
      </c>
      <c r="K1673" t="s">
        <v>6287</v>
      </c>
      <c r="L1673" t="s">
        <v>52</v>
      </c>
      <c r="M1673">
        <v>0</v>
      </c>
      <c r="N1673">
        <v>120</v>
      </c>
      <c r="O1673" t="s">
        <v>178</v>
      </c>
      <c r="P1673">
        <v>5085</v>
      </c>
      <c r="Q1673" t="s">
        <v>52</v>
      </c>
      <c r="R1673" t="s">
        <v>52</v>
      </c>
      <c r="S1673" t="s">
        <v>52</v>
      </c>
      <c r="T1673" t="s">
        <v>52</v>
      </c>
      <c r="U1673" t="s">
        <v>52</v>
      </c>
      <c r="V1673" t="s">
        <v>62</v>
      </c>
      <c r="W1673" t="s">
        <v>52</v>
      </c>
      <c r="Y1673" t="s">
        <v>6290</v>
      </c>
      <c r="Z1673" t="s">
        <v>62</v>
      </c>
      <c r="AB1673" t="s">
        <v>6291</v>
      </c>
      <c r="AE1673" t="s">
        <v>6292</v>
      </c>
      <c r="AF1673" t="s">
        <v>52</v>
      </c>
      <c r="AH1673">
        <v>0</v>
      </c>
      <c r="AI1673">
        <v>0</v>
      </c>
      <c r="AJ1673" t="s">
        <v>52</v>
      </c>
      <c r="AK1673">
        <v>0</v>
      </c>
      <c r="AL1673" t="s">
        <v>52</v>
      </c>
      <c r="AM1673" t="s">
        <v>52</v>
      </c>
      <c r="AN1673">
        <v>0</v>
      </c>
      <c r="AO1673">
        <v>0</v>
      </c>
      <c r="AP1673" t="s">
        <v>52</v>
      </c>
      <c r="AQ1673" t="s">
        <v>52</v>
      </c>
      <c r="AR1673" t="s">
        <v>62</v>
      </c>
      <c r="AS1673" t="s">
        <v>52</v>
      </c>
      <c r="AT1673" t="s">
        <v>74</v>
      </c>
      <c r="AU1673" t="s">
        <v>64</v>
      </c>
      <c r="AV1673" t="s">
        <v>62</v>
      </c>
      <c r="AW1673" t="s">
        <v>65</v>
      </c>
      <c r="AX1673" t="s">
        <v>66</v>
      </c>
      <c r="AY1673" t="s">
        <v>165</v>
      </c>
    </row>
    <row r="1674" spans="1:51" hidden="1" x14ac:dyDescent="0.25">
      <c r="A1674">
        <v>406179</v>
      </c>
      <c r="B1674" t="s">
        <v>6293</v>
      </c>
      <c r="C1674" t="e">
        <f>VLOOKUP(A1674,[1]Customer_payment_journal_line!$AL:$BO,30,0)</f>
        <v>#N/A</v>
      </c>
      <c r="D1674" t="s">
        <v>76</v>
      </c>
      <c r="E1674" t="s">
        <v>6294</v>
      </c>
      <c r="F1674" t="s">
        <v>6295</v>
      </c>
      <c r="G1674" t="s">
        <v>6027</v>
      </c>
      <c r="H1674" t="s">
        <v>80</v>
      </c>
      <c r="I1674" t="s">
        <v>81</v>
      </c>
      <c r="J1674" t="s">
        <v>6286</v>
      </c>
      <c r="K1674" t="s">
        <v>6287</v>
      </c>
      <c r="L1674" t="s">
        <v>52</v>
      </c>
      <c r="M1674">
        <v>6327</v>
      </c>
      <c r="N1674">
        <v>0</v>
      </c>
      <c r="O1674" t="s">
        <v>61</v>
      </c>
      <c r="P1674">
        <v>100</v>
      </c>
      <c r="Q1674" t="s">
        <v>52</v>
      </c>
      <c r="R1674" t="s">
        <v>52</v>
      </c>
      <c r="S1674" t="s">
        <v>52</v>
      </c>
      <c r="T1674" t="s">
        <v>52</v>
      </c>
      <c r="U1674" t="s">
        <v>52</v>
      </c>
      <c r="V1674" t="s">
        <v>62</v>
      </c>
      <c r="W1674" t="s">
        <v>52</v>
      </c>
      <c r="Y1674" t="s">
        <v>52</v>
      </c>
      <c r="AB1674" t="s">
        <v>52</v>
      </c>
      <c r="AE1674" t="s">
        <v>52</v>
      </c>
      <c r="AF1674" t="s">
        <v>52</v>
      </c>
      <c r="AH1674">
        <v>0</v>
      </c>
      <c r="AI1674">
        <v>0</v>
      </c>
      <c r="AJ1674" t="s">
        <v>52</v>
      </c>
      <c r="AK1674">
        <v>0</v>
      </c>
      <c r="AL1674" t="s">
        <v>52</v>
      </c>
      <c r="AM1674" t="s">
        <v>52</v>
      </c>
      <c r="AN1674">
        <v>0</v>
      </c>
      <c r="AO1674">
        <v>0</v>
      </c>
      <c r="AP1674" t="s">
        <v>52</v>
      </c>
      <c r="AQ1674" t="s">
        <v>52</v>
      </c>
      <c r="AR1674" t="s">
        <v>62</v>
      </c>
      <c r="AS1674" t="s">
        <v>52</v>
      </c>
      <c r="AT1674" t="s">
        <v>52</v>
      </c>
      <c r="AU1674" t="s">
        <v>64</v>
      </c>
      <c r="AV1674" t="s">
        <v>62</v>
      </c>
      <c r="AW1674" t="s">
        <v>65</v>
      </c>
      <c r="AX1674" t="s">
        <v>66</v>
      </c>
      <c r="AY1674" t="s">
        <v>76</v>
      </c>
    </row>
    <row r="1675" spans="1:51" hidden="1" x14ac:dyDescent="0.25">
      <c r="A1675">
        <v>406179</v>
      </c>
      <c r="B1675" t="s">
        <v>6296</v>
      </c>
      <c r="C1675" t="e">
        <f>VLOOKUP(A1675,[1]Customer_payment_journal_line!$AL:$BO,30,0)</f>
        <v>#N/A</v>
      </c>
      <c r="D1675" t="s">
        <v>76</v>
      </c>
      <c r="E1675" t="s">
        <v>6294</v>
      </c>
      <c r="F1675" t="s">
        <v>6295</v>
      </c>
      <c r="G1675" t="s">
        <v>6027</v>
      </c>
      <c r="H1675" t="s">
        <v>69</v>
      </c>
      <c r="I1675" t="s">
        <v>6289</v>
      </c>
      <c r="J1675" t="s">
        <v>6286</v>
      </c>
      <c r="K1675" t="s">
        <v>6287</v>
      </c>
      <c r="L1675" t="s">
        <v>52</v>
      </c>
      <c r="M1675">
        <v>0</v>
      </c>
      <c r="N1675">
        <v>855</v>
      </c>
      <c r="O1675" t="s">
        <v>61</v>
      </c>
      <c r="P1675">
        <v>100</v>
      </c>
      <c r="Q1675" t="s">
        <v>52</v>
      </c>
      <c r="R1675" t="s">
        <v>52</v>
      </c>
      <c r="S1675" t="s">
        <v>52</v>
      </c>
      <c r="T1675" t="s">
        <v>52</v>
      </c>
      <c r="U1675" t="s">
        <v>52</v>
      </c>
      <c r="V1675" t="s">
        <v>62</v>
      </c>
      <c r="W1675" t="s">
        <v>52</v>
      </c>
      <c r="Y1675" t="s">
        <v>6290</v>
      </c>
      <c r="Z1675" t="s">
        <v>62</v>
      </c>
      <c r="AB1675" t="s">
        <v>6297</v>
      </c>
      <c r="AE1675" t="s">
        <v>6298</v>
      </c>
      <c r="AF1675" t="s">
        <v>52</v>
      </c>
      <c r="AH1675">
        <v>0</v>
      </c>
      <c r="AI1675">
        <v>0</v>
      </c>
      <c r="AJ1675" t="s">
        <v>52</v>
      </c>
      <c r="AK1675">
        <v>0</v>
      </c>
      <c r="AL1675" t="s">
        <v>52</v>
      </c>
      <c r="AM1675" t="s">
        <v>52</v>
      </c>
      <c r="AN1675">
        <v>0</v>
      </c>
      <c r="AO1675">
        <v>0</v>
      </c>
      <c r="AP1675" t="s">
        <v>52</v>
      </c>
      <c r="AQ1675" t="s">
        <v>52</v>
      </c>
      <c r="AR1675" t="s">
        <v>62</v>
      </c>
      <c r="AS1675" t="s">
        <v>52</v>
      </c>
      <c r="AT1675" t="s">
        <v>74</v>
      </c>
      <c r="AU1675" t="s">
        <v>64</v>
      </c>
      <c r="AV1675" t="s">
        <v>62</v>
      </c>
      <c r="AW1675" t="s">
        <v>65</v>
      </c>
      <c r="AX1675" t="s">
        <v>66</v>
      </c>
      <c r="AY1675" t="s">
        <v>76</v>
      </c>
    </row>
    <row r="1676" spans="1:51" hidden="1" x14ac:dyDescent="0.25">
      <c r="A1676">
        <v>406179</v>
      </c>
      <c r="B1676" t="s">
        <v>6299</v>
      </c>
      <c r="C1676" t="e">
        <f>VLOOKUP(A1676,[1]Customer_payment_journal_line!$AL:$BO,30,0)</f>
        <v>#N/A</v>
      </c>
      <c r="D1676" t="s">
        <v>76</v>
      </c>
      <c r="E1676" t="s">
        <v>6294</v>
      </c>
      <c r="F1676" t="s">
        <v>6295</v>
      </c>
      <c r="G1676" t="s">
        <v>6027</v>
      </c>
      <c r="H1676" t="s">
        <v>69</v>
      </c>
      <c r="I1676" t="s">
        <v>6289</v>
      </c>
      <c r="J1676" t="s">
        <v>6286</v>
      </c>
      <c r="K1676" t="s">
        <v>6287</v>
      </c>
      <c r="L1676" t="s">
        <v>52</v>
      </c>
      <c r="M1676">
        <v>0</v>
      </c>
      <c r="N1676">
        <v>5472</v>
      </c>
      <c r="O1676" t="s">
        <v>61</v>
      </c>
      <c r="P1676">
        <v>100</v>
      </c>
      <c r="Q1676" t="s">
        <v>52</v>
      </c>
      <c r="R1676" t="s">
        <v>52</v>
      </c>
      <c r="S1676" t="s">
        <v>52</v>
      </c>
      <c r="T1676" t="s">
        <v>52</v>
      </c>
      <c r="U1676" t="s">
        <v>52</v>
      </c>
      <c r="V1676" t="s">
        <v>62</v>
      </c>
      <c r="W1676" t="s">
        <v>52</v>
      </c>
      <c r="Y1676" t="s">
        <v>6290</v>
      </c>
      <c r="Z1676" t="s">
        <v>62</v>
      </c>
      <c r="AB1676" t="s">
        <v>6300</v>
      </c>
      <c r="AE1676" t="s">
        <v>6301</v>
      </c>
      <c r="AF1676" t="s">
        <v>52</v>
      </c>
      <c r="AH1676">
        <v>0</v>
      </c>
      <c r="AI1676">
        <v>0</v>
      </c>
      <c r="AJ1676" t="s">
        <v>52</v>
      </c>
      <c r="AK1676">
        <v>0</v>
      </c>
      <c r="AL1676" t="s">
        <v>52</v>
      </c>
      <c r="AM1676" t="s">
        <v>52</v>
      </c>
      <c r="AN1676">
        <v>0</v>
      </c>
      <c r="AO1676">
        <v>0</v>
      </c>
      <c r="AP1676" t="s">
        <v>52</v>
      </c>
      <c r="AQ1676" t="s">
        <v>52</v>
      </c>
      <c r="AR1676" t="s">
        <v>62</v>
      </c>
      <c r="AS1676" t="s">
        <v>52</v>
      </c>
      <c r="AT1676" t="s">
        <v>74</v>
      </c>
      <c r="AU1676" t="s">
        <v>64</v>
      </c>
      <c r="AV1676" t="s">
        <v>62</v>
      </c>
      <c r="AW1676" t="s">
        <v>65</v>
      </c>
      <c r="AX1676" t="s">
        <v>66</v>
      </c>
      <c r="AY1676" t="s">
        <v>76</v>
      </c>
    </row>
    <row r="1677" spans="1:51" hidden="1" x14ac:dyDescent="0.25">
      <c r="A1677">
        <v>406181</v>
      </c>
      <c r="B1677" t="s">
        <v>6302</v>
      </c>
      <c r="C1677" t="e">
        <f>VLOOKUP(A1677,[1]Customer_payment_journal_line!$AL:$BO,30,0)</f>
        <v>#N/A</v>
      </c>
      <c r="D1677" t="s">
        <v>76</v>
      </c>
      <c r="E1677" t="s">
        <v>6303</v>
      </c>
      <c r="F1677" t="s">
        <v>6304</v>
      </c>
      <c r="G1677" t="s">
        <v>6027</v>
      </c>
      <c r="H1677" t="s">
        <v>80</v>
      </c>
      <c r="I1677" t="s">
        <v>81</v>
      </c>
      <c r="J1677" t="s">
        <v>6305</v>
      </c>
      <c r="K1677" t="s">
        <v>5778</v>
      </c>
      <c r="L1677" t="s">
        <v>52</v>
      </c>
      <c r="M1677">
        <v>256440.26</v>
      </c>
      <c r="N1677">
        <v>0</v>
      </c>
      <c r="O1677" t="s">
        <v>61</v>
      </c>
      <c r="P1677">
        <v>100</v>
      </c>
      <c r="Q1677" t="s">
        <v>52</v>
      </c>
      <c r="R1677" t="s">
        <v>52</v>
      </c>
      <c r="S1677" t="s">
        <v>52</v>
      </c>
      <c r="T1677" t="s">
        <v>52</v>
      </c>
      <c r="U1677" t="s">
        <v>52</v>
      </c>
      <c r="V1677" t="s">
        <v>62</v>
      </c>
      <c r="W1677" t="s">
        <v>52</v>
      </c>
      <c r="Y1677" t="s">
        <v>52</v>
      </c>
      <c r="AB1677" t="s">
        <v>52</v>
      </c>
      <c r="AE1677" t="s">
        <v>52</v>
      </c>
      <c r="AF1677" t="s">
        <v>52</v>
      </c>
      <c r="AH1677">
        <v>0</v>
      </c>
      <c r="AI1677">
        <v>0</v>
      </c>
      <c r="AJ1677" t="s">
        <v>52</v>
      </c>
      <c r="AK1677">
        <v>0</v>
      </c>
      <c r="AL1677" t="s">
        <v>52</v>
      </c>
      <c r="AM1677" t="s">
        <v>52</v>
      </c>
      <c r="AN1677">
        <v>0</v>
      </c>
      <c r="AO1677">
        <v>0</v>
      </c>
      <c r="AP1677" t="s">
        <v>52</v>
      </c>
      <c r="AQ1677" t="s">
        <v>52</v>
      </c>
      <c r="AR1677" t="s">
        <v>62</v>
      </c>
      <c r="AS1677" t="s">
        <v>52</v>
      </c>
      <c r="AT1677" t="s">
        <v>52</v>
      </c>
      <c r="AU1677" t="s">
        <v>64</v>
      </c>
      <c r="AV1677" t="s">
        <v>62</v>
      </c>
      <c r="AW1677" t="s">
        <v>65</v>
      </c>
      <c r="AX1677" t="s">
        <v>66</v>
      </c>
      <c r="AY1677" t="s">
        <v>76</v>
      </c>
    </row>
    <row r="1678" spans="1:51" hidden="1" x14ac:dyDescent="0.25">
      <c r="A1678">
        <v>406181</v>
      </c>
      <c r="B1678" t="s">
        <v>6306</v>
      </c>
      <c r="C1678" t="e">
        <f>VLOOKUP(A1678,[1]Customer_payment_journal_line!$AL:$BO,30,0)</f>
        <v>#N/A</v>
      </c>
      <c r="D1678" t="s">
        <v>76</v>
      </c>
      <c r="E1678" t="s">
        <v>6303</v>
      </c>
      <c r="F1678" t="s">
        <v>6304</v>
      </c>
      <c r="G1678" t="s">
        <v>6027</v>
      </c>
      <c r="H1678" t="s">
        <v>69</v>
      </c>
      <c r="I1678" t="s">
        <v>6307</v>
      </c>
      <c r="J1678" t="s">
        <v>6305</v>
      </c>
      <c r="K1678" t="s">
        <v>5778</v>
      </c>
      <c r="L1678" t="s">
        <v>52</v>
      </c>
      <c r="M1678">
        <v>0</v>
      </c>
      <c r="N1678">
        <v>855</v>
      </c>
      <c r="O1678" t="s">
        <v>61</v>
      </c>
      <c r="P1678">
        <v>100</v>
      </c>
      <c r="Q1678" t="s">
        <v>52</v>
      </c>
      <c r="R1678" t="s">
        <v>52</v>
      </c>
      <c r="S1678" t="s">
        <v>52</v>
      </c>
      <c r="T1678" t="s">
        <v>52</v>
      </c>
      <c r="U1678" t="s">
        <v>52</v>
      </c>
      <c r="V1678" t="s">
        <v>62</v>
      </c>
      <c r="W1678" t="s">
        <v>52</v>
      </c>
      <c r="Y1678" t="s">
        <v>6308</v>
      </c>
      <c r="Z1678" t="s">
        <v>62</v>
      </c>
      <c r="AB1678" t="s">
        <v>6309</v>
      </c>
      <c r="AE1678" t="s">
        <v>6310</v>
      </c>
      <c r="AF1678" t="s">
        <v>52</v>
      </c>
      <c r="AH1678">
        <v>0</v>
      </c>
      <c r="AI1678">
        <v>0</v>
      </c>
      <c r="AJ1678" t="s">
        <v>52</v>
      </c>
      <c r="AK1678">
        <v>0</v>
      </c>
      <c r="AL1678" t="s">
        <v>52</v>
      </c>
      <c r="AM1678" t="s">
        <v>52</v>
      </c>
      <c r="AN1678">
        <v>0</v>
      </c>
      <c r="AO1678">
        <v>0</v>
      </c>
      <c r="AP1678" t="s">
        <v>52</v>
      </c>
      <c r="AQ1678" t="s">
        <v>52</v>
      </c>
      <c r="AR1678" t="s">
        <v>62</v>
      </c>
      <c r="AS1678" t="s">
        <v>52</v>
      </c>
      <c r="AT1678" t="s">
        <v>74</v>
      </c>
      <c r="AU1678" t="s">
        <v>64</v>
      </c>
      <c r="AV1678" t="s">
        <v>62</v>
      </c>
      <c r="AW1678" t="s">
        <v>65</v>
      </c>
      <c r="AX1678" t="s">
        <v>66</v>
      </c>
      <c r="AY1678" t="s">
        <v>76</v>
      </c>
    </row>
    <row r="1679" spans="1:51" hidden="1" x14ac:dyDescent="0.25">
      <c r="A1679">
        <v>406181</v>
      </c>
      <c r="B1679" t="s">
        <v>6311</v>
      </c>
      <c r="C1679" t="e">
        <f>VLOOKUP(A1679,[1]Customer_payment_journal_line!$AL:$BO,30,0)</f>
        <v>#N/A</v>
      </c>
      <c r="D1679" t="s">
        <v>76</v>
      </c>
      <c r="E1679" t="s">
        <v>6303</v>
      </c>
      <c r="F1679" t="s">
        <v>6304</v>
      </c>
      <c r="G1679" t="s">
        <v>6027</v>
      </c>
      <c r="H1679" t="s">
        <v>69</v>
      </c>
      <c r="I1679" t="s">
        <v>6307</v>
      </c>
      <c r="J1679" t="s">
        <v>6305</v>
      </c>
      <c r="K1679" t="s">
        <v>5778</v>
      </c>
      <c r="L1679" t="s">
        <v>52</v>
      </c>
      <c r="M1679">
        <v>0</v>
      </c>
      <c r="N1679">
        <v>255585.26</v>
      </c>
      <c r="O1679" t="s">
        <v>61</v>
      </c>
      <c r="P1679">
        <v>100</v>
      </c>
      <c r="Q1679" t="s">
        <v>52</v>
      </c>
      <c r="R1679" t="s">
        <v>52</v>
      </c>
      <c r="S1679" t="s">
        <v>52</v>
      </c>
      <c r="T1679" t="s">
        <v>52</v>
      </c>
      <c r="U1679" t="s">
        <v>52</v>
      </c>
      <c r="V1679" t="s">
        <v>62</v>
      </c>
      <c r="W1679" t="s">
        <v>52</v>
      </c>
      <c r="Y1679" t="s">
        <v>6308</v>
      </c>
      <c r="Z1679" t="s">
        <v>62</v>
      </c>
      <c r="AB1679" t="s">
        <v>6312</v>
      </c>
      <c r="AE1679" t="s">
        <v>6313</v>
      </c>
      <c r="AF1679" t="s">
        <v>52</v>
      </c>
      <c r="AH1679">
        <v>0</v>
      </c>
      <c r="AI1679">
        <v>0</v>
      </c>
      <c r="AJ1679" t="s">
        <v>52</v>
      </c>
      <c r="AK1679">
        <v>0</v>
      </c>
      <c r="AL1679" t="s">
        <v>52</v>
      </c>
      <c r="AM1679" t="s">
        <v>52</v>
      </c>
      <c r="AN1679">
        <v>0</v>
      </c>
      <c r="AO1679">
        <v>0</v>
      </c>
      <c r="AP1679" t="s">
        <v>52</v>
      </c>
      <c r="AQ1679" t="s">
        <v>52</v>
      </c>
      <c r="AR1679" t="s">
        <v>62</v>
      </c>
      <c r="AS1679" t="s">
        <v>52</v>
      </c>
      <c r="AT1679" t="s">
        <v>74</v>
      </c>
      <c r="AU1679" t="s">
        <v>64</v>
      </c>
      <c r="AV1679" t="s">
        <v>62</v>
      </c>
      <c r="AW1679" t="s">
        <v>65</v>
      </c>
      <c r="AX1679" t="s">
        <v>66</v>
      </c>
      <c r="AY1679" t="s">
        <v>76</v>
      </c>
    </row>
    <row r="1680" spans="1:51" hidden="1" x14ac:dyDescent="0.25">
      <c r="A1680">
        <v>406182</v>
      </c>
      <c r="B1680" t="s">
        <v>6314</v>
      </c>
      <c r="C1680" t="e">
        <f>VLOOKUP(A1680,[1]Customer_payment_journal_line!$AL:$BO,30,0)</f>
        <v>#N/A</v>
      </c>
      <c r="D1680" t="s">
        <v>76</v>
      </c>
      <c r="E1680" t="s">
        <v>6315</v>
      </c>
      <c r="F1680" t="s">
        <v>6316</v>
      </c>
      <c r="G1680" t="s">
        <v>6027</v>
      </c>
      <c r="H1680" t="s">
        <v>80</v>
      </c>
      <c r="I1680" t="s">
        <v>81</v>
      </c>
      <c r="J1680" t="s">
        <v>6317</v>
      </c>
      <c r="K1680" t="s">
        <v>2644</v>
      </c>
      <c r="L1680" t="s">
        <v>52</v>
      </c>
      <c r="M1680">
        <v>1282.5</v>
      </c>
      <c r="N1680">
        <v>0</v>
      </c>
      <c r="O1680" t="s">
        <v>61</v>
      </c>
      <c r="P1680">
        <v>100</v>
      </c>
      <c r="Q1680" t="s">
        <v>52</v>
      </c>
      <c r="R1680" t="s">
        <v>52</v>
      </c>
      <c r="S1680" t="s">
        <v>52</v>
      </c>
      <c r="T1680" t="s">
        <v>52</v>
      </c>
      <c r="U1680" t="s">
        <v>52</v>
      </c>
      <c r="V1680" t="s">
        <v>62</v>
      </c>
      <c r="W1680" t="s">
        <v>52</v>
      </c>
      <c r="Y1680" t="s">
        <v>52</v>
      </c>
      <c r="AB1680" t="s">
        <v>52</v>
      </c>
      <c r="AE1680" t="s">
        <v>52</v>
      </c>
      <c r="AF1680" t="s">
        <v>52</v>
      </c>
      <c r="AH1680">
        <v>0</v>
      </c>
      <c r="AI1680">
        <v>0</v>
      </c>
      <c r="AJ1680" t="s">
        <v>52</v>
      </c>
      <c r="AK1680">
        <v>0</v>
      </c>
      <c r="AL1680" t="s">
        <v>52</v>
      </c>
      <c r="AM1680" t="s">
        <v>52</v>
      </c>
      <c r="AN1680">
        <v>0</v>
      </c>
      <c r="AO1680">
        <v>0</v>
      </c>
      <c r="AP1680" t="s">
        <v>52</v>
      </c>
      <c r="AQ1680" t="s">
        <v>52</v>
      </c>
      <c r="AR1680" t="s">
        <v>62</v>
      </c>
      <c r="AS1680" t="s">
        <v>52</v>
      </c>
      <c r="AT1680" t="s">
        <v>52</v>
      </c>
      <c r="AU1680" t="s">
        <v>64</v>
      </c>
      <c r="AV1680" t="s">
        <v>62</v>
      </c>
      <c r="AW1680" t="s">
        <v>65</v>
      </c>
      <c r="AX1680" t="s">
        <v>66</v>
      </c>
      <c r="AY1680" t="s">
        <v>76</v>
      </c>
    </row>
    <row r="1681" spans="1:51" hidden="1" x14ac:dyDescent="0.25">
      <c r="A1681">
        <v>406182</v>
      </c>
      <c r="B1681" t="s">
        <v>6318</v>
      </c>
      <c r="C1681" t="e">
        <f>VLOOKUP(A1681,[1]Customer_payment_journal_line!$AL:$BO,30,0)</f>
        <v>#N/A</v>
      </c>
      <c r="D1681" t="s">
        <v>76</v>
      </c>
      <c r="E1681" t="s">
        <v>6315</v>
      </c>
      <c r="F1681" t="s">
        <v>6316</v>
      </c>
      <c r="G1681" t="s">
        <v>6027</v>
      </c>
      <c r="H1681" t="s">
        <v>69</v>
      </c>
      <c r="I1681" t="s">
        <v>1621</v>
      </c>
      <c r="J1681" t="s">
        <v>6317</v>
      </c>
      <c r="K1681" t="s">
        <v>2644</v>
      </c>
      <c r="L1681" t="s">
        <v>52</v>
      </c>
      <c r="M1681">
        <v>0</v>
      </c>
      <c r="N1681">
        <v>513</v>
      </c>
      <c r="O1681" t="s">
        <v>61</v>
      </c>
      <c r="P1681">
        <v>100</v>
      </c>
      <c r="Q1681" t="s">
        <v>52</v>
      </c>
      <c r="R1681" t="s">
        <v>52</v>
      </c>
      <c r="S1681" t="s">
        <v>52</v>
      </c>
      <c r="T1681" t="s">
        <v>52</v>
      </c>
      <c r="U1681" t="s">
        <v>52</v>
      </c>
      <c r="V1681" t="s">
        <v>62</v>
      </c>
      <c r="W1681" t="s">
        <v>52</v>
      </c>
      <c r="Y1681" t="s">
        <v>1622</v>
      </c>
      <c r="Z1681" t="s">
        <v>62</v>
      </c>
      <c r="AB1681" t="s">
        <v>6319</v>
      </c>
      <c r="AE1681" t="s">
        <v>6320</v>
      </c>
      <c r="AF1681" t="s">
        <v>52</v>
      </c>
      <c r="AH1681">
        <v>0</v>
      </c>
      <c r="AI1681">
        <v>0</v>
      </c>
      <c r="AJ1681" t="s">
        <v>52</v>
      </c>
      <c r="AK1681">
        <v>0</v>
      </c>
      <c r="AL1681" t="s">
        <v>52</v>
      </c>
      <c r="AM1681" t="s">
        <v>52</v>
      </c>
      <c r="AN1681">
        <v>0</v>
      </c>
      <c r="AO1681">
        <v>0</v>
      </c>
      <c r="AP1681" t="s">
        <v>52</v>
      </c>
      <c r="AQ1681" t="s">
        <v>52</v>
      </c>
      <c r="AR1681" t="s">
        <v>62</v>
      </c>
      <c r="AS1681" t="s">
        <v>52</v>
      </c>
      <c r="AT1681" t="s">
        <v>74</v>
      </c>
      <c r="AU1681" t="s">
        <v>64</v>
      </c>
      <c r="AV1681" t="s">
        <v>62</v>
      </c>
      <c r="AW1681" t="s">
        <v>65</v>
      </c>
      <c r="AX1681" t="s">
        <v>66</v>
      </c>
      <c r="AY1681" t="s">
        <v>76</v>
      </c>
    </row>
    <row r="1682" spans="1:51" hidden="1" x14ac:dyDescent="0.25">
      <c r="A1682">
        <v>406182</v>
      </c>
      <c r="B1682" t="s">
        <v>6321</v>
      </c>
      <c r="C1682" t="e">
        <f>VLOOKUP(A1682,[1]Customer_payment_journal_line!$AL:$BO,30,0)</f>
        <v>#N/A</v>
      </c>
      <c r="D1682" t="s">
        <v>76</v>
      </c>
      <c r="E1682" t="s">
        <v>6315</v>
      </c>
      <c r="F1682" t="s">
        <v>6316</v>
      </c>
      <c r="G1682" t="s">
        <v>6027</v>
      </c>
      <c r="H1682" t="s">
        <v>69</v>
      </c>
      <c r="I1682" t="s">
        <v>1621</v>
      </c>
      <c r="J1682" t="s">
        <v>6317</v>
      </c>
      <c r="K1682" t="s">
        <v>2644</v>
      </c>
      <c r="L1682" t="s">
        <v>52</v>
      </c>
      <c r="M1682">
        <v>0</v>
      </c>
      <c r="N1682">
        <v>57</v>
      </c>
      <c r="O1682" t="s">
        <v>61</v>
      </c>
      <c r="P1682">
        <v>100</v>
      </c>
      <c r="Q1682" t="s">
        <v>52</v>
      </c>
      <c r="R1682" t="s">
        <v>52</v>
      </c>
      <c r="S1682" t="s">
        <v>52</v>
      </c>
      <c r="T1682" t="s">
        <v>52</v>
      </c>
      <c r="U1682" t="s">
        <v>52</v>
      </c>
      <c r="V1682" t="s">
        <v>62</v>
      </c>
      <c r="W1682" t="s">
        <v>52</v>
      </c>
      <c r="Y1682" t="s">
        <v>1622</v>
      </c>
      <c r="Z1682" t="s">
        <v>62</v>
      </c>
      <c r="AB1682" t="s">
        <v>6322</v>
      </c>
      <c r="AE1682" t="s">
        <v>6323</v>
      </c>
      <c r="AF1682" t="s">
        <v>52</v>
      </c>
      <c r="AH1682">
        <v>0</v>
      </c>
      <c r="AI1682">
        <v>0</v>
      </c>
      <c r="AJ1682" t="s">
        <v>52</v>
      </c>
      <c r="AK1682">
        <v>0</v>
      </c>
      <c r="AL1682" t="s">
        <v>52</v>
      </c>
      <c r="AM1682" t="s">
        <v>52</v>
      </c>
      <c r="AN1682">
        <v>0</v>
      </c>
      <c r="AO1682">
        <v>0</v>
      </c>
      <c r="AP1682" t="s">
        <v>52</v>
      </c>
      <c r="AQ1682" t="s">
        <v>52</v>
      </c>
      <c r="AR1682" t="s">
        <v>62</v>
      </c>
      <c r="AS1682" t="s">
        <v>52</v>
      </c>
      <c r="AT1682" t="s">
        <v>74</v>
      </c>
      <c r="AU1682" t="s">
        <v>64</v>
      </c>
      <c r="AV1682" t="s">
        <v>62</v>
      </c>
      <c r="AW1682" t="s">
        <v>65</v>
      </c>
      <c r="AX1682" t="s">
        <v>66</v>
      </c>
      <c r="AY1682" t="s">
        <v>76</v>
      </c>
    </row>
    <row r="1683" spans="1:51" hidden="1" x14ac:dyDescent="0.25">
      <c r="A1683">
        <v>406182</v>
      </c>
      <c r="B1683" t="s">
        <v>6324</v>
      </c>
      <c r="C1683" t="e">
        <f>VLOOKUP(A1683,[1]Customer_payment_journal_line!$AL:$BO,30,0)</f>
        <v>#N/A</v>
      </c>
      <c r="D1683" t="s">
        <v>76</v>
      </c>
      <c r="E1683" t="s">
        <v>6315</v>
      </c>
      <c r="F1683" t="s">
        <v>6316</v>
      </c>
      <c r="G1683" t="s">
        <v>6027</v>
      </c>
      <c r="H1683" t="s">
        <v>69</v>
      </c>
      <c r="I1683" t="s">
        <v>1621</v>
      </c>
      <c r="J1683" t="s">
        <v>6317</v>
      </c>
      <c r="K1683" t="s">
        <v>2644</v>
      </c>
      <c r="L1683" t="s">
        <v>52</v>
      </c>
      <c r="M1683">
        <v>0</v>
      </c>
      <c r="N1683">
        <v>712.5</v>
      </c>
      <c r="O1683" t="s">
        <v>61</v>
      </c>
      <c r="P1683">
        <v>100</v>
      </c>
      <c r="Q1683" t="s">
        <v>52</v>
      </c>
      <c r="R1683" t="s">
        <v>52</v>
      </c>
      <c r="S1683" t="s">
        <v>52</v>
      </c>
      <c r="T1683" t="s">
        <v>52</v>
      </c>
      <c r="U1683" t="s">
        <v>52</v>
      </c>
      <c r="V1683" t="s">
        <v>62</v>
      </c>
      <c r="W1683" t="s">
        <v>52</v>
      </c>
      <c r="Y1683" t="s">
        <v>1622</v>
      </c>
      <c r="Z1683" t="s">
        <v>62</v>
      </c>
      <c r="AB1683" t="s">
        <v>6325</v>
      </c>
      <c r="AE1683" t="s">
        <v>6326</v>
      </c>
      <c r="AF1683" t="s">
        <v>52</v>
      </c>
      <c r="AH1683">
        <v>0</v>
      </c>
      <c r="AI1683">
        <v>0</v>
      </c>
      <c r="AJ1683" t="s">
        <v>52</v>
      </c>
      <c r="AK1683">
        <v>0</v>
      </c>
      <c r="AL1683" t="s">
        <v>52</v>
      </c>
      <c r="AM1683" t="s">
        <v>52</v>
      </c>
      <c r="AN1683">
        <v>0</v>
      </c>
      <c r="AO1683">
        <v>0</v>
      </c>
      <c r="AP1683" t="s">
        <v>52</v>
      </c>
      <c r="AQ1683" t="s">
        <v>52</v>
      </c>
      <c r="AR1683" t="s">
        <v>62</v>
      </c>
      <c r="AS1683" t="s">
        <v>52</v>
      </c>
      <c r="AT1683" t="s">
        <v>74</v>
      </c>
      <c r="AU1683" t="s">
        <v>64</v>
      </c>
      <c r="AV1683" t="s">
        <v>62</v>
      </c>
      <c r="AW1683" t="s">
        <v>65</v>
      </c>
      <c r="AX1683" t="s">
        <v>66</v>
      </c>
      <c r="AY1683" t="s">
        <v>76</v>
      </c>
    </row>
    <row r="1684" spans="1:51" hidden="1" x14ac:dyDescent="0.25">
      <c r="A1684">
        <v>406184</v>
      </c>
      <c r="B1684" t="s">
        <v>6327</v>
      </c>
      <c r="C1684" t="e">
        <f>VLOOKUP(A1684,[1]Customer_payment_journal_line!$AL:$BO,30,0)</f>
        <v>#N/A</v>
      </c>
      <c r="D1684" t="s">
        <v>76</v>
      </c>
      <c r="E1684" t="s">
        <v>6328</v>
      </c>
      <c r="F1684" t="s">
        <v>6329</v>
      </c>
      <c r="G1684" t="s">
        <v>6027</v>
      </c>
      <c r="H1684" t="s">
        <v>80</v>
      </c>
      <c r="I1684" t="s">
        <v>81</v>
      </c>
      <c r="J1684" t="s">
        <v>6330</v>
      </c>
      <c r="K1684" t="s">
        <v>6331</v>
      </c>
      <c r="L1684" t="s">
        <v>52</v>
      </c>
      <c r="M1684">
        <v>5643</v>
      </c>
      <c r="N1684">
        <v>0</v>
      </c>
      <c r="O1684" t="s">
        <v>61</v>
      </c>
      <c r="P1684">
        <v>100</v>
      </c>
      <c r="Q1684" t="s">
        <v>52</v>
      </c>
      <c r="R1684" t="s">
        <v>52</v>
      </c>
      <c r="S1684" t="s">
        <v>52</v>
      </c>
      <c r="T1684" t="s">
        <v>52</v>
      </c>
      <c r="U1684" t="s">
        <v>52</v>
      </c>
      <c r="V1684" t="s">
        <v>62</v>
      </c>
      <c r="W1684" t="s">
        <v>52</v>
      </c>
      <c r="Y1684" t="s">
        <v>52</v>
      </c>
      <c r="AB1684" t="s">
        <v>52</v>
      </c>
      <c r="AE1684" t="s">
        <v>52</v>
      </c>
      <c r="AF1684" t="s">
        <v>52</v>
      </c>
      <c r="AH1684">
        <v>0</v>
      </c>
      <c r="AI1684">
        <v>0</v>
      </c>
      <c r="AJ1684" t="s">
        <v>52</v>
      </c>
      <c r="AK1684">
        <v>0</v>
      </c>
      <c r="AL1684" t="s">
        <v>52</v>
      </c>
      <c r="AM1684" t="s">
        <v>52</v>
      </c>
      <c r="AN1684">
        <v>0</v>
      </c>
      <c r="AO1684">
        <v>0</v>
      </c>
      <c r="AP1684" t="s">
        <v>52</v>
      </c>
      <c r="AQ1684" t="s">
        <v>52</v>
      </c>
      <c r="AR1684" t="s">
        <v>62</v>
      </c>
      <c r="AS1684" t="s">
        <v>52</v>
      </c>
      <c r="AT1684" t="s">
        <v>52</v>
      </c>
      <c r="AU1684" t="s">
        <v>64</v>
      </c>
      <c r="AV1684" t="s">
        <v>62</v>
      </c>
      <c r="AW1684" t="s">
        <v>65</v>
      </c>
      <c r="AX1684" t="s">
        <v>66</v>
      </c>
      <c r="AY1684" t="s">
        <v>76</v>
      </c>
    </row>
    <row r="1685" spans="1:51" hidden="1" x14ac:dyDescent="0.25">
      <c r="A1685">
        <v>406184</v>
      </c>
      <c r="B1685" t="s">
        <v>6332</v>
      </c>
      <c r="C1685" t="e">
        <f>VLOOKUP(A1685,[1]Customer_payment_journal_line!$AL:$BO,30,0)</f>
        <v>#N/A</v>
      </c>
      <c r="D1685" t="s">
        <v>76</v>
      </c>
      <c r="E1685" t="s">
        <v>6328</v>
      </c>
      <c r="F1685" t="s">
        <v>6329</v>
      </c>
      <c r="G1685" t="s">
        <v>6027</v>
      </c>
      <c r="H1685" t="s">
        <v>69</v>
      </c>
      <c r="I1685" t="s">
        <v>6333</v>
      </c>
      <c r="J1685" t="s">
        <v>6330</v>
      </c>
      <c r="K1685" t="s">
        <v>6331</v>
      </c>
      <c r="L1685" t="s">
        <v>52</v>
      </c>
      <c r="M1685">
        <v>0</v>
      </c>
      <c r="N1685">
        <v>2280</v>
      </c>
      <c r="O1685" t="s">
        <v>61</v>
      </c>
      <c r="P1685">
        <v>100</v>
      </c>
      <c r="Q1685" t="s">
        <v>52</v>
      </c>
      <c r="R1685" t="s">
        <v>52</v>
      </c>
      <c r="S1685" t="s">
        <v>52</v>
      </c>
      <c r="T1685" t="s">
        <v>52</v>
      </c>
      <c r="U1685" t="s">
        <v>52</v>
      </c>
      <c r="V1685" t="s">
        <v>62</v>
      </c>
      <c r="W1685" t="s">
        <v>52</v>
      </c>
      <c r="Y1685" t="s">
        <v>6334</v>
      </c>
      <c r="Z1685" t="s">
        <v>62</v>
      </c>
      <c r="AB1685" t="s">
        <v>6335</v>
      </c>
      <c r="AE1685" t="s">
        <v>6336</v>
      </c>
      <c r="AF1685" t="s">
        <v>52</v>
      </c>
      <c r="AH1685">
        <v>0</v>
      </c>
      <c r="AI1685">
        <v>0</v>
      </c>
      <c r="AJ1685" t="s">
        <v>52</v>
      </c>
      <c r="AK1685">
        <v>0</v>
      </c>
      <c r="AL1685" t="s">
        <v>52</v>
      </c>
      <c r="AM1685" t="s">
        <v>52</v>
      </c>
      <c r="AN1685">
        <v>0</v>
      </c>
      <c r="AO1685">
        <v>0</v>
      </c>
      <c r="AP1685" t="s">
        <v>52</v>
      </c>
      <c r="AQ1685" t="s">
        <v>52</v>
      </c>
      <c r="AR1685" t="s">
        <v>62</v>
      </c>
      <c r="AS1685" t="s">
        <v>52</v>
      </c>
      <c r="AT1685" t="s">
        <v>74</v>
      </c>
      <c r="AU1685" t="s">
        <v>64</v>
      </c>
      <c r="AV1685" t="s">
        <v>62</v>
      </c>
      <c r="AW1685" t="s">
        <v>65</v>
      </c>
      <c r="AX1685" t="s">
        <v>66</v>
      </c>
      <c r="AY1685" t="s">
        <v>76</v>
      </c>
    </row>
    <row r="1686" spans="1:51" hidden="1" x14ac:dyDescent="0.25">
      <c r="A1686">
        <v>406184</v>
      </c>
      <c r="B1686" t="s">
        <v>6337</v>
      </c>
      <c r="C1686" t="e">
        <f>VLOOKUP(A1686,[1]Customer_payment_journal_line!$AL:$BO,30,0)</f>
        <v>#N/A</v>
      </c>
      <c r="D1686" t="s">
        <v>76</v>
      </c>
      <c r="E1686" t="s">
        <v>6328</v>
      </c>
      <c r="F1686" t="s">
        <v>6329</v>
      </c>
      <c r="G1686" t="s">
        <v>6027</v>
      </c>
      <c r="H1686" t="s">
        <v>69</v>
      </c>
      <c r="I1686" t="s">
        <v>6333</v>
      </c>
      <c r="J1686" t="s">
        <v>6330</v>
      </c>
      <c r="K1686" t="s">
        <v>6331</v>
      </c>
      <c r="L1686" t="s">
        <v>52</v>
      </c>
      <c r="M1686">
        <v>0</v>
      </c>
      <c r="N1686">
        <v>855</v>
      </c>
      <c r="O1686" t="s">
        <v>61</v>
      </c>
      <c r="P1686">
        <v>100</v>
      </c>
      <c r="Q1686" t="s">
        <v>52</v>
      </c>
      <c r="R1686" t="s">
        <v>52</v>
      </c>
      <c r="S1686" t="s">
        <v>52</v>
      </c>
      <c r="T1686" t="s">
        <v>52</v>
      </c>
      <c r="U1686" t="s">
        <v>52</v>
      </c>
      <c r="V1686" t="s">
        <v>62</v>
      </c>
      <c r="W1686" t="s">
        <v>52</v>
      </c>
      <c r="Y1686" t="s">
        <v>6334</v>
      </c>
      <c r="Z1686" t="s">
        <v>62</v>
      </c>
      <c r="AB1686" t="s">
        <v>6338</v>
      </c>
      <c r="AE1686" t="s">
        <v>6339</v>
      </c>
      <c r="AF1686" t="s">
        <v>52</v>
      </c>
      <c r="AH1686">
        <v>0</v>
      </c>
      <c r="AI1686">
        <v>0</v>
      </c>
      <c r="AJ1686" t="s">
        <v>52</v>
      </c>
      <c r="AK1686">
        <v>0</v>
      </c>
      <c r="AL1686" t="s">
        <v>52</v>
      </c>
      <c r="AM1686" t="s">
        <v>52</v>
      </c>
      <c r="AN1686">
        <v>0</v>
      </c>
      <c r="AO1686">
        <v>0</v>
      </c>
      <c r="AP1686" t="s">
        <v>52</v>
      </c>
      <c r="AQ1686" t="s">
        <v>52</v>
      </c>
      <c r="AR1686" t="s">
        <v>62</v>
      </c>
      <c r="AS1686" t="s">
        <v>52</v>
      </c>
      <c r="AT1686" t="s">
        <v>74</v>
      </c>
      <c r="AU1686" t="s">
        <v>64</v>
      </c>
      <c r="AV1686" t="s">
        <v>62</v>
      </c>
      <c r="AW1686" t="s">
        <v>65</v>
      </c>
      <c r="AX1686" t="s">
        <v>66</v>
      </c>
      <c r="AY1686" t="s">
        <v>76</v>
      </c>
    </row>
    <row r="1687" spans="1:51" hidden="1" x14ac:dyDescent="0.25">
      <c r="A1687">
        <v>406184</v>
      </c>
      <c r="B1687" t="s">
        <v>6340</v>
      </c>
      <c r="C1687" t="e">
        <f>VLOOKUP(A1687,[1]Customer_payment_journal_line!$AL:$BO,30,0)</f>
        <v>#N/A</v>
      </c>
      <c r="D1687" t="s">
        <v>76</v>
      </c>
      <c r="E1687" t="s">
        <v>6328</v>
      </c>
      <c r="F1687" t="s">
        <v>6329</v>
      </c>
      <c r="G1687" t="s">
        <v>6027</v>
      </c>
      <c r="H1687" t="s">
        <v>69</v>
      </c>
      <c r="I1687" t="s">
        <v>6333</v>
      </c>
      <c r="J1687" t="s">
        <v>6330</v>
      </c>
      <c r="K1687" t="s">
        <v>6331</v>
      </c>
      <c r="L1687" t="s">
        <v>52</v>
      </c>
      <c r="M1687">
        <v>0</v>
      </c>
      <c r="N1687">
        <v>1653</v>
      </c>
      <c r="O1687" t="s">
        <v>61</v>
      </c>
      <c r="P1687">
        <v>100</v>
      </c>
      <c r="Q1687" t="s">
        <v>52</v>
      </c>
      <c r="R1687" t="s">
        <v>52</v>
      </c>
      <c r="S1687" t="s">
        <v>52</v>
      </c>
      <c r="T1687" t="s">
        <v>52</v>
      </c>
      <c r="U1687" t="s">
        <v>52</v>
      </c>
      <c r="V1687" t="s">
        <v>62</v>
      </c>
      <c r="W1687" t="s">
        <v>52</v>
      </c>
      <c r="Y1687" t="s">
        <v>6334</v>
      </c>
      <c r="Z1687" t="s">
        <v>62</v>
      </c>
      <c r="AB1687" t="s">
        <v>6341</v>
      </c>
      <c r="AE1687" t="s">
        <v>6342</v>
      </c>
      <c r="AF1687" t="s">
        <v>52</v>
      </c>
      <c r="AH1687">
        <v>0</v>
      </c>
      <c r="AI1687">
        <v>0</v>
      </c>
      <c r="AJ1687" t="s">
        <v>52</v>
      </c>
      <c r="AK1687">
        <v>0</v>
      </c>
      <c r="AL1687" t="s">
        <v>52</v>
      </c>
      <c r="AM1687" t="s">
        <v>52</v>
      </c>
      <c r="AN1687">
        <v>0</v>
      </c>
      <c r="AO1687">
        <v>0</v>
      </c>
      <c r="AP1687" t="s">
        <v>52</v>
      </c>
      <c r="AQ1687" t="s">
        <v>52</v>
      </c>
      <c r="AR1687" t="s">
        <v>62</v>
      </c>
      <c r="AS1687" t="s">
        <v>52</v>
      </c>
      <c r="AT1687" t="s">
        <v>74</v>
      </c>
      <c r="AU1687" t="s">
        <v>64</v>
      </c>
      <c r="AV1687" t="s">
        <v>62</v>
      </c>
      <c r="AW1687" t="s">
        <v>65</v>
      </c>
      <c r="AX1687" t="s">
        <v>66</v>
      </c>
      <c r="AY1687" t="s">
        <v>76</v>
      </c>
    </row>
    <row r="1688" spans="1:51" hidden="1" x14ac:dyDescent="0.25">
      <c r="A1688">
        <v>406184</v>
      </c>
      <c r="B1688" t="s">
        <v>6343</v>
      </c>
      <c r="C1688" t="e">
        <f>VLOOKUP(A1688,[1]Customer_payment_journal_line!$AL:$BO,30,0)</f>
        <v>#N/A</v>
      </c>
      <c r="D1688" t="s">
        <v>76</v>
      </c>
      <c r="E1688" t="s">
        <v>6328</v>
      </c>
      <c r="F1688" t="s">
        <v>6329</v>
      </c>
      <c r="G1688" t="s">
        <v>6027</v>
      </c>
      <c r="H1688" t="s">
        <v>69</v>
      </c>
      <c r="I1688" t="s">
        <v>6333</v>
      </c>
      <c r="J1688" t="s">
        <v>6330</v>
      </c>
      <c r="K1688" t="s">
        <v>6331</v>
      </c>
      <c r="L1688" t="s">
        <v>52</v>
      </c>
      <c r="M1688">
        <v>0</v>
      </c>
      <c r="N1688">
        <v>855</v>
      </c>
      <c r="O1688" t="s">
        <v>61</v>
      </c>
      <c r="P1688">
        <v>100</v>
      </c>
      <c r="Q1688" t="s">
        <v>52</v>
      </c>
      <c r="R1688" t="s">
        <v>52</v>
      </c>
      <c r="S1688" t="s">
        <v>52</v>
      </c>
      <c r="T1688" t="s">
        <v>52</v>
      </c>
      <c r="U1688" t="s">
        <v>52</v>
      </c>
      <c r="V1688" t="s">
        <v>62</v>
      </c>
      <c r="W1688" t="s">
        <v>52</v>
      </c>
      <c r="Y1688" t="s">
        <v>6334</v>
      </c>
      <c r="Z1688" t="s">
        <v>62</v>
      </c>
      <c r="AB1688" t="s">
        <v>6344</v>
      </c>
      <c r="AE1688" t="s">
        <v>6345</v>
      </c>
      <c r="AF1688" t="s">
        <v>52</v>
      </c>
      <c r="AH1688">
        <v>0</v>
      </c>
      <c r="AI1688">
        <v>0</v>
      </c>
      <c r="AJ1688" t="s">
        <v>52</v>
      </c>
      <c r="AK1688">
        <v>0</v>
      </c>
      <c r="AL1688" t="s">
        <v>52</v>
      </c>
      <c r="AM1688" t="s">
        <v>52</v>
      </c>
      <c r="AN1688">
        <v>0</v>
      </c>
      <c r="AO1688">
        <v>0</v>
      </c>
      <c r="AP1688" t="s">
        <v>52</v>
      </c>
      <c r="AQ1688" t="s">
        <v>52</v>
      </c>
      <c r="AR1688" t="s">
        <v>62</v>
      </c>
      <c r="AS1688" t="s">
        <v>52</v>
      </c>
      <c r="AT1688" t="s">
        <v>74</v>
      </c>
      <c r="AU1688" t="s">
        <v>64</v>
      </c>
      <c r="AV1688" t="s">
        <v>62</v>
      </c>
      <c r="AW1688" t="s">
        <v>65</v>
      </c>
      <c r="AX1688" t="s">
        <v>66</v>
      </c>
      <c r="AY1688" t="s">
        <v>76</v>
      </c>
    </row>
    <row r="1689" spans="1:51" hidden="1" x14ac:dyDescent="0.25">
      <c r="A1689">
        <v>406185</v>
      </c>
      <c r="B1689" t="s">
        <v>6346</v>
      </c>
      <c r="C1689" t="e">
        <f>VLOOKUP(A1689,[1]Customer_payment_journal_line!$AL:$BO,30,0)</f>
        <v>#N/A</v>
      </c>
      <c r="D1689" t="s">
        <v>76</v>
      </c>
      <c r="E1689" t="s">
        <v>6347</v>
      </c>
      <c r="F1689" t="s">
        <v>6348</v>
      </c>
      <c r="G1689" t="s">
        <v>6027</v>
      </c>
      <c r="H1689" t="s">
        <v>80</v>
      </c>
      <c r="I1689" t="s">
        <v>81</v>
      </c>
      <c r="J1689" t="s">
        <v>5357</v>
      </c>
      <c r="K1689" t="s">
        <v>4333</v>
      </c>
      <c r="L1689" t="s">
        <v>52</v>
      </c>
      <c r="M1689">
        <v>15960</v>
      </c>
      <c r="N1689">
        <v>0</v>
      </c>
      <c r="O1689" t="s">
        <v>61</v>
      </c>
      <c r="P1689">
        <v>100</v>
      </c>
      <c r="Q1689" t="s">
        <v>52</v>
      </c>
      <c r="R1689" t="s">
        <v>52</v>
      </c>
      <c r="S1689" t="s">
        <v>52</v>
      </c>
      <c r="T1689" t="s">
        <v>52</v>
      </c>
      <c r="U1689" t="s">
        <v>52</v>
      </c>
      <c r="V1689" t="s">
        <v>62</v>
      </c>
      <c r="W1689" t="s">
        <v>52</v>
      </c>
      <c r="Y1689" t="s">
        <v>52</v>
      </c>
      <c r="AB1689" t="s">
        <v>52</v>
      </c>
      <c r="AE1689" t="s">
        <v>52</v>
      </c>
      <c r="AF1689" t="s">
        <v>52</v>
      </c>
      <c r="AH1689">
        <v>0</v>
      </c>
      <c r="AI1689">
        <v>0</v>
      </c>
      <c r="AJ1689" t="s">
        <v>52</v>
      </c>
      <c r="AK1689">
        <v>0</v>
      </c>
      <c r="AL1689" t="s">
        <v>52</v>
      </c>
      <c r="AM1689" t="s">
        <v>52</v>
      </c>
      <c r="AN1689">
        <v>0</v>
      </c>
      <c r="AO1689">
        <v>0</v>
      </c>
      <c r="AP1689" t="s">
        <v>52</v>
      </c>
      <c r="AQ1689" t="s">
        <v>52</v>
      </c>
      <c r="AR1689" t="s">
        <v>62</v>
      </c>
      <c r="AS1689" t="s">
        <v>52</v>
      </c>
      <c r="AT1689" t="s">
        <v>52</v>
      </c>
      <c r="AU1689" t="s">
        <v>64</v>
      </c>
      <c r="AV1689" t="s">
        <v>62</v>
      </c>
      <c r="AW1689" t="s">
        <v>65</v>
      </c>
      <c r="AX1689" t="s">
        <v>66</v>
      </c>
      <c r="AY1689" t="s">
        <v>76</v>
      </c>
    </row>
    <row r="1690" spans="1:51" hidden="1" x14ac:dyDescent="0.25">
      <c r="A1690">
        <v>406185</v>
      </c>
      <c r="B1690" t="s">
        <v>6349</v>
      </c>
      <c r="C1690" t="e">
        <f>VLOOKUP(A1690,[1]Customer_payment_journal_line!$AL:$BO,30,0)</f>
        <v>#N/A</v>
      </c>
      <c r="D1690" t="s">
        <v>76</v>
      </c>
      <c r="E1690" t="s">
        <v>6347</v>
      </c>
      <c r="F1690" t="s">
        <v>6348</v>
      </c>
      <c r="G1690" t="s">
        <v>6027</v>
      </c>
      <c r="H1690" t="s">
        <v>69</v>
      </c>
      <c r="I1690" t="s">
        <v>4144</v>
      </c>
      <c r="J1690" t="s">
        <v>5357</v>
      </c>
      <c r="K1690" t="s">
        <v>4333</v>
      </c>
      <c r="L1690" t="s">
        <v>52</v>
      </c>
      <c r="M1690">
        <v>0</v>
      </c>
      <c r="N1690">
        <v>7980</v>
      </c>
      <c r="O1690" t="s">
        <v>61</v>
      </c>
      <c r="P1690">
        <v>100</v>
      </c>
      <c r="Q1690" t="s">
        <v>52</v>
      </c>
      <c r="R1690" t="s">
        <v>52</v>
      </c>
      <c r="S1690" t="s">
        <v>52</v>
      </c>
      <c r="T1690" t="s">
        <v>52</v>
      </c>
      <c r="U1690" t="s">
        <v>52</v>
      </c>
      <c r="V1690" t="s">
        <v>62</v>
      </c>
      <c r="W1690" t="s">
        <v>52</v>
      </c>
      <c r="Y1690" t="s">
        <v>4145</v>
      </c>
      <c r="Z1690" t="s">
        <v>62</v>
      </c>
      <c r="AB1690" t="s">
        <v>6350</v>
      </c>
      <c r="AE1690" t="s">
        <v>6351</v>
      </c>
      <c r="AF1690" t="s">
        <v>52</v>
      </c>
      <c r="AH1690">
        <v>0</v>
      </c>
      <c r="AI1690">
        <v>0</v>
      </c>
      <c r="AJ1690" t="s">
        <v>52</v>
      </c>
      <c r="AK1690">
        <v>0</v>
      </c>
      <c r="AL1690" t="s">
        <v>52</v>
      </c>
      <c r="AM1690" t="s">
        <v>52</v>
      </c>
      <c r="AN1690">
        <v>0</v>
      </c>
      <c r="AO1690">
        <v>0</v>
      </c>
      <c r="AP1690" t="s">
        <v>52</v>
      </c>
      <c r="AQ1690" t="s">
        <v>52</v>
      </c>
      <c r="AR1690" t="s">
        <v>62</v>
      </c>
      <c r="AS1690" t="s">
        <v>52</v>
      </c>
      <c r="AT1690" t="s">
        <v>74</v>
      </c>
      <c r="AU1690" t="s">
        <v>64</v>
      </c>
      <c r="AV1690" t="s">
        <v>62</v>
      </c>
      <c r="AW1690" t="s">
        <v>65</v>
      </c>
      <c r="AX1690" t="s">
        <v>66</v>
      </c>
      <c r="AY1690" t="s">
        <v>76</v>
      </c>
    </row>
    <row r="1691" spans="1:51" hidden="1" x14ac:dyDescent="0.25">
      <c r="A1691">
        <v>406185</v>
      </c>
      <c r="B1691" t="s">
        <v>6352</v>
      </c>
      <c r="C1691" t="e">
        <f>VLOOKUP(A1691,[1]Customer_payment_journal_line!$AL:$BO,30,0)</f>
        <v>#N/A</v>
      </c>
      <c r="D1691" t="s">
        <v>76</v>
      </c>
      <c r="E1691" t="s">
        <v>6347</v>
      </c>
      <c r="F1691" t="s">
        <v>6348</v>
      </c>
      <c r="G1691" t="s">
        <v>6027</v>
      </c>
      <c r="H1691" t="s">
        <v>69</v>
      </c>
      <c r="I1691" t="s">
        <v>4144</v>
      </c>
      <c r="J1691" t="s">
        <v>5357</v>
      </c>
      <c r="K1691" t="s">
        <v>4333</v>
      </c>
      <c r="L1691" t="s">
        <v>52</v>
      </c>
      <c r="M1691">
        <v>0</v>
      </c>
      <c r="N1691">
        <v>7980</v>
      </c>
      <c r="O1691" t="s">
        <v>61</v>
      </c>
      <c r="P1691">
        <v>100</v>
      </c>
      <c r="Q1691" t="s">
        <v>52</v>
      </c>
      <c r="R1691" t="s">
        <v>52</v>
      </c>
      <c r="S1691" t="s">
        <v>52</v>
      </c>
      <c r="T1691" t="s">
        <v>52</v>
      </c>
      <c r="U1691" t="s">
        <v>52</v>
      </c>
      <c r="V1691" t="s">
        <v>62</v>
      </c>
      <c r="W1691" t="s">
        <v>52</v>
      </c>
      <c r="Y1691" t="s">
        <v>4145</v>
      </c>
      <c r="Z1691" t="s">
        <v>62</v>
      </c>
      <c r="AB1691" t="s">
        <v>6353</v>
      </c>
      <c r="AE1691" t="s">
        <v>6354</v>
      </c>
      <c r="AF1691" t="s">
        <v>52</v>
      </c>
      <c r="AH1691">
        <v>0</v>
      </c>
      <c r="AI1691">
        <v>0</v>
      </c>
      <c r="AJ1691" t="s">
        <v>52</v>
      </c>
      <c r="AK1691">
        <v>0</v>
      </c>
      <c r="AL1691" t="s">
        <v>52</v>
      </c>
      <c r="AM1691" t="s">
        <v>52</v>
      </c>
      <c r="AN1691">
        <v>0</v>
      </c>
      <c r="AO1691">
        <v>0</v>
      </c>
      <c r="AP1691" t="s">
        <v>52</v>
      </c>
      <c r="AQ1691" t="s">
        <v>52</v>
      </c>
      <c r="AR1691" t="s">
        <v>62</v>
      </c>
      <c r="AS1691" t="s">
        <v>52</v>
      </c>
      <c r="AT1691" t="s">
        <v>74</v>
      </c>
      <c r="AU1691" t="s">
        <v>64</v>
      </c>
      <c r="AV1691" t="s">
        <v>62</v>
      </c>
      <c r="AW1691" t="s">
        <v>65</v>
      </c>
      <c r="AX1691" t="s">
        <v>66</v>
      </c>
      <c r="AY1691" t="s">
        <v>76</v>
      </c>
    </row>
    <row r="1692" spans="1:51" hidden="1" x14ac:dyDescent="0.25">
      <c r="A1692">
        <v>406189</v>
      </c>
      <c r="B1692" t="s">
        <v>6355</v>
      </c>
      <c r="C1692" t="e">
        <f>VLOOKUP(A1692,[1]Customer_payment_journal_line!$AL:$BO,30,0)</f>
        <v>#N/A</v>
      </c>
      <c r="D1692" t="s">
        <v>76</v>
      </c>
      <c r="E1692" t="s">
        <v>6356</v>
      </c>
      <c r="F1692" t="s">
        <v>6357</v>
      </c>
      <c r="G1692" t="s">
        <v>6027</v>
      </c>
      <c r="H1692" t="s">
        <v>80</v>
      </c>
      <c r="I1692" t="s">
        <v>81</v>
      </c>
      <c r="J1692" t="s">
        <v>6358</v>
      </c>
      <c r="K1692" t="s">
        <v>6359</v>
      </c>
      <c r="L1692" t="s">
        <v>52</v>
      </c>
      <c r="M1692">
        <v>1995</v>
      </c>
      <c r="N1692">
        <v>0</v>
      </c>
      <c r="O1692" t="s">
        <v>61</v>
      </c>
      <c r="P1692">
        <v>100</v>
      </c>
      <c r="Q1692" t="s">
        <v>52</v>
      </c>
      <c r="R1692" t="s">
        <v>52</v>
      </c>
      <c r="S1692" t="s">
        <v>52</v>
      </c>
      <c r="T1692" t="s">
        <v>52</v>
      </c>
      <c r="U1692" t="s">
        <v>52</v>
      </c>
      <c r="V1692" t="s">
        <v>62</v>
      </c>
      <c r="W1692" t="s">
        <v>52</v>
      </c>
      <c r="Y1692" t="s">
        <v>52</v>
      </c>
      <c r="AB1692" t="s">
        <v>52</v>
      </c>
      <c r="AE1692" t="s">
        <v>52</v>
      </c>
      <c r="AF1692" t="s">
        <v>52</v>
      </c>
      <c r="AH1692">
        <v>0</v>
      </c>
      <c r="AI1692">
        <v>0</v>
      </c>
      <c r="AJ1692" t="s">
        <v>52</v>
      </c>
      <c r="AK1692">
        <v>0</v>
      </c>
      <c r="AL1692" t="s">
        <v>52</v>
      </c>
      <c r="AM1692" t="s">
        <v>52</v>
      </c>
      <c r="AN1692">
        <v>0</v>
      </c>
      <c r="AO1692">
        <v>0</v>
      </c>
      <c r="AP1692" t="s">
        <v>52</v>
      </c>
      <c r="AQ1692" t="s">
        <v>52</v>
      </c>
      <c r="AR1692" t="s">
        <v>62</v>
      </c>
      <c r="AS1692" t="s">
        <v>52</v>
      </c>
      <c r="AT1692" t="s">
        <v>52</v>
      </c>
      <c r="AU1692" t="s">
        <v>64</v>
      </c>
      <c r="AV1692" t="s">
        <v>62</v>
      </c>
      <c r="AW1692" t="s">
        <v>65</v>
      </c>
      <c r="AX1692" t="s">
        <v>66</v>
      </c>
      <c r="AY1692" t="s">
        <v>76</v>
      </c>
    </row>
    <row r="1693" spans="1:51" hidden="1" x14ac:dyDescent="0.25">
      <c r="A1693">
        <v>406189</v>
      </c>
      <c r="B1693" t="s">
        <v>6360</v>
      </c>
      <c r="C1693" t="e">
        <f>VLOOKUP(A1693,[1]Customer_payment_journal_line!$AL:$BO,30,0)</f>
        <v>#N/A</v>
      </c>
      <c r="D1693" t="s">
        <v>76</v>
      </c>
      <c r="E1693" t="s">
        <v>6356</v>
      </c>
      <c r="F1693" t="s">
        <v>6357</v>
      </c>
      <c r="G1693" t="s">
        <v>6027</v>
      </c>
      <c r="H1693" t="s">
        <v>69</v>
      </c>
      <c r="I1693" t="s">
        <v>6361</v>
      </c>
      <c r="J1693" t="s">
        <v>6358</v>
      </c>
      <c r="K1693" t="s">
        <v>6359</v>
      </c>
      <c r="L1693" t="s">
        <v>52</v>
      </c>
      <c r="M1693">
        <v>0</v>
      </c>
      <c r="N1693">
        <v>1140</v>
      </c>
      <c r="O1693" t="s">
        <v>61</v>
      </c>
      <c r="P1693">
        <v>100</v>
      </c>
      <c r="Q1693" t="s">
        <v>52</v>
      </c>
      <c r="R1693" t="s">
        <v>52</v>
      </c>
      <c r="S1693" t="s">
        <v>52</v>
      </c>
      <c r="T1693" t="s">
        <v>52</v>
      </c>
      <c r="U1693" t="s">
        <v>52</v>
      </c>
      <c r="V1693" t="s">
        <v>62</v>
      </c>
      <c r="W1693" t="s">
        <v>52</v>
      </c>
      <c r="Y1693" t="s">
        <v>6362</v>
      </c>
      <c r="Z1693" t="s">
        <v>62</v>
      </c>
      <c r="AB1693" t="s">
        <v>6363</v>
      </c>
      <c r="AE1693" t="s">
        <v>6364</v>
      </c>
      <c r="AF1693" t="s">
        <v>52</v>
      </c>
      <c r="AH1693">
        <v>0</v>
      </c>
      <c r="AI1693">
        <v>0</v>
      </c>
      <c r="AJ1693" t="s">
        <v>52</v>
      </c>
      <c r="AK1693">
        <v>0</v>
      </c>
      <c r="AL1693" t="s">
        <v>52</v>
      </c>
      <c r="AM1693" t="s">
        <v>52</v>
      </c>
      <c r="AN1693">
        <v>0</v>
      </c>
      <c r="AO1693">
        <v>0</v>
      </c>
      <c r="AP1693" t="s">
        <v>52</v>
      </c>
      <c r="AQ1693" t="s">
        <v>52</v>
      </c>
      <c r="AR1693" t="s">
        <v>62</v>
      </c>
      <c r="AS1693" t="s">
        <v>52</v>
      </c>
      <c r="AT1693" t="s">
        <v>74</v>
      </c>
      <c r="AU1693" t="s">
        <v>64</v>
      </c>
      <c r="AV1693" t="s">
        <v>62</v>
      </c>
      <c r="AW1693" t="s">
        <v>65</v>
      </c>
      <c r="AX1693" t="s">
        <v>66</v>
      </c>
      <c r="AY1693" t="s">
        <v>76</v>
      </c>
    </row>
    <row r="1694" spans="1:51" hidden="1" x14ac:dyDescent="0.25">
      <c r="A1694">
        <v>406189</v>
      </c>
      <c r="B1694" t="s">
        <v>6365</v>
      </c>
      <c r="C1694" t="e">
        <f>VLOOKUP(A1694,[1]Customer_payment_journal_line!$AL:$BO,30,0)</f>
        <v>#N/A</v>
      </c>
      <c r="D1694" t="s">
        <v>76</v>
      </c>
      <c r="E1694" t="s">
        <v>6356</v>
      </c>
      <c r="F1694" t="s">
        <v>6357</v>
      </c>
      <c r="G1694" t="s">
        <v>6027</v>
      </c>
      <c r="H1694" t="s">
        <v>69</v>
      </c>
      <c r="I1694" t="s">
        <v>6361</v>
      </c>
      <c r="J1694" t="s">
        <v>6358</v>
      </c>
      <c r="K1694" t="s">
        <v>6359</v>
      </c>
      <c r="L1694" t="s">
        <v>52</v>
      </c>
      <c r="M1694">
        <v>0</v>
      </c>
      <c r="N1694">
        <v>855</v>
      </c>
      <c r="O1694" t="s">
        <v>61</v>
      </c>
      <c r="P1694">
        <v>100</v>
      </c>
      <c r="Q1694" t="s">
        <v>52</v>
      </c>
      <c r="R1694" t="s">
        <v>52</v>
      </c>
      <c r="S1694" t="s">
        <v>52</v>
      </c>
      <c r="T1694" t="s">
        <v>52</v>
      </c>
      <c r="U1694" t="s">
        <v>52</v>
      </c>
      <c r="V1694" t="s">
        <v>62</v>
      </c>
      <c r="W1694" t="s">
        <v>52</v>
      </c>
      <c r="Y1694" t="s">
        <v>6362</v>
      </c>
      <c r="Z1694" t="s">
        <v>62</v>
      </c>
      <c r="AB1694" t="s">
        <v>6366</v>
      </c>
      <c r="AE1694" t="s">
        <v>6367</v>
      </c>
      <c r="AF1694" t="s">
        <v>52</v>
      </c>
      <c r="AH1694">
        <v>0</v>
      </c>
      <c r="AI1694">
        <v>0</v>
      </c>
      <c r="AJ1694" t="s">
        <v>52</v>
      </c>
      <c r="AK1694">
        <v>0</v>
      </c>
      <c r="AL1694" t="s">
        <v>52</v>
      </c>
      <c r="AM1694" t="s">
        <v>52</v>
      </c>
      <c r="AN1694">
        <v>0</v>
      </c>
      <c r="AO1694">
        <v>0</v>
      </c>
      <c r="AP1694" t="s">
        <v>52</v>
      </c>
      <c r="AQ1694" t="s">
        <v>52</v>
      </c>
      <c r="AR1694" t="s">
        <v>62</v>
      </c>
      <c r="AS1694" t="s">
        <v>52</v>
      </c>
      <c r="AT1694" t="s">
        <v>74</v>
      </c>
      <c r="AU1694" t="s">
        <v>64</v>
      </c>
      <c r="AV1694" t="s">
        <v>62</v>
      </c>
      <c r="AW1694" t="s">
        <v>65</v>
      </c>
      <c r="AX1694" t="s">
        <v>66</v>
      </c>
      <c r="AY1694" t="s">
        <v>76</v>
      </c>
    </row>
    <row r="1695" spans="1:51" hidden="1" x14ac:dyDescent="0.25">
      <c r="A1695">
        <v>406197</v>
      </c>
      <c r="B1695" t="s">
        <v>6368</v>
      </c>
      <c r="C1695" t="e">
        <f>VLOOKUP(A1695,[1]Customer_payment_journal_line!$AL:$BO,30,0)</f>
        <v>#N/A</v>
      </c>
      <c r="D1695" t="s">
        <v>76</v>
      </c>
      <c r="E1695" t="s">
        <v>6369</v>
      </c>
      <c r="F1695" t="s">
        <v>6370</v>
      </c>
      <c r="G1695" t="s">
        <v>6027</v>
      </c>
      <c r="H1695" t="s">
        <v>80</v>
      </c>
      <c r="I1695" t="s">
        <v>81</v>
      </c>
      <c r="J1695" t="s">
        <v>4141</v>
      </c>
      <c r="K1695" t="s">
        <v>6371</v>
      </c>
      <c r="L1695" t="s">
        <v>52</v>
      </c>
      <c r="M1695">
        <v>2280</v>
      </c>
      <c r="N1695">
        <v>0</v>
      </c>
      <c r="O1695" t="s">
        <v>61</v>
      </c>
      <c r="P1695">
        <v>100</v>
      </c>
      <c r="Q1695" t="s">
        <v>52</v>
      </c>
      <c r="R1695" t="s">
        <v>52</v>
      </c>
      <c r="S1695" t="s">
        <v>52</v>
      </c>
      <c r="T1695" t="s">
        <v>52</v>
      </c>
      <c r="U1695" t="s">
        <v>52</v>
      </c>
      <c r="V1695" t="s">
        <v>62</v>
      </c>
      <c r="W1695" t="s">
        <v>52</v>
      </c>
      <c r="Y1695" t="s">
        <v>52</v>
      </c>
      <c r="AB1695" t="s">
        <v>52</v>
      </c>
      <c r="AE1695" t="s">
        <v>52</v>
      </c>
      <c r="AF1695" t="s">
        <v>52</v>
      </c>
      <c r="AH1695">
        <v>0</v>
      </c>
      <c r="AI1695">
        <v>0</v>
      </c>
      <c r="AJ1695" t="s">
        <v>52</v>
      </c>
      <c r="AK1695">
        <v>0</v>
      </c>
      <c r="AL1695" t="s">
        <v>52</v>
      </c>
      <c r="AM1695" t="s">
        <v>52</v>
      </c>
      <c r="AN1695">
        <v>0</v>
      </c>
      <c r="AO1695">
        <v>0</v>
      </c>
      <c r="AP1695" t="s">
        <v>52</v>
      </c>
      <c r="AQ1695" t="s">
        <v>52</v>
      </c>
      <c r="AR1695" t="s">
        <v>62</v>
      </c>
      <c r="AS1695" t="s">
        <v>52</v>
      </c>
      <c r="AT1695" t="s">
        <v>52</v>
      </c>
      <c r="AU1695" t="s">
        <v>64</v>
      </c>
      <c r="AV1695" t="s">
        <v>62</v>
      </c>
      <c r="AW1695" t="s">
        <v>65</v>
      </c>
      <c r="AX1695" t="s">
        <v>66</v>
      </c>
      <c r="AY1695" t="s">
        <v>76</v>
      </c>
    </row>
    <row r="1696" spans="1:51" hidden="1" x14ac:dyDescent="0.25">
      <c r="A1696">
        <v>406197</v>
      </c>
      <c r="B1696" t="s">
        <v>6372</v>
      </c>
      <c r="C1696" t="e">
        <f>VLOOKUP(A1696,[1]Customer_payment_journal_line!$AL:$BO,30,0)</f>
        <v>#N/A</v>
      </c>
      <c r="D1696" t="s">
        <v>76</v>
      </c>
      <c r="E1696" t="s">
        <v>6369</v>
      </c>
      <c r="F1696" t="s">
        <v>6370</v>
      </c>
      <c r="G1696" t="s">
        <v>6027</v>
      </c>
      <c r="H1696" t="s">
        <v>69</v>
      </c>
      <c r="I1696" t="s">
        <v>4144</v>
      </c>
      <c r="J1696" t="s">
        <v>4141</v>
      </c>
      <c r="K1696" t="s">
        <v>6371</v>
      </c>
      <c r="L1696" t="s">
        <v>52</v>
      </c>
      <c r="M1696">
        <v>0</v>
      </c>
      <c r="N1696">
        <v>855</v>
      </c>
      <c r="O1696" t="s">
        <v>61</v>
      </c>
      <c r="P1696">
        <v>100</v>
      </c>
      <c r="Q1696" t="s">
        <v>52</v>
      </c>
      <c r="R1696" t="s">
        <v>52</v>
      </c>
      <c r="S1696" t="s">
        <v>52</v>
      </c>
      <c r="T1696" t="s">
        <v>52</v>
      </c>
      <c r="U1696" t="s">
        <v>52</v>
      </c>
      <c r="V1696" t="s">
        <v>62</v>
      </c>
      <c r="W1696" t="s">
        <v>52</v>
      </c>
      <c r="Y1696" t="s">
        <v>4145</v>
      </c>
      <c r="Z1696" t="s">
        <v>62</v>
      </c>
      <c r="AB1696" t="s">
        <v>6373</v>
      </c>
      <c r="AE1696" t="s">
        <v>6374</v>
      </c>
      <c r="AF1696" t="s">
        <v>52</v>
      </c>
      <c r="AH1696">
        <v>0</v>
      </c>
      <c r="AI1696">
        <v>0</v>
      </c>
      <c r="AJ1696" t="s">
        <v>52</v>
      </c>
      <c r="AK1696">
        <v>0</v>
      </c>
      <c r="AL1696" t="s">
        <v>52</v>
      </c>
      <c r="AM1696" t="s">
        <v>52</v>
      </c>
      <c r="AN1696">
        <v>0</v>
      </c>
      <c r="AO1696">
        <v>0</v>
      </c>
      <c r="AP1696" t="s">
        <v>52</v>
      </c>
      <c r="AQ1696" t="s">
        <v>52</v>
      </c>
      <c r="AR1696" t="s">
        <v>62</v>
      </c>
      <c r="AS1696" t="s">
        <v>52</v>
      </c>
      <c r="AT1696" t="s">
        <v>74</v>
      </c>
      <c r="AU1696" t="s">
        <v>64</v>
      </c>
      <c r="AV1696" t="s">
        <v>62</v>
      </c>
      <c r="AW1696" t="s">
        <v>65</v>
      </c>
      <c r="AX1696" t="s">
        <v>66</v>
      </c>
      <c r="AY1696" t="s">
        <v>76</v>
      </c>
    </row>
    <row r="1697" spans="1:51" hidden="1" x14ac:dyDescent="0.25">
      <c r="A1697">
        <v>406197</v>
      </c>
      <c r="B1697" t="s">
        <v>6375</v>
      </c>
      <c r="C1697" t="e">
        <f>VLOOKUP(A1697,[1]Customer_payment_journal_line!$AL:$BO,30,0)</f>
        <v>#N/A</v>
      </c>
      <c r="D1697" t="s">
        <v>76</v>
      </c>
      <c r="E1697" t="s">
        <v>6369</v>
      </c>
      <c r="F1697" t="s">
        <v>6370</v>
      </c>
      <c r="G1697" t="s">
        <v>6027</v>
      </c>
      <c r="H1697" t="s">
        <v>69</v>
      </c>
      <c r="I1697" t="s">
        <v>4144</v>
      </c>
      <c r="J1697" t="s">
        <v>4141</v>
      </c>
      <c r="K1697" t="s">
        <v>6371</v>
      </c>
      <c r="L1697" t="s">
        <v>52</v>
      </c>
      <c r="M1697">
        <v>0</v>
      </c>
      <c r="N1697">
        <v>1425</v>
      </c>
      <c r="O1697" t="s">
        <v>61</v>
      </c>
      <c r="P1697">
        <v>100</v>
      </c>
      <c r="Q1697" t="s">
        <v>52</v>
      </c>
      <c r="R1697" t="s">
        <v>52</v>
      </c>
      <c r="S1697" t="s">
        <v>52</v>
      </c>
      <c r="T1697" t="s">
        <v>52</v>
      </c>
      <c r="U1697" t="s">
        <v>52</v>
      </c>
      <c r="V1697" t="s">
        <v>62</v>
      </c>
      <c r="W1697" t="s">
        <v>52</v>
      </c>
      <c r="Y1697" t="s">
        <v>4145</v>
      </c>
      <c r="Z1697" t="s">
        <v>62</v>
      </c>
      <c r="AB1697" t="s">
        <v>6376</v>
      </c>
      <c r="AE1697" t="s">
        <v>6377</v>
      </c>
      <c r="AF1697" t="s">
        <v>52</v>
      </c>
      <c r="AH1697">
        <v>0</v>
      </c>
      <c r="AI1697">
        <v>0</v>
      </c>
      <c r="AJ1697" t="s">
        <v>52</v>
      </c>
      <c r="AK1697">
        <v>0</v>
      </c>
      <c r="AL1697" t="s">
        <v>52</v>
      </c>
      <c r="AM1697" t="s">
        <v>52</v>
      </c>
      <c r="AN1697">
        <v>0</v>
      </c>
      <c r="AO1697">
        <v>0</v>
      </c>
      <c r="AP1697" t="s">
        <v>52</v>
      </c>
      <c r="AQ1697" t="s">
        <v>52</v>
      </c>
      <c r="AR1697" t="s">
        <v>62</v>
      </c>
      <c r="AS1697" t="s">
        <v>52</v>
      </c>
      <c r="AT1697" t="s">
        <v>74</v>
      </c>
      <c r="AU1697" t="s">
        <v>64</v>
      </c>
      <c r="AV1697" t="s">
        <v>62</v>
      </c>
      <c r="AW1697" t="s">
        <v>65</v>
      </c>
      <c r="AX1697" t="s">
        <v>66</v>
      </c>
      <c r="AY1697" t="s">
        <v>76</v>
      </c>
    </row>
    <row r="1698" spans="1:51" hidden="1" x14ac:dyDescent="0.25">
      <c r="A1698">
        <v>406201</v>
      </c>
      <c r="B1698" t="s">
        <v>6378</v>
      </c>
      <c r="C1698" t="e">
        <f>VLOOKUP(A1698,[1]Customer_payment_journal_line!$AL:$BO,30,0)</f>
        <v>#N/A</v>
      </c>
      <c r="D1698" t="s">
        <v>76</v>
      </c>
      <c r="E1698" t="s">
        <v>6379</v>
      </c>
      <c r="F1698" t="s">
        <v>6380</v>
      </c>
      <c r="G1698" t="s">
        <v>6027</v>
      </c>
      <c r="H1698" t="s">
        <v>80</v>
      </c>
      <c r="I1698" t="s">
        <v>81</v>
      </c>
      <c r="J1698" t="s">
        <v>6381</v>
      </c>
      <c r="K1698" t="s">
        <v>6382</v>
      </c>
      <c r="L1698" t="s">
        <v>52</v>
      </c>
      <c r="M1698">
        <v>5415</v>
      </c>
      <c r="N1698">
        <v>0</v>
      </c>
      <c r="O1698" t="s">
        <v>61</v>
      </c>
      <c r="P1698">
        <v>100</v>
      </c>
      <c r="Q1698" t="s">
        <v>52</v>
      </c>
      <c r="R1698" t="s">
        <v>52</v>
      </c>
      <c r="S1698" t="s">
        <v>52</v>
      </c>
      <c r="T1698" t="s">
        <v>52</v>
      </c>
      <c r="U1698" t="s">
        <v>52</v>
      </c>
      <c r="V1698" t="s">
        <v>62</v>
      </c>
      <c r="W1698" t="s">
        <v>52</v>
      </c>
      <c r="Y1698" t="s">
        <v>52</v>
      </c>
      <c r="AB1698" t="s">
        <v>52</v>
      </c>
      <c r="AE1698" t="s">
        <v>52</v>
      </c>
      <c r="AF1698" t="s">
        <v>52</v>
      </c>
      <c r="AH1698">
        <v>0</v>
      </c>
      <c r="AI1698">
        <v>0</v>
      </c>
      <c r="AJ1698" t="s">
        <v>52</v>
      </c>
      <c r="AK1698">
        <v>0</v>
      </c>
      <c r="AL1698" t="s">
        <v>52</v>
      </c>
      <c r="AM1698" t="s">
        <v>52</v>
      </c>
      <c r="AN1698">
        <v>0</v>
      </c>
      <c r="AO1698">
        <v>0</v>
      </c>
      <c r="AP1698" t="s">
        <v>52</v>
      </c>
      <c r="AQ1698" t="s">
        <v>52</v>
      </c>
      <c r="AR1698" t="s">
        <v>62</v>
      </c>
      <c r="AS1698" t="s">
        <v>52</v>
      </c>
      <c r="AT1698" t="s">
        <v>52</v>
      </c>
      <c r="AU1698" t="s">
        <v>64</v>
      </c>
      <c r="AV1698" t="s">
        <v>62</v>
      </c>
      <c r="AW1698" t="s">
        <v>65</v>
      </c>
      <c r="AX1698" t="s">
        <v>66</v>
      </c>
      <c r="AY1698" t="s">
        <v>76</v>
      </c>
    </row>
    <row r="1699" spans="1:51" hidden="1" x14ac:dyDescent="0.25">
      <c r="A1699">
        <v>406201</v>
      </c>
      <c r="B1699" t="s">
        <v>6383</v>
      </c>
      <c r="C1699" t="e">
        <f>VLOOKUP(A1699,[1]Customer_payment_journal_line!$AL:$BO,30,0)</f>
        <v>#N/A</v>
      </c>
      <c r="D1699" t="s">
        <v>76</v>
      </c>
      <c r="E1699" t="s">
        <v>6379</v>
      </c>
      <c r="F1699" t="s">
        <v>6380</v>
      </c>
      <c r="G1699" t="s">
        <v>6027</v>
      </c>
      <c r="H1699" t="s">
        <v>69</v>
      </c>
      <c r="I1699" t="s">
        <v>6384</v>
      </c>
      <c r="J1699" t="s">
        <v>6381</v>
      </c>
      <c r="K1699" t="s">
        <v>6382</v>
      </c>
      <c r="L1699" t="s">
        <v>52</v>
      </c>
      <c r="M1699">
        <v>0</v>
      </c>
      <c r="N1699">
        <v>855</v>
      </c>
      <c r="O1699" t="s">
        <v>61</v>
      </c>
      <c r="P1699">
        <v>100</v>
      </c>
      <c r="Q1699" t="s">
        <v>52</v>
      </c>
      <c r="R1699" t="s">
        <v>52</v>
      </c>
      <c r="S1699" t="s">
        <v>52</v>
      </c>
      <c r="T1699" t="s">
        <v>52</v>
      </c>
      <c r="U1699" t="s">
        <v>52</v>
      </c>
      <c r="V1699" t="s">
        <v>62</v>
      </c>
      <c r="W1699" t="s">
        <v>52</v>
      </c>
      <c r="Y1699" t="s">
        <v>6385</v>
      </c>
      <c r="Z1699" t="s">
        <v>62</v>
      </c>
      <c r="AB1699" t="s">
        <v>6386</v>
      </c>
      <c r="AE1699" t="s">
        <v>6387</v>
      </c>
      <c r="AF1699" t="s">
        <v>52</v>
      </c>
      <c r="AH1699">
        <v>0</v>
      </c>
      <c r="AI1699">
        <v>0</v>
      </c>
      <c r="AJ1699" t="s">
        <v>52</v>
      </c>
      <c r="AK1699">
        <v>0</v>
      </c>
      <c r="AL1699" t="s">
        <v>52</v>
      </c>
      <c r="AM1699" t="s">
        <v>52</v>
      </c>
      <c r="AN1699">
        <v>0</v>
      </c>
      <c r="AO1699">
        <v>0</v>
      </c>
      <c r="AP1699" t="s">
        <v>52</v>
      </c>
      <c r="AQ1699" t="s">
        <v>52</v>
      </c>
      <c r="AR1699" t="s">
        <v>62</v>
      </c>
      <c r="AS1699" t="s">
        <v>52</v>
      </c>
      <c r="AT1699" t="s">
        <v>74</v>
      </c>
      <c r="AU1699" t="s">
        <v>64</v>
      </c>
      <c r="AV1699" t="s">
        <v>62</v>
      </c>
      <c r="AW1699" t="s">
        <v>65</v>
      </c>
      <c r="AX1699" t="s">
        <v>66</v>
      </c>
      <c r="AY1699" t="s">
        <v>76</v>
      </c>
    </row>
    <row r="1700" spans="1:51" hidden="1" x14ac:dyDescent="0.25">
      <c r="A1700">
        <v>406201</v>
      </c>
      <c r="B1700" t="s">
        <v>6388</v>
      </c>
      <c r="C1700" t="e">
        <f>VLOOKUP(A1700,[1]Customer_payment_journal_line!$AL:$BO,30,0)</f>
        <v>#N/A</v>
      </c>
      <c r="D1700" t="s">
        <v>76</v>
      </c>
      <c r="E1700" t="s">
        <v>6379</v>
      </c>
      <c r="F1700" t="s">
        <v>6380</v>
      </c>
      <c r="G1700" t="s">
        <v>6027</v>
      </c>
      <c r="H1700" t="s">
        <v>69</v>
      </c>
      <c r="I1700" t="s">
        <v>6384</v>
      </c>
      <c r="J1700" t="s">
        <v>6381</v>
      </c>
      <c r="K1700" t="s">
        <v>6382</v>
      </c>
      <c r="L1700" t="s">
        <v>52</v>
      </c>
      <c r="M1700">
        <v>0</v>
      </c>
      <c r="N1700">
        <v>4560</v>
      </c>
      <c r="O1700" t="s">
        <v>61</v>
      </c>
      <c r="P1700">
        <v>100</v>
      </c>
      <c r="Q1700" t="s">
        <v>52</v>
      </c>
      <c r="R1700" t="s">
        <v>52</v>
      </c>
      <c r="S1700" t="s">
        <v>52</v>
      </c>
      <c r="T1700" t="s">
        <v>52</v>
      </c>
      <c r="U1700" t="s">
        <v>52</v>
      </c>
      <c r="V1700" t="s">
        <v>62</v>
      </c>
      <c r="W1700" t="s">
        <v>52</v>
      </c>
      <c r="Y1700" t="s">
        <v>6385</v>
      </c>
      <c r="Z1700" t="s">
        <v>62</v>
      </c>
      <c r="AB1700" t="s">
        <v>6389</v>
      </c>
      <c r="AE1700" t="s">
        <v>6390</v>
      </c>
      <c r="AF1700" t="s">
        <v>52</v>
      </c>
      <c r="AH1700">
        <v>0</v>
      </c>
      <c r="AI1700">
        <v>0</v>
      </c>
      <c r="AJ1700" t="s">
        <v>52</v>
      </c>
      <c r="AK1700">
        <v>0</v>
      </c>
      <c r="AL1700" t="s">
        <v>52</v>
      </c>
      <c r="AM1700" t="s">
        <v>52</v>
      </c>
      <c r="AN1700">
        <v>0</v>
      </c>
      <c r="AO1700">
        <v>0</v>
      </c>
      <c r="AP1700" t="s">
        <v>52</v>
      </c>
      <c r="AQ1700" t="s">
        <v>52</v>
      </c>
      <c r="AR1700" t="s">
        <v>62</v>
      </c>
      <c r="AS1700" t="s">
        <v>52</v>
      </c>
      <c r="AT1700" t="s">
        <v>74</v>
      </c>
      <c r="AU1700" t="s">
        <v>64</v>
      </c>
      <c r="AV1700" t="s">
        <v>62</v>
      </c>
      <c r="AW1700" t="s">
        <v>65</v>
      </c>
      <c r="AX1700" t="s">
        <v>66</v>
      </c>
      <c r="AY1700" t="s">
        <v>76</v>
      </c>
    </row>
    <row r="1701" spans="1:51" hidden="1" x14ac:dyDescent="0.25">
      <c r="A1701">
        <v>406202</v>
      </c>
      <c r="B1701" t="s">
        <v>6391</v>
      </c>
      <c r="C1701" t="e">
        <f>VLOOKUP(A1701,[1]Customer_payment_journal_line!$AL:$BO,30,0)</f>
        <v>#N/A</v>
      </c>
      <c r="D1701" t="s">
        <v>159</v>
      </c>
      <c r="E1701" t="s">
        <v>6392</v>
      </c>
      <c r="F1701" t="s">
        <v>6393</v>
      </c>
      <c r="G1701" t="s">
        <v>6027</v>
      </c>
      <c r="H1701" t="s">
        <v>80</v>
      </c>
      <c r="I1701" t="s">
        <v>816</v>
      </c>
      <c r="J1701" t="s">
        <v>4141</v>
      </c>
      <c r="K1701" t="s">
        <v>6371</v>
      </c>
      <c r="L1701" t="s">
        <v>52</v>
      </c>
      <c r="M1701">
        <v>50</v>
      </c>
      <c r="N1701">
        <v>0</v>
      </c>
      <c r="O1701" t="s">
        <v>178</v>
      </c>
      <c r="P1701">
        <v>5085</v>
      </c>
      <c r="Q1701" t="s">
        <v>52</v>
      </c>
      <c r="R1701" t="s">
        <v>52</v>
      </c>
      <c r="S1701" t="s">
        <v>52</v>
      </c>
      <c r="T1701" t="s">
        <v>52</v>
      </c>
      <c r="U1701" t="s">
        <v>52</v>
      </c>
      <c r="V1701" t="s">
        <v>62</v>
      </c>
      <c r="W1701" t="s">
        <v>52</v>
      </c>
      <c r="Y1701" t="s">
        <v>52</v>
      </c>
      <c r="AB1701" t="s">
        <v>52</v>
      </c>
      <c r="AE1701" t="s">
        <v>52</v>
      </c>
      <c r="AF1701" t="s">
        <v>52</v>
      </c>
      <c r="AH1701">
        <v>0</v>
      </c>
      <c r="AI1701">
        <v>0</v>
      </c>
      <c r="AJ1701" t="s">
        <v>52</v>
      </c>
      <c r="AK1701">
        <v>0</v>
      </c>
      <c r="AL1701" t="s">
        <v>52</v>
      </c>
      <c r="AM1701" t="s">
        <v>52</v>
      </c>
      <c r="AN1701">
        <v>0</v>
      </c>
      <c r="AO1701">
        <v>0</v>
      </c>
      <c r="AP1701" t="s">
        <v>52</v>
      </c>
      <c r="AQ1701" t="s">
        <v>52</v>
      </c>
      <c r="AR1701" t="s">
        <v>62</v>
      </c>
      <c r="AS1701" t="s">
        <v>52</v>
      </c>
      <c r="AT1701" t="s">
        <v>52</v>
      </c>
      <c r="AU1701" t="s">
        <v>64</v>
      </c>
      <c r="AV1701" t="s">
        <v>62</v>
      </c>
      <c r="AW1701" t="s">
        <v>65</v>
      </c>
      <c r="AX1701" t="s">
        <v>66</v>
      </c>
      <c r="AY1701" t="s">
        <v>165</v>
      </c>
    </row>
    <row r="1702" spans="1:51" hidden="1" x14ac:dyDescent="0.25">
      <c r="A1702">
        <v>406202</v>
      </c>
      <c r="B1702" t="s">
        <v>6394</v>
      </c>
      <c r="C1702" t="e">
        <f>VLOOKUP(A1702,[1]Customer_payment_journal_line!$AL:$BO,30,0)</f>
        <v>#N/A</v>
      </c>
      <c r="D1702" t="s">
        <v>159</v>
      </c>
      <c r="E1702" t="s">
        <v>6392</v>
      </c>
      <c r="F1702" t="s">
        <v>6393</v>
      </c>
      <c r="G1702" t="s">
        <v>6027</v>
      </c>
      <c r="H1702" t="s">
        <v>69</v>
      </c>
      <c r="I1702" t="s">
        <v>4144</v>
      </c>
      <c r="J1702" t="s">
        <v>4141</v>
      </c>
      <c r="K1702" t="s">
        <v>6371</v>
      </c>
      <c r="L1702" t="s">
        <v>52</v>
      </c>
      <c r="M1702">
        <v>0</v>
      </c>
      <c r="N1702">
        <v>50</v>
      </c>
      <c r="O1702" t="s">
        <v>178</v>
      </c>
      <c r="P1702">
        <v>5085</v>
      </c>
      <c r="Q1702" t="s">
        <v>52</v>
      </c>
      <c r="R1702" t="s">
        <v>52</v>
      </c>
      <c r="S1702" t="s">
        <v>52</v>
      </c>
      <c r="T1702" t="s">
        <v>52</v>
      </c>
      <c r="U1702" t="s">
        <v>52</v>
      </c>
      <c r="V1702" t="s">
        <v>62</v>
      </c>
      <c r="W1702" t="s">
        <v>52</v>
      </c>
      <c r="Y1702" t="s">
        <v>4145</v>
      </c>
      <c r="Z1702" t="s">
        <v>62</v>
      </c>
      <c r="AB1702" t="s">
        <v>6395</v>
      </c>
      <c r="AE1702" t="s">
        <v>6396</v>
      </c>
      <c r="AF1702" t="s">
        <v>52</v>
      </c>
      <c r="AH1702">
        <v>0</v>
      </c>
      <c r="AI1702">
        <v>0</v>
      </c>
      <c r="AJ1702" t="s">
        <v>52</v>
      </c>
      <c r="AK1702">
        <v>0</v>
      </c>
      <c r="AL1702" t="s">
        <v>52</v>
      </c>
      <c r="AM1702" t="s">
        <v>52</v>
      </c>
      <c r="AN1702">
        <v>0</v>
      </c>
      <c r="AO1702">
        <v>0</v>
      </c>
      <c r="AP1702" t="s">
        <v>52</v>
      </c>
      <c r="AQ1702" t="s">
        <v>52</v>
      </c>
      <c r="AR1702" t="s">
        <v>62</v>
      </c>
      <c r="AS1702" t="s">
        <v>52</v>
      </c>
      <c r="AT1702" t="s">
        <v>74</v>
      </c>
      <c r="AU1702" t="s">
        <v>64</v>
      </c>
      <c r="AV1702" t="s">
        <v>62</v>
      </c>
      <c r="AW1702" t="s">
        <v>65</v>
      </c>
      <c r="AX1702" t="s">
        <v>66</v>
      </c>
      <c r="AY1702" t="s">
        <v>165</v>
      </c>
    </row>
    <row r="1703" spans="1:51" hidden="1" x14ac:dyDescent="0.25">
      <c r="A1703">
        <v>203561</v>
      </c>
      <c r="B1703" t="s">
        <v>6397</v>
      </c>
      <c r="C1703" t="e">
        <f>VLOOKUP(A1703,[1]Customer_payment_journal_line!$AL:$BO,30,0)</f>
        <v>#N/A</v>
      </c>
      <c r="D1703" t="s">
        <v>159</v>
      </c>
      <c r="E1703" t="s">
        <v>6398</v>
      </c>
      <c r="F1703" t="s">
        <v>6399</v>
      </c>
      <c r="G1703" t="s">
        <v>6027</v>
      </c>
      <c r="H1703" t="s">
        <v>80</v>
      </c>
      <c r="I1703" t="s">
        <v>1278</v>
      </c>
      <c r="J1703" t="s">
        <v>6400</v>
      </c>
      <c r="K1703" t="s">
        <v>6401</v>
      </c>
      <c r="L1703" t="s">
        <v>52</v>
      </c>
      <c r="M1703">
        <v>2535</v>
      </c>
      <c r="N1703">
        <v>0</v>
      </c>
      <c r="O1703" t="s">
        <v>126</v>
      </c>
      <c r="P1703">
        <v>5285</v>
      </c>
      <c r="Q1703" t="s">
        <v>52</v>
      </c>
      <c r="R1703" t="s">
        <v>52</v>
      </c>
      <c r="S1703" t="s">
        <v>52</v>
      </c>
      <c r="T1703" t="s">
        <v>52</v>
      </c>
      <c r="U1703" t="s">
        <v>52</v>
      </c>
      <c r="V1703" t="s">
        <v>62</v>
      </c>
      <c r="W1703" t="s">
        <v>52</v>
      </c>
      <c r="Y1703" t="s">
        <v>52</v>
      </c>
      <c r="AB1703" t="s">
        <v>52</v>
      </c>
      <c r="AE1703" t="s">
        <v>52</v>
      </c>
      <c r="AF1703" t="s">
        <v>52</v>
      </c>
      <c r="AH1703">
        <v>0</v>
      </c>
      <c r="AI1703">
        <v>0</v>
      </c>
      <c r="AJ1703" t="s">
        <v>52</v>
      </c>
      <c r="AK1703">
        <v>0</v>
      </c>
      <c r="AL1703" t="s">
        <v>52</v>
      </c>
      <c r="AM1703" t="s">
        <v>52</v>
      </c>
      <c r="AN1703">
        <v>0</v>
      </c>
      <c r="AO1703">
        <v>0</v>
      </c>
      <c r="AP1703" t="s">
        <v>52</v>
      </c>
      <c r="AQ1703" t="s">
        <v>52</v>
      </c>
      <c r="AR1703" t="s">
        <v>62</v>
      </c>
      <c r="AS1703" t="s">
        <v>52</v>
      </c>
      <c r="AT1703" t="s">
        <v>52</v>
      </c>
      <c r="AU1703" t="s">
        <v>64</v>
      </c>
      <c r="AV1703" t="s">
        <v>62</v>
      </c>
      <c r="AW1703" t="s">
        <v>65</v>
      </c>
      <c r="AX1703" t="s">
        <v>66</v>
      </c>
      <c r="AY1703" t="s">
        <v>165</v>
      </c>
    </row>
    <row r="1704" spans="1:51" hidden="1" x14ac:dyDescent="0.25">
      <c r="A1704">
        <v>203561</v>
      </c>
      <c r="B1704" t="s">
        <v>6402</v>
      </c>
      <c r="C1704" t="e">
        <f>VLOOKUP(A1704,[1]Customer_payment_journal_line!$AL:$BO,30,0)</f>
        <v>#N/A</v>
      </c>
      <c r="D1704" t="s">
        <v>159</v>
      </c>
      <c r="E1704" t="s">
        <v>6398</v>
      </c>
      <c r="F1704" t="s">
        <v>6399</v>
      </c>
      <c r="G1704" t="s">
        <v>6027</v>
      </c>
      <c r="H1704" t="s">
        <v>69</v>
      </c>
      <c r="I1704" t="s">
        <v>6403</v>
      </c>
      <c r="J1704" t="s">
        <v>6400</v>
      </c>
      <c r="K1704" t="s">
        <v>6401</v>
      </c>
      <c r="L1704" t="s">
        <v>52</v>
      </c>
      <c r="M1704">
        <v>0</v>
      </c>
      <c r="N1704">
        <v>2535</v>
      </c>
      <c r="O1704" t="s">
        <v>126</v>
      </c>
      <c r="P1704">
        <v>5285</v>
      </c>
      <c r="Q1704" t="s">
        <v>52</v>
      </c>
      <c r="R1704" t="s">
        <v>52</v>
      </c>
      <c r="S1704" t="s">
        <v>52</v>
      </c>
      <c r="T1704" t="s">
        <v>52</v>
      </c>
      <c r="U1704" t="s">
        <v>52</v>
      </c>
      <c r="V1704" t="s">
        <v>62</v>
      </c>
      <c r="W1704" t="s">
        <v>52</v>
      </c>
      <c r="Y1704" t="s">
        <v>6404</v>
      </c>
      <c r="Z1704" t="s">
        <v>62</v>
      </c>
      <c r="AB1704" t="s">
        <v>6405</v>
      </c>
      <c r="AE1704" t="s">
        <v>6406</v>
      </c>
      <c r="AF1704" t="s">
        <v>52</v>
      </c>
      <c r="AH1704">
        <v>0</v>
      </c>
      <c r="AI1704">
        <v>0</v>
      </c>
      <c r="AJ1704" t="s">
        <v>52</v>
      </c>
      <c r="AK1704">
        <v>0</v>
      </c>
      <c r="AL1704" t="s">
        <v>52</v>
      </c>
      <c r="AM1704" t="s">
        <v>52</v>
      </c>
      <c r="AN1704">
        <v>0</v>
      </c>
      <c r="AO1704">
        <v>0</v>
      </c>
      <c r="AP1704" t="s">
        <v>52</v>
      </c>
      <c r="AQ1704" t="s">
        <v>52</v>
      </c>
      <c r="AR1704" t="s">
        <v>62</v>
      </c>
      <c r="AS1704" t="s">
        <v>52</v>
      </c>
      <c r="AT1704" t="s">
        <v>74</v>
      </c>
      <c r="AU1704" t="s">
        <v>64</v>
      </c>
      <c r="AV1704" t="s">
        <v>62</v>
      </c>
      <c r="AW1704" t="s">
        <v>65</v>
      </c>
      <c r="AX1704" t="s">
        <v>66</v>
      </c>
      <c r="AY1704" t="s">
        <v>165</v>
      </c>
    </row>
    <row r="1705" spans="1:51" hidden="1" x14ac:dyDescent="0.25">
      <c r="A1705">
        <v>203562</v>
      </c>
      <c r="B1705" t="s">
        <v>6407</v>
      </c>
      <c r="C1705" t="e">
        <f>VLOOKUP(A1705,[1]Customer_payment_journal_line!$AL:$BO,30,0)</f>
        <v>#N/A</v>
      </c>
      <c r="D1705" t="s">
        <v>53</v>
      </c>
      <c r="E1705" t="s">
        <v>6408</v>
      </c>
      <c r="F1705" t="s">
        <v>6409</v>
      </c>
      <c r="G1705" t="s">
        <v>6027</v>
      </c>
      <c r="H1705" t="s">
        <v>57</v>
      </c>
      <c r="I1705" t="s">
        <v>5242</v>
      </c>
      <c r="J1705" t="s">
        <v>6400</v>
      </c>
      <c r="K1705" t="s">
        <v>6401</v>
      </c>
      <c r="L1705" t="s">
        <v>52</v>
      </c>
      <c r="M1705">
        <v>2052</v>
      </c>
      <c r="N1705">
        <v>0</v>
      </c>
      <c r="O1705" t="s">
        <v>61</v>
      </c>
      <c r="P1705">
        <v>100</v>
      </c>
      <c r="Q1705" t="s">
        <v>52</v>
      </c>
      <c r="R1705" t="s">
        <v>52</v>
      </c>
      <c r="S1705" t="s">
        <v>52</v>
      </c>
      <c r="T1705" t="s">
        <v>52</v>
      </c>
      <c r="U1705" t="s">
        <v>52</v>
      </c>
      <c r="V1705" t="s">
        <v>62</v>
      </c>
      <c r="W1705" t="s">
        <v>63</v>
      </c>
      <c r="Y1705" t="s">
        <v>52</v>
      </c>
      <c r="AB1705" t="s">
        <v>52</v>
      </c>
      <c r="AE1705" t="s">
        <v>52</v>
      </c>
      <c r="AF1705" t="s">
        <v>52</v>
      </c>
      <c r="AH1705">
        <v>0</v>
      </c>
      <c r="AI1705">
        <v>0</v>
      </c>
      <c r="AJ1705" t="s">
        <v>52</v>
      </c>
      <c r="AK1705">
        <v>0</v>
      </c>
      <c r="AL1705" t="s">
        <v>52</v>
      </c>
      <c r="AM1705" t="s">
        <v>52</v>
      </c>
      <c r="AN1705">
        <v>0</v>
      </c>
      <c r="AO1705">
        <v>0</v>
      </c>
      <c r="AP1705" t="s">
        <v>52</v>
      </c>
      <c r="AQ1705" t="s">
        <v>52</v>
      </c>
      <c r="AR1705" t="s">
        <v>62</v>
      </c>
      <c r="AS1705" t="s">
        <v>52</v>
      </c>
      <c r="AT1705" t="s">
        <v>52</v>
      </c>
      <c r="AU1705" t="s">
        <v>64</v>
      </c>
      <c r="AV1705" t="s">
        <v>62</v>
      </c>
      <c r="AW1705" t="s">
        <v>65</v>
      </c>
      <c r="AX1705" t="s">
        <v>66</v>
      </c>
      <c r="AY1705" t="s">
        <v>67</v>
      </c>
    </row>
    <row r="1706" spans="1:51" hidden="1" x14ac:dyDescent="0.25">
      <c r="A1706">
        <v>203562</v>
      </c>
      <c r="B1706" t="s">
        <v>6410</v>
      </c>
      <c r="C1706" t="e">
        <f>VLOOKUP(A1706,[1]Customer_payment_journal_line!$AL:$BO,30,0)</f>
        <v>#N/A</v>
      </c>
      <c r="D1706" t="s">
        <v>53</v>
      </c>
      <c r="E1706" t="s">
        <v>6408</v>
      </c>
      <c r="F1706" t="s">
        <v>6409</v>
      </c>
      <c r="G1706" t="s">
        <v>6027</v>
      </c>
      <c r="H1706" t="s">
        <v>69</v>
      </c>
      <c r="I1706" t="s">
        <v>6403</v>
      </c>
      <c r="J1706" t="s">
        <v>6400</v>
      </c>
      <c r="K1706" t="s">
        <v>6401</v>
      </c>
      <c r="L1706" t="s">
        <v>52</v>
      </c>
      <c r="M1706">
        <v>0</v>
      </c>
      <c r="N1706">
        <v>2052</v>
      </c>
      <c r="O1706" t="s">
        <v>61</v>
      </c>
      <c r="P1706">
        <v>100</v>
      </c>
      <c r="Q1706" t="s">
        <v>52</v>
      </c>
      <c r="R1706" t="s">
        <v>52</v>
      </c>
      <c r="S1706" t="s">
        <v>52</v>
      </c>
      <c r="T1706" t="s">
        <v>52</v>
      </c>
      <c r="U1706" t="s">
        <v>52</v>
      </c>
      <c r="V1706" t="s">
        <v>62</v>
      </c>
      <c r="W1706" t="s">
        <v>52</v>
      </c>
      <c r="Y1706" t="s">
        <v>6404</v>
      </c>
      <c r="Z1706" t="s">
        <v>62</v>
      </c>
      <c r="AB1706" t="s">
        <v>6411</v>
      </c>
      <c r="AE1706" t="s">
        <v>6412</v>
      </c>
      <c r="AF1706" t="s">
        <v>52</v>
      </c>
      <c r="AH1706">
        <v>0</v>
      </c>
      <c r="AI1706">
        <v>0</v>
      </c>
      <c r="AJ1706" t="s">
        <v>52</v>
      </c>
      <c r="AK1706">
        <v>0</v>
      </c>
      <c r="AL1706" t="s">
        <v>52</v>
      </c>
      <c r="AM1706" t="s">
        <v>52</v>
      </c>
      <c r="AN1706">
        <v>0</v>
      </c>
      <c r="AO1706">
        <v>0</v>
      </c>
      <c r="AP1706" t="s">
        <v>52</v>
      </c>
      <c r="AQ1706" t="s">
        <v>52</v>
      </c>
      <c r="AR1706" t="s">
        <v>62</v>
      </c>
      <c r="AS1706" t="s">
        <v>52</v>
      </c>
      <c r="AT1706" t="s">
        <v>74</v>
      </c>
      <c r="AU1706" t="s">
        <v>64</v>
      </c>
      <c r="AV1706" t="s">
        <v>62</v>
      </c>
      <c r="AW1706" t="s">
        <v>65</v>
      </c>
      <c r="AX1706" t="s">
        <v>66</v>
      </c>
      <c r="AY1706" t="s">
        <v>67</v>
      </c>
    </row>
    <row r="1707" spans="1:51" hidden="1" x14ac:dyDescent="0.25">
      <c r="A1707">
        <v>406174</v>
      </c>
      <c r="B1707" t="s">
        <v>6413</v>
      </c>
      <c r="C1707" t="e">
        <f>VLOOKUP(A1707,[1]Customer_payment_journal_line!$AL:$BO,30,0)</f>
        <v>#N/A</v>
      </c>
      <c r="D1707" t="s">
        <v>53</v>
      </c>
      <c r="E1707" t="s">
        <v>6414</v>
      </c>
      <c r="F1707" t="s">
        <v>6415</v>
      </c>
      <c r="G1707" t="s">
        <v>6027</v>
      </c>
      <c r="H1707" t="s">
        <v>57</v>
      </c>
      <c r="I1707" t="s">
        <v>58</v>
      </c>
      <c r="J1707" t="s">
        <v>2525</v>
      </c>
      <c r="K1707" t="s">
        <v>6416</v>
      </c>
      <c r="L1707" t="s">
        <v>52</v>
      </c>
      <c r="M1707">
        <v>2394</v>
      </c>
      <c r="N1707">
        <v>0</v>
      </c>
      <c r="O1707" t="s">
        <v>61</v>
      </c>
      <c r="P1707">
        <v>100</v>
      </c>
      <c r="Q1707" t="s">
        <v>52</v>
      </c>
      <c r="R1707" t="s">
        <v>52</v>
      </c>
      <c r="S1707" t="s">
        <v>52</v>
      </c>
      <c r="T1707" t="s">
        <v>52</v>
      </c>
      <c r="U1707" t="s">
        <v>52</v>
      </c>
      <c r="V1707" t="s">
        <v>62</v>
      </c>
      <c r="W1707" t="s">
        <v>63</v>
      </c>
      <c r="Y1707" t="s">
        <v>52</v>
      </c>
      <c r="AB1707" t="s">
        <v>52</v>
      </c>
      <c r="AE1707" t="s">
        <v>52</v>
      </c>
      <c r="AF1707" t="s">
        <v>52</v>
      </c>
      <c r="AH1707">
        <v>0</v>
      </c>
      <c r="AI1707">
        <v>0</v>
      </c>
      <c r="AJ1707" t="s">
        <v>52</v>
      </c>
      <c r="AK1707">
        <v>0</v>
      </c>
      <c r="AL1707" t="s">
        <v>52</v>
      </c>
      <c r="AM1707" t="s">
        <v>52</v>
      </c>
      <c r="AN1707">
        <v>0</v>
      </c>
      <c r="AO1707">
        <v>0</v>
      </c>
      <c r="AP1707" t="s">
        <v>52</v>
      </c>
      <c r="AQ1707" t="s">
        <v>52</v>
      </c>
      <c r="AR1707" t="s">
        <v>62</v>
      </c>
      <c r="AS1707" t="s">
        <v>52</v>
      </c>
      <c r="AT1707" t="s">
        <v>52</v>
      </c>
      <c r="AU1707" t="s">
        <v>64</v>
      </c>
      <c r="AV1707" t="s">
        <v>62</v>
      </c>
      <c r="AW1707" t="s">
        <v>65</v>
      </c>
      <c r="AX1707" t="s">
        <v>66</v>
      </c>
      <c r="AY1707" t="s">
        <v>67</v>
      </c>
    </row>
    <row r="1708" spans="1:51" hidden="1" x14ac:dyDescent="0.25">
      <c r="A1708">
        <v>406174</v>
      </c>
      <c r="B1708" t="s">
        <v>6417</v>
      </c>
      <c r="C1708" t="e">
        <f>VLOOKUP(A1708,[1]Customer_payment_journal_line!$AL:$BO,30,0)</f>
        <v>#N/A</v>
      </c>
      <c r="D1708" t="s">
        <v>53</v>
      </c>
      <c r="E1708" t="s">
        <v>6414</v>
      </c>
      <c r="F1708" t="s">
        <v>6415</v>
      </c>
      <c r="G1708" t="s">
        <v>6027</v>
      </c>
      <c r="H1708" t="s">
        <v>69</v>
      </c>
      <c r="I1708" t="s">
        <v>339</v>
      </c>
      <c r="J1708" t="s">
        <v>2525</v>
      </c>
      <c r="K1708" t="s">
        <v>6416</v>
      </c>
      <c r="L1708" t="s">
        <v>52</v>
      </c>
      <c r="M1708">
        <v>0</v>
      </c>
      <c r="N1708">
        <v>2394</v>
      </c>
      <c r="O1708" t="s">
        <v>61</v>
      </c>
      <c r="P1708">
        <v>100</v>
      </c>
      <c r="Q1708" t="s">
        <v>52</v>
      </c>
      <c r="R1708" t="s">
        <v>52</v>
      </c>
      <c r="S1708" t="s">
        <v>52</v>
      </c>
      <c r="T1708" t="s">
        <v>52</v>
      </c>
      <c r="U1708" t="s">
        <v>52</v>
      </c>
      <c r="V1708" t="s">
        <v>62</v>
      </c>
      <c r="W1708" t="s">
        <v>52</v>
      </c>
      <c r="Y1708" t="s">
        <v>340</v>
      </c>
      <c r="Z1708" t="s">
        <v>62</v>
      </c>
      <c r="AB1708" t="s">
        <v>6418</v>
      </c>
      <c r="AE1708" t="s">
        <v>6419</v>
      </c>
      <c r="AF1708" t="s">
        <v>52</v>
      </c>
      <c r="AH1708">
        <v>0</v>
      </c>
      <c r="AI1708">
        <v>0</v>
      </c>
      <c r="AJ1708" t="s">
        <v>52</v>
      </c>
      <c r="AK1708">
        <v>0</v>
      </c>
      <c r="AL1708" t="s">
        <v>52</v>
      </c>
      <c r="AM1708" t="s">
        <v>52</v>
      </c>
      <c r="AN1708">
        <v>0</v>
      </c>
      <c r="AO1708">
        <v>0</v>
      </c>
      <c r="AP1708" t="s">
        <v>52</v>
      </c>
      <c r="AQ1708" t="s">
        <v>52</v>
      </c>
      <c r="AR1708" t="s">
        <v>62</v>
      </c>
      <c r="AS1708" t="s">
        <v>52</v>
      </c>
      <c r="AT1708" t="s">
        <v>74</v>
      </c>
      <c r="AU1708" t="s">
        <v>64</v>
      </c>
      <c r="AV1708" t="s">
        <v>62</v>
      </c>
      <c r="AW1708" t="s">
        <v>65</v>
      </c>
      <c r="AX1708" t="s">
        <v>66</v>
      </c>
      <c r="AY1708" t="s">
        <v>67</v>
      </c>
    </row>
    <row r="1709" spans="1:51" hidden="1" x14ac:dyDescent="0.25">
      <c r="A1709">
        <v>406175</v>
      </c>
      <c r="B1709" t="s">
        <v>6420</v>
      </c>
      <c r="C1709" t="e">
        <f>VLOOKUP(A1709,[1]Customer_payment_journal_line!$AL:$BO,30,0)</f>
        <v>#N/A</v>
      </c>
      <c r="D1709" t="s">
        <v>53</v>
      </c>
      <c r="E1709" t="s">
        <v>6421</v>
      </c>
      <c r="F1709" t="s">
        <v>6422</v>
      </c>
      <c r="G1709" t="s">
        <v>6027</v>
      </c>
      <c r="H1709" t="s">
        <v>57</v>
      </c>
      <c r="I1709" t="s">
        <v>58</v>
      </c>
      <c r="J1709" t="s">
        <v>2525</v>
      </c>
      <c r="K1709" t="s">
        <v>6416</v>
      </c>
      <c r="L1709" t="s">
        <v>52</v>
      </c>
      <c r="M1709">
        <v>855</v>
      </c>
      <c r="N1709">
        <v>0</v>
      </c>
      <c r="O1709" t="s">
        <v>61</v>
      </c>
      <c r="P1709">
        <v>100</v>
      </c>
      <c r="Q1709" t="s">
        <v>52</v>
      </c>
      <c r="R1709" t="s">
        <v>52</v>
      </c>
      <c r="S1709" t="s">
        <v>52</v>
      </c>
      <c r="T1709" t="s">
        <v>52</v>
      </c>
      <c r="U1709" t="s">
        <v>52</v>
      </c>
      <c r="V1709" t="s">
        <v>62</v>
      </c>
      <c r="W1709" t="s">
        <v>63</v>
      </c>
      <c r="Y1709" t="s">
        <v>52</v>
      </c>
      <c r="AB1709" t="s">
        <v>52</v>
      </c>
      <c r="AE1709" t="s">
        <v>52</v>
      </c>
      <c r="AF1709" t="s">
        <v>52</v>
      </c>
      <c r="AH1709">
        <v>0</v>
      </c>
      <c r="AI1709">
        <v>0</v>
      </c>
      <c r="AJ1709" t="s">
        <v>52</v>
      </c>
      <c r="AK1709">
        <v>0</v>
      </c>
      <c r="AL1709" t="s">
        <v>52</v>
      </c>
      <c r="AM1709" t="s">
        <v>52</v>
      </c>
      <c r="AN1709">
        <v>0</v>
      </c>
      <c r="AO1709">
        <v>0</v>
      </c>
      <c r="AP1709" t="s">
        <v>52</v>
      </c>
      <c r="AQ1709" t="s">
        <v>52</v>
      </c>
      <c r="AR1709" t="s">
        <v>62</v>
      </c>
      <c r="AS1709" t="s">
        <v>52</v>
      </c>
      <c r="AT1709" t="s">
        <v>52</v>
      </c>
      <c r="AU1709" t="s">
        <v>64</v>
      </c>
      <c r="AV1709" t="s">
        <v>62</v>
      </c>
      <c r="AW1709" t="s">
        <v>65</v>
      </c>
      <c r="AX1709" t="s">
        <v>66</v>
      </c>
      <c r="AY1709" t="s">
        <v>67</v>
      </c>
    </row>
    <row r="1710" spans="1:51" hidden="1" x14ac:dyDescent="0.25">
      <c r="A1710">
        <v>406175</v>
      </c>
      <c r="B1710" t="s">
        <v>6423</v>
      </c>
      <c r="C1710" t="e">
        <f>VLOOKUP(A1710,[1]Customer_payment_journal_line!$AL:$BO,30,0)</f>
        <v>#N/A</v>
      </c>
      <c r="D1710" t="s">
        <v>53</v>
      </c>
      <c r="E1710" t="s">
        <v>6421</v>
      </c>
      <c r="F1710" t="s">
        <v>6422</v>
      </c>
      <c r="G1710" t="s">
        <v>6027</v>
      </c>
      <c r="H1710" t="s">
        <v>69</v>
      </c>
      <c r="I1710" t="s">
        <v>339</v>
      </c>
      <c r="J1710" t="s">
        <v>2525</v>
      </c>
      <c r="K1710" t="s">
        <v>6416</v>
      </c>
      <c r="L1710" t="s">
        <v>52</v>
      </c>
      <c r="M1710">
        <v>0</v>
      </c>
      <c r="N1710">
        <v>855</v>
      </c>
      <c r="O1710" t="s">
        <v>61</v>
      </c>
      <c r="P1710">
        <v>100</v>
      </c>
      <c r="Q1710" t="s">
        <v>52</v>
      </c>
      <c r="R1710" t="s">
        <v>52</v>
      </c>
      <c r="S1710" t="s">
        <v>52</v>
      </c>
      <c r="T1710" t="s">
        <v>52</v>
      </c>
      <c r="U1710" t="s">
        <v>52</v>
      </c>
      <c r="V1710" t="s">
        <v>62</v>
      </c>
      <c r="W1710" t="s">
        <v>52</v>
      </c>
      <c r="Y1710" t="s">
        <v>340</v>
      </c>
      <c r="Z1710" t="s">
        <v>62</v>
      </c>
      <c r="AB1710" t="s">
        <v>6424</v>
      </c>
      <c r="AE1710" t="s">
        <v>6425</v>
      </c>
      <c r="AF1710" t="s">
        <v>52</v>
      </c>
      <c r="AH1710">
        <v>0</v>
      </c>
      <c r="AI1710">
        <v>0</v>
      </c>
      <c r="AJ1710" t="s">
        <v>52</v>
      </c>
      <c r="AK1710">
        <v>0</v>
      </c>
      <c r="AL1710" t="s">
        <v>52</v>
      </c>
      <c r="AM1710" t="s">
        <v>52</v>
      </c>
      <c r="AN1710">
        <v>0</v>
      </c>
      <c r="AO1710">
        <v>0</v>
      </c>
      <c r="AP1710" t="s">
        <v>52</v>
      </c>
      <c r="AQ1710" t="s">
        <v>52</v>
      </c>
      <c r="AR1710" t="s">
        <v>62</v>
      </c>
      <c r="AS1710" t="s">
        <v>52</v>
      </c>
      <c r="AT1710" t="s">
        <v>74</v>
      </c>
      <c r="AU1710" t="s">
        <v>64</v>
      </c>
      <c r="AV1710" t="s">
        <v>62</v>
      </c>
      <c r="AW1710" t="s">
        <v>65</v>
      </c>
      <c r="AX1710" t="s">
        <v>66</v>
      </c>
      <c r="AY1710" t="s">
        <v>67</v>
      </c>
    </row>
    <row r="1711" spans="1:51" hidden="1" x14ac:dyDescent="0.25">
      <c r="A1711">
        <v>406176</v>
      </c>
      <c r="B1711" t="s">
        <v>6426</v>
      </c>
      <c r="C1711" t="e">
        <f>VLOOKUP(A1711,[1]Customer_payment_journal_line!$AL:$BO,30,0)</f>
        <v>#N/A</v>
      </c>
      <c r="D1711" t="s">
        <v>53</v>
      </c>
      <c r="E1711" t="s">
        <v>6427</v>
      </c>
      <c r="F1711" t="s">
        <v>6428</v>
      </c>
      <c r="G1711" t="s">
        <v>6027</v>
      </c>
      <c r="H1711" t="s">
        <v>57</v>
      </c>
      <c r="I1711" t="s">
        <v>58</v>
      </c>
      <c r="J1711" t="s">
        <v>336</v>
      </c>
      <c r="K1711" t="s">
        <v>6429</v>
      </c>
      <c r="L1711" t="s">
        <v>52</v>
      </c>
      <c r="M1711">
        <v>798</v>
      </c>
      <c r="N1711">
        <v>0</v>
      </c>
      <c r="O1711" t="s">
        <v>61</v>
      </c>
      <c r="P1711">
        <v>100</v>
      </c>
      <c r="Q1711" t="s">
        <v>52</v>
      </c>
      <c r="R1711" t="s">
        <v>52</v>
      </c>
      <c r="S1711" t="s">
        <v>52</v>
      </c>
      <c r="T1711" t="s">
        <v>52</v>
      </c>
      <c r="U1711" t="s">
        <v>52</v>
      </c>
      <c r="V1711" t="s">
        <v>62</v>
      </c>
      <c r="W1711" t="s">
        <v>63</v>
      </c>
      <c r="Y1711" t="s">
        <v>52</v>
      </c>
      <c r="AB1711" t="s">
        <v>52</v>
      </c>
      <c r="AE1711" t="s">
        <v>52</v>
      </c>
      <c r="AF1711" t="s">
        <v>52</v>
      </c>
      <c r="AH1711">
        <v>0</v>
      </c>
      <c r="AI1711">
        <v>0</v>
      </c>
      <c r="AJ1711" t="s">
        <v>52</v>
      </c>
      <c r="AK1711">
        <v>0</v>
      </c>
      <c r="AL1711" t="s">
        <v>52</v>
      </c>
      <c r="AM1711" t="s">
        <v>52</v>
      </c>
      <c r="AN1711">
        <v>0</v>
      </c>
      <c r="AO1711">
        <v>0</v>
      </c>
      <c r="AP1711" t="s">
        <v>52</v>
      </c>
      <c r="AQ1711" t="s">
        <v>52</v>
      </c>
      <c r="AR1711" t="s">
        <v>62</v>
      </c>
      <c r="AS1711" t="s">
        <v>52</v>
      </c>
      <c r="AT1711" t="s">
        <v>52</v>
      </c>
      <c r="AU1711" t="s">
        <v>64</v>
      </c>
      <c r="AV1711" t="s">
        <v>62</v>
      </c>
      <c r="AW1711" t="s">
        <v>65</v>
      </c>
      <c r="AX1711" t="s">
        <v>66</v>
      </c>
      <c r="AY1711" t="s">
        <v>67</v>
      </c>
    </row>
    <row r="1712" spans="1:51" hidden="1" x14ac:dyDescent="0.25">
      <c r="A1712">
        <v>406176</v>
      </c>
      <c r="B1712" t="s">
        <v>6430</v>
      </c>
      <c r="C1712" t="e">
        <f>VLOOKUP(A1712,[1]Customer_payment_journal_line!$AL:$BO,30,0)</f>
        <v>#N/A</v>
      </c>
      <c r="D1712" t="s">
        <v>53</v>
      </c>
      <c r="E1712" t="s">
        <v>6427</v>
      </c>
      <c r="F1712" t="s">
        <v>6428</v>
      </c>
      <c r="G1712" t="s">
        <v>6027</v>
      </c>
      <c r="H1712" t="s">
        <v>69</v>
      </c>
      <c r="I1712" t="s">
        <v>339</v>
      </c>
      <c r="J1712" t="s">
        <v>336</v>
      </c>
      <c r="K1712" t="s">
        <v>6429</v>
      </c>
      <c r="L1712" t="s">
        <v>52</v>
      </c>
      <c r="M1712">
        <v>0</v>
      </c>
      <c r="N1712">
        <v>798</v>
      </c>
      <c r="O1712" t="s">
        <v>61</v>
      </c>
      <c r="P1712">
        <v>100</v>
      </c>
      <c r="Q1712" t="s">
        <v>52</v>
      </c>
      <c r="R1712" t="s">
        <v>52</v>
      </c>
      <c r="S1712" t="s">
        <v>52</v>
      </c>
      <c r="T1712" t="s">
        <v>52</v>
      </c>
      <c r="U1712" t="s">
        <v>52</v>
      </c>
      <c r="V1712" t="s">
        <v>62</v>
      </c>
      <c r="W1712" t="s">
        <v>52</v>
      </c>
      <c r="Y1712" t="s">
        <v>340</v>
      </c>
      <c r="Z1712" t="s">
        <v>62</v>
      </c>
      <c r="AB1712" t="s">
        <v>6431</v>
      </c>
      <c r="AE1712" t="s">
        <v>6432</v>
      </c>
      <c r="AF1712" t="s">
        <v>52</v>
      </c>
      <c r="AH1712">
        <v>0</v>
      </c>
      <c r="AI1712">
        <v>0</v>
      </c>
      <c r="AJ1712" t="s">
        <v>52</v>
      </c>
      <c r="AK1712">
        <v>0</v>
      </c>
      <c r="AL1712" t="s">
        <v>52</v>
      </c>
      <c r="AM1712" t="s">
        <v>52</v>
      </c>
      <c r="AN1712">
        <v>0</v>
      </c>
      <c r="AO1712">
        <v>0</v>
      </c>
      <c r="AP1712" t="s">
        <v>52</v>
      </c>
      <c r="AQ1712" t="s">
        <v>52</v>
      </c>
      <c r="AR1712" t="s">
        <v>62</v>
      </c>
      <c r="AS1712" t="s">
        <v>52</v>
      </c>
      <c r="AT1712" t="s">
        <v>74</v>
      </c>
      <c r="AU1712" t="s">
        <v>64</v>
      </c>
      <c r="AV1712" t="s">
        <v>62</v>
      </c>
      <c r="AW1712" t="s">
        <v>65</v>
      </c>
      <c r="AX1712" t="s">
        <v>66</v>
      </c>
      <c r="AY1712" t="s">
        <v>67</v>
      </c>
    </row>
    <row r="1713" spans="1:51" hidden="1" x14ac:dyDescent="0.25">
      <c r="A1713">
        <v>406177</v>
      </c>
      <c r="B1713" t="s">
        <v>6433</v>
      </c>
      <c r="C1713" t="e">
        <f>VLOOKUP(A1713,[1]Customer_payment_journal_line!$AL:$BO,30,0)</f>
        <v>#N/A</v>
      </c>
      <c r="D1713" t="s">
        <v>53</v>
      </c>
      <c r="E1713" t="s">
        <v>6434</v>
      </c>
      <c r="F1713" t="s">
        <v>6435</v>
      </c>
      <c r="G1713" t="s">
        <v>6027</v>
      </c>
      <c r="H1713" t="s">
        <v>57</v>
      </c>
      <c r="I1713" t="s">
        <v>58</v>
      </c>
      <c r="J1713" t="s">
        <v>336</v>
      </c>
      <c r="K1713" t="s">
        <v>6429</v>
      </c>
      <c r="L1713" t="s">
        <v>52</v>
      </c>
      <c r="M1713">
        <v>855</v>
      </c>
      <c r="N1713">
        <v>0</v>
      </c>
      <c r="O1713" t="s">
        <v>61</v>
      </c>
      <c r="P1713">
        <v>100</v>
      </c>
      <c r="Q1713" t="s">
        <v>52</v>
      </c>
      <c r="R1713" t="s">
        <v>52</v>
      </c>
      <c r="S1713" t="s">
        <v>52</v>
      </c>
      <c r="T1713" t="s">
        <v>52</v>
      </c>
      <c r="U1713" t="s">
        <v>52</v>
      </c>
      <c r="V1713" t="s">
        <v>62</v>
      </c>
      <c r="W1713" t="s">
        <v>63</v>
      </c>
      <c r="Y1713" t="s">
        <v>52</v>
      </c>
      <c r="AB1713" t="s">
        <v>52</v>
      </c>
      <c r="AE1713" t="s">
        <v>52</v>
      </c>
      <c r="AF1713" t="s">
        <v>52</v>
      </c>
      <c r="AH1713">
        <v>0</v>
      </c>
      <c r="AI1713">
        <v>0</v>
      </c>
      <c r="AJ1713" t="s">
        <v>52</v>
      </c>
      <c r="AK1713">
        <v>0</v>
      </c>
      <c r="AL1713" t="s">
        <v>52</v>
      </c>
      <c r="AM1713" t="s">
        <v>52</v>
      </c>
      <c r="AN1713">
        <v>0</v>
      </c>
      <c r="AO1713">
        <v>0</v>
      </c>
      <c r="AP1713" t="s">
        <v>52</v>
      </c>
      <c r="AQ1713" t="s">
        <v>52</v>
      </c>
      <c r="AR1713" t="s">
        <v>62</v>
      </c>
      <c r="AS1713" t="s">
        <v>52</v>
      </c>
      <c r="AT1713" t="s">
        <v>52</v>
      </c>
      <c r="AU1713" t="s">
        <v>64</v>
      </c>
      <c r="AV1713" t="s">
        <v>62</v>
      </c>
      <c r="AW1713" t="s">
        <v>65</v>
      </c>
      <c r="AX1713" t="s">
        <v>66</v>
      </c>
      <c r="AY1713" t="s">
        <v>67</v>
      </c>
    </row>
    <row r="1714" spans="1:51" hidden="1" x14ac:dyDescent="0.25">
      <c r="A1714">
        <v>406177</v>
      </c>
      <c r="B1714" t="s">
        <v>6436</v>
      </c>
      <c r="C1714" t="e">
        <f>VLOOKUP(A1714,[1]Customer_payment_journal_line!$AL:$BO,30,0)</f>
        <v>#N/A</v>
      </c>
      <c r="D1714" t="s">
        <v>53</v>
      </c>
      <c r="E1714" t="s">
        <v>6434</v>
      </c>
      <c r="F1714" t="s">
        <v>6435</v>
      </c>
      <c r="G1714" t="s">
        <v>6027</v>
      </c>
      <c r="H1714" t="s">
        <v>69</v>
      </c>
      <c r="I1714" t="s">
        <v>339</v>
      </c>
      <c r="J1714" t="s">
        <v>336</v>
      </c>
      <c r="K1714" t="s">
        <v>6429</v>
      </c>
      <c r="L1714" t="s">
        <v>52</v>
      </c>
      <c r="M1714">
        <v>0</v>
      </c>
      <c r="N1714">
        <v>855</v>
      </c>
      <c r="O1714" t="s">
        <v>61</v>
      </c>
      <c r="P1714">
        <v>100</v>
      </c>
      <c r="Q1714" t="s">
        <v>52</v>
      </c>
      <c r="R1714" t="s">
        <v>52</v>
      </c>
      <c r="S1714" t="s">
        <v>52</v>
      </c>
      <c r="T1714" t="s">
        <v>52</v>
      </c>
      <c r="U1714" t="s">
        <v>52</v>
      </c>
      <c r="V1714" t="s">
        <v>62</v>
      </c>
      <c r="W1714" t="s">
        <v>52</v>
      </c>
      <c r="Y1714" t="s">
        <v>340</v>
      </c>
      <c r="Z1714" t="s">
        <v>62</v>
      </c>
      <c r="AB1714" t="s">
        <v>6437</v>
      </c>
      <c r="AE1714" t="s">
        <v>6438</v>
      </c>
      <c r="AF1714" t="s">
        <v>52</v>
      </c>
      <c r="AH1714">
        <v>0</v>
      </c>
      <c r="AI1714">
        <v>0</v>
      </c>
      <c r="AJ1714" t="s">
        <v>52</v>
      </c>
      <c r="AK1714">
        <v>0</v>
      </c>
      <c r="AL1714" t="s">
        <v>52</v>
      </c>
      <c r="AM1714" t="s">
        <v>52</v>
      </c>
      <c r="AN1714">
        <v>0</v>
      </c>
      <c r="AO1714">
        <v>0</v>
      </c>
      <c r="AP1714" t="s">
        <v>52</v>
      </c>
      <c r="AQ1714" t="s">
        <v>52</v>
      </c>
      <c r="AR1714" t="s">
        <v>62</v>
      </c>
      <c r="AS1714" t="s">
        <v>52</v>
      </c>
      <c r="AT1714" t="s">
        <v>74</v>
      </c>
      <c r="AU1714" t="s">
        <v>64</v>
      </c>
      <c r="AV1714" t="s">
        <v>62</v>
      </c>
      <c r="AW1714" t="s">
        <v>65</v>
      </c>
      <c r="AX1714" t="s">
        <v>66</v>
      </c>
      <c r="AY1714" t="s">
        <v>67</v>
      </c>
    </row>
    <row r="1715" spans="1:51" hidden="1" x14ac:dyDescent="0.25">
      <c r="A1715">
        <v>406180</v>
      </c>
      <c r="B1715" t="s">
        <v>6439</v>
      </c>
      <c r="C1715" t="e">
        <f>VLOOKUP(A1715,[1]Customer_payment_journal_line!$AL:$BO,30,0)</f>
        <v>#N/A</v>
      </c>
      <c r="D1715" t="s">
        <v>53</v>
      </c>
      <c r="E1715" t="s">
        <v>6440</v>
      </c>
      <c r="F1715" t="s">
        <v>6441</v>
      </c>
      <c r="G1715" t="s">
        <v>6027</v>
      </c>
      <c r="H1715" t="s">
        <v>57</v>
      </c>
      <c r="I1715" t="s">
        <v>1349</v>
      </c>
      <c r="J1715" t="s">
        <v>4647</v>
      </c>
      <c r="K1715" t="s">
        <v>3873</v>
      </c>
      <c r="L1715" t="s">
        <v>52</v>
      </c>
      <c r="M1715">
        <v>10488</v>
      </c>
      <c r="N1715">
        <v>0</v>
      </c>
      <c r="O1715" t="s">
        <v>61</v>
      </c>
      <c r="P1715">
        <v>100</v>
      </c>
      <c r="Q1715" t="s">
        <v>52</v>
      </c>
      <c r="R1715" t="s">
        <v>52</v>
      </c>
      <c r="S1715" t="s">
        <v>52</v>
      </c>
      <c r="T1715" t="s">
        <v>52</v>
      </c>
      <c r="U1715" t="s">
        <v>52</v>
      </c>
      <c r="V1715" t="s">
        <v>62</v>
      </c>
      <c r="W1715" t="s">
        <v>63</v>
      </c>
      <c r="Y1715" t="s">
        <v>52</v>
      </c>
      <c r="AB1715" t="s">
        <v>52</v>
      </c>
      <c r="AE1715" t="s">
        <v>52</v>
      </c>
      <c r="AF1715" t="s">
        <v>52</v>
      </c>
      <c r="AH1715">
        <v>0</v>
      </c>
      <c r="AI1715">
        <v>0</v>
      </c>
      <c r="AJ1715" t="s">
        <v>52</v>
      </c>
      <c r="AK1715">
        <v>0</v>
      </c>
      <c r="AL1715" t="s">
        <v>52</v>
      </c>
      <c r="AM1715" t="s">
        <v>52</v>
      </c>
      <c r="AN1715">
        <v>0</v>
      </c>
      <c r="AO1715">
        <v>0</v>
      </c>
      <c r="AP1715" t="s">
        <v>52</v>
      </c>
      <c r="AQ1715" t="s">
        <v>52</v>
      </c>
      <c r="AR1715" t="s">
        <v>62</v>
      </c>
      <c r="AS1715" t="s">
        <v>52</v>
      </c>
      <c r="AT1715" t="s">
        <v>52</v>
      </c>
      <c r="AU1715" t="s">
        <v>64</v>
      </c>
      <c r="AV1715" t="s">
        <v>62</v>
      </c>
      <c r="AW1715" t="s">
        <v>65</v>
      </c>
      <c r="AX1715" t="s">
        <v>66</v>
      </c>
      <c r="AY1715" t="s">
        <v>67</v>
      </c>
    </row>
    <row r="1716" spans="1:51" hidden="1" x14ac:dyDescent="0.25">
      <c r="A1716">
        <v>406180</v>
      </c>
      <c r="B1716" t="s">
        <v>6442</v>
      </c>
      <c r="C1716" t="e">
        <f>VLOOKUP(A1716,[1]Customer_payment_journal_line!$AL:$BO,30,0)</f>
        <v>#N/A</v>
      </c>
      <c r="D1716" t="s">
        <v>53</v>
      </c>
      <c r="E1716" t="s">
        <v>6440</v>
      </c>
      <c r="F1716" t="s">
        <v>6441</v>
      </c>
      <c r="G1716" t="s">
        <v>6027</v>
      </c>
      <c r="H1716" t="s">
        <v>69</v>
      </c>
      <c r="I1716" t="s">
        <v>3642</v>
      </c>
      <c r="J1716" t="s">
        <v>4647</v>
      </c>
      <c r="K1716" t="s">
        <v>3873</v>
      </c>
      <c r="L1716" t="s">
        <v>52</v>
      </c>
      <c r="M1716">
        <v>0</v>
      </c>
      <c r="N1716">
        <v>10488</v>
      </c>
      <c r="O1716" t="s">
        <v>61</v>
      </c>
      <c r="P1716">
        <v>100</v>
      </c>
      <c r="Q1716" t="s">
        <v>52</v>
      </c>
      <c r="R1716" t="s">
        <v>52</v>
      </c>
      <c r="S1716" t="s">
        <v>52</v>
      </c>
      <c r="T1716" t="s">
        <v>52</v>
      </c>
      <c r="U1716" t="s">
        <v>52</v>
      </c>
      <c r="V1716" t="s">
        <v>62</v>
      </c>
      <c r="W1716" t="s">
        <v>52</v>
      </c>
      <c r="Y1716" t="s">
        <v>3643</v>
      </c>
      <c r="Z1716" t="s">
        <v>62</v>
      </c>
      <c r="AB1716" t="s">
        <v>6443</v>
      </c>
      <c r="AE1716" t="s">
        <v>6444</v>
      </c>
      <c r="AF1716" t="s">
        <v>52</v>
      </c>
      <c r="AH1716">
        <v>0</v>
      </c>
      <c r="AI1716">
        <v>0</v>
      </c>
      <c r="AJ1716" t="s">
        <v>52</v>
      </c>
      <c r="AK1716">
        <v>0</v>
      </c>
      <c r="AL1716" t="s">
        <v>52</v>
      </c>
      <c r="AM1716" t="s">
        <v>52</v>
      </c>
      <c r="AN1716">
        <v>0</v>
      </c>
      <c r="AO1716">
        <v>0</v>
      </c>
      <c r="AP1716" t="s">
        <v>52</v>
      </c>
      <c r="AQ1716" t="s">
        <v>52</v>
      </c>
      <c r="AR1716" t="s">
        <v>62</v>
      </c>
      <c r="AS1716" t="s">
        <v>52</v>
      </c>
      <c r="AT1716" t="s">
        <v>74</v>
      </c>
      <c r="AU1716" t="s">
        <v>64</v>
      </c>
      <c r="AV1716" t="s">
        <v>62</v>
      </c>
      <c r="AW1716" t="s">
        <v>65</v>
      </c>
      <c r="AX1716" t="s">
        <v>66</v>
      </c>
      <c r="AY1716" t="s">
        <v>67</v>
      </c>
    </row>
    <row r="1717" spans="1:51" hidden="1" x14ac:dyDescent="0.25">
      <c r="A1717">
        <v>203579</v>
      </c>
      <c r="B1717" t="s">
        <v>6445</v>
      </c>
      <c r="C1717" t="e">
        <f>VLOOKUP(A1717,[1]Customer_payment_journal_line!$AL:$BO,30,0)</f>
        <v>#N/A</v>
      </c>
      <c r="D1717" t="s">
        <v>159</v>
      </c>
      <c r="E1717" t="s">
        <v>6446</v>
      </c>
      <c r="F1717" t="s">
        <v>6447</v>
      </c>
      <c r="G1717" t="s">
        <v>6027</v>
      </c>
      <c r="H1717" t="s">
        <v>210</v>
      </c>
      <c r="I1717" t="s">
        <v>6448</v>
      </c>
      <c r="K1717" t="s">
        <v>6066</v>
      </c>
      <c r="L1717" t="s">
        <v>52</v>
      </c>
      <c r="M1717">
        <v>280</v>
      </c>
      <c r="N1717">
        <v>0</v>
      </c>
      <c r="O1717" t="s">
        <v>126</v>
      </c>
      <c r="P1717">
        <v>5285</v>
      </c>
      <c r="Q1717" t="s">
        <v>52</v>
      </c>
      <c r="R1717" t="s">
        <v>52</v>
      </c>
      <c r="S1717" t="s">
        <v>52</v>
      </c>
      <c r="T1717" t="s">
        <v>52</v>
      </c>
      <c r="U1717" t="s">
        <v>52</v>
      </c>
      <c r="V1717" t="s">
        <v>62</v>
      </c>
      <c r="W1717" t="s">
        <v>63</v>
      </c>
      <c r="Y1717" t="s">
        <v>52</v>
      </c>
      <c r="AB1717" t="s">
        <v>6449</v>
      </c>
      <c r="AE1717" t="s">
        <v>6450</v>
      </c>
      <c r="AF1717" t="s">
        <v>52</v>
      </c>
      <c r="AG1717" t="s">
        <v>5213</v>
      </c>
      <c r="AH1717">
        <v>0</v>
      </c>
      <c r="AI1717">
        <v>0</v>
      </c>
      <c r="AJ1717" t="s">
        <v>52</v>
      </c>
      <c r="AK1717">
        <v>0</v>
      </c>
      <c r="AL1717" t="s">
        <v>52</v>
      </c>
      <c r="AM1717" t="s">
        <v>52</v>
      </c>
      <c r="AN1717">
        <v>0</v>
      </c>
      <c r="AO1717">
        <v>0</v>
      </c>
      <c r="AP1717" t="s">
        <v>52</v>
      </c>
      <c r="AQ1717" t="s">
        <v>52</v>
      </c>
      <c r="AR1717" t="s">
        <v>62</v>
      </c>
      <c r="AS1717" t="s">
        <v>52</v>
      </c>
      <c r="AT1717" t="s">
        <v>52</v>
      </c>
      <c r="AU1717" t="s">
        <v>64</v>
      </c>
      <c r="AV1717" t="s">
        <v>62</v>
      </c>
      <c r="AW1717" t="s">
        <v>65</v>
      </c>
      <c r="AX1717" t="s">
        <v>66</v>
      </c>
      <c r="AY1717" t="s">
        <v>165</v>
      </c>
    </row>
    <row r="1718" spans="1:51" hidden="1" x14ac:dyDescent="0.25">
      <c r="A1718">
        <v>203579</v>
      </c>
      <c r="B1718" t="s">
        <v>6451</v>
      </c>
      <c r="C1718" t="e">
        <f>VLOOKUP(A1718,[1]Customer_payment_journal_line!$AL:$BO,30,0)</f>
        <v>#N/A</v>
      </c>
      <c r="D1718" t="s">
        <v>159</v>
      </c>
      <c r="E1718" t="s">
        <v>6446</v>
      </c>
      <c r="F1718" t="s">
        <v>6447</v>
      </c>
      <c r="G1718" t="s">
        <v>6027</v>
      </c>
      <c r="H1718" t="s">
        <v>69</v>
      </c>
      <c r="I1718" t="s">
        <v>6068</v>
      </c>
      <c r="J1718" t="s">
        <v>6065</v>
      </c>
      <c r="K1718" t="s">
        <v>6066</v>
      </c>
      <c r="L1718" t="s">
        <v>52</v>
      </c>
      <c r="M1718">
        <v>0</v>
      </c>
      <c r="N1718">
        <v>280</v>
      </c>
      <c r="O1718" t="s">
        <v>126</v>
      </c>
      <c r="P1718">
        <v>5285</v>
      </c>
      <c r="Q1718" t="s">
        <v>52</v>
      </c>
      <c r="R1718" t="s">
        <v>52</v>
      </c>
      <c r="S1718" t="s">
        <v>52</v>
      </c>
      <c r="T1718" t="s">
        <v>52</v>
      </c>
      <c r="U1718" t="s">
        <v>52</v>
      </c>
      <c r="V1718" t="s">
        <v>62</v>
      </c>
      <c r="W1718" t="s">
        <v>52</v>
      </c>
      <c r="Y1718" t="s">
        <v>6069</v>
      </c>
      <c r="Z1718" t="s">
        <v>62</v>
      </c>
      <c r="AB1718" t="s">
        <v>6449</v>
      </c>
      <c r="AE1718" t="s">
        <v>6450</v>
      </c>
      <c r="AF1718" t="s">
        <v>52</v>
      </c>
      <c r="AG1718" t="s">
        <v>5213</v>
      </c>
      <c r="AH1718">
        <v>0</v>
      </c>
      <c r="AI1718">
        <v>0</v>
      </c>
      <c r="AJ1718" t="s">
        <v>52</v>
      </c>
      <c r="AK1718">
        <v>0</v>
      </c>
      <c r="AL1718" t="s">
        <v>52</v>
      </c>
      <c r="AM1718" t="s">
        <v>52</v>
      </c>
      <c r="AN1718">
        <v>0</v>
      </c>
      <c r="AO1718">
        <v>0</v>
      </c>
      <c r="AP1718" t="s">
        <v>52</v>
      </c>
      <c r="AQ1718" t="s">
        <v>52</v>
      </c>
      <c r="AR1718" t="s">
        <v>62</v>
      </c>
      <c r="AS1718" t="s">
        <v>52</v>
      </c>
      <c r="AT1718" t="s">
        <v>74</v>
      </c>
      <c r="AU1718" t="s">
        <v>64</v>
      </c>
      <c r="AV1718" t="s">
        <v>62</v>
      </c>
      <c r="AW1718" t="s">
        <v>65</v>
      </c>
      <c r="AX1718" t="s">
        <v>66</v>
      </c>
      <c r="AY1718" t="s">
        <v>165</v>
      </c>
    </row>
    <row r="1719" spans="1:51" hidden="1" x14ac:dyDescent="0.25">
      <c r="A1719">
        <v>403937</v>
      </c>
      <c r="B1719" t="s">
        <v>6452</v>
      </c>
      <c r="C1719" t="e">
        <f>VLOOKUP(A1719,[1]Customer_payment_journal_line!$AL:$BO,30,0)</f>
        <v>#N/A</v>
      </c>
      <c r="D1719" t="s">
        <v>53</v>
      </c>
      <c r="E1719" t="s">
        <v>6453</v>
      </c>
      <c r="F1719" t="s">
        <v>6454</v>
      </c>
      <c r="G1719" t="s">
        <v>6027</v>
      </c>
      <c r="H1719" t="s">
        <v>57</v>
      </c>
      <c r="I1719" t="s">
        <v>319</v>
      </c>
      <c r="J1719" t="s">
        <v>5410</v>
      </c>
      <c r="K1719" t="s">
        <v>5411</v>
      </c>
      <c r="L1719" t="s">
        <v>52</v>
      </c>
      <c r="M1719">
        <v>8151</v>
      </c>
      <c r="N1719">
        <v>0</v>
      </c>
      <c r="O1719" t="s">
        <v>61</v>
      </c>
      <c r="P1719">
        <v>100</v>
      </c>
      <c r="Q1719" t="s">
        <v>52</v>
      </c>
      <c r="R1719" t="s">
        <v>52</v>
      </c>
      <c r="S1719" t="s">
        <v>52</v>
      </c>
      <c r="T1719" t="s">
        <v>52</v>
      </c>
      <c r="U1719" t="s">
        <v>52</v>
      </c>
      <c r="V1719" t="s">
        <v>62</v>
      </c>
      <c r="W1719" t="s">
        <v>63</v>
      </c>
      <c r="Y1719" t="s">
        <v>52</v>
      </c>
      <c r="AB1719" t="s">
        <v>52</v>
      </c>
      <c r="AE1719" t="s">
        <v>52</v>
      </c>
      <c r="AF1719" t="s">
        <v>52</v>
      </c>
      <c r="AH1719">
        <v>0</v>
      </c>
      <c r="AI1719">
        <v>0</v>
      </c>
      <c r="AJ1719" t="s">
        <v>52</v>
      </c>
      <c r="AK1719">
        <v>0</v>
      </c>
      <c r="AL1719" t="s">
        <v>52</v>
      </c>
      <c r="AM1719" t="s">
        <v>52</v>
      </c>
      <c r="AN1719">
        <v>0</v>
      </c>
      <c r="AO1719">
        <v>0</v>
      </c>
      <c r="AP1719" t="s">
        <v>52</v>
      </c>
      <c r="AQ1719" t="s">
        <v>52</v>
      </c>
      <c r="AR1719" t="s">
        <v>62</v>
      </c>
      <c r="AS1719" t="s">
        <v>52</v>
      </c>
      <c r="AT1719" t="s">
        <v>52</v>
      </c>
      <c r="AU1719" t="s">
        <v>64</v>
      </c>
      <c r="AV1719" t="s">
        <v>62</v>
      </c>
      <c r="AW1719" t="s">
        <v>65</v>
      </c>
      <c r="AX1719" t="s">
        <v>66</v>
      </c>
      <c r="AY1719" t="s">
        <v>67</v>
      </c>
    </row>
    <row r="1720" spans="1:51" hidden="1" x14ac:dyDescent="0.25">
      <c r="A1720">
        <v>403937</v>
      </c>
      <c r="B1720" t="s">
        <v>6455</v>
      </c>
      <c r="C1720" t="e">
        <f>VLOOKUP(A1720,[1]Customer_payment_journal_line!$AL:$BO,30,0)</f>
        <v>#N/A</v>
      </c>
      <c r="D1720" t="s">
        <v>53</v>
      </c>
      <c r="E1720" t="s">
        <v>6453</v>
      </c>
      <c r="F1720" t="s">
        <v>6454</v>
      </c>
      <c r="G1720" t="s">
        <v>6027</v>
      </c>
      <c r="H1720" t="s">
        <v>69</v>
      </c>
      <c r="I1720" t="s">
        <v>5413</v>
      </c>
      <c r="J1720" t="s">
        <v>5410</v>
      </c>
      <c r="K1720" t="s">
        <v>5411</v>
      </c>
      <c r="L1720" t="s">
        <v>52</v>
      </c>
      <c r="M1720">
        <v>0</v>
      </c>
      <c r="N1720">
        <v>8151</v>
      </c>
      <c r="O1720" t="s">
        <v>61</v>
      </c>
      <c r="P1720">
        <v>100</v>
      </c>
      <c r="Q1720" t="s">
        <v>52</v>
      </c>
      <c r="R1720" t="s">
        <v>52</v>
      </c>
      <c r="S1720" t="s">
        <v>52</v>
      </c>
      <c r="T1720" t="s">
        <v>52</v>
      </c>
      <c r="U1720" t="s">
        <v>52</v>
      </c>
      <c r="V1720" t="s">
        <v>62</v>
      </c>
      <c r="W1720" t="s">
        <v>52</v>
      </c>
      <c r="Y1720" t="s">
        <v>5414</v>
      </c>
      <c r="Z1720" t="s">
        <v>62</v>
      </c>
      <c r="AB1720" t="s">
        <v>6456</v>
      </c>
      <c r="AE1720" t="s">
        <v>6457</v>
      </c>
      <c r="AF1720" t="s">
        <v>52</v>
      </c>
      <c r="AH1720">
        <v>0</v>
      </c>
      <c r="AI1720">
        <v>0</v>
      </c>
      <c r="AJ1720" t="s">
        <v>52</v>
      </c>
      <c r="AK1720">
        <v>0</v>
      </c>
      <c r="AL1720" t="s">
        <v>52</v>
      </c>
      <c r="AM1720" t="s">
        <v>52</v>
      </c>
      <c r="AN1720">
        <v>0</v>
      </c>
      <c r="AO1720">
        <v>0</v>
      </c>
      <c r="AP1720" t="s">
        <v>52</v>
      </c>
      <c r="AQ1720" t="s">
        <v>52</v>
      </c>
      <c r="AR1720" t="s">
        <v>62</v>
      </c>
      <c r="AS1720" t="s">
        <v>52</v>
      </c>
      <c r="AT1720" t="s">
        <v>74</v>
      </c>
      <c r="AU1720" t="s">
        <v>64</v>
      </c>
      <c r="AV1720" t="s">
        <v>62</v>
      </c>
      <c r="AW1720" t="s">
        <v>65</v>
      </c>
      <c r="AX1720" t="s">
        <v>66</v>
      </c>
      <c r="AY1720" t="s">
        <v>67</v>
      </c>
    </row>
    <row r="1721" spans="1:51" hidden="1" x14ac:dyDescent="0.25">
      <c r="A1721">
        <v>402203</v>
      </c>
      <c r="B1721" t="s">
        <v>6458</v>
      </c>
      <c r="C1721" t="e">
        <f>VLOOKUP(A1721,[1]Customer_payment_journal_line!$AL:$BO,30,0)</f>
        <v>#N/A</v>
      </c>
      <c r="D1721" t="s">
        <v>53</v>
      </c>
      <c r="E1721" t="s">
        <v>6459</v>
      </c>
      <c r="F1721" t="s">
        <v>6460</v>
      </c>
      <c r="G1721" t="s">
        <v>6027</v>
      </c>
      <c r="H1721" t="s">
        <v>57</v>
      </c>
      <c r="I1721" t="s">
        <v>319</v>
      </c>
      <c r="J1721" t="s">
        <v>5410</v>
      </c>
      <c r="K1721" t="s">
        <v>5411</v>
      </c>
      <c r="L1721" t="s">
        <v>52</v>
      </c>
      <c r="M1721">
        <v>855</v>
      </c>
      <c r="N1721">
        <v>0</v>
      </c>
      <c r="O1721" t="s">
        <v>61</v>
      </c>
      <c r="P1721">
        <v>100</v>
      </c>
      <c r="Q1721" t="s">
        <v>52</v>
      </c>
      <c r="R1721" t="s">
        <v>52</v>
      </c>
      <c r="S1721" t="s">
        <v>52</v>
      </c>
      <c r="T1721" t="s">
        <v>52</v>
      </c>
      <c r="U1721" t="s">
        <v>52</v>
      </c>
      <c r="V1721" t="s">
        <v>62</v>
      </c>
      <c r="W1721" t="s">
        <v>63</v>
      </c>
      <c r="Y1721" t="s">
        <v>52</v>
      </c>
      <c r="AB1721" t="s">
        <v>52</v>
      </c>
      <c r="AE1721" t="s">
        <v>52</v>
      </c>
      <c r="AF1721" t="s">
        <v>52</v>
      </c>
      <c r="AH1721">
        <v>0</v>
      </c>
      <c r="AI1721">
        <v>0</v>
      </c>
      <c r="AJ1721" t="s">
        <v>52</v>
      </c>
      <c r="AK1721">
        <v>0</v>
      </c>
      <c r="AL1721" t="s">
        <v>52</v>
      </c>
      <c r="AM1721" t="s">
        <v>52</v>
      </c>
      <c r="AN1721">
        <v>0</v>
      </c>
      <c r="AO1721">
        <v>0</v>
      </c>
      <c r="AP1721" t="s">
        <v>52</v>
      </c>
      <c r="AQ1721" t="s">
        <v>52</v>
      </c>
      <c r="AR1721" t="s">
        <v>62</v>
      </c>
      <c r="AS1721" t="s">
        <v>52</v>
      </c>
      <c r="AT1721" t="s">
        <v>52</v>
      </c>
      <c r="AU1721" t="s">
        <v>64</v>
      </c>
      <c r="AV1721" t="s">
        <v>62</v>
      </c>
      <c r="AW1721" t="s">
        <v>65</v>
      </c>
      <c r="AX1721" t="s">
        <v>66</v>
      </c>
      <c r="AY1721" t="s">
        <v>67</v>
      </c>
    </row>
    <row r="1722" spans="1:51" hidden="1" x14ac:dyDescent="0.25">
      <c r="A1722">
        <v>402203</v>
      </c>
      <c r="B1722" t="s">
        <v>6461</v>
      </c>
      <c r="C1722" t="e">
        <f>VLOOKUP(A1722,[1]Customer_payment_journal_line!$AL:$BO,30,0)</f>
        <v>#N/A</v>
      </c>
      <c r="D1722" t="s">
        <v>53</v>
      </c>
      <c r="E1722" t="s">
        <v>6459</v>
      </c>
      <c r="F1722" t="s">
        <v>6460</v>
      </c>
      <c r="G1722" t="s">
        <v>6027</v>
      </c>
      <c r="H1722" t="s">
        <v>69</v>
      </c>
      <c r="I1722" t="s">
        <v>5413</v>
      </c>
      <c r="J1722" t="s">
        <v>5410</v>
      </c>
      <c r="K1722" t="s">
        <v>5411</v>
      </c>
      <c r="L1722" t="s">
        <v>52</v>
      </c>
      <c r="M1722">
        <v>0</v>
      </c>
      <c r="N1722">
        <v>855</v>
      </c>
      <c r="O1722" t="s">
        <v>61</v>
      </c>
      <c r="P1722">
        <v>100</v>
      </c>
      <c r="Q1722" t="s">
        <v>52</v>
      </c>
      <c r="R1722" t="s">
        <v>52</v>
      </c>
      <c r="S1722" t="s">
        <v>52</v>
      </c>
      <c r="T1722" t="s">
        <v>52</v>
      </c>
      <c r="U1722" t="s">
        <v>52</v>
      </c>
      <c r="V1722" t="s">
        <v>62</v>
      </c>
      <c r="W1722" t="s">
        <v>52</v>
      </c>
      <c r="Y1722" t="s">
        <v>5414</v>
      </c>
      <c r="Z1722" t="s">
        <v>62</v>
      </c>
      <c r="AB1722" t="s">
        <v>6462</v>
      </c>
      <c r="AE1722" t="s">
        <v>6463</v>
      </c>
      <c r="AF1722" t="s">
        <v>52</v>
      </c>
      <c r="AH1722">
        <v>0</v>
      </c>
      <c r="AI1722">
        <v>0</v>
      </c>
      <c r="AJ1722" t="s">
        <v>52</v>
      </c>
      <c r="AK1722">
        <v>0</v>
      </c>
      <c r="AL1722" t="s">
        <v>52</v>
      </c>
      <c r="AM1722" t="s">
        <v>52</v>
      </c>
      <c r="AN1722">
        <v>0</v>
      </c>
      <c r="AO1722">
        <v>0</v>
      </c>
      <c r="AP1722" t="s">
        <v>52</v>
      </c>
      <c r="AQ1722" t="s">
        <v>52</v>
      </c>
      <c r="AR1722" t="s">
        <v>62</v>
      </c>
      <c r="AS1722" t="s">
        <v>52</v>
      </c>
      <c r="AT1722" t="s">
        <v>74</v>
      </c>
      <c r="AU1722" t="s">
        <v>64</v>
      </c>
      <c r="AV1722" t="s">
        <v>62</v>
      </c>
      <c r="AW1722" t="s">
        <v>65</v>
      </c>
      <c r="AX1722" t="s">
        <v>66</v>
      </c>
      <c r="AY1722" t="s">
        <v>67</v>
      </c>
    </row>
    <row r="1723" spans="1:51" hidden="1" x14ac:dyDescent="0.25">
      <c r="A1723">
        <v>406183</v>
      </c>
      <c r="B1723" t="s">
        <v>6464</v>
      </c>
      <c r="C1723" t="e">
        <f>VLOOKUP(A1723,[1]Customer_payment_journal_line!$AL:$BO,30,0)</f>
        <v>#N/A</v>
      </c>
      <c r="D1723" t="s">
        <v>53</v>
      </c>
      <c r="E1723" t="s">
        <v>6465</v>
      </c>
      <c r="F1723" t="s">
        <v>6466</v>
      </c>
      <c r="G1723" t="s">
        <v>6027</v>
      </c>
      <c r="H1723" t="s">
        <v>57</v>
      </c>
      <c r="I1723" t="s">
        <v>516</v>
      </c>
      <c r="J1723" t="s">
        <v>6330</v>
      </c>
      <c r="K1723" t="s">
        <v>6331</v>
      </c>
      <c r="L1723" t="s">
        <v>52</v>
      </c>
      <c r="M1723">
        <v>25</v>
      </c>
      <c r="N1723">
        <v>0</v>
      </c>
      <c r="O1723" t="s">
        <v>178</v>
      </c>
      <c r="P1723">
        <v>5085</v>
      </c>
      <c r="Q1723" t="s">
        <v>52</v>
      </c>
      <c r="R1723" t="s">
        <v>52</v>
      </c>
      <c r="S1723" t="s">
        <v>52</v>
      </c>
      <c r="T1723" t="s">
        <v>52</v>
      </c>
      <c r="U1723" t="s">
        <v>52</v>
      </c>
      <c r="V1723" t="s">
        <v>62</v>
      </c>
      <c r="W1723" t="s">
        <v>63</v>
      </c>
      <c r="Y1723" t="s">
        <v>52</v>
      </c>
      <c r="AB1723" t="s">
        <v>52</v>
      </c>
      <c r="AE1723" t="s">
        <v>52</v>
      </c>
      <c r="AF1723" t="s">
        <v>52</v>
      </c>
      <c r="AH1723">
        <v>0</v>
      </c>
      <c r="AI1723">
        <v>0</v>
      </c>
      <c r="AJ1723" t="s">
        <v>52</v>
      </c>
      <c r="AK1723">
        <v>0</v>
      </c>
      <c r="AL1723" t="s">
        <v>52</v>
      </c>
      <c r="AM1723" t="s">
        <v>52</v>
      </c>
      <c r="AN1723">
        <v>0</v>
      </c>
      <c r="AO1723">
        <v>0</v>
      </c>
      <c r="AP1723" t="s">
        <v>52</v>
      </c>
      <c r="AQ1723" t="s">
        <v>52</v>
      </c>
      <c r="AR1723" t="s">
        <v>62</v>
      </c>
      <c r="AS1723" t="s">
        <v>52</v>
      </c>
      <c r="AT1723" t="s">
        <v>52</v>
      </c>
      <c r="AU1723" t="s">
        <v>64</v>
      </c>
      <c r="AV1723" t="s">
        <v>62</v>
      </c>
      <c r="AW1723" t="s">
        <v>65</v>
      </c>
      <c r="AX1723" t="s">
        <v>66</v>
      </c>
      <c r="AY1723" t="s">
        <v>67</v>
      </c>
    </row>
    <row r="1724" spans="1:51" hidden="1" x14ac:dyDescent="0.25">
      <c r="A1724">
        <v>406183</v>
      </c>
      <c r="B1724" t="s">
        <v>6467</v>
      </c>
      <c r="C1724" t="e">
        <f>VLOOKUP(A1724,[1]Customer_payment_journal_line!$AL:$BO,30,0)</f>
        <v>#N/A</v>
      </c>
      <c r="D1724" t="s">
        <v>53</v>
      </c>
      <c r="E1724" t="s">
        <v>6465</v>
      </c>
      <c r="F1724" t="s">
        <v>6466</v>
      </c>
      <c r="G1724" t="s">
        <v>6027</v>
      </c>
      <c r="H1724" t="s">
        <v>69</v>
      </c>
      <c r="I1724" t="s">
        <v>6333</v>
      </c>
      <c r="J1724" t="s">
        <v>6330</v>
      </c>
      <c r="K1724" t="s">
        <v>6331</v>
      </c>
      <c r="L1724" t="s">
        <v>52</v>
      </c>
      <c r="M1724">
        <v>0</v>
      </c>
      <c r="N1724">
        <v>25</v>
      </c>
      <c r="O1724" t="s">
        <v>178</v>
      </c>
      <c r="P1724">
        <v>5085</v>
      </c>
      <c r="Q1724" t="s">
        <v>52</v>
      </c>
      <c r="R1724" t="s">
        <v>52</v>
      </c>
      <c r="S1724" t="s">
        <v>52</v>
      </c>
      <c r="T1724" t="s">
        <v>52</v>
      </c>
      <c r="U1724" t="s">
        <v>52</v>
      </c>
      <c r="V1724" t="s">
        <v>62</v>
      </c>
      <c r="W1724" t="s">
        <v>52</v>
      </c>
      <c r="Y1724" t="s">
        <v>6334</v>
      </c>
      <c r="Z1724" t="s">
        <v>62</v>
      </c>
      <c r="AB1724" t="s">
        <v>6468</v>
      </c>
      <c r="AE1724" t="s">
        <v>6469</v>
      </c>
      <c r="AF1724" t="s">
        <v>52</v>
      </c>
      <c r="AH1724">
        <v>0</v>
      </c>
      <c r="AI1724">
        <v>0</v>
      </c>
      <c r="AJ1724" t="s">
        <v>52</v>
      </c>
      <c r="AK1724">
        <v>0</v>
      </c>
      <c r="AL1724" t="s">
        <v>52</v>
      </c>
      <c r="AM1724" t="s">
        <v>52</v>
      </c>
      <c r="AN1724">
        <v>0</v>
      </c>
      <c r="AO1724">
        <v>0</v>
      </c>
      <c r="AP1724" t="s">
        <v>52</v>
      </c>
      <c r="AQ1724" t="s">
        <v>52</v>
      </c>
      <c r="AR1724" t="s">
        <v>62</v>
      </c>
      <c r="AS1724" t="s">
        <v>52</v>
      </c>
      <c r="AT1724" t="s">
        <v>74</v>
      </c>
      <c r="AU1724" t="s">
        <v>64</v>
      </c>
      <c r="AV1724" t="s">
        <v>62</v>
      </c>
      <c r="AW1724" t="s">
        <v>65</v>
      </c>
      <c r="AX1724" t="s">
        <v>66</v>
      </c>
      <c r="AY1724" t="s">
        <v>67</v>
      </c>
    </row>
    <row r="1725" spans="1:51" hidden="1" x14ac:dyDescent="0.25">
      <c r="A1725">
        <v>403344</v>
      </c>
      <c r="B1725" t="s">
        <v>6470</v>
      </c>
      <c r="C1725" t="e">
        <f>VLOOKUP(A1725,[1]Customer_payment_journal_line!$AL:$BO,30,0)</f>
        <v>#N/A</v>
      </c>
      <c r="D1725" t="s">
        <v>53</v>
      </c>
      <c r="E1725" t="s">
        <v>6471</v>
      </c>
      <c r="F1725" t="s">
        <v>6472</v>
      </c>
      <c r="G1725" t="s">
        <v>6027</v>
      </c>
      <c r="H1725" t="s">
        <v>57</v>
      </c>
      <c r="I1725" t="s">
        <v>516</v>
      </c>
      <c r="J1725" t="s">
        <v>6330</v>
      </c>
      <c r="K1725" t="s">
        <v>6473</v>
      </c>
      <c r="L1725" t="s">
        <v>52</v>
      </c>
      <c r="M1725">
        <v>60</v>
      </c>
      <c r="N1725">
        <v>0</v>
      </c>
      <c r="O1725" t="s">
        <v>178</v>
      </c>
      <c r="P1725">
        <v>5085</v>
      </c>
      <c r="Q1725" t="s">
        <v>52</v>
      </c>
      <c r="R1725" t="s">
        <v>52</v>
      </c>
      <c r="S1725" t="s">
        <v>52</v>
      </c>
      <c r="T1725" t="s">
        <v>52</v>
      </c>
      <c r="U1725" t="s">
        <v>52</v>
      </c>
      <c r="V1725" t="s">
        <v>62</v>
      </c>
      <c r="W1725" t="s">
        <v>63</v>
      </c>
      <c r="Y1725" t="s">
        <v>52</v>
      </c>
      <c r="AB1725" t="s">
        <v>52</v>
      </c>
      <c r="AE1725" t="s">
        <v>52</v>
      </c>
      <c r="AF1725" t="s">
        <v>52</v>
      </c>
      <c r="AH1725">
        <v>0</v>
      </c>
      <c r="AI1725">
        <v>0</v>
      </c>
      <c r="AJ1725" t="s">
        <v>52</v>
      </c>
      <c r="AK1725">
        <v>0</v>
      </c>
      <c r="AL1725" t="s">
        <v>52</v>
      </c>
      <c r="AM1725" t="s">
        <v>52</v>
      </c>
      <c r="AN1725">
        <v>0</v>
      </c>
      <c r="AO1725">
        <v>0</v>
      </c>
      <c r="AP1725" t="s">
        <v>52</v>
      </c>
      <c r="AQ1725" t="s">
        <v>52</v>
      </c>
      <c r="AR1725" t="s">
        <v>62</v>
      </c>
      <c r="AS1725" t="s">
        <v>52</v>
      </c>
      <c r="AT1725" t="s">
        <v>52</v>
      </c>
      <c r="AU1725" t="s">
        <v>64</v>
      </c>
      <c r="AV1725" t="s">
        <v>62</v>
      </c>
      <c r="AW1725" t="s">
        <v>65</v>
      </c>
      <c r="AX1725" t="s">
        <v>66</v>
      </c>
      <c r="AY1725" t="s">
        <v>67</v>
      </c>
    </row>
    <row r="1726" spans="1:51" hidden="1" x14ac:dyDescent="0.25">
      <c r="A1726">
        <v>403344</v>
      </c>
      <c r="B1726" t="s">
        <v>6474</v>
      </c>
      <c r="C1726" t="e">
        <f>VLOOKUP(A1726,[1]Customer_payment_journal_line!$AL:$BO,30,0)</f>
        <v>#N/A</v>
      </c>
      <c r="D1726" t="s">
        <v>53</v>
      </c>
      <c r="E1726" t="s">
        <v>6471</v>
      </c>
      <c r="F1726" t="s">
        <v>6472</v>
      </c>
      <c r="G1726" t="s">
        <v>6027</v>
      </c>
      <c r="H1726" t="s">
        <v>69</v>
      </c>
      <c r="I1726" t="s">
        <v>6333</v>
      </c>
      <c r="J1726" t="s">
        <v>6330</v>
      </c>
      <c r="K1726" t="s">
        <v>6473</v>
      </c>
      <c r="L1726" t="s">
        <v>52</v>
      </c>
      <c r="M1726">
        <v>0</v>
      </c>
      <c r="N1726">
        <v>60</v>
      </c>
      <c r="O1726" t="s">
        <v>178</v>
      </c>
      <c r="P1726">
        <v>5085</v>
      </c>
      <c r="Q1726" t="s">
        <v>52</v>
      </c>
      <c r="R1726" t="s">
        <v>52</v>
      </c>
      <c r="S1726" t="s">
        <v>52</v>
      </c>
      <c r="T1726" t="s">
        <v>52</v>
      </c>
      <c r="U1726" t="s">
        <v>52</v>
      </c>
      <c r="V1726" t="s">
        <v>62</v>
      </c>
      <c r="W1726" t="s">
        <v>52</v>
      </c>
      <c r="Y1726" t="s">
        <v>6334</v>
      </c>
      <c r="Z1726" t="s">
        <v>62</v>
      </c>
      <c r="AB1726" t="s">
        <v>6475</v>
      </c>
      <c r="AE1726" t="s">
        <v>6476</v>
      </c>
      <c r="AF1726" t="s">
        <v>52</v>
      </c>
      <c r="AH1726">
        <v>0</v>
      </c>
      <c r="AI1726">
        <v>0</v>
      </c>
      <c r="AJ1726" t="s">
        <v>52</v>
      </c>
      <c r="AK1726">
        <v>0</v>
      </c>
      <c r="AL1726" t="s">
        <v>52</v>
      </c>
      <c r="AM1726" t="s">
        <v>52</v>
      </c>
      <c r="AN1726">
        <v>0</v>
      </c>
      <c r="AO1726">
        <v>0</v>
      </c>
      <c r="AP1726" t="s">
        <v>52</v>
      </c>
      <c r="AQ1726" t="s">
        <v>52</v>
      </c>
      <c r="AR1726" t="s">
        <v>62</v>
      </c>
      <c r="AS1726" t="s">
        <v>52</v>
      </c>
      <c r="AT1726" t="s">
        <v>74</v>
      </c>
      <c r="AU1726" t="s">
        <v>64</v>
      </c>
      <c r="AV1726" t="s">
        <v>62</v>
      </c>
      <c r="AW1726" t="s">
        <v>65</v>
      </c>
      <c r="AX1726" t="s">
        <v>66</v>
      </c>
      <c r="AY1726" t="s">
        <v>67</v>
      </c>
    </row>
    <row r="1727" spans="1:51" hidden="1" x14ac:dyDescent="0.25">
      <c r="A1727">
        <v>203600</v>
      </c>
      <c r="B1727" t="s">
        <v>6477</v>
      </c>
      <c r="C1727" t="e">
        <f>VLOOKUP(A1727,[1]Customer_payment_journal_line!$AL:$BO,30,0)</f>
        <v>#N/A</v>
      </c>
      <c r="D1727" t="s">
        <v>53</v>
      </c>
      <c r="E1727" t="s">
        <v>6478</v>
      </c>
      <c r="F1727" t="s">
        <v>6479</v>
      </c>
      <c r="G1727" t="s">
        <v>6027</v>
      </c>
      <c r="H1727" t="s">
        <v>57</v>
      </c>
      <c r="I1727" t="s">
        <v>319</v>
      </c>
      <c r="J1727" t="s">
        <v>6480</v>
      </c>
      <c r="K1727" t="s">
        <v>6481</v>
      </c>
      <c r="L1727" t="s">
        <v>52</v>
      </c>
      <c r="M1727">
        <v>5928</v>
      </c>
      <c r="N1727">
        <v>0</v>
      </c>
      <c r="O1727" t="s">
        <v>61</v>
      </c>
      <c r="P1727">
        <v>100</v>
      </c>
      <c r="Q1727" t="s">
        <v>52</v>
      </c>
      <c r="R1727" t="s">
        <v>52</v>
      </c>
      <c r="S1727" t="s">
        <v>52</v>
      </c>
      <c r="T1727" t="s">
        <v>52</v>
      </c>
      <c r="U1727" t="s">
        <v>52</v>
      </c>
      <c r="V1727" t="s">
        <v>62</v>
      </c>
      <c r="W1727" t="s">
        <v>63</v>
      </c>
      <c r="Y1727" t="s">
        <v>52</v>
      </c>
      <c r="AB1727" t="s">
        <v>52</v>
      </c>
      <c r="AE1727" t="s">
        <v>52</v>
      </c>
      <c r="AF1727" t="s">
        <v>52</v>
      </c>
      <c r="AH1727">
        <v>0</v>
      </c>
      <c r="AI1727">
        <v>0</v>
      </c>
      <c r="AJ1727" t="s">
        <v>52</v>
      </c>
      <c r="AK1727">
        <v>0</v>
      </c>
      <c r="AL1727" t="s">
        <v>52</v>
      </c>
      <c r="AM1727" t="s">
        <v>52</v>
      </c>
      <c r="AN1727">
        <v>0</v>
      </c>
      <c r="AO1727">
        <v>0</v>
      </c>
      <c r="AP1727" t="s">
        <v>52</v>
      </c>
      <c r="AQ1727" t="s">
        <v>52</v>
      </c>
      <c r="AR1727" t="s">
        <v>62</v>
      </c>
      <c r="AS1727" t="s">
        <v>52</v>
      </c>
      <c r="AT1727" t="s">
        <v>52</v>
      </c>
      <c r="AU1727" t="s">
        <v>64</v>
      </c>
      <c r="AV1727" t="s">
        <v>62</v>
      </c>
      <c r="AW1727" t="s">
        <v>65</v>
      </c>
      <c r="AX1727" t="s">
        <v>66</v>
      </c>
      <c r="AY1727" t="s">
        <v>67</v>
      </c>
    </row>
    <row r="1728" spans="1:51" hidden="1" x14ac:dyDescent="0.25">
      <c r="A1728">
        <v>203600</v>
      </c>
      <c r="B1728" t="s">
        <v>6482</v>
      </c>
      <c r="C1728" t="e">
        <f>VLOOKUP(A1728,[1]Customer_payment_journal_line!$AL:$BO,30,0)</f>
        <v>#N/A</v>
      </c>
      <c r="D1728" t="s">
        <v>53</v>
      </c>
      <c r="E1728" t="s">
        <v>6478</v>
      </c>
      <c r="F1728" t="s">
        <v>6479</v>
      </c>
      <c r="G1728" t="s">
        <v>6027</v>
      </c>
      <c r="H1728" t="s">
        <v>69</v>
      </c>
      <c r="I1728" t="s">
        <v>6483</v>
      </c>
      <c r="J1728" t="s">
        <v>6480</v>
      </c>
      <c r="K1728" t="s">
        <v>6481</v>
      </c>
      <c r="L1728" t="s">
        <v>52</v>
      </c>
      <c r="M1728">
        <v>0</v>
      </c>
      <c r="N1728">
        <v>5928</v>
      </c>
      <c r="O1728" t="s">
        <v>61</v>
      </c>
      <c r="P1728">
        <v>100</v>
      </c>
      <c r="Q1728" t="s">
        <v>52</v>
      </c>
      <c r="R1728" t="s">
        <v>52</v>
      </c>
      <c r="S1728" t="s">
        <v>52</v>
      </c>
      <c r="T1728" t="s">
        <v>52</v>
      </c>
      <c r="U1728" t="s">
        <v>52</v>
      </c>
      <c r="V1728" t="s">
        <v>62</v>
      </c>
      <c r="W1728" t="s">
        <v>52</v>
      </c>
      <c r="Y1728" t="s">
        <v>6484</v>
      </c>
      <c r="Z1728" t="s">
        <v>62</v>
      </c>
      <c r="AB1728" t="s">
        <v>6485</v>
      </c>
      <c r="AE1728" t="s">
        <v>6486</v>
      </c>
      <c r="AF1728" t="s">
        <v>52</v>
      </c>
      <c r="AH1728">
        <v>0</v>
      </c>
      <c r="AI1728">
        <v>0</v>
      </c>
      <c r="AJ1728" t="s">
        <v>52</v>
      </c>
      <c r="AK1728">
        <v>0</v>
      </c>
      <c r="AL1728" t="s">
        <v>52</v>
      </c>
      <c r="AM1728" t="s">
        <v>52</v>
      </c>
      <c r="AN1728">
        <v>0</v>
      </c>
      <c r="AO1728">
        <v>0</v>
      </c>
      <c r="AP1728" t="s">
        <v>52</v>
      </c>
      <c r="AQ1728" t="s">
        <v>52</v>
      </c>
      <c r="AR1728" t="s">
        <v>62</v>
      </c>
      <c r="AS1728" t="s">
        <v>52</v>
      </c>
      <c r="AT1728" t="s">
        <v>74</v>
      </c>
      <c r="AU1728" t="s">
        <v>64</v>
      </c>
      <c r="AV1728" t="s">
        <v>62</v>
      </c>
      <c r="AW1728" t="s">
        <v>65</v>
      </c>
      <c r="AX1728" t="s">
        <v>66</v>
      </c>
      <c r="AY1728" t="s">
        <v>67</v>
      </c>
    </row>
    <row r="1729" spans="1:51" hidden="1" x14ac:dyDescent="0.25">
      <c r="A1729">
        <v>203601</v>
      </c>
      <c r="B1729" t="s">
        <v>6487</v>
      </c>
      <c r="C1729" t="e">
        <f>VLOOKUP(A1729,[1]Customer_payment_journal_line!$AL:$BO,30,0)</f>
        <v>#N/A</v>
      </c>
      <c r="D1729" t="s">
        <v>53</v>
      </c>
      <c r="E1729" t="s">
        <v>6488</v>
      </c>
      <c r="F1729" t="s">
        <v>6489</v>
      </c>
      <c r="G1729" t="s">
        <v>6027</v>
      </c>
      <c r="H1729" t="s">
        <v>57</v>
      </c>
      <c r="I1729" t="s">
        <v>319</v>
      </c>
      <c r="J1729" t="s">
        <v>6480</v>
      </c>
      <c r="K1729" t="s">
        <v>6481</v>
      </c>
      <c r="L1729" t="s">
        <v>52</v>
      </c>
      <c r="M1729">
        <v>855</v>
      </c>
      <c r="N1729">
        <v>0</v>
      </c>
      <c r="O1729" t="s">
        <v>61</v>
      </c>
      <c r="P1729">
        <v>100</v>
      </c>
      <c r="Q1729" t="s">
        <v>52</v>
      </c>
      <c r="R1729" t="s">
        <v>52</v>
      </c>
      <c r="S1729" t="s">
        <v>52</v>
      </c>
      <c r="T1729" t="s">
        <v>52</v>
      </c>
      <c r="U1729" t="s">
        <v>52</v>
      </c>
      <c r="V1729" t="s">
        <v>62</v>
      </c>
      <c r="W1729" t="s">
        <v>63</v>
      </c>
      <c r="Y1729" t="s">
        <v>52</v>
      </c>
      <c r="AB1729" t="s">
        <v>52</v>
      </c>
      <c r="AE1729" t="s">
        <v>52</v>
      </c>
      <c r="AF1729" t="s">
        <v>52</v>
      </c>
      <c r="AH1729">
        <v>0</v>
      </c>
      <c r="AI1729">
        <v>0</v>
      </c>
      <c r="AJ1729" t="s">
        <v>52</v>
      </c>
      <c r="AK1729">
        <v>0</v>
      </c>
      <c r="AL1729" t="s">
        <v>52</v>
      </c>
      <c r="AM1729" t="s">
        <v>52</v>
      </c>
      <c r="AN1729">
        <v>0</v>
      </c>
      <c r="AO1729">
        <v>0</v>
      </c>
      <c r="AP1729" t="s">
        <v>52</v>
      </c>
      <c r="AQ1729" t="s">
        <v>52</v>
      </c>
      <c r="AR1729" t="s">
        <v>62</v>
      </c>
      <c r="AS1729" t="s">
        <v>52</v>
      </c>
      <c r="AT1729" t="s">
        <v>52</v>
      </c>
      <c r="AU1729" t="s">
        <v>64</v>
      </c>
      <c r="AV1729" t="s">
        <v>62</v>
      </c>
      <c r="AW1729" t="s">
        <v>65</v>
      </c>
      <c r="AX1729" t="s">
        <v>66</v>
      </c>
      <c r="AY1729" t="s">
        <v>67</v>
      </c>
    </row>
    <row r="1730" spans="1:51" hidden="1" x14ac:dyDescent="0.25">
      <c r="A1730">
        <v>203601</v>
      </c>
      <c r="B1730" t="s">
        <v>6490</v>
      </c>
      <c r="C1730" t="e">
        <f>VLOOKUP(A1730,[1]Customer_payment_journal_line!$AL:$BO,30,0)</f>
        <v>#N/A</v>
      </c>
      <c r="D1730" t="s">
        <v>53</v>
      </c>
      <c r="E1730" t="s">
        <v>6488</v>
      </c>
      <c r="F1730" t="s">
        <v>6489</v>
      </c>
      <c r="G1730" t="s">
        <v>6027</v>
      </c>
      <c r="H1730" t="s">
        <v>69</v>
      </c>
      <c r="I1730" t="s">
        <v>6483</v>
      </c>
      <c r="J1730" t="s">
        <v>6480</v>
      </c>
      <c r="K1730" t="s">
        <v>6481</v>
      </c>
      <c r="L1730" t="s">
        <v>52</v>
      </c>
      <c r="M1730">
        <v>0</v>
      </c>
      <c r="N1730">
        <v>855</v>
      </c>
      <c r="O1730" t="s">
        <v>61</v>
      </c>
      <c r="P1730">
        <v>100</v>
      </c>
      <c r="Q1730" t="s">
        <v>52</v>
      </c>
      <c r="R1730" t="s">
        <v>52</v>
      </c>
      <c r="S1730" t="s">
        <v>52</v>
      </c>
      <c r="T1730" t="s">
        <v>52</v>
      </c>
      <c r="U1730" t="s">
        <v>52</v>
      </c>
      <c r="V1730" t="s">
        <v>62</v>
      </c>
      <c r="W1730" t="s">
        <v>52</v>
      </c>
      <c r="Y1730" t="s">
        <v>6484</v>
      </c>
      <c r="Z1730" t="s">
        <v>62</v>
      </c>
      <c r="AB1730" t="s">
        <v>6491</v>
      </c>
      <c r="AE1730" t="s">
        <v>6492</v>
      </c>
      <c r="AF1730" t="s">
        <v>52</v>
      </c>
      <c r="AH1730">
        <v>0</v>
      </c>
      <c r="AI1730">
        <v>0</v>
      </c>
      <c r="AJ1730" t="s">
        <v>52</v>
      </c>
      <c r="AK1730">
        <v>0</v>
      </c>
      <c r="AL1730" t="s">
        <v>52</v>
      </c>
      <c r="AM1730" t="s">
        <v>52</v>
      </c>
      <c r="AN1730">
        <v>0</v>
      </c>
      <c r="AO1730">
        <v>0</v>
      </c>
      <c r="AP1730" t="s">
        <v>52</v>
      </c>
      <c r="AQ1730" t="s">
        <v>52</v>
      </c>
      <c r="AR1730" t="s">
        <v>62</v>
      </c>
      <c r="AS1730" t="s">
        <v>52</v>
      </c>
      <c r="AT1730" t="s">
        <v>74</v>
      </c>
      <c r="AU1730" t="s">
        <v>64</v>
      </c>
      <c r="AV1730" t="s">
        <v>62</v>
      </c>
      <c r="AW1730" t="s">
        <v>65</v>
      </c>
      <c r="AX1730" t="s">
        <v>66</v>
      </c>
      <c r="AY1730" t="s">
        <v>67</v>
      </c>
    </row>
    <row r="1731" spans="1:51" hidden="1" x14ac:dyDescent="0.25">
      <c r="A1731">
        <v>317162</v>
      </c>
      <c r="B1731" t="s">
        <v>6493</v>
      </c>
      <c r="C1731" t="e">
        <f>VLOOKUP(A1731,[1]Customer_payment_journal_line!$AL:$BO,30,0)</f>
        <v>#N/A</v>
      </c>
      <c r="D1731" t="s">
        <v>53</v>
      </c>
      <c r="E1731" t="s">
        <v>6494</v>
      </c>
      <c r="F1731" t="s">
        <v>6495</v>
      </c>
      <c r="G1731" t="s">
        <v>6027</v>
      </c>
      <c r="H1731" t="s">
        <v>201</v>
      </c>
      <c r="I1731" t="s">
        <v>58</v>
      </c>
      <c r="J1731" t="s">
        <v>202</v>
      </c>
      <c r="K1731" t="s">
        <v>1185</v>
      </c>
      <c r="L1731" t="s">
        <v>52</v>
      </c>
      <c r="M1731">
        <v>10558.03</v>
      </c>
      <c r="N1731">
        <v>0</v>
      </c>
      <c r="O1731" t="s">
        <v>61</v>
      </c>
      <c r="P1731">
        <v>100</v>
      </c>
      <c r="Q1731" t="s">
        <v>52</v>
      </c>
      <c r="R1731" t="s">
        <v>52</v>
      </c>
      <c r="S1731" t="s">
        <v>52</v>
      </c>
      <c r="T1731" t="s">
        <v>52</v>
      </c>
      <c r="U1731" t="s">
        <v>52</v>
      </c>
      <c r="V1731" t="s">
        <v>62</v>
      </c>
      <c r="W1731" t="s">
        <v>63</v>
      </c>
      <c r="Y1731" t="s">
        <v>52</v>
      </c>
      <c r="AB1731" t="s">
        <v>6496</v>
      </c>
      <c r="AE1731" t="s">
        <v>6496</v>
      </c>
      <c r="AF1731" t="s">
        <v>52</v>
      </c>
      <c r="AH1731">
        <v>0</v>
      </c>
      <c r="AI1731">
        <v>0</v>
      </c>
      <c r="AJ1731" t="s">
        <v>52</v>
      </c>
      <c r="AK1731">
        <v>0</v>
      </c>
      <c r="AL1731" t="s">
        <v>52</v>
      </c>
      <c r="AM1731" t="s">
        <v>52</v>
      </c>
      <c r="AN1731">
        <v>0</v>
      </c>
      <c r="AO1731">
        <v>0</v>
      </c>
      <c r="AP1731" t="s">
        <v>52</v>
      </c>
      <c r="AQ1731" t="s">
        <v>52</v>
      </c>
      <c r="AR1731" t="s">
        <v>62</v>
      </c>
      <c r="AS1731" t="s">
        <v>52</v>
      </c>
      <c r="AT1731" t="s">
        <v>52</v>
      </c>
      <c r="AU1731" t="s">
        <v>64</v>
      </c>
      <c r="AV1731" t="s">
        <v>62</v>
      </c>
      <c r="AW1731" t="s">
        <v>65</v>
      </c>
      <c r="AX1731" t="s">
        <v>66</v>
      </c>
      <c r="AY1731" t="s">
        <v>67</v>
      </c>
    </row>
    <row r="1732" spans="1:51" hidden="1" x14ac:dyDescent="0.25">
      <c r="A1732">
        <v>317162</v>
      </c>
      <c r="B1732" t="s">
        <v>6497</v>
      </c>
      <c r="C1732" t="e">
        <f>VLOOKUP(A1732,[1]Customer_payment_journal_line!$AL:$BO,30,0)</f>
        <v>#N/A</v>
      </c>
      <c r="D1732" t="s">
        <v>53</v>
      </c>
      <c r="E1732" t="s">
        <v>6494</v>
      </c>
      <c r="F1732" t="s">
        <v>6495</v>
      </c>
      <c r="G1732" t="s">
        <v>6027</v>
      </c>
      <c r="H1732" t="s">
        <v>69</v>
      </c>
      <c r="I1732" t="s">
        <v>1187</v>
      </c>
      <c r="J1732" t="s">
        <v>6498</v>
      </c>
      <c r="K1732" t="s">
        <v>1185</v>
      </c>
      <c r="L1732" t="s">
        <v>52</v>
      </c>
      <c r="M1732">
        <v>0</v>
      </c>
      <c r="N1732">
        <v>200</v>
      </c>
      <c r="O1732" t="s">
        <v>126</v>
      </c>
      <c r="P1732">
        <v>5285</v>
      </c>
      <c r="Q1732" t="s">
        <v>52</v>
      </c>
      <c r="R1732" t="s">
        <v>52</v>
      </c>
      <c r="S1732" t="s">
        <v>52</v>
      </c>
      <c r="T1732" t="s">
        <v>52</v>
      </c>
      <c r="U1732" t="s">
        <v>52</v>
      </c>
      <c r="V1732" t="s">
        <v>62</v>
      </c>
      <c r="W1732" t="s">
        <v>52</v>
      </c>
      <c r="Y1732" t="s">
        <v>1188</v>
      </c>
      <c r="Z1732" t="s">
        <v>62</v>
      </c>
      <c r="AB1732" t="s">
        <v>6496</v>
      </c>
      <c r="AE1732" t="s">
        <v>6496</v>
      </c>
      <c r="AF1732" t="s">
        <v>52</v>
      </c>
      <c r="AH1732">
        <v>0</v>
      </c>
      <c r="AI1732">
        <v>0</v>
      </c>
      <c r="AJ1732" t="s">
        <v>52</v>
      </c>
      <c r="AK1732">
        <v>0</v>
      </c>
      <c r="AL1732" t="s">
        <v>52</v>
      </c>
      <c r="AM1732" t="s">
        <v>52</v>
      </c>
      <c r="AN1732">
        <v>0</v>
      </c>
      <c r="AO1732">
        <v>0</v>
      </c>
      <c r="AP1732" t="s">
        <v>52</v>
      </c>
      <c r="AQ1732" t="s">
        <v>52</v>
      </c>
      <c r="AR1732" t="s">
        <v>62</v>
      </c>
      <c r="AS1732" t="s">
        <v>52</v>
      </c>
      <c r="AT1732" t="s">
        <v>74</v>
      </c>
      <c r="AU1732" t="s">
        <v>64</v>
      </c>
      <c r="AV1732" t="s">
        <v>62</v>
      </c>
      <c r="AW1732" t="s">
        <v>65</v>
      </c>
      <c r="AX1732" t="s">
        <v>66</v>
      </c>
      <c r="AY1732" t="s">
        <v>67</v>
      </c>
    </row>
    <row r="1733" spans="1:51" hidden="1" x14ac:dyDescent="0.25">
      <c r="A1733">
        <v>317162</v>
      </c>
      <c r="B1733" t="s">
        <v>6499</v>
      </c>
      <c r="C1733" t="e">
        <f>VLOOKUP(A1733,[1]Customer_payment_journal_line!$AL:$BO,30,0)</f>
        <v>#N/A</v>
      </c>
      <c r="D1733" t="s">
        <v>53</v>
      </c>
      <c r="E1733" t="s">
        <v>6494</v>
      </c>
      <c r="F1733" t="s">
        <v>6495</v>
      </c>
      <c r="G1733" t="s">
        <v>6027</v>
      </c>
      <c r="H1733" t="s">
        <v>210</v>
      </c>
      <c r="I1733" t="s">
        <v>6500</v>
      </c>
      <c r="J1733" t="s">
        <v>52</v>
      </c>
      <c r="K1733" t="s">
        <v>1185</v>
      </c>
      <c r="L1733" t="s">
        <v>52</v>
      </c>
      <c r="M1733">
        <v>11.97</v>
      </c>
      <c r="N1733">
        <v>0</v>
      </c>
      <c r="O1733" t="s">
        <v>61</v>
      </c>
      <c r="P1733">
        <v>100</v>
      </c>
      <c r="Q1733" t="s">
        <v>52</v>
      </c>
      <c r="R1733" t="s">
        <v>52</v>
      </c>
      <c r="S1733" t="s">
        <v>52</v>
      </c>
      <c r="T1733" t="s">
        <v>52</v>
      </c>
      <c r="U1733" t="s">
        <v>52</v>
      </c>
      <c r="V1733" t="s">
        <v>62</v>
      </c>
      <c r="W1733" t="s">
        <v>63</v>
      </c>
      <c r="Y1733" t="s">
        <v>1188</v>
      </c>
      <c r="AB1733" t="s">
        <v>6496</v>
      </c>
      <c r="AE1733" t="s">
        <v>6496</v>
      </c>
      <c r="AF1733" t="s">
        <v>52</v>
      </c>
      <c r="AH1733">
        <v>0</v>
      </c>
      <c r="AI1733">
        <v>0</v>
      </c>
      <c r="AJ1733" t="s">
        <v>52</v>
      </c>
      <c r="AK1733">
        <v>0</v>
      </c>
      <c r="AL1733" t="s">
        <v>52</v>
      </c>
      <c r="AM1733" t="s">
        <v>52</v>
      </c>
      <c r="AN1733">
        <v>0</v>
      </c>
      <c r="AO1733">
        <v>0</v>
      </c>
      <c r="AP1733" t="s">
        <v>52</v>
      </c>
      <c r="AQ1733" t="s">
        <v>52</v>
      </c>
      <c r="AR1733" t="s">
        <v>62</v>
      </c>
      <c r="AS1733" t="s">
        <v>52</v>
      </c>
      <c r="AT1733" t="s">
        <v>52</v>
      </c>
      <c r="AU1733" t="s">
        <v>64</v>
      </c>
      <c r="AV1733" t="s">
        <v>62</v>
      </c>
      <c r="AW1733" t="s">
        <v>65</v>
      </c>
      <c r="AX1733" t="s">
        <v>66</v>
      </c>
      <c r="AY1733" t="s">
        <v>67</v>
      </c>
    </row>
    <row r="1734" spans="1:51" hidden="1" x14ac:dyDescent="0.25">
      <c r="A1734">
        <v>406186</v>
      </c>
      <c r="B1734" t="s">
        <v>6501</v>
      </c>
      <c r="C1734" t="e">
        <f>VLOOKUP(A1734,[1]Customer_payment_journal_line!$AL:$BO,30,0)</f>
        <v>#N/A</v>
      </c>
      <c r="D1734" t="s">
        <v>53</v>
      </c>
      <c r="E1734" t="s">
        <v>6502</v>
      </c>
      <c r="F1734" t="s">
        <v>6503</v>
      </c>
      <c r="G1734" t="s">
        <v>6027</v>
      </c>
      <c r="H1734" t="s">
        <v>57</v>
      </c>
      <c r="I1734" t="s">
        <v>58</v>
      </c>
      <c r="J1734" t="s">
        <v>5123</v>
      </c>
      <c r="K1734" t="s">
        <v>5124</v>
      </c>
      <c r="L1734" t="s">
        <v>52</v>
      </c>
      <c r="M1734">
        <v>8000.01</v>
      </c>
      <c r="N1734">
        <v>0</v>
      </c>
      <c r="O1734" t="s">
        <v>61</v>
      </c>
      <c r="P1734">
        <v>100</v>
      </c>
      <c r="Q1734" t="s">
        <v>52</v>
      </c>
      <c r="R1734" t="s">
        <v>52</v>
      </c>
      <c r="S1734" t="s">
        <v>52</v>
      </c>
      <c r="T1734" t="s">
        <v>52</v>
      </c>
      <c r="U1734" t="s">
        <v>52</v>
      </c>
      <c r="V1734" t="s">
        <v>62</v>
      </c>
      <c r="W1734" t="s">
        <v>63</v>
      </c>
      <c r="Y1734" t="s">
        <v>52</v>
      </c>
      <c r="AB1734" t="s">
        <v>52</v>
      </c>
      <c r="AE1734" t="s">
        <v>52</v>
      </c>
      <c r="AF1734" t="s">
        <v>52</v>
      </c>
      <c r="AH1734">
        <v>0</v>
      </c>
      <c r="AI1734">
        <v>0</v>
      </c>
      <c r="AJ1734" t="s">
        <v>52</v>
      </c>
      <c r="AK1734">
        <v>0</v>
      </c>
      <c r="AL1734" t="s">
        <v>52</v>
      </c>
      <c r="AM1734" t="s">
        <v>52</v>
      </c>
      <c r="AN1734">
        <v>0</v>
      </c>
      <c r="AO1734">
        <v>0</v>
      </c>
      <c r="AP1734" t="s">
        <v>52</v>
      </c>
      <c r="AQ1734" t="s">
        <v>52</v>
      </c>
      <c r="AR1734" t="s">
        <v>62</v>
      </c>
      <c r="AS1734" t="s">
        <v>52</v>
      </c>
      <c r="AT1734" t="s">
        <v>52</v>
      </c>
      <c r="AU1734" t="s">
        <v>64</v>
      </c>
      <c r="AV1734" t="s">
        <v>62</v>
      </c>
      <c r="AW1734" t="s">
        <v>65</v>
      </c>
      <c r="AX1734" t="s">
        <v>66</v>
      </c>
      <c r="AY1734" t="s">
        <v>67</v>
      </c>
    </row>
    <row r="1735" spans="1:51" hidden="1" x14ac:dyDescent="0.25">
      <c r="A1735">
        <v>406186</v>
      </c>
      <c r="B1735" t="s">
        <v>6504</v>
      </c>
      <c r="C1735" t="e">
        <f>VLOOKUP(A1735,[1]Customer_payment_journal_line!$AL:$BO,30,0)</f>
        <v>#N/A</v>
      </c>
      <c r="D1735" t="s">
        <v>53</v>
      </c>
      <c r="E1735" t="s">
        <v>6502</v>
      </c>
      <c r="F1735" t="s">
        <v>6503</v>
      </c>
      <c r="G1735" t="s">
        <v>6027</v>
      </c>
      <c r="H1735" t="s">
        <v>69</v>
      </c>
      <c r="I1735" t="s">
        <v>5126</v>
      </c>
      <c r="J1735" t="s">
        <v>5123</v>
      </c>
      <c r="K1735" t="s">
        <v>5124</v>
      </c>
      <c r="L1735" t="s">
        <v>52</v>
      </c>
      <c r="M1735">
        <v>0</v>
      </c>
      <c r="N1735">
        <v>8000.01</v>
      </c>
      <c r="O1735" t="s">
        <v>61</v>
      </c>
      <c r="P1735">
        <v>100</v>
      </c>
      <c r="Q1735" t="s">
        <v>52</v>
      </c>
      <c r="R1735" t="s">
        <v>52</v>
      </c>
      <c r="S1735" t="s">
        <v>52</v>
      </c>
      <c r="T1735" t="s">
        <v>52</v>
      </c>
      <c r="U1735" t="s">
        <v>52</v>
      </c>
      <c r="V1735" t="s">
        <v>62</v>
      </c>
      <c r="W1735" t="s">
        <v>52</v>
      </c>
      <c r="Y1735" t="s">
        <v>5127</v>
      </c>
      <c r="Z1735" t="s">
        <v>62</v>
      </c>
      <c r="AB1735" t="s">
        <v>6505</v>
      </c>
      <c r="AE1735" t="s">
        <v>6506</v>
      </c>
      <c r="AF1735" t="s">
        <v>52</v>
      </c>
      <c r="AH1735">
        <v>0</v>
      </c>
      <c r="AI1735">
        <v>0</v>
      </c>
      <c r="AJ1735" t="s">
        <v>52</v>
      </c>
      <c r="AK1735">
        <v>0</v>
      </c>
      <c r="AL1735" t="s">
        <v>52</v>
      </c>
      <c r="AM1735" t="s">
        <v>52</v>
      </c>
      <c r="AN1735">
        <v>0</v>
      </c>
      <c r="AO1735">
        <v>0</v>
      </c>
      <c r="AP1735" t="s">
        <v>52</v>
      </c>
      <c r="AQ1735" t="s">
        <v>52</v>
      </c>
      <c r="AR1735" t="s">
        <v>62</v>
      </c>
      <c r="AS1735" t="s">
        <v>52</v>
      </c>
      <c r="AT1735" t="s">
        <v>74</v>
      </c>
      <c r="AU1735" t="s">
        <v>64</v>
      </c>
      <c r="AV1735" t="s">
        <v>62</v>
      </c>
      <c r="AW1735" t="s">
        <v>65</v>
      </c>
      <c r="AX1735" t="s">
        <v>66</v>
      </c>
      <c r="AY1735" t="s">
        <v>67</v>
      </c>
    </row>
    <row r="1736" spans="1:51" hidden="1" x14ac:dyDescent="0.25">
      <c r="A1736">
        <v>406187</v>
      </c>
      <c r="B1736" t="s">
        <v>6507</v>
      </c>
      <c r="C1736" t="e">
        <f>VLOOKUP(A1736,[1]Customer_payment_journal_line!$AL:$BO,30,0)</f>
        <v>#N/A</v>
      </c>
      <c r="D1736" t="s">
        <v>53</v>
      </c>
      <c r="E1736" t="s">
        <v>6508</v>
      </c>
      <c r="F1736" t="s">
        <v>6509</v>
      </c>
      <c r="G1736" t="s">
        <v>6027</v>
      </c>
      <c r="H1736" t="s">
        <v>57</v>
      </c>
      <c r="I1736" t="s">
        <v>58</v>
      </c>
      <c r="J1736" t="s">
        <v>5123</v>
      </c>
      <c r="K1736" t="s">
        <v>5124</v>
      </c>
      <c r="L1736" t="s">
        <v>52</v>
      </c>
      <c r="M1736">
        <v>855</v>
      </c>
      <c r="N1736">
        <v>0</v>
      </c>
      <c r="O1736" t="s">
        <v>61</v>
      </c>
      <c r="P1736">
        <v>100</v>
      </c>
      <c r="Q1736" t="s">
        <v>52</v>
      </c>
      <c r="R1736" t="s">
        <v>52</v>
      </c>
      <c r="S1736" t="s">
        <v>52</v>
      </c>
      <c r="T1736" t="s">
        <v>52</v>
      </c>
      <c r="U1736" t="s">
        <v>52</v>
      </c>
      <c r="V1736" t="s">
        <v>62</v>
      </c>
      <c r="W1736" t="s">
        <v>63</v>
      </c>
      <c r="Y1736" t="s">
        <v>52</v>
      </c>
      <c r="AB1736" t="s">
        <v>52</v>
      </c>
      <c r="AE1736" t="s">
        <v>52</v>
      </c>
      <c r="AF1736" t="s">
        <v>52</v>
      </c>
      <c r="AH1736">
        <v>0</v>
      </c>
      <c r="AI1736">
        <v>0</v>
      </c>
      <c r="AJ1736" t="s">
        <v>52</v>
      </c>
      <c r="AK1736">
        <v>0</v>
      </c>
      <c r="AL1736" t="s">
        <v>52</v>
      </c>
      <c r="AM1736" t="s">
        <v>52</v>
      </c>
      <c r="AN1736">
        <v>0</v>
      </c>
      <c r="AO1736">
        <v>0</v>
      </c>
      <c r="AP1736" t="s">
        <v>52</v>
      </c>
      <c r="AQ1736" t="s">
        <v>52</v>
      </c>
      <c r="AR1736" t="s">
        <v>62</v>
      </c>
      <c r="AS1736" t="s">
        <v>52</v>
      </c>
      <c r="AT1736" t="s">
        <v>52</v>
      </c>
      <c r="AU1736" t="s">
        <v>64</v>
      </c>
      <c r="AV1736" t="s">
        <v>62</v>
      </c>
      <c r="AW1736" t="s">
        <v>65</v>
      </c>
      <c r="AX1736" t="s">
        <v>66</v>
      </c>
      <c r="AY1736" t="s">
        <v>67</v>
      </c>
    </row>
    <row r="1737" spans="1:51" hidden="1" x14ac:dyDescent="0.25">
      <c r="A1737">
        <v>406187</v>
      </c>
      <c r="B1737" t="s">
        <v>6510</v>
      </c>
      <c r="C1737" t="e">
        <f>VLOOKUP(A1737,[1]Customer_payment_journal_line!$AL:$BO,30,0)</f>
        <v>#N/A</v>
      </c>
      <c r="D1737" t="s">
        <v>53</v>
      </c>
      <c r="E1737" t="s">
        <v>6508</v>
      </c>
      <c r="F1737" t="s">
        <v>6509</v>
      </c>
      <c r="G1737" t="s">
        <v>6027</v>
      </c>
      <c r="H1737" t="s">
        <v>69</v>
      </c>
      <c r="I1737" t="s">
        <v>5126</v>
      </c>
      <c r="J1737" t="s">
        <v>5123</v>
      </c>
      <c r="K1737" t="s">
        <v>5124</v>
      </c>
      <c r="L1737" t="s">
        <v>52</v>
      </c>
      <c r="M1737">
        <v>0</v>
      </c>
      <c r="N1737">
        <v>855</v>
      </c>
      <c r="O1737" t="s">
        <v>61</v>
      </c>
      <c r="P1737">
        <v>100</v>
      </c>
      <c r="Q1737" t="s">
        <v>52</v>
      </c>
      <c r="R1737" t="s">
        <v>52</v>
      </c>
      <c r="S1737" t="s">
        <v>52</v>
      </c>
      <c r="T1737" t="s">
        <v>52</v>
      </c>
      <c r="U1737" t="s">
        <v>52</v>
      </c>
      <c r="V1737" t="s">
        <v>62</v>
      </c>
      <c r="W1737" t="s">
        <v>52</v>
      </c>
      <c r="Y1737" t="s">
        <v>5127</v>
      </c>
      <c r="Z1737" t="s">
        <v>62</v>
      </c>
      <c r="AB1737" t="s">
        <v>6511</v>
      </c>
      <c r="AE1737" t="s">
        <v>6512</v>
      </c>
      <c r="AF1737" t="s">
        <v>52</v>
      </c>
      <c r="AH1737">
        <v>0</v>
      </c>
      <c r="AI1737">
        <v>0</v>
      </c>
      <c r="AJ1737" t="s">
        <v>52</v>
      </c>
      <c r="AK1737">
        <v>0</v>
      </c>
      <c r="AL1737" t="s">
        <v>52</v>
      </c>
      <c r="AM1737" t="s">
        <v>52</v>
      </c>
      <c r="AN1737">
        <v>0</v>
      </c>
      <c r="AO1737">
        <v>0</v>
      </c>
      <c r="AP1737" t="s">
        <v>52</v>
      </c>
      <c r="AQ1737" t="s">
        <v>52</v>
      </c>
      <c r="AR1737" t="s">
        <v>62</v>
      </c>
      <c r="AS1737" t="s">
        <v>52</v>
      </c>
      <c r="AT1737" t="s">
        <v>74</v>
      </c>
      <c r="AU1737" t="s">
        <v>64</v>
      </c>
      <c r="AV1737" t="s">
        <v>62</v>
      </c>
      <c r="AW1737" t="s">
        <v>65</v>
      </c>
      <c r="AX1737" t="s">
        <v>66</v>
      </c>
      <c r="AY1737" t="s">
        <v>67</v>
      </c>
    </row>
    <row r="1738" spans="1:51" hidden="1" x14ac:dyDescent="0.25">
      <c r="A1738">
        <v>317163</v>
      </c>
      <c r="B1738" t="s">
        <v>6513</v>
      </c>
      <c r="C1738" t="e">
        <f>VLOOKUP(A1738,[1]Customer_payment_journal_line!$AL:$BO,30,0)</f>
        <v>#N/A</v>
      </c>
      <c r="D1738" t="s">
        <v>53</v>
      </c>
      <c r="E1738" t="s">
        <v>6514</v>
      </c>
      <c r="F1738" t="s">
        <v>6515</v>
      </c>
      <c r="G1738" t="s">
        <v>6027</v>
      </c>
      <c r="H1738" t="s">
        <v>201</v>
      </c>
      <c r="I1738" t="s">
        <v>516</v>
      </c>
      <c r="J1738" t="s">
        <v>6516</v>
      </c>
      <c r="K1738" t="s">
        <v>6517</v>
      </c>
      <c r="L1738" t="s">
        <v>52</v>
      </c>
      <c r="M1738">
        <v>2833</v>
      </c>
      <c r="N1738">
        <v>0</v>
      </c>
      <c r="O1738" t="s">
        <v>178</v>
      </c>
      <c r="P1738">
        <v>5085</v>
      </c>
      <c r="Q1738" t="s">
        <v>52</v>
      </c>
      <c r="R1738" t="s">
        <v>52</v>
      </c>
      <c r="S1738" t="s">
        <v>52</v>
      </c>
      <c r="T1738" t="s">
        <v>52</v>
      </c>
      <c r="U1738" t="s">
        <v>52</v>
      </c>
      <c r="V1738" t="s">
        <v>62</v>
      </c>
      <c r="W1738" t="s">
        <v>63</v>
      </c>
      <c r="Y1738" t="s">
        <v>52</v>
      </c>
      <c r="AB1738" t="s">
        <v>6518</v>
      </c>
      <c r="AE1738" t="s">
        <v>6518</v>
      </c>
      <c r="AF1738" t="s">
        <v>52</v>
      </c>
      <c r="AH1738">
        <v>0</v>
      </c>
      <c r="AI1738">
        <v>0</v>
      </c>
      <c r="AJ1738" t="s">
        <v>52</v>
      </c>
      <c r="AK1738">
        <v>0</v>
      </c>
      <c r="AL1738" t="s">
        <v>52</v>
      </c>
      <c r="AM1738" t="s">
        <v>52</v>
      </c>
      <c r="AN1738">
        <v>0</v>
      </c>
      <c r="AO1738">
        <v>0</v>
      </c>
      <c r="AP1738" t="s">
        <v>52</v>
      </c>
      <c r="AQ1738" t="s">
        <v>52</v>
      </c>
      <c r="AR1738" t="s">
        <v>62</v>
      </c>
      <c r="AS1738" t="s">
        <v>52</v>
      </c>
      <c r="AT1738" t="s">
        <v>52</v>
      </c>
      <c r="AU1738" t="s">
        <v>64</v>
      </c>
      <c r="AV1738" t="s">
        <v>62</v>
      </c>
      <c r="AW1738" t="s">
        <v>65</v>
      </c>
      <c r="AX1738" t="s">
        <v>66</v>
      </c>
      <c r="AY1738" t="s">
        <v>67</v>
      </c>
    </row>
    <row r="1739" spans="1:51" hidden="1" x14ac:dyDescent="0.25">
      <c r="A1739">
        <v>317163</v>
      </c>
      <c r="B1739" t="s">
        <v>6519</v>
      </c>
      <c r="C1739" t="e">
        <f>VLOOKUP(A1739,[1]Customer_payment_journal_line!$AL:$BO,30,0)</f>
        <v>#N/A</v>
      </c>
      <c r="D1739" t="s">
        <v>53</v>
      </c>
      <c r="E1739" t="s">
        <v>6514</v>
      </c>
      <c r="F1739" t="s">
        <v>6515</v>
      </c>
      <c r="G1739" t="s">
        <v>6027</v>
      </c>
      <c r="H1739" t="s">
        <v>69</v>
      </c>
      <c r="I1739" t="s">
        <v>6520</v>
      </c>
      <c r="J1739" t="s">
        <v>6521</v>
      </c>
      <c r="K1739" t="s">
        <v>6517</v>
      </c>
      <c r="L1739" t="s">
        <v>52</v>
      </c>
      <c r="M1739">
        <v>0</v>
      </c>
      <c r="N1739">
        <v>2725</v>
      </c>
      <c r="O1739" t="s">
        <v>126</v>
      </c>
      <c r="P1739">
        <v>5285</v>
      </c>
      <c r="Q1739" t="s">
        <v>52</v>
      </c>
      <c r="R1739" t="s">
        <v>52</v>
      </c>
      <c r="S1739" t="s">
        <v>52</v>
      </c>
      <c r="T1739" t="s">
        <v>52</v>
      </c>
      <c r="U1739" t="s">
        <v>52</v>
      </c>
      <c r="V1739" t="s">
        <v>62</v>
      </c>
      <c r="W1739" t="s">
        <v>52</v>
      </c>
      <c r="Y1739" t="s">
        <v>6522</v>
      </c>
      <c r="Z1739" t="s">
        <v>62</v>
      </c>
      <c r="AB1739" t="s">
        <v>6518</v>
      </c>
      <c r="AE1739" t="s">
        <v>6518</v>
      </c>
      <c r="AF1739" t="s">
        <v>52</v>
      </c>
      <c r="AH1739">
        <v>0</v>
      </c>
      <c r="AI1739">
        <v>0</v>
      </c>
      <c r="AJ1739" t="s">
        <v>52</v>
      </c>
      <c r="AK1739">
        <v>0</v>
      </c>
      <c r="AL1739" t="s">
        <v>52</v>
      </c>
      <c r="AM1739" t="s">
        <v>52</v>
      </c>
      <c r="AN1739">
        <v>0</v>
      </c>
      <c r="AO1739">
        <v>0</v>
      </c>
      <c r="AP1739" t="s">
        <v>52</v>
      </c>
      <c r="AQ1739" t="s">
        <v>52</v>
      </c>
      <c r="AR1739" t="s">
        <v>62</v>
      </c>
      <c r="AS1739" t="s">
        <v>52</v>
      </c>
      <c r="AT1739" t="s">
        <v>74</v>
      </c>
      <c r="AU1739" t="s">
        <v>64</v>
      </c>
      <c r="AV1739" t="s">
        <v>62</v>
      </c>
      <c r="AW1739" t="s">
        <v>65</v>
      </c>
      <c r="AX1739" t="s">
        <v>66</v>
      </c>
      <c r="AY1739" t="s">
        <v>67</v>
      </c>
    </row>
    <row r="1740" spans="1:51" hidden="1" x14ac:dyDescent="0.25">
      <c r="A1740">
        <v>317163</v>
      </c>
      <c r="B1740" t="s">
        <v>6523</v>
      </c>
      <c r="C1740" t="e">
        <f>VLOOKUP(A1740,[1]Customer_payment_journal_line!$AL:$BO,30,0)</f>
        <v>#N/A</v>
      </c>
      <c r="D1740" t="s">
        <v>53</v>
      </c>
      <c r="E1740" t="s">
        <v>6514</v>
      </c>
      <c r="F1740" t="s">
        <v>6515</v>
      </c>
      <c r="G1740" t="s">
        <v>6027</v>
      </c>
      <c r="H1740" t="s">
        <v>210</v>
      </c>
      <c r="I1740" t="s">
        <v>6524</v>
      </c>
      <c r="J1740" t="s">
        <v>52</v>
      </c>
      <c r="K1740" t="s">
        <v>6517</v>
      </c>
      <c r="L1740" t="s">
        <v>52</v>
      </c>
      <c r="M1740">
        <v>0</v>
      </c>
      <c r="N1740">
        <v>41.8</v>
      </c>
      <c r="O1740" t="s">
        <v>61</v>
      </c>
      <c r="P1740">
        <v>100</v>
      </c>
      <c r="Q1740" t="s">
        <v>52</v>
      </c>
      <c r="R1740" t="s">
        <v>52</v>
      </c>
      <c r="S1740" t="s">
        <v>52</v>
      </c>
      <c r="T1740" t="s">
        <v>52</v>
      </c>
      <c r="U1740" t="s">
        <v>52</v>
      </c>
      <c r="V1740" t="s">
        <v>62</v>
      </c>
      <c r="W1740" t="s">
        <v>63</v>
      </c>
      <c r="Y1740" t="s">
        <v>6522</v>
      </c>
      <c r="AB1740" t="s">
        <v>6518</v>
      </c>
      <c r="AE1740" t="s">
        <v>6518</v>
      </c>
      <c r="AF1740" t="s">
        <v>52</v>
      </c>
      <c r="AH1740">
        <v>0</v>
      </c>
      <c r="AI1740">
        <v>0</v>
      </c>
      <c r="AJ1740" t="s">
        <v>52</v>
      </c>
      <c r="AK1740">
        <v>0</v>
      </c>
      <c r="AL1740" t="s">
        <v>52</v>
      </c>
      <c r="AM1740" t="s">
        <v>52</v>
      </c>
      <c r="AN1740">
        <v>0</v>
      </c>
      <c r="AO1740">
        <v>0</v>
      </c>
      <c r="AP1740" t="s">
        <v>52</v>
      </c>
      <c r="AQ1740" t="s">
        <v>52</v>
      </c>
      <c r="AR1740" t="s">
        <v>62</v>
      </c>
      <c r="AS1740" t="s">
        <v>52</v>
      </c>
      <c r="AT1740" t="s">
        <v>52</v>
      </c>
      <c r="AU1740" t="s">
        <v>64</v>
      </c>
      <c r="AV1740" t="s">
        <v>62</v>
      </c>
      <c r="AW1740" t="s">
        <v>65</v>
      </c>
      <c r="AX1740" t="s">
        <v>66</v>
      </c>
      <c r="AY1740" t="s">
        <v>67</v>
      </c>
    </row>
    <row r="1741" spans="1:51" hidden="1" x14ac:dyDescent="0.25">
      <c r="A1741">
        <v>406188</v>
      </c>
      <c r="B1741" t="s">
        <v>6525</v>
      </c>
      <c r="C1741" t="e">
        <f>VLOOKUP(A1741,[1]Customer_payment_journal_line!$AL:$BO,30,0)</f>
        <v>#N/A</v>
      </c>
      <c r="D1741" t="s">
        <v>53</v>
      </c>
      <c r="E1741" t="s">
        <v>6526</v>
      </c>
      <c r="F1741" t="s">
        <v>6527</v>
      </c>
      <c r="G1741" t="s">
        <v>6027</v>
      </c>
      <c r="H1741" t="s">
        <v>57</v>
      </c>
      <c r="I1741" t="s">
        <v>516</v>
      </c>
      <c r="J1741" t="s">
        <v>6358</v>
      </c>
      <c r="K1741" t="s">
        <v>6359</v>
      </c>
      <c r="L1741" t="s">
        <v>52</v>
      </c>
      <c r="M1741">
        <v>20</v>
      </c>
      <c r="N1741">
        <v>0</v>
      </c>
      <c r="O1741" t="s">
        <v>178</v>
      </c>
      <c r="P1741">
        <v>5085</v>
      </c>
      <c r="Q1741" t="s">
        <v>52</v>
      </c>
      <c r="R1741" t="s">
        <v>52</v>
      </c>
      <c r="S1741" t="s">
        <v>52</v>
      </c>
      <c r="T1741" t="s">
        <v>52</v>
      </c>
      <c r="U1741" t="s">
        <v>52</v>
      </c>
      <c r="V1741" t="s">
        <v>62</v>
      </c>
      <c r="W1741" t="s">
        <v>63</v>
      </c>
      <c r="Y1741" t="s">
        <v>52</v>
      </c>
      <c r="AB1741" t="s">
        <v>52</v>
      </c>
      <c r="AE1741" t="s">
        <v>52</v>
      </c>
      <c r="AF1741" t="s">
        <v>52</v>
      </c>
      <c r="AH1741">
        <v>0</v>
      </c>
      <c r="AI1741">
        <v>0</v>
      </c>
      <c r="AJ1741" t="s">
        <v>52</v>
      </c>
      <c r="AK1741">
        <v>0</v>
      </c>
      <c r="AL1741" t="s">
        <v>52</v>
      </c>
      <c r="AM1741" t="s">
        <v>52</v>
      </c>
      <c r="AN1741">
        <v>0</v>
      </c>
      <c r="AO1741">
        <v>0</v>
      </c>
      <c r="AP1741" t="s">
        <v>52</v>
      </c>
      <c r="AQ1741" t="s">
        <v>52</v>
      </c>
      <c r="AR1741" t="s">
        <v>62</v>
      </c>
      <c r="AS1741" t="s">
        <v>52</v>
      </c>
      <c r="AT1741" t="s">
        <v>52</v>
      </c>
      <c r="AU1741" t="s">
        <v>64</v>
      </c>
      <c r="AV1741" t="s">
        <v>62</v>
      </c>
      <c r="AW1741" t="s">
        <v>65</v>
      </c>
      <c r="AX1741" t="s">
        <v>66</v>
      </c>
      <c r="AY1741" t="s">
        <v>67</v>
      </c>
    </row>
    <row r="1742" spans="1:51" hidden="1" x14ac:dyDescent="0.25">
      <c r="A1742">
        <v>406188</v>
      </c>
      <c r="B1742" t="s">
        <v>6528</v>
      </c>
      <c r="C1742" t="e">
        <f>VLOOKUP(A1742,[1]Customer_payment_journal_line!$AL:$BO,30,0)</f>
        <v>#N/A</v>
      </c>
      <c r="D1742" t="s">
        <v>53</v>
      </c>
      <c r="E1742" t="s">
        <v>6526</v>
      </c>
      <c r="F1742" t="s">
        <v>6527</v>
      </c>
      <c r="G1742" t="s">
        <v>6027</v>
      </c>
      <c r="H1742" t="s">
        <v>69</v>
      </c>
      <c r="I1742" t="s">
        <v>6361</v>
      </c>
      <c r="J1742" t="s">
        <v>6358</v>
      </c>
      <c r="K1742" t="s">
        <v>6359</v>
      </c>
      <c r="L1742" t="s">
        <v>52</v>
      </c>
      <c r="M1742">
        <v>0</v>
      </c>
      <c r="N1742">
        <v>20</v>
      </c>
      <c r="O1742" t="s">
        <v>178</v>
      </c>
      <c r="P1742">
        <v>5085</v>
      </c>
      <c r="Q1742" t="s">
        <v>52</v>
      </c>
      <c r="R1742" t="s">
        <v>52</v>
      </c>
      <c r="S1742" t="s">
        <v>52</v>
      </c>
      <c r="T1742" t="s">
        <v>52</v>
      </c>
      <c r="U1742" t="s">
        <v>52</v>
      </c>
      <c r="V1742" t="s">
        <v>62</v>
      </c>
      <c r="W1742" t="s">
        <v>52</v>
      </c>
      <c r="Y1742" t="s">
        <v>6362</v>
      </c>
      <c r="Z1742" t="s">
        <v>62</v>
      </c>
      <c r="AB1742" t="s">
        <v>6529</v>
      </c>
      <c r="AE1742" t="s">
        <v>6530</v>
      </c>
      <c r="AF1742" t="s">
        <v>52</v>
      </c>
      <c r="AH1742">
        <v>0</v>
      </c>
      <c r="AI1742">
        <v>0</v>
      </c>
      <c r="AJ1742" t="s">
        <v>52</v>
      </c>
      <c r="AK1742">
        <v>0</v>
      </c>
      <c r="AL1742" t="s">
        <v>52</v>
      </c>
      <c r="AM1742" t="s">
        <v>52</v>
      </c>
      <c r="AN1742">
        <v>0</v>
      </c>
      <c r="AO1742">
        <v>0</v>
      </c>
      <c r="AP1742" t="s">
        <v>52</v>
      </c>
      <c r="AQ1742" t="s">
        <v>52</v>
      </c>
      <c r="AR1742" t="s">
        <v>62</v>
      </c>
      <c r="AS1742" t="s">
        <v>52</v>
      </c>
      <c r="AT1742" t="s">
        <v>74</v>
      </c>
      <c r="AU1742" t="s">
        <v>64</v>
      </c>
      <c r="AV1742" t="s">
        <v>62</v>
      </c>
      <c r="AW1742" t="s">
        <v>65</v>
      </c>
      <c r="AX1742" t="s">
        <v>66</v>
      </c>
      <c r="AY1742" t="s">
        <v>67</v>
      </c>
    </row>
    <row r="1743" spans="1:51" hidden="1" x14ac:dyDescent="0.25">
      <c r="A1743">
        <v>406190</v>
      </c>
      <c r="B1743" t="s">
        <v>6531</v>
      </c>
      <c r="C1743" t="e">
        <f>VLOOKUP(A1743,[1]Customer_payment_journal_line!$AL:$BO,30,0)</f>
        <v>#N/A</v>
      </c>
      <c r="D1743" t="s">
        <v>53</v>
      </c>
      <c r="E1743" t="s">
        <v>6532</v>
      </c>
      <c r="F1743" t="s">
        <v>6533</v>
      </c>
      <c r="G1743" t="s">
        <v>6027</v>
      </c>
      <c r="H1743" t="s">
        <v>57</v>
      </c>
      <c r="I1743" t="s">
        <v>1349</v>
      </c>
      <c r="J1743" t="s">
        <v>5821</v>
      </c>
      <c r="K1743" t="s">
        <v>2923</v>
      </c>
      <c r="L1743" t="s">
        <v>52</v>
      </c>
      <c r="M1743">
        <v>1755.6</v>
      </c>
      <c r="N1743">
        <v>0</v>
      </c>
      <c r="O1743" t="s">
        <v>61</v>
      </c>
      <c r="P1743">
        <v>100</v>
      </c>
      <c r="Q1743" t="s">
        <v>52</v>
      </c>
      <c r="R1743" t="s">
        <v>52</v>
      </c>
      <c r="S1743" t="s">
        <v>52</v>
      </c>
      <c r="T1743" t="s">
        <v>52</v>
      </c>
      <c r="U1743" t="s">
        <v>52</v>
      </c>
      <c r="V1743" t="s">
        <v>62</v>
      </c>
      <c r="W1743" t="s">
        <v>63</v>
      </c>
      <c r="Y1743" t="s">
        <v>52</v>
      </c>
      <c r="AB1743" t="s">
        <v>52</v>
      </c>
      <c r="AE1743" t="s">
        <v>52</v>
      </c>
      <c r="AF1743" t="s">
        <v>52</v>
      </c>
      <c r="AH1743">
        <v>0</v>
      </c>
      <c r="AI1743">
        <v>0</v>
      </c>
      <c r="AJ1743" t="s">
        <v>52</v>
      </c>
      <c r="AK1743">
        <v>0</v>
      </c>
      <c r="AL1743" t="s">
        <v>52</v>
      </c>
      <c r="AM1743" t="s">
        <v>52</v>
      </c>
      <c r="AN1743">
        <v>0</v>
      </c>
      <c r="AO1743">
        <v>0</v>
      </c>
      <c r="AP1743" t="s">
        <v>52</v>
      </c>
      <c r="AQ1743" t="s">
        <v>52</v>
      </c>
      <c r="AR1743" t="s">
        <v>62</v>
      </c>
      <c r="AS1743" t="s">
        <v>52</v>
      </c>
      <c r="AT1743" t="s">
        <v>52</v>
      </c>
      <c r="AU1743" t="s">
        <v>64</v>
      </c>
      <c r="AV1743" t="s">
        <v>62</v>
      </c>
      <c r="AW1743" t="s">
        <v>65</v>
      </c>
      <c r="AX1743" t="s">
        <v>66</v>
      </c>
      <c r="AY1743" t="s">
        <v>67</v>
      </c>
    </row>
    <row r="1744" spans="1:51" hidden="1" x14ac:dyDescent="0.25">
      <c r="A1744">
        <v>406190</v>
      </c>
      <c r="B1744" t="s">
        <v>6534</v>
      </c>
      <c r="C1744" t="e">
        <f>VLOOKUP(A1744,[1]Customer_payment_journal_line!$AL:$BO,30,0)</f>
        <v>#N/A</v>
      </c>
      <c r="D1744" t="s">
        <v>53</v>
      </c>
      <c r="E1744" t="s">
        <v>6532</v>
      </c>
      <c r="F1744" t="s">
        <v>6533</v>
      </c>
      <c r="G1744" t="s">
        <v>6027</v>
      </c>
      <c r="H1744" t="s">
        <v>69</v>
      </c>
      <c r="I1744" t="s">
        <v>2902</v>
      </c>
      <c r="J1744" t="s">
        <v>5821</v>
      </c>
      <c r="K1744" t="s">
        <v>2923</v>
      </c>
      <c r="L1744" t="s">
        <v>52</v>
      </c>
      <c r="M1744">
        <v>0</v>
      </c>
      <c r="N1744">
        <v>1755.6</v>
      </c>
      <c r="O1744" t="s">
        <v>61</v>
      </c>
      <c r="P1744">
        <v>100</v>
      </c>
      <c r="Q1744" t="s">
        <v>52</v>
      </c>
      <c r="R1744" t="s">
        <v>52</v>
      </c>
      <c r="S1744" t="s">
        <v>52</v>
      </c>
      <c r="T1744" t="s">
        <v>52</v>
      </c>
      <c r="U1744" t="s">
        <v>52</v>
      </c>
      <c r="V1744" t="s">
        <v>62</v>
      </c>
      <c r="W1744" t="s">
        <v>52</v>
      </c>
      <c r="Y1744" t="s">
        <v>2904</v>
      </c>
      <c r="Z1744" t="s">
        <v>62</v>
      </c>
      <c r="AB1744" t="s">
        <v>6535</v>
      </c>
      <c r="AE1744" t="s">
        <v>6536</v>
      </c>
      <c r="AF1744" t="s">
        <v>52</v>
      </c>
      <c r="AH1744">
        <v>0</v>
      </c>
      <c r="AI1744">
        <v>0</v>
      </c>
      <c r="AJ1744" t="s">
        <v>52</v>
      </c>
      <c r="AK1744">
        <v>0</v>
      </c>
      <c r="AL1744" t="s">
        <v>52</v>
      </c>
      <c r="AM1744" t="s">
        <v>52</v>
      </c>
      <c r="AN1744">
        <v>0</v>
      </c>
      <c r="AO1744">
        <v>0</v>
      </c>
      <c r="AP1744" t="s">
        <v>52</v>
      </c>
      <c r="AQ1744" t="s">
        <v>52</v>
      </c>
      <c r="AR1744" t="s">
        <v>62</v>
      </c>
      <c r="AS1744" t="s">
        <v>52</v>
      </c>
      <c r="AT1744" t="s">
        <v>74</v>
      </c>
      <c r="AU1744" t="s">
        <v>64</v>
      </c>
      <c r="AV1744" t="s">
        <v>62</v>
      </c>
      <c r="AW1744" t="s">
        <v>65</v>
      </c>
      <c r="AX1744" t="s">
        <v>66</v>
      </c>
      <c r="AY1744" t="s">
        <v>67</v>
      </c>
    </row>
    <row r="1745" spans="1:51" hidden="1" x14ac:dyDescent="0.25">
      <c r="A1745">
        <v>402951</v>
      </c>
      <c r="B1745" t="s">
        <v>6537</v>
      </c>
      <c r="C1745" t="e">
        <f>VLOOKUP(A1745,[1]Customer_payment_journal_line!$AL:$BO,30,0)</f>
        <v>#N/A</v>
      </c>
      <c r="D1745" t="s">
        <v>53</v>
      </c>
      <c r="E1745" t="s">
        <v>6538</v>
      </c>
      <c r="F1745" t="s">
        <v>6539</v>
      </c>
      <c r="G1745" t="s">
        <v>6027</v>
      </c>
      <c r="H1745" t="s">
        <v>57</v>
      </c>
      <c r="I1745" t="s">
        <v>1349</v>
      </c>
      <c r="J1745" t="s">
        <v>6540</v>
      </c>
      <c r="K1745" t="s">
        <v>1138</v>
      </c>
      <c r="L1745" t="s">
        <v>52</v>
      </c>
      <c r="M1745">
        <v>3505.5</v>
      </c>
      <c r="N1745">
        <v>0</v>
      </c>
      <c r="O1745" t="s">
        <v>61</v>
      </c>
      <c r="P1745">
        <v>100</v>
      </c>
      <c r="Q1745" t="s">
        <v>52</v>
      </c>
      <c r="R1745" t="s">
        <v>52</v>
      </c>
      <c r="S1745" t="s">
        <v>52</v>
      </c>
      <c r="T1745" t="s">
        <v>52</v>
      </c>
      <c r="U1745" t="s">
        <v>52</v>
      </c>
      <c r="V1745" t="s">
        <v>62</v>
      </c>
      <c r="W1745" t="s">
        <v>63</v>
      </c>
      <c r="Y1745" t="s">
        <v>52</v>
      </c>
      <c r="AB1745" t="s">
        <v>52</v>
      </c>
      <c r="AE1745" t="s">
        <v>52</v>
      </c>
      <c r="AF1745" t="s">
        <v>52</v>
      </c>
      <c r="AH1745">
        <v>0</v>
      </c>
      <c r="AI1745">
        <v>0</v>
      </c>
      <c r="AJ1745" t="s">
        <v>52</v>
      </c>
      <c r="AK1745">
        <v>0</v>
      </c>
      <c r="AL1745" t="s">
        <v>52</v>
      </c>
      <c r="AM1745" t="s">
        <v>52</v>
      </c>
      <c r="AN1745">
        <v>0</v>
      </c>
      <c r="AO1745">
        <v>0</v>
      </c>
      <c r="AP1745" t="s">
        <v>52</v>
      </c>
      <c r="AQ1745" t="s">
        <v>52</v>
      </c>
      <c r="AR1745" t="s">
        <v>62</v>
      </c>
      <c r="AS1745" t="s">
        <v>52</v>
      </c>
      <c r="AT1745" t="s">
        <v>52</v>
      </c>
      <c r="AU1745" t="s">
        <v>64</v>
      </c>
      <c r="AV1745" t="s">
        <v>62</v>
      </c>
      <c r="AW1745" t="s">
        <v>65</v>
      </c>
      <c r="AX1745" t="s">
        <v>66</v>
      </c>
      <c r="AY1745" t="s">
        <v>67</v>
      </c>
    </row>
    <row r="1746" spans="1:51" hidden="1" x14ac:dyDescent="0.25">
      <c r="A1746">
        <v>402951</v>
      </c>
      <c r="B1746" t="s">
        <v>6541</v>
      </c>
      <c r="C1746" t="e">
        <f>VLOOKUP(A1746,[1]Customer_payment_journal_line!$AL:$BO,30,0)</f>
        <v>#N/A</v>
      </c>
      <c r="D1746" t="s">
        <v>53</v>
      </c>
      <c r="E1746" t="s">
        <v>6538</v>
      </c>
      <c r="F1746" t="s">
        <v>6539</v>
      </c>
      <c r="G1746" t="s">
        <v>6027</v>
      </c>
      <c r="H1746" t="s">
        <v>69</v>
      </c>
      <c r="I1746" t="s">
        <v>1140</v>
      </c>
      <c r="J1746" t="s">
        <v>6540</v>
      </c>
      <c r="K1746" t="s">
        <v>1138</v>
      </c>
      <c r="L1746" t="s">
        <v>52</v>
      </c>
      <c r="M1746">
        <v>0</v>
      </c>
      <c r="N1746">
        <v>3505.5</v>
      </c>
      <c r="O1746" t="s">
        <v>61</v>
      </c>
      <c r="P1746">
        <v>100</v>
      </c>
      <c r="Q1746" t="s">
        <v>52</v>
      </c>
      <c r="R1746" t="s">
        <v>52</v>
      </c>
      <c r="S1746" t="s">
        <v>52</v>
      </c>
      <c r="T1746" t="s">
        <v>52</v>
      </c>
      <c r="U1746" t="s">
        <v>52</v>
      </c>
      <c r="V1746" t="s">
        <v>62</v>
      </c>
      <c r="W1746" t="s">
        <v>52</v>
      </c>
      <c r="Y1746" t="s">
        <v>1141</v>
      </c>
      <c r="Z1746" t="s">
        <v>62</v>
      </c>
      <c r="AB1746" t="s">
        <v>6542</v>
      </c>
      <c r="AE1746" t="s">
        <v>6543</v>
      </c>
      <c r="AF1746" t="s">
        <v>52</v>
      </c>
      <c r="AH1746">
        <v>0</v>
      </c>
      <c r="AI1746">
        <v>0</v>
      </c>
      <c r="AJ1746" t="s">
        <v>52</v>
      </c>
      <c r="AK1746">
        <v>0</v>
      </c>
      <c r="AL1746" t="s">
        <v>52</v>
      </c>
      <c r="AM1746" t="s">
        <v>52</v>
      </c>
      <c r="AN1746">
        <v>0</v>
      </c>
      <c r="AO1746">
        <v>0</v>
      </c>
      <c r="AP1746" t="s">
        <v>52</v>
      </c>
      <c r="AQ1746" t="s">
        <v>52</v>
      </c>
      <c r="AR1746" t="s">
        <v>62</v>
      </c>
      <c r="AS1746" t="s">
        <v>52</v>
      </c>
      <c r="AT1746" t="s">
        <v>74</v>
      </c>
      <c r="AU1746" t="s">
        <v>64</v>
      </c>
      <c r="AV1746" t="s">
        <v>62</v>
      </c>
      <c r="AW1746" t="s">
        <v>65</v>
      </c>
      <c r="AX1746" t="s">
        <v>66</v>
      </c>
      <c r="AY1746" t="s">
        <v>67</v>
      </c>
    </row>
    <row r="1747" spans="1:51" hidden="1" x14ac:dyDescent="0.25">
      <c r="A1747">
        <v>203633</v>
      </c>
      <c r="B1747" t="s">
        <v>6544</v>
      </c>
      <c r="C1747" t="e">
        <f>VLOOKUP(A1747,[1]Customer_payment_journal_line!$AL:$BO,30,0)</f>
        <v>#N/A</v>
      </c>
      <c r="D1747" t="s">
        <v>53</v>
      </c>
      <c r="E1747" t="s">
        <v>6545</v>
      </c>
      <c r="F1747" t="s">
        <v>6546</v>
      </c>
      <c r="G1747" t="s">
        <v>6027</v>
      </c>
      <c r="H1747" t="s">
        <v>57</v>
      </c>
      <c r="I1747" t="s">
        <v>1349</v>
      </c>
      <c r="J1747" t="s">
        <v>6547</v>
      </c>
      <c r="K1747" t="s">
        <v>4391</v>
      </c>
      <c r="L1747" t="s">
        <v>52</v>
      </c>
      <c r="M1747">
        <v>4446</v>
      </c>
      <c r="N1747">
        <v>0</v>
      </c>
      <c r="O1747" t="s">
        <v>61</v>
      </c>
      <c r="P1747">
        <v>100</v>
      </c>
      <c r="Q1747" t="s">
        <v>52</v>
      </c>
      <c r="R1747" t="s">
        <v>52</v>
      </c>
      <c r="S1747" t="s">
        <v>52</v>
      </c>
      <c r="T1747" t="s">
        <v>52</v>
      </c>
      <c r="U1747" t="s">
        <v>52</v>
      </c>
      <c r="V1747" t="s">
        <v>62</v>
      </c>
      <c r="W1747" t="s">
        <v>63</v>
      </c>
      <c r="Y1747" t="s">
        <v>52</v>
      </c>
      <c r="AB1747" t="s">
        <v>52</v>
      </c>
      <c r="AE1747" t="s">
        <v>52</v>
      </c>
      <c r="AF1747" t="s">
        <v>52</v>
      </c>
      <c r="AH1747">
        <v>0</v>
      </c>
      <c r="AI1747">
        <v>0</v>
      </c>
      <c r="AJ1747" t="s">
        <v>52</v>
      </c>
      <c r="AK1747">
        <v>0</v>
      </c>
      <c r="AL1747" t="s">
        <v>52</v>
      </c>
      <c r="AM1747" t="s">
        <v>52</v>
      </c>
      <c r="AN1747">
        <v>0</v>
      </c>
      <c r="AO1747">
        <v>0</v>
      </c>
      <c r="AP1747" t="s">
        <v>52</v>
      </c>
      <c r="AQ1747" t="s">
        <v>52</v>
      </c>
      <c r="AR1747" t="s">
        <v>62</v>
      </c>
      <c r="AS1747" t="s">
        <v>52</v>
      </c>
      <c r="AT1747" t="s">
        <v>52</v>
      </c>
      <c r="AU1747" t="s">
        <v>64</v>
      </c>
      <c r="AV1747" t="s">
        <v>62</v>
      </c>
      <c r="AW1747" t="s">
        <v>65</v>
      </c>
      <c r="AX1747" t="s">
        <v>66</v>
      </c>
      <c r="AY1747" t="s">
        <v>67</v>
      </c>
    </row>
    <row r="1748" spans="1:51" hidden="1" x14ac:dyDescent="0.25">
      <c r="A1748">
        <v>203633</v>
      </c>
      <c r="B1748" t="s">
        <v>6548</v>
      </c>
      <c r="C1748" t="e">
        <f>VLOOKUP(A1748,[1]Customer_payment_journal_line!$AL:$BO,30,0)</f>
        <v>#N/A</v>
      </c>
      <c r="D1748" t="s">
        <v>53</v>
      </c>
      <c r="E1748" t="s">
        <v>6545</v>
      </c>
      <c r="F1748" t="s">
        <v>6546</v>
      </c>
      <c r="G1748" t="s">
        <v>6027</v>
      </c>
      <c r="H1748" t="s">
        <v>69</v>
      </c>
      <c r="I1748" t="s">
        <v>4393</v>
      </c>
      <c r="J1748" t="s">
        <v>6547</v>
      </c>
      <c r="K1748" t="s">
        <v>4391</v>
      </c>
      <c r="L1748" t="s">
        <v>52</v>
      </c>
      <c r="M1748">
        <v>0</v>
      </c>
      <c r="N1748">
        <v>4446</v>
      </c>
      <c r="O1748" t="s">
        <v>61</v>
      </c>
      <c r="P1748">
        <v>100</v>
      </c>
      <c r="Q1748" t="s">
        <v>52</v>
      </c>
      <c r="R1748" t="s">
        <v>52</v>
      </c>
      <c r="S1748" t="s">
        <v>52</v>
      </c>
      <c r="T1748" t="s">
        <v>52</v>
      </c>
      <c r="U1748" t="s">
        <v>52</v>
      </c>
      <c r="V1748" t="s">
        <v>62</v>
      </c>
      <c r="W1748" t="s">
        <v>52</v>
      </c>
      <c r="Y1748" t="s">
        <v>4394</v>
      </c>
      <c r="Z1748" t="s">
        <v>62</v>
      </c>
      <c r="AB1748" t="s">
        <v>6549</v>
      </c>
      <c r="AE1748" t="s">
        <v>6550</v>
      </c>
      <c r="AF1748" t="s">
        <v>52</v>
      </c>
      <c r="AH1748">
        <v>0</v>
      </c>
      <c r="AI1748">
        <v>0</v>
      </c>
      <c r="AJ1748" t="s">
        <v>52</v>
      </c>
      <c r="AK1748">
        <v>0</v>
      </c>
      <c r="AL1748" t="s">
        <v>52</v>
      </c>
      <c r="AM1748" t="s">
        <v>52</v>
      </c>
      <c r="AN1748">
        <v>0</v>
      </c>
      <c r="AO1748">
        <v>0</v>
      </c>
      <c r="AP1748" t="s">
        <v>52</v>
      </c>
      <c r="AQ1748" t="s">
        <v>52</v>
      </c>
      <c r="AR1748" t="s">
        <v>62</v>
      </c>
      <c r="AS1748" t="s">
        <v>52</v>
      </c>
      <c r="AT1748" t="s">
        <v>74</v>
      </c>
      <c r="AU1748" t="s">
        <v>64</v>
      </c>
      <c r="AV1748" t="s">
        <v>62</v>
      </c>
      <c r="AW1748" t="s">
        <v>65</v>
      </c>
      <c r="AX1748" t="s">
        <v>66</v>
      </c>
      <c r="AY1748" t="s">
        <v>67</v>
      </c>
    </row>
    <row r="1749" spans="1:51" hidden="1" x14ac:dyDescent="0.25">
      <c r="A1749">
        <v>406191</v>
      </c>
      <c r="B1749" t="s">
        <v>6551</v>
      </c>
      <c r="C1749" t="e">
        <f>VLOOKUP(A1749,[1]Customer_payment_journal_line!$AL:$BO,30,0)</f>
        <v>#N/A</v>
      </c>
      <c r="D1749" t="s">
        <v>53</v>
      </c>
      <c r="E1749" t="s">
        <v>6552</v>
      </c>
      <c r="F1749" t="s">
        <v>6553</v>
      </c>
      <c r="G1749" t="s">
        <v>6027</v>
      </c>
      <c r="H1749" t="s">
        <v>57</v>
      </c>
      <c r="I1749" t="s">
        <v>58</v>
      </c>
      <c r="J1749" t="s">
        <v>6554</v>
      </c>
      <c r="K1749" t="s">
        <v>6555</v>
      </c>
      <c r="L1749" t="s">
        <v>52</v>
      </c>
      <c r="M1749">
        <v>61478.6</v>
      </c>
      <c r="N1749">
        <v>0</v>
      </c>
      <c r="O1749" t="s">
        <v>61</v>
      </c>
      <c r="P1749">
        <v>100</v>
      </c>
      <c r="Q1749" t="s">
        <v>52</v>
      </c>
      <c r="R1749" t="s">
        <v>52</v>
      </c>
      <c r="S1749" t="s">
        <v>52</v>
      </c>
      <c r="T1749" t="s">
        <v>52</v>
      </c>
      <c r="U1749" t="s">
        <v>52</v>
      </c>
      <c r="V1749" t="s">
        <v>62</v>
      </c>
      <c r="W1749" t="s">
        <v>63</v>
      </c>
      <c r="Y1749" t="s">
        <v>52</v>
      </c>
      <c r="AB1749" t="s">
        <v>52</v>
      </c>
      <c r="AE1749" t="s">
        <v>52</v>
      </c>
      <c r="AF1749" t="s">
        <v>52</v>
      </c>
      <c r="AH1749">
        <v>0</v>
      </c>
      <c r="AI1749">
        <v>0</v>
      </c>
      <c r="AJ1749" t="s">
        <v>52</v>
      </c>
      <c r="AK1749">
        <v>0</v>
      </c>
      <c r="AL1749" t="s">
        <v>52</v>
      </c>
      <c r="AM1749" t="s">
        <v>52</v>
      </c>
      <c r="AN1749">
        <v>0</v>
      </c>
      <c r="AO1749">
        <v>0</v>
      </c>
      <c r="AP1749" t="s">
        <v>52</v>
      </c>
      <c r="AQ1749" t="s">
        <v>52</v>
      </c>
      <c r="AR1749" t="s">
        <v>62</v>
      </c>
      <c r="AS1749" t="s">
        <v>52</v>
      </c>
      <c r="AT1749" t="s">
        <v>52</v>
      </c>
      <c r="AU1749" t="s">
        <v>64</v>
      </c>
      <c r="AV1749" t="s">
        <v>62</v>
      </c>
      <c r="AW1749" t="s">
        <v>65</v>
      </c>
      <c r="AX1749" t="s">
        <v>66</v>
      </c>
      <c r="AY1749" t="s">
        <v>67</v>
      </c>
    </row>
    <row r="1750" spans="1:51" hidden="1" x14ac:dyDescent="0.25">
      <c r="A1750">
        <v>406191</v>
      </c>
      <c r="B1750" t="s">
        <v>6556</v>
      </c>
      <c r="C1750" t="e">
        <f>VLOOKUP(A1750,[1]Customer_payment_journal_line!$AL:$BO,30,0)</f>
        <v>#N/A</v>
      </c>
      <c r="D1750" t="s">
        <v>53</v>
      </c>
      <c r="E1750" t="s">
        <v>6552</v>
      </c>
      <c r="F1750" t="s">
        <v>6553</v>
      </c>
      <c r="G1750" t="s">
        <v>6027</v>
      </c>
      <c r="H1750" t="s">
        <v>69</v>
      </c>
      <c r="I1750" t="s">
        <v>6557</v>
      </c>
      <c r="J1750" t="s">
        <v>6554</v>
      </c>
      <c r="K1750" t="s">
        <v>6555</v>
      </c>
      <c r="L1750" t="s">
        <v>52</v>
      </c>
      <c r="M1750">
        <v>0</v>
      </c>
      <c r="N1750">
        <v>61478.6</v>
      </c>
      <c r="O1750" t="s">
        <v>61</v>
      </c>
      <c r="P1750">
        <v>100</v>
      </c>
      <c r="Q1750" t="s">
        <v>52</v>
      </c>
      <c r="R1750" t="s">
        <v>52</v>
      </c>
      <c r="S1750" t="s">
        <v>52</v>
      </c>
      <c r="T1750" t="s">
        <v>52</v>
      </c>
      <c r="U1750" t="s">
        <v>52</v>
      </c>
      <c r="V1750" t="s">
        <v>62</v>
      </c>
      <c r="W1750" t="s">
        <v>52</v>
      </c>
      <c r="Y1750" t="s">
        <v>6558</v>
      </c>
      <c r="Z1750" t="s">
        <v>62</v>
      </c>
      <c r="AB1750" t="s">
        <v>6559</v>
      </c>
      <c r="AE1750" t="s">
        <v>6560</v>
      </c>
      <c r="AF1750" t="s">
        <v>52</v>
      </c>
      <c r="AH1750">
        <v>0</v>
      </c>
      <c r="AI1750">
        <v>0</v>
      </c>
      <c r="AJ1750" t="s">
        <v>52</v>
      </c>
      <c r="AK1750">
        <v>0</v>
      </c>
      <c r="AL1750" t="s">
        <v>52</v>
      </c>
      <c r="AM1750" t="s">
        <v>52</v>
      </c>
      <c r="AN1750">
        <v>0</v>
      </c>
      <c r="AO1750">
        <v>0</v>
      </c>
      <c r="AP1750" t="s">
        <v>52</v>
      </c>
      <c r="AQ1750" t="s">
        <v>52</v>
      </c>
      <c r="AR1750" t="s">
        <v>62</v>
      </c>
      <c r="AS1750" t="s">
        <v>52</v>
      </c>
      <c r="AT1750" t="s">
        <v>74</v>
      </c>
      <c r="AU1750" t="s">
        <v>64</v>
      </c>
      <c r="AV1750" t="s">
        <v>62</v>
      </c>
      <c r="AW1750" t="s">
        <v>65</v>
      </c>
      <c r="AX1750" t="s">
        <v>66</v>
      </c>
      <c r="AY1750" t="s">
        <v>67</v>
      </c>
    </row>
    <row r="1751" spans="1:51" hidden="1" x14ac:dyDescent="0.25">
      <c r="A1751">
        <v>406192</v>
      </c>
      <c r="B1751" t="s">
        <v>6561</v>
      </c>
      <c r="C1751" t="e">
        <f>VLOOKUP(A1751,[1]Customer_payment_journal_line!$AL:$BO,30,0)</f>
        <v>#N/A</v>
      </c>
      <c r="D1751" t="s">
        <v>53</v>
      </c>
      <c r="E1751" t="s">
        <v>6562</v>
      </c>
      <c r="F1751" t="s">
        <v>6563</v>
      </c>
      <c r="G1751" t="s">
        <v>6027</v>
      </c>
      <c r="H1751" t="s">
        <v>57</v>
      </c>
      <c r="I1751" t="s">
        <v>58</v>
      </c>
      <c r="J1751" t="s">
        <v>6554</v>
      </c>
      <c r="K1751" t="s">
        <v>6555</v>
      </c>
      <c r="L1751" t="s">
        <v>52</v>
      </c>
      <c r="M1751">
        <v>855</v>
      </c>
      <c r="N1751">
        <v>0</v>
      </c>
      <c r="O1751" t="s">
        <v>61</v>
      </c>
      <c r="P1751">
        <v>100</v>
      </c>
      <c r="Q1751" t="s">
        <v>52</v>
      </c>
      <c r="R1751" t="s">
        <v>52</v>
      </c>
      <c r="S1751" t="s">
        <v>52</v>
      </c>
      <c r="T1751" t="s">
        <v>52</v>
      </c>
      <c r="U1751" t="s">
        <v>52</v>
      </c>
      <c r="V1751" t="s">
        <v>62</v>
      </c>
      <c r="W1751" t="s">
        <v>63</v>
      </c>
      <c r="Y1751" t="s">
        <v>52</v>
      </c>
      <c r="AB1751" t="s">
        <v>52</v>
      </c>
      <c r="AE1751" t="s">
        <v>52</v>
      </c>
      <c r="AF1751" t="s">
        <v>52</v>
      </c>
      <c r="AH1751">
        <v>0</v>
      </c>
      <c r="AI1751">
        <v>0</v>
      </c>
      <c r="AJ1751" t="s">
        <v>52</v>
      </c>
      <c r="AK1751">
        <v>0</v>
      </c>
      <c r="AL1751" t="s">
        <v>52</v>
      </c>
      <c r="AM1751" t="s">
        <v>52</v>
      </c>
      <c r="AN1751">
        <v>0</v>
      </c>
      <c r="AO1751">
        <v>0</v>
      </c>
      <c r="AP1751" t="s">
        <v>52</v>
      </c>
      <c r="AQ1751" t="s">
        <v>52</v>
      </c>
      <c r="AR1751" t="s">
        <v>62</v>
      </c>
      <c r="AS1751" t="s">
        <v>52</v>
      </c>
      <c r="AT1751" t="s">
        <v>52</v>
      </c>
      <c r="AU1751" t="s">
        <v>64</v>
      </c>
      <c r="AV1751" t="s">
        <v>62</v>
      </c>
      <c r="AW1751" t="s">
        <v>65</v>
      </c>
      <c r="AX1751" t="s">
        <v>66</v>
      </c>
      <c r="AY1751" t="s">
        <v>67</v>
      </c>
    </row>
    <row r="1752" spans="1:51" hidden="1" x14ac:dyDescent="0.25">
      <c r="A1752">
        <v>406192</v>
      </c>
      <c r="B1752" t="s">
        <v>6564</v>
      </c>
      <c r="C1752" t="e">
        <f>VLOOKUP(A1752,[1]Customer_payment_journal_line!$AL:$BO,30,0)</f>
        <v>#N/A</v>
      </c>
      <c r="D1752" t="s">
        <v>53</v>
      </c>
      <c r="E1752" t="s">
        <v>6562</v>
      </c>
      <c r="F1752" t="s">
        <v>6563</v>
      </c>
      <c r="G1752" t="s">
        <v>6027</v>
      </c>
      <c r="H1752" t="s">
        <v>69</v>
      </c>
      <c r="I1752" t="s">
        <v>6557</v>
      </c>
      <c r="J1752" t="s">
        <v>6554</v>
      </c>
      <c r="K1752" t="s">
        <v>6555</v>
      </c>
      <c r="L1752" t="s">
        <v>52</v>
      </c>
      <c r="M1752">
        <v>0</v>
      </c>
      <c r="N1752">
        <v>855</v>
      </c>
      <c r="O1752" t="s">
        <v>61</v>
      </c>
      <c r="P1752">
        <v>100</v>
      </c>
      <c r="Q1752" t="s">
        <v>52</v>
      </c>
      <c r="R1752" t="s">
        <v>52</v>
      </c>
      <c r="S1752" t="s">
        <v>52</v>
      </c>
      <c r="T1752" t="s">
        <v>52</v>
      </c>
      <c r="U1752" t="s">
        <v>52</v>
      </c>
      <c r="V1752" t="s">
        <v>62</v>
      </c>
      <c r="W1752" t="s">
        <v>52</v>
      </c>
      <c r="Y1752" t="s">
        <v>6558</v>
      </c>
      <c r="Z1752" t="s">
        <v>62</v>
      </c>
      <c r="AB1752" t="s">
        <v>6565</v>
      </c>
      <c r="AE1752" t="s">
        <v>6566</v>
      </c>
      <c r="AF1752" t="s">
        <v>52</v>
      </c>
      <c r="AH1752">
        <v>0</v>
      </c>
      <c r="AI1752">
        <v>0</v>
      </c>
      <c r="AJ1752" t="s">
        <v>52</v>
      </c>
      <c r="AK1752">
        <v>0</v>
      </c>
      <c r="AL1752" t="s">
        <v>52</v>
      </c>
      <c r="AM1752" t="s">
        <v>52</v>
      </c>
      <c r="AN1752">
        <v>0</v>
      </c>
      <c r="AO1752">
        <v>0</v>
      </c>
      <c r="AP1752" t="s">
        <v>52</v>
      </c>
      <c r="AQ1752" t="s">
        <v>52</v>
      </c>
      <c r="AR1752" t="s">
        <v>62</v>
      </c>
      <c r="AS1752" t="s">
        <v>52</v>
      </c>
      <c r="AT1752" t="s">
        <v>74</v>
      </c>
      <c r="AU1752" t="s">
        <v>64</v>
      </c>
      <c r="AV1752" t="s">
        <v>62</v>
      </c>
      <c r="AW1752" t="s">
        <v>65</v>
      </c>
      <c r="AX1752" t="s">
        <v>66</v>
      </c>
      <c r="AY1752" t="s">
        <v>67</v>
      </c>
    </row>
    <row r="1753" spans="1:51" hidden="1" x14ac:dyDescent="0.25">
      <c r="A1753">
        <v>203636</v>
      </c>
      <c r="B1753" t="s">
        <v>6567</v>
      </c>
      <c r="C1753" t="e">
        <f>VLOOKUP(A1753,[1]Customer_payment_journal_line!$AL:$BO,30,0)</f>
        <v>#N/A</v>
      </c>
      <c r="D1753" t="s">
        <v>53</v>
      </c>
      <c r="E1753" t="s">
        <v>6568</v>
      </c>
      <c r="F1753" t="s">
        <v>6569</v>
      </c>
      <c r="G1753" t="s">
        <v>6027</v>
      </c>
      <c r="H1753" t="s">
        <v>57</v>
      </c>
      <c r="I1753" t="s">
        <v>319</v>
      </c>
      <c r="J1753" t="s">
        <v>6570</v>
      </c>
      <c r="K1753" t="s">
        <v>393</v>
      </c>
      <c r="L1753" t="s">
        <v>52</v>
      </c>
      <c r="M1753">
        <v>2439.6</v>
      </c>
      <c r="N1753">
        <v>0</v>
      </c>
      <c r="O1753" t="s">
        <v>61</v>
      </c>
      <c r="P1753">
        <v>100</v>
      </c>
      <c r="Q1753" t="s">
        <v>52</v>
      </c>
      <c r="R1753" t="s">
        <v>52</v>
      </c>
      <c r="S1753" t="s">
        <v>52</v>
      </c>
      <c r="T1753" t="s">
        <v>52</v>
      </c>
      <c r="U1753" t="s">
        <v>52</v>
      </c>
      <c r="V1753" t="s">
        <v>62</v>
      </c>
      <c r="W1753" t="s">
        <v>63</v>
      </c>
      <c r="Y1753" t="s">
        <v>52</v>
      </c>
      <c r="AB1753" t="s">
        <v>52</v>
      </c>
      <c r="AE1753" t="s">
        <v>52</v>
      </c>
      <c r="AF1753" t="s">
        <v>52</v>
      </c>
      <c r="AH1753">
        <v>0</v>
      </c>
      <c r="AI1753">
        <v>0</v>
      </c>
      <c r="AJ1753" t="s">
        <v>52</v>
      </c>
      <c r="AK1753">
        <v>0</v>
      </c>
      <c r="AL1753" t="s">
        <v>52</v>
      </c>
      <c r="AM1753" t="s">
        <v>52</v>
      </c>
      <c r="AN1753">
        <v>0</v>
      </c>
      <c r="AO1753">
        <v>0</v>
      </c>
      <c r="AP1753" t="s">
        <v>52</v>
      </c>
      <c r="AQ1753" t="s">
        <v>52</v>
      </c>
      <c r="AR1753" t="s">
        <v>62</v>
      </c>
      <c r="AS1753" t="s">
        <v>52</v>
      </c>
      <c r="AT1753" t="s">
        <v>52</v>
      </c>
      <c r="AU1753" t="s">
        <v>64</v>
      </c>
      <c r="AV1753" t="s">
        <v>62</v>
      </c>
      <c r="AW1753" t="s">
        <v>65</v>
      </c>
      <c r="AX1753" t="s">
        <v>66</v>
      </c>
      <c r="AY1753" t="s">
        <v>67</v>
      </c>
    </row>
    <row r="1754" spans="1:51" hidden="1" x14ac:dyDescent="0.25">
      <c r="A1754">
        <v>203636</v>
      </c>
      <c r="B1754" t="s">
        <v>6571</v>
      </c>
      <c r="C1754" t="e">
        <f>VLOOKUP(A1754,[1]Customer_payment_journal_line!$AL:$BO,30,0)</f>
        <v>#N/A</v>
      </c>
      <c r="D1754" t="s">
        <v>53</v>
      </c>
      <c r="E1754" t="s">
        <v>6568</v>
      </c>
      <c r="F1754" t="s">
        <v>6569</v>
      </c>
      <c r="G1754" t="s">
        <v>6027</v>
      </c>
      <c r="H1754" t="s">
        <v>69</v>
      </c>
      <c r="I1754" t="s">
        <v>395</v>
      </c>
      <c r="J1754" t="s">
        <v>6570</v>
      </c>
      <c r="K1754" t="s">
        <v>393</v>
      </c>
      <c r="L1754" t="s">
        <v>52</v>
      </c>
      <c r="M1754">
        <v>0</v>
      </c>
      <c r="N1754">
        <v>2439.6</v>
      </c>
      <c r="O1754" t="s">
        <v>61</v>
      </c>
      <c r="P1754">
        <v>100</v>
      </c>
      <c r="Q1754" t="s">
        <v>52</v>
      </c>
      <c r="R1754" t="s">
        <v>52</v>
      </c>
      <c r="S1754" t="s">
        <v>52</v>
      </c>
      <c r="T1754" t="s">
        <v>52</v>
      </c>
      <c r="U1754" t="s">
        <v>52</v>
      </c>
      <c r="V1754" t="s">
        <v>62</v>
      </c>
      <c r="W1754" t="s">
        <v>52</v>
      </c>
      <c r="Y1754" t="s">
        <v>396</v>
      </c>
      <c r="Z1754" t="s">
        <v>62</v>
      </c>
      <c r="AB1754" t="s">
        <v>6572</v>
      </c>
      <c r="AE1754" t="s">
        <v>6573</v>
      </c>
      <c r="AF1754" t="s">
        <v>52</v>
      </c>
      <c r="AH1754">
        <v>0</v>
      </c>
      <c r="AI1754">
        <v>0</v>
      </c>
      <c r="AJ1754" t="s">
        <v>52</v>
      </c>
      <c r="AK1754">
        <v>0</v>
      </c>
      <c r="AL1754" t="s">
        <v>52</v>
      </c>
      <c r="AM1754" t="s">
        <v>52</v>
      </c>
      <c r="AN1754">
        <v>0</v>
      </c>
      <c r="AO1754">
        <v>0</v>
      </c>
      <c r="AP1754" t="s">
        <v>52</v>
      </c>
      <c r="AQ1754" t="s">
        <v>52</v>
      </c>
      <c r="AR1754" t="s">
        <v>62</v>
      </c>
      <c r="AS1754" t="s">
        <v>52</v>
      </c>
      <c r="AT1754" t="s">
        <v>74</v>
      </c>
      <c r="AU1754" t="s">
        <v>64</v>
      </c>
      <c r="AV1754" t="s">
        <v>62</v>
      </c>
      <c r="AW1754" t="s">
        <v>65</v>
      </c>
      <c r="AX1754" t="s">
        <v>66</v>
      </c>
      <c r="AY1754" t="s">
        <v>67</v>
      </c>
    </row>
    <row r="1755" spans="1:51" hidden="1" x14ac:dyDescent="0.25">
      <c r="A1755">
        <v>203637</v>
      </c>
      <c r="B1755" t="s">
        <v>6574</v>
      </c>
      <c r="C1755" t="e">
        <f>VLOOKUP(A1755,[1]Customer_payment_journal_line!$AL:$BO,30,0)</f>
        <v>#N/A</v>
      </c>
      <c r="D1755" t="s">
        <v>53</v>
      </c>
      <c r="E1755" t="s">
        <v>6575</v>
      </c>
      <c r="F1755" t="s">
        <v>6576</v>
      </c>
      <c r="G1755" t="s">
        <v>6027</v>
      </c>
      <c r="H1755" t="s">
        <v>57</v>
      </c>
      <c r="I1755" t="s">
        <v>319</v>
      </c>
      <c r="J1755" t="s">
        <v>6577</v>
      </c>
      <c r="K1755" t="s">
        <v>393</v>
      </c>
      <c r="L1755" t="s">
        <v>52</v>
      </c>
      <c r="M1755">
        <v>803.7</v>
      </c>
      <c r="N1755">
        <v>0</v>
      </c>
      <c r="O1755" t="s">
        <v>61</v>
      </c>
      <c r="P1755">
        <v>100</v>
      </c>
      <c r="Q1755" t="s">
        <v>52</v>
      </c>
      <c r="R1755" t="s">
        <v>52</v>
      </c>
      <c r="S1755" t="s">
        <v>52</v>
      </c>
      <c r="T1755" t="s">
        <v>52</v>
      </c>
      <c r="U1755" t="s">
        <v>52</v>
      </c>
      <c r="V1755" t="s">
        <v>62</v>
      </c>
      <c r="W1755" t="s">
        <v>63</v>
      </c>
      <c r="Y1755" t="s">
        <v>52</v>
      </c>
      <c r="AB1755" t="s">
        <v>52</v>
      </c>
      <c r="AE1755" t="s">
        <v>52</v>
      </c>
      <c r="AF1755" t="s">
        <v>52</v>
      </c>
      <c r="AH1755">
        <v>0</v>
      </c>
      <c r="AI1755">
        <v>0</v>
      </c>
      <c r="AJ1755" t="s">
        <v>52</v>
      </c>
      <c r="AK1755">
        <v>0</v>
      </c>
      <c r="AL1755" t="s">
        <v>52</v>
      </c>
      <c r="AM1755" t="s">
        <v>52</v>
      </c>
      <c r="AN1755">
        <v>0</v>
      </c>
      <c r="AO1755">
        <v>0</v>
      </c>
      <c r="AP1755" t="s">
        <v>52</v>
      </c>
      <c r="AQ1755" t="s">
        <v>52</v>
      </c>
      <c r="AR1755" t="s">
        <v>62</v>
      </c>
      <c r="AS1755" t="s">
        <v>52</v>
      </c>
      <c r="AT1755" t="s">
        <v>52</v>
      </c>
      <c r="AU1755" t="s">
        <v>64</v>
      </c>
      <c r="AV1755" t="s">
        <v>62</v>
      </c>
      <c r="AW1755" t="s">
        <v>65</v>
      </c>
      <c r="AX1755" t="s">
        <v>66</v>
      </c>
      <c r="AY1755" t="s">
        <v>67</v>
      </c>
    </row>
    <row r="1756" spans="1:51" hidden="1" x14ac:dyDescent="0.25">
      <c r="A1756">
        <v>203637</v>
      </c>
      <c r="B1756" t="s">
        <v>6578</v>
      </c>
      <c r="C1756" t="e">
        <f>VLOOKUP(A1756,[1]Customer_payment_journal_line!$AL:$BO,30,0)</f>
        <v>#N/A</v>
      </c>
      <c r="D1756" t="s">
        <v>53</v>
      </c>
      <c r="E1756" t="s">
        <v>6575</v>
      </c>
      <c r="F1756" t="s">
        <v>6576</v>
      </c>
      <c r="G1756" t="s">
        <v>6027</v>
      </c>
      <c r="H1756" t="s">
        <v>69</v>
      </c>
      <c r="I1756" t="s">
        <v>395</v>
      </c>
      <c r="J1756" t="s">
        <v>6577</v>
      </c>
      <c r="K1756" t="s">
        <v>393</v>
      </c>
      <c r="L1756" t="s">
        <v>52</v>
      </c>
      <c r="M1756">
        <v>0</v>
      </c>
      <c r="N1756">
        <v>803.7</v>
      </c>
      <c r="O1756" t="s">
        <v>61</v>
      </c>
      <c r="P1756">
        <v>100</v>
      </c>
      <c r="Q1756" t="s">
        <v>52</v>
      </c>
      <c r="R1756" t="s">
        <v>52</v>
      </c>
      <c r="S1756" t="s">
        <v>52</v>
      </c>
      <c r="T1756" t="s">
        <v>52</v>
      </c>
      <c r="U1756" t="s">
        <v>52</v>
      </c>
      <c r="V1756" t="s">
        <v>62</v>
      </c>
      <c r="W1756" t="s">
        <v>52</v>
      </c>
      <c r="Y1756" t="s">
        <v>396</v>
      </c>
      <c r="Z1756" t="s">
        <v>62</v>
      </c>
      <c r="AB1756" t="s">
        <v>6579</v>
      </c>
      <c r="AE1756" t="s">
        <v>6580</v>
      </c>
      <c r="AF1756" t="s">
        <v>52</v>
      </c>
      <c r="AH1756">
        <v>0</v>
      </c>
      <c r="AI1756">
        <v>0</v>
      </c>
      <c r="AJ1756" t="s">
        <v>52</v>
      </c>
      <c r="AK1756">
        <v>0</v>
      </c>
      <c r="AL1756" t="s">
        <v>52</v>
      </c>
      <c r="AM1756" t="s">
        <v>52</v>
      </c>
      <c r="AN1756">
        <v>0</v>
      </c>
      <c r="AO1756">
        <v>0</v>
      </c>
      <c r="AP1756" t="s">
        <v>52</v>
      </c>
      <c r="AQ1756" t="s">
        <v>52</v>
      </c>
      <c r="AR1756" t="s">
        <v>62</v>
      </c>
      <c r="AS1756" t="s">
        <v>52</v>
      </c>
      <c r="AT1756" t="s">
        <v>74</v>
      </c>
      <c r="AU1756" t="s">
        <v>64</v>
      </c>
      <c r="AV1756" t="s">
        <v>62</v>
      </c>
      <c r="AW1756" t="s">
        <v>65</v>
      </c>
      <c r="AX1756" t="s">
        <v>66</v>
      </c>
      <c r="AY1756" t="s">
        <v>67</v>
      </c>
    </row>
    <row r="1757" spans="1:51" hidden="1" x14ac:dyDescent="0.25">
      <c r="A1757">
        <v>403723</v>
      </c>
      <c r="B1757" t="s">
        <v>6581</v>
      </c>
      <c r="C1757" t="e">
        <f>VLOOKUP(A1757,[1]Customer_payment_journal_line!$AL:$BO,30,0)</f>
        <v>#N/A</v>
      </c>
      <c r="D1757" t="s">
        <v>53</v>
      </c>
      <c r="E1757" t="s">
        <v>6582</v>
      </c>
      <c r="F1757" t="s">
        <v>6583</v>
      </c>
      <c r="G1757" t="s">
        <v>6027</v>
      </c>
      <c r="H1757" t="s">
        <v>57</v>
      </c>
      <c r="I1757" t="s">
        <v>58</v>
      </c>
      <c r="J1757" t="s">
        <v>5906</v>
      </c>
      <c r="K1757" t="s">
        <v>6584</v>
      </c>
      <c r="L1757" t="s">
        <v>52</v>
      </c>
      <c r="M1757">
        <v>1653</v>
      </c>
      <c r="N1757">
        <v>0</v>
      </c>
      <c r="O1757" t="s">
        <v>61</v>
      </c>
      <c r="P1757">
        <v>100</v>
      </c>
      <c r="Q1757" t="s">
        <v>52</v>
      </c>
      <c r="R1757" t="s">
        <v>52</v>
      </c>
      <c r="S1757" t="s">
        <v>52</v>
      </c>
      <c r="T1757" t="s">
        <v>52</v>
      </c>
      <c r="U1757" t="s">
        <v>52</v>
      </c>
      <c r="V1757" t="s">
        <v>62</v>
      </c>
      <c r="W1757" t="s">
        <v>63</v>
      </c>
      <c r="Y1757" t="s">
        <v>52</v>
      </c>
      <c r="AB1757" t="s">
        <v>52</v>
      </c>
      <c r="AE1757" t="s">
        <v>52</v>
      </c>
      <c r="AF1757" t="s">
        <v>52</v>
      </c>
      <c r="AH1757">
        <v>0</v>
      </c>
      <c r="AI1757">
        <v>0</v>
      </c>
      <c r="AJ1757" t="s">
        <v>52</v>
      </c>
      <c r="AK1757">
        <v>0</v>
      </c>
      <c r="AL1757" t="s">
        <v>52</v>
      </c>
      <c r="AM1757" t="s">
        <v>52</v>
      </c>
      <c r="AN1757">
        <v>0</v>
      </c>
      <c r="AO1757">
        <v>0</v>
      </c>
      <c r="AP1757" t="s">
        <v>52</v>
      </c>
      <c r="AQ1757" t="s">
        <v>52</v>
      </c>
      <c r="AR1757" t="s">
        <v>62</v>
      </c>
      <c r="AS1757" t="s">
        <v>52</v>
      </c>
      <c r="AT1757" t="s">
        <v>52</v>
      </c>
      <c r="AU1757" t="s">
        <v>64</v>
      </c>
      <c r="AV1757" t="s">
        <v>62</v>
      </c>
      <c r="AW1757" t="s">
        <v>65</v>
      </c>
      <c r="AX1757" t="s">
        <v>66</v>
      </c>
      <c r="AY1757" t="s">
        <v>67</v>
      </c>
    </row>
    <row r="1758" spans="1:51" hidden="1" x14ac:dyDescent="0.25">
      <c r="A1758">
        <v>403723</v>
      </c>
      <c r="B1758" t="s">
        <v>6585</v>
      </c>
      <c r="C1758" t="e">
        <f>VLOOKUP(A1758,[1]Customer_payment_journal_line!$AL:$BO,30,0)</f>
        <v>#N/A</v>
      </c>
      <c r="D1758" t="s">
        <v>53</v>
      </c>
      <c r="E1758" t="s">
        <v>6582</v>
      </c>
      <c r="F1758" t="s">
        <v>6583</v>
      </c>
      <c r="G1758" t="s">
        <v>6027</v>
      </c>
      <c r="H1758" t="s">
        <v>69</v>
      </c>
      <c r="I1758" t="s">
        <v>5909</v>
      </c>
      <c r="J1758" t="s">
        <v>5906</v>
      </c>
      <c r="K1758" t="s">
        <v>6584</v>
      </c>
      <c r="L1758" t="s">
        <v>52</v>
      </c>
      <c r="M1758">
        <v>0</v>
      </c>
      <c r="N1758">
        <v>1653</v>
      </c>
      <c r="O1758" t="s">
        <v>61</v>
      </c>
      <c r="P1758">
        <v>100</v>
      </c>
      <c r="Q1758" t="s">
        <v>52</v>
      </c>
      <c r="R1758" t="s">
        <v>52</v>
      </c>
      <c r="S1758" t="s">
        <v>52</v>
      </c>
      <c r="T1758" t="s">
        <v>52</v>
      </c>
      <c r="U1758" t="s">
        <v>52</v>
      </c>
      <c r="V1758" t="s">
        <v>62</v>
      </c>
      <c r="W1758" t="s">
        <v>52</v>
      </c>
      <c r="Y1758" t="s">
        <v>5910</v>
      </c>
      <c r="Z1758" t="s">
        <v>62</v>
      </c>
      <c r="AB1758" t="s">
        <v>6586</v>
      </c>
      <c r="AE1758" t="s">
        <v>6587</v>
      </c>
      <c r="AF1758" t="s">
        <v>52</v>
      </c>
      <c r="AH1758">
        <v>0</v>
      </c>
      <c r="AI1758">
        <v>0</v>
      </c>
      <c r="AJ1758" t="s">
        <v>52</v>
      </c>
      <c r="AK1758">
        <v>0</v>
      </c>
      <c r="AL1758" t="s">
        <v>52</v>
      </c>
      <c r="AM1758" t="s">
        <v>52</v>
      </c>
      <c r="AN1758">
        <v>0</v>
      </c>
      <c r="AO1758">
        <v>0</v>
      </c>
      <c r="AP1758" t="s">
        <v>52</v>
      </c>
      <c r="AQ1758" t="s">
        <v>52</v>
      </c>
      <c r="AR1758" t="s">
        <v>62</v>
      </c>
      <c r="AS1758" t="s">
        <v>52</v>
      </c>
      <c r="AT1758" t="s">
        <v>74</v>
      </c>
      <c r="AU1758" t="s">
        <v>64</v>
      </c>
      <c r="AV1758" t="s">
        <v>62</v>
      </c>
      <c r="AW1758" t="s">
        <v>65</v>
      </c>
      <c r="AX1758" t="s">
        <v>66</v>
      </c>
      <c r="AY1758" t="s">
        <v>67</v>
      </c>
    </row>
    <row r="1759" spans="1:51" hidden="1" x14ac:dyDescent="0.25">
      <c r="A1759">
        <v>404305</v>
      </c>
      <c r="B1759" t="s">
        <v>6588</v>
      </c>
      <c r="C1759" t="e">
        <f>VLOOKUP(A1759,[1]Customer_payment_journal_line!$AL:$BO,30,0)</f>
        <v>#N/A</v>
      </c>
      <c r="D1759" t="s">
        <v>53</v>
      </c>
      <c r="E1759" t="s">
        <v>6589</v>
      </c>
      <c r="F1759" t="s">
        <v>6590</v>
      </c>
      <c r="G1759" t="s">
        <v>6027</v>
      </c>
      <c r="H1759" t="s">
        <v>57</v>
      </c>
      <c r="I1759" t="s">
        <v>58</v>
      </c>
      <c r="J1759" t="s">
        <v>5906</v>
      </c>
      <c r="K1759" t="s">
        <v>6584</v>
      </c>
      <c r="L1759" t="s">
        <v>52</v>
      </c>
      <c r="M1759">
        <v>855</v>
      </c>
      <c r="N1759">
        <v>0</v>
      </c>
      <c r="O1759" t="s">
        <v>61</v>
      </c>
      <c r="P1759">
        <v>100</v>
      </c>
      <c r="Q1759" t="s">
        <v>52</v>
      </c>
      <c r="R1759" t="s">
        <v>52</v>
      </c>
      <c r="S1759" t="s">
        <v>52</v>
      </c>
      <c r="T1759" t="s">
        <v>52</v>
      </c>
      <c r="U1759" t="s">
        <v>52</v>
      </c>
      <c r="V1759" t="s">
        <v>62</v>
      </c>
      <c r="W1759" t="s">
        <v>63</v>
      </c>
      <c r="Y1759" t="s">
        <v>52</v>
      </c>
      <c r="AB1759" t="s">
        <v>52</v>
      </c>
      <c r="AE1759" t="s">
        <v>52</v>
      </c>
      <c r="AF1759" t="s">
        <v>52</v>
      </c>
      <c r="AH1759">
        <v>0</v>
      </c>
      <c r="AI1759">
        <v>0</v>
      </c>
      <c r="AJ1759" t="s">
        <v>52</v>
      </c>
      <c r="AK1759">
        <v>0</v>
      </c>
      <c r="AL1759" t="s">
        <v>52</v>
      </c>
      <c r="AM1759" t="s">
        <v>52</v>
      </c>
      <c r="AN1759">
        <v>0</v>
      </c>
      <c r="AO1759">
        <v>0</v>
      </c>
      <c r="AP1759" t="s">
        <v>52</v>
      </c>
      <c r="AQ1759" t="s">
        <v>52</v>
      </c>
      <c r="AR1759" t="s">
        <v>62</v>
      </c>
      <c r="AS1759" t="s">
        <v>52</v>
      </c>
      <c r="AT1759" t="s">
        <v>52</v>
      </c>
      <c r="AU1759" t="s">
        <v>64</v>
      </c>
      <c r="AV1759" t="s">
        <v>62</v>
      </c>
      <c r="AW1759" t="s">
        <v>65</v>
      </c>
      <c r="AX1759" t="s">
        <v>66</v>
      </c>
      <c r="AY1759" t="s">
        <v>67</v>
      </c>
    </row>
    <row r="1760" spans="1:51" hidden="1" x14ac:dyDescent="0.25">
      <c r="A1760">
        <v>404305</v>
      </c>
      <c r="B1760" t="s">
        <v>6591</v>
      </c>
      <c r="C1760" t="e">
        <f>VLOOKUP(A1760,[1]Customer_payment_journal_line!$AL:$BO,30,0)</f>
        <v>#N/A</v>
      </c>
      <c r="D1760" t="s">
        <v>53</v>
      </c>
      <c r="E1760" t="s">
        <v>6589</v>
      </c>
      <c r="F1760" t="s">
        <v>6590</v>
      </c>
      <c r="G1760" t="s">
        <v>6027</v>
      </c>
      <c r="H1760" t="s">
        <v>69</v>
      </c>
      <c r="I1760" t="s">
        <v>5909</v>
      </c>
      <c r="J1760" t="s">
        <v>5906</v>
      </c>
      <c r="K1760" t="s">
        <v>6584</v>
      </c>
      <c r="L1760" t="s">
        <v>52</v>
      </c>
      <c r="M1760">
        <v>0</v>
      </c>
      <c r="N1760">
        <v>855</v>
      </c>
      <c r="O1760" t="s">
        <v>61</v>
      </c>
      <c r="P1760">
        <v>100</v>
      </c>
      <c r="Q1760" t="s">
        <v>52</v>
      </c>
      <c r="R1760" t="s">
        <v>52</v>
      </c>
      <c r="S1760" t="s">
        <v>52</v>
      </c>
      <c r="T1760" t="s">
        <v>52</v>
      </c>
      <c r="U1760" t="s">
        <v>52</v>
      </c>
      <c r="V1760" t="s">
        <v>62</v>
      </c>
      <c r="W1760" t="s">
        <v>52</v>
      </c>
      <c r="Y1760" t="s">
        <v>5910</v>
      </c>
      <c r="Z1760" t="s">
        <v>62</v>
      </c>
      <c r="AB1760" t="s">
        <v>6592</v>
      </c>
      <c r="AE1760" t="s">
        <v>6593</v>
      </c>
      <c r="AF1760" t="s">
        <v>52</v>
      </c>
      <c r="AH1760">
        <v>0</v>
      </c>
      <c r="AI1760">
        <v>0</v>
      </c>
      <c r="AJ1760" t="s">
        <v>52</v>
      </c>
      <c r="AK1760">
        <v>0</v>
      </c>
      <c r="AL1760" t="s">
        <v>52</v>
      </c>
      <c r="AM1760" t="s">
        <v>52</v>
      </c>
      <c r="AN1760">
        <v>0</v>
      </c>
      <c r="AO1760">
        <v>0</v>
      </c>
      <c r="AP1760" t="s">
        <v>52</v>
      </c>
      <c r="AQ1760" t="s">
        <v>52</v>
      </c>
      <c r="AR1760" t="s">
        <v>62</v>
      </c>
      <c r="AS1760" t="s">
        <v>52</v>
      </c>
      <c r="AT1760" t="s">
        <v>74</v>
      </c>
      <c r="AU1760" t="s">
        <v>64</v>
      </c>
      <c r="AV1760" t="s">
        <v>62</v>
      </c>
      <c r="AW1760" t="s">
        <v>65</v>
      </c>
      <c r="AX1760" t="s">
        <v>66</v>
      </c>
      <c r="AY1760" t="s">
        <v>67</v>
      </c>
    </row>
    <row r="1761" spans="1:51" hidden="1" x14ac:dyDescent="0.25">
      <c r="A1761">
        <v>203642</v>
      </c>
      <c r="B1761" t="s">
        <v>6594</v>
      </c>
      <c r="C1761" t="e">
        <f>VLOOKUP(A1761,[1]Customer_payment_journal_line!$AL:$BO,30,0)</f>
        <v>#N/A</v>
      </c>
      <c r="D1761" t="s">
        <v>159</v>
      </c>
      <c r="E1761" t="s">
        <v>6595</v>
      </c>
      <c r="F1761" t="s">
        <v>6596</v>
      </c>
      <c r="G1761" t="s">
        <v>6027</v>
      </c>
      <c r="H1761" t="s">
        <v>80</v>
      </c>
      <c r="I1761" t="s">
        <v>816</v>
      </c>
      <c r="J1761" t="s">
        <v>6597</v>
      </c>
      <c r="K1761" t="s">
        <v>6598</v>
      </c>
      <c r="L1761" t="s">
        <v>52</v>
      </c>
      <c r="M1761">
        <v>840</v>
      </c>
      <c r="N1761">
        <v>0</v>
      </c>
      <c r="O1761" t="s">
        <v>178</v>
      </c>
      <c r="P1761">
        <v>5085</v>
      </c>
      <c r="Q1761" t="s">
        <v>52</v>
      </c>
      <c r="R1761" t="s">
        <v>52</v>
      </c>
      <c r="S1761" t="s">
        <v>52</v>
      </c>
      <c r="T1761" t="s">
        <v>52</v>
      </c>
      <c r="U1761" t="s">
        <v>52</v>
      </c>
      <c r="V1761" t="s">
        <v>62</v>
      </c>
      <c r="W1761" t="s">
        <v>52</v>
      </c>
      <c r="Y1761" t="s">
        <v>52</v>
      </c>
      <c r="AB1761" t="s">
        <v>52</v>
      </c>
      <c r="AE1761" t="s">
        <v>52</v>
      </c>
      <c r="AF1761" t="s">
        <v>52</v>
      </c>
      <c r="AH1761">
        <v>0</v>
      </c>
      <c r="AI1761">
        <v>0</v>
      </c>
      <c r="AJ1761" t="s">
        <v>52</v>
      </c>
      <c r="AK1761">
        <v>0</v>
      </c>
      <c r="AL1761" t="s">
        <v>52</v>
      </c>
      <c r="AM1761" t="s">
        <v>52</v>
      </c>
      <c r="AN1761">
        <v>0</v>
      </c>
      <c r="AO1761">
        <v>0</v>
      </c>
      <c r="AP1761" t="s">
        <v>52</v>
      </c>
      <c r="AQ1761" t="s">
        <v>52</v>
      </c>
      <c r="AR1761" t="s">
        <v>62</v>
      </c>
      <c r="AS1761" t="s">
        <v>52</v>
      </c>
      <c r="AT1761" t="s">
        <v>52</v>
      </c>
      <c r="AU1761" t="s">
        <v>64</v>
      </c>
      <c r="AV1761" t="s">
        <v>62</v>
      </c>
      <c r="AW1761" t="s">
        <v>65</v>
      </c>
      <c r="AX1761" t="s">
        <v>66</v>
      </c>
      <c r="AY1761" t="s">
        <v>165</v>
      </c>
    </row>
    <row r="1762" spans="1:51" hidden="1" x14ac:dyDescent="0.25">
      <c r="A1762">
        <v>203642</v>
      </c>
      <c r="B1762" t="s">
        <v>6599</v>
      </c>
      <c r="C1762" t="e">
        <f>VLOOKUP(A1762,[1]Customer_payment_journal_line!$AL:$BO,30,0)</f>
        <v>#N/A</v>
      </c>
      <c r="D1762" t="s">
        <v>159</v>
      </c>
      <c r="E1762" t="s">
        <v>6595</v>
      </c>
      <c r="F1762" t="s">
        <v>6596</v>
      </c>
      <c r="G1762" t="s">
        <v>6027</v>
      </c>
      <c r="H1762" t="s">
        <v>69</v>
      </c>
      <c r="I1762" t="s">
        <v>6600</v>
      </c>
      <c r="J1762" t="s">
        <v>6597</v>
      </c>
      <c r="K1762" t="s">
        <v>6598</v>
      </c>
      <c r="L1762" t="s">
        <v>52</v>
      </c>
      <c r="M1762">
        <v>0</v>
      </c>
      <c r="N1762">
        <v>840</v>
      </c>
      <c r="O1762" t="s">
        <v>178</v>
      </c>
      <c r="P1762">
        <v>5085</v>
      </c>
      <c r="Q1762" t="s">
        <v>52</v>
      </c>
      <c r="R1762" t="s">
        <v>52</v>
      </c>
      <c r="S1762" t="s">
        <v>52</v>
      </c>
      <c r="T1762" t="s">
        <v>52</v>
      </c>
      <c r="U1762" t="s">
        <v>52</v>
      </c>
      <c r="V1762" t="s">
        <v>62</v>
      </c>
      <c r="W1762" t="s">
        <v>52</v>
      </c>
      <c r="Y1762" t="s">
        <v>6601</v>
      </c>
      <c r="Z1762" t="s">
        <v>62</v>
      </c>
      <c r="AB1762" t="s">
        <v>6602</v>
      </c>
      <c r="AE1762" t="s">
        <v>6603</v>
      </c>
      <c r="AF1762" t="s">
        <v>52</v>
      </c>
      <c r="AH1762">
        <v>0</v>
      </c>
      <c r="AI1762">
        <v>0</v>
      </c>
      <c r="AJ1762" t="s">
        <v>52</v>
      </c>
      <c r="AK1762">
        <v>0</v>
      </c>
      <c r="AL1762" t="s">
        <v>52</v>
      </c>
      <c r="AM1762" t="s">
        <v>52</v>
      </c>
      <c r="AN1762">
        <v>0</v>
      </c>
      <c r="AO1762">
        <v>0</v>
      </c>
      <c r="AP1762" t="s">
        <v>52</v>
      </c>
      <c r="AQ1762" t="s">
        <v>52</v>
      </c>
      <c r="AR1762" t="s">
        <v>62</v>
      </c>
      <c r="AS1762" t="s">
        <v>52</v>
      </c>
      <c r="AT1762" t="s">
        <v>74</v>
      </c>
      <c r="AU1762" t="s">
        <v>64</v>
      </c>
      <c r="AV1762" t="s">
        <v>62</v>
      </c>
      <c r="AW1762" t="s">
        <v>65</v>
      </c>
      <c r="AX1762" t="s">
        <v>66</v>
      </c>
      <c r="AY1762" t="s">
        <v>165</v>
      </c>
    </row>
    <row r="1763" spans="1:51" hidden="1" x14ac:dyDescent="0.25">
      <c r="A1763">
        <v>406193</v>
      </c>
      <c r="B1763" t="s">
        <v>6604</v>
      </c>
      <c r="C1763" t="e">
        <f>VLOOKUP(A1763,[1]Customer_payment_journal_line!$AL:$BO,30,0)</f>
        <v>#N/A</v>
      </c>
      <c r="D1763" t="s">
        <v>53</v>
      </c>
      <c r="E1763" t="s">
        <v>6605</v>
      </c>
      <c r="F1763" t="s">
        <v>6606</v>
      </c>
      <c r="G1763" t="s">
        <v>6027</v>
      </c>
      <c r="H1763" t="s">
        <v>57</v>
      </c>
      <c r="I1763" t="s">
        <v>58</v>
      </c>
      <c r="J1763" t="s">
        <v>6607</v>
      </c>
      <c r="K1763" t="s">
        <v>5778</v>
      </c>
      <c r="L1763" t="s">
        <v>52</v>
      </c>
      <c r="M1763">
        <v>21534.14</v>
      </c>
      <c r="N1763">
        <v>0</v>
      </c>
      <c r="O1763" t="s">
        <v>61</v>
      </c>
      <c r="P1763">
        <v>100</v>
      </c>
      <c r="Q1763" t="s">
        <v>52</v>
      </c>
      <c r="R1763" t="s">
        <v>52</v>
      </c>
      <c r="S1763" t="s">
        <v>52</v>
      </c>
      <c r="T1763" t="s">
        <v>52</v>
      </c>
      <c r="U1763" t="s">
        <v>52</v>
      </c>
      <c r="V1763" t="s">
        <v>62</v>
      </c>
      <c r="W1763" t="s">
        <v>63</v>
      </c>
      <c r="Y1763" t="s">
        <v>52</v>
      </c>
      <c r="AB1763" t="s">
        <v>52</v>
      </c>
      <c r="AE1763" t="s">
        <v>52</v>
      </c>
      <c r="AF1763" t="s">
        <v>52</v>
      </c>
      <c r="AH1763">
        <v>0</v>
      </c>
      <c r="AI1763">
        <v>0</v>
      </c>
      <c r="AJ1763" t="s">
        <v>52</v>
      </c>
      <c r="AK1763">
        <v>0</v>
      </c>
      <c r="AL1763" t="s">
        <v>52</v>
      </c>
      <c r="AM1763" t="s">
        <v>52</v>
      </c>
      <c r="AN1763">
        <v>0</v>
      </c>
      <c r="AO1763">
        <v>0</v>
      </c>
      <c r="AP1763" t="s">
        <v>52</v>
      </c>
      <c r="AQ1763" t="s">
        <v>52</v>
      </c>
      <c r="AR1763" t="s">
        <v>62</v>
      </c>
      <c r="AS1763" t="s">
        <v>52</v>
      </c>
      <c r="AT1763" t="s">
        <v>52</v>
      </c>
      <c r="AU1763" t="s">
        <v>64</v>
      </c>
      <c r="AV1763" t="s">
        <v>62</v>
      </c>
      <c r="AW1763" t="s">
        <v>65</v>
      </c>
      <c r="AX1763" t="s">
        <v>66</v>
      </c>
      <c r="AY1763" t="s">
        <v>67</v>
      </c>
    </row>
    <row r="1764" spans="1:51" hidden="1" x14ac:dyDescent="0.25">
      <c r="A1764">
        <v>406193</v>
      </c>
      <c r="B1764" t="s">
        <v>6608</v>
      </c>
      <c r="C1764" t="e">
        <f>VLOOKUP(A1764,[1]Customer_payment_journal_line!$AL:$BO,30,0)</f>
        <v>#N/A</v>
      </c>
      <c r="D1764" t="s">
        <v>53</v>
      </c>
      <c r="E1764" t="s">
        <v>6605</v>
      </c>
      <c r="F1764" t="s">
        <v>6606</v>
      </c>
      <c r="G1764" t="s">
        <v>6027</v>
      </c>
      <c r="H1764" t="s">
        <v>69</v>
      </c>
      <c r="I1764" t="s">
        <v>6609</v>
      </c>
      <c r="J1764" t="s">
        <v>6607</v>
      </c>
      <c r="K1764" t="s">
        <v>5778</v>
      </c>
      <c r="L1764" t="s">
        <v>52</v>
      </c>
      <c r="M1764">
        <v>0</v>
      </c>
      <c r="N1764">
        <v>21534.14</v>
      </c>
      <c r="O1764" t="s">
        <v>61</v>
      </c>
      <c r="P1764">
        <v>100</v>
      </c>
      <c r="Q1764" t="s">
        <v>52</v>
      </c>
      <c r="R1764" t="s">
        <v>52</v>
      </c>
      <c r="S1764" t="s">
        <v>52</v>
      </c>
      <c r="T1764" t="s">
        <v>52</v>
      </c>
      <c r="U1764" t="s">
        <v>52</v>
      </c>
      <c r="V1764" t="s">
        <v>62</v>
      </c>
      <c r="W1764" t="s">
        <v>52</v>
      </c>
      <c r="Y1764" t="s">
        <v>6610</v>
      </c>
      <c r="Z1764" t="s">
        <v>62</v>
      </c>
      <c r="AB1764" t="s">
        <v>6611</v>
      </c>
      <c r="AE1764" t="s">
        <v>6612</v>
      </c>
      <c r="AF1764" t="s">
        <v>52</v>
      </c>
      <c r="AH1764">
        <v>0</v>
      </c>
      <c r="AI1764">
        <v>0</v>
      </c>
      <c r="AJ1764" t="s">
        <v>52</v>
      </c>
      <c r="AK1764">
        <v>0</v>
      </c>
      <c r="AL1764" t="s">
        <v>52</v>
      </c>
      <c r="AM1764" t="s">
        <v>52</v>
      </c>
      <c r="AN1764">
        <v>0</v>
      </c>
      <c r="AO1764">
        <v>0</v>
      </c>
      <c r="AP1764" t="s">
        <v>52</v>
      </c>
      <c r="AQ1764" t="s">
        <v>52</v>
      </c>
      <c r="AR1764" t="s">
        <v>62</v>
      </c>
      <c r="AS1764" t="s">
        <v>52</v>
      </c>
      <c r="AT1764" t="s">
        <v>74</v>
      </c>
      <c r="AU1764" t="s">
        <v>64</v>
      </c>
      <c r="AV1764" t="s">
        <v>62</v>
      </c>
      <c r="AW1764" t="s">
        <v>65</v>
      </c>
      <c r="AX1764" t="s">
        <v>66</v>
      </c>
      <c r="AY1764" t="s">
        <v>67</v>
      </c>
    </row>
    <row r="1765" spans="1:51" hidden="1" x14ac:dyDescent="0.25">
      <c r="A1765">
        <v>406194</v>
      </c>
      <c r="B1765" t="s">
        <v>6613</v>
      </c>
      <c r="C1765" t="e">
        <f>VLOOKUP(A1765,[1]Customer_payment_journal_line!$AL:$BO,30,0)</f>
        <v>#N/A</v>
      </c>
      <c r="D1765" t="s">
        <v>53</v>
      </c>
      <c r="E1765" t="s">
        <v>6614</v>
      </c>
      <c r="F1765" t="s">
        <v>6615</v>
      </c>
      <c r="G1765" t="s">
        <v>6027</v>
      </c>
      <c r="H1765" t="s">
        <v>57</v>
      </c>
      <c r="I1765" t="s">
        <v>58</v>
      </c>
      <c r="J1765" t="s">
        <v>6607</v>
      </c>
      <c r="K1765" t="s">
        <v>5778</v>
      </c>
      <c r="L1765" t="s">
        <v>52</v>
      </c>
      <c r="M1765">
        <v>855</v>
      </c>
      <c r="N1765">
        <v>0</v>
      </c>
      <c r="O1765" t="s">
        <v>61</v>
      </c>
      <c r="P1765">
        <v>100</v>
      </c>
      <c r="Q1765" t="s">
        <v>52</v>
      </c>
      <c r="R1765" t="s">
        <v>52</v>
      </c>
      <c r="S1765" t="s">
        <v>52</v>
      </c>
      <c r="T1765" t="s">
        <v>52</v>
      </c>
      <c r="U1765" t="s">
        <v>52</v>
      </c>
      <c r="V1765" t="s">
        <v>62</v>
      </c>
      <c r="W1765" t="s">
        <v>63</v>
      </c>
      <c r="Y1765" t="s">
        <v>52</v>
      </c>
      <c r="AB1765" t="s">
        <v>52</v>
      </c>
      <c r="AE1765" t="s">
        <v>52</v>
      </c>
      <c r="AF1765" t="s">
        <v>52</v>
      </c>
      <c r="AH1765">
        <v>0</v>
      </c>
      <c r="AI1765">
        <v>0</v>
      </c>
      <c r="AJ1765" t="s">
        <v>52</v>
      </c>
      <c r="AK1765">
        <v>0</v>
      </c>
      <c r="AL1765" t="s">
        <v>52</v>
      </c>
      <c r="AM1765" t="s">
        <v>52</v>
      </c>
      <c r="AN1765">
        <v>0</v>
      </c>
      <c r="AO1765">
        <v>0</v>
      </c>
      <c r="AP1765" t="s">
        <v>52</v>
      </c>
      <c r="AQ1765" t="s">
        <v>52</v>
      </c>
      <c r="AR1765" t="s">
        <v>62</v>
      </c>
      <c r="AS1765" t="s">
        <v>52</v>
      </c>
      <c r="AT1765" t="s">
        <v>52</v>
      </c>
      <c r="AU1765" t="s">
        <v>64</v>
      </c>
      <c r="AV1765" t="s">
        <v>62</v>
      </c>
      <c r="AW1765" t="s">
        <v>65</v>
      </c>
      <c r="AX1765" t="s">
        <v>66</v>
      </c>
      <c r="AY1765" t="s">
        <v>67</v>
      </c>
    </row>
    <row r="1766" spans="1:51" hidden="1" x14ac:dyDescent="0.25">
      <c r="A1766">
        <v>406194</v>
      </c>
      <c r="B1766" t="s">
        <v>6616</v>
      </c>
      <c r="C1766" t="e">
        <f>VLOOKUP(A1766,[1]Customer_payment_journal_line!$AL:$BO,30,0)</f>
        <v>#N/A</v>
      </c>
      <c r="D1766" t="s">
        <v>53</v>
      </c>
      <c r="E1766" t="s">
        <v>6614</v>
      </c>
      <c r="F1766" t="s">
        <v>6615</v>
      </c>
      <c r="G1766" t="s">
        <v>6027</v>
      </c>
      <c r="H1766" t="s">
        <v>69</v>
      </c>
      <c r="I1766" t="s">
        <v>6609</v>
      </c>
      <c r="J1766" t="s">
        <v>6607</v>
      </c>
      <c r="K1766" t="s">
        <v>5778</v>
      </c>
      <c r="L1766" t="s">
        <v>52</v>
      </c>
      <c r="M1766">
        <v>0</v>
      </c>
      <c r="N1766">
        <v>855</v>
      </c>
      <c r="O1766" t="s">
        <v>61</v>
      </c>
      <c r="P1766">
        <v>100</v>
      </c>
      <c r="Q1766" t="s">
        <v>52</v>
      </c>
      <c r="R1766" t="s">
        <v>52</v>
      </c>
      <c r="S1766" t="s">
        <v>52</v>
      </c>
      <c r="T1766" t="s">
        <v>52</v>
      </c>
      <c r="U1766" t="s">
        <v>52</v>
      </c>
      <c r="V1766" t="s">
        <v>62</v>
      </c>
      <c r="W1766" t="s">
        <v>52</v>
      </c>
      <c r="Y1766" t="s">
        <v>6610</v>
      </c>
      <c r="Z1766" t="s">
        <v>62</v>
      </c>
      <c r="AB1766" t="s">
        <v>6617</v>
      </c>
      <c r="AE1766" t="s">
        <v>6618</v>
      </c>
      <c r="AF1766" t="s">
        <v>52</v>
      </c>
      <c r="AH1766">
        <v>0</v>
      </c>
      <c r="AI1766">
        <v>0</v>
      </c>
      <c r="AJ1766" t="s">
        <v>52</v>
      </c>
      <c r="AK1766">
        <v>0</v>
      </c>
      <c r="AL1766" t="s">
        <v>52</v>
      </c>
      <c r="AM1766" t="s">
        <v>52</v>
      </c>
      <c r="AN1766">
        <v>0</v>
      </c>
      <c r="AO1766">
        <v>0</v>
      </c>
      <c r="AP1766" t="s">
        <v>52</v>
      </c>
      <c r="AQ1766" t="s">
        <v>52</v>
      </c>
      <c r="AR1766" t="s">
        <v>62</v>
      </c>
      <c r="AS1766" t="s">
        <v>52</v>
      </c>
      <c r="AT1766" t="s">
        <v>74</v>
      </c>
      <c r="AU1766" t="s">
        <v>64</v>
      </c>
      <c r="AV1766" t="s">
        <v>62</v>
      </c>
      <c r="AW1766" t="s">
        <v>65</v>
      </c>
      <c r="AX1766" t="s">
        <v>66</v>
      </c>
      <c r="AY1766" t="s">
        <v>67</v>
      </c>
    </row>
    <row r="1767" spans="1:51" hidden="1" x14ac:dyDescent="0.25">
      <c r="A1767">
        <v>406195</v>
      </c>
      <c r="B1767" t="s">
        <v>6619</v>
      </c>
      <c r="C1767" t="e">
        <f>VLOOKUP(A1767,[1]Customer_payment_journal_line!$AL:$BO,30,0)</f>
        <v>#N/A</v>
      </c>
      <c r="D1767" t="s">
        <v>53</v>
      </c>
      <c r="E1767" t="s">
        <v>6620</v>
      </c>
      <c r="F1767" t="s">
        <v>6621</v>
      </c>
      <c r="G1767" t="s">
        <v>6027</v>
      </c>
      <c r="H1767" t="s">
        <v>57</v>
      </c>
      <c r="I1767" t="s">
        <v>58</v>
      </c>
      <c r="J1767" t="s">
        <v>6622</v>
      </c>
      <c r="K1767" t="s">
        <v>5528</v>
      </c>
      <c r="L1767" t="s">
        <v>52</v>
      </c>
      <c r="M1767">
        <v>13338</v>
      </c>
      <c r="N1767">
        <v>0</v>
      </c>
      <c r="O1767" t="s">
        <v>61</v>
      </c>
      <c r="P1767">
        <v>100</v>
      </c>
      <c r="Q1767" t="s">
        <v>52</v>
      </c>
      <c r="R1767" t="s">
        <v>52</v>
      </c>
      <c r="S1767" t="s">
        <v>52</v>
      </c>
      <c r="T1767" t="s">
        <v>52</v>
      </c>
      <c r="U1767" t="s">
        <v>52</v>
      </c>
      <c r="V1767" t="s">
        <v>62</v>
      </c>
      <c r="W1767" t="s">
        <v>63</v>
      </c>
      <c r="Y1767" t="s">
        <v>52</v>
      </c>
      <c r="AB1767" t="s">
        <v>52</v>
      </c>
      <c r="AE1767" t="s">
        <v>52</v>
      </c>
      <c r="AF1767" t="s">
        <v>52</v>
      </c>
      <c r="AH1767">
        <v>0</v>
      </c>
      <c r="AI1767">
        <v>0</v>
      </c>
      <c r="AJ1767" t="s">
        <v>52</v>
      </c>
      <c r="AK1767">
        <v>0</v>
      </c>
      <c r="AL1767" t="s">
        <v>52</v>
      </c>
      <c r="AM1767" t="s">
        <v>52</v>
      </c>
      <c r="AN1767">
        <v>0</v>
      </c>
      <c r="AO1767">
        <v>0</v>
      </c>
      <c r="AP1767" t="s">
        <v>52</v>
      </c>
      <c r="AQ1767" t="s">
        <v>52</v>
      </c>
      <c r="AR1767" t="s">
        <v>62</v>
      </c>
      <c r="AS1767" t="s">
        <v>52</v>
      </c>
      <c r="AT1767" t="s">
        <v>52</v>
      </c>
      <c r="AU1767" t="s">
        <v>64</v>
      </c>
      <c r="AV1767" t="s">
        <v>62</v>
      </c>
      <c r="AW1767" t="s">
        <v>65</v>
      </c>
      <c r="AX1767" t="s">
        <v>66</v>
      </c>
      <c r="AY1767" t="s">
        <v>67</v>
      </c>
    </row>
    <row r="1768" spans="1:51" hidden="1" x14ac:dyDescent="0.25">
      <c r="A1768">
        <v>406195</v>
      </c>
      <c r="B1768" t="s">
        <v>6623</v>
      </c>
      <c r="C1768" t="e">
        <f>VLOOKUP(A1768,[1]Customer_payment_journal_line!$AL:$BO,30,0)</f>
        <v>#N/A</v>
      </c>
      <c r="D1768" t="s">
        <v>53</v>
      </c>
      <c r="E1768" t="s">
        <v>6620</v>
      </c>
      <c r="F1768" t="s">
        <v>6621</v>
      </c>
      <c r="G1768" t="s">
        <v>6027</v>
      </c>
      <c r="H1768" t="s">
        <v>69</v>
      </c>
      <c r="I1768" t="s">
        <v>6624</v>
      </c>
      <c r="J1768" t="s">
        <v>6622</v>
      </c>
      <c r="K1768" t="s">
        <v>5528</v>
      </c>
      <c r="L1768" t="s">
        <v>52</v>
      </c>
      <c r="M1768">
        <v>0</v>
      </c>
      <c r="N1768">
        <v>13338</v>
      </c>
      <c r="O1768" t="s">
        <v>61</v>
      </c>
      <c r="P1768">
        <v>100</v>
      </c>
      <c r="Q1768" t="s">
        <v>52</v>
      </c>
      <c r="R1768" t="s">
        <v>52</v>
      </c>
      <c r="S1768" t="s">
        <v>52</v>
      </c>
      <c r="T1768" t="s">
        <v>52</v>
      </c>
      <c r="U1768" t="s">
        <v>52</v>
      </c>
      <c r="V1768" t="s">
        <v>62</v>
      </c>
      <c r="W1768" t="s">
        <v>52</v>
      </c>
      <c r="Y1768" t="s">
        <v>6625</v>
      </c>
      <c r="Z1768" t="s">
        <v>62</v>
      </c>
      <c r="AB1768" t="s">
        <v>6626</v>
      </c>
      <c r="AE1768" t="s">
        <v>6627</v>
      </c>
      <c r="AF1768" t="s">
        <v>52</v>
      </c>
      <c r="AH1768">
        <v>0</v>
      </c>
      <c r="AI1768">
        <v>0</v>
      </c>
      <c r="AJ1768" t="s">
        <v>52</v>
      </c>
      <c r="AK1768">
        <v>0</v>
      </c>
      <c r="AL1768" t="s">
        <v>52</v>
      </c>
      <c r="AM1768" t="s">
        <v>52</v>
      </c>
      <c r="AN1768">
        <v>0</v>
      </c>
      <c r="AO1768">
        <v>0</v>
      </c>
      <c r="AP1768" t="s">
        <v>52</v>
      </c>
      <c r="AQ1768" t="s">
        <v>52</v>
      </c>
      <c r="AR1768" t="s">
        <v>62</v>
      </c>
      <c r="AS1768" t="s">
        <v>52</v>
      </c>
      <c r="AT1768" t="s">
        <v>74</v>
      </c>
      <c r="AU1768" t="s">
        <v>64</v>
      </c>
      <c r="AV1768" t="s">
        <v>62</v>
      </c>
      <c r="AW1768" t="s">
        <v>65</v>
      </c>
      <c r="AX1768" t="s">
        <v>66</v>
      </c>
      <c r="AY1768" t="s">
        <v>67</v>
      </c>
    </row>
    <row r="1769" spans="1:51" hidden="1" x14ac:dyDescent="0.25">
      <c r="A1769">
        <v>406196</v>
      </c>
      <c r="B1769" t="s">
        <v>6628</v>
      </c>
      <c r="C1769" t="e">
        <f>VLOOKUP(A1769,[1]Customer_payment_journal_line!$AL:$BO,30,0)</f>
        <v>#N/A</v>
      </c>
      <c r="D1769" t="s">
        <v>53</v>
      </c>
      <c r="E1769" t="s">
        <v>6629</v>
      </c>
      <c r="F1769" t="s">
        <v>6630</v>
      </c>
      <c r="G1769" t="s">
        <v>6027</v>
      </c>
      <c r="H1769" t="s">
        <v>57</v>
      </c>
      <c r="I1769" t="s">
        <v>58</v>
      </c>
      <c r="J1769" t="s">
        <v>6622</v>
      </c>
      <c r="K1769" t="s">
        <v>5528</v>
      </c>
      <c r="L1769" t="s">
        <v>52</v>
      </c>
      <c r="M1769">
        <v>855</v>
      </c>
      <c r="N1769">
        <v>0</v>
      </c>
      <c r="O1769" t="s">
        <v>61</v>
      </c>
      <c r="P1769">
        <v>100</v>
      </c>
      <c r="Q1769" t="s">
        <v>52</v>
      </c>
      <c r="R1769" t="s">
        <v>52</v>
      </c>
      <c r="S1769" t="s">
        <v>52</v>
      </c>
      <c r="T1769" t="s">
        <v>52</v>
      </c>
      <c r="U1769" t="s">
        <v>52</v>
      </c>
      <c r="V1769" t="s">
        <v>62</v>
      </c>
      <c r="W1769" t="s">
        <v>63</v>
      </c>
      <c r="Y1769" t="s">
        <v>52</v>
      </c>
      <c r="AB1769" t="s">
        <v>52</v>
      </c>
      <c r="AE1769" t="s">
        <v>52</v>
      </c>
      <c r="AF1769" t="s">
        <v>52</v>
      </c>
      <c r="AH1769">
        <v>0</v>
      </c>
      <c r="AI1769">
        <v>0</v>
      </c>
      <c r="AJ1769" t="s">
        <v>52</v>
      </c>
      <c r="AK1769">
        <v>0</v>
      </c>
      <c r="AL1769" t="s">
        <v>52</v>
      </c>
      <c r="AM1769" t="s">
        <v>52</v>
      </c>
      <c r="AN1769">
        <v>0</v>
      </c>
      <c r="AO1769">
        <v>0</v>
      </c>
      <c r="AP1769" t="s">
        <v>52</v>
      </c>
      <c r="AQ1769" t="s">
        <v>52</v>
      </c>
      <c r="AR1769" t="s">
        <v>62</v>
      </c>
      <c r="AS1769" t="s">
        <v>52</v>
      </c>
      <c r="AT1769" t="s">
        <v>52</v>
      </c>
      <c r="AU1769" t="s">
        <v>64</v>
      </c>
      <c r="AV1769" t="s">
        <v>62</v>
      </c>
      <c r="AW1769" t="s">
        <v>65</v>
      </c>
      <c r="AX1769" t="s">
        <v>66</v>
      </c>
      <c r="AY1769" t="s">
        <v>67</v>
      </c>
    </row>
    <row r="1770" spans="1:51" hidden="1" x14ac:dyDescent="0.25">
      <c r="A1770">
        <v>406196</v>
      </c>
      <c r="B1770" t="s">
        <v>6631</v>
      </c>
      <c r="C1770" t="e">
        <f>VLOOKUP(A1770,[1]Customer_payment_journal_line!$AL:$BO,30,0)</f>
        <v>#N/A</v>
      </c>
      <c r="D1770" t="s">
        <v>53</v>
      </c>
      <c r="E1770" t="s">
        <v>6629</v>
      </c>
      <c r="F1770" t="s">
        <v>6630</v>
      </c>
      <c r="G1770" t="s">
        <v>6027</v>
      </c>
      <c r="H1770" t="s">
        <v>69</v>
      </c>
      <c r="I1770" t="s">
        <v>6624</v>
      </c>
      <c r="J1770" t="s">
        <v>6622</v>
      </c>
      <c r="K1770" t="s">
        <v>5528</v>
      </c>
      <c r="L1770" t="s">
        <v>52</v>
      </c>
      <c r="M1770">
        <v>0</v>
      </c>
      <c r="N1770">
        <v>855</v>
      </c>
      <c r="O1770" t="s">
        <v>61</v>
      </c>
      <c r="P1770">
        <v>100</v>
      </c>
      <c r="Q1770" t="s">
        <v>52</v>
      </c>
      <c r="R1770" t="s">
        <v>52</v>
      </c>
      <c r="S1770" t="s">
        <v>52</v>
      </c>
      <c r="T1770" t="s">
        <v>52</v>
      </c>
      <c r="U1770" t="s">
        <v>52</v>
      </c>
      <c r="V1770" t="s">
        <v>62</v>
      </c>
      <c r="W1770" t="s">
        <v>52</v>
      </c>
      <c r="Y1770" t="s">
        <v>6625</v>
      </c>
      <c r="Z1770" t="s">
        <v>62</v>
      </c>
      <c r="AB1770" t="s">
        <v>6632</v>
      </c>
      <c r="AE1770" t="s">
        <v>6633</v>
      </c>
      <c r="AF1770" t="s">
        <v>52</v>
      </c>
      <c r="AH1770">
        <v>0</v>
      </c>
      <c r="AI1770">
        <v>0</v>
      </c>
      <c r="AJ1770" t="s">
        <v>52</v>
      </c>
      <c r="AK1770">
        <v>0</v>
      </c>
      <c r="AL1770" t="s">
        <v>52</v>
      </c>
      <c r="AM1770" t="s">
        <v>52</v>
      </c>
      <c r="AN1770">
        <v>0</v>
      </c>
      <c r="AO1770">
        <v>0</v>
      </c>
      <c r="AP1770" t="s">
        <v>52</v>
      </c>
      <c r="AQ1770" t="s">
        <v>52</v>
      </c>
      <c r="AR1770" t="s">
        <v>62</v>
      </c>
      <c r="AS1770" t="s">
        <v>52</v>
      </c>
      <c r="AT1770" t="s">
        <v>74</v>
      </c>
      <c r="AU1770" t="s">
        <v>64</v>
      </c>
      <c r="AV1770" t="s">
        <v>62</v>
      </c>
      <c r="AW1770" t="s">
        <v>65</v>
      </c>
      <c r="AX1770" t="s">
        <v>66</v>
      </c>
      <c r="AY1770" t="s">
        <v>67</v>
      </c>
    </row>
    <row r="1771" spans="1:51" hidden="1" x14ac:dyDescent="0.25">
      <c r="A1771">
        <v>203651</v>
      </c>
      <c r="B1771" t="s">
        <v>6634</v>
      </c>
      <c r="C1771" t="e">
        <f>VLOOKUP(A1771,[1]Customer_payment_journal_line!$AL:$BO,30,0)</f>
        <v>#N/A</v>
      </c>
      <c r="D1771" t="s">
        <v>53</v>
      </c>
      <c r="E1771" t="s">
        <v>6635</v>
      </c>
      <c r="F1771" t="s">
        <v>6636</v>
      </c>
      <c r="G1771" t="s">
        <v>6027</v>
      </c>
      <c r="H1771" t="s">
        <v>57</v>
      </c>
      <c r="I1771" t="s">
        <v>319</v>
      </c>
      <c r="J1771" t="s">
        <v>6637</v>
      </c>
      <c r="K1771" t="s">
        <v>1162</v>
      </c>
      <c r="L1771" t="s">
        <v>52</v>
      </c>
      <c r="M1771">
        <v>31298.89</v>
      </c>
      <c r="N1771">
        <v>0</v>
      </c>
      <c r="O1771" t="s">
        <v>61</v>
      </c>
      <c r="P1771">
        <v>100</v>
      </c>
      <c r="Q1771" t="s">
        <v>52</v>
      </c>
      <c r="R1771" t="s">
        <v>52</v>
      </c>
      <c r="S1771" t="s">
        <v>52</v>
      </c>
      <c r="T1771" t="s">
        <v>52</v>
      </c>
      <c r="U1771" t="s">
        <v>52</v>
      </c>
      <c r="V1771" t="s">
        <v>62</v>
      </c>
      <c r="W1771" t="s">
        <v>63</v>
      </c>
      <c r="Y1771" t="s">
        <v>52</v>
      </c>
      <c r="AB1771" t="s">
        <v>52</v>
      </c>
      <c r="AE1771" t="s">
        <v>52</v>
      </c>
      <c r="AF1771" t="s">
        <v>52</v>
      </c>
      <c r="AH1771">
        <v>0</v>
      </c>
      <c r="AI1771">
        <v>0</v>
      </c>
      <c r="AJ1771" t="s">
        <v>52</v>
      </c>
      <c r="AK1771">
        <v>0</v>
      </c>
      <c r="AL1771" t="s">
        <v>52</v>
      </c>
      <c r="AM1771" t="s">
        <v>52</v>
      </c>
      <c r="AN1771">
        <v>0</v>
      </c>
      <c r="AO1771">
        <v>0</v>
      </c>
      <c r="AP1771" t="s">
        <v>52</v>
      </c>
      <c r="AQ1771" t="s">
        <v>52</v>
      </c>
      <c r="AR1771" t="s">
        <v>62</v>
      </c>
      <c r="AS1771" t="s">
        <v>52</v>
      </c>
      <c r="AT1771" t="s">
        <v>52</v>
      </c>
      <c r="AU1771" t="s">
        <v>64</v>
      </c>
      <c r="AV1771" t="s">
        <v>62</v>
      </c>
      <c r="AW1771" t="s">
        <v>65</v>
      </c>
      <c r="AX1771" t="s">
        <v>66</v>
      </c>
      <c r="AY1771" t="s">
        <v>67</v>
      </c>
    </row>
    <row r="1772" spans="1:51" hidden="1" x14ac:dyDescent="0.25">
      <c r="A1772">
        <v>203651</v>
      </c>
      <c r="B1772" t="s">
        <v>6638</v>
      </c>
      <c r="C1772" t="e">
        <f>VLOOKUP(A1772,[1]Customer_payment_journal_line!$AL:$BO,30,0)</f>
        <v>#N/A</v>
      </c>
      <c r="D1772" t="s">
        <v>53</v>
      </c>
      <c r="E1772" t="s">
        <v>6635</v>
      </c>
      <c r="F1772" t="s">
        <v>6636</v>
      </c>
      <c r="G1772" t="s">
        <v>6027</v>
      </c>
      <c r="H1772" t="s">
        <v>69</v>
      </c>
      <c r="I1772" t="s">
        <v>1164</v>
      </c>
      <c r="J1772" t="s">
        <v>6637</v>
      </c>
      <c r="K1772" t="s">
        <v>1162</v>
      </c>
      <c r="L1772" t="s">
        <v>52</v>
      </c>
      <c r="M1772">
        <v>0</v>
      </c>
      <c r="N1772">
        <v>31298.89</v>
      </c>
      <c r="O1772" t="s">
        <v>61</v>
      </c>
      <c r="P1772">
        <v>100</v>
      </c>
      <c r="Q1772" t="s">
        <v>52</v>
      </c>
      <c r="R1772" t="s">
        <v>52</v>
      </c>
      <c r="S1772" t="s">
        <v>52</v>
      </c>
      <c r="T1772" t="s">
        <v>52</v>
      </c>
      <c r="U1772" t="s">
        <v>52</v>
      </c>
      <c r="V1772" t="s">
        <v>62</v>
      </c>
      <c r="W1772" t="s">
        <v>52</v>
      </c>
      <c r="Y1772" t="s">
        <v>1165</v>
      </c>
      <c r="Z1772" t="s">
        <v>62</v>
      </c>
      <c r="AB1772" t="s">
        <v>6639</v>
      </c>
      <c r="AE1772" t="s">
        <v>6640</v>
      </c>
      <c r="AF1772" t="s">
        <v>52</v>
      </c>
      <c r="AH1772">
        <v>0</v>
      </c>
      <c r="AI1772">
        <v>0</v>
      </c>
      <c r="AJ1772" t="s">
        <v>52</v>
      </c>
      <c r="AK1772">
        <v>0</v>
      </c>
      <c r="AL1772" t="s">
        <v>52</v>
      </c>
      <c r="AM1772" t="s">
        <v>52</v>
      </c>
      <c r="AN1772">
        <v>0</v>
      </c>
      <c r="AO1772">
        <v>0</v>
      </c>
      <c r="AP1772" t="s">
        <v>52</v>
      </c>
      <c r="AQ1772" t="s">
        <v>52</v>
      </c>
      <c r="AR1772" t="s">
        <v>62</v>
      </c>
      <c r="AS1772" t="s">
        <v>52</v>
      </c>
      <c r="AT1772" t="s">
        <v>74</v>
      </c>
      <c r="AU1772" t="s">
        <v>64</v>
      </c>
      <c r="AV1772" t="s">
        <v>62</v>
      </c>
      <c r="AW1772" t="s">
        <v>65</v>
      </c>
      <c r="AX1772" t="s">
        <v>66</v>
      </c>
      <c r="AY1772" t="s">
        <v>67</v>
      </c>
    </row>
    <row r="1773" spans="1:51" hidden="1" x14ac:dyDescent="0.25">
      <c r="A1773">
        <v>203652</v>
      </c>
      <c r="B1773" t="s">
        <v>6641</v>
      </c>
      <c r="C1773" t="e">
        <f>VLOOKUP(A1773,[1]Customer_payment_journal_line!$AL:$BO,30,0)</f>
        <v>#N/A</v>
      </c>
      <c r="D1773" t="s">
        <v>53</v>
      </c>
      <c r="E1773" t="s">
        <v>6642</v>
      </c>
      <c r="F1773" t="s">
        <v>6643</v>
      </c>
      <c r="G1773" t="s">
        <v>6027</v>
      </c>
      <c r="H1773" t="s">
        <v>57</v>
      </c>
      <c r="I1773" t="s">
        <v>319</v>
      </c>
      <c r="J1773" t="s">
        <v>6644</v>
      </c>
      <c r="K1773" t="s">
        <v>1162</v>
      </c>
      <c r="L1773" t="s">
        <v>52</v>
      </c>
      <c r="M1773">
        <v>5118.6000000000004</v>
      </c>
      <c r="N1773">
        <v>0</v>
      </c>
      <c r="O1773" t="s">
        <v>61</v>
      </c>
      <c r="P1773">
        <v>100</v>
      </c>
      <c r="Q1773" t="s">
        <v>52</v>
      </c>
      <c r="R1773" t="s">
        <v>52</v>
      </c>
      <c r="S1773" t="s">
        <v>52</v>
      </c>
      <c r="T1773" t="s">
        <v>52</v>
      </c>
      <c r="U1773" t="s">
        <v>52</v>
      </c>
      <c r="V1773" t="s">
        <v>62</v>
      </c>
      <c r="W1773" t="s">
        <v>63</v>
      </c>
      <c r="Y1773" t="s">
        <v>52</v>
      </c>
      <c r="AB1773" t="s">
        <v>52</v>
      </c>
      <c r="AE1773" t="s">
        <v>52</v>
      </c>
      <c r="AF1773" t="s">
        <v>52</v>
      </c>
      <c r="AH1773">
        <v>0</v>
      </c>
      <c r="AI1773">
        <v>0</v>
      </c>
      <c r="AJ1773" t="s">
        <v>52</v>
      </c>
      <c r="AK1773">
        <v>0</v>
      </c>
      <c r="AL1773" t="s">
        <v>52</v>
      </c>
      <c r="AM1773" t="s">
        <v>52</v>
      </c>
      <c r="AN1773">
        <v>0</v>
      </c>
      <c r="AO1773">
        <v>0</v>
      </c>
      <c r="AP1773" t="s">
        <v>52</v>
      </c>
      <c r="AQ1773" t="s">
        <v>52</v>
      </c>
      <c r="AR1773" t="s">
        <v>62</v>
      </c>
      <c r="AS1773" t="s">
        <v>52</v>
      </c>
      <c r="AT1773" t="s">
        <v>52</v>
      </c>
      <c r="AU1773" t="s">
        <v>64</v>
      </c>
      <c r="AV1773" t="s">
        <v>62</v>
      </c>
      <c r="AW1773" t="s">
        <v>65</v>
      </c>
      <c r="AX1773" t="s">
        <v>66</v>
      </c>
      <c r="AY1773" t="s">
        <v>67</v>
      </c>
    </row>
    <row r="1774" spans="1:51" hidden="1" x14ac:dyDescent="0.25">
      <c r="A1774">
        <v>203652</v>
      </c>
      <c r="B1774" t="s">
        <v>6645</v>
      </c>
      <c r="C1774" t="e">
        <f>VLOOKUP(A1774,[1]Customer_payment_journal_line!$AL:$BO,30,0)</f>
        <v>#N/A</v>
      </c>
      <c r="D1774" t="s">
        <v>53</v>
      </c>
      <c r="E1774" t="s">
        <v>6642</v>
      </c>
      <c r="F1774" t="s">
        <v>6643</v>
      </c>
      <c r="G1774" t="s">
        <v>6027</v>
      </c>
      <c r="H1774" t="s">
        <v>69</v>
      </c>
      <c r="I1774" t="s">
        <v>1164</v>
      </c>
      <c r="J1774" t="s">
        <v>6644</v>
      </c>
      <c r="K1774" t="s">
        <v>1162</v>
      </c>
      <c r="L1774" t="s">
        <v>52</v>
      </c>
      <c r="M1774">
        <v>0</v>
      </c>
      <c r="N1774">
        <v>5118.6000000000004</v>
      </c>
      <c r="O1774" t="s">
        <v>61</v>
      </c>
      <c r="P1774">
        <v>100</v>
      </c>
      <c r="Q1774" t="s">
        <v>52</v>
      </c>
      <c r="R1774" t="s">
        <v>52</v>
      </c>
      <c r="S1774" t="s">
        <v>52</v>
      </c>
      <c r="T1774" t="s">
        <v>52</v>
      </c>
      <c r="U1774" t="s">
        <v>52</v>
      </c>
      <c r="V1774" t="s">
        <v>62</v>
      </c>
      <c r="W1774" t="s">
        <v>52</v>
      </c>
      <c r="Y1774" t="s">
        <v>1165</v>
      </c>
      <c r="Z1774" t="s">
        <v>62</v>
      </c>
      <c r="AB1774" t="s">
        <v>6646</v>
      </c>
      <c r="AE1774" t="s">
        <v>6647</v>
      </c>
      <c r="AF1774" t="s">
        <v>52</v>
      </c>
      <c r="AH1774">
        <v>0</v>
      </c>
      <c r="AI1774">
        <v>0</v>
      </c>
      <c r="AJ1774" t="s">
        <v>52</v>
      </c>
      <c r="AK1774">
        <v>0</v>
      </c>
      <c r="AL1774" t="s">
        <v>52</v>
      </c>
      <c r="AM1774" t="s">
        <v>52</v>
      </c>
      <c r="AN1774">
        <v>0</v>
      </c>
      <c r="AO1774">
        <v>0</v>
      </c>
      <c r="AP1774" t="s">
        <v>52</v>
      </c>
      <c r="AQ1774" t="s">
        <v>52</v>
      </c>
      <c r="AR1774" t="s">
        <v>62</v>
      </c>
      <c r="AS1774" t="s">
        <v>52</v>
      </c>
      <c r="AT1774" t="s">
        <v>74</v>
      </c>
      <c r="AU1774" t="s">
        <v>64</v>
      </c>
      <c r="AV1774" t="s">
        <v>62</v>
      </c>
      <c r="AW1774" t="s">
        <v>65</v>
      </c>
      <c r="AX1774" t="s">
        <v>66</v>
      </c>
      <c r="AY1774" t="s">
        <v>67</v>
      </c>
    </row>
    <row r="1775" spans="1:51" hidden="1" x14ac:dyDescent="0.25">
      <c r="A1775">
        <v>203655</v>
      </c>
      <c r="B1775" t="s">
        <v>6648</v>
      </c>
      <c r="C1775" t="e">
        <f>VLOOKUP(A1775,[1]Customer_payment_journal_line!$AL:$BO,30,0)</f>
        <v>#N/A</v>
      </c>
      <c r="D1775" t="s">
        <v>53</v>
      </c>
      <c r="E1775" t="s">
        <v>6649</v>
      </c>
      <c r="F1775" t="s">
        <v>6650</v>
      </c>
      <c r="G1775" t="s">
        <v>6027</v>
      </c>
      <c r="H1775" t="s">
        <v>57</v>
      </c>
      <c r="I1775" t="s">
        <v>58</v>
      </c>
      <c r="J1775" t="s">
        <v>1610</v>
      </c>
      <c r="K1775" t="s">
        <v>6137</v>
      </c>
      <c r="L1775" t="s">
        <v>52</v>
      </c>
      <c r="M1775">
        <v>3420</v>
      </c>
      <c r="N1775">
        <v>0</v>
      </c>
      <c r="O1775" t="s">
        <v>61</v>
      </c>
      <c r="P1775">
        <v>100</v>
      </c>
      <c r="Q1775" t="s">
        <v>52</v>
      </c>
      <c r="R1775" t="s">
        <v>52</v>
      </c>
      <c r="S1775" t="s">
        <v>52</v>
      </c>
      <c r="T1775" t="s">
        <v>52</v>
      </c>
      <c r="U1775" t="s">
        <v>52</v>
      </c>
      <c r="V1775" t="s">
        <v>62</v>
      </c>
      <c r="W1775" t="s">
        <v>63</v>
      </c>
      <c r="Y1775" t="s">
        <v>52</v>
      </c>
      <c r="AB1775" t="s">
        <v>52</v>
      </c>
      <c r="AE1775" t="s">
        <v>52</v>
      </c>
      <c r="AF1775" t="s">
        <v>52</v>
      </c>
      <c r="AH1775">
        <v>0</v>
      </c>
      <c r="AI1775">
        <v>0</v>
      </c>
      <c r="AJ1775" t="s">
        <v>52</v>
      </c>
      <c r="AK1775">
        <v>0</v>
      </c>
      <c r="AL1775" t="s">
        <v>52</v>
      </c>
      <c r="AM1775" t="s">
        <v>52</v>
      </c>
      <c r="AN1775">
        <v>0</v>
      </c>
      <c r="AO1775">
        <v>0</v>
      </c>
      <c r="AP1775" t="s">
        <v>52</v>
      </c>
      <c r="AQ1775" t="s">
        <v>52</v>
      </c>
      <c r="AR1775" t="s">
        <v>62</v>
      </c>
      <c r="AS1775" t="s">
        <v>52</v>
      </c>
      <c r="AT1775" t="s">
        <v>52</v>
      </c>
      <c r="AU1775" t="s">
        <v>64</v>
      </c>
      <c r="AV1775" t="s">
        <v>62</v>
      </c>
      <c r="AW1775" t="s">
        <v>65</v>
      </c>
      <c r="AX1775" t="s">
        <v>66</v>
      </c>
      <c r="AY1775" t="s">
        <v>67</v>
      </c>
    </row>
    <row r="1776" spans="1:51" hidden="1" x14ac:dyDescent="0.25">
      <c r="A1776">
        <v>203655</v>
      </c>
      <c r="B1776" t="s">
        <v>6651</v>
      </c>
      <c r="C1776" t="e">
        <f>VLOOKUP(A1776,[1]Customer_payment_journal_line!$AL:$BO,30,0)</f>
        <v>#N/A</v>
      </c>
      <c r="D1776" t="s">
        <v>53</v>
      </c>
      <c r="E1776" t="s">
        <v>6649</v>
      </c>
      <c r="F1776" t="s">
        <v>6650</v>
      </c>
      <c r="G1776" t="s">
        <v>6027</v>
      </c>
      <c r="H1776" t="s">
        <v>69</v>
      </c>
      <c r="I1776" t="s">
        <v>842</v>
      </c>
      <c r="J1776" t="s">
        <v>1610</v>
      </c>
      <c r="K1776" t="s">
        <v>6137</v>
      </c>
      <c r="L1776" t="s">
        <v>52</v>
      </c>
      <c r="M1776">
        <v>0</v>
      </c>
      <c r="N1776">
        <v>3420</v>
      </c>
      <c r="O1776" t="s">
        <v>61</v>
      </c>
      <c r="P1776">
        <v>100</v>
      </c>
      <c r="Q1776" t="s">
        <v>52</v>
      </c>
      <c r="R1776" t="s">
        <v>52</v>
      </c>
      <c r="S1776" t="s">
        <v>52</v>
      </c>
      <c r="T1776" t="s">
        <v>52</v>
      </c>
      <c r="U1776" t="s">
        <v>52</v>
      </c>
      <c r="V1776" t="s">
        <v>62</v>
      </c>
      <c r="W1776" t="s">
        <v>52</v>
      </c>
      <c r="Y1776" t="s">
        <v>844</v>
      </c>
      <c r="Z1776" t="s">
        <v>62</v>
      </c>
      <c r="AB1776" t="s">
        <v>6652</v>
      </c>
      <c r="AE1776" t="s">
        <v>6653</v>
      </c>
      <c r="AF1776" t="s">
        <v>52</v>
      </c>
      <c r="AH1776">
        <v>0</v>
      </c>
      <c r="AI1776">
        <v>0</v>
      </c>
      <c r="AJ1776" t="s">
        <v>52</v>
      </c>
      <c r="AK1776">
        <v>0</v>
      </c>
      <c r="AL1776" t="s">
        <v>52</v>
      </c>
      <c r="AM1776" t="s">
        <v>52</v>
      </c>
      <c r="AN1776">
        <v>0</v>
      </c>
      <c r="AO1776">
        <v>0</v>
      </c>
      <c r="AP1776" t="s">
        <v>52</v>
      </c>
      <c r="AQ1776" t="s">
        <v>52</v>
      </c>
      <c r="AR1776" t="s">
        <v>62</v>
      </c>
      <c r="AS1776" t="s">
        <v>52</v>
      </c>
      <c r="AT1776" t="s">
        <v>74</v>
      </c>
      <c r="AU1776" t="s">
        <v>64</v>
      </c>
      <c r="AV1776" t="s">
        <v>62</v>
      </c>
      <c r="AW1776" t="s">
        <v>65</v>
      </c>
      <c r="AX1776" t="s">
        <v>66</v>
      </c>
      <c r="AY1776" t="s">
        <v>67</v>
      </c>
    </row>
    <row r="1777" spans="1:51" hidden="1" x14ac:dyDescent="0.25">
      <c r="A1777">
        <v>203657</v>
      </c>
      <c r="B1777" t="s">
        <v>6654</v>
      </c>
      <c r="C1777" t="e">
        <f>VLOOKUP(A1777,[1]Customer_payment_journal_line!$AL:$BO,30,0)</f>
        <v>#N/A</v>
      </c>
      <c r="D1777" t="s">
        <v>159</v>
      </c>
      <c r="E1777" t="s">
        <v>6655</v>
      </c>
      <c r="F1777" t="s">
        <v>6656</v>
      </c>
      <c r="G1777" t="s">
        <v>6027</v>
      </c>
      <c r="H1777" t="s">
        <v>80</v>
      </c>
      <c r="I1777" t="s">
        <v>816</v>
      </c>
      <c r="J1777" t="s">
        <v>6657</v>
      </c>
      <c r="K1777" t="s">
        <v>6658</v>
      </c>
      <c r="L1777" t="s">
        <v>52</v>
      </c>
      <c r="M1777">
        <v>166</v>
      </c>
      <c r="N1777">
        <v>0</v>
      </c>
      <c r="O1777" t="s">
        <v>178</v>
      </c>
      <c r="P1777">
        <v>5085</v>
      </c>
      <c r="Q1777" t="s">
        <v>52</v>
      </c>
      <c r="R1777" t="s">
        <v>52</v>
      </c>
      <c r="S1777" t="s">
        <v>52</v>
      </c>
      <c r="T1777" t="s">
        <v>52</v>
      </c>
      <c r="U1777" t="s">
        <v>52</v>
      </c>
      <c r="V1777" t="s">
        <v>62</v>
      </c>
      <c r="W1777" t="s">
        <v>52</v>
      </c>
      <c r="Y1777" t="s">
        <v>52</v>
      </c>
      <c r="AB1777" t="s">
        <v>52</v>
      </c>
      <c r="AE1777" t="s">
        <v>52</v>
      </c>
      <c r="AF1777" t="s">
        <v>52</v>
      </c>
      <c r="AH1777">
        <v>0</v>
      </c>
      <c r="AI1777">
        <v>0</v>
      </c>
      <c r="AJ1777" t="s">
        <v>52</v>
      </c>
      <c r="AK1777">
        <v>0</v>
      </c>
      <c r="AL1777" t="s">
        <v>52</v>
      </c>
      <c r="AM1777" t="s">
        <v>52</v>
      </c>
      <c r="AN1777">
        <v>0</v>
      </c>
      <c r="AO1777">
        <v>0</v>
      </c>
      <c r="AP1777" t="s">
        <v>52</v>
      </c>
      <c r="AQ1777" t="s">
        <v>52</v>
      </c>
      <c r="AR1777" t="s">
        <v>62</v>
      </c>
      <c r="AS1777" t="s">
        <v>52</v>
      </c>
      <c r="AT1777" t="s">
        <v>52</v>
      </c>
      <c r="AU1777" t="s">
        <v>64</v>
      </c>
      <c r="AV1777" t="s">
        <v>62</v>
      </c>
      <c r="AW1777" t="s">
        <v>65</v>
      </c>
      <c r="AX1777" t="s">
        <v>66</v>
      </c>
      <c r="AY1777" t="s">
        <v>165</v>
      </c>
    </row>
    <row r="1778" spans="1:51" hidden="1" x14ac:dyDescent="0.25">
      <c r="A1778">
        <v>203657</v>
      </c>
      <c r="B1778" t="s">
        <v>6659</v>
      </c>
      <c r="C1778" t="e">
        <f>VLOOKUP(A1778,[1]Customer_payment_journal_line!$AL:$BO,30,0)</f>
        <v>#N/A</v>
      </c>
      <c r="D1778" t="s">
        <v>159</v>
      </c>
      <c r="E1778" t="s">
        <v>6655</v>
      </c>
      <c r="F1778" t="s">
        <v>6656</v>
      </c>
      <c r="G1778" t="s">
        <v>6027</v>
      </c>
      <c r="H1778" t="s">
        <v>69</v>
      </c>
      <c r="I1778" t="s">
        <v>6660</v>
      </c>
      <c r="J1778" t="s">
        <v>6657</v>
      </c>
      <c r="K1778" t="s">
        <v>6658</v>
      </c>
      <c r="L1778" t="s">
        <v>52</v>
      </c>
      <c r="M1778">
        <v>0</v>
      </c>
      <c r="N1778">
        <v>166</v>
      </c>
      <c r="O1778" t="s">
        <v>178</v>
      </c>
      <c r="P1778">
        <v>5085</v>
      </c>
      <c r="Q1778" t="s">
        <v>52</v>
      </c>
      <c r="R1778" t="s">
        <v>52</v>
      </c>
      <c r="S1778" t="s">
        <v>52</v>
      </c>
      <c r="T1778" t="s">
        <v>52</v>
      </c>
      <c r="U1778" t="s">
        <v>52</v>
      </c>
      <c r="V1778" t="s">
        <v>62</v>
      </c>
      <c r="W1778" t="s">
        <v>52</v>
      </c>
      <c r="Y1778" t="s">
        <v>6661</v>
      </c>
      <c r="Z1778" t="s">
        <v>62</v>
      </c>
      <c r="AB1778" t="s">
        <v>6662</v>
      </c>
      <c r="AE1778" t="s">
        <v>6663</v>
      </c>
      <c r="AF1778" t="s">
        <v>52</v>
      </c>
      <c r="AH1778">
        <v>0</v>
      </c>
      <c r="AI1778">
        <v>0</v>
      </c>
      <c r="AJ1778" t="s">
        <v>52</v>
      </c>
      <c r="AK1778">
        <v>0</v>
      </c>
      <c r="AL1778" t="s">
        <v>52</v>
      </c>
      <c r="AM1778" t="s">
        <v>52</v>
      </c>
      <c r="AN1778">
        <v>0</v>
      </c>
      <c r="AO1778">
        <v>0</v>
      </c>
      <c r="AP1778" t="s">
        <v>52</v>
      </c>
      <c r="AQ1778" t="s">
        <v>52</v>
      </c>
      <c r="AR1778" t="s">
        <v>62</v>
      </c>
      <c r="AS1778" t="s">
        <v>52</v>
      </c>
      <c r="AT1778" t="s">
        <v>74</v>
      </c>
      <c r="AU1778" t="s">
        <v>64</v>
      </c>
      <c r="AV1778" t="s">
        <v>62</v>
      </c>
      <c r="AW1778" t="s">
        <v>65</v>
      </c>
      <c r="AX1778" t="s">
        <v>66</v>
      </c>
      <c r="AY1778" t="s">
        <v>165</v>
      </c>
    </row>
    <row r="1779" spans="1:51" hidden="1" x14ac:dyDescent="0.25">
      <c r="A1779">
        <v>406198</v>
      </c>
      <c r="B1779" t="s">
        <v>6664</v>
      </c>
      <c r="C1779" t="e">
        <f>VLOOKUP(A1779,[1]Customer_payment_journal_line!$AL:$BO,30,0)</f>
        <v>#N/A</v>
      </c>
      <c r="D1779" t="s">
        <v>53</v>
      </c>
      <c r="E1779" t="s">
        <v>6665</v>
      </c>
      <c r="F1779" t="s">
        <v>6666</v>
      </c>
      <c r="G1779" t="s">
        <v>6027</v>
      </c>
      <c r="H1779" t="s">
        <v>57</v>
      </c>
      <c r="I1779" t="s">
        <v>58</v>
      </c>
      <c r="J1779" t="s">
        <v>6667</v>
      </c>
      <c r="K1779" t="s">
        <v>5778</v>
      </c>
      <c r="L1779" t="s">
        <v>52</v>
      </c>
      <c r="M1779">
        <v>67425.98</v>
      </c>
      <c r="N1779">
        <v>0</v>
      </c>
      <c r="O1779" t="s">
        <v>61</v>
      </c>
      <c r="P1779">
        <v>100</v>
      </c>
      <c r="Q1779" t="s">
        <v>52</v>
      </c>
      <c r="R1779" t="s">
        <v>52</v>
      </c>
      <c r="S1779" t="s">
        <v>52</v>
      </c>
      <c r="T1779" t="s">
        <v>52</v>
      </c>
      <c r="U1779" t="s">
        <v>52</v>
      </c>
      <c r="V1779" t="s">
        <v>62</v>
      </c>
      <c r="W1779" t="s">
        <v>63</v>
      </c>
      <c r="Y1779" t="s">
        <v>52</v>
      </c>
      <c r="AB1779" t="s">
        <v>52</v>
      </c>
      <c r="AE1779" t="s">
        <v>52</v>
      </c>
      <c r="AF1779" t="s">
        <v>52</v>
      </c>
      <c r="AH1779">
        <v>0</v>
      </c>
      <c r="AI1779">
        <v>0</v>
      </c>
      <c r="AJ1779" t="s">
        <v>52</v>
      </c>
      <c r="AK1779">
        <v>0</v>
      </c>
      <c r="AL1779" t="s">
        <v>52</v>
      </c>
      <c r="AM1779" t="s">
        <v>52</v>
      </c>
      <c r="AN1779">
        <v>0</v>
      </c>
      <c r="AO1779">
        <v>0</v>
      </c>
      <c r="AP1779" t="s">
        <v>52</v>
      </c>
      <c r="AQ1779" t="s">
        <v>52</v>
      </c>
      <c r="AR1779" t="s">
        <v>62</v>
      </c>
      <c r="AS1779" t="s">
        <v>52</v>
      </c>
      <c r="AT1779" t="s">
        <v>52</v>
      </c>
      <c r="AU1779" t="s">
        <v>64</v>
      </c>
      <c r="AV1779" t="s">
        <v>62</v>
      </c>
      <c r="AW1779" t="s">
        <v>65</v>
      </c>
      <c r="AX1779" t="s">
        <v>66</v>
      </c>
      <c r="AY1779" t="s">
        <v>67</v>
      </c>
    </row>
    <row r="1780" spans="1:51" hidden="1" x14ac:dyDescent="0.25">
      <c r="A1780">
        <v>406198</v>
      </c>
      <c r="B1780" t="s">
        <v>6668</v>
      </c>
      <c r="C1780" t="e">
        <f>VLOOKUP(A1780,[1]Customer_payment_journal_line!$AL:$BO,30,0)</f>
        <v>#N/A</v>
      </c>
      <c r="D1780" t="s">
        <v>53</v>
      </c>
      <c r="E1780" t="s">
        <v>6665</v>
      </c>
      <c r="F1780" t="s">
        <v>6666</v>
      </c>
      <c r="G1780" t="s">
        <v>6027</v>
      </c>
      <c r="H1780" t="s">
        <v>69</v>
      </c>
      <c r="I1780" t="s">
        <v>6669</v>
      </c>
      <c r="J1780" t="s">
        <v>6667</v>
      </c>
      <c r="K1780" t="s">
        <v>5778</v>
      </c>
      <c r="L1780" t="s">
        <v>52</v>
      </c>
      <c r="M1780">
        <v>0</v>
      </c>
      <c r="N1780">
        <v>67425.98</v>
      </c>
      <c r="O1780" t="s">
        <v>61</v>
      </c>
      <c r="P1780">
        <v>100</v>
      </c>
      <c r="Q1780" t="s">
        <v>52</v>
      </c>
      <c r="R1780" t="s">
        <v>52</v>
      </c>
      <c r="S1780" t="s">
        <v>52</v>
      </c>
      <c r="T1780" t="s">
        <v>52</v>
      </c>
      <c r="U1780" t="s">
        <v>52</v>
      </c>
      <c r="V1780" t="s">
        <v>62</v>
      </c>
      <c r="W1780" t="s">
        <v>52</v>
      </c>
      <c r="Y1780" t="s">
        <v>6670</v>
      </c>
      <c r="Z1780" t="s">
        <v>62</v>
      </c>
      <c r="AB1780" t="s">
        <v>6671</v>
      </c>
      <c r="AE1780" t="s">
        <v>6672</v>
      </c>
      <c r="AF1780" t="s">
        <v>52</v>
      </c>
      <c r="AH1780">
        <v>0</v>
      </c>
      <c r="AI1780">
        <v>0</v>
      </c>
      <c r="AJ1780" t="s">
        <v>52</v>
      </c>
      <c r="AK1780">
        <v>0</v>
      </c>
      <c r="AL1780" t="s">
        <v>52</v>
      </c>
      <c r="AM1780" t="s">
        <v>52</v>
      </c>
      <c r="AN1780">
        <v>0</v>
      </c>
      <c r="AO1780">
        <v>0</v>
      </c>
      <c r="AP1780" t="s">
        <v>52</v>
      </c>
      <c r="AQ1780" t="s">
        <v>52</v>
      </c>
      <c r="AR1780" t="s">
        <v>62</v>
      </c>
      <c r="AS1780" t="s">
        <v>52</v>
      </c>
      <c r="AT1780" t="s">
        <v>74</v>
      </c>
      <c r="AU1780" t="s">
        <v>64</v>
      </c>
      <c r="AV1780" t="s">
        <v>62</v>
      </c>
      <c r="AW1780" t="s">
        <v>65</v>
      </c>
      <c r="AX1780" t="s">
        <v>66</v>
      </c>
      <c r="AY1780" t="s">
        <v>67</v>
      </c>
    </row>
    <row r="1781" spans="1:51" hidden="1" x14ac:dyDescent="0.25">
      <c r="A1781">
        <v>406199</v>
      </c>
      <c r="B1781" t="s">
        <v>6673</v>
      </c>
      <c r="C1781" t="e">
        <f>VLOOKUP(A1781,[1]Customer_payment_journal_line!$AL:$BO,30,0)</f>
        <v>#N/A</v>
      </c>
      <c r="D1781" t="s">
        <v>53</v>
      </c>
      <c r="E1781" t="s">
        <v>6674</v>
      </c>
      <c r="F1781" t="s">
        <v>6675</v>
      </c>
      <c r="G1781" t="s">
        <v>6027</v>
      </c>
      <c r="H1781" t="s">
        <v>57</v>
      </c>
      <c r="I1781" t="s">
        <v>58</v>
      </c>
      <c r="J1781" t="s">
        <v>6667</v>
      </c>
      <c r="K1781" t="s">
        <v>5778</v>
      </c>
      <c r="L1781" t="s">
        <v>52</v>
      </c>
      <c r="M1781">
        <v>855</v>
      </c>
      <c r="N1781">
        <v>0</v>
      </c>
      <c r="O1781" t="s">
        <v>61</v>
      </c>
      <c r="P1781">
        <v>100</v>
      </c>
      <c r="Q1781" t="s">
        <v>52</v>
      </c>
      <c r="R1781" t="s">
        <v>52</v>
      </c>
      <c r="S1781" t="s">
        <v>52</v>
      </c>
      <c r="T1781" t="s">
        <v>52</v>
      </c>
      <c r="U1781" t="s">
        <v>52</v>
      </c>
      <c r="V1781" t="s">
        <v>62</v>
      </c>
      <c r="W1781" t="s">
        <v>63</v>
      </c>
      <c r="Y1781" t="s">
        <v>52</v>
      </c>
      <c r="AB1781" t="s">
        <v>52</v>
      </c>
      <c r="AE1781" t="s">
        <v>52</v>
      </c>
      <c r="AF1781" t="s">
        <v>52</v>
      </c>
      <c r="AH1781">
        <v>0</v>
      </c>
      <c r="AI1781">
        <v>0</v>
      </c>
      <c r="AJ1781" t="s">
        <v>52</v>
      </c>
      <c r="AK1781">
        <v>0</v>
      </c>
      <c r="AL1781" t="s">
        <v>52</v>
      </c>
      <c r="AM1781" t="s">
        <v>52</v>
      </c>
      <c r="AN1781">
        <v>0</v>
      </c>
      <c r="AO1781">
        <v>0</v>
      </c>
      <c r="AP1781" t="s">
        <v>52</v>
      </c>
      <c r="AQ1781" t="s">
        <v>52</v>
      </c>
      <c r="AR1781" t="s">
        <v>62</v>
      </c>
      <c r="AS1781" t="s">
        <v>52</v>
      </c>
      <c r="AT1781" t="s">
        <v>52</v>
      </c>
      <c r="AU1781" t="s">
        <v>64</v>
      </c>
      <c r="AV1781" t="s">
        <v>62</v>
      </c>
      <c r="AW1781" t="s">
        <v>65</v>
      </c>
      <c r="AX1781" t="s">
        <v>66</v>
      </c>
      <c r="AY1781" t="s">
        <v>67</v>
      </c>
    </row>
    <row r="1782" spans="1:51" hidden="1" x14ac:dyDescent="0.25">
      <c r="A1782">
        <v>406199</v>
      </c>
      <c r="B1782" t="s">
        <v>6676</v>
      </c>
      <c r="C1782" t="e">
        <f>VLOOKUP(A1782,[1]Customer_payment_journal_line!$AL:$BO,30,0)</f>
        <v>#N/A</v>
      </c>
      <c r="D1782" t="s">
        <v>53</v>
      </c>
      <c r="E1782" t="s">
        <v>6674</v>
      </c>
      <c r="F1782" t="s">
        <v>6675</v>
      </c>
      <c r="G1782" t="s">
        <v>6027</v>
      </c>
      <c r="H1782" t="s">
        <v>69</v>
      </c>
      <c r="I1782" t="s">
        <v>6669</v>
      </c>
      <c r="J1782" t="s">
        <v>6667</v>
      </c>
      <c r="K1782" t="s">
        <v>5778</v>
      </c>
      <c r="L1782" t="s">
        <v>52</v>
      </c>
      <c r="M1782">
        <v>0</v>
      </c>
      <c r="N1782">
        <v>855</v>
      </c>
      <c r="O1782" t="s">
        <v>61</v>
      </c>
      <c r="P1782">
        <v>100</v>
      </c>
      <c r="Q1782" t="s">
        <v>52</v>
      </c>
      <c r="R1782" t="s">
        <v>52</v>
      </c>
      <c r="S1782" t="s">
        <v>52</v>
      </c>
      <c r="T1782" t="s">
        <v>52</v>
      </c>
      <c r="U1782" t="s">
        <v>52</v>
      </c>
      <c r="V1782" t="s">
        <v>62</v>
      </c>
      <c r="W1782" t="s">
        <v>52</v>
      </c>
      <c r="Y1782" t="s">
        <v>6670</v>
      </c>
      <c r="Z1782" t="s">
        <v>62</v>
      </c>
      <c r="AB1782" t="s">
        <v>6677</v>
      </c>
      <c r="AE1782" t="s">
        <v>6678</v>
      </c>
      <c r="AF1782" t="s">
        <v>52</v>
      </c>
      <c r="AH1782">
        <v>0</v>
      </c>
      <c r="AI1782">
        <v>0</v>
      </c>
      <c r="AJ1782" t="s">
        <v>52</v>
      </c>
      <c r="AK1782">
        <v>0</v>
      </c>
      <c r="AL1782" t="s">
        <v>52</v>
      </c>
      <c r="AM1782" t="s">
        <v>52</v>
      </c>
      <c r="AN1782">
        <v>0</v>
      </c>
      <c r="AO1782">
        <v>0</v>
      </c>
      <c r="AP1782" t="s">
        <v>52</v>
      </c>
      <c r="AQ1782" t="s">
        <v>52</v>
      </c>
      <c r="AR1782" t="s">
        <v>62</v>
      </c>
      <c r="AS1782" t="s">
        <v>52</v>
      </c>
      <c r="AT1782" t="s">
        <v>74</v>
      </c>
      <c r="AU1782" t="s">
        <v>64</v>
      </c>
      <c r="AV1782" t="s">
        <v>62</v>
      </c>
      <c r="AW1782" t="s">
        <v>65</v>
      </c>
      <c r="AX1782" t="s">
        <v>66</v>
      </c>
      <c r="AY1782" t="s">
        <v>67</v>
      </c>
    </row>
    <row r="1783" spans="1:51" hidden="1" x14ac:dyDescent="0.25">
      <c r="A1783">
        <v>406200</v>
      </c>
      <c r="B1783" t="s">
        <v>6679</v>
      </c>
      <c r="C1783" t="e">
        <f>VLOOKUP(A1783,[1]Customer_payment_journal_line!$AL:$BO,30,0)</f>
        <v>#N/A</v>
      </c>
      <c r="D1783" t="s">
        <v>53</v>
      </c>
      <c r="E1783" t="s">
        <v>6680</v>
      </c>
      <c r="F1783" t="s">
        <v>6681</v>
      </c>
      <c r="G1783" t="s">
        <v>6027</v>
      </c>
      <c r="H1783" t="s">
        <v>57</v>
      </c>
      <c r="I1783" t="s">
        <v>516</v>
      </c>
      <c r="J1783" t="s">
        <v>6381</v>
      </c>
      <c r="K1783" t="s">
        <v>6382</v>
      </c>
      <c r="L1783" t="s">
        <v>52</v>
      </c>
      <c r="M1783">
        <v>400</v>
      </c>
      <c r="N1783">
        <v>0</v>
      </c>
      <c r="O1783" t="s">
        <v>178</v>
      </c>
      <c r="P1783">
        <v>5085</v>
      </c>
      <c r="Q1783" t="s">
        <v>52</v>
      </c>
      <c r="R1783" t="s">
        <v>52</v>
      </c>
      <c r="S1783" t="s">
        <v>52</v>
      </c>
      <c r="T1783" t="s">
        <v>52</v>
      </c>
      <c r="U1783" t="s">
        <v>52</v>
      </c>
      <c r="V1783" t="s">
        <v>62</v>
      </c>
      <c r="W1783" t="s">
        <v>63</v>
      </c>
      <c r="Y1783" t="s">
        <v>52</v>
      </c>
      <c r="AB1783" t="s">
        <v>52</v>
      </c>
      <c r="AE1783" t="s">
        <v>52</v>
      </c>
      <c r="AF1783" t="s">
        <v>52</v>
      </c>
      <c r="AH1783">
        <v>0</v>
      </c>
      <c r="AI1783">
        <v>0</v>
      </c>
      <c r="AJ1783" t="s">
        <v>52</v>
      </c>
      <c r="AK1783">
        <v>0</v>
      </c>
      <c r="AL1783" t="s">
        <v>52</v>
      </c>
      <c r="AM1783" t="s">
        <v>52</v>
      </c>
      <c r="AN1783">
        <v>0</v>
      </c>
      <c r="AO1783">
        <v>0</v>
      </c>
      <c r="AP1783" t="s">
        <v>52</v>
      </c>
      <c r="AQ1783" t="s">
        <v>52</v>
      </c>
      <c r="AR1783" t="s">
        <v>62</v>
      </c>
      <c r="AS1783" t="s">
        <v>52</v>
      </c>
      <c r="AT1783" t="s">
        <v>52</v>
      </c>
      <c r="AU1783" t="s">
        <v>64</v>
      </c>
      <c r="AV1783" t="s">
        <v>62</v>
      </c>
      <c r="AW1783" t="s">
        <v>65</v>
      </c>
      <c r="AX1783" t="s">
        <v>66</v>
      </c>
      <c r="AY1783" t="s">
        <v>67</v>
      </c>
    </row>
    <row r="1784" spans="1:51" hidden="1" x14ac:dyDescent="0.25">
      <c r="A1784">
        <v>406200</v>
      </c>
      <c r="B1784" t="s">
        <v>6682</v>
      </c>
      <c r="C1784" t="e">
        <f>VLOOKUP(A1784,[1]Customer_payment_journal_line!$AL:$BO,30,0)</f>
        <v>#N/A</v>
      </c>
      <c r="D1784" t="s">
        <v>53</v>
      </c>
      <c r="E1784" t="s">
        <v>6680</v>
      </c>
      <c r="F1784" t="s">
        <v>6681</v>
      </c>
      <c r="G1784" t="s">
        <v>6027</v>
      </c>
      <c r="H1784" t="s">
        <v>69</v>
      </c>
      <c r="I1784" t="s">
        <v>6384</v>
      </c>
      <c r="J1784" t="s">
        <v>6381</v>
      </c>
      <c r="K1784" t="s">
        <v>6382</v>
      </c>
      <c r="L1784" t="s">
        <v>52</v>
      </c>
      <c r="M1784">
        <v>0</v>
      </c>
      <c r="N1784">
        <v>400</v>
      </c>
      <c r="O1784" t="s">
        <v>178</v>
      </c>
      <c r="P1784">
        <v>5085</v>
      </c>
      <c r="Q1784" t="s">
        <v>52</v>
      </c>
      <c r="R1784" t="s">
        <v>52</v>
      </c>
      <c r="S1784" t="s">
        <v>52</v>
      </c>
      <c r="T1784" t="s">
        <v>52</v>
      </c>
      <c r="U1784" t="s">
        <v>52</v>
      </c>
      <c r="V1784" t="s">
        <v>62</v>
      </c>
      <c r="W1784" t="s">
        <v>52</v>
      </c>
      <c r="Y1784" t="s">
        <v>6385</v>
      </c>
      <c r="Z1784" t="s">
        <v>62</v>
      </c>
      <c r="AB1784" t="s">
        <v>6683</v>
      </c>
      <c r="AE1784" t="s">
        <v>6684</v>
      </c>
      <c r="AF1784" t="s">
        <v>52</v>
      </c>
      <c r="AH1784">
        <v>0</v>
      </c>
      <c r="AI1784">
        <v>0</v>
      </c>
      <c r="AJ1784" t="s">
        <v>52</v>
      </c>
      <c r="AK1784">
        <v>0</v>
      </c>
      <c r="AL1784" t="s">
        <v>52</v>
      </c>
      <c r="AM1784" t="s">
        <v>52</v>
      </c>
      <c r="AN1784">
        <v>0</v>
      </c>
      <c r="AO1784">
        <v>0</v>
      </c>
      <c r="AP1784" t="s">
        <v>52</v>
      </c>
      <c r="AQ1784" t="s">
        <v>52</v>
      </c>
      <c r="AR1784" t="s">
        <v>62</v>
      </c>
      <c r="AS1784" t="s">
        <v>52</v>
      </c>
      <c r="AT1784" t="s">
        <v>74</v>
      </c>
      <c r="AU1784" t="s">
        <v>64</v>
      </c>
      <c r="AV1784" t="s">
        <v>62</v>
      </c>
      <c r="AW1784" t="s">
        <v>65</v>
      </c>
      <c r="AX1784" t="s">
        <v>66</v>
      </c>
      <c r="AY1784" t="s">
        <v>67</v>
      </c>
    </row>
    <row r="1785" spans="1:51" hidden="1" x14ac:dyDescent="0.25">
      <c r="A1785">
        <v>317164</v>
      </c>
      <c r="B1785" t="s">
        <v>6685</v>
      </c>
      <c r="C1785" t="e">
        <f>VLOOKUP(A1785,[1]Customer_payment_journal_line!$AL:$BO,30,0)</f>
        <v>#N/A</v>
      </c>
      <c r="D1785" t="s">
        <v>53</v>
      </c>
      <c r="E1785" t="s">
        <v>6686</v>
      </c>
      <c r="F1785" t="s">
        <v>6687</v>
      </c>
      <c r="G1785" t="s">
        <v>6027</v>
      </c>
      <c r="H1785" t="s">
        <v>201</v>
      </c>
      <c r="I1785" t="s">
        <v>58</v>
      </c>
      <c r="J1785" t="s">
        <v>202</v>
      </c>
      <c r="K1785" t="s">
        <v>6688</v>
      </c>
      <c r="L1785" t="s">
        <v>52</v>
      </c>
      <c r="M1785">
        <v>6360</v>
      </c>
      <c r="N1785">
        <v>0</v>
      </c>
      <c r="O1785" t="s">
        <v>61</v>
      </c>
      <c r="P1785">
        <v>100</v>
      </c>
      <c r="Q1785" t="s">
        <v>52</v>
      </c>
      <c r="R1785" t="s">
        <v>52</v>
      </c>
      <c r="S1785" t="s">
        <v>52</v>
      </c>
      <c r="T1785" t="s">
        <v>52</v>
      </c>
      <c r="U1785" t="s">
        <v>52</v>
      </c>
      <c r="V1785" t="s">
        <v>62</v>
      </c>
      <c r="W1785" t="s">
        <v>63</v>
      </c>
      <c r="Y1785" t="s">
        <v>52</v>
      </c>
      <c r="AB1785" t="s">
        <v>6689</v>
      </c>
      <c r="AE1785" t="s">
        <v>6689</v>
      </c>
      <c r="AF1785" t="s">
        <v>52</v>
      </c>
      <c r="AH1785">
        <v>0</v>
      </c>
      <c r="AI1785">
        <v>0</v>
      </c>
      <c r="AJ1785" t="s">
        <v>52</v>
      </c>
      <c r="AK1785">
        <v>0</v>
      </c>
      <c r="AL1785" t="s">
        <v>52</v>
      </c>
      <c r="AM1785" t="s">
        <v>52</v>
      </c>
      <c r="AN1785">
        <v>0</v>
      </c>
      <c r="AO1785">
        <v>0</v>
      </c>
      <c r="AP1785" t="s">
        <v>52</v>
      </c>
      <c r="AQ1785" t="s">
        <v>52</v>
      </c>
      <c r="AR1785" t="s">
        <v>62</v>
      </c>
      <c r="AS1785" t="s">
        <v>52</v>
      </c>
      <c r="AT1785" t="s">
        <v>52</v>
      </c>
      <c r="AU1785" t="s">
        <v>64</v>
      </c>
      <c r="AV1785" t="s">
        <v>62</v>
      </c>
      <c r="AW1785" t="s">
        <v>65</v>
      </c>
      <c r="AX1785" t="s">
        <v>66</v>
      </c>
      <c r="AY1785" t="s">
        <v>67</v>
      </c>
    </row>
    <row r="1786" spans="1:51" hidden="1" x14ac:dyDescent="0.25">
      <c r="A1786">
        <v>317164</v>
      </c>
      <c r="B1786" t="s">
        <v>6690</v>
      </c>
      <c r="C1786" t="e">
        <f>VLOOKUP(A1786,[1]Customer_payment_journal_line!$AL:$BO,30,0)</f>
        <v>#N/A</v>
      </c>
      <c r="D1786" t="s">
        <v>53</v>
      </c>
      <c r="E1786" t="s">
        <v>6686</v>
      </c>
      <c r="F1786" t="s">
        <v>6687</v>
      </c>
      <c r="G1786" t="s">
        <v>6027</v>
      </c>
      <c r="H1786" t="s">
        <v>69</v>
      </c>
      <c r="I1786" t="s">
        <v>6691</v>
      </c>
      <c r="J1786" t="s">
        <v>6692</v>
      </c>
      <c r="K1786" t="s">
        <v>6688</v>
      </c>
      <c r="L1786" t="s">
        <v>52</v>
      </c>
      <c r="M1786">
        <v>0</v>
      </c>
      <c r="N1786">
        <v>120</v>
      </c>
      <c r="O1786" t="s">
        <v>178</v>
      </c>
      <c r="P1786">
        <v>5085</v>
      </c>
      <c r="Q1786" t="s">
        <v>52</v>
      </c>
      <c r="R1786" t="s">
        <v>52</v>
      </c>
      <c r="S1786" t="s">
        <v>52</v>
      </c>
      <c r="T1786" t="s">
        <v>52</v>
      </c>
      <c r="U1786" t="s">
        <v>52</v>
      </c>
      <c r="V1786" t="s">
        <v>62</v>
      </c>
      <c r="W1786" t="s">
        <v>52</v>
      </c>
      <c r="Y1786" t="s">
        <v>6693</v>
      </c>
      <c r="Z1786" t="s">
        <v>62</v>
      </c>
      <c r="AB1786" t="s">
        <v>6689</v>
      </c>
      <c r="AE1786" t="s">
        <v>6689</v>
      </c>
      <c r="AF1786" t="s">
        <v>52</v>
      </c>
      <c r="AH1786">
        <v>0</v>
      </c>
      <c r="AI1786">
        <v>0</v>
      </c>
      <c r="AJ1786" t="s">
        <v>52</v>
      </c>
      <c r="AK1786">
        <v>0</v>
      </c>
      <c r="AL1786" t="s">
        <v>52</v>
      </c>
      <c r="AM1786" t="s">
        <v>52</v>
      </c>
      <c r="AN1786">
        <v>0</v>
      </c>
      <c r="AO1786">
        <v>0</v>
      </c>
      <c r="AP1786" t="s">
        <v>52</v>
      </c>
      <c r="AQ1786" t="s">
        <v>52</v>
      </c>
      <c r="AR1786" t="s">
        <v>62</v>
      </c>
      <c r="AS1786" t="s">
        <v>52</v>
      </c>
      <c r="AT1786" t="s">
        <v>74</v>
      </c>
      <c r="AU1786" t="s">
        <v>64</v>
      </c>
      <c r="AV1786" t="s">
        <v>62</v>
      </c>
      <c r="AW1786" t="s">
        <v>65</v>
      </c>
      <c r="AX1786" t="s">
        <v>66</v>
      </c>
      <c r="AY1786" t="s">
        <v>67</v>
      </c>
    </row>
    <row r="1787" spans="1:51" hidden="1" x14ac:dyDescent="0.25">
      <c r="A1787">
        <v>317164</v>
      </c>
      <c r="B1787" t="s">
        <v>6694</v>
      </c>
      <c r="C1787" t="e">
        <f>VLOOKUP(A1787,[1]Customer_payment_journal_line!$AL:$BO,30,0)</f>
        <v>#N/A</v>
      </c>
      <c r="D1787" t="s">
        <v>53</v>
      </c>
      <c r="E1787" t="s">
        <v>6686</v>
      </c>
      <c r="F1787" t="s">
        <v>6687</v>
      </c>
      <c r="G1787" t="s">
        <v>6027</v>
      </c>
      <c r="H1787" t="s">
        <v>210</v>
      </c>
      <c r="I1787" t="s">
        <v>6695</v>
      </c>
      <c r="J1787" t="s">
        <v>52</v>
      </c>
      <c r="K1787" t="s">
        <v>6688</v>
      </c>
      <c r="L1787" t="s">
        <v>52</v>
      </c>
      <c r="M1787">
        <v>0</v>
      </c>
      <c r="N1787">
        <v>258</v>
      </c>
      <c r="O1787" t="s">
        <v>61</v>
      </c>
      <c r="P1787">
        <v>100</v>
      </c>
      <c r="Q1787" t="s">
        <v>52</v>
      </c>
      <c r="R1787" t="s">
        <v>52</v>
      </c>
      <c r="S1787" t="s">
        <v>52</v>
      </c>
      <c r="T1787" t="s">
        <v>52</v>
      </c>
      <c r="U1787" t="s">
        <v>52</v>
      </c>
      <c r="V1787" t="s">
        <v>62</v>
      </c>
      <c r="W1787" t="s">
        <v>63</v>
      </c>
      <c r="Y1787" t="s">
        <v>6693</v>
      </c>
      <c r="AB1787" t="s">
        <v>6689</v>
      </c>
      <c r="AE1787" t="s">
        <v>6689</v>
      </c>
      <c r="AF1787" t="s">
        <v>52</v>
      </c>
      <c r="AH1787">
        <v>0</v>
      </c>
      <c r="AI1787">
        <v>0</v>
      </c>
      <c r="AJ1787" t="s">
        <v>52</v>
      </c>
      <c r="AK1787">
        <v>0</v>
      </c>
      <c r="AL1787" t="s">
        <v>52</v>
      </c>
      <c r="AM1787" t="s">
        <v>52</v>
      </c>
      <c r="AN1787">
        <v>0</v>
      </c>
      <c r="AO1787">
        <v>0</v>
      </c>
      <c r="AP1787" t="s">
        <v>52</v>
      </c>
      <c r="AQ1787" t="s">
        <v>52</v>
      </c>
      <c r="AR1787" t="s">
        <v>62</v>
      </c>
      <c r="AS1787" t="s">
        <v>52</v>
      </c>
      <c r="AT1787" t="s">
        <v>52</v>
      </c>
      <c r="AU1787" t="s">
        <v>64</v>
      </c>
      <c r="AV1787" t="s">
        <v>62</v>
      </c>
      <c r="AW1787" t="s">
        <v>65</v>
      </c>
      <c r="AX1787" t="s">
        <v>66</v>
      </c>
      <c r="AY1787" t="s">
        <v>67</v>
      </c>
    </row>
    <row r="1788" spans="1:51" hidden="1" x14ac:dyDescent="0.25">
      <c r="A1788">
        <v>401545</v>
      </c>
      <c r="B1788" t="s">
        <v>6696</v>
      </c>
      <c r="C1788" t="e">
        <f>VLOOKUP(A1788,[1]Customer_payment_journal_line!$AL:$BO,30,0)</f>
        <v>#N/A</v>
      </c>
      <c r="D1788" t="s">
        <v>53</v>
      </c>
      <c r="E1788" t="s">
        <v>6697</v>
      </c>
      <c r="F1788" t="s">
        <v>6698</v>
      </c>
      <c r="G1788" t="s">
        <v>6027</v>
      </c>
      <c r="H1788" t="s">
        <v>57</v>
      </c>
      <c r="I1788" t="s">
        <v>58</v>
      </c>
      <c r="J1788" t="s">
        <v>6699</v>
      </c>
      <c r="K1788" t="s">
        <v>6688</v>
      </c>
      <c r="L1788" t="s">
        <v>52</v>
      </c>
      <c r="M1788">
        <v>912</v>
      </c>
      <c r="N1788">
        <v>0</v>
      </c>
      <c r="O1788" t="s">
        <v>61</v>
      </c>
      <c r="P1788">
        <v>100</v>
      </c>
      <c r="Q1788" t="s">
        <v>52</v>
      </c>
      <c r="R1788" t="s">
        <v>52</v>
      </c>
      <c r="S1788" t="s">
        <v>52</v>
      </c>
      <c r="T1788" t="s">
        <v>52</v>
      </c>
      <c r="U1788" t="s">
        <v>52</v>
      </c>
      <c r="V1788" t="s">
        <v>62</v>
      </c>
      <c r="W1788" t="s">
        <v>63</v>
      </c>
      <c r="Y1788" t="s">
        <v>52</v>
      </c>
      <c r="AB1788" t="s">
        <v>52</v>
      </c>
      <c r="AE1788" t="s">
        <v>52</v>
      </c>
      <c r="AF1788" t="s">
        <v>52</v>
      </c>
      <c r="AH1788">
        <v>0</v>
      </c>
      <c r="AI1788">
        <v>0</v>
      </c>
      <c r="AJ1788" t="s">
        <v>52</v>
      </c>
      <c r="AK1788">
        <v>0</v>
      </c>
      <c r="AL1788" t="s">
        <v>52</v>
      </c>
      <c r="AM1788" t="s">
        <v>52</v>
      </c>
      <c r="AN1788">
        <v>0</v>
      </c>
      <c r="AO1788">
        <v>0</v>
      </c>
      <c r="AP1788" t="s">
        <v>52</v>
      </c>
      <c r="AQ1788" t="s">
        <v>52</v>
      </c>
      <c r="AR1788" t="s">
        <v>62</v>
      </c>
      <c r="AS1788" t="s">
        <v>52</v>
      </c>
      <c r="AT1788" t="s">
        <v>52</v>
      </c>
      <c r="AU1788" t="s">
        <v>64</v>
      </c>
      <c r="AV1788" t="s">
        <v>62</v>
      </c>
      <c r="AW1788" t="s">
        <v>65</v>
      </c>
      <c r="AX1788" t="s">
        <v>66</v>
      </c>
      <c r="AY1788" t="s">
        <v>67</v>
      </c>
    </row>
    <row r="1789" spans="1:51" hidden="1" x14ac:dyDescent="0.25">
      <c r="A1789">
        <v>401545</v>
      </c>
      <c r="B1789" t="s">
        <v>6700</v>
      </c>
      <c r="C1789" t="e">
        <f>VLOOKUP(A1789,[1]Customer_payment_journal_line!$AL:$BO,30,0)</f>
        <v>#N/A</v>
      </c>
      <c r="D1789" t="s">
        <v>53</v>
      </c>
      <c r="E1789" t="s">
        <v>6697</v>
      </c>
      <c r="F1789" t="s">
        <v>6698</v>
      </c>
      <c r="G1789" t="s">
        <v>6027</v>
      </c>
      <c r="H1789" t="s">
        <v>69</v>
      </c>
      <c r="I1789" t="s">
        <v>6691</v>
      </c>
      <c r="J1789" t="s">
        <v>6699</v>
      </c>
      <c r="K1789" t="s">
        <v>6688</v>
      </c>
      <c r="L1789" t="s">
        <v>52</v>
      </c>
      <c r="M1789">
        <v>0</v>
      </c>
      <c r="N1789">
        <v>912</v>
      </c>
      <c r="O1789" t="s">
        <v>61</v>
      </c>
      <c r="P1789">
        <v>100</v>
      </c>
      <c r="Q1789" t="s">
        <v>52</v>
      </c>
      <c r="R1789" t="s">
        <v>52</v>
      </c>
      <c r="S1789" t="s">
        <v>52</v>
      </c>
      <c r="T1789" t="s">
        <v>52</v>
      </c>
      <c r="U1789" t="s">
        <v>52</v>
      </c>
      <c r="V1789" t="s">
        <v>62</v>
      </c>
      <c r="W1789" t="s">
        <v>52</v>
      </c>
      <c r="Y1789" t="s">
        <v>6693</v>
      </c>
      <c r="Z1789" t="s">
        <v>62</v>
      </c>
      <c r="AB1789" t="s">
        <v>6701</v>
      </c>
      <c r="AE1789" t="s">
        <v>6702</v>
      </c>
      <c r="AF1789" t="s">
        <v>52</v>
      </c>
      <c r="AH1789">
        <v>0</v>
      </c>
      <c r="AI1789">
        <v>0</v>
      </c>
      <c r="AJ1789" t="s">
        <v>52</v>
      </c>
      <c r="AK1789">
        <v>0</v>
      </c>
      <c r="AL1789" t="s">
        <v>52</v>
      </c>
      <c r="AM1789" t="s">
        <v>52</v>
      </c>
      <c r="AN1789">
        <v>0</v>
      </c>
      <c r="AO1789">
        <v>0</v>
      </c>
      <c r="AP1789" t="s">
        <v>52</v>
      </c>
      <c r="AQ1789" t="s">
        <v>52</v>
      </c>
      <c r="AR1789" t="s">
        <v>62</v>
      </c>
      <c r="AS1789" t="s">
        <v>52</v>
      </c>
      <c r="AT1789" t="s">
        <v>74</v>
      </c>
      <c r="AU1789" t="s">
        <v>64</v>
      </c>
      <c r="AV1789" t="s">
        <v>62</v>
      </c>
      <c r="AW1789" t="s">
        <v>65</v>
      </c>
      <c r="AX1789" t="s">
        <v>66</v>
      </c>
      <c r="AY1789" t="s">
        <v>67</v>
      </c>
    </row>
    <row r="1790" spans="1:51" hidden="1" x14ac:dyDescent="0.25">
      <c r="A1790">
        <v>402881</v>
      </c>
      <c r="B1790" t="s">
        <v>6703</v>
      </c>
      <c r="C1790" t="e">
        <f>VLOOKUP(A1790,[1]Customer_payment_journal_line!$AL:$BO,30,0)</f>
        <v>#N/A</v>
      </c>
      <c r="D1790" t="s">
        <v>53</v>
      </c>
      <c r="E1790" t="s">
        <v>6704</v>
      </c>
      <c r="F1790" t="s">
        <v>6705</v>
      </c>
      <c r="G1790" t="s">
        <v>6027</v>
      </c>
      <c r="H1790" t="s">
        <v>57</v>
      </c>
      <c r="I1790" t="s">
        <v>58</v>
      </c>
      <c r="J1790" t="s">
        <v>6699</v>
      </c>
      <c r="K1790" t="s">
        <v>6688</v>
      </c>
      <c r="L1790" t="s">
        <v>52</v>
      </c>
      <c r="M1790">
        <v>855</v>
      </c>
      <c r="N1790">
        <v>0</v>
      </c>
      <c r="O1790" t="s">
        <v>61</v>
      </c>
      <c r="P1790">
        <v>100</v>
      </c>
      <c r="Q1790" t="s">
        <v>52</v>
      </c>
      <c r="R1790" t="s">
        <v>52</v>
      </c>
      <c r="S1790" t="s">
        <v>52</v>
      </c>
      <c r="T1790" t="s">
        <v>52</v>
      </c>
      <c r="U1790" t="s">
        <v>52</v>
      </c>
      <c r="V1790" t="s">
        <v>62</v>
      </c>
      <c r="W1790" t="s">
        <v>63</v>
      </c>
      <c r="Y1790" t="s">
        <v>52</v>
      </c>
      <c r="AB1790" t="s">
        <v>52</v>
      </c>
      <c r="AE1790" t="s">
        <v>52</v>
      </c>
      <c r="AF1790" t="s">
        <v>52</v>
      </c>
      <c r="AH1790">
        <v>0</v>
      </c>
      <c r="AI1790">
        <v>0</v>
      </c>
      <c r="AJ1790" t="s">
        <v>52</v>
      </c>
      <c r="AK1790">
        <v>0</v>
      </c>
      <c r="AL1790" t="s">
        <v>52</v>
      </c>
      <c r="AM1790" t="s">
        <v>52</v>
      </c>
      <c r="AN1790">
        <v>0</v>
      </c>
      <c r="AO1790">
        <v>0</v>
      </c>
      <c r="AP1790" t="s">
        <v>52</v>
      </c>
      <c r="AQ1790" t="s">
        <v>52</v>
      </c>
      <c r="AR1790" t="s">
        <v>62</v>
      </c>
      <c r="AS1790" t="s">
        <v>52</v>
      </c>
      <c r="AT1790" t="s">
        <v>52</v>
      </c>
      <c r="AU1790" t="s">
        <v>64</v>
      </c>
      <c r="AV1790" t="s">
        <v>62</v>
      </c>
      <c r="AW1790" t="s">
        <v>65</v>
      </c>
      <c r="AX1790" t="s">
        <v>66</v>
      </c>
      <c r="AY1790" t="s">
        <v>67</v>
      </c>
    </row>
    <row r="1791" spans="1:51" hidden="1" x14ac:dyDescent="0.25">
      <c r="A1791">
        <v>402881</v>
      </c>
      <c r="B1791" t="s">
        <v>6706</v>
      </c>
      <c r="C1791" t="e">
        <f>VLOOKUP(A1791,[1]Customer_payment_journal_line!$AL:$BO,30,0)</f>
        <v>#N/A</v>
      </c>
      <c r="D1791" t="s">
        <v>53</v>
      </c>
      <c r="E1791" t="s">
        <v>6704</v>
      </c>
      <c r="F1791" t="s">
        <v>6705</v>
      </c>
      <c r="G1791" t="s">
        <v>6027</v>
      </c>
      <c r="H1791" t="s">
        <v>69</v>
      </c>
      <c r="I1791" t="s">
        <v>6691</v>
      </c>
      <c r="J1791" t="s">
        <v>6699</v>
      </c>
      <c r="K1791" t="s">
        <v>6688</v>
      </c>
      <c r="L1791" t="s">
        <v>52</v>
      </c>
      <c r="M1791">
        <v>0</v>
      </c>
      <c r="N1791">
        <v>855</v>
      </c>
      <c r="O1791" t="s">
        <v>61</v>
      </c>
      <c r="P1791">
        <v>100</v>
      </c>
      <c r="Q1791" t="s">
        <v>52</v>
      </c>
      <c r="R1791" t="s">
        <v>52</v>
      </c>
      <c r="S1791" t="s">
        <v>52</v>
      </c>
      <c r="T1791" t="s">
        <v>52</v>
      </c>
      <c r="U1791" t="s">
        <v>52</v>
      </c>
      <c r="V1791" t="s">
        <v>62</v>
      </c>
      <c r="W1791" t="s">
        <v>52</v>
      </c>
      <c r="Y1791" t="s">
        <v>6693</v>
      </c>
      <c r="Z1791" t="s">
        <v>62</v>
      </c>
      <c r="AB1791" t="s">
        <v>6707</v>
      </c>
      <c r="AE1791" t="s">
        <v>6708</v>
      </c>
      <c r="AF1791" t="s">
        <v>52</v>
      </c>
      <c r="AH1791">
        <v>0</v>
      </c>
      <c r="AI1791">
        <v>0</v>
      </c>
      <c r="AJ1791" t="s">
        <v>52</v>
      </c>
      <c r="AK1791">
        <v>0</v>
      </c>
      <c r="AL1791" t="s">
        <v>52</v>
      </c>
      <c r="AM1791" t="s">
        <v>52</v>
      </c>
      <c r="AN1791">
        <v>0</v>
      </c>
      <c r="AO1791">
        <v>0</v>
      </c>
      <c r="AP1791" t="s">
        <v>52</v>
      </c>
      <c r="AQ1791" t="s">
        <v>52</v>
      </c>
      <c r="AR1791" t="s">
        <v>62</v>
      </c>
      <c r="AS1791" t="s">
        <v>52</v>
      </c>
      <c r="AT1791" t="s">
        <v>74</v>
      </c>
      <c r="AU1791" t="s">
        <v>64</v>
      </c>
      <c r="AV1791" t="s">
        <v>62</v>
      </c>
      <c r="AW1791" t="s">
        <v>65</v>
      </c>
      <c r="AX1791" t="s">
        <v>66</v>
      </c>
      <c r="AY1791" t="s">
        <v>67</v>
      </c>
    </row>
    <row r="1792" spans="1:51" hidden="1" x14ac:dyDescent="0.25">
      <c r="A1792">
        <v>203679</v>
      </c>
      <c r="B1792" t="s">
        <v>6709</v>
      </c>
      <c r="C1792" t="e">
        <f>VLOOKUP(A1792,[1]Customer_payment_journal_line!$AL:$BO,30,0)</f>
        <v>#N/A</v>
      </c>
      <c r="D1792" t="s">
        <v>53</v>
      </c>
      <c r="E1792" t="s">
        <v>6710</v>
      </c>
      <c r="F1792" t="s">
        <v>6711</v>
      </c>
      <c r="G1792" t="s">
        <v>6027</v>
      </c>
      <c r="H1792" t="s">
        <v>57</v>
      </c>
      <c r="I1792" t="s">
        <v>58</v>
      </c>
      <c r="J1792" t="s">
        <v>4086</v>
      </c>
      <c r="K1792" t="s">
        <v>6712</v>
      </c>
      <c r="L1792" t="s">
        <v>52</v>
      </c>
      <c r="M1792">
        <v>19950</v>
      </c>
      <c r="N1792">
        <v>0</v>
      </c>
      <c r="O1792" t="s">
        <v>61</v>
      </c>
      <c r="P1792">
        <v>100</v>
      </c>
      <c r="Q1792" t="s">
        <v>52</v>
      </c>
      <c r="R1792" t="s">
        <v>52</v>
      </c>
      <c r="S1792" t="s">
        <v>52</v>
      </c>
      <c r="T1792" t="s">
        <v>52</v>
      </c>
      <c r="U1792" t="s">
        <v>52</v>
      </c>
      <c r="V1792" t="s">
        <v>62</v>
      </c>
      <c r="W1792" t="s">
        <v>63</v>
      </c>
      <c r="Y1792" t="s">
        <v>52</v>
      </c>
      <c r="AB1792" t="s">
        <v>52</v>
      </c>
      <c r="AE1792" t="s">
        <v>52</v>
      </c>
      <c r="AF1792" t="s">
        <v>52</v>
      </c>
      <c r="AH1792">
        <v>0</v>
      </c>
      <c r="AI1792">
        <v>0</v>
      </c>
      <c r="AJ1792" t="s">
        <v>52</v>
      </c>
      <c r="AK1792">
        <v>0</v>
      </c>
      <c r="AL1792" t="s">
        <v>52</v>
      </c>
      <c r="AM1792" t="s">
        <v>52</v>
      </c>
      <c r="AN1792">
        <v>0</v>
      </c>
      <c r="AO1792">
        <v>0</v>
      </c>
      <c r="AP1792" t="s">
        <v>52</v>
      </c>
      <c r="AQ1792" t="s">
        <v>52</v>
      </c>
      <c r="AR1792" t="s">
        <v>62</v>
      </c>
      <c r="AS1792" t="s">
        <v>52</v>
      </c>
      <c r="AT1792" t="s">
        <v>52</v>
      </c>
      <c r="AU1792" t="s">
        <v>64</v>
      </c>
      <c r="AV1792" t="s">
        <v>62</v>
      </c>
      <c r="AW1792" t="s">
        <v>65</v>
      </c>
      <c r="AX1792" t="s">
        <v>66</v>
      </c>
      <c r="AY1792" t="s">
        <v>67</v>
      </c>
    </row>
    <row r="1793" spans="1:51" hidden="1" x14ac:dyDescent="0.25">
      <c r="A1793">
        <v>203679</v>
      </c>
      <c r="B1793" t="s">
        <v>6713</v>
      </c>
      <c r="C1793" t="e">
        <f>VLOOKUP(A1793,[1]Customer_payment_journal_line!$AL:$BO,30,0)</f>
        <v>#N/A</v>
      </c>
      <c r="D1793" t="s">
        <v>53</v>
      </c>
      <c r="E1793" t="s">
        <v>6710</v>
      </c>
      <c r="F1793" t="s">
        <v>6711</v>
      </c>
      <c r="G1793" t="s">
        <v>6027</v>
      </c>
      <c r="H1793" t="s">
        <v>69</v>
      </c>
      <c r="I1793" t="s">
        <v>1187</v>
      </c>
      <c r="J1793" t="s">
        <v>4086</v>
      </c>
      <c r="K1793" t="s">
        <v>6712</v>
      </c>
      <c r="L1793" t="s">
        <v>52</v>
      </c>
      <c r="M1793">
        <v>0</v>
      </c>
      <c r="N1793">
        <v>19950</v>
      </c>
      <c r="O1793" t="s">
        <v>61</v>
      </c>
      <c r="P1793">
        <v>100</v>
      </c>
      <c r="Q1793" t="s">
        <v>52</v>
      </c>
      <c r="R1793" t="s">
        <v>52</v>
      </c>
      <c r="S1793" t="s">
        <v>52</v>
      </c>
      <c r="T1793" t="s">
        <v>52</v>
      </c>
      <c r="U1793" t="s">
        <v>52</v>
      </c>
      <c r="V1793" t="s">
        <v>62</v>
      </c>
      <c r="W1793" t="s">
        <v>52</v>
      </c>
      <c r="Y1793" t="s">
        <v>1188</v>
      </c>
      <c r="Z1793" t="s">
        <v>62</v>
      </c>
      <c r="AB1793" t="s">
        <v>6714</v>
      </c>
      <c r="AE1793" t="s">
        <v>6715</v>
      </c>
      <c r="AF1793" t="s">
        <v>52</v>
      </c>
      <c r="AH1793">
        <v>0</v>
      </c>
      <c r="AI1793">
        <v>0</v>
      </c>
      <c r="AJ1793" t="s">
        <v>52</v>
      </c>
      <c r="AK1793">
        <v>0</v>
      </c>
      <c r="AL1793" t="s">
        <v>52</v>
      </c>
      <c r="AM1793" t="s">
        <v>52</v>
      </c>
      <c r="AN1793">
        <v>0</v>
      </c>
      <c r="AO1793">
        <v>0</v>
      </c>
      <c r="AP1793" t="s">
        <v>52</v>
      </c>
      <c r="AQ1793" t="s">
        <v>52</v>
      </c>
      <c r="AR1793" t="s">
        <v>62</v>
      </c>
      <c r="AS1793" t="s">
        <v>52</v>
      </c>
      <c r="AT1793" t="s">
        <v>74</v>
      </c>
      <c r="AU1793" t="s">
        <v>64</v>
      </c>
      <c r="AV1793" t="s">
        <v>62</v>
      </c>
      <c r="AW1793" t="s">
        <v>65</v>
      </c>
      <c r="AX1793" t="s">
        <v>66</v>
      </c>
      <c r="AY1793" t="s">
        <v>67</v>
      </c>
    </row>
    <row r="1794" spans="1:51" hidden="1" x14ac:dyDescent="0.25">
      <c r="A1794">
        <v>203680</v>
      </c>
      <c r="B1794" t="s">
        <v>6716</v>
      </c>
      <c r="C1794" t="e">
        <f>VLOOKUP(A1794,[1]Customer_payment_journal_line!$AL:$BO,30,0)</f>
        <v>#N/A</v>
      </c>
      <c r="D1794" t="s">
        <v>53</v>
      </c>
      <c r="E1794" t="s">
        <v>6717</v>
      </c>
      <c r="F1794" t="s">
        <v>6718</v>
      </c>
      <c r="G1794" t="s">
        <v>6027</v>
      </c>
      <c r="H1794" t="s">
        <v>57</v>
      </c>
      <c r="I1794" t="s">
        <v>58</v>
      </c>
      <c r="J1794" t="s">
        <v>4086</v>
      </c>
      <c r="K1794" t="s">
        <v>6712</v>
      </c>
      <c r="L1794" t="s">
        <v>52</v>
      </c>
      <c r="M1794">
        <v>855</v>
      </c>
      <c r="N1794">
        <v>0</v>
      </c>
      <c r="O1794" t="s">
        <v>61</v>
      </c>
      <c r="P1794">
        <v>100</v>
      </c>
      <c r="Q1794" t="s">
        <v>52</v>
      </c>
      <c r="R1794" t="s">
        <v>52</v>
      </c>
      <c r="S1794" t="s">
        <v>52</v>
      </c>
      <c r="T1794" t="s">
        <v>52</v>
      </c>
      <c r="U1794" t="s">
        <v>52</v>
      </c>
      <c r="V1794" t="s">
        <v>62</v>
      </c>
      <c r="W1794" t="s">
        <v>63</v>
      </c>
      <c r="Y1794" t="s">
        <v>52</v>
      </c>
      <c r="AB1794" t="s">
        <v>52</v>
      </c>
      <c r="AE1794" t="s">
        <v>52</v>
      </c>
      <c r="AF1794" t="s">
        <v>52</v>
      </c>
      <c r="AH1794">
        <v>0</v>
      </c>
      <c r="AI1794">
        <v>0</v>
      </c>
      <c r="AJ1794" t="s">
        <v>52</v>
      </c>
      <c r="AK1794">
        <v>0</v>
      </c>
      <c r="AL1794" t="s">
        <v>52</v>
      </c>
      <c r="AM1794" t="s">
        <v>52</v>
      </c>
      <c r="AN1794">
        <v>0</v>
      </c>
      <c r="AO1794">
        <v>0</v>
      </c>
      <c r="AP1794" t="s">
        <v>52</v>
      </c>
      <c r="AQ1794" t="s">
        <v>52</v>
      </c>
      <c r="AR1794" t="s">
        <v>62</v>
      </c>
      <c r="AS1794" t="s">
        <v>52</v>
      </c>
      <c r="AT1794" t="s">
        <v>52</v>
      </c>
      <c r="AU1794" t="s">
        <v>64</v>
      </c>
      <c r="AV1794" t="s">
        <v>62</v>
      </c>
      <c r="AW1794" t="s">
        <v>65</v>
      </c>
      <c r="AX1794" t="s">
        <v>66</v>
      </c>
      <c r="AY1794" t="s">
        <v>67</v>
      </c>
    </row>
    <row r="1795" spans="1:51" hidden="1" x14ac:dyDescent="0.25">
      <c r="A1795">
        <v>203680</v>
      </c>
      <c r="B1795" t="s">
        <v>6719</v>
      </c>
      <c r="C1795" t="e">
        <f>VLOOKUP(A1795,[1]Customer_payment_journal_line!$AL:$BO,30,0)</f>
        <v>#N/A</v>
      </c>
      <c r="D1795" t="s">
        <v>53</v>
      </c>
      <c r="E1795" t="s">
        <v>6717</v>
      </c>
      <c r="F1795" t="s">
        <v>6718</v>
      </c>
      <c r="G1795" t="s">
        <v>6027</v>
      </c>
      <c r="H1795" t="s">
        <v>69</v>
      </c>
      <c r="I1795" t="s">
        <v>1187</v>
      </c>
      <c r="J1795" t="s">
        <v>4086</v>
      </c>
      <c r="K1795" t="s">
        <v>6712</v>
      </c>
      <c r="L1795" t="s">
        <v>52</v>
      </c>
      <c r="M1795">
        <v>0</v>
      </c>
      <c r="N1795">
        <v>855</v>
      </c>
      <c r="O1795" t="s">
        <v>61</v>
      </c>
      <c r="P1795">
        <v>100</v>
      </c>
      <c r="Q1795" t="s">
        <v>52</v>
      </c>
      <c r="R1795" t="s">
        <v>52</v>
      </c>
      <c r="S1795" t="s">
        <v>52</v>
      </c>
      <c r="T1795" t="s">
        <v>52</v>
      </c>
      <c r="U1795" t="s">
        <v>52</v>
      </c>
      <c r="V1795" t="s">
        <v>62</v>
      </c>
      <c r="W1795" t="s">
        <v>52</v>
      </c>
      <c r="Y1795" t="s">
        <v>1188</v>
      </c>
      <c r="Z1795" t="s">
        <v>62</v>
      </c>
      <c r="AB1795" t="s">
        <v>6720</v>
      </c>
      <c r="AE1795" t="s">
        <v>6721</v>
      </c>
      <c r="AF1795" t="s">
        <v>52</v>
      </c>
      <c r="AH1795">
        <v>0</v>
      </c>
      <c r="AI1795">
        <v>0</v>
      </c>
      <c r="AJ1795" t="s">
        <v>52</v>
      </c>
      <c r="AK1795">
        <v>0</v>
      </c>
      <c r="AL1795" t="s">
        <v>52</v>
      </c>
      <c r="AM1795" t="s">
        <v>52</v>
      </c>
      <c r="AN1795">
        <v>0</v>
      </c>
      <c r="AO1795">
        <v>0</v>
      </c>
      <c r="AP1795" t="s">
        <v>52</v>
      </c>
      <c r="AQ1795" t="s">
        <v>52</v>
      </c>
      <c r="AR1795" t="s">
        <v>62</v>
      </c>
      <c r="AS1795" t="s">
        <v>52</v>
      </c>
      <c r="AT1795" t="s">
        <v>74</v>
      </c>
      <c r="AU1795" t="s">
        <v>64</v>
      </c>
      <c r="AV1795" t="s">
        <v>62</v>
      </c>
      <c r="AW1795" t="s">
        <v>65</v>
      </c>
      <c r="AX1795" t="s">
        <v>66</v>
      </c>
      <c r="AY1795" t="s">
        <v>67</v>
      </c>
    </row>
    <row r="1796" spans="1:51" hidden="1" x14ac:dyDescent="0.25">
      <c r="A1796">
        <v>406203</v>
      </c>
      <c r="B1796" t="s">
        <v>6722</v>
      </c>
      <c r="C1796" t="e">
        <f>VLOOKUP(A1796,[1]Customer_payment_journal_line!$AL:$BO,30,0)</f>
        <v>#N/A</v>
      </c>
      <c r="D1796" t="s">
        <v>53</v>
      </c>
      <c r="E1796" t="s">
        <v>6723</v>
      </c>
      <c r="F1796" t="s">
        <v>6724</v>
      </c>
      <c r="G1796" t="s">
        <v>6027</v>
      </c>
      <c r="H1796" t="s">
        <v>57</v>
      </c>
      <c r="I1796" t="s">
        <v>58</v>
      </c>
      <c r="J1796" t="s">
        <v>6725</v>
      </c>
      <c r="K1796" t="s">
        <v>6726</v>
      </c>
      <c r="L1796" t="s">
        <v>52</v>
      </c>
      <c r="M1796">
        <v>3705</v>
      </c>
      <c r="N1796">
        <v>0</v>
      </c>
      <c r="O1796" t="s">
        <v>61</v>
      </c>
      <c r="P1796">
        <v>100</v>
      </c>
      <c r="Q1796" t="s">
        <v>52</v>
      </c>
      <c r="R1796" t="s">
        <v>52</v>
      </c>
      <c r="S1796" t="s">
        <v>52</v>
      </c>
      <c r="T1796" t="s">
        <v>52</v>
      </c>
      <c r="U1796" t="s">
        <v>52</v>
      </c>
      <c r="V1796" t="s">
        <v>62</v>
      </c>
      <c r="W1796" t="s">
        <v>63</v>
      </c>
      <c r="Y1796" t="s">
        <v>52</v>
      </c>
      <c r="AB1796" t="s">
        <v>52</v>
      </c>
      <c r="AE1796" t="s">
        <v>52</v>
      </c>
      <c r="AF1796" t="s">
        <v>52</v>
      </c>
      <c r="AH1796">
        <v>0</v>
      </c>
      <c r="AI1796">
        <v>0</v>
      </c>
      <c r="AJ1796" t="s">
        <v>52</v>
      </c>
      <c r="AK1796">
        <v>0</v>
      </c>
      <c r="AL1796" t="s">
        <v>52</v>
      </c>
      <c r="AM1796" t="s">
        <v>52</v>
      </c>
      <c r="AN1796">
        <v>0</v>
      </c>
      <c r="AO1796">
        <v>0</v>
      </c>
      <c r="AP1796" t="s">
        <v>52</v>
      </c>
      <c r="AQ1796" t="s">
        <v>52</v>
      </c>
      <c r="AR1796" t="s">
        <v>62</v>
      </c>
      <c r="AS1796" t="s">
        <v>52</v>
      </c>
      <c r="AT1796" t="s">
        <v>52</v>
      </c>
      <c r="AU1796" t="s">
        <v>64</v>
      </c>
      <c r="AV1796" t="s">
        <v>62</v>
      </c>
      <c r="AW1796" t="s">
        <v>65</v>
      </c>
      <c r="AX1796" t="s">
        <v>66</v>
      </c>
      <c r="AY1796" t="s">
        <v>67</v>
      </c>
    </row>
    <row r="1797" spans="1:51" hidden="1" x14ac:dyDescent="0.25">
      <c r="A1797">
        <v>406203</v>
      </c>
      <c r="B1797" t="s">
        <v>6727</v>
      </c>
      <c r="C1797" t="e">
        <f>VLOOKUP(A1797,[1]Customer_payment_journal_line!$AL:$BO,30,0)</f>
        <v>#N/A</v>
      </c>
      <c r="D1797" t="s">
        <v>53</v>
      </c>
      <c r="E1797" t="s">
        <v>6723</v>
      </c>
      <c r="F1797" t="s">
        <v>6724</v>
      </c>
      <c r="G1797" t="s">
        <v>6027</v>
      </c>
      <c r="H1797" t="s">
        <v>69</v>
      </c>
      <c r="I1797" t="s">
        <v>6728</v>
      </c>
      <c r="J1797" t="s">
        <v>6725</v>
      </c>
      <c r="K1797" t="s">
        <v>6726</v>
      </c>
      <c r="L1797" t="s">
        <v>52</v>
      </c>
      <c r="M1797">
        <v>0</v>
      </c>
      <c r="N1797">
        <v>3705</v>
      </c>
      <c r="O1797" t="s">
        <v>61</v>
      </c>
      <c r="P1797">
        <v>100</v>
      </c>
      <c r="Q1797" t="s">
        <v>52</v>
      </c>
      <c r="R1797" t="s">
        <v>52</v>
      </c>
      <c r="S1797" t="s">
        <v>52</v>
      </c>
      <c r="T1797" t="s">
        <v>52</v>
      </c>
      <c r="U1797" t="s">
        <v>52</v>
      </c>
      <c r="V1797" t="s">
        <v>62</v>
      </c>
      <c r="W1797" t="s">
        <v>52</v>
      </c>
      <c r="Y1797" t="s">
        <v>6729</v>
      </c>
      <c r="Z1797" t="s">
        <v>62</v>
      </c>
      <c r="AB1797" t="s">
        <v>6730</v>
      </c>
      <c r="AE1797" t="s">
        <v>6731</v>
      </c>
      <c r="AF1797" t="s">
        <v>52</v>
      </c>
      <c r="AH1797">
        <v>0</v>
      </c>
      <c r="AI1797">
        <v>0</v>
      </c>
      <c r="AJ1797" t="s">
        <v>52</v>
      </c>
      <c r="AK1797">
        <v>0</v>
      </c>
      <c r="AL1797" t="s">
        <v>52</v>
      </c>
      <c r="AM1797" t="s">
        <v>52</v>
      </c>
      <c r="AN1797">
        <v>0</v>
      </c>
      <c r="AO1797">
        <v>0</v>
      </c>
      <c r="AP1797" t="s">
        <v>52</v>
      </c>
      <c r="AQ1797" t="s">
        <v>52</v>
      </c>
      <c r="AR1797" t="s">
        <v>62</v>
      </c>
      <c r="AS1797" t="s">
        <v>52</v>
      </c>
      <c r="AT1797" t="s">
        <v>74</v>
      </c>
      <c r="AU1797" t="s">
        <v>64</v>
      </c>
      <c r="AV1797" t="s">
        <v>62</v>
      </c>
      <c r="AW1797" t="s">
        <v>65</v>
      </c>
      <c r="AX1797" t="s">
        <v>66</v>
      </c>
      <c r="AY1797" t="s">
        <v>67</v>
      </c>
    </row>
    <row r="1798" spans="1:51" hidden="1" x14ac:dyDescent="0.25">
      <c r="A1798">
        <v>406204</v>
      </c>
      <c r="B1798" t="s">
        <v>6732</v>
      </c>
      <c r="C1798" t="e">
        <f>VLOOKUP(A1798,[1]Customer_payment_journal_line!$AL:$BO,30,0)</f>
        <v>#N/A</v>
      </c>
      <c r="D1798" t="s">
        <v>53</v>
      </c>
      <c r="E1798" t="s">
        <v>6733</v>
      </c>
      <c r="F1798" t="s">
        <v>6734</v>
      </c>
      <c r="G1798" t="s">
        <v>6027</v>
      </c>
      <c r="H1798" t="s">
        <v>57</v>
      </c>
      <c r="I1798" t="s">
        <v>58</v>
      </c>
      <c r="J1798" t="s">
        <v>6725</v>
      </c>
      <c r="K1798" t="s">
        <v>6726</v>
      </c>
      <c r="L1798" t="s">
        <v>52</v>
      </c>
      <c r="M1798">
        <v>855</v>
      </c>
      <c r="N1798">
        <v>0</v>
      </c>
      <c r="O1798" t="s">
        <v>61</v>
      </c>
      <c r="P1798">
        <v>100</v>
      </c>
      <c r="Q1798" t="s">
        <v>52</v>
      </c>
      <c r="R1798" t="s">
        <v>52</v>
      </c>
      <c r="S1798" t="s">
        <v>52</v>
      </c>
      <c r="T1798" t="s">
        <v>52</v>
      </c>
      <c r="U1798" t="s">
        <v>52</v>
      </c>
      <c r="V1798" t="s">
        <v>62</v>
      </c>
      <c r="W1798" t="s">
        <v>63</v>
      </c>
      <c r="Y1798" t="s">
        <v>52</v>
      </c>
      <c r="AB1798" t="s">
        <v>52</v>
      </c>
      <c r="AE1798" t="s">
        <v>52</v>
      </c>
      <c r="AF1798" t="s">
        <v>52</v>
      </c>
      <c r="AH1798">
        <v>0</v>
      </c>
      <c r="AI1798">
        <v>0</v>
      </c>
      <c r="AJ1798" t="s">
        <v>52</v>
      </c>
      <c r="AK1798">
        <v>0</v>
      </c>
      <c r="AL1798" t="s">
        <v>52</v>
      </c>
      <c r="AM1798" t="s">
        <v>52</v>
      </c>
      <c r="AN1798">
        <v>0</v>
      </c>
      <c r="AO1798">
        <v>0</v>
      </c>
      <c r="AP1798" t="s">
        <v>52</v>
      </c>
      <c r="AQ1798" t="s">
        <v>52</v>
      </c>
      <c r="AR1798" t="s">
        <v>62</v>
      </c>
      <c r="AS1798" t="s">
        <v>52</v>
      </c>
      <c r="AT1798" t="s">
        <v>52</v>
      </c>
      <c r="AU1798" t="s">
        <v>64</v>
      </c>
      <c r="AV1798" t="s">
        <v>62</v>
      </c>
      <c r="AW1798" t="s">
        <v>65</v>
      </c>
      <c r="AX1798" t="s">
        <v>66</v>
      </c>
      <c r="AY1798" t="s">
        <v>67</v>
      </c>
    </row>
    <row r="1799" spans="1:51" hidden="1" x14ac:dyDescent="0.25">
      <c r="A1799">
        <v>406204</v>
      </c>
      <c r="B1799" t="s">
        <v>6735</v>
      </c>
      <c r="C1799" t="e">
        <f>VLOOKUP(A1799,[1]Customer_payment_journal_line!$AL:$BO,30,0)</f>
        <v>#N/A</v>
      </c>
      <c r="D1799" t="s">
        <v>53</v>
      </c>
      <c r="E1799" t="s">
        <v>6733</v>
      </c>
      <c r="F1799" t="s">
        <v>6734</v>
      </c>
      <c r="G1799" t="s">
        <v>6027</v>
      </c>
      <c r="H1799" t="s">
        <v>69</v>
      </c>
      <c r="I1799" t="s">
        <v>6728</v>
      </c>
      <c r="J1799" t="s">
        <v>6725</v>
      </c>
      <c r="K1799" t="s">
        <v>6726</v>
      </c>
      <c r="L1799" t="s">
        <v>52</v>
      </c>
      <c r="M1799">
        <v>0</v>
      </c>
      <c r="N1799">
        <v>855</v>
      </c>
      <c r="O1799" t="s">
        <v>61</v>
      </c>
      <c r="P1799">
        <v>100</v>
      </c>
      <c r="Q1799" t="s">
        <v>52</v>
      </c>
      <c r="R1799" t="s">
        <v>52</v>
      </c>
      <c r="S1799" t="s">
        <v>52</v>
      </c>
      <c r="T1799" t="s">
        <v>52</v>
      </c>
      <c r="U1799" t="s">
        <v>52</v>
      </c>
      <c r="V1799" t="s">
        <v>62</v>
      </c>
      <c r="W1799" t="s">
        <v>52</v>
      </c>
      <c r="Y1799" t="s">
        <v>6729</v>
      </c>
      <c r="Z1799" t="s">
        <v>62</v>
      </c>
      <c r="AB1799" t="s">
        <v>6736</v>
      </c>
      <c r="AE1799" t="s">
        <v>6737</v>
      </c>
      <c r="AF1799" t="s">
        <v>52</v>
      </c>
      <c r="AH1799">
        <v>0</v>
      </c>
      <c r="AI1799">
        <v>0</v>
      </c>
      <c r="AJ1799" t="s">
        <v>52</v>
      </c>
      <c r="AK1799">
        <v>0</v>
      </c>
      <c r="AL1799" t="s">
        <v>52</v>
      </c>
      <c r="AM1799" t="s">
        <v>52</v>
      </c>
      <c r="AN1799">
        <v>0</v>
      </c>
      <c r="AO1799">
        <v>0</v>
      </c>
      <c r="AP1799" t="s">
        <v>52</v>
      </c>
      <c r="AQ1799" t="s">
        <v>52</v>
      </c>
      <c r="AR1799" t="s">
        <v>62</v>
      </c>
      <c r="AS1799" t="s">
        <v>52</v>
      </c>
      <c r="AT1799" t="s">
        <v>74</v>
      </c>
      <c r="AU1799" t="s">
        <v>64</v>
      </c>
      <c r="AV1799" t="s">
        <v>62</v>
      </c>
      <c r="AW1799" t="s">
        <v>65</v>
      </c>
      <c r="AX1799" t="s">
        <v>66</v>
      </c>
      <c r="AY1799" t="s">
        <v>67</v>
      </c>
    </row>
    <row r="1800" spans="1:51" x14ac:dyDescent="0.25">
      <c r="A1800">
        <v>203696</v>
      </c>
      <c r="B1800" t="s">
        <v>6738</v>
      </c>
      <c r="C1800" t="e">
        <f>VLOOKUP(A1800,[1]Customer_payment_journal_line!$AL:$BO,30,0)</f>
        <v>#N/A</v>
      </c>
      <c r="D1800" t="s">
        <v>53</v>
      </c>
      <c r="E1800" t="s">
        <v>6739</v>
      </c>
      <c r="F1800" t="s">
        <v>6740</v>
      </c>
      <c r="G1800" t="s">
        <v>6741</v>
      </c>
      <c r="H1800" t="s">
        <v>57</v>
      </c>
      <c r="I1800" t="s">
        <v>58</v>
      </c>
      <c r="J1800" t="s">
        <v>6085</v>
      </c>
      <c r="K1800" t="s">
        <v>1065</v>
      </c>
      <c r="L1800" t="s">
        <v>52</v>
      </c>
      <c r="M1800">
        <v>109653.68</v>
      </c>
      <c r="N1800">
        <v>0</v>
      </c>
      <c r="O1800" t="s">
        <v>61</v>
      </c>
      <c r="P1800">
        <v>100</v>
      </c>
      <c r="Q1800" t="s">
        <v>52</v>
      </c>
      <c r="R1800" t="s">
        <v>52</v>
      </c>
      <c r="S1800" t="s">
        <v>52</v>
      </c>
      <c r="T1800" t="s">
        <v>52</v>
      </c>
      <c r="U1800" t="s">
        <v>52</v>
      </c>
      <c r="V1800" t="s">
        <v>62</v>
      </c>
      <c r="W1800" t="s">
        <v>63</v>
      </c>
      <c r="Y1800" t="s">
        <v>52</v>
      </c>
      <c r="AB1800" t="s">
        <v>52</v>
      </c>
      <c r="AE1800" t="s">
        <v>52</v>
      </c>
      <c r="AF1800" t="s">
        <v>52</v>
      </c>
      <c r="AH1800">
        <v>0</v>
      </c>
      <c r="AI1800">
        <v>0</v>
      </c>
      <c r="AJ1800" t="s">
        <v>52</v>
      </c>
      <c r="AK1800">
        <v>0</v>
      </c>
      <c r="AL1800" t="s">
        <v>52</v>
      </c>
      <c r="AM1800" t="s">
        <v>52</v>
      </c>
      <c r="AN1800">
        <v>0</v>
      </c>
      <c r="AO1800">
        <v>0</v>
      </c>
      <c r="AP1800" t="s">
        <v>52</v>
      </c>
      <c r="AQ1800" t="s">
        <v>52</v>
      </c>
      <c r="AR1800" t="s">
        <v>62</v>
      </c>
      <c r="AS1800" t="s">
        <v>52</v>
      </c>
      <c r="AT1800" t="s">
        <v>52</v>
      </c>
      <c r="AU1800" t="s">
        <v>64</v>
      </c>
      <c r="AV1800" t="s">
        <v>62</v>
      </c>
      <c r="AW1800" t="s">
        <v>65</v>
      </c>
      <c r="AX1800" t="s">
        <v>1067</v>
      </c>
      <c r="AY1800" t="s">
        <v>67</v>
      </c>
    </row>
    <row r="1801" spans="1:51" x14ac:dyDescent="0.25">
      <c r="A1801">
        <v>203696</v>
      </c>
      <c r="B1801" t="s">
        <v>6742</v>
      </c>
      <c r="C1801" t="e">
        <f>VLOOKUP(A1801,[1]Customer_payment_journal_line!$AL:$BO,30,0)</f>
        <v>#N/A</v>
      </c>
      <c r="D1801" t="s">
        <v>53</v>
      </c>
      <c r="E1801" t="s">
        <v>6739</v>
      </c>
      <c r="F1801" t="s">
        <v>6740</v>
      </c>
      <c r="G1801" t="s">
        <v>6741</v>
      </c>
      <c r="H1801" t="s">
        <v>69</v>
      </c>
      <c r="I1801" t="s">
        <v>6084</v>
      </c>
      <c r="J1801" t="s">
        <v>6085</v>
      </c>
      <c r="K1801" t="s">
        <v>1065</v>
      </c>
      <c r="L1801" t="s">
        <v>52</v>
      </c>
      <c r="M1801">
        <v>0</v>
      </c>
      <c r="N1801">
        <v>109653.68</v>
      </c>
      <c r="O1801" t="s">
        <v>61</v>
      </c>
      <c r="P1801">
        <v>100</v>
      </c>
      <c r="Q1801" t="s">
        <v>52</v>
      </c>
      <c r="R1801" t="s">
        <v>52</v>
      </c>
      <c r="S1801" t="s">
        <v>52</v>
      </c>
      <c r="T1801" t="s">
        <v>52</v>
      </c>
      <c r="U1801" t="s">
        <v>52</v>
      </c>
      <c r="V1801" t="s">
        <v>1071</v>
      </c>
      <c r="W1801" t="s">
        <v>52</v>
      </c>
      <c r="Y1801" t="s">
        <v>6086</v>
      </c>
      <c r="Z1801" t="s">
        <v>62</v>
      </c>
      <c r="AB1801" t="s">
        <v>52</v>
      </c>
      <c r="AE1801" t="s">
        <v>52</v>
      </c>
      <c r="AF1801" t="s">
        <v>52</v>
      </c>
      <c r="AH1801">
        <v>0</v>
      </c>
      <c r="AI1801">
        <v>0</v>
      </c>
      <c r="AJ1801" t="s">
        <v>52</v>
      </c>
      <c r="AK1801">
        <v>0</v>
      </c>
      <c r="AL1801" t="s">
        <v>52</v>
      </c>
      <c r="AM1801" t="s">
        <v>52</v>
      </c>
      <c r="AN1801">
        <v>0</v>
      </c>
      <c r="AO1801">
        <v>0</v>
      </c>
      <c r="AP1801" t="s">
        <v>52</v>
      </c>
      <c r="AQ1801" t="s">
        <v>52</v>
      </c>
      <c r="AR1801" t="s">
        <v>62</v>
      </c>
      <c r="AS1801" t="s">
        <v>52</v>
      </c>
      <c r="AT1801" t="s">
        <v>21</v>
      </c>
      <c r="AU1801" t="s">
        <v>64</v>
      </c>
      <c r="AV1801" t="s">
        <v>62</v>
      </c>
      <c r="AW1801" t="s">
        <v>65</v>
      </c>
      <c r="AX1801" t="s">
        <v>1067</v>
      </c>
      <c r="AY1801" t="s">
        <v>67</v>
      </c>
    </row>
    <row r="1802" spans="1:51" hidden="1" x14ac:dyDescent="0.25">
      <c r="A1802">
        <v>203703</v>
      </c>
      <c r="B1802" t="s">
        <v>6743</v>
      </c>
      <c r="C1802" t="e">
        <f>VLOOKUP(A1802,[1]Customer_payment_journal_line!$AL:$BO,30,0)</f>
        <v>#N/A</v>
      </c>
      <c r="D1802" t="s">
        <v>159</v>
      </c>
      <c r="E1802" t="s">
        <v>6744</v>
      </c>
      <c r="F1802" t="s">
        <v>6745</v>
      </c>
      <c r="G1802" t="s">
        <v>6741</v>
      </c>
      <c r="H1802" t="s">
        <v>80</v>
      </c>
      <c r="I1802" t="s">
        <v>177</v>
      </c>
      <c r="J1802" t="s">
        <v>4141</v>
      </c>
      <c r="K1802" t="s">
        <v>6746</v>
      </c>
      <c r="L1802" t="s">
        <v>52</v>
      </c>
      <c r="M1802">
        <v>560</v>
      </c>
      <c r="N1802">
        <v>0</v>
      </c>
      <c r="O1802" t="s">
        <v>178</v>
      </c>
      <c r="P1802">
        <v>5085</v>
      </c>
      <c r="Q1802" t="s">
        <v>52</v>
      </c>
      <c r="R1802" t="s">
        <v>52</v>
      </c>
      <c r="S1802" t="s">
        <v>52</v>
      </c>
      <c r="T1802" t="s">
        <v>52</v>
      </c>
      <c r="U1802" t="s">
        <v>52</v>
      </c>
      <c r="V1802" t="s">
        <v>62</v>
      </c>
      <c r="W1802" t="s">
        <v>52</v>
      </c>
      <c r="Y1802" t="s">
        <v>52</v>
      </c>
      <c r="AB1802" t="s">
        <v>52</v>
      </c>
      <c r="AE1802" t="s">
        <v>52</v>
      </c>
      <c r="AF1802" t="s">
        <v>52</v>
      </c>
      <c r="AH1802">
        <v>0</v>
      </c>
      <c r="AI1802">
        <v>0</v>
      </c>
      <c r="AJ1802" t="s">
        <v>52</v>
      </c>
      <c r="AK1802">
        <v>0</v>
      </c>
      <c r="AL1802" t="s">
        <v>52</v>
      </c>
      <c r="AM1802" t="s">
        <v>52</v>
      </c>
      <c r="AN1802">
        <v>0</v>
      </c>
      <c r="AO1802">
        <v>0</v>
      </c>
      <c r="AP1802" t="s">
        <v>52</v>
      </c>
      <c r="AQ1802" t="s">
        <v>52</v>
      </c>
      <c r="AR1802" t="s">
        <v>62</v>
      </c>
      <c r="AS1802" t="s">
        <v>52</v>
      </c>
      <c r="AT1802" t="s">
        <v>52</v>
      </c>
      <c r="AU1802" t="s">
        <v>64</v>
      </c>
      <c r="AV1802" t="s">
        <v>62</v>
      </c>
      <c r="AW1802" t="s">
        <v>65</v>
      </c>
      <c r="AX1802" t="s">
        <v>66</v>
      </c>
      <c r="AY1802" t="s">
        <v>165</v>
      </c>
    </row>
    <row r="1803" spans="1:51" hidden="1" x14ac:dyDescent="0.25">
      <c r="A1803">
        <v>203703</v>
      </c>
      <c r="B1803" t="s">
        <v>6747</v>
      </c>
      <c r="C1803" t="e">
        <f>VLOOKUP(A1803,[1]Customer_payment_journal_line!$AL:$BO,30,0)</f>
        <v>#N/A</v>
      </c>
      <c r="D1803" t="s">
        <v>159</v>
      </c>
      <c r="E1803" t="s">
        <v>6744</v>
      </c>
      <c r="F1803" t="s">
        <v>6745</v>
      </c>
      <c r="G1803" t="s">
        <v>6741</v>
      </c>
      <c r="H1803" t="s">
        <v>69</v>
      </c>
      <c r="I1803" t="s">
        <v>4144</v>
      </c>
      <c r="J1803" t="s">
        <v>4141</v>
      </c>
      <c r="K1803" t="s">
        <v>6746</v>
      </c>
      <c r="L1803" t="s">
        <v>52</v>
      </c>
      <c r="M1803">
        <v>0</v>
      </c>
      <c r="N1803">
        <v>560</v>
      </c>
      <c r="O1803" t="s">
        <v>178</v>
      </c>
      <c r="P1803">
        <v>5085</v>
      </c>
      <c r="Q1803" t="s">
        <v>52</v>
      </c>
      <c r="R1803" t="s">
        <v>52</v>
      </c>
      <c r="S1803" t="s">
        <v>52</v>
      </c>
      <c r="T1803" t="s">
        <v>52</v>
      </c>
      <c r="U1803" t="s">
        <v>52</v>
      </c>
      <c r="V1803" t="s">
        <v>62</v>
      </c>
      <c r="W1803" t="s">
        <v>52</v>
      </c>
      <c r="Y1803" t="s">
        <v>4145</v>
      </c>
      <c r="Z1803" t="s">
        <v>62</v>
      </c>
      <c r="AB1803" t="s">
        <v>6748</v>
      </c>
      <c r="AE1803" t="s">
        <v>6749</v>
      </c>
      <c r="AF1803" t="s">
        <v>52</v>
      </c>
      <c r="AH1803">
        <v>0</v>
      </c>
      <c r="AI1803">
        <v>0</v>
      </c>
      <c r="AJ1803" t="s">
        <v>52</v>
      </c>
      <c r="AK1803">
        <v>0</v>
      </c>
      <c r="AL1803" t="s">
        <v>52</v>
      </c>
      <c r="AM1803" t="s">
        <v>52</v>
      </c>
      <c r="AN1803">
        <v>0</v>
      </c>
      <c r="AO1803">
        <v>0</v>
      </c>
      <c r="AP1803" t="s">
        <v>52</v>
      </c>
      <c r="AQ1803" t="s">
        <v>52</v>
      </c>
      <c r="AR1803" t="s">
        <v>62</v>
      </c>
      <c r="AS1803" t="s">
        <v>52</v>
      </c>
      <c r="AT1803" t="s">
        <v>74</v>
      </c>
      <c r="AU1803" t="s">
        <v>64</v>
      </c>
      <c r="AV1803" t="s">
        <v>62</v>
      </c>
      <c r="AW1803" t="s">
        <v>65</v>
      </c>
      <c r="AX1803" t="s">
        <v>66</v>
      </c>
      <c r="AY1803" t="s">
        <v>165</v>
      </c>
    </row>
    <row r="1804" spans="1:51" hidden="1" x14ac:dyDescent="0.25">
      <c r="A1804">
        <v>203707</v>
      </c>
      <c r="B1804" t="s">
        <v>6750</v>
      </c>
      <c r="C1804" t="e">
        <f>VLOOKUP(A1804,[1]Customer_payment_journal_line!$AL:$BO,30,0)</f>
        <v>#N/A</v>
      </c>
      <c r="D1804" t="s">
        <v>159</v>
      </c>
      <c r="E1804" t="s">
        <v>6751</v>
      </c>
      <c r="F1804" t="s">
        <v>6752</v>
      </c>
      <c r="G1804" t="s">
        <v>6741</v>
      </c>
      <c r="H1804" t="s">
        <v>80</v>
      </c>
      <c r="I1804" t="s">
        <v>177</v>
      </c>
      <c r="J1804" t="s">
        <v>4141</v>
      </c>
      <c r="K1804" t="s">
        <v>6753</v>
      </c>
      <c r="L1804" t="s">
        <v>52</v>
      </c>
      <c r="M1804">
        <v>440</v>
      </c>
      <c r="N1804">
        <v>0</v>
      </c>
      <c r="O1804" t="s">
        <v>178</v>
      </c>
      <c r="P1804">
        <v>5085</v>
      </c>
      <c r="Q1804" t="s">
        <v>52</v>
      </c>
      <c r="R1804" t="s">
        <v>52</v>
      </c>
      <c r="S1804" t="s">
        <v>52</v>
      </c>
      <c r="T1804" t="s">
        <v>52</v>
      </c>
      <c r="U1804" t="s">
        <v>52</v>
      </c>
      <c r="V1804" t="s">
        <v>62</v>
      </c>
      <c r="W1804" t="s">
        <v>52</v>
      </c>
      <c r="Y1804" t="s">
        <v>52</v>
      </c>
      <c r="AB1804" t="s">
        <v>52</v>
      </c>
      <c r="AE1804" t="s">
        <v>52</v>
      </c>
      <c r="AF1804" t="s">
        <v>52</v>
      </c>
      <c r="AH1804">
        <v>0</v>
      </c>
      <c r="AI1804">
        <v>0</v>
      </c>
      <c r="AJ1804" t="s">
        <v>52</v>
      </c>
      <c r="AK1804">
        <v>0</v>
      </c>
      <c r="AL1804" t="s">
        <v>52</v>
      </c>
      <c r="AM1804" t="s">
        <v>52</v>
      </c>
      <c r="AN1804">
        <v>0</v>
      </c>
      <c r="AO1804">
        <v>0</v>
      </c>
      <c r="AP1804" t="s">
        <v>52</v>
      </c>
      <c r="AQ1804" t="s">
        <v>52</v>
      </c>
      <c r="AR1804" t="s">
        <v>62</v>
      </c>
      <c r="AS1804" t="s">
        <v>52</v>
      </c>
      <c r="AT1804" t="s">
        <v>52</v>
      </c>
      <c r="AU1804" t="s">
        <v>64</v>
      </c>
      <c r="AV1804" t="s">
        <v>62</v>
      </c>
      <c r="AW1804" t="s">
        <v>65</v>
      </c>
      <c r="AX1804" t="s">
        <v>66</v>
      </c>
      <c r="AY1804" t="s">
        <v>165</v>
      </c>
    </row>
    <row r="1805" spans="1:51" hidden="1" x14ac:dyDescent="0.25">
      <c r="A1805">
        <v>203707</v>
      </c>
      <c r="B1805" t="s">
        <v>6754</v>
      </c>
      <c r="C1805" t="e">
        <f>VLOOKUP(A1805,[1]Customer_payment_journal_line!$AL:$BO,30,0)</f>
        <v>#N/A</v>
      </c>
      <c r="D1805" t="s">
        <v>159</v>
      </c>
      <c r="E1805" t="s">
        <v>6751</v>
      </c>
      <c r="F1805" t="s">
        <v>6752</v>
      </c>
      <c r="G1805" t="s">
        <v>6741</v>
      </c>
      <c r="H1805" t="s">
        <v>69</v>
      </c>
      <c r="I1805" t="s">
        <v>4144</v>
      </c>
      <c r="J1805" t="s">
        <v>4141</v>
      </c>
      <c r="K1805" t="s">
        <v>6753</v>
      </c>
      <c r="L1805" t="s">
        <v>52</v>
      </c>
      <c r="M1805">
        <v>0</v>
      </c>
      <c r="N1805">
        <v>440</v>
      </c>
      <c r="O1805" t="s">
        <v>178</v>
      </c>
      <c r="P1805">
        <v>5085</v>
      </c>
      <c r="Q1805" t="s">
        <v>52</v>
      </c>
      <c r="R1805" t="s">
        <v>52</v>
      </c>
      <c r="S1805" t="s">
        <v>52</v>
      </c>
      <c r="T1805" t="s">
        <v>52</v>
      </c>
      <c r="U1805" t="s">
        <v>52</v>
      </c>
      <c r="V1805" t="s">
        <v>62</v>
      </c>
      <c r="W1805" t="s">
        <v>52</v>
      </c>
      <c r="Y1805" t="s">
        <v>4145</v>
      </c>
      <c r="Z1805" t="s">
        <v>62</v>
      </c>
      <c r="AB1805" t="s">
        <v>6755</v>
      </c>
      <c r="AE1805" t="s">
        <v>6756</v>
      </c>
      <c r="AF1805" t="s">
        <v>52</v>
      </c>
      <c r="AH1805">
        <v>0</v>
      </c>
      <c r="AI1805">
        <v>0</v>
      </c>
      <c r="AJ1805" t="s">
        <v>52</v>
      </c>
      <c r="AK1805">
        <v>0</v>
      </c>
      <c r="AL1805" t="s">
        <v>52</v>
      </c>
      <c r="AM1805" t="s">
        <v>52</v>
      </c>
      <c r="AN1805">
        <v>0</v>
      </c>
      <c r="AO1805">
        <v>0</v>
      </c>
      <c r="AP1805" t="s">
        <v>52</v>
      </c>
      <c r="AQ1805" t="s">
        <v>52</v>
      </c>
      <c r="AR1805" t="s">
        <v>62</v>
      </c>
      <c r="AS1805" t="s">
        <v>52</v>
      </c>
      <c r="AT1805" t="s">
        <v>74</v>
      </c>
      <c r="AU1805" t="s">
        <v>64</v>
      </c>
      <c r="AV1805" t="s">
        <v>62</v>
      </c>
      <c r="AW1805" t="s">
        <v>65</v>
      </c>
      <c r="AX1805" t="s">
        <v>66</v>
      </c>
      <c r="AY1805" t="s">
        <v>165</v>
      </c>
    </row>
    <row r="1806" spans="1:51" hidden="1" x14ac:dyDescent="0.25">
      <c r="A1806">
        <v>203715</v>
      </c>
      <c r="B1806" t="s">
        <v>6757</v>
      </c>
      <c r="C1806" t="str">
        <f>VLOOKUP(A1806,[1]Customer_payment_journal_line!$AL:$BO,30,0)</f>
        <v>CPay-000000110</v>
      </c>
      <c r="D1806" t="s">
        <v>53</v>
      </c>
      <c r="E1806" t="s">
        <v>6758</v>
      </c>
      <c r="F1806" t="s">
        <v>6759</v>
      </c>
      <c r="G1806" t="s">
        <v>6741</v>
      </c>
      <c r="H1806" t="s">
        <v>57</v>
      </c>
      <c r="I1806" t="s">
        <v>95</v>
      </c>
      <c r="J1806" t="s">
        <v>4194</v>
      </c>
      <c r="K1806" t="s">
        <v>6760</v>
      </c>
      <c r="L1806">
        <f>VLOOKUP(A1806,[1]Customer_payment_journal_line!$B:$L,11,0)</f>
        <v>1653</v>
      </c>
      <c r="M1806" s="1">
        <v>1653</v>
      </c>
      <c r="N1806" s="2">
        <f>L1806-M1806</f>
        <v>0</v>
      </c>
      <c r="O1806" t="s">
        <v>61</v>
      </c>
      <c r="P1806">
        <v>100</v>
      </c>
      <c r="Q1806" t="s">
        <v>52</v>
      </c>
      <c r="R1806" t="s">
        <v>52</v>
      </c>
      <c r="S1806" t="s">
        <v>52</v>
      </c>
      <c r="T1806" t="s">
        <v>52</v>
      </c>
      <c r="U1806" t="s">
        <v>52</v>
      </c>
      <c r="V1806" t="s">
        <v>62</v>
      </c>
      <c r="W1806" t="s">
        <v>63</v>
      </c>
      <c r="Y1806" t="s">
        <v>52</v>
      </c>
      <c r="AB1806" t="s">
        <v>52</v>
      </c>
      <c r="AE1806" t="s">
        <v>52</v>
      </c>
      <c r="AF1806" t="s">
        <v>52</v>
      </c>
      <c r="AH1806">
        <v>0</v>
      </c>
      <c r="AI1806">
        <v>0</v>
      </c>
      <c r="AJ1806" t="s">
        <v>52</v>
      </c>
      <c r="AK1806">
        <v>0</v>
      </c>
      <c r="AL1806" t="s">
        <v>52</v>
      </c>
      <c r="AM1806" t="s">
        <v>52</v>
      </c>
      <c r="AN1806">
        <v>0</v>
      </c>
      <c r="AO1806">
        <v>0</v>
      </c>
      <c r="AP1806" t="s">
        <v>52</v>
      </c>
      <c r="AQ1806" t="s">
        <v>52</v>
      </c>
      <c r="AR1806" t="s">
        <v>62</v>
      </c>
      <c r="AS1806" t="s">
        <v>52</v>
      </c>
      <c r="AT1806" t="s">
        <v>52</v>
      </c>
      <c r="AU1806" t="s">
        <v>64</v>
      </c>
      <c r="AV1806" t="s">
        <v>62</v>
      </c>
      <c r="AW1806" t="s">
        <v>65</v>
      </c>
      <c r="AX1806" t="s">
        <v>66</v>
      </c>
      <c r="AY1806" t="s">
        <v>67</v>
      </c>
    </row>
    <row r="1807" spans="1:51" hidden="1" x14ac:dyDescent="0.25">
      <c r="A1807">
        <v>203715</v>
      </c>
      <c r="B1807" t="s">
        <v>6761</v>
      </c>
      <c r="C1807" t="str">
        <f>VLOOKUP(A1807,[1]Customer_payment_journal_line!$AL:$BO,30,0)</f>
        <v>CPay-000000110</v>
      </c>
      <c r="D1807" t="s">
        <v>53</v>
      </c>
      <c r="E1807" t="s">
        <v>6758</v>
      </c>
      <c r="F1807" t="s">
        <v>6759</v>
      </c>
      <c r="G1807" t="s">
        <v>6741</v>
      </c>
      <c r="H1807" t="s">
        <v>69</v>
      </c>
      <c r="I1807" t="s">
        <v>1494</v>
      </c>
      <c r="J1807" t="s">
        <v>4194</v>
      </c>
      <c r="K1807" t="s">
        <v>6760</v>
      </c>
      <c r="L1807">
        <f>VLOOKUP(A1807,[1]Customer_payment_journal_line!$B:$L,11,0)</f>
        <v>1653</v>
      </c>
      <c r="M1807" s="1">
        <v>0</v>
      </c>
      <c r="N1807">
        <v>1653</v>
      </c>
      <c r="O1807" t="s">
        <v>61</v>
      </c>
      <c r="P1807">
        <v>100</v>
      </c>
      <c r="Q1807" t="s">
        <v>52</v>
      </c>
      <c r="R1807" t="s">
        <v>52</v>
      </c>
      <c r="S1807" t="s">
        <v>52</v>
      </c>
      <c r="T1807" t="s">
        <v>52</v>
      </c>
      <c r="U1807" t="s">
        <v>52</v>
      </c>
      <c r="V1807" t="s">
        <v>62</v>
      </c>
      <c r="W1807" t="s">
        <v>52</v>
      </c>
      <c r="Y1807" t="s">
        <v>1495</v>
      </c>
      <c r="Z1807" t="s">
        <v>62</v>
      </c>
      <c r="AB1807" t="s">
        <v>6762</v>
      </c>
      <c r="AE1807" t="s">
        <v>6763</v>
      </c>
      <c r="AF1807" t="s">
        <v>52</v>
      </c>
      <c r="AH1807">
        <v>0</v>
      </c>
      <c r="AI1807">
        <v>0</v>
      </c>
      <c r="AJ1807" t="s">
        <v>52</v>
      </c>
      <c r="AK1807">
        <v>0</v>
      </c>
      <c r="AL1807" t="s">
        <v>52</v>
      </c>
      <c r="AM1807" t="s">
        <v>52</v>
      </c>
      <c r="AN1807">
        <v>0</v>
      </c>
      <c r="AO1807">
        <v>0</v>
      </c>
      <c r="AP1807" t="s">
        <v>52</v>
      </c>
      <c r="AQ1807" t="s">
        <v>52</v>
      </c>
      <c r="AR1807" t="s">
        <v>62</v>
      </c>
      <c r="AS1807" t="s">
        <v>52</v>
      </c>
      <c r="AT1807" t="s">
        <v>74</v>
      </c>
      <c r="AU1807" t="s">
        <v>64</v>
      </c>
      <c r="AV1807" t="s">
        <v>62</v>
      </c>
      <c r="AW1807" t="s">
        <v>65</v>
      </c>
      <c r="AX1807" t="s">
        <v>66</v>
      </c>
      <c r="AY1807" t="s">
        <v>67</v>
      </c>
    </row>
    <row r="1808" spans="1:51" hidden="1" x14ac:dyDescent="0.25">
      <c r="A1808">
        <v>203720</v>
      </c>
      <c r="B1808" t="s">
        <v>6764</v>
      </c>
      <c r="C1808" t="str">
        <f>VLOOKUP(A1808,[1]Customer_payment_journal_line!$AL:$BO,30,0)</f>
        <v>CPay-000000111</v>
      </c>
      <c r="D1808" t="s">
        <v>53</v>
      </c>
      <c r="E1808" t="s">
        <v>6765</v>
      </c>
      <c r="F1808" t="s">
        <v>6766</v>
      </c>
      <c r="G1808" t="s">
        <v>6741</v>
      </c>
      <c r="H1808" t="s">
        <v>57</v>
      </c>
      <c r="I1808" t="s">
        <v>95</v>
      </c>
      <c r="J1808" t="s">
        <v>4194</v>
      </c>
      <c r="K1808" t="s">
        <v>6760</v>
      </c>
      <c r="L1808">
        <f>VLOOKUP(A1808,[1]Customer_payment_journal_line!$B:$L,11,0)</f>
        <v>414.28</v>
      </c>
      <c r="M1808" s="1">
        <v>414.28</v>
      </c>
      <c r="N1808" s="2">
        <f>L1808-M1808</f>
        <v>0</v>
      </c>
      <c r="O1808" t="s">
        <v>61</v>
      </c>
      <c r="P1808">
        <v>100</v>
      </c>
      <c r="Q1808" t="s">
        <v>52</v>
      </c>
      <c r="R1808" t="s">
        <v>52</v>
      </c>
      <c r="S1808" t="s">
        <v>52</v>
      </c>
      <c r="T1808" t="s">
        <v>52</v>
      </c>
      <c r="U1808" t="s">
        <v>52</v>
      </c>
      <c r="V1808" t="s">
        <v>62</v>
      </c>
      <c r="W1808" t="s">
        <v>63</v>
      </c>
      <c r="Y1808" t="s">
        <v>52</v>
      </c>
      <c r="AB1808" t="s">
        <v>52</v>
      </c>
      <c r="AE1808" t="s">
        <v>52</v>
      </c>
      <c r="AF1808" t="s">
        <v>52</v>
      </c>
      <c r="AH1808">
        <v>0</v>
      </c>
      <c r="AI1808">
        <v>0</v>
      </c>
      <c r="AJ1808" t="s">
        <v>52</v>
      </c>
      <c r="AK1808">
        <v>0</v>
      </c>
      <c r="AL1808" t="s">
        <v>52</v>
      </c>
      <c r="AM1808" t="s">
        <v>52</v>
      </c>
      <c r="AN1808">
        <v>0</v>
      </c>
      <c r="AO1808">
        <v>0</v>
      </c>
      <c r="AP1808" t="s">
        <v>52</v>
      </c>
      <c r="AQ1808" t="s">
        <v>52</v>
      </c>
      <c r="AR1808" t="s">
        <v>62</v>
      </c>
      <c r="AS1808" t="s">
        <v>52</v>
      </c>
      <c r="AT1808" t="s">
        <v>52</v>
      </c>
      <c r="AU1808" t="s">
        <v>64</v>
      </c>
      <c r="AV1808" t="s">
        <v>62</v>
      </c>
      <c r="AW1808" t="s">
        <v>65</v>
      </c>
      <c r="AX1808" t="s">
        <v>66</v>
      </c>
      <c r="AY1808" t="s">
        <v>67</v>
      </c>
    </row>
    <row r="1809" spans="1:51" hidden="1" x14ac:dyDescent="0.25">
      <c r="A1809">
        <v>203720</v>
      </c>
      <c r="B1809" t="s">
        <v>6767</v>
      </c>
      <c r="C1809" t="str">
        <f>VLOOKUP(A1809,[1]Customer_payment_journal_line!$AL:$BO,30,0)</f>
        <v>CPay-000000111</v>
      </c>
      <c r="D1809" t="s">
        <v>53</v>
      </c>
      <c r="E1809" t="s">
        <v>6765</v>
      </c>
      <c r="F1809" t="s">
        <v>6766</v>
      </c>
      <c r="G1809" t="s">
        <v>6741</v>
      </c>
      <c r="H1809" t="s">
        <v>69</v>
      </c>
      <c r="I1809" t="s">
        <v>1494</v>
      </c>
      <c r="J1809" t="s">
        <v>4194</v>
      </c>
      <c r="K1809" t="s">
        <v>6760</v>
      </c>
      <c r="L1809">
        <f>VLOOKUP(A1809,[1]Customer_payment_journal_line!$B:$L,11,0)</f>
        <v>414.28</v>
      </c>
      <c r="M1809" s="1">
        <v>0</v>
      </c>
      <c r="N1809">
        <v>414.28</v>
      </c>
      <c r="O1809" t="s">
        <v>61</v>
      </c>
      <c r="P1809">
        <v>100</v>
      </c>
      <c r="Q1809" t="s">
        <v>52</v>
      </c>
      <c r="R1809" t="s">
        <v>52</v>
      </c>
      <c r="S1809" t="s">
        <v>52</v>
      </c>
      <c r="T1809" t="s">
        <v>52</v>
      </c>
      <c r="U1809" t="s">
        <v>52</v>
      </c>
      <c r="V1809" t="s">
        <v>62</v>
      </c>
      <c r="W1809" t="s">
        <v>52</v>
      </c>
      <c r="Y1809" t="s">
        <v>1495</v>
      </c>
      <c r="Z1809" t="s">
        <v>62</v>
      </c>
      <c r="AB1809" t="s">
        <v>6768</v>
      </c>
      <c r="AE1809" t="s">
        <v>6769</v>
      </c>
      <c r="AF1809" t="s">
        <v>52</v>
      </c>
      <c r="AH1809">
        <v>0</v>
      </c>
      <c r="AI1809">
        <v>0</v>
      </c>
      <c r="AJ1809" t="s">
        <v>52</v>
      </c>
      <c r="AK1809">
        <v>0</v>
      </c>
      <c r="AL1809" t="s">
        <v>52</v>
      </c>
      <c r="AM1809" t="s">
        <v>52</v>
      </c>
      <c r="AN1809">
        <v>0</v>
      </c>
      <c r="AO1809">
        <v>0</v>
      </c>
      <c r="AP1809" t="s">
        <v>52</v>
      </c>
      <c r="AQ1809" t="s">
        <v>52</v>
      </c>
      <c r="AR1809" t="s">
        <v>62</v>
      </c>
      <c r="AS1809" t="s">
        <v>52</v>
      </c>
      <c r="AT1809" t="s">
        <v>74</v>
      </c>
      <c r="AU1809" t="s">
        <v>64</v>
      </c>
      <c r="AV1809" t="s">
        <v>62</v>
      </c>
      <c r="AW1809" t="s">
        <v>65</v>
      </c>
      <c r="AX1809" t="s">
        <v>66</v>
      </c>
      <c r="AY1809" t="s">
        <v>67</v>
      </c>
    </row>
    <row r="1810" spans="1:51" hidden="1" x14ac:dyDescent="0.25">
      <c r="A1810">
        <v>203721</v>
      </c>
      <c r="B1810" t="s">
        <v>6770</v>
      </c>
      <c r="C1810" t="str">
        <f>VLOOKUP(A1810,[1]Customer_payment_journal_line!$AL:$BO,30,0)</f>
        <v>CPay-000000112</v>
      </c>
      <c r="D1810" t="s">
        <v>53</v>
      </c>
      <c r="E1810" t="s">
        <v>6771</v>
      </c>
      <c r="F1810" t="s">
        <v>6772</v>
      </c>
      <c r="G1810" t="s">
        <v>6741</v>
      </c>
      <c r="H1810" t="s">
        <v>57</v>
      </c>
      <c r="I1810" t="s">
        <v>95</v>
      </c>
      <c r="J1810" t="s">
        <v>4194</v>
      </c>
      <c r="K1810" t="s">
        <v>6773</v>
      </c>
      <c r="L1810">
        <f>VLOOKUP(A1810,[1]Customer_payment_journal_line!$B:$L,11,0)</f>
        <v>1653</v>
      </c>
      <c r="M1810" s="1">
        <v>1653</v>
      </c>
      <c r="N1810" s="2">
        <f>L1810-M1810</f>
        <v>0</v>
      </c>
      <c r="O1810" t="s">
        <v>61</v>
      </c>
      <c r="P1810">
        <v>100</v>
      </c>
      <c r="Q1810" t="s">
        <v>52</v>
      </c>
      <c r="R1810" t="s">
        <v>52</v>
      </c>
      <c r="S1810" t="s">
        <v>52</v>
      </c>
      <c r="T1810" t="s">
        <v>52</v>
      </c>
      <c r="U1810" t="s">
        <v>52</v>
      </c>
      <c r="V1810" t="s">
        <v>62</v>
      </c>
      <c r="W1810" t="s">
        <v>63</v>
      </c>
      <c r="Y1810" t="s">
        <v>52</v>
      </c>
      <c r="AB1810" t="s">
        <v>52</v>
      </c>
      <c r="AE1810" t="s">
        <v>52</v>
      </c>
      <c r="AF1810" t="s">
        <v>52</v>
      </c>
      <c r="AH1810">
        <v>0</v>
      </c>
      <c r="AI1810">
        <v>0</v>
      </c>
      <c r="AJ1810" t="s">
        <v>52</v>
      </c>
      <c r="AK1810">
        <v>0</v>
      </c>
      <c r="AL1810" t="s">
        <v>52</v>
      </c>
      <c r="AM1810" t="s">
        <v>52</v>
      </c>
      <c r="AN1810">
        <v>0</v>
      </c>
      <c r="AO1810">
        <v>0</v>
      </c>
      <c r="AP1810" t="s">
        <v>52</v>
      </c>
      <c r="AQ1810" t="s">
        <v>52</v>
      </c>
      <c r="AR1810" t="s">
        <v>62</v>
      </c>
      <c r="AS1810" t="s">
        <v>52</v>
      </c>
      <c r="AT1810" t="s">
        <v>52</v>
      </c>
      <c r="AU1810" t="s">
        <v>64</v>
      </c>
      <c r="AV1810" t="s">
        <v>62</v>
      </c>
      <c r="AW1810" t="s">
        <v>65</v>
      </c>
      <c r="AX1810" t="s">
        <v>66</v>
      </c>
      <c r="AY1810" t="s">
        <v>67</v>
      </c>
    </row>
    <row r="1811" spans="1:51" hidden="1" x14ac:dyDescent="0.25">
      <c r="A1811">
        <v>203721</v>
      </c>
      <c r="B1811" t="s">
        <v>6774</v>
      </c>
      <c r="C1811" t="str">
        <f>VLOOKUP(A1811,[1]Customer_payment_journal_line!$AL:$BO,30,0)</f>
        <v>CPay-000000112</v>
      </c>
      <c r="D1811" t="s">
        <v>53</v>
      </c>
      <c r="E1811" t="s">
        <v>6771</v>
      </c>
      <c r="F1811" t="s">
        <v>6772</v>
      </c>
      <c r="G1811" t="s">
        <v>6741</v>
      </c>
      <c r="H1811" t="s">
        <v>69</v>
      </c>
      <c r="I1811" t="s">
        <v>1494</v>
      </c>
      <c r="J1811" t="s">
        <v>4194</v>
      </c>
      <c r="K1811" t="s">
        <v>6773</v>
      </c>
      <c r="L1811">
        <f>VLOOKUP(A1811,[1]Customer_payment_journal_line!$B:$L,11,0)</f>
        <v>1653</v>
      </c>
      <c r="M1811" s="1">
        <v>0</v>
      </c>
      <c r="N1811">
        <v>1653</v>
      </c>
      <c r="O1811" t="s">
        <v>61</v>
      </c>
      <c r="P1811">
        <v>100</v>
      </c>
      <c r="Q1811" t="s">
        <v>52</v>
      </c>
      <c r="R1811" t="s">
        <v>52</v>
      </c>
      <c r="S1811" t="s">
        <v>52</v>
      </c>
      <c r="T1811" t="s">
        <v>52</v>
      </c>
      <c r="U1811" t="s">
        <v>52</v>
      </c>
      <c r="V1811" t="s">
        <v>62</v>
      </c>
      <c r="W1811" t="s">
        <v>52</v>
      </c>
      <c r="Y1811" t="s">
        <v>1495</v>
      </c>
      <c r="Z1811" t="s">
        <v>62</v>
      </c>
      <c r="AB1811" t="s">
        <v>6775</v>
      </c>
      <c r="AE1811" t="s">
        <v>6776</v>
      </c>
      <c r="AF1811" t="s">
        <v>52</v>
      </c>
      <c r="AH1811">
        <v>0</v>
      </c>
      <c r="AI1811">
        <v>0</v>
      </c>
      <c r="AJ1811" t="s">
        <v>52</v>
      </c>
      <c r="AK1811">
        <v>0</v>
      </c>
      <c r="AL1811" t="s">
        <v>52</v>
      </c>
      <c r="AM1811" t="s">
        <v>52</v>
      </c>
      <c r="AN1811">
        <v>0</v>
      </c>
      <c r="AO1811">
        <v>0</v>
      </c>
      <c r="AP1811" t="s">
        <v>52</v>
      </c>
      <c r="AQ1811" t="s">
        <v>52</v>
      </c>
      <c r="AR1811" t="s">
        <v>62</v>
      </c>
      <c r="AS1811" t="s">
        <v>52</v>
      </c>
      <c r="AT1811" t="s">
        <v>74</v>
      </c>
      <c r="AU1811" t="s">
        <v>64</v>
      </c>
      <c r="AV1811" t="s">
        <v>62</v>
      </c>
      <c r="AW1811" t="s">
        <v>65</v>
      </c>
      <c r="AX1811" t="s">
        <v>66</v>
      </c>
      <c r="AY1811" t="s">
        <v>67</v>
      </c>
    </row>
    <row r="1812" spans="1:51" hidden="1" x14ac:dyDescent="0.25">
      <c r="A1812">
        <v>203722</v>
      </c>
      <c r="B1812" t="s">
        <v>6777</v>
      </c>
      <c r="C1812" t="str">
        <f>VLOOKUP(A1812,[1]Customer_payment_journal_line!$AL:$BO,30,0)</f>
        <v>CPay-000000113</v>
      </c>
      <c r="D1812" t="s">
        <v>53</v>
      </c>
      <c r="E1812" t="s">
        <v>6778</v>
      </c>
      <c r="F1812" t="s">
        <v>6779</v>
      </c>
      <c r="G1812" t="s">
        <v>6741</v>
      </c>
      <c r="H1812" t="s">
        <v>57</v>
      </c>
      <c r="I1812" t="s">
        <v>95</v>
      </c>
      <c r="J1812" t="s">
        <v>4194</v>
      </c>
      <c r="K1812" t="s">
        <v>6773</v>
      </c>
      <c r="L1812">
        <f>VLOOKUP(A1812,[1]Customer_payment_journal_line!$B:$L,11,0)</f>
        <v>304.14999999999998</v>
      </c>
      <c r="M1812" s="1">
        <v>304.14999999999998</v>
      </c>
      <c r="N1812" s="2">
        <f>L1812-M1812</f>
        <v>0</v>
      </c>
      <c r="O1812" t="s">
        <v>61</v>
      </c>
      <c r="P1812">
        <v>100</v>
      </c>
      <c r="Q1812" t="s">
        <v>52</v>
      </c>
      <c r="R1812" t="s">
        <v>52</v>
      </c>
      <c r="S1812" t="s">
        <v>52</v>
      </c>
      <c r="T1812" t="s">
        <v>52</v>
      </c>
      <c r="U1812" t="s">
        <v>52</v>
      </c>
      <c r="V1812" t="s">
        <v>62</v>
      </c>
      <c r="W1812" t="s">
        <v>63</v>
      </c>
      <c r="Y1812" t="s">
        <v>52</v>
      </c>
      <c r="AB1812" t="s">
        <v>52</v>
      </c>
      <c r="AE1812" t="s">
        <v>52</v>
      </c>
      <c r="AF1812" t="s">
        <v>52</v>
      </c>
      <c r="AH1812">
        <v>0</v>
      </c>
      <c r="AI1812">
        <v>0</v>
      </c>
      <c r="AJ1812" t="s">
        <v>52</v>
      </c>
      <c r="AK1812">
        <v>0</v>
      </c>
      <c r="AL1812" t="s">
        <v>52</v>
      </c>
      <c r="AM1812" t="s">
        <v>52</v>
      </c>
      <c r="AN1812">
        <v>0</v>
      </c>
      <c r="AO1812">
        <v>0</v>
      </c>
      <c r="AP1812" t="s">
        <v>52</v>
      </c>
      <c r="AQ1812" t="s">
        <v>52</v>
      </c>
      <c r="AR1812" t="s">
        <v>62</v>
      </c>
      <c r="AS1812" t="s">
        <v>52</v>
      </c>
      <c r="AT1812" t="s">
        <v>52</v>
      </c>
      <c r="AU1812" t="s">
        <v>64</v>
      </c>
      <c r="AV1812" t="s">
        <v>62</v>
      </c>
      <c r="AW1812" t="s">
        <v>65</v>
      </c>
      <c r="AX1812" t="s">
        <v>66</v>
      </c>
      <c r="AY1812" t="s">
        <v>67</v>
      </c>
    </row>
    <row r="1813" spans="1:51" hidden="1" x14ac:dyDescent="0.25">
      <c r="A1813">
        <v>203722</v>
      </c>
      <c r="B1813" t="s">
        <v>6780</v>
      </c>
      <c r="C1813" t="str">
        <f>VLOOKUP(A1813,[1]Customer_payment_journal_line!$AL:$BO,30,0)</f>
        <v>CPay-000000113</v>
      </c>
      <c r="D1813" t="s">
        <v>53</v>
      </c>
      <c r="E1813" t="s">
        <v>6778</v>
      </c>
      <c r="F1813" t="s">
        <v>6779</v>
      </c>
      <c r="G1813" t="s">
        <v>6741</v>
      </c>
      <c r="H1813" t="s">
        <v>69</v>
      </c>
      <c r="I1813" t="s">
        <v>1494</v>
      </c>
      <c r="J1813" t="s">
        <v>4194</v>
      </c>
      <c r="K1813" t="s">
        <v>6773</v>
      </c>
      <c r="L1813">
        <f>VLOOKUP(A1813,[1]Customer_payment_journal_line!$B:$L,11,0)</f>
        <v>304.14999999999998</v>
      </c>
      <c r="M1813" s="1">
        <v>0</v>
      </c>
      <c r="N1813">
        <v>304.14999999999998</v>
      </c>
      <c r="O1813" t="s">
        <v>61</v>
      </c>
      <c r="P1813">
        <v>100</v>
      </c>
      <c r="Q1813" t="s">
        <v>52</v>
      </c>
      <c r="R1813" t="s">
        <v>52</v>
      </c>
      <c r="S1813" t="s">
        <v>52</v>
      </c>
      <c r="T1813" t="s">
        <v>52</v>
      </c>
      <c r="U1813" t="s">
        <v>52</v>
      </c>
      <c r="V1813" t="s">
        <v>62</v>
      </c>
      <c r="W1813" t="s">
        <v>52</v>
      </c>
      <c r="Y1813" t="s">
        <v>1495</v>
      </c>
      <c r="Z1813" t="s">
        <v>62</v>
      </c>
      <c r="AB1813" t="s">
        <v>6781</v>
      </c>
      <c r="AE1813" t="s">
        <v>6782</v>
      </c>
      <c r="AF1813" t="s">
        <v>52</v>
      </c>
      <c r="AH1813">
        <v>0</v>
      </c>
      <c r="AI1813">
        <v>0</v>
      </c>
      <c r="AJ1813" t="s">
        <v>52</v>
      </c>
      <c r="AK1813">
        <v>0</v>
      </c>
      <c r="AL1813" t="s">
        <v>52</v>
      </c>
      <c r="AM1813" t="s">
        <v>52</v>
      </c>
      <c r="AN1813">
        <v>0</v>
      </c>
      <c r="AO1813">
        <v>0</v>
      </c>
      <c r="AP1813" t="s">
        <v>52</v>
      </c>
      <c r="AQ1813" t="s">
        <v>52</v>
      </c>
      <c r="AR1813" t="s">
        <v>62</v>
      </c>
      <c r="AS1813" t="s">
        <v>52</v>
      </c>
      <c r="AT1813" t="s">
        <v>74</v>
      </c>
      <c r="AU1813" t="s">
        <v>64</v>
      </c>
      <c r="AV1813" t="s">
        <v>62</v>
      </c>
      <c r="AW1813" t="s">
        <v>65</v>
      </c>
      <c r="AX1813" t="s">
        <v>66</v>
      </c>
      <c r="AY1813" t="s">
        <v>67</v>
      </c>
    </row>
    <row r="1814" spans="1:51" hidden="1" x14ac:dyDescent="0.25">
      <c r="A1814">
        <v>203723</v>
      </c>
      <c r="B1814" t="s">
        <v>6783</v>
      </c>
      <c r="C1814" t="e">
        <f>VLOOKUP(A1814,[1]Customer_payment_journal_line!$AL:$BO,30,0)</f>
        <v>#N/A</v>
      </c>
      <c r="D1814" t="s">
        <v>76</v>
      </c>
      <c r="E1814" t="s">
        <v>6784</v>
      </c>
      <c r="F1814" t="s">
        <v>6785</v>
      </c>
      <c r="G1814" t="s">
        <v>6741</v>
      </c>
      <c r="H1814" t="s">
        <v>80</v>
      </c>
      <c r="I1814" t="s">
        <v>81</v>
      </c>
      <c r="J1814" t="s">
        <v>4141</v>
      </c>
      <c r="K1814" t="s">
        <v>6753</v>
      </c>
      <c r="L1814" t="s">
        <v>52</v>
      </c>
      <c r="M1814">
        <v>8835</v>
      </c>
      <c r="N1814">
        <v>0</v>
      </c>
      <c r="O1814" t="s">
        <v>61</v>
      </c>
      <c r="P1814">
        <v>100</v>
      </c>
      <c r="Q1814" t="s">
        <v>52</v>
      </c>
      <c r="R1814" t="s">
        <v>52</v>
      </c>
      <c r="S1814" t="s">
        <v>52</v>
      </c>
      <c r="T1814" t="s">
        <v>52</v>
      </c>
      <c r="U1814" t="s">
        <v>52</v>
      </c>
      <c r="V1814" t="s">
        <v>62</v>
      </c>
      <c r="W1814" t="s">
        <v>52</v>
      </c>
      <c r="Y1814" t="s">
        <v>52</v>
      </c>
      <c r="AB1814" t="s">
        <v>52</v>
      </c>
      <c r="AE1814" t="s">
        <v>52</v>
      </c>
      <c r="AF1814" t="s">
        <v>52</v>
      </c>
      <c r="AH1814">
        <v>0</v>
      </c>
      <c r="AI1814">
        <v>0</v>
      </c>
      <c r="AJ1814" t="s">
        <v>52</v>
      </c>
      <c r="AK1814">
        <v>0</v>
      </c>
      <c r="AL1814" t="s">
        <v>52</v>
      </c>
      <c r="AM1814" t="s">
        <v>52</v>
      </c>
      <c r="AN1814">
        <v>0</v>
      </c>
      <c r="AO1814">
        <v>0</v>
      </c>
      <c r="AP1814" t="s">
        <v>52</v>
      </c>
      <c r="AQ1814" t="s">
        <v>52</v>
      </c>
      <c r="AR1814" t="s">
        <v>62</v>
      </c>
      <c r="AS1814" t="s">
        <v>52</v>
      </c>
      <c r="AT1814" t="s">
        <v>52</v>
      </c>
      <c r="AU1814" t="s">
        <v>64</v>
      </c>
      <c r="AV1814" t="s">
        <v>62</v>
      </c>
      <c r="AW1814" t="s">
        <v>65</v>
      </c>
      <c r="AX1814" t="s">
        <v>66</v>
      </c>
      <c r="AY1814" t="s">
        <v>76</v>
      </c>
    </row>
    <row r="1815" spans="1:51" hidden="1" x14ac:dyDescent="0.25">
      <c r="A1815">
        <v>203723</v>
      </c>
      <c r="B1815" t="s">
        <v>6786</v>
      </c>
      <c r="C1815" t="e">
        <f>VLOOKUP(A1815,[1]Customer_payment_journal_line!$AL:$BO,30,0)</f>
        <v>#N/A</v>
      </c>
      <c r="D1815" t="s">
        <v>76</v>
      </c>
      <c r="E1815" t="s">
        <v>6784</v>
      </c>
      <c r="F1815" t="s">
        <v>6785</v>
      </c>
      <c r="G1815" t="s">
        <v>6741</v>
      </c>
      <c r="H1815" t="s">
        <v>69</v>
      </c>
      <c r="I1815" t="s">
        <v>4144</v>
      </c>
      <c r="J1815" t="s">
        <v>4141</v>
      </c>
      <c r="K1815" t="s">
        <v>6753</v>
      </c>
      <c r="L1815" t="s">
        <v>52</v>
      </c>
      <c r="M1815">
        <v>0</v>
      </c>
      <c r="N1815">
        <v>3990</v>
      </c>
      <c r="O1815" t="s">
        <v>61</v>
      </c>
      <c r="P1815">
        <v>100</v>
      </c>
      <c r="Q1815" t="s">
        <v>52</v>
      </c>
      <c r="R1815" t="s">
        <v>52</v>
      </c>
      <c r="S1815" t="s">
        <v>52</v>
      </c>
      <c r="T1815" t="s">
        <v>52</v>
      </c>
      <c r="U1815" t="s">
        <v>52</v>
      </c>
      <c r="V1815" t="s">
        <v>62</v>
      </c>
      <c r="W1815" t="s">
        <v>52</v>
      </c>
      <c r="Y1815" t="s">
        <v>4145</v>
      </c>
      <c r="Z1815" t="s">
        <v>62</v>
      </c>
      <c r="AB1815" t="s">
        <v>6787</v>
      </c>
      <c r="AE1815" t="s">
        <v>6788</v>
      </c>
      <c r="AF1815" t="s">
        <v>52</v>
      </c>
      <c r="AH1815">
        <v>0</v>
      </c>
      <c r="AI1815">
        <v>0</v>
      </c>
      <c r="AJ1815" t="s">
        <v>52</v>
      </c>
      <c r="AK1815">
        <v>0</v>
      </c>
      <c r="AL1815" t="s">
        <v>52</v>
      </c>
      <c r="AM1815" t="s">
        <v>52</v>
      </c>
      <c r="AN1815">
        <v>0</v>
      </c>
      <c r="AO1815">
        <v>0</v>
      </c>
      <c r="AP1815" t="s">
        <v>52</v>
      </c>
      <c r="AQ1815" t="s">
        <v>52</v>
      </c>
      <c r="AR1815" t="s">
        <v>62</v>
      </c>
      <c r="AS1815" t="s">
        <v>52</v>
      </c>
      <c r="AT1815" t="s">
        <v>74</v>
      </c>
      <c r="AU1815" t="s">
        <v>64</v>
      </c>
      <c r="AV1815" t="s">
        <v>62</v>
      </c>
      <c r="AW1815" t="s">
        <v>65</v>
      </c>
      <c r="AX1815" t="s">
        <v>66</v>
      </c>
      <c r="AY1815" t="s">
        <v>76</v>
      </c>
    </row>
    <row r="1816" spans="1:51" hidden="1" x14ac:dyDescent="0.25">
      <c r="A1816">
        <v>203723</v>
      </c>
      <c r="B1816" t="s">
        <v>6789</v>
      </c>
      <c r="C1816" t="e">
        <f>VLOOKUP(A1816,[1]Customer_payment_journal_line!$AL:$BO,30,0)</f>
        <v>#N/A</v>
      </c>
      <c r="D1816" t="s">
        <v>76</v>
      </c>
      <c r="E1816" t="s">
        <v>6784</v>
      </c>
      <c r="F1816" t="s">
        <v>6785</v>
      </c>
      <c r="G1816" t="s">
        <v>6741</v>
      </c>
      <c r="H1816" t="s">
        <v>69</v>
      </c>
      <c r="I1816" t="s">
        <v>4144</v>
      </c>
      <c r="J1816" t="s">
        <v>4141</v>
      </c>
      <c r="K1816" t="s">
        <v>6753</v>
      </c>
      <c r="L1816" t="s">
        <v>52</v>
      </c>
      <c r="M1816">
        <v>0</v>
      </c>
      <c r="N1816">
        <v>855</v>
      </c>
      <c r="O1816" t="s">
        <v>61</v>
      </c>
      <c r="P1816">
        <v>100</v>
      </c>
      <c r="Q1816" t="s">
        <v>52</v>
      </c>
      <c r="R1816" t="s">
        <v>52</v>
      </c>
      <c r="S1816" t="s">
        <v>52</v>
      </c>
      <c r="T1816" t="s">
        <v>52</v>
      </c>
      <c r="U1816" t="s">
        <v>52</v>
      </c>
      <c r="V1816" t="s">
        <v>62</v>
      </c>
      <c r="W1816" t="s">
        <v>52</v>
      </c>
      <c r="Y1816" t="s">
        <v>4145</v>
      </c>
      <c r="Z1816" t="s">
        <v>62</v>
      </c>
      <c r="AB1816" t="s">
        <v>6790</v>
      </c>
      <c r="AE1816" t="s">
        <v>6791</v>
      </c>
      <c r="AF1816" t="s">
        <v>52</v>
      </c>
      <c r="AH1816">
        <v>0</v>
      </c>
      <c r="AI1816">
        <v>0</v>
      </c>
      <c r="AJ1816" t="s">
        <v>52</v>
      </c>
      <c r="AK1816">
        <v>0</v>
      </c>
      <c r="AL1816" t="s">
        <v>52</v>
      </c>
      <c r="AM1816" t="s">
        <v>52</v>
      </c>
      <c r="AN1816">
        <v>0</v>
      </c>
      <c r="AO1816">
        <v>0</v>
      </c>
      <c r="AP1816" t="s">
        <v>52</v>
      </c>
      <c r="AQ1816" t="s">
        <v>52</v>
      </c>
      <c r="AR1816" t="s">
        <v>62</v>
      </c>
      <c r="AS1816" t="s">
        <v>52</v>
      </c>
      <c r="AT1816" t="s">
        <v>74</v>
      </c>
      <c r="AU1816" t="s">
        <v>64</v>
      </c>
      <c r="AV1816" t="s">
        <v>62</v>
      </c>
      <c r="AW1816" t="s">
        <v>65</v>
      </c>
      <c r="AX1816" t="s">
        <v>66</v>
      </c>
      <c r="AY1816" t="s">
        <v>76</v>
      </c>
    </row>
    <row r="1817" spans="1:51" hidden="1" x14ac:dyDescent="0.25">
      <c r="A1817">
        <v>203723</v>
      </c>
      <c r="B1817" t="s">
        <v>6792</v>
      </c>
      <c r="C1817" t="e">
        <f>VLOOKUP(A1817,[1]Customer_payment_journal_line!$AL:$BO,30,0)</f>
        <v>#N/A</v>
      </c>
      <c r="D1817" t="s">
        <v>76</v>
      </c>
      <c r="E1817" t="s">
        <v>6784</v>
      </c>
      <c r="F1817" t="s">
        <v>6785</v>
      </c>
      <c r="G1817" t="s">
        <v>6741</v>
      </c>
      <c r="H1817" t="s">
        <v>69</v>
      </c>
      <c r="I1817" t="s">
        <v>4144</v>
      </c>
      <c r="J1817" t="s">
        <v>4141</v>
      </c>
      <c r="K1817" t="s">
        <v>6753</v>
      </c>
      <c r="L1817" t="s">
        <v>52</v>
      </c>
      <c r="M1817">
        <v>0</v>
      </c>
      <c r="N1817">
        <v>3135</v>
      </c>
      <c r="O1817" t="s">
        <v>61</v>
      </c>
      <c r="P1817">
        <v>100</v>
      </c>
      <c r="Q1817" t="s">
        <v>52</v>
      </c>
      <c r="R1817" t="s">
        <v>52</v>
      </c>
      <c r="S1817" t="s">
        <v>52</v>
      </c>
      <c r="T1817" t="s">
        <v>52</v>
      </c>
      <c r="U1817" t="s">
        <v>52</v>
      </c>
      <c r="V1817" t="s">
        <v>62</v>
      </c>
      <c r="W1817" t="s">
        <v>52</v>
      </c>
      <c r="Y1817" t="s">
        <v>4145</v>
      </c>
      <c r="Z1817" t="s">
        <v>62</v>
      </c>
      <c r="AB1817" t="s">
        <v>6793</v>
      </c>
      <c r="AE1817" t="s">
        <v>6794</v>
      </c>
      <c r="AF1817" t="s">
        <v>52</v>
      </c>
      <c r="AH1817">
        <v>0</v>
      </c>
      <c r="AI1817">
        <v>0</v>
      </c>
      <c r="AJ1817" t="s">
        <v>52</v>
      </c>
      <c r="AK1817">
        <v>0</v>
      </c>
      <c r="AL1817" t="s">
        <v>52</v>
      </c>
      <c r="AM1817" t="s">
        <v>52</v>
      </c>
      <c r="AN1817">
        <v>0</v>
      </c>
      <c r="AO1817">
        <v>0</v>
      </c>
      <c r="AP1817" t="s">
        <v>52</v>
      </c>
      <c r="AQ1817" t="s">
        <v>52</v>
      </c>
      <c r="AR1817" t="s">
        <v>62</v>
      </c>
      <c r="AS1817" t="s">
        <v>52</v>
      </c>
      <c r="AT1817" t="s">
        <v>74</v>
      </c>
      <c r="AU1817" t="s">
        <v>64</v>
      </c>
      <c r="AV1817" t="s">
        <v>62</v>
      </c>
      <c r="AW1817" t="s">
        <v>65</v>
      </c>
      <c r="AX1817" t="s">
        <v>66</v>
      </c>
      <c r="AY1817" t="s">
        <v>76</v>
      </c>
    </row>
    <row r="1818" spans="1:51" hidden="1" x14ac:dyDescent="0.25">
      <c r="A1818">
        <v>203723</v>
      </c>
      <c r="B1818" t="s">
        <v>6795</v>
      </c>
      <c r="C1818" t="e">
        <f>VLOOKUP(A1818,[1]Customer_payment_journal_line!$AL:$BO,30,0)</f>
        <v>#N/A</v>
      </c>
      <c r="D1818" t="s">
        <v>76</v>
      </c>
      <c r="E1818" t="s">
        <v>6784</v>
      </c>
      <c r="F1818" t="s">
        <v>6785</v>
      </c>
      <c r="G1818" t="s">
        <v>6741</v>
      </c>
      <c r="H1818" t="s">
        <v>69</v>
      </c>
      <c r="I1818" t="s">
        <v>4144</v>
      </c>
      <c r="J1818" t="s">
        <v>4141</v>
      </c>
      <c r="K1818" t="s">
        <v>6753</v>
      </c>
      <c r="L1818" t="s">
        <v>52</v>
      </c>
      <c r="M1818">
        <v>0</v>
      </c>
      <c r="N1818">
        <v>855</v>
      </c>
      <c r="O1818" t="s">
        <v>61</v>
      </c>
      <c r="P1818">
        <v>100</v>
      </c>
      <c r="Q1818" t="s">
        <v>52</v>
      </c>
      <c r="R1818" t="s">
        <v>52</v>
      </c>
      <c r="S1818" t="s">
        <v>52</v>
      </c>
      <c r="T1818" t="s">
        <v>52</v>
      </c>
      <c r="U1818" t="s">
        <v>52</v>
      </c>
      <c r="V1818" t="s">
        <v>62</v>
      </c>
      <c r="W1818" t="s">
        <v>52</v>
      </c>
      <c r="Y1818" t="s">
        <v>4145</v>
      </c>
      <c r="Z1818" t="s">
        <v>62</v>
      </c>
      <c r="AB1818" t="s">
        <v>6796</v>
      </c>
      <c r="AE1818" t="s">
        <v>6797</v>
      </c>
      <c r="AF1818" t="s">
        <v>52</v>
      </c>
      <c r="AH1818">
        <v>0</v>
      </c>
      <c r="AI1818">
        <v>0</v>
      </c>
      <c r="AJ1818" t="s">
        <v>52</v>
      </c>
      <c r="AK1818">
        <v>0</v>
      </c>
      <c r="AL1818" t="s">
        <v>52</v>
      </c>
      <c r="AM1818" t="s">
        <v>52</v>
      </c>
      <c r="AN1818">
        <v>0</v>
      </c>
      <c r="AO1818">
        <v>0</v>
      </c>
      <c r="AP1818" t="s">
        <v>52</v>
      </c>
      <c r="AQ1818" t="s">
        <v>52</v>
      </c>
      <c r="AR1818" t="s">
        <v>62</v>
      </c>
      <c r="AS1818" t="s">
        <v>52</v>
      </c>
      <c r="AT1818" t="s">
        <v>74</v>
      </c>
      <c r="AU1818" t="s">
        <v>64</v>
      </c>
      <c r="AV1818" t="s">
        <v>62</v>
      </c>
      <c r="AW1818" t="s">
        <v>65</v>
      </c>
      <c r="AX1818" t="s">
        <v>66</v>
      </c>
      <c r="AY1818" t="s">
        <v>76</v>
      </c>
    </row>
    <row r="1819" spans="1:51" hidden="1" x14ac:dyDescent="0.25">
      <c r="A1819">
        <v>203745</v>
      </c>
      <c r="B1819" t="s">
        <v>6798</v>
      </c>
      <c r="C1819" t="e">
        <f>VLOOKUP(A1819,[1]Customer_payment_journal_line!$AL:$BO,30,0)</f>
        <v>#N/A</v>
      </c>
      <c r="D1819" t="s">
        <v>159</v>
      </c>
      <c r="E1819" t="s">
        <v>6799</v>
      </c>
      <c r="F1819" t="s">
        <v>6800</v>
      </c>
      <c r="G1819" t="s">
        <v>6741</v>
      </c>
      <c r="H1819" t="s">
        <v>80</v>
      </c>
      <c r="I1819" t="s">
        <v>269</v>
      </c>
      <c r="J1819" t="s">
        <v>1610</v>
      </c>
      <c r="K1819" t="s">
        <v>6801</v>
      </c>
      <c r="L1819" t="s">
        <v>52</v>
      </c>
      <c r="M1819">
        <v>11200</v>
      </c>
      <c r="N1819">
        <v>0</v>
      </c>
      <c r="O1819" t="s">
        <v>178</v>
      </c>
      <c r="P1819">
        <v>5085</v>
      </c>
      <c r="Q1819" t="s">
        <v>52</v>
      </c>
      <c r="R1819" t="s">
        <v>52</v>
      </c>
      <c r="S1819" t="s">
        <v>52</v>
      </c>
      <c r="T1819" t="s">
        <v>52</v>
      </c>
      <c r="U1819" t="s">
        <v>52</v>
      </c>
      <c r="V1819" t="s">
        <v>62</v>
      </c>
      <c r="W1819" t="s">
        <v>52</v>
      </c>
      <c r="Y1819" t="s">
        <v>52</v>
      </c>
      <c r="AB1819" t="s">
        <v>52</v>
      </c>
      <c r="AE1819" t="s">
        <v>52</v>
      </c>
      <c r="AF1819" t="s">
        <v>52</v>
      </c>
      <c r="AH1819">
        <v>0</v>
      </c>
      <c r="AI1819">
        <v>0</v>
      </c>
      <c r="AJ1819" t="s">
        <v>52</v>
      </c>
      <c r="AK1819">
        <v>0</v>
      </c>
      <c r="AL1819" t="s">
        <v>52</v>
      </c>
      <c r="AM1819" t="s">
        <v>52</v>
      </c>
      <c r="AN1819">
        <v>0</v>
      </c>
      <c r="AO1819">
        <v>0</v>
      </c>
      <c r="AP1819" t="s">
        <v>52</v>
      </c>
      <c r="AQ1819" t="s">
        <v>52</v>
      </c>
      <c r="AR1819" t="s">
        <v>62</v>
      </c>
      <c r="AS1819" t="s">
        <v>52</v>
      </c>
      <c r="AT1819" t="s">
        <v>52</v>
      </c>
      <c r="AU1819" t="s">
        <v>64</v>
      </c>
      <c r="AV1819" t="s">
        <v>62</v>
      </c>
      <c r="AW1819" t="s">
        <v>65</v>
      </c>
      <c r="AX1819" t="s">
        <v>66</v>
      </c>
      <c r="AY1819" t="s">
        <v>165</v>
      </c>
    </row>
    <row r="1820" spans="1:51" hidden="1" x14ac:dyDescent="0.25">
      <c r="A1820">
        <v>203745</v>
      </c>
      <c r="B1820" t="s">
        <v>6802</v>
      </c>
      <c r="C1820" t="e">
        <f>VLOOKUP(A1820,[1]Customer_payment_journal_line!$AL:$BO,30,0)</f>
        <v>#N/A</v>
      </c>
      <c r="D1820" t="s">
        <v>159</v>
      </c>
      <c r="E1820" t="s">
        <v>6799</v>
      </c>
      <c r="F1820" t="s">
        <v>6800</v>
      </c>
      <c r="G1820" t="s">
        <v>6741</v>
      </c>
      <c r="H1820" t="s">
        <v>69</v>
      </c>
      <c r="I1820" t="s">
        <v>842</v>
      </c>
      <c r="J1820" t="s">
        <v>1610</v>
      </c>
      <c r="K1820" t="s">
        <v>6801</v>
      </c>
      <c r="L1820" t="s">
        <v>52</v>
      </c>
      <c r="M1820">
        <v>0</v>
      </c>
      <c r="N1820">
        <v>11200</v>
      </c>
      <c r="O1820" t="s">
        <v>178</v>
      </c>
      <c r="P1820">
        <v>5085</v>
      </c>
      <c r="Q1820" t="s">
        <v>52</v>
      </c>
      <c r="R1820" t="s">
        <v>52</v>
      </c>
      <c r="S1820" t="s">
        <v>52</v>
      </c>
      <c r="T1820" t="s">
        <v>52</v>
      </c>
      <c r="U1820" t="s">
        <v>52</v>
      </c>
      <c r="V1820" t="s">
        <v>62</v>
      </c>
      <c r="W1820" t="s">
        <v>52</v>
      </c>
      <c r="Y1820" t="s">
        <v>844</v>
      </c>
      <c r="Z1820" t="s">
        <v>62</v>
      </c>
      <c r="AB1820" t="s">
        <v>6803</v>
      </c>
      <c r="AE1820" t="s">
        <v>6804</v>
      </c>
      <c r="AF1820" t="s">
        <v>52</v>
      </c>
      <c r="AH1820">
        <v>0</v>
      </c>
      <c r="AI1820">
        <v>0</v>
      </c>
      <c r="AJ1820" t="s">
        <v>52</v>
      </c>
      <c r="AK1820">
        <v>0</v>
      </c>
      <c r="AL1820" t="s">
        <v>52</v>
      </c>
      <c r="AM1820" t="s">
        <v>52</v>
      </c>
      <c r="AN1820">
        <v>0</v>
      </c>
      <c r="AO1820">
        <v>0</v>
      </c>
      <c r="AP1820" t="s">
        <v>52</v>
      </c>
      <c r="AQ1820" t="s">
        <v>52</v>
      </c>
      <c r="AR1820" t="s">
        <v>62</v>
      </c>
      <c r="AS1820" t="s">
        <v>52</v>
      </c>
      <c r="AT1820" t="s">
        <v>74</v>
      </c>
      <c r="AU1820" t="s">
        <v>64</v>
      </c>
      <c r="AV1820" t="s">
        <v>62</v>
      </c>
      <c r="AW1820" t="s">
        <v>65</v>
      </c>
      <c r="AX1820" t="s">
        <v>66</v>
      </c>
      <c r="AY1820" t="s">
        <v>165</v>
      </c>
    </row>
    <row r="1821" spans="1:51" hidden="1" x14ac:dyDescent="0.25">
      <c r="A1821">
        <v>203746</v>
      </c>
      <c r="B1821" t="s">
        <v>6805</v>
      </c>
      <c r="C1821" t="e">
        <f>VLOOKUP(A1821,[1]Customer_payment_journal_line!$AL:$BO,30,0)</f>
        <v>#N/A</v>
      </c>
      <c r="D1821" t="s">
        <v>159</v>
      </c>
      <c r="E1821" t="s">
        <v>6806</v>
      </c>
      <c r="F1821" t="s">
        <v>6807</v>
      </c>
      <c r="G1821" t="s">
        <v>6741</v>
      </c>
      <c r="H1821" t="s">
        <v>80</v>
      </c>
      <c r="I1821" t="s">
        <v>269</v>
      </c>
      <c r="J1821" t="s">
        <v>1610</v>
      </c>
      <c r="K1821" t="s">
        <v>6808</v>
      </c>
      <c r="L1821" t="s">
        <v>52</v>
      </c>
      <c r="M1821">
        <v>3700</v>
      </c>
      <c r="N1821">
        <v>0</v>
      </c>
      <c r="O1821" t="s">
        <v>178</v>
      </c>
      <c r="P1821">
        <v>5085</v>
      </c>
      <c r="Q1821" t="s">
        <v>52</v>
      </c>
      <c r="R1821" t="s">
        <v>52</v>
      </c>
      <c r="S1821" t="s">
        <v>52</v>
      </c>
      <c r="T1821" t="s">
        <v>52</v>
      </c>
      <c r="U1821" t="s">
        <v>52</v>
      </c>
      <c r="V1821" t="s">
        <v>62</v>
      </c>
      <c r="W1821" t="s">
        <v>52</v>
      </c>
      <c r="Y1821" t="s">
        <v>52</v>
      </c>
      <c r="AB1821" t="s">
        <v>52</v>
      </c>
      <c r="AE1821" t="s">
        <v>52</v>
      </c>
      <c r="AF1821" t="s">
        <v>52</v>
      </c>
      <c r="AH1821">
        <v>0</v>
      </c>
      <c r="AI1821">
        <v>0</v>
      </c>
      <c r="AJ1821" t="s">
        <v>52</v>
      </c>
      <c r="AK1821">
        <v>0</v>
      </c>
      <c r="AL1821" t="s">
        <v>52</v>
      </c>
      <c r="AM1821" t="s">
        <v>52</v>
      </c>
      <c r="AN1821">
        <v>0</v>
      </c>
      <c r="AO1821">
        <v>0</v>
      </c>
      <c r="AP1821" t="s">
        <v>52</v>
      </c>
      <c r="AQ1821" t="s">
        <v>52</v>
      </c>
      <c r="AR1821" t="s">
        <v>62</v>
      </c>
      <c r="AS1821" t="s">
        <v>52</v>
      </c>
      <c r="AT1821" t="s">
        <v>52</v>
      </c>
      <c r="AU1821" t="s">
        <v>64</v>
      </c>
      <c r="AV1821" t="s">
        <v>62</v>
      </c>
      <c r="AW1821" t="s">
        <v>65</v>
      </c>
      <c r="AX1821" t="s">
        <v>66</v>
      </c>
      <c r="AY1821" t="s">
        <v>165</v>
      </c>
    </row>
    <row r="1822" spans="1:51" hidden="1" x14ac:dyDescent="0.25">
      <c r="A1822">
        <v>203746</v>
      </c>
      <c r="B1822" t="s">
        <v>6809</v>
      </c>
      <c r="C1822" t="e">
        <f>VLOOKUP(A1822,[1]Customer_payment_journal_line!$AL:$BO,30,0)</f>
        <v>#N/A</v>
      </c>
      <c r="D1822" t="s">
        <v>159</v>
      </c>
      <c r="E1822" t="s">
        <v>6806</v>
      </c>
      <c r="F1822" t="s">
        <v>6807</v>
      </c>
      <c r="G1822" t="s">
        <v>6741</v>
      </c>
      <c r="H1822" t="s">
        <v>69</v>
      </c>
      <c r="I1822" t="s">
        <v>842</v>
      </c>
      <c r="J1822" t="s">
        <v>1610</v>
      </c>
      <c r="K1822" t="s">
        <v>6808</v>
      </c>
      <c r="L1822" t="s">
        <v>52</v>
      </c>
      <c r="M1822">
        <v>0</v>
      </c>
      <c r="N1822">
        <v>3700</v>
      </c>
      <c r="O1822" t="s">
        <v>178</v>
      </c>
      <c r="P1822">
        <v>5085</v>
      </c>
      <c r="Q1822" t="s">
        <v>52</v>
      </c>
      <c r="R1822" t="s">
        <v>52</v>
      </c>
      <c r="S1822" t="s">
        <v>52</v>
      </c>
      <c r="T1822" t="s">
        <v>52</v>
      </c>
      <c r="U1822" t="s">
        <v>52</v>
      </c>
      <c r="V1822" t="s">
        <v>62</v>
      </c>
      <c r="W1822" t="s">
        <v>52</v>
      </c>
      <c r="Y1822" t="s">
        <v>844</v>
      </c>
      <c r="Z1822" t="s">
        <v>62</v>
      </c>
      <c r="AB1822" t="s">
        <v>6810</v>
      </c>
      <c r="AE1822" t="s">
        <v>6811</v>
      </c>
      <c r="AF1822" t="s">
        <v>52</v>
      </c>
      <c r="AH1822">
        <v>0</v>
      </c>
      <c r="AI1822">
        <v>0</v>
      </c>
      <c r="AJ1822" t="s">
        <v>52</v>
      </c>
      <c r="AK1822">
        <v>0</v>
      </c>
      <c r="AL1822" t="s">
        <v>52</v>
      </c>
      <c r="AM1822" t="s">
        <v>52</v>
      </c>
      <c r="AN1822">
        <v>0</v>
      </c>
      <c r="AO1822">
        <v>0</v>
      </c>
      <c r="AP1822" t="s">
        <v>52</v>
      </c>
      <c r="AQ1822" t="s">
        <v>52</v>
      </c>
      <c r="AR1822" t="s">
        <v>62</v>
      </c>
      <c r="AS1822" t="s">
        <v>52</v>
      </c>
      <c r="AT1822" t="s">
        <v>74</v>
      </c>
      <c r="AU1822" t="s">
        <v>64</v>
      </c>
      <c r="AV1822" t="s">
        <v>62</v>
      </c>
      <c r="AW1822" t="s">
        <v>65</v>
      </c>
      <c r="AX1822" t="s">
        <v>66</v>
      </c>
      <c r="AY1822" t="s">
        <v>165</v>
      </c>
    </row>
    <row r="1823" spans="1:51" hidden="1" x14ac:dyDescent="0.25">
      <c r="A1823">
        <v>203762</v>
      </c>
      <c r="B1823" t="s">
        <v>6812</v>
      </c>
      <c r="C1823" t="e">
        <f>VLOOKUP(A1823,[1]Customer_payment_journal_line!$AL:$BO,30,0)</f>
        <v>#N/A</v>
      </c>
      <c r="D1823" t="s">
        <v>159</v>
      </c>
      <c r="E1823" t="s">
        <v>6813</v>
      </c>
      <c r="F1823" t="s">
        <v>6814</v>
      </c>
      <c r="G1823" t="s">
        <v>6741</v>
      </c>
      <c r="H1823" t="s">
        <v>80</v>
      </c>
      <c r="I1823" t="s">
        <v>3573</v>
      </c>
      <c r="J1823" t="s">
        <v>5843</v>
      </c>
      <c r="K1823" t="s">
        <v>6815</v>
      </c>
      <c r="L1823" t="s">
        <v>52</v>
      </c>
      <c r="M1823">
        <v>50</v>
      </c>
      <c r="N1823">
        <v>0</v>
      </c>
      <c r="O1823" t="s">
        <v>178</v>
      </c>
      <c r="P1823">
        <v>5085</v>
      </c>
      <c r="Q1823" t="s">
        <v>52</v>
      </c>
      <c r="R1823" t="s">
        <v>52</v>
      </c>
      <c r="S1823" t="s">
        <v>52</v>
      </c>
      <c r="T1823" t="s">
        <v>52</v>
      </c>
      <c r="U1823" t="s">
        <v>52</v>
      </c>
      <c r="V1823" t="s">
        <v>62</v>
      </c>
      <c r="W1823" t="s">
        <v>52</v>
      </c>
      <c r="Y1823" t="s">
        <v>52</v>
      </c>
      <c r="AB1823" t="s">
        <v>52</v>
      </c>
      <c r="AE1823" t="s">
        <v>52</v>
      </c>
      <c r="AF1823" t="s">
        <v>52</v>
      </c>
      <c r="AG1823" t="s">
        <v>5213</v>
      </c>
      <c r="AH1823">
        <v>0</v>
      </c>
      <c r="AI1823">
        <v>0</v>
      </c>
      <c r="AJ1823" t="s">
        <v>52</v>
      </c>
      <c r="AK1823">
        <v>0</v>
      </c>
      <c r="AL1823" t="s">
        <v>52</v>
      </c>
      <c r="AM1823" t="s">
        <v>52</v>
      </c>
      <c r="AN1823">
        <v>0</v>
      </c>
      <c r="AO1823">
        <v>0</v>
      </c>
      <c r="AP1823" t="s">
        <v>52</v>
      </c>
      <c r="AQ1823" t="s">
        <v>52</v>
      </c>
      <c r="AR1823" t="s">
        <v>62</v>
      </c>
      <c r="AS1823" t="s">
        <v>52</v>
      </c>
      <c r="AT1823" t="s">
        <v>52</v>
      </c>
      <c r="AU1823" t="s">
        <v>64</v>
      </c>
      <c r="AV1823" t="s">
        <v>62</v>
      </c>
      <c r="AW1823" t="s">
        <v>65</v>
      </c>
      <c r="AX1823" t="s">
        <v>66</v>
      </c>
      <c r="AY1823" t="s">
        <v>165</v>
      </c>
    </row>
    <row r="1824" spans="1:51" hidden="1" x14ac:dyDescent="0.25">
      <c r="A1824">
        <v>203762</v>
      </c>
      <c r="B1824" t="s">
        <v>6816</v>
      </c>
      <c r="C1824" t="e">
        <f>VLOOKUP(A1824,[1]Customer_payment_journal_line!$AL:$BO,30,0)</f>
        <v>#N/A</v>
      </c>
      <c r="D1824" t="s">
        <v>159</v>
      </c>
      <c r="E1824" t="s">
        <v>6813</v>
      </c>
      <c r="F1824" t="s">
        <v>6814</v>
      </c>
      <c r="G1824" t="s">
        <v>6741</v>
      </c>
      <c r="H1824" t="s">
        <v>69</v>
      </c>
      <c r="I1824" t="s">
        <v>5846</v>
      </c>
      <c r="J1824" t="s">
        <v>5843</v>
      </c>
      <c r="K1824" t="s">
        <v>6815</v>
      </c>
      <c r="L1824" t="s">
        <v>52</v>
      </c>
      <c r="M1824">
        <v>0</v>
      </c>
      <c r="N1824">
        <v>50</v>
      </c>
      <c r="O1824" t="s">
        <v>178</v>
      </c>
      <c r="P1824">
        <v>5085</v>
      </c>
      <c r="Q1824" t="s">
        <v>52</v>
      </c>
      <c r="R1824" t="s">
        <v>52</v>
      </c>
      <c r="S1824" t="s">
        <v>52</v>
      </c>
      <c r="T1824" t="s">
        <v>52</v>
      </c>
      <c r="U1824" t="s">
        <v>52</v>
      </c>
      <c r="V1824" t="s">
        <v>62</v>
      </c>
      <c r="W1824" t="s">
        <v>52</v>
      </c>
      <c r="Y1824" t="s">
        <v>5847</v>
      </c>
      <c r="Z1824" t="s">
        <v>62</v>
      </c>
      <c r="AB1824" t="s">
        <v>6817</v>
      </c>
      <c r="AE1824" t="s">
        <v>6818</v>
      </c>
      <c r="AF1824" t="s">
        <v>52</v>
      </c>
      <c r="AG1824" t="s">
        <v>5213</v>
      </c>
      <c r="AH1824">
        <v>0</v>
      </c>
      <c r="AI1824">
        <v>0</v>
      </c>
      <c r="AJ1824" t="s">
        <v>52</v>
      </c>
      <c r="AK1824">
        <v>0</v>
      </c>
      <c r="AL1824" t="s">
        <v>52</v>
      </c>
      <c r="AM1824" t="s">
        <v>52</v>
      </c>
      <c r="AN1824">
        <v>0</v>
      </c>
      <c r="AO1824">
        <v>0</v>
      </c>
      <c r="AP1824" t="s">
        <v>52</v>
      </c>
      <c r="AQ1824" t="s">
        <v>52</v>
      </c>
      <c r="AR1824" t="s">
        <v>62</v>
      </c>
      <c r="AS1824" t="s">
        <v>52</v>
      </c>
      <c r="AT1824" t="s">
        <v>74</v>
      </c>
      <c r="AU1824" t="s">
        <v>64</v>
      </c>
      <c r="AV1824" t="s">
        <v>62</v>
      </c>
      <c r="AW1824" t="s">
        <v>65</v>
      </c>
      <c r="AX1824" t="s">
        <v>66</v>
      </c>
      <c r="AY1824" t="s">
        <v>165</v>
      </c>
    </row>
    <row r="1825" spans="1:51" hidden="1" x14ac:dyDescent="0.25">
      <c r="A1825">
        <v>203763</v>
      </c>
      <c r="B1825" t="s">
        <v>6819</v>
      </c>
      <c r="C1825" t="e">
        <f>VLOOKUP(A1825,[1]Customer_payment_journal_line!$AL:$BO,30,0)</f>
        <v>#N/A</v>
      </c>
      <c r="D1825" t="s">
        <v>159</v>
      </c>
      <c r="E1825" t="s">
        <v>6820</v>
      </c>
      <c r="F1825" t="s">
        <v>6821</v>
      </c>
      <c r="G1825" t="s">
        <v>6741</v>
      </c>
      <c r="H1825" t="s">
        <v>80</v>
      </c>
      <c r="I1825" t="s">
        <v>177</v>
      </c>
      <c r="J1825" t="s">
        <v>6822</v>
      </c>
      <c r="K1825" t="s">
        <v>6823</v>
      </c>
      <c r="L1825" t="s">
        <v>52</v>
      </c>
      <c r="M1825">
        <v>3710</v>
      </c>
      <c r="N1825">
        <v>0</v>
      </c>
      <c r="O1825" t="s">
        <v>178</v>
      </c>
      <c r="P1825">
        <v>5085</v>
      </c>
      <c r="Q1825" t="s">
        <v>52</v>
      </c>
      <c r="R1825" t="s">
        <v>52</v>
      </c>
      <c r="S1825" t="s">
        <v>52</v>
      </c>
      <c r="T1825" t="s">
        <v>52</v>
      </c>
      <c r="U1825" t="s">
        <v>52</v>
      </c>
      <c r="V1825" t="s">
        <v>62</v>
      </c>
      <c r="W1825" t="s">
        <v>52</v>
      </c>
      <c r="Y1825" t="s">
        <v>52</v>
      </c>
      <c r="AB1825" t="s">
        <v>52</v>
      </c>
      <c r="AE1825" t="s">
        <v>52</v>
      </c>
      <c r="AF1825" t="s">
        <v>52</v>
      </c>
      <c r="AH1825">
        <v>0</v>
      </c>
      <c r="AI1825">
        <v>0</v>
      </c>
      <c r="AJ1825" t="s">
        <v>52</v>
      </c>
      <c r="AK1825">
        <v>0</v>
      </c>
      <c r="AL1825" t="s">
        <v>52</v>
      </c>
      <c r="AM1825" t="s">
        <v>52</v>
      </c>
      <c r="AN1825">
        <v>0</v>
      </c>
      <c r="AO1825">
        <v>0</v>
      </c>
      <c r="AP1825" t="s">
        <v>52</v>
      </c>
      <c r="AQ1825" t="s">
        <v>52</v>
      </c>
      <c r="AR1825" t="s">
        <v>62</v>
      </c>
      <c r="AS1825" t="s">
        <v>52</v>
      </c>
      <c r="AT1825" t="s">
        <v>52</v>
      </c>
      <c r="AU1825" t="s">
        <v>64</v>
      </c>
      <c r="AV1825" t="s">
        <v>62</v>
      </c>
      <c r="AW1825" t="s">
        <v>65</v>
      </c>
      <c r="AX1825" t="s">
        <v>66</v>
      </c>
      <c r="AY1825" t="s">
        <v>165</v>
      </c>
    </row>
    <row r="1826" spans="1:51" hidden="1" x14ac:dyDescent="0.25">
      <c r="A1826">
        <v>203763</v>
      </c>
      <c r="B1826" t="s">
        <v>6824</v>
      </c>
      <c r="C1826" t="e">
        <f>VLOOKUP(A1826,[1]Customer_payment_journal_line!$AL:$BO,30,0)</f>
        <v>#N/A</v>
      </c>
      <c r="D1826" t="s">
        <v>159</v>
      </c>
      <c r="E1826" t="s">
        <v>6820</v>
      </c>
      <c r="F1826" t="s">
        <v>6821</v>
      </c>
      <c r="G1826" t="s">
        <v>6741</v>
      </c>
      <c r="H1826" t="s">
        <v>69</v>
      </c>
      <c r="I1826" t="s">
        <v>6825</v>
      </c>
      <c r="J1826" t="s">
        <v>6822</v>
      </c>
      <c r="K1826" t="s">
        <v>6823</v>
      </c>
      <c r="L1826" t="s">
        <v>52</v>
      </c>
      <c r="M1826">
        <v>0</v>
      </c>
      <c r="N1826">
        <v>3710</v>
      </c>
      <c r="O1826" t="s">
        <v>178</v>
      </c>
      <c r="P1826">
        <v>5085</v>
      </c>
      <c r="Q1826" t="s">
        <v>52</v>
      </c>
      <c r="R1826" t="s">
        <v>52</v>
      </c>
      <c r="S1826" t="s">
        <v>52</v>
      </c>
      <c r="T1826" t="s">
        <v>52</v>
      </c>
      <c r="U1826" t="s">
        <v>52</v>
      </c>
      <c r="V1826" t="s">
        <v>62</v>
      </c>
      <c r="W1826" t="s">
        <v>52</v>
      </c>
      <c r="Y1826" t="s">
        <v>6826</v>
      </c>
      <c r="Z1826" t="s">
        <v>62</v>
      </c>
      <c r="AB1826" t="s">
        <v>6827</v>
      </c>
      <c r="AE1826" t="s">
        <v>6828</v>
      </c>
      <c r="AF1826" t="s">
        <v>52</v>
      </c>
      <c r="AH1826">
        <v>0</v>
      </c>
      <c r="AI1826">
        <v>0</v>
      </c>
      <c r="AJ1826" t="s">
        <v>52</v>
      </c>
      <c r="AK1826">
        <v>0</v>
      </c>
      <c r="AL1826" t="s">
        <v>52</v>
      </c>
      <c r="AM1826" t="s">
        <v>52</v>
      </c>
      <c r="AN1826">
        <v>0</v>
      </c>
      <c r="AO1826">
        <v>0</v>
      </c>
      <c r="AP1826" t="s">
        <v>52</v>
      </c>
      <c r="AQ1826" t="s">
        <v>52</v>
      </c>
      <c r="AR1826" t="s">
        <v>62</v>
      </c>
      <c r="AS1826" t="s">
        <v>52</v>
      </c>
      <c r="AT1826" t="s">
        <v>74</v>
      </c>
      <c r="AU1826" t="s">
        <v>64</v>
      </c>
      <c r="AV1826" t="s">
        <v>62</v>
      </c>
      <c r="AW1826" t="s">
        <v>65</v>
      </c>
      <c r="AX1826" t="s">
        <v>66</v>
      </c>
      <c r="AY1826" t="s">
        <v>165</v>
      </c>
    </row>
    <row r="1827" spans="1:51" hidden="1" x14ac:dyDescent="0.25">
      <c r="A1827">
        <v>203776</v>
      </c>
      <c r="B1827" t="s">
        <v>6829</v>
      </c>
      <c r="C1827" t="e">
        <f>VLOOKUP(A1827,[1]Customer_payment_journal_line!$AL:$BO,30,0)</f>
        <v>#N/A</v>
      </c>
      <c r="D1827" t="s">
        <v>159</v>
      </c>
      <c r="E1827" t="s">
        <v>6830</v>
      </c>
      <c r="F1827" t="s">
        <v>6831</v>
      </c>
      <c r="G1827" t="s">
        <v>6741</v>
      </c>
      <c r="H1827" t="s">
        <v>80</v>
      </c>
      <c r="I1827" t="s">
        <v>5842</v>
      </c>
      <c r="J1827" t="s">
        <v>5843</v>
      </c>
      <c r="K1827" t="s">
        <v>6815</v>
      </c>
      <c r="L1827" t="s">
        <v>52</v>
      </c>
      <c r="M1827">
        <v>2850</v>
      </c>
      <c r="N1827">
        <v>0</v>
      </c>
      <c r="O1827" t="s">
        <v>61</v>
      </c>
      <c r="P1827">
        <v>100</v>
      </c>
      <c r="Q1827" t="s">
        <v>52</v>
      </c>
      <c r="R1827" t="s">
        <v>52</v>
      </c>
      <c r="S1827" t="s">
        <v>52</v>
      </c>
      <c r="T1827" t="s">
        <v>52</v>
      </c>
      <c r="U1827" t="s">
        <v>52</v>
      </c>
      <c r="V1827" t="s">
        <v>62</v>
      </c>
      <c r="W1827" t="s">
        <v>52</v>
      </c>
      <c r="Y1827" t="s">
        <v>52</v>
      </c>
      <c r="AB1827" t="s">
        <v>52</v>
      </c>
      <c r="AE1827" t="s">
        <v>52</v>
      </c>
      <c r="AF1827" t="s">
        <v>52</v>
      </c>
      <c r="AG1827" t="s">
        <v>5213</v>
      </c>
      <c r="AH1827">
        <v>0</v>
      </c>
      <c r="AI1827">
        <v>0</v>
      </c>
      <c r="AJ1827" t="s">
        <v>52</v>
      </c>
      <c r="AK1827">
        <v>0</v>
      </c>
      <c r="AL1827" t="s">
        <v>52</v>
      </c>
      <c r="AM1827" t="s">
        <v>52</v>
      </c>
      <c r="AN1827">
        <v>0</v>
      </c>
      <c r="AO1827">
        <v>0</v>
      </c>
      <c r="AP1827" t="s">
        <v>52</v>
      </c>
      <c r="AQ1827" t="s">
        <v>52</v>
      </c>
      <c r="AR1827" t="s">
        <v>62</v>
      </c>
      <c r="AS1827" t="s">
        <v>52</v>
      </c>
      <c r="AT1827" t="s">
        <v>52</v>
      </c>
      <c r="AU1827" t="s">
        <v>64</v>
      </c>
      <c r="AV1827" t="s">
        <v>62</v>
      </c>
      <c r="AW1827" t="s">
        <v>65</v>
      </c>
      <c r="AX1827" t="s">
        <v>66</v>
      </c>
      <c r="AY1827" t="s">
        <v>165</v>
      </c>
    </row>
    <row r="1828" spans="1:51" hidden="1" x14ac:dyDescent="0.25">
      <c r="A1828">
        <v>203776</v>
      </c>
      <c r="B1828" t="s">
        <v>6832</v>
      </c>
      <c r="C1828" t="e">
        <f>VLOOKUP(A1828,[1]Customer_payment_journal_line!$AL:$BO,30,0)</f>
        <v>#N/A</v>
      </c>
      <c r="D1828" t="s">
        <v>159</v>
      </c>
      <c r="E1828" t="s">
        <v>6830</v>
      </c>
      <c r="F1828" t="s">
        <v>6831</v>
      </c>
      <c r="G1828" t="s">
        <v>6741</v>
      </c>
      <c r="H1828" t="s">
        <v>69</v>
      </c>
      <c r="I1828" t="s">
        <v>5846</v>
      </c>
      <c r="J1828" t="s">
        <v>5843</v>
      </c>
      <c r="K1828" t="s">
        <v>6815</v>
      </c>
      <c r="L1828" t="s">
        <v>52</v>
      </c>
      <c r="M1828">
        <v>0</v>
      </c>
      <c r="N1828">
        <v>2850</v>
      </c>
      <c r="O1828" t="s">
        <v>61</v>
      </c>
      <c r="P1828">
        <v>100</v>
      </c>
      <c r="Q1828" t="s">
        <v>52</v>
      </c>
      <c r="R1828" t="s">
        <v>52</v>
      </c>
      <c r="S1828" t="s">
        <v>52</v>
      </c>
      <c r="T1828" t="s">
        <v>52</v>
      </c>
      <c r="U1828" t="s">
        <v>52</v>
      </c>
      <c r="V1828" t="s">
        <v>62</v>
      </c>
      <c r="W1828" t="s">
        <v>52</v>
      </c>
      <c r="Y1828" t="s">
        <v>5847</v>
      </c>
      <c r="Z1828" t="s">
        <v>62</v>
      </c>
      <c r="AB1828" t="s">
        <v>6833</v>
      </c>
      <c r="AE1828" t="s">
        <v>6834</v>
      </c>
      <c r="AF1828" t="s">
        <v>52</v>
      </c>
      <c r="AG1828" t="s">
        <v>5213</v>
      </c>
      <c r="AH1828">
        <v>0</v>
      </c>
      <c r="AI1828">
        <v>0</v>
      </c>
      <c r="AJ1828" t="s">
        <v>52</v>
      </c>
      <c r="AK1828">
        <v>0</v>
      </c>
      <c r="AL1828" t="s">
        <v>52</v>
      </c>
      <c r="AM1828" t="s">
        <v>52</v>
      </c>
      <c r="AN1828">
        <v>0</v>
      </c>
      <c r="AO1828">
        <v>0</v>
      </c>
      <c r="AP1828" t="s">
        <v>52</v>
      </c>
      <c r="AQ1828" t="s">
        <v>52</v>
      </c>
      <c r="AR1828" t="s">
        <v>62</v>
      </c>
      <c r="AS1828" t="s">
        <v>52</v>
      </c>
      <c r="AT1828" t="s">
        <v>74</v>
      </c>
      <c r="AU1828" t="s">
        <v>64</v>
      </c>
      <c r="AV1828" t="s">
        <v>62</v>
      </c>
      <c r="AW1828" t="s">
        <v>65</v>
      </c>
      <c r="AX1828" t="s">
        <v>66</v>
      </c>
      <c r="AY1828" t="s">
        <v>165</v>
      </c>
    </row>
    <row r="1829" spans="1:51" hidden="1" x14ac:dyDescent="0.25">
      <c r="A1829">
        <v>203777</v>
      </c>
      <c r="B1829" t="s">
        <v>6835</v>
      </c>
      <c r="C1829" t="e">
        <f>VLOOKUP(A1829,[1]Customer_payment_journal_line!$AL:$BO,30,0)</f>
        <v>#N/A</v>
      </c>
      <c r="D1829" t="s">
        <v>76</v>
      </c>
      <c r="E1829" t="s">
        <v>6836</v>
      </c>
      <c r="F1829" t="s">
        <v>6837</v>
      </c>
      <c r="G1829" t="s">
        <v>6741</v>
      </c>
      <c r="H1829" t="s">
        <v>80</v>
      </c>
      <c r="I1829" t="s">
        <v>81</v>
      </c>
      <c r="J1829" t="s">
        <v>6838</v>
      </c>
      <c r="K1829" t="s">
        <v>3158</v>
      </c>
      <c r="L1829" t="s">
        <v>52</v>
      </c>
      <c r="M1829">
        <v>23081.119999999999</v>
      </c>
      <c r="N1829">
        <v>0</v>
      </c>
      <c r="O1829" t="s">
        <v>61</v>
      </c>
      <c r="P1829">
        <v>100</v>
      </c>
      <c r="Q1829" t="s">
        <v>52</v>
      </c>
      <c r="R1829" t="s">
        <v>52</v>
      </c>
      <c r="S1829" t="s">
        <v>52</v>
      </c>
      <c r="T1829" t="s">
        <v>52</v>
      </c>
      <c r="U1829" t="s">
        <v>52</v>
      </c>
      <c r="V1829" t="s">
        <v>62</v>
      </c>
      <c r="W1829" t="s">
        <v>52</v>
      </c>
      <c r="Y1829" t="s">
        <v>52</v>
      </c>
      <c r="AB1829" t="s">
        <v>52</v>
      </c>
      <c r="AE1829" t="s">
        <v>52</v>
      </c>
      <c r="AF1829" t="s">
        <v>52</v>
      </c>
      <c r="AH1829">
        <v>0</v>
      </c>
      <c r="AI1829">
        <v>0</v>
      </c>
      <c r="AJ1829" t="s">
        <v>52</v>
      </c>
      <c r="AK1829">
        <v>0</v>
      </c>
      <c r="AL1829" t="s">
        <v>52</v>
      </c>
      <c r="AM1829" t="s">
        <v>52</v>
      </c>
      <c r="AN1829">
        <v>0</v>
      </c>
      <c r="AO1829">
        <v>0</v>
      </c>
      <c r="AP1829" t="s">
        <v>52</v>
      </c>
      <c r="AQ1829" t="s">
        <v>52</v>
      </c>
      <c r="AR1829" t="s">
        <v>62</v>
      </c>
      <c r="AS1829" t="s">
        <v>52</v>
      </c>
      <c r="AT1829" t="s">
        <v>52</v>
      </c>
      <c r="AU1829" t="s">
        <v>64</v>
      </c>
      <c r="AV1829" t="s">
        <v>62</v>
      </c>
      <c r="AW1829" t="s">
        <v>65</v>
      </c>
      <c r="AX1829" t="s">
        <v>66</v>
      </c>
      <c r="AY1829" t="s">
        <v>76</v>
      </c>
    </row>
    <row r="1830" spans="1:51" hidden="1" x14ac:dyDescent="0.25">
      <c r="A1830">
        <v>203777</v>
      </c>
      <c r="B1830" t="s">
        <v>6839</v>
      </c>
      <c r="C1830" t="e">
        <f>VLOOKUP(A1830,[1]Customer_payment_journal_line!$AL:$BO,30,0)</f>
        <v>#N/A</v>
      </c>
      <c r="D1830" t="s">
        <v>76</v>
      </c>
      <c r="E1830" t="s">
        <v>6836</v>
      </c>
      <c r="F1830" t="s">
        <v>6837</v>
      </c>
      <c r="G1830" t="s">
        <v>6741</v>
      </c>
      <c r="H1830" t="s">
        <v>69</v>
      </c>
      <c r="I1830" t="s">
        <v>6840</v>
      </c>
      <c r="J1830" t="s">
        <v>6838</v>
      </c>
      <c r="K1830" t="s">
        <v>3158</v>
      </c>
      <c r="L1830" t="s">
        <v>52</v>
      </c>
      <c r="M1830">
        <v>0</v>
      </c>
      <c r="N1830">
        <v>855</v>
      </c>
      <c r="O1830" t="s">
        <v>61</v>
      </c>
      <c r="P1830">
        <v>100</v>
      </c>
      <c r="Q1830" t="s">
        <v>52</v>
      </c>
      <c r="R1830" t="s">
        <v>52</v>
      </c>
      <c r="S1830" t="s">
        <v>52</v>
      </c>
      <c r="T1830" t="s">
        <v>52</v>
      </c>
      <c r="U1830" t="s">
        <v>52</v>
      </c>
      <c r="V1830" t="s">
        <v>62</v>
      </c>
      <c r="W1830" t="s">
        <v>52</v>
      </c>
      <c r="Y1830" t="s">
        <v>6841</v>
      </c>
      <c r="Z1830" t="s">
        <v>62</v>
      </c>
      <c r="AB1830" t="s">
        <v>6842</v>
      </c>
      <c r="AE1830" t="s">
        <v>6843</v>
      </c>
      <c r="AF1830" t="s">
        <v>52</v>
      </c>
      <c r="AH1830">
        <v>0</v>
      </c>
      <c r="AI1830">
        <v>0</v>
      </c>
      <c r="AJ1830" t="s">
        <v>52</v>
      </c>
      <c r="AK1830">
        <v>0</v>
      </c>
      <c r="AL1830" t="s">
        <v>52</v>
      </c>
      <c r="AM1830" t="s">
        <v>52</v>
      </c>
      <c r="AN1830">
        <v>0</v>
      </c>
      <c r="AO1830">
        <v>0</v>
      </c>
      <c r="AP1830" t="s">
        <v>52</v>
      </c>
      <c r="AQ1830" t="s">
        <v>52</v>
      </c>
      <c r="AR1830" t="s">
        <v>62</v>
      </c>
      <c r="AS1830" t="s">
        <v>52</v>
      </c>
      <c r="AT1830" t="s">
        <v>74</v>
      </c>
      <c r="AU1830" t="s">
        <v>64</v>
      </c>
      <c r="AV1830" t="s">
        <v>62</v>
      </c>
      <c r="AW1830" t="s">
        <v>65</v>
      </c>
      <c r="AX1830" t="s">
        <v>66</v>
      </c>
      <c r="AY1830" t="s">
        <v>76</v>
      </c>
    </row>
    <row r="1831" spans="1:51" hidden="1" x14ac:dyDescent="0.25">
      <c r="A1831">
        <v>203777</v>
      </c>
      <c r="B1831" t="s">
        <v>6844</v>
      </c>
      <c r="C1831" t="e">
        <f>VLOOKUP(A1831,[1]Customer_payment_journal_line!$AL:$BO,30,0)</f>
        <v>#N/A</v>
      </c>
      <c r="D1831" t="s">
        <v>76</v>
      </c>
      <c r="E1831" t="s">
        <v>6836</v>
      </c>
      <c r="F1831" t="s">
        <v>6837</v>
      </c>
      <c r="G1831" t="s">
        <v>6741</v>
      </c>
      <c r="H1831" t="s">
        <v>69</v>
      </c>
      <c r="I1831" t="s">
        <v>6840</v>
      </c>
      <c r="J1831" t="s">
        <v>6838</v>
      </c>
      <c r="K1831" t="s">
        <v>3158</v>
      </c>
      <c r="L1831" t="s">
        <v>52</v>
      </c>
      <c r="M1831">
        <v>0</v>
      </c>
      <c r="N1831">
        <v>22226.12</v>
      </c>
      <c r="O1831" t="s">
        <v>61</v>
      </c>
      <c r="P1831">
        <v>100</v>
      </c>
      <c r="Q1831" t="s">
        <v>52</v>
      </c>
      <c r="R1831" t="s">
        <v>52</v>
      </c>
      <c r="S1831" t="s">
        <v>52</v>
      </c>
      <c r="T1831" t="s">
        <v>52</v>
      </c>
      <c r="U1831" t="s">
        <v>52</v>
      </c>
      <c r="V1831" t="s">
        <v>62</v>
      </c>
      <c r="W1831" t="s">
        <v>52</v>
      </c>
      <c r="Y1831" t="s">
        <v>6841</v>
      </c>
      <c r="Z1831" t="s">
        <v>62</v>
      </c>
      <c r="AB1831" t="s">
        <v>6845</v>
      </c>
      <c r="AE1831" t="s">
        <v>6846</v>
      </c>
      <c r="AF1831" t="s">
        <v>52</v>
      </c>
      <c r="AH1831">
        <v>0</v>
      </c>
      <c r="AI1831">
        <v>0</v>
      </c>
      <c r="AJ1831" t="s">
        <v>52</v>
      </c>
      <c r="AK1831">
        <v>0</v>
      </c>
      <c r="AL1831" t="s">
        <v>52</v>
      </c>
      <c r="AM1831" t="s">
        <v>52</v>
      </c>
      <c r="AN1831">
        <v>0</v>
      </c>
      <c r="AO1831">
        <v>0</v>
      </c>
      <c r="AP1831" t="s">
        <v>52</v>
      </c>
      <c r="AQ1831" t="s">
        <v>52</v>
      </c>
      <c r="AR1831" t="s">
        <v>62</v>
      </c>
      <c r="AS1831" t="s">
        <v>52</v>
      </c>
      <c r="AT1831" t="s">
        <v>74</v>
      </c>
      <c r="AU1831" t="s">
        <v>64</v>
      </c>
      <c r="AV1831" t="s">
        <v>62</v>
      </c>
      <c r="AW1831" t="s">
        <v>65</v>
      </c>
      <c r="AX1831" t="s">
        <v>66</v>
      </c>
      <c r="AY1831" t="s">
        <v>76</v>
      </c>
    </row>
    <row r="1832" spans="1:51" hidden="1" x14ac:dyDescent="0.25">
      <c r="A1832">
        <v>203778</v>
      </c>
      <c r="B1832" t="s">
        <v>6847</v>
      </c>
      <c r="C1832" t="e">
        <f>VLOOKUP(A1832,[1]Customer_payment_journal_line!$AL:$BO,30,0)</f>
        <v>#N/A</v>
      </c>
      <c r="D1832" t="s">
        <v>159</v>
      </c>
      <c r="E1832" t="s">
        <v>6848</v>
      </c>
      <c r="F1832" t="s">
        <v>6849</v>
      </c>
      <c r="G1832" t="s">
        <v>6741</v>
      </c>
      <c r="H1832" t="s">
        <v>80</v>
      </c>
      <c r="I1832" t="s">
        <v>5842</v>
      </c>
      <c r="J1832" t="s">
        <v>5843</v>
      </c>
      <c r="K1832" t="s">
        <v>6815</v>
      </c>
      <c r="L1832" t="s">
        <v>52</v>
      </c>
      <c r="M1832">
        <v>855</v>
      </c>
      <c r="N1832">
        <v>0</v>
      </c>
      <c r="O1832" t="s">
        <v>61</v>
      </c>
      <c r="P1832">
        <v>100</v>
      </c>
      <c r="Q1832" t="s">
        <v>52</v>
      </c>
      <c r="R1832" t="s">
        <v>52</v>
      </c>
      <c r="S1832" t="s">
        <v>52</v>
      </c>
      <c r="T1832" t="s">
        <v>52</v>
      </c>
      <c r="U1832" t="s">
        <v>52</v>
      </c>
      <c r="V1832" t="s">
        <v>62</v>
      </c>
      <c r="W1832" t="s">
        <v>52</v>
      </c>
      <c r="Y1832" t="s">
        <v>52</v>
      </c>
      <c r="AB1832" t="s">
        <v>52</v>
      </c>
      <c r="AE1832" t="s">
        <v>52</v>
      </c>
      <c r="AF1832" t="s">
        <v>52</v>
      </c>
      <c r="AG1832" t="s">
        <v>5213</v>
      </c>
      <c r="AH1832">
        <v>0</v>
      </c>
      <c r="AI1832">
        <v>0</v>
      </c>
      <c r="AJ1832" t="s">
        <v>52</v>
      </c>
      <c r="AK1832">
        <v>0</v>
      </c>
      <c r="AL1832" t="s">
        <v>52</v>
      </c>
      <c r="AM1832" t="s">
        <v>52</v>
      </c>
      <c r="AN1832">
        <v>0</v>
      </c>
      <c r="AO1832">
        <v>0</v>
      </c>
      <c r="AP1832" t="s">
        <v>52</v>
      </c>
      <c r="AQ1832" t="s">
        <v>52</v>
      </c>
      <c r="AR1832" t="s">
        <v>62</v>
      </c>
      <c r="AS1832" t="s">
        <v>52</v>
      </c>
      <c r="AT1832" t="s">
        <v>52</v>
      </c>
      <c r="AU1832" t="s">
        <v>64</v>
      </c>
      <c r="AV1832" t="s">
        <v>62</v>
      </c>
      <c r="AW1832" t="s">
        <v>65</v>
      </c>
      <c r="AX1832" t="s">
        <v>66</v>
      </c>
      <c r="AY1832" t="s">
        <v>165</v>
      </c>
    </row>
    <row r="1833" spans="1:51" hidden="1" x14ac:dyDescent="0.25">
      <c r="A1833">
        <v>203778</v>
      </c>
      <c r="B1833" t="s">
        <v>6850</v>
      </c>
      <c r="C1833" t="e">
        <f>VLOOKUP(A1833,[1]Customer_payment_journal_line!$AL:$BO,30,0)</f>
        <v>#N/A</v>
      </c>
      <c r="D1833" t="s">
        <v>159</v>
      </c>
      <c r="E1833" t="s">
        <v>6848</v>
      </c>
      <c r="F1833" t="s">
        <v>6849</v>
      </c>
      <c r="G1833" t="s">
        <v>6741</v>
      </c>
      <c r="H1833" t="s">
        <v>69</v>
      </c>
      <c r="I1833" t="s">
        <v>5846</v>
      </c>
      <c r="J1833" t="s">
        <v>5843</v>
      </c>
      <c r="K1833" t="s">
        <v>6815</v>
      </c>
      <c r="L1833" t="s">
        <v>52</v>
      </c>
      <c r="M1833">
        <v>0</v>
      </c>
      <c r="N1833">
        <v>855</v>
      </c>
      <c r="O1833" t="s">
        <v>61</v>
      </c>
      <c r="P1833">
        <v>100</v>
      </c>
      <c r="Q1833" t="s">
        <v>52</v>
      </c>
      <c r="R1833" t="s">
        <v>52</v>
      </c>
      <c r="S1833" t="s">
        <v>52</v>
      </c>
      <c r="T1833" t="s">
        <v>52</v>
      </c>
      <c r="U1833" t="s">
        <v>52</v>
      </c>
      <c r="V1833" t="s">
        <v>62</v>
      </c>
      <c r="W1833" t="s">
        <v>52</v>
      </c>
      <c r="Y1833" t="s">
        <v>5847</v>
      </c>
      <c r="Z1833" t="s">
        <v>62</v>
      </c>
      <c r="AB1833" t="s">
        <v>6851</v>
      </c>
      <c r="AE1833" t="s">
        <v>6852</v>
      </c>
      <c r="AF1833" t="s">
        <v>52</v>
      </c>
      <c r="AG1833" t="s">
        <v>5213</v>
      </c>
      <c r="AH1833">
        <v>0</v>
      </c>
      <c r="AI1833">
        <v>0</v>
      </c>
      <c r="AJ1833" t="s">
        <v>52</v>
      </c>
      <c r="AK1833">
        <v>0</v>
      </c>
      <c r="AL1833" t="s">
        <v>52</v>
      </c>
      <c r="AM1833" t="s">
        <v>52</v>
      </c>
      <c r="AN1833">
        <v>0</v>
      </c>
      <c r="AO1833">
        <v>0</v>
      </c>
      <c r="AP1833" t="s">
        <v>52</v>
      </c>
      <c r="AQ1833" t="s">
        <v>52</v>
      </c>
      <c r="AR1833" t="s">
        <v>62</v>
      </c>
      <c r="AS1833" t="s">
        <v>52</v>
      </c>
      <c r="AT1833" t="s">
        <v>74</v>
      </c>
      <c r="AU1833" t="s">
        <v>64</v>
      </c>
      <c r="AV1833" t="s">
        <v>62</v>
      </c>
      <c r="AW1833" t="s">
        <v>65</v>
      </c>
      <c r="AX1833" t="s">
        <v>66</v>
      </c>
      <c r="AY1833" t="s">
        <v>165</v>
      </c>
    </row>
    <row r="1834" spans="1:51" hidden="1" x14ac:dyDescent="0.25">
      <c r="A1834">
        <v>203785</v>
      </c>
      <c r="B1834" t="s">
        <v>6853</v>
      </c>
      <c r="C1834" t="e">
        <f>VLOOKUP(A1834,[1]Customer_payment_journal_line!$AL:$BO,30,0)</f>
        <v>#N/A</v>
      </c>
      <c r="D1834" t="s">
        <v>644</v>
      </c>
      <c r="E1834" t="s">
        <v>6854</v>
      </c>
      <c r="F1834" t="s">
        <v>6855</v>
      </c>
      <c r="G1834" t="s">
        <v>6741</v>
      </c>
      <c r="H1834" t="s">
        <v>210</v>
      </c>
      <c r="I1834" t="s">
        <v>6856</v>
      </c>
      <c r="K1834" t="s">
        <v>6857</v>
      </c>
      <c r="L1834" t="s">
        <v>52</v>
      </c>
      <c r="M1834">
        <v>450</v>
      </c>
      <c r="N1834">
        <v>0</v>
      </c>
      <c r="O1834" t="s">
        <v>178</v>
      </c>
      <c r="P1834">
        <v>5085</v>
      </c>
      <c r="Q1834" t="s">
        <v>52</v>
      </c>
      <c r="R1834" t="s">
        <v>52</v>
      </c>
      <c r="S1834" t="s">
        <v>52</v>
      </c>
      <c r="T1834" t="s">
        <v>52</v>
      </c>
      <c r="U1834" t="s">
        <v>52</v>
      </c>
      <c r="V1834" t="s">
        <v>62</v>
      </c>
      <c r="W1834" t="s">
        <v>63</v>
      </c>
      <c r="Y1834" t="s">
        <v>52</v>
      </c>
      <c r="AB1834" t="s">
        <v>6858</v>
      </c>
      <c r="AE1834" t="s">
        <v>6859</v>
      </c>
      <c r="AF1834" t="s">
        <v>269</v>
      </c>
      <c r="AG1834" t="s">
        <v>6860</v>
      </c>
      <c r="AH1834">
        <v>0</v>
      </c>
      <c r="AI1834">
        <v>0</v>
      </c>
      <c r="AJ1834" t="s">
        <v>52</v>
      </c>
      <c r="AK1834">
        <v>0</v>
      </c>
      <c r="AL1834" t="s">
        <v>52</v>
      </c>
      <c r="AM1834" t="s">
        <v>52</v>
      </c>
      <c r="AN1834">
        <v>0</v>
      </c>
      <c r="AO1834">
        <v>0</v>
      </c>
      <c r="AP1834" t="s">
        <v>52</v>
      </c>
      <c r="AQ1834" t="s">
        <v>52</v>
      </c>
      <c r="AR1834" t="s">
        <v>62</v>
      </c>
      <c r="AS1834" t="s">
        <v>52</v>
      </c>
      <c r="AT1834" t="s">
        <v>52</v>
      </c>
      <c r="AU1834" t="s">
        <v>64</v>
      </c>
      <c r="AV1834" t="s">
        <v>62</v>
      </c>
      <c r="AW1834" t="s">
        <v>65</v>
      </c>
      <c r="AX1834" t="s">
        <v>66</v>
      </c>
      <c r="AY1834" t="s">
        <v>654</v>
      </c>
    </row>
    <row r="1835" spans="1:51" hidden="1" x14ac:dyDescent="0.25">
      <c r="A1835">
        <v>203785</v>
      </c>
      <c r="B1835" t="s">
        <v>6861</v>
      </c>
      <c r="C1835" t="e">
        <f>VLOOKUP(A1835,[1]Customer_payment_journal_line!$AL:$BO,30,0)</f>
        <v>#N/A</v>
      </c>
      <c r="D1835" t="s">
        <v>644</v>
      </c>
      <c r="E1835" t="s">
        <v>6854</v>
      </c>
      <c r="F1835" t="s">
        <v>6855</v>
      </c>
      <c r="G1835" t="s">
        <v>6741</v>
      </c>
      <c r="H1835" t="s">
        <v>69</v>
      </c>
      <c r="I1835" t="s">
        <v>1811</v>
      </c>
      <c r="J1835" t="s">
        <v>6862</v>
      </c>
      <c r="K1835" t="s">
        <v>6857</v>
      </c>
      <c r="L1835" t="s">
        <v>52</v>
      </c>
      <c r="M1835">
        <v>0</v>
      </c>
      <c r="N1835">
        <v>450</v>
      </c>
      <c r="O1835" t="s">
        <v>178</v>
      </c>
      <c r="P1835">
        <v>5085</v>
      </c>
      <c r="Q1835" t="s">
        <v>52</v>
      </c>
      <c r="R1835" t="s">
        <v>52</v>
      </c>
      <c r="S1835" t="s">
        <v>52</v>
      </c>
      <c r="T1835" t="s">
        <v>52</v>
      </c>
      <c r="U1835" t="s">
        <v>52</v>
      </c>
      <c r="V1835" t="s">
        <v>62</v>
      </c>
      <c r="W1835" t="s">
        <v>52</v>
      </c>
      <c r="Y1835" t="s">
        <v>1813</v>
      </c>
      <c r="Z1835" t="s">
        <v>62</v>
      </c>
      <c r="AB1835" t="s">
        <v>6858</v>
      </c>
      <c r="AE1835" t="s">
        <v>6859</v>
      </c>
      <c r="AF1835" t="s">
        <v>269</v>
      </c>
      <c r="AG1835" t="s">
        <v>6860</v>
      </c>
      <c r="AH1835">
        <v>0</v>
      </c>
      <c r="AI1835">
        <v>0</v>
      </c>
      <c r="AJ1835" t="s">
        <v>52</v>
      </c>
      <c r="AK1835">
        <v>0</v>
      </c>
      <c r="AL1835" t="s">
        <v>52</v>
      </c>
      <c r="AM1835" t="s">
        <v>52</v>
      </c>
      <c r="AN1835">
        <v>0</v>
      </c>
      <c r="AO1835">
        <v>0</v>
      </c>
      <c r="AP1835" t="s">
        <v>52</v>
      </c>
      <c r="AQ1835" t="s">
        <v>52</v>
      </c>
      <c r="AR1835" t="s">
        <v>62</v>
      </c>
      <c r="AS1835" t="s">
        <v>52</v>
      </c>
      <c r="AT1835" t="s">
        <v>74</v>
      </c>
      <c r="AU1835" t="s">
        <v>64</v>
      </c>
      <c r="AV1835" t="s">
        <v>62</v>
      </c>
      <c r="AW1835" t="s">
        <v>65</v>
      </c>
      <c r="AX1835" t="s">
        <v>66</v>
      </c>
      <c r="AY1835" t="s">
        <v>654</v>
      </c>
    </row>
    <row r="1836" spans="1:51" hidden="1" x14ac:dyDescent="0.25">
      <c r="A1836">
        <v>203787</v>
      </c>
      <c r="B1836" t="s">
        <v>6863</v>
      </c>
      <c r="C1836" t="e">
        <f>VLOOKUP(A1836,[1]Customer_payment_journal_line!$AL:$BO,30,0)</f>
        <v>#N/A</v>
      </c>
      <c r="D1836" t="s">
        <v>76</v>
      </c>
      <c r="E1836" t="s">
        <v>6864</v>
      </c>
      <c r="F1836" t="s">
        <v>6865</v>
      </c>
      <c r="G1836" t="s">
        <v>6741</v>
      </c>
      <c r="H1836" t="s">
        <v>80</v>
      </c>
      <c r="I1836" t="s">
        <v>81</v>
      </c>
      <c r="J1836" t="s">
        <v>6866</v>
      </c>
      <c r="K1836" t="s">
        <v>3158</v>
      </c>
      <c r="L1836" t="s">
        <v>52</v>
      </c>
      <c r="M1836">
        <v>22389.14</v>
      </c>
      <c r="N1836">
        <v>0</v>
      </c>
      <c r="O1836" t="s">
        <v>61</v>
      </c>
      <c r="P1836">
        <v>100</v>
      </c>
      <c r="Q1836" t="s">
        <v>52</v>
      </c>
      <c r="R1836" t="s">
        <v>52</v>
      </c>
      <c r="S1836" t="s">
        <v>52</v>
      </c>
      <c r="T1836" t="s">
        <v>52</v>
      </c>
      <c r="U1836" t="s">
        <v>52</v>
      </c>
      <c r="V1836" t="s">
        <v>62</v>
      </c>
      <c r="W1836" t="s">
        <v>52</v>
      </c>
      <c r="Y1836" t="s">
        <v>52</v>
      </c>
      <c r="AB1836" t="s">
        <v>52</v>
      </c>
      <c r="AE1836" t="s">
        <v>52</v>
      </c>
      <c r="AF1836" t="s">
        <v>52</v>
      </c>
      <c r="AH1836">
        <v>0</v>
      </c>
      <c r="AI1836">
        <v>0</v>
      </c>
      <c r="AJ1836" t="s">
        <v>52</v>
      </c>
      <c r="AK1836">
        <v>0</v>
      </c>
      <c r="AL1836" t="s">
        <v>52</v>
      </c>
      <c r="AM1836" t="s">
        <v>52</v>
      </c>
      <c r="AN1836">
        <v>0</v>
      </c>
      <c r="AO1836">
        <v>0</v>
      </c>
      <c r="AP1836" t="s">
        <v>52</v>
      </c>
      <c r="AQ1836" t="s">
        <v>52</v>
      </c>
      <c r="AR1836" t="s">
        <v>62</v>
      </c>
      <c r="AS1836" t="s">
        <v>52</v>
      </c>
      <c r="AT1836" t="s">
        <v>52</v>
      </c>
      <c r="AU1836" t="s">
        <v>64</v>
      </c>
      <c r="AV1836" t="s">
        <v>62</v>
      </c>
      <c r="AW1836" t="s">
        <v>65</v>
      </c>
      <c r="AX1836" t="s">
        <v>66</v>
      </c>
      <c r="AY1836" t="s">
        <v>76</v>
      </c>
    </row>
    <row r="1837" spans="1:51" hidden="1" x14ac:dyDescent="0.25">
      <c r="A1837">
        <v>203787</v>
      </c>
      <c r="B1837" t="s">
        <v>6867</v>
      </c>
      <c r="C1837" t="e">
        <f>VLOOKUP(A1837,[1]Customer_payment_journal_line!$AL:$BO,30,0)</f>
        <v>#N/A</v>
      </c>
      <c r="D1837" t="s">
        <v>76</v>
      </c>
      <c r="E1837" t="s">
        <v>6864</v>
      </c>
      <c r="F1837" t="s">
        <v>6865</v>
      </c>
      <c r="G1837" t="s">
        <v>6741</v>
      </c>
      <c r="H1837" t="s">
        <v>69</v>
      </c>
      <c r="I1837" t="s">
        <v>6868</v>
      </c>
      <c r="J1837" t="s">
        <v>6866</v>
      </c>
      <c r="K1837" t="s">
        <v>3158</v>
      </c>
      <c r="L1837" t="s">
        <v>52</v>
      </c>
      <c r="M1837">
        <v>0</v>
      </c>
      <c r="N1837">
        <v>21534.14</v>
      </c>
      <c r="O1837" t="s">
        <v>61</v>
      </c>
      <c r="P1837">
        <v>100</v>
      </c>
      <c r="Q1837" t="s">
        <v>52</v>
      </c>
      <c r="R1837" t="s">
        <v>52</v>
      </c>
      <c r="S1837" t="s">
        <v>52</v>
      </c>
      <c r="T1837" t="s">
        <v>52</v>
      </c>
      <c r="U1837" t="s">
        <v>52</v>
      </c>
      <c r="V1837" t="s">
        <v>62</v>
      </c>
      <c r="W1837" t="s">
        <v>52</v>
      </c>
      <c r="Y1837" t="s">
        <v>6869</v>
      </c>
      <c r="Z1837" t="s">
        <v>62</v>
      </c>
      <c r="AB1837" t="s">
        <v>6870</v>
      </c>
      <c r="AE1837" t="s">
        <v>6871</v>
      </c>
      <c r="AF1837" t="s">
        <v>52</v>
      </c>
      <c r="AH1837">
        <v>0</v>
      </c>
      <c r="AI1837">
        <v>0</v>
      </c>
      <c r="AJ1837" t="s">
        <v>52</v>
      </c>
      <c r="AK1837">
        <v>0</v>
      </c>
      <c r="AL1837" t="s">
        <v>52</v>
      </c>
      <c r="AM1837" t="s">
        <v>52</v>
      </c>
      <c r="AN1837">
        <v>0</v>
      </c>
      <c r="AO1837">
        <v>0</v>
      </c>
      <c r="AP1837" t="s">
        <v>52</v>
      </c>
      <c r="AQ1837" t="s">
        <v>52</v>
      </c>
      <c r="AR1837" t="s">
        <v>62</v>
      </c>
      <c r="AS1837" t="s">
        <v>52</v>
      </c>
      <c r="AT1837" t="s">
        <v>74</v>
      </c>
      <c r="AU1837" t="s">
        <v>64</v>
      </c>
      <c r="AV1837" t="s">
        <v>62</v>
      </c>
      <c r="AW1837" t="s">
        <v>65</v>
      </c>
      <c r="AX1837" t="s">
        <v>66</v>
      </c>
      <c r="AY1837" t="s">
        <v>76</v>
      </c>
    </row>
    <row r="1838" spans="1:51" hidden="1" x14ac:dyDescent="0.25">
      <c r="A1838">
        <v>203787</v>
      </c>
      <c r="B1838" t="s">
        <v>6872</v>
      </c>
      <c r="C1838" t="e">
        <f>VLOOKUP(A1838,[1]Customer_payment_journal_line!$AL:$BO,30,0)</f>
        <v>#N/A</v>
      </c>
      <c r="D1838" t="s">
        <v>76</v>
      </c>
      <c r="E1838" t="s">
        <v>6864</v>
      </c>
      <c r="F1838" t="s">
        <v>6865</v>
      </c>
      <c r="G1838" t="s">
        <v>6741</v>
      </c>
      <c r="H1838" t="s">
        <v>69</v>
      </c>
      <c r="I1838" t="s">
        <v>6868</v>
      </c>
      <c r="J1838" t="s">
        <v>6866</v>
      </c>
      <c r="K1838" t="s">
        <v>3158</v>
      </c>
      <c r="L1838" t="s">
        <v>52</v>
      </c>
      <c r="M1838">
        <v>0</v>
      </c>
      <c r="N1838">
        <v>855</v>
      </c>
      <c r="O1838" t="s">
        <v>61</v>
      </c>
      <c r="P1838">
        <v>100</v>
      </c>
      <c r="Q1838" t="s">
        <v>52</v>
      </c>
      <c r="R1838" t="s">
        <v>52</v>
      </c>
      <c r="S1838" t="s">
        <v>52</v>
      </c>
      <c r="T1838" t="s">
        <v>52</v>
      </c>
      <c r="U1838" t="s">
        <v>52</v>
      </c>
      <c r="V1838" t="s">
        <v>62</v>
      </c>
      <c r="W1838" t="s">
        <v>52</v>
      </c>
      <c r="Y1838" t="s">
        <v>6869</v>
      </c>
      <c r="Z1838" t="s">
        <v>62</v>
      </c>
      <c r="AB1838" t="s">
        <v>6873</v>
      </c>
      <c r="AE1838" t="s">
        <v>6874</v>
      </c>
      <c r="AF1838" t="s">
        <v>52</v>
      </c>
      <c r="AH1838">
        <v>0</v>
      </c>
      <c r="AI1838">
        <v>0</v>
      </c>
      <c r="AJ1838" t="s">
        <v>52</v>
      </c>
      <c r="AK1838">
        <v>0</v>
      </c>
      <c r="AL1838" t="s">
        <v>52</v>
      </c>
      <c r="AM1838" t="s">
        <v>52</v>
      </c>
      <c r="AN1838">
        <v>0</v>
      </c>
      <c r="AO1838">
        <v>0</v>
      </c>
      <c r="AP1838" t="s">
        <v>52</v>
      </c>
      <c r="AQ1838" t="s">
        <v>52</v>
      </c>
      <c r="AR1838" t="s">
        <v>62</v>
      </c>
      <c r="AS1838" t="s">
        <v>52</v>
      </c>
      <c r="AT1838" t="s">
        <v>74</v>
      </c>
      <c r="AU1838" t="s">
        <v>64</v>
      </c>
      <c r="AV1838" t="s">
        <v>62</v>
      </c>
      <c r="AW1838" t="s">
        <v>65</v>
      </c>
      <c r="AX1838" t="s">
        <v>66</v>
      </c>
      <c r="AY1838" t="s">
        <v>76</v>
      </c>
    </row>
    <row r="1839" spans="1:51" hidden="1" x14ac:dyDescent="0.25">
      <c r="A1839">
        <v>203788</v>
      </c>
      <c r="B1839" t="s">
        <v>6875</v>
      </c>
      <c r="C1839" t="str">
        <f>VLOOKUP(A1839,[1]Customer_payment_journal_line!$AL:$BO,30,0)</f>
        <v>CPay-000000114</v>
      </c>
      <c r="D1839" t="s">
        <v>53</v>
      </c>
      <c r="E1839" t="s">
        <v>6876</v>
      </c>
      <c r="F1839" t="s">
        <v>6877</v>
      </c>
      <c r="G1839" t="s">
        <v>6741</v>
      </c>
      <c r="H1839" t="s">
        <v>57</v>
      </c>
      <c r="I1839" t="s">
        <v>95</v>
      </c>
      <c r="J1839" t="s">
        <v>6878</v>
      </c>
      <c r="K1839" t="s">
        <v>6879</v>
      </c>
      <c r="L1839">
        <f>VLOOKUP(A1839,[1]Customer_payment_journal_line!$B:$L,11,0)</f>
        <v>1653</v>
      </c>
      <c r="M1839" s="1">
        <v>1653</v>
      </c>
      <c r="N1839" s="2">
        <f>L1839-M1839</f>
        <v>0</v>
      </c>
      <c r="O1839" t="s">
        <v>61</v>
      </c>
      <c r="P1839">
        <v>100</v>
      </c>
      <c r="Q1839" t="s">
        <v>52</v>
      </c>
      <c r="R1839" t="s">
        <v>52</v>
      </c>
      <c r="S1839" t="s">
        <v>52</v>
      </c>
      <c r="T1839" t="s">
        <v>52</v>
      </c>
      <c r="U1839" t="s">
        <v>52</v>
      </c>
      <c r="V1839" t="s">
        <v>62</v>
      </c>
      <c r="W1839" t="s">
        <v>63</v>
      </c>
      <c r="Y1839" t="s">
        <v>52</v>
      </c>
      <c r="AB1839" t="s">
        <v>52</v>
      </c>
      <c r="AE1839" t="s">
        <v>52</v>
      </c>
      <c r="AF1839" t="s">
        <v>52</v>
      </c>
      <c r="AH1839">
        <v>0</v>
      </c>
      <c r="AI1839">
        <v>0</v>
      </c>
      <c r="AJ1839" t="s">
        <v>52</v>
      </c>
      <c r="AK1839">
        <v>0</v>
      </c>
      <c r="AL1839" t="s">
        <v>52</v>
      </c>
      <c r="AM1839" t="s">
        <v>52</v>
      </c>
      <c r="AN1839">
        <v>0</v>
      </c>
      <c r="AO1839">
        <v>0</v>
      </c>
      <c r="AP1839" t="s">
        <v>52</v>
      </c>
      <c r="AQ1839" t="s">
        <v>52</v>
      </c>
      <c r="AR1839" t="s">
        <v>62</v>
      </c>
      <c r="AS1839" t="s">
        <v>52</v>
      </c>
      <c r="AT1839" t="s">
        <v>52</v>
      </c>
      <c r="AU1839" t="s">
        <v>64</v>
      </c>
      <c r="AV1839" t="s">
        <v>62</v>
      </c>
      <c r="AW1839" t="s">
        <v>65</v>
      </c>
      <c r="AX1839" t="s">
        <v>66</v>
      </c>
      <c r="AY1839" t="s">
        <v>67</v>
      </c>
    </row>
    <row r="1840" spans="1:51" hidden="1" x14ac:dyDescent="0.25">
      <c r="A1840">
        <v>203788</v>
      </c>
      <c r="B1840" t="s">
        <v>6880</v>
      </c>
      <c r="C1840" t="str">
        <f>VLOOKUP(A1840,[1]Customer_payment_journal_line!$AL:$BO,30,0)</f>
        <v>CPay-000000114</v>
      </c>
      <c r="D1840" t="s">
        <v>53</v>
      </c>
      <c r="E1840" t="s">
        <v>6876</v>
      </c>
      <c r="F1840" t="s">
        <v>6877</v>
      </c>
      <c r="G1840" t="s">
        <v>6741</v>
      </c>
      <c r="H1840" t="s">
        <v>69</v>
      </c>
      <c r="I1840" t="s">
        <v>6881</v>
      </c>
      <c r="J1840" t="s">
        <v>6878</v>
      </c>
      <c r="K1840" t="s">
        <v>6879</v>
      </c>
      <c r="L1840">
        <f>VLOOKUP(A1840,[1]Customer_payment_journal_line!$B:$L,11,0)</f>
        <v>1653</v>
      </c>
      <c r="M1840" s="1">
        <v>0</v>
      </c>
      <c r="N1840">
        <v>1653</v>
      </c>
      <c r="O1840" t="s">
        <v>61</v>
      </c>
      <c r="P1840">
        <v>100</v>
      </c>
      <c r="Q1840" t="s">
        <v>52</v>
      </c>
      <c r="R1840" t="s">
        <v>52</v>
      </c>
      <c r="S1840" t="s">
        <v>52</v>
      </c>
      <c r="T1840" t="s">
        <v>52</v>
      </c>
      <c r="U1840" t="s">
        <v>52</v>
      </c>
      <c r="V1840" t="s">
        <v>62</v>
      </c>
      <c r="W1840" t="s">
        <v>52</v>
      </c>
      <c r="Y1840" t="s">
        <v>6882</v>
      </c>
      <c r="Z1840" t="s">
        <v>62</v>
      </c>
      <c r="AB1840" t="s">
        <v>6883</v>
      </c>
      <c r="AE1840" t="s">
        <v>6884</v>
      </c>
      <c r="AF1840" t="s">
        <v>52</v>
      </c>
      <c r="AH1840">
        <v>0</v>
      </c>
      <c r="AI1840">
        <v>0</v>
      </c>
      <c r="AJ1840" t="s">
        <v>52</v>
      </c>
      <c r="AK1840">
        <v>0</v>
      </c>
      <c r="AL1840" t="s">
        <v>52</v>
      </c>
      <c r="AM1840" t="s">
        <v>52</v>
      </c>
      <c r="AN1840">
        <v>0</v>
      </c>
      <c r="AO1840">
        <v>0</v>
      </c>
      <c r="AP1840" t="s">
        <v>52</v>
      </c>
      <c r="AQ1840" t="s">
        <v>52</v>
      </c>
      <c r="AR1840" t="s">
        <v>62</v>
      </c>
      <c r="AS1840" t="s">
        <v>52</v>
      </c>
      <c r="AT1840" t="s">
        <v>74</v>
      </c>
      <c r="AU1840" t="s">
        <v>64</v>
      </c>
      <c r="AV1840" t="s">
        <v>62</v>
      </c>
      <c r="AW1840" t="s">
        <v>65</v>
      </c>
      <c r="AX1840" t="s">
        <v>66</v>
      </c>
      <c r="AY1840" t="s">
        <v>67</v>
      </c>
    </row>
    <row r="1841" spans="1:51" hidden="1" x14ac:dyDescent="0.25">
      <c r="A1841">
        <v>203789</v>
      </c>
      <c r="B1841" t="s">
        <v>6885</v>
      </c>
      <c r="C1841" t="str">
        <f>VLOOKUP(A1841,[1]Customer_payment_journal_line!$AL:$BO,30,0)</f>
        <v>CPay-000000115</v>
      </c>
      <c r="D1841" t="s">
        <v>53</v>
      </c>
      <c r="E1841" t="s">
        <v>6886</v>
      </c>
      <c r="F1841" t="s">
        <v>6887</v>
      </c>
      <c r="G1841" t="s">
        <v>6741</v>
      </c>
      <c r="H1841" t="s">
        <v>57</v>
      </c>
      <c r="I1841" t="s">
        <v>95</v>
      </c>
      <c r="J1841" t="s">
        <v>6878</v>
      </c>
      <c r="K1841" t="s">
        <v>6879</v>
      </c>
      <c r="L1841">
        <f>VLOOKUP(A1841,[1]Customer_payment_journal_line!$B:$L,11,0)</f>
        <v>262.2</v>
      </c>
      <c r="M1841" s="1">
        <v>262.2</v>
      </c>
      <c r="N1841" s="2">
        <f>L1841-M1841</f>
        <v>0</v>
      </c>
      <c r="O1841" t="s">
        <v>61</v>
      </c>
      <c r="P1841">
        <v>100</v>
      </c>
      <c r="Q1841" t="s">
        <v>52</v>
      </c>
      <c r="R1841" t="s">
        <v>52</v>
      </c>
      <c r="S1841" t="s">
        <v>52</v>
      </c>
      <c r="T1841" t="s">
        <v>52</v>
      </c>
      <c r="U1841" t="s">
        <v>52</v>
      </c>
      <c r="V1841" t="s">
        <v>62</v>
      </c>
      <c r="W1841" t="s">
        <v>63</v>
      </c>
      <c r="Y1841" t="s">
        <v>52</v>
      </c>
      <c r="AB1841" t="s">
        <v>52</v>
      </c>
      <c r="AE1841" t="s">
        <v>52</v>
      </c>
      <c r="AF1841" t="s">
        <v>52</v>
      </c>
      <c r="AH1841">
        <v>0</v>
      </c>
      <c r="AI1841">
        <v>0</v>
      </c>
      <c r="AJ1841" t="s">
        <v>52</v>
      </c>
      <c r="AK1841">
        <v>0</v>
      </c>
      <c r="AL1841" t="s">
        <v>52</v>
      </c>
      <c r="AM1841" t="s">
        <v>52</v>
      </c>
      <c r="AN1841">
        <v>0</v>
      </c>
      <c r="AO1841">
        <v>0</v>
      </c>
      <c r="AP1841" t="s">
        <v>52</v>
      </c>
      <c r="AQ1841" t="s">
        <v>52</v>
      </c>
      <c r="AR1841" t="s">
        <v>62</v>
      </c>
      <c r="AS1841" t="s">
        <v>52</v>
      </c>
      <c r="AT1841" t="s">
        <v>52</v>
      </c>
      <c r="AU1841" t="s">
        <v>64</v>
      </c>
      <c r="AV1841" t="s">
        <v>62</v>
      </c>
      <c r="AW1841" t="s">
        <v>65</v>
      </c>
      <c r="AX1841" t="s">
        <v>66</v>
      </c>
      <c r="AY1841" t="s">
        <v>67</v>
      </c>
    </row>
    <row r="1842" spans="1:51" hidden="1" x14ac:dyDescent="0.25">
      <c r="A1842">
        <v>203789</v>
      </c>
      <c r="B1842" t="s">
        <v>6888</v>
      </c>
      <c r="C1842" t="str">
        <f>VLOOKUP(A1842,[1]Customer_payment_journal_line!$AL:$BO,30,0)</f>
        <v>CPay-000000115</v>
      </c>
      <c r="D1842" t="s">
        <v>53</v>
      </c>
      <c r="E1842" t="s">
        <v>6886</v>
      </c>
      <c r="F1842" t="s">
        <v>6887</v>
      </c>
      <c r="G1842" t="s">
        <v>6741</v>
      </c>
      <c r="H1842" t="s">
        <v>69</v>
      </c>
      <c r="I1842" t="s">
        <v>6881</v>
      </c>
      <c r="J1842" t="s">
        <v>6878</v>
      </c>
      <c r="K1842" t="s">
        <v>6879</v>
      </c>
      <c r="L1842">
        <f>VLOOKUP(A1842,[1]Customer_payment_journal_line!$B:$L,11,0)</f>
        <v>262.2</v>
      </c>
      <c r="M1842" s="1">
        <v>0</v>
      </c>
      <c r="N1842">
        <v>262.2</v>
      </c>
      <c r="O1842" t="s">
        <v>61</v>
      </c>
      <c r="P1842">
        <v>100</v>
      </c>
      <c r="Q1842" t="s">
        <v>52</v>
      </c>
      <c r="R1842" t="s">
        <v>52</v>
      </c>
      <c r="S1842" t="s">
        <v>52</v>
      </c>
      <c r="T1842" t="s">
        <v>52</v>
      </c>
      <c r="U1842" t="s">
        <v>52</v>
      </c>
      <c r="V1842" t="s">
        <v>62</v>
      </c>
      <c r="W1842" t="s">
        <v>52</v>
      </c>
      <c r="Y1842" t="s">
        <v>6882</v>
      </c>
      <c r="Z1842" t="s">
        <v>62</v>
      </c>
      <c r="AB1842" t="s">
        <v>6889</v>
      </c>
      <c r="AE1842" t="s">
        <v>6890</v>
      </c>
      <c r="AF1842" t="s">
        <v>52</v>
      </c>
      <c r="AH1842">
        <v>0</v>
      </c>
      <c r="AI1842">
        <v>0</v>
      </c>
      <c r="AJ1842" t="s">
        <v>52</v>
      </c>
      <c r="AK1842">
        <v>0</v>
      </c>
      <c r="AL1842" t="s">
        <v>52</v>
      </c>
      <c r="AM1842" t="s">
        <v>52</v>
      </c>
      <c r="AN1842">
        <v>0</v>
      </c>
      <c r="AO1842">
        <v>0</v>
      </c>
      <c r="AP1842" t="s">
        <v>52</v>
      </c>
      <c r="AQ1842" t="s">
        <v>52</v>
      </c>
      <c r="AR1842" t="s">
        <v>62</v>
      </c>
      <c r="AS1842" t="s">
        <v>52</v>
      </c>
      <c r="AT1842" t="s">
        <v>74</v>
      </c>
      <c r="AU1842" t="s">
        <v>64</v>
      </c>
      <c r="AV1842" t="s">
        <v>62</v>
      </c>
      <c r="AW1842" t="s">
        <v>65</v>
      </c>
      <c r="AX1842" t="s">
        <v>66</v>
      </c>
      <c r="AY1842" t="s">
        <v>67</v>
      </c>
    </row>
    <row r="1843" spans="1:51" hidden="1" x14ac:dyDescent="0.25">
      <c r="A1843">
        <v>203808</v>
      </c>
      <c r="B1843" t="s">
        <v>6891</v>
      </c>
      <c r="C1843" t="str">
        <f>VLOOKUP(A1843,[1]Customer_payment_journal_line!$AL:$BO,30,0)</f>
        <v>CPay-000000116</v>
      </c>
      <c r="D1843" t="s">
        <v>53</v>
      </c>
      <c r="E1843" t="s">
        <v>6892</v>
      </c>
      <c r="F1843" t="s">
        <v>6893</v>
      </c>
      <c r="G1843" t="s">
        <v>6741</v>
      </c>
      <c r="H1843" t="s">
        <v>57</v>
      </c>
      <c r="I1843" t="s">
        <v>95</v>
      </c>
      <c r="J1843" t="s">
        <v>1845</v>
      </c>
      <c r="K1843" t="s">
        <v>6894</v>
      </c>
      <c r="L1843">
        <f>VLOOKUP(A1843,[1]Customer_payment_journal_line!$B:$L,11,0)</f>
        <v>1653</v>
      </c>
      <c r="M1843" s="1">
        <v>1653</v>
      </c>
      <c r="N1843" s="2">
        <f>L1843-M1843</f>
        <v>0</v>
      </c>
      <c r="O1843" t="s">
        <v>61</v>
      </c>
      <c r="P1843">
        <v>100</v>
      </c>
      <c r="Q1843" t="s">
        <v>52</v>
      </c>
      <c r="R1843" t="s">
        <v>52</v>
      </c>
      <c r="S1843" t="s">
        <v>52</v>
      </c>
      <c r="T1843" t="s">
        <v>52</v>
      </c>
      <c r="U1843" t="s">
        <v>52</v>
      </c>
      <c r="V1843" t="s">
        <v>62</v>
      </c>
      <c r="W1843" t="s">
        <v>63</v>
      </c>
      <c r="Y1843" t="s">
        <v>52</v>
      </c>
      <c r="AB1843" t="s">
        <v>52</v>
      </c>
      <c r="AE1843" t="s">
        <v>52</v>
      </c>
      <c r="AF1843" t="s">
        <v>52</v>
      </c>
      <c r="AH1843">
        <v>0</v>
      </c>
      <c r="AI1843">
        <v>0</v>
      </c>
      <c r="AJ1843" t="s">
        <v>52</v>
      </c>
      <c r="AK1843">
        <v>0</v>
      </c>
      <c r="AL1843" t="s">
        <v>52</v>
      </c>
      <c r="AM1843" t="s">
        <v>52</v>
      </c>
      <c r="AN1843">
        <v>0</v>
      </c>
      <c r="AO1843">
        <v>0</v>
      </c>
      <c r="AP1843" t="s">
        <v>52</v>
      </c>
      <c r="AQ1843" t="s">
        <v>52</v>
      </c>
      <c r="AR1843" t="s">
        <v>62</v>
      </c>
      <c r="AS1843" t="s">
        <v>52</v>
      </c>
      <c r="AT1843" t="s">
        <v>52</v>
      </c>
      <c r="AU1843" t="s">
        <v>64</v>
      </c>
      <c r="AV1843" t="s">
        <v>62</v>
      </c>
      <c r="AW1843" t="s">
        <v>65</v>
      </c>
      <c r="AX1843" t="s">
        <v>66</v>
      </c>
      <c r="AY1843" t="s">
        <v>67</v>
      </c>
    </row>
    <row r="1844" spans="1:51" hidden="1" x14ac:dyDescent="0.25">
      <c r="A1844">
        <v>203808</v>
      </c>
      <c r="B1844" t="s">
        <v>6895</v>
      </c>
      <c r="C1844" t="str">
        <f>VLOOKUP(A1844,[1]Customer_payment_journal_line!$AL:$BO,30,0)</f>
        <v>CPay-000000116</v>
      </c>
      <c r="D1844" t="s">
        <v>53</v>
      </c>
      <c r="E1844" t="s">
        <v>6892</v>
      </c>
      <c r="F1844" t="s">
        <v>6893</v>
      </c>
      <c r="G1844" t="s">
        <v>6741</v>
      </c>
      <c r="H1844" t="s">
        <v>69</v>
      </c>
      <c r="I1844" t="s">
        <v>685</v>
      </c>
      <c r="J1844" t="s">
        <v>1845</v>
      </c>
      <c r="K1844" t="s">
        <v>6894</v>
      </c>
      <c r="L1844">
        <f>VLOOKUP(A1844,[1]Customer_payment_journal_line!$B:$L,11,0)</f>
        <v>1653</v>
      </c>
      <c r="M1844" s="1">
        <v>0</v>
      </c>
      <c r="N1844">
        <v>1653</v>
      </c>
      <c r="O1844" t="s">
        <v>61</v>
      </c>
      <c r="P1844">
        <v>100</v>
      </c>
      <c r="Q1844" t="s">
        <v>52</v>
      </c>
      <c r="R1844" t="s">
        <v>52</v>
      </c>
      <c r="S1844" t="s">
        <v>52</v>
      </c>
      <c r="T1844" t="s">
        <v>52</v>
      </c>
      <c r="U1844" t="s">
        <v>52</v>
      </c>
      <c r="V1844" t="s">
        <v>62</v>
      </c>
      <c r="W1844" t="s">
        <v>52</v>
      </c>
      <c r="Y1844" t="s">
        <v>686</v>
      </c>
      <c r="Z1844" t="s">
        <v>62</v>
      </c>
      <c r="AB1844" t="s">
        <v>6896</v>
      </c>
      <c r="AE1844" t="s">
        <v>6897</v>
      </c>
      <c r="AF1844" t="s">
        <v>52</v>
      </c>
      <c r="AH1844">
        <v>0</v>
      </c>
      <c r="AI1844">
        <v>0</v>
      </c>
      <c r="AJ1844" t="s">
        <v>52</v>
      </c>
      <c r="AK1844">
        <v>0</v>
      </c>
      <c r="AL1844" t="s">
        <v>52</v>
      </c>
      <c r="AM1844" t="s">
        <v>52</v>
      </c>
      <c r="AN1844">
        <v>0</v>
      </c>
      <c r="AO1844">
        <v>0</v>
      </c>
      <c r="AP1844" t="s">
        <v>52</v>
      </c>
      <c r="AQ1844" t="s">
        <v>52</v>
      </c>
      <c r="AR1844" t="s">
        <v>62</v>
      </c>
      <c r="AS1844" t="s">
        <v>52</v>
      </c>
      <c r="AT1844" t="s">
        <v>74</v>
      </c>
      <c r="AU1844" t="s">
        <v>64</v>
      </c>
      <c r="AV1844" t="s">
        <v>62</v>
      </c>
      <c r="AW1844" t="s">
        <v>65</v>
      </c>
      <c r="AX1844" t="s">
        <v>66</v>
      </c>
      <c r="AY1844" t="s">
        <v>67</v>
      </c>
    </row>
    <row r="1845" spans="1:51" hidden="1" x14ac:dyDescent="0.25">
      <c r="A1845">
        <v>203809</v>
      </c>
      <c r="B1845" t="s">
        <v>6898</v>
      </c>
      <c r="C1845" t="str">
        <f>VLOOKUP(A1845,[1]Customer_payment_journal_line!$AL:$BO,30,0)</f>
        <v>CPay-000000117</v>
      </c>
      <c r="D1845" t="s">
        <v>53</v>
      </c>
      <c r="E1845" t="s">
        <v>6899</v>
      </c>
      <c r="F1845" t="s">
        <v>6900</v>
      </c>
      <c r="G1845" t="s">
        <v>6741</v>
      </c>
      <c r="H1845" t="s">
        <v>57</v>
      </c>
      <c r="I1845" t="s">
        <v>95</v>
      </c>
      <c r="J1845" t="s">
        <v>1845</v>
      </c>
      <c r="K1845" t="s">
        <v>6894</v>
      </c>
      <c r="L1845">
        <f>VLOOKUP(A1845,[1]Customer_payment_journal_line!$B:$L,11,0)</f>
        <v>199.5</v>
      </c>
      <c r="M1845" s="1">
        <v>199.5</v>
      </c>
      <c r="N1845" s="2">
        <f>L1845-M1845</f>
        <v>0</v>
      </c>
      <c r="O1845" t="s">
        <v>61</v>
      </c>
      <c r="P1845">
        <v>100</v>
      </c>
      <c r="Q1845" t="s">
        <v>52</v>
      </c>
      <c r="R1845" t="s">
        <v>52</v>
      </c>
      <c r="S1845" t="s">
        <v>52</v>
      </c>
      <c r="T1845" t="s">
        <v>52</v>
      </c>
      <c r="U1845" t="s">
        <v>52</v>
      </c>
      <c r="V1845" t="s">
        <v>62</v>
      </c>
      <c r="W1845" t="s">
        <v>63</v>
      </c>
      <c r="Y1845" t="s">
        <v>52</v>
      </c>
      <c r="AB1845" t="s">
        <v>52</v>
      </c>
      <c r="AE1845" t="s">
        <v>52</v>
      </c>
      <c r="AF1845" t="s">
        <v>52</v>
      </c>
      <c r="AH1845">
        <v>0</v>
      </c>
      <c r="AI1845">
        <v>0</v>
      </c>
      <c r="AJ1845" t="s">
        <v>52</v>
      </c>
      <c r="AK1845">
        <v>0</v>
      </c>
      <c r="AL1845" t="s">
        <v>52</v>
      </c>
      <c r="AM1845" t="s">
        <v>52</v>
      </c>
      <c r="AN1845">
        <v>0</v>
      </c>
      <c r="AO1845">
        <v>0</v>
      </c>
      <c r="AP1845" t="s">
        <v>52</v>
      </c>
      <c r="AQ1845" t="s">
        <v>52</v>
      </c>
      <c r="AR1845" t="s">
        <v>62</v>
      </c>
      <c r="AS1845" t="s">
        <v>52</v>
      </c>
      <c r="AT1845" t="s">
        <v>52</v>
      </c>
      <c r="AU1845" t="s">
        <v>64</v>
      </c>
      <c r="AV1845" t="s">
        <v>62</v>
      </c>
      <c r="AW1845" t="s">
        <v>65</v>
      </c>
      <c r="AX1845" t="s">
        <v>66</v>
      </c>
      <c r="AY1845" t="s">
        <v>67</v>
      </c>
    </row>
    <row r="1846" spans="1:51" hidden="1" x14ac:dyDescent="0.25">
      <c r="A1846">
        <v>203809</v>
      </c>
      <c r="B1846" t="s">
        <v>6901</v>
      </c>
      <c r="C1846" t="str">
        <f>VLOOKUP(A1846,[1]Customer_payment_journal_line!$AL:$BO,30,0)</f>
        <v>CPay-000000117</v>
      </c>
      <c r="D1846" t="s">
        <v>53</v>
      </c>
      <c r="E1846" t="s">
        <v>6899</v>
      </c>
      <c r="F1846" t="s">
        <v>6900</v>
      </c>
      <c r="G1846" t="s">
        <v>6741</v>
      </c>
      <c r="H1846" t="s">
        <v>69</v>
      </c>
      <c r="I1846" t="s">
        <v>685</v>
      </c>
      <c r="J1846" t="s">
        <v>1845</v>
      </c>
      <c r="K1846" t="s">
        <v>6894</v>
      </c>
      <c r="L1846">
        <f>VLOOKUP(A1846,[1]Customer_payment_journal_line!$B:$L,11,0)</f>
        <v>199.5</v>
      </c>
      <c r="M1846" s="1">
        <v>0</v>
      </c>
      <c r="N1846">
        <v>199.5</v>
      </c>
      <c r="O1846" t="s">
        <v>61</v>
      </c>
      <c r="P1846">
        <v>100</v>
      </c>
      <c r="Q1846" t="s">
        <v>52</v>
      </c>
      <c r="R1846" t="s">
        <v>52</v>
      </c>
      <c r="S1846" t="s">
        <v>52</v>
      </c>
      <c r="T1846" t="s">
        <v>52</v>
      </c>
      <c r="U1846" t="s">
        <v>52</v>
      </c>
      <c r="V1846" t="s">
        <v>62</v>
      </c>
      <c r="W1846" t="s">
        <v>52</v>
      </c>
      <c r="Y1846" t="s">
        <v>686</v>
      </c>
      <c r="Z1846" t="s">
        <v>62</v>
      </c>
      <c r="AB1846" t="s">
        <v>6902</v>
      </c>
      <c r="AE1846" t="s">
        <v>6903</v>
      </c>
      <c r="AF1846" t="s">
        <v>52</v>
      </c>
      <c r="AH1846">
        <v>0</v>
      </c>
      <c r="AI1846">
        <v>0</v>
      </c>
      <c r="AJ1846" t="s">
        <v>52</v>
      </c>
      <c r="AK1846">
        <v>0</v>
      </c>
      <c r="AL1846" t="s">
        <v>52</v>
      </c>
      <c r="AM1846" t="s">
        <v>52</v>
      </c>
      <c r="AN1846">
        <v>0</v>
      </c>
      <c r="AO1846">
        <v>0</v>
      </c>
      <c r="AP1846" t="s">
        <v>52</v>
      </c>
      <c r="AQ1846" t="s">
        <v>52</v>
      </c>
      <c r="AR1846" t="s">
        <v>62</v>
      </c>
      <c r="AS1846" t="s">
        <v>52</v>
      </c>
      <c r="AT1846" t="s">
        <v>74</v>
      </c>
      <c r="AU1846" t="s">
        <v>64</v>
      </c>
      <c r="AV1846" t="s">
        <v>62</v>
      </c>
      <c r="AW1846" t="s">
        <v>65</v>
      </c>
      <c r="AX1846" t="s">
        <v>66</v>
      </c>
      <c r="AY1846" t="s">
        <v>67</v>
      </c>
    </row>
    <row r="1847" spans="1:51" hidden="1" x14ac:dyDescent="0.25">
      <c r="A1847">
        <v>203810</v>
      </c>
      <c r="B1847" t="s">
        <v>6904</v>
      </c>
      <c r="C1847" t="e">
        <f>VLOOKUP(A1847,[1]Customer_payment_journal_line!$AL:$BO,30,0)</f>
        <v>#N/A</v>
      </c>
      <c r="D1847" t="s">
        <v>76</v>
      </c>
      <c r="E1847" t="s">
        <v>6905</v>
      </c>
      <c r="F1847" t="s">
        <v>6906</v>
      </c>
      <c r="G1847" t="s">
        <v>6741</v>
      </c>
      <c r="H1847" t="s">
        <v>80</v>
      </c>
      <c r="I1847" t="s">
        <v>81</v>
      </c>
      <c r="J1847" t="s">
        <v>6907</v>
      </c>
      <c r="K1847" t="s">
        <v>6908</v>
      </c>
      <c r="L1847" t="s">
        <v>52</v>
      </c>
      <c r="M1847">
        <v>15561</v>
      </c>
      <c r="N1847">
        <v>0</v>
      </c>
      <c r="O1847" t="s">
        <v>61</v>
      </c>
      <c r="P1847">
        <v>100</v>
      </c>
      <c r="Q1847" t="s">
        <v>52</v>
      </c>
      <c r="R1847" t="s">
        <v>52</v>
      </c>
      <c r="S1847" t="s">
        <v>52</v>
      </c>
      <c r="T1847" t="s">
        <v>52</v>
      </c>
      <c r="U1847" t="s">
        <v>52</v>
      </c>
      <c r="V1847" t="s">
        <v>62</v>
      </c>
      <c r="W1847" t="s">
        <v>52</v>
      </c>
      <c r="Y1847" t="s">
        <v>52</v>
      </c>
      <c r="AB1847" t="s">
        <v>52</v>
      </c>
      <c r="AE1847" t="s">
        <v>52</v>
      </c>
      <c r="AF1847" t="s">
        <v>52</v>
      </c>
      <c r="AH1847">
        <v>0</v>
      </c>
      <c r="AI1847">
        <v>0</v>
      </c>
      <c r="AJ1847" t="s">
        <v>52</v>
      </c>
      <c r="AK1847">
        <v>0</v>
      </c>
      <c r="AL1847" t="s">
        <v>52</v>
      </c>
      <c r="AM1847" t="s">
        <v>52</v>
      </c>
      <c r="AN1847">
        <v>0</v>
      </c>
      <c r="AO1847">
        <v>0</v>
      </c>
      <c r="AP1847" t="s">
        <v>52</v>
      </c>
      <c r="AQ1847" t="s">
        <v>52</v>
      </c>
      <c r="AR1847" t="s">
        <v>62</v>
      </c>
      <c r="AS1847" t="s">
        <v>52</v>
      </c>
      <c r="AT1847" t="s">
        <v>52</v>
      </c>
      <c r="AU1847" t="s">
        <v>64</v>
      </c>
      <c r="AV1847" t="s">
        <v>62</v>
      </c>
      <c r="AW1847" t="s">
        <v>65</v>
      </c>
      <c r="AX1847" t="s">
        <v>66</v>
      </c>
      <c r="AY1847" t="s">
        <v>76</v>
      </c>
    </row>
    <row r="1848" spans="1:51" hidden="1" x14ac:dyDescent="0.25">
      <c r="A1848">
        <v>203810</v>
      </c>
      <c r="B1848" t="s">
        <v>6909</v>
      </c>
      <c r="C1848" t="e">
        <f>VLOOKUP(A1848,[1]Customer_payment_journal_line!$AL:$BO,30,0)</f>
        <v>#N/A</v>
      </c>
      <c r="D1848" t="s">
        <v>76</v>
      </c>
      <c r="E1848" t="s">
        <v>6905</v>
      </c>
      <c r="F1848" t="s">
        <v>6906</v>
      </c>
      <c r="G1848" t="s">
        <v>6741</v>
      </c>
      <c r="H1848" t="s">
        <v>69</v>
      </c>
      <c r="I1848" t="s">
        <v>6910</v>
      </c>
      <c r="J1848" t="s">
        <v>6911</v>
      </c>
      <c r="K1848" t="s">
        <v>6908</v>
      </c>
      <c r="L1848" t="s">
        <v>52</v>
      </c>
      <c r="M1848">
        <v>0</v>
      </c>
      <c r="N1848">
        <v>855</v>
      </c>
      <c r="O1848" t="s">
        <v>61</v>
      </c>
      <c r="P1848">
        <v>100</v>
      </c>
      <c r="Q1848" t="s">
        <v>52</v>
      </c>
      <c r="R1848" t="s">
        <v>52</v>
      </c>
      <c r="S1848" t="s">
        <v>52</v>
      </c>
      <c r="T1848" t="s">
        <v>52</v>
      </c>
      <c r="U1848" t="s">
        <v>52</v>
      </c>
      <c r="V1848" t="s">
        <v>62</v>
      </c>
      <c r="W1848" t="s">
        <v>52</v>
      </c>
      <c r="Y1848" t="s">
        <v>6912</v>
      </c>
      <c r="Z1848" t="s">
        <v>62</v>
      </c>
      <c r="AB1848" t="s">
        <v>6913</v>
      </c>
      <c r="AE1848" t="s">
        <v>6914</v>
      </c>
      <c r="AF1848" t="s">
        <v>52</v>
      </c>
      <c r="AH1848">
        <v>0</v>
      </c>
      <c r="AI1848">
        <v>0</v>
      </c>
      <c r="AJ1848" t="s">
        <v>52</v>
      </c>
      <c r="AK1848">
        <v>0</v>
      </c>
      <c r="AL1848" t="s">
        <v>52</v>
      </c>
      <c r="AM1848" t="s">
        <v>52</v>
      </c>
      <c r="AN1848">
        <v>0</v>
      </c>
      <c r="AO1848">
        <v>0</v>
      </c>
      <c r="AP1848" t="s">
        <v>52</v>
      </c>
      <c r="AQ1848" t="s">
        <v>52</v>
      </c>
      <c r="AR1848" t="s">
        <v>62</v>
      </c>
      <c r="AS1848" t="s">
        <v>52</v>
      </c>
      <c r="AT1848" t="s">
        <v>74</v>
      </c>
      <c r="AU1848" t="s">
        <v>64</v>
      </c>
      <c r="AV1848" t="s">
        <v>62</v>
      </c>
      <c r="AW1848" t="s">
        <v>65</v>
      </c>
      <c r="AX1848" t="s">
        <v>66</v>
      </c>
      <c r="AY1848" t="s">
        <v>76</v>
      </c>
    </row>
    <row r="1849" spans="1:51" hidden="1" x14ac:dyDescent="0.25">
      <c r="A1849">
        <v>203810</v>
      </c>
      <c r="B1849" t="s">
        <v>6915</v>
      </c>
      <c r="C1849" t="e">
        <f>VLOOKUP(A1849,[1]Customer_payment_journal_line!$AL:$BO,30,0)</f>
        <v>#N/A</v>
      </c>
      <c r="D1849" t="s">
        <v>76</v>
      </c>
      <c r="E1849" t="s">
        <v>6905</v>
      </c>
      <c r="F1849" t="s">
        <v>6906</v>
      </c>
      <c r="G1849" t="s">
        <v>6741</v>
      </c>
      <c r="H1849" t="s">
        <v>69</v>
      </c>
      <c r="I1849" t="s">
        <v>6910</v>
      </c>
      <c r="J1849" t="s">
        <v>6911</v>
      </c>
      <c r="K1849" t="s">
        <v>6908</v>
      </c>
      <c r="L1849" t="s">
        <v>52</v>
      </c>
      <c r="M1849">
        <v>0</v>
      </c>
      <c r="N1849">
        <v>8208</v>
      </c>
      <c r="O1849" t="s">
        <v>61</v>
      </c>
      <c r="P1849">
        <v>100</v>
      </c>
      <c r="Q1849" t="s">
        <v>52</v>
      </c>
      <c r="R1849" t="s">
        <v>52</v>
      </c>
      <c r="S1849" t="s">
        <v>52</v>
      </c>
      <c r="T1849" t="s">
        <v>52</v>
      </c>
      <c r="U1849" t="s">
        <v>52</v>
      </c>
      <c r="V1849" t="s">
        <v>62</v>
      </c>
      <c r="W1849" t="s">
        <v>52</v>
      </c>
      <c r="Y1849" t="s">
        <v>6912</v>
      </c>
      <c r="Z1849" t="s">
        <v>62</v>
      </c>
      <c r="AB1849" t="s">
        <v>6916</v>
      </c>
      <c r="AE1849" t="s">
        <v>6917</v>
      </c>
      <c r="AF1849" t="s">
        <v>52</v>
      </c>
      <c r="AH1849">
        <v>0</v>
      </c>
      <c r="AI1849">
        <v>0</v>
      </c>
      <c r="AJ1849" t="s">
        <v>52</v>
      </c>
      <c r="AK1849">
        <v>0</v>
      </c>
      <c r="AL1849" t="s">
        <v>52</v>
      </c>
      <c r="AM1849" t="s">
        <v>52</v>
      </c>
      <c r="AN1849">
        <v>0</v>
      </c>
      <c r="AO1849">
        <v>0</v>
      </c>
      <c r="AP1849" t="s">
        <v>52</v>
      </c>
      <c r="AQ1849" t="s">
        <v>52</v>
      </c>
      <c r="AR1849" t="s">
        <v>62</v>
      </c>
      <c r="AS1849" t="s">
        <v>52</v>
      </c>
      <c r="AT1849" t="s">
        <v>74</v>
      </c>
      <c r="AU1849" t="s">
        <v>64</v>
      </c>
      <c r="AV1849" t="s">
        <v>62</v>
      </c>
      <c r="AW1849" t="s">
        <v>65</v>
      </c>
      <c r="AX1849" t="s">
        <v>66</v>
      </c>
      <c r="AY1849" t="s">
        <v>76</v>
      </c>
    </row>
    <row r="1850" spans="1:51" hidden="1" x14ac:dyDescent="0.25">
      <c r="A1850">
        <v>203810</v>
      </c>
      <c r="B1850" t="s">
        <v>6918</v>
      </c>
      <c r="C1850" t="e">
        <f>VLOOKUP(A1850,[1]Customer_payment_journal_line!$AL:$BO,30,0)</f>
        <v>#N/A</v>
      </c>
      <c r="D1850" t="s">
        <v>76</v>
      </c>
      <c r="E1850" t="s">
        <v>6905</v>
      </c>
      <c r="F1850" t="s">
        <v>6906</v>
      </c>
      <c r="G1850" t="s">
        <v>6741</v>
      </c>
      <c r="H1850" t="s">
        <v>69</v>
      </c>
      <c r="I1850" t="s">
        <v>6910</v>
      </c>
      <c r="J1850" t="s">
        <v>6907</v>
      </c>
      <c r="K1850" t="s">
        <v>6908</v>
      </c>
      <c r="L1850" t="s">
        <v>52</v>
      </c>
      <c r="M1850">
        <v>0</v>
      </c>
      <c r="N1850">
        <v>855</v>
      </c>
      <c r="O1850" t="s">
        <v>61</v>
      </c>
      <c r="P1850">
        <v>100</v>
      </c>
      <c r="Q1850" t="s">
        <v>52</v>
      </c>
      <c r="R1850" t="s">
        <v>52</v>
      </c>
      <c r="S1850" t="s">
        <v>52</v>
      </c>
      <c r="T1850" t="s">
        <v>52</v>
      </c>
      <c r="U1850" t="s">
        <v>52</v>
      </c>
      <c r="V1850" t="s">
        <v>62</v>
      </c>
      <c r="W1850" t="s">
        <v>52</v>
      </c>
      <c r="Y1850" t="s">
        <v>6912</v>
      </c>
      <c r="Z1850" t="s">
        <v>62</v>
      </c>
      <c r="AB1850" t="s">
        <v>6919</v>
      </c>
      <c r="AE1850" t="s">
        <v>6920</v>
      </c>
      <c r="AF1850" t="s">
        <v>52</v>
      </c>
      <c r="AH1850">
        <v>0</v>
      </c>
      <c r="AI1850">
        <v>0</v>
      </c>
      <c r="AJ1850" t="s">
        <v>52</v>
      </c>
      <c r="AK1850">
        <v>0</v>
      </c>
      <c r="AL1850" t="s">
        <v>52</v>
      </c>
      <c r="AM1850" t="s">
        <v>52</v>
      </c>
      <c r="AN1850">
        <v>0</v>
      </c>
      <c r="AO1850">
        <v>0</v>
      </c>
      <c r="AP1850" t="s">
        <v>52</v>
      </c>
      <c r="AQ1850" t="s">
        <v>52</v>
      </c>
      <c r="AR1850" t="s">
        <v>62</v>
      </c>
      <c r="AS1850" t="s">
        <v>52</v>
      </c>
      <c r="AT1850" t="s">
        <v>74</v>
      </c>
      <c r="AU1850" t="s">
        <v>64</v>
      </c>
      <c r="AV1850" t="s">
        <v>62</v>
      </c>
      <c r="AW1850" t="s">
        <v>65</v>
      </c>
      <c r="AX1850" t="s">
        <v>66</v>
      </c>
      <c r="AY1850" t="s">
        <v>76</v>
      </c>
    </row>
    <row r="1851" spans="1:51" hidden="1" x14ac:dyDescent="0.25">
      <c r="A1851">
        <v>203810</v>
      </c>
      <c r="B1851" t="s">
        <v>6921</v>
      </c>
      <c r="C1851" t="e">
        <f>VLOOKUP(A1851,[1]Customer_payment_journal_line!$AL:$BO,30,0)</f>
        <v>#N/A</v>
      </c>
      <c r="D1851" t="s">
        <v>76</v>
      </c>
      <c r="E1851" t="s">
        <v>6905</v>
      </c>
      <c r="F1851" t="s">
        <v>6906</v>
      </c>
      <c r="G1851" t="s">
        <v>6741</v>
      </c>
      <c r="H1851" t="s">
        <v>69</v>
      </c>
      <c r="I1851" t="s">
        <v>6910</v>
      </c>
      <c r="J1851" t="s">
        <v>6907</v>
      </c>
      <c r="K1851" t="s">
        <v>6908</v>
      </c>
      <c r="L1851" t="s">
        <v>52</v>
      </c>
      <c r="M1851">
        <v>0</v>
      </c>
      <c r="N1851">
        <v>5643</v>
      </c>
      <c r="O1851" t="s">
        <v>61</v>
      </c>
      <c r="P1851">
        <v>100</v>
      </c>
      <c r="Q1851" t="s">
        <v>52</v>
      </c>
      <c r="R1851" t="s">
        <v>52</v>
      </c>
      <c r="S1851" t="s">
        <v>52</v>
      </c>
      <c r="T1851" t="s">
        <v>52</v>
      </c>
      <c r="U1851" t="s">
        <v>52</v>
      </c>
      <c r="V1851" t="s">
        <v>62</v>
      </c>
      <c r="W1851" t="s">
        <v>52</v>
      </c>
      <c r="Y1851" t="s">
        <v>6912</v>
      </c>
      <c r="Z1851" t="s">
        <v>62</v>
      </c>
      <c r="AB1851" t="s">
        <v>6922</v>
      </c>
      <c r="AE1851" t="s">
        <v>6923</v>
      </c>
      <c r="AF1851" t="s">
        <v>52</v>
      </c>
      <c r="AH1851">
        <v>0</v>
      </c>
      <c r="AI1851">
        <v>0</v>
      </c>
      <c r="AJ1851" t="s">
        <v>52</v>
      </c>
      <c r="AK1851">
        <v>0</v>
      </c>
      <c r="AL1851" t="s">
        <v>52</v>
      </c>
      <c r="AM1851" t="s">
        <v>52</v>
      </c>
      <c r="AN1851">
        <v>0</v>
      </c>
      <c r="AO1851">
        <v>0</v>
      </c>
      <c r="AP1851" t="s">
        <v>52</v>
      </c>
      <c r="AQ1851" t="s">
        <v>52</v>
      </c>
      <c r="AR1851" t="s">
        <v>62</v>
      </c>
      <c r="AS1851" t="s">
        <v>52</v>
      </c>
      <c r="AT1851" t="s">
        <v>74</v>
      </c>
      <c r="AU1851" t="s">
        <v>64</v>
      </c>
      <c r="AV1851" t="s">
        <v>62</v>
      </c>
      <c r="AW1851" t="s">
        <v>65</v>
      </c>
      <c r="AX1851" t="s">
        <v>66</v>
      </c>
      <c r="AY1851" t="s">
        <v>76</v>
      </c>
    </row>
    <row r="1852" spans="1:51" hidden="1" x14ac:dyDescent="0.25">
      <c r="A1852">
        <v>203811</v>
      </c>
      <c r="B1852" t="s">
        <v>6924</v>
      </c>
      <c r="C1852" t="str">
        <f>VLOOKUP(A1852,[1]Customer_payment_journal_line!$AL:$BO,30,0)</f>
        <v>CPay-000000118</v>
      </c>
      <c r="D1852" t="s">
        <v>53</v>
      </c>
      <c r="E1852" t="s">
        <v>6925</v>
      </c>
      <c r="F1852" t="s">
        <v>6926</v>
      </c>
      <c r="G1852" t="s">
        <v>6741</v>
      </c>
      <c r="H1852" t="s">
        <v>57</v>
      </c>
      <c r="I1852" t="s">
        <v>95</v>
      </c>
      <c r="J1852" t="s">
        <v>1845</v>
      </c>
      <c r="K1852" t="s">
        <v>6927</v>
      </c>
      <c r="L1852">
        <f>VLOOKUP(A1852,[1]Customer_payment_journal_line!$B:$L,11,0)</f>
        <v>1653</v>
      </c>
      <c r="M1852" s="1">
        <v>1653</v>
      </c>
      <c r="N1852" s="2">
        <f>L1852-M1852</f>
        <v>0</v>
      </c>
      <c r="O1852" t="s">
        <v>61</v>
      </c>
      <c r="P1852">
        <v>100</v>
      </c>
      <c r="Q1852" t="s">
        <v>52</v>
      </c>
      <c r="R1852" t="s">
        <v>52</v>
      </c>
      <c r="S1852" t="s">
        <v>52</v>
      </c>
      <c r="T1852" t="s">
        <v>52</v>
      </c>
      <c r="U1852" t="s">
        <v>52</v>
      </c>
      <c r="V1852" t="s">
        <v>62</v>
      </c>
      <c r="W1852" t="s">
        <v>63</v>
      </c>
      <c r="Y1852" t="s">
        <v>52</v>
      </c>
      <c r="AB1852" t="s">
        <v>52</v>
      </c>
      <c r="AE1852" t="s">
        <v>52</v>
      </c>
      <c r="AF1852" t="s">
        <v>52</v>
      </c>
      <c r="AH1852">
        <v>0</v>
      </c>
      <c r="AI1852">
        <v>0</v>
      </c>
      <c r="AJ1852" t="s">
        <v>52</v>
      </c>
      <c r="AK1852">
        <v>0</v>
      </c>
      <c r="AL1852" t="s">
        <v>52</v>
      </c>
      <c r="AM1852" t="s">
        <v>52</v>
      </c>
      <c r="AN1852">
        <v>0</v>
      </c>
      <c r="AO1852">
        <v>0</v>
      </c>
      <c r="AP1852" t="s">
        <v>52</v>
      </c>
      <c r="AQ1852" t="s">
        <v>52</v>
      </c>
      <c r="AR1852" t="s">
        <v>62</v>
      </c>
      <c r="AS1852" t="s">
        <v>52</v>
      </c>
      <c r="AT1852" t="s">
        <v>52</v>
      </c>
      <c r="AU1852" t="s">
        <v>64</v>
      </c>
      <c r="AV1852" t="s">
        <v>62</v>
      </c>
      <c r="AW1852" t="s">
        <v>65</v>
      </c>
      <c r="AX1852" t="s">
        <v>66</v>
      </c>
      <c r="AY1852" t="s">
        <v>67</v>
      </c>
    </row>
    <row r="1853" spans="1:51" hidden="1" x14ac:dyDescent="0.25">
      <c r="A1853">
        <v>203811</v>
      </c>
      <c r="B1853" t="s">
        <v>6928</v>
      </c>
      <c r="C1853" t="str">
        <f>VLOOKUP(A1853,[1]Customer_payment_journal_line!$AL:$BO,30,0)</f>
        <v>CPay-000000118</v>
      </c>
      <c r="D1853" t="s">
        <v>53</v>
      </c>
      <c r="E1853" t="s">
        <v>6925</v>
      </c>
      <c r="F1853" t="s">
        <v>6926</v>
      </c>
      <c r="G1853" t="s">
        <v>6741</v>
      </c>
      <c r="H1853" t="s">
        <v>69</v>
      </c>
      <c r="I1853" t="s">
        <v>685</v>
      </c>
      <c r="J1853" t="s">
        <v>1845</v>
      </c>
      <c r="K1853" t="s">
        <v>6927</v>
      </c>
      <c r="L1853">
        <f>VLOOKUP(A1853,[1]Customer_payment_journal_line!$B:$L,11,0)</f>
        <v>1653</v>
      </c>
      <c r="M1853" s="1">
        <v>0</v>
      </c>
      <c r="N1853">
        <v>1653</v>
      </c>
      <c r="O1853" t="s">
        <v>61</v>
      </c>
      <c r="P1853">
        <v>100</v>
      </c>
      <c r="Q1853" t="s">
        <v>52</v>
      </c>
      <c r="R1853" t="s">
        <v>52</v>
      </c>
      <c r="S1853" t="s">
        <v>52</v>
      </c>
      <c r="T1853" t="s">
        <v>52</v>
      </c>
      <c r="U1853" t="s">
        <v>52</v>
      </c>
      <c r="V1853" t="s">
        <v>62</v>
      </c>
      <c r="W1853" t="s">
        <v>52</v>
      </c>
      <c r="Y1853" t="s">
        <v>686</v>
      </c>
      <c r="Z1853" t="s">
        <v>62</v>
      </c>
      <c r="AB1853" t="s">
        <v>6929</v>
      </c>
      <c r="AE1853" t="s">
        <v>6930</v>
      </c>
      <c r="AF1853" t="s">
        <v>52</v>
      </c>
      <c r="AH1853">
        <v>0</v>
      </c>
      <c r="AI1853">
        <v>0</v>
      </c>
      <c r="AJ1853" t="s">
        <v>52</v>
      </c>
      <c r="AK1853">
        <v>0</v>
      </c>
      <c r="AL1853" t="s">
        <v>52</v>
      </c>
      <c r="AM1853" t="s">
        <v>52</v>
      </c>
      <c r="AN1853">
        <v>0</v>
      </c>
      <c r="AO1853">
        <v>0</v>
      </c>
      <c r="AP1853" t="s">
        <v>52</v>
      </c>
      <c r="AQ1853" t="s">
        <v>52</v>
      </c>
      <c r="AR1853" t="s">
        <v>62</v>
      </c>
      <c r="AS1853" t="s">
        <v>52</v>
      </c>
      <c r="AT1853" t="s">
        <v>74</v>
      </c>
      <c r="AU1853" t="s">
        <v>64</v>
      </c>
      <c r="AV1853" t="s">
        <v>62</v>
      </c>
      <c r="AW1853" t="s">
        <v>65</v>
      </c>
      <c r="AX1853" t="s">
        <v>66</v>
      </c>
      <c r="AY1853" t="s">
        <v>67</v>
      </c>
    </row>
    <row r="1854" spans="1:51" hidden="1" x14ac:dyDescent="0.25">
      <c r="A1854">
        <v>203812</v>
      </c>
      <c r="B1854" t="s">
        <v>6931</v>
      </c>
      <c r="C1854" t="str">
        <f>VLOOKUP(A1854,[1]Customer_payment_journal_line!$AL:$BO,30,0)</f>
        <v>CPay-000000119</v>
      </c>
      <c r="D1854" t="s">
        <v>53</v>
      </c>
      <c r="E1854" t="s">
        <v>6932</v>
      </c>
      <c r="F1854" t="s">
        <v>6933</v>
      </c>
      <c r="G1854" t="s">
        <v>6741</v>
      </c>
      <c r="H1854" t="s">
        <v>57</v>
      </c>
      <c r="I1854" t="s">
        <v>95</v>
      </c>
      <c r="J1854" t="s">
        <v>1845</v>
      </c>
      <c r="K1854" t="s">
        <v>6927</v>
      </c>
      <c r="L1854">
        <f>VLOOKUP(A1854,[1]Customer_payment_journal_line!$B:$L,11,0)</f>
        <v>199.5</v>
      </c>
      <c r="M1854" s="1">
        <v>199.5</v>
      </c>
      <c r="N1854" s="2">
        <f>L1854-M1854</f>
        <v>0</v>
      </c>
      <c r="O1854" t="s">
        <v>61</v>
      </c>
      <c r="P1854">
        <v>100</v>
      </c>
      <c r="Q1854" t="s">
        <v>52</v>
      </c>
      <c r="R1854" t="s">
        <v>52</v>
      </c>
      <c r="S1854" t="s">
        <v>52</v>
      </c>
      <c r="T1854" t="s">
        <v>52</v>
      </c>
      <c r="U1854" t="s">
        <v>52</v>
      </c>
      <c r="V1854" t="s">
        <v>62</v>
      </c>
      <c r="W1854" t="s">
        <v>63</v>
      </c>
      <c r="Y1854" t="s">
        <v>52</v>
      </c>
      <c r="AB1854" t="s">
        <v>52</v>
      </c>
      <c r="AE1854" t="s">
        <v>52</v>
      </c>
      <c r="AF1854" t="s">
        <v>52</v>
      </c>
      <c r="AH1854">
        <v>0</v>
      </c>
      <c r="AI1854">
        <v>0</v>
      </c>
      <c r="AJ1854" t="s">
        <v>52</v>
      </c>
      <c r="AK1854">
        <v>0</v>
      </c>
      <c r="AL1854" t="s">
        <v>52</v>
      </c>
      <c r="AM1854" t="s">
        <v>52</v>
      </c>
      <c r="AN1854">
        <v>0</v>
      </c>
      <c r="AO1854">
        <v>0</v>
      </c>
      <c r="AP1854" t="s">
        <v>52</v>
      </c>
      <c r="AQ1854" t="s">
        <v>52</v>
      </c>
      <c r="AR1854" t="s">
        <v>62</v>
      </c>
      <c r="AS1854" t="s">
        <v>52</v>
      </c>
      <c r="AT1854" t="s">
        <v>52</v>
      </c>
      <c r="AU1854" t="s">
        <v>64</v>
      </c>
      <c r="AV1854" t="s">
        <v>62</v>
      </c>
      <c r="AW1854" t="s">
        <v>65</v>
      </c>
      <c r="AX1854" t="s">
        <v>66</v>
      </c>
      <c r="AY1854" t="s">
        <v>67</v>
      </c>
    </row>
    <row r="1855" spans="1:51" hidden="1" x14ac:dyDescent="0.25">
      <c r="A1855">
        <v>203812</v>
      </c>
      <c r="B1855" t="s">
        <v>6934</v>
      </c>
      <c r="C1855" t="str">
        <f>VLOOKUP(A1855,[1]Customer_payment_journal_line!$AL:$BO,30,0)</f>
        <v>CPay-000000119</v>
      </c>
      <c r="D1855" t="s">
        <v>53</v>
      </c>
      <c r="E1855" t="s">
        <v>6932</v>
      </c>
      <c r="F1855" t="s">
        <v>6933</v>
      </c>
      <c r="G1855" t="s">
        <v>6741</v>
      </c>
      <c r="H1855" t="s">
        <v>69</v>
      </c>
      <c r="I1855" t="s">
        <v>685</v>
      </c>
      <c r="J1855" t="s">
        <v>1845</v>
      </c>
      <c r="K1855" t="s">
        <v>6927</v>
      </c>
      <c r="L1855">
        <f>VLOOKUP(A1855,[1]Customer_payment_journal_line!$B:$L,11,0)</f>
        <v>199.5</v>
      </c>
      <c r="M1855" s="1">
        <v>0</v>
      </c>
      <c r="N1855">
        <v>199.5</v>
      </c>
      <c r="O1855" t="s">
        <v>61</v>
      </c>
      <c r="P1855">
        <v>100</v>
      </c>
      <c r="Q1855" t="s">
        <v>52</v>
      </c>
      <c r="R1855" t="s">
        <v>52</v>
      </c>
      <c r="S1855" t="s">
        <v>52</v>
      </c>
      <c r="T1855" t="s">
        <v>52</v>
      </c>
      <c r="U1855" t="s">
        <v>52</v>
      </c>
      <c r="V1855" t="s">
        <v>62</v>
      </c>
      <c r="W1855" t="s">
        <v>52</v>
      </c>
      <c r="Y1855" t="s">
        <v>686</v>
      </c>
      <c r="Z1855" t="s">
        <v>62</v>
      </c>
      <c r="AB1855" t="s">
        <v>6935</v>
      </c>
      <c r="AE1855" t="s">
        <v>6936</v>
      </c>
      <c r="AF1855" t="s">
        <v>52</v>
      </c>
      <c r="AH1855">
        <v>0</v>
      </c>
      <c r="AI1855">
        <v>0</v>
      </c>
      <c r="AJ1855" t="s">
        <v>52</v>
      </c>
      <c r="AK1855">
        <v>0</v>
      </c>
      <c r="AL1855" t="s">
        <v>52</v>
      </c>
      <c r="AM1855" t="s">
        <v>52</v>
      </c>
      <c r="AN1855">
        <v>0</v>
      </c>
      <c r="AO1855">
        <v>0</v>
      </c>
      <c r="AP1855" t="s">
        <v>52</v>
      </c>
      <c r="AQ1855" t="s">
        <v>52</v>
      </c>
      <c r="AR1855" t="s">
        <v>62</v>
      </c>
      <c r="AS1855" t="s">
        <v>52</v>
      </c>
      <c r="AT1855" t="s">
        <v>74</v>
      </c>
      <c r="AU1855" t="s">
        <v>64</v>
      </c>
      <c r="AV1855" t="s">
        <v>62</v>
      </c>
      <c r="AW1855" t="s">
        <v>65</v>
      </c>
      <c r="AX1855" t="s">
        <v>66</v>
      </c>
      <c r="AY1855" t="s">
        <v>67</v>
      </c>
    </row>
    <row r="1856" spans="1:51" hidden="1" x14ac:dyDescent="0.25">
      <c r="A1856">
        <v>203813</v>
      </c>
      <c r="B1856" t="s">
        <v>6937</v>
      </c>
      <c r="C1856" t="str">
        <f>VLOOKUP(A1856,[1]Customer_payment_journal_line!$AL:$BO,30,0)</f>
        <v>CPay-000000120</v>
      </c>
      <c r="D1856" t="s">
        <v>53</v>
      </c>
      <c r="E1856" t="s">
        <v>6938</v>
      </c>
      <c r="F1856" t="s">
        <v>6939</v>
      </c>
      <c r="G1856" t="s">
        <v>6741</v>
      </c>
      <c r="H1856" t="s">
        <v>57</v>
      </c>
      <c r="I1856" t="s">
        <v>95</v>
      </c>
      <c r="J1856" t="s">
        <v>6940</v>
      </c>
      <c r="K1856" t="s">
        <v>6941</v>
      </c>
      <c r="L1856">
        <f>VLOOKUP(A1856,[1]Customer_payment_journal_line!$B:$L,11,0)</f>
        <v>2052</v>
      </c>
      <c r="M1856" s="1">
        <v>2052</v>
      </c>
      <c r="N1856" s="2">
        <f>L1856-M1856</f>
        <v>0</v>
      </c>
      <c r="O1856" t="s">
        <v>61</v>
      </c>
      <c r="P1856">
        <v>100</v>
      </c>
      <c r="Q1856" t="s">
        <v>52</v>
      </c>
      <c r="R1856" t="s">
        <v>52</v>
      </c>
      <c r="S1856" t="s">
        <v>52</v>
      </c>
      <c r="T1856" t="s">
        <v>52</v>
      </c>
      <c r="U1856" t="s">
        <v>52</v>
      </c>
      <c r="V1856" t="s">
        <v>62</v>
      </c>
      <c r="W1856" t="s">
        <v>63</v>
      </c>
      <c r="Y1856" t="s">
        <v>52</v>
      </c>
      <c r="AB1856" t="s">
        <v>52</v>
      </c>
      <c r="AE1856" t="s">
        <v>52</v>
      </c>
      <c r="AF1856" t="s">
        <v>52</v>
      </c>
      <c r="AH1856">
        <v>0</v>
      </c>
      <c r="AI1856">
        <v>0</v>
      </c>
      <c r="AJ1856" t="s">
        <v>52</v>
      </c>
      <c r="AK1856">
        <v>0</v>
      </c>
      <c r="AL1856" t="s">
        <v>52</v>
      </c>
      <c r="AM1856" t="s">
        <v>52</v>
      </c>
      <c r="AN1856">
        <v>0</v>
      </c>
      <c r="AO1856">
        <v>0</v>
      </c>
      <c r="AP1856" t="s">
        <v>52</v>
      </c>
      <c r="AQ1856" t="s">
        <v>52</v>
      </c>
      <c r="AR1856" t="s">
        <v>62</v>
      </c>
      <c r="AS1856" t="s">
        <v>52</v>
      </c>
      <c r="AT1856" t="s">
        <v>52</v>
      </c>
      <c r="AU1856" t="s">
        <v>64</v>
      </c>
      <c r="AV1856" t="s">
        <v>62</v>
      </c>
      <c r="AW1856" t="s">
        <v>65</v>
      </c>
      <c r="AX1856" t="s">
        <v>66</v>
      </c>
      <c r="AY1856" t="s">
        <v>67</v>
      </c>
    </row>
    <row r="1857" spans="1:51" hidden="1" x14ac:dyDescent="0.25">
      <c r="A1857">
        <v>203813</v>
      </c>
      <c r="B1857" t="s">
        <v>6942</v>
      </c>
      <c r="C1857" t="str">
        <f>VLOOKUP(A1857,[1]Customer_payment_journal_line!$AL:$BO,30,0)</f>
        <v>CPay-000000120</v>
      </c>
      <c r="D1857" t="s">
        <v>53</v>
      </c>
      <c r="E1857" t="s">
        <v>6938</v>
      </c>
      <c r="F1857" t="s">
        <v>6939</v>
      </c>
      <c r="G1857" t="s">
        <v>6741</v>
      </c>
      <c r="H1857" t="s">
        <v>69</v>
      </c>
      <c r="I1857" t="s">
        <v>6943</v>
      </c>
      <c r="J1857" t="s">
        <v>6940</v>
      </c>
      <c r="K1857" t="s">
        <v>6941</v>
      </c>
      <c r="L1857">
        <f>VLOOKUP(A1857,[1]Customer_payment_journal_line!$B:$L,11,0)</f>
        <v>2052</v>
      </c>
      <c r="M1857" s="1">
        <v>0</v>
      </c>
      <c r="N1857">
        <v>2052</v>
      </c>
      <c r="O1857" t="s">
        <v>61</v>
      </c>
      <c r="P1857">
        <v>100</v>
      </c>
      <c r="Q1857" t="s">
        <v>52</v>
      </c>
      <c r="R1857" t="s">
        <v>52</v>
      </c>
      <c r="S1857" t="s">
        <v>52</v>
      </c>
      <c r="T1857" t="s">
        <v>52</v>
      </c>
      <c r="U1857" t="s">
        <v>52</v>
      </c>
      <c r="V1857" t="s">
        <v>62</v>
      </c>
      <c r="W1857" t="s">
        <v>52</v>
      </c>
      <c r="Y1857" t="s">
        <v>6944</v>
      </c>
      <c r="Z1857" t="s">
        <v>62</v>
      </c>
      <c r="AB1857" t="s">
        <v>6945</v>
      </c>
      <c r="AE1857" t="s">
        <v>6946</v>
      </c>
      <c r="AF1857" t="s">
        <v>52</v>
      </c>
      <c r="AH1857">
        <v>0</v>
      </c>
      <c r="AI1857">
        <v>0</v>
      </c>
      <c r="AJ1857" t="s">
        <v>52</v>
      </c>
      <c r="AK1857">
        <v>0</v>
      </c>
      <c r="AL1857" t="s">
        <v>52</v>
      </c>
      <c r="AM1857" t="s">
        <v>52</v>
      </c>
      <c r="AN1857">
        <v>0</v>
      </c>
      <c r="AO1857">
        <v>0</v>
      </c>
      <c r="AP1857" t="s">
        <v>52</v>
      </c>
      <c r="AQ1857" t="s">
        <v>52</v>
      </c>
      <c r="AR1857" t="s">
        <v>62</v>
      </c>
      <c r="AS1857" t="s">
        <v>52</v>
      </c>
      <c r="AT1857" t="s">
        <v>74</v>
      </c>
      <c r="AU1857" t="s">
        <v>64</v>
      </c>
      <c r="AV1857" t="s">
        <v>62</v>
      </c>
      <c r="AW1857" t="s">
        <v>65</v>
      </c>
      <c r="AX1857" t="s">
        <v>66</v>
      </c>
      <c r="AY1857" t="s">
        <v>67</v>
      </c>
    </row>
    <row r="1858" spans="1:51" hidden="1" x14ac:dyDescent="0.25">
      <c r="A1858">
        <v>203814</v>
      </c>
      <c r="B1858" t="s">
        <v>6947</v>
      </c>
      <c r="C1858" t="str">
        <f>VLOOKUP(A1858,[1]Customer_payment_journal_line!$AL:$BO,30,0)</f>
        <v>CPay-000000121</v>
      </c>
      <c r="D1858" t="s">
        <v>53</v>
      </c>
      <c r="E1858" t="s">
        <v>6948</v>
      </c>
      <c r="F1858" t="s">
        <v>6949</v>
      </c>
      <c r="G1858" t="s">
        <v>6741</v>
      </c>
      <c r="H1858" t="s">
        <v>57</v>
      </c>
      <c r="I1858" t="s">
        <v>95</v>
      </c>
      <c r="J1858" t="s">
        <v>6940</v>
      </c>
      <c r="K1858" t="s">
        <v>6941</v>
      </c>
      <c r="L1858">
        <f>VLOOKUP(A1858,[1]Customer_payment_journal_line!$B:$L,11,0)</f>
        <v>576.84</v>
      </c>
      <c r="M1858" s="1">
        <v>576.84</v>
      </c>
      <c r="N1858" s="2">
        <f>L1858-M1858</f>
        <v>0</v>
      </c>
      <c r="O1858" t="s">
        <v>61</v>
      </c>
      <c r="P1858">
        <v>100</v>
      </c>
      <c r="Q1858" t="s">
        <v>52</v>
      </c>
      <c r="R1858" t="s">
        <v>52</v>
      </c>
      <c r="S1858" t="s">
        <v>52</v>
      </c>
      <c r="T1858" t="s">
        <v>52</v>
      </c>
      <c r="U1858" t="s">
        <v>52</v>
      </c>
      <c r="V1858" t="s">
        <v>62</v>
      </c>
      <c r="W1858" t="s">
        <v>63</v>
      </c>
      <c r="Y1858" t="s">
        <v>52</v>
      </c>
      <c r="AB1858" t="s">
        <v>52</v>
      </c>
      <c r="AE1858" t="s">
        <v>52</v>
      </c>
      <c r="AF1858" t="s">
        <v>52</v>
      </c>
      <c r="AH1858">
        <v>0</v>
      </c>
      <c r="AI1858">
        <v>0</v>
      </c>
      <c r="AJ1858" t="s">
        <v>52</v>
      </c>
      <c r="AK1858">
        <v>0</v>
      </c>
      <c r="AL1858" t="s">
        <v>52</v>
      </c>
      <c r="AM1858" t="s">
        <v>52</v>
      </c>
      <c r="AN1858">
        <v>0</v>
      </c>
      <c r="AO1858">
        <v>0</v>
      </c>
      <c r="AP1858" t="s">
        <v>52</v>
      </c>
      <c r="AQ1858" t="s">
        <v>52</v>
      </c>
      <c r="AR1858" t="s">
        <v>62</v>
      </c>
      <c r="AS1858" t="s">
        <v>52</v>
      </c>
      <c r="AT1858" t="s">
        <v>52</v>
      </c>
      <c r="AU1858" t="s">
        <v>64</v>
      </c>
      <c r="AV1858" t="s">
        <v>62</v>
      </c>
      <c r="AW1858" t="s">
        <v>65</v>
      </c>
      <c r="AX1858" t="s">
        <v>66</v>
      </c>
      <c r="AY1858" t="s">
        <v>67</v>
      </c>
    </row>
    <row r="1859" spans="1:51" hidden="1" x14ac:dyDescent="0.25">
      <c r="A1859">
        <v>203814</v>
      </c>
      <c r="B1859" t="s">
        <v>6950</v>
      </c>
      <c r="C1859" t="str">
        <f>VLOOKUP(A1859,[1]Customer_payment_journal_line!$AL:$BO,30,0)</f>
        <v>CPay-000000121</v>
      </c>
      <c r="D1859" t="s">
        <v>53</v>
      </c>
      <c r="E1859" t="s">
        <v>6948</v>
      </c>
      <c r="F1859" t="s">
        <v>6949</v>
      </c>
      <c r="G1859" t="s">
        <v>6741</v>
      </c>
      <c r="H1859" t="s">
        <v>69</v>
      </c>
      <c r="I1859" t="s">
        <v>6943</v>
      </c>
      <c r="J1859" t="s">
        <v>6940</v>
      </c>
      <c r="K1859" t="s">
        <v>6941</v>
      </c>
      <c r="L1859">
        <f>VLOOKUP(A1859,[1]Customer_payment_journal_line!$B:$L,11,0)</f>
        <v>576.84</v>
      </c>
      <c r="M1859" s="1">
        <v>0</v>
      </c>
      <c r="N1859">
        <v>576.84</v>
      </c>
      <c r="O1859" t="s">
        <v>61</v>
      </c>
      <c r="P1859">
        <v>100</v>
      </c>
      <c r="Q1859" t="s">
        <v>52</v>
      </c>
      <c r="R1859" t="s">
        <v>52</v>
      </c>
      <c r="S1859" t="s">
        <v>52</v>
      </c>
      <c r="T1859" t="s">
        <v>52</v>
      </c>
      <c r="U1859" t="s">
        <v>52</v>
      </c>
      <c r="V1859" t="s">
        <v>62</v>
      </c>
      <c r="W1859" t="s">
        <v>52</v>
      </c>
      <c r="Y1859" t="s">
        <v>6944</v>
      </c>
      <c r="Z1859" t="s">
        <v>62</v>
      </c>
      <c r="AB1859" t="s">
        <v>6951</v>
      </c>
      <c r="AE1859" t="s">
        <v>6952</v>
      </c>
      <c r="AF1859" t="s">
        <v>52</v>
      </c>
      <c r="AH1859">
        <v>0</v>
      </c>
      <c r="AI1859">
        <v>0</v>
      </c>
      <c r="AJ1859" t="s">
        <v>52</v>
      </c>
      <c r="AK1859">
        <v>0</v>
      </c>
      <c r="AL1859" t="s">
        <v>52</v>
      </c>
      <c r="AM1859" t="s">
        <v>52</v>
      </c>
      <c r="AN1859">
        <v>0</v>
      </c>
      <c r="AO1859">
        <v>0</v>
      </c>
      <c r="AP1859" t="s">
        <v>52</v>
      </c>
      <c r="AQ1859" t="s">
        <v>52</v>
      </c>
      <c r="AR1859" t="s">
        <v>62</v>
      </c>
      <c r="AS1859" t="s">
        <v>52</v>
      </c>
      <c r="AT1859" t="s">
        <v>74</v>
      </c>
      <c r="AU1859" t="s">
        <v>64</v>
      </c>
      <c r="AV1859" t="s">
        <v>62</v>
      </c>
      <c r="AW1859" t="s">
        <v>65</v>
      </c>
      <c r="AX1859" t="s">
        <v>66</v>
      </c>
      <c r="AY1859" t="s">
        <v>67</v>
      </c>
    </row>
    <row r="1860" spans="1:51" x14ac:dyDescent="0.25">
      <c r="A1860">
        <v>203817</v>
      </c>
      <c r="B1860" t="s">
        <v>6953</v>
      </c>
      <c r="C1860" t="e">
        <f>VLOOKUP(A1860,[1]Customer_payment_journal_line!$AL:$BO,30,0)</f>
        <v>#N/A</v>
      </c>
      <c r="D1860" t="s">
        <v>644</v>
      </c>
      <c r="E1860" t="s">
        <v>6954</v>
      </c>
      <c r="F1860" t="s">
        <v>6955</v>
      </c>
      <c r="G1860" t="s">
        <v>6741</v>
      </c>
      <c r="H1860" t="s">
        <v>210</v>
      </c>
      <c r="I1860" t="s">
        <v>6081</v>
      </c>
      <c r="K1860" t="s">
        <v>1065</v>
      </c>
      <c r="L1860" t="s">
        <v>52</v>
      </c>
      <c r="M1860">
        <v>101297.7</v>
      </c>
      <c r="N1860">
        <v>0</v>
      </c>
      <c r="O1860" t="s">
        <v>61</v>
      </c>
      <c r="P1860">
        <v>100</v>
      </c>
      <c r="Q1860" t="s">
        <v>52</v>
      </c>
      <c r="R1860" t="s">
        <v>52</v>
      </c>
      <c r="S1860" t="s">
        <v>52</v>
      </c>
      <c r="T1860" t="s">
        <v>52</v>
      </c>
      <c r="U1860" t="s">
        <v>52</v>
      </c>
      <c r="V1860" t="s">
        <v>62</v>
      </c>
      <c r="W1860" t="s">
        <v>63</v>
      </c>
      <c r="Y1860" t="s">
        <v>52</v>
      </c>
      <c r="AB1860" t="s">
        <v>52</v>
      </c>
      <c r="AE1860" t="s">
        <v>52</v>
      </c>
      <c r="AF1860" t="s">
        <v>632</v>
      </c>
      <c r="AG1860" t="s">
        <v>6956</v>
      </c>
      <c r="AH1860">
        <v>0</v>
      </c>
      <c r="AI1860">
        <v>0</v>
      </c>
      <c r="AJ1860" t="s">
        <v>52</v>
      </c>
      <c r="AK1860">
        <v>0</v>
      </c>
      <c r="AL1860" t="s">
        <v>52</v>
      </c>
      <c r="AM1860" t="s">
        <v>52</v>
      </c>
      <c r="AN1860">
        <v>0</v>
      </c>
      <c r="AO1860">
        <v>0</v>
      </c>
      <c r="AP1860" t="s">
        <v>52</v>
      </c>
      <c r="AQ1860" t="s">
        <v>52</v>
      </c>
      <c r="AR1860" t="s">
        <v>62</v>
      </c>
      <c r="AS1860" t="s">
        <v>52</v>
      </c>
      <c r="AT1860" t="s">
        <v>52</v>
      </c>
      <c r="AU1860" t="s">
        <v>64</v>
      </c>
      <c r="AV1860" t="s">
        <v>62</v>
      </c>
      <c r="AW1860" t="s">
        <v>65</v>
      </c>
      <c r="AX1860" t="s">
        <v>1067</v>
      </c>
      <c r="AY1860" t="s">
        <v>654</v>
      </c>
    </row>
    <row r="1861" spans="1:51" x14ac:dyDescent="0.25">
      <c r="A1861">
        <v>203817</v>
      </c>
      <c r="B1861" t="s">
        <v>6957</v>
      </c>
      <c r="C1861" t="e">
        <f>VLOOKUP(A1861,[1]Customer_payment_journal_line!$AL:$BO,30,0)</f>
        <v>#N/A</v>
      </c>
      <c r="D1861" t="s">
        <v>644</v>
      </c>
      <c r="E1861" t="s">
        <v>6954</v>
      </c>
      <c r="F1861" t="s">
        <v>6955</v>
      </c>
      <c r="G1861" t="s">
        <v>6741</v>
      </c>
      <c r="H1861" t="s">
        <v>69</v>
      </c>
      <c r="I1861" t="s">
        <v>6084</v>
      </c>
      <c r="J1861" t="s">
        <v>6085</v>
      </c>
      <c r="K1861" t="s">
        <v>1065</v>
      </c>
      <c r="L1861" t="s">
        <v>52</v>
      </c>
      <c r="M1861">
        <v>0</v>
      </c>
      <c r="N1861">
        <v>101297.7</v>
      </c>
      <c r="O1861" t="s">
        <v>61</v>
      </c>
      <c r="P1861">
        <v>100</v>
      </c>
      <c r="Q1861" t="s">
        <v>52</v>
      </c>
      <c r="R1861" t="s">
        <v>52</v>
      </c>
      <c r="S1861" t="s">
        <v>52</v>
      </c>
      <c r="T1861" t="s">
        <v>52</v>
      </c>
      <c r="U1861" t="s">
        <v>52</v>
      </c>
      <c r="V1861" t="s">
        <v>1071</v>
      </c>
      <c r="W1861" t="s">
        <v>52</v>
      </c>
      <c r="Y1861" t="s">
        <v>6086</v>
      </c>
      <c r="Z1861" t="s">
        <v>62</v>
      </c>
      <c r="AB1861" t="s">
        <v>52</v>
      </c>
      <c r="AE1861" t="s">
        <v>52</v>
      </c>
      <c r="AF1861" t="s">
        <v>632</v>
      </c>
      <c r="AG1861" t="s">
        <v>6956</v>
      </c>
      <c r="AH1861">
        <v>0</v>
      </c>
      <c r="AI1861">
        <v>0</v>
      </c>
      <c r="AJ1861" t="s">
        <v>52</v>
      </c>
      <c r="AK1861">
        <v>0</v>
      </c>
      <c r="AL1861" t="s">
        <v>52</v>
      </c>
      <c r="AM1861" t="s">
        <v>52</v>
      </c>
      <c r="AN1861">
        <v>0</v>
      </c>
      <c r="AO1861">
        <v>0</v>
      </c>
      <c r="AP1861" t="s">
        <v>52</v>
      </c>
      <c r="AQ1861" t="s">
        <v>52</v>
      </c>
      <c r="AR1861" t="s">
        <v>62</v>
      </c>
      <c r="AS1861" t="s">
        <v>52</v>
      </c>
      <c r="AT1861" t="s">
        <v>21</v>
      </c>
      <c r="AU1861" t="s">
        <v>64</v>
      </c>
      <c r="AV1861" t="s">
        <v>62</v>
      </c>
      <c r="AW1861" t="s">
        <v>65</v>
      </c>
      <c r="AX1861" t="s">
        <v>1067</v>
      </c>
      <c r="AY1861" t="s">
        <v>654</v>
      </c>
    </row>
    <row r="1862" spans="1:51" hidden="1" x14ac:dyDescent="0.25">
      <c r="A1862">
        <v>203822</v>
      </c>
      <c r="B1862" t="s">
        <v>6958</v>
      </c>
      <c r="C1862" t="e">
        <f>VLOOKUP(A1862,[1]Customer_payment_journal_line!$AL:$BO,30,0)</f>
        <v>#N/A</v>
      </c>
      <c r="D1862" t="s">
        <v>644</v>
      </c>
      <c r="E1862" t="s">
        <v>6959</v>
      </c>
      <c r="F1862" t="s">
        <v>6960</v>
      </c>
      <c r="G1862" t="s">
        <v>6741</v>
      </c>
      <c r="H1862" t="s">
        <v>210</v>
      </c>
      <c r="I1862" t="s">
        <v>3462</v>
      </c>
      <c r="K1862" t="s">
        <v>6961</v>
      </c>
      <c r="L1862" t="s">
        <v>52</v>
      </c>
      <c r="M1862">
        <v>1824</v>
      </c>
      <c r="N1862">
        <v>0</v>
      </c>
      <c r="O1862" t="s">
        <v>61</v>
      </c>
      <c r="P1862">
        <v>100</v>
      </c>
      <c r="Q1862" t="s">
        <v>52</v>
      </c>
      <c r="R1862" t="s">
        <v>52</v>
      </c>
      <c r="S1862" t="s">
        <v>52</v>
      </c>
      <c r="T1862" t="s">
        <v>52</v>
      </c>
      <c r="U1862" t="s">
        <v>52</v>
      </c>
      <c r="V1862" t="s">
        <v>62</v>
      </c>
      <c r="W1862" t="s">
        <v>63</v>
      </c>
      <c r="Y1862" t="s">
        <v>52</v>
      </c>
      <c r="AB1862" t="s">
        <v>6962</v>
      </c>
      <c r="AE1862" t="s">
        <v>6963</v>
      </c>
      <c r="AF1862" t="s">
        <v>4777</v>
      </c>
      <c r="AG1862" t="s">
        <v>6964</v>
      </c>
      <c r="AH1862">
        <v>0</v>
      </c>
      <c r="AI1862">
        <v>0</v>
      </c>
      <c r="AJ1862" t="s">
        <v>52</v>
      </c>
      <c r="AK1862">
        <v>0</v>
      </c>
      <c r="AL1862" t="s">
        <v>52</v>
      </c>
      <c r="AM1862" t="s">
        <v>52</v>
      </c>
      <c r="AN1862">
        <v>0</v>
      </c>
      <c r="AO1862">
        <v>0</v>
      </c>
      <c r="AP1862" t="s">
        <v>52</v>
      </c>
      <c r="AQ1862" t="s">
        <v>52</v>
      </c>
      <c r="AR1862" t="s">
        <v>62</v>
      </c>
      <c r="AS1862" t="s">
        <v>52</v>
      </c>
      <c r="AT1862" t="s">
        <v>52</v>
      </c>
      <c r="AU1862" t="s">
        <v>64</v>
      </c>
      <c r="AV1862" t="s">
        <v>62</v>
      </c>
      <c r="AW1862" t="s">
        <v>65</v>
      </c>
      <c r="AX1862" t="s">
        <v>66</v>
      </c>
      <c r="AY1862" t="s">
        <v>654</v>
      </c>
    </row>
    <row r="1863" spans="1:51" hidden="1" x14ac:dyDescent="0.25">
      <c r="A1863">
        <v>203822</v>
      </c>
      <c r="B1863" t="s">
        <v>6965</v>
      </c>
      <c r="C1863" t="e">
        <f>VLOOKUP(A1863,[1]Customer_payment_journal_line!$AL:$BO,30,0)</f>
        <v>#N/A</v>
      </c>
      <c r="D1863" t="s">
        <v>644</v>
      </c>
      <c r="E1863" t="s">
        <v>6959</v>
      </c>
      <c r="F1863" t="s">
        <v>6960</v>
      </c>
      <c r="G1863" t="s">
        <v>6741</v>
      </c>
      <c r="H1863" t="s">
        <v>69</v>
      </c>
      <c r="I1863" t="s">
        <v>769</v>
      </c>
      <c r="J1863" t="s">
        <v>3456</v>
      </c>
      <c r="K1863" t="s">
        <v>6961</v>
      </c>
      <c r="L1863" t="s">
        <v>52</v>
      </c>
      <c r="M1863">
        <v>0</v>
      </c>
      <c r="N1863">
        <v>1824</v>
      </c>
      <c r="O1863" t="s">
        <v>61</v>
      </c>
      <c r="P1863">
        <v>100</v>
      </c>
      <c r="Q1863" t="s">
        <v>52</v>
      </c>
      <c r="R1863" t="s">
        <v>52</v>
      </c>
      <c r="S1863" t="s">
        <v>52</v>
      </c>
      <c r="T1863" t="s">
        <v>52</v>
      </c>
      <c r="U1863" t="s">
        <v>52</v>
      </c>
      <c r="V1863" t="s">
        <v>62</v>
      </c>
      <c r="W1863" t="s">
        <v>52</v>
      </c>
      <c r="Y1863" t="s">
        <v>771</v>
      </c>
      <c r="Z1863" t="s">
        <v>62</v>
      </c>
      <c r="AB1863" t="s">
        <v>6962</v>
      </c>
      <c r="AE1863" t="s">
        <v>6963</v>
      </c>
      <c r="AF1863" t="s">
        <v>4777</v>
      </c>
      <c r="AG1863" t="s">
        <v>6964</v>
      </c>
      <c r="AH1863">
        <v>0</v>
      </c>
      <c r="AI1863">
        <v>0</v>
      </c>
      <c r="AJ1863" t="s">
        <v>52</v>
      </c>
      <c r="AK1863">
        <v>0</v>
      </c>
      <c r="AL1863" t="s">
        <v>52</v>
      </c>
      <c r="AM1863" t="s">
        <v>52</v>
      </c>
      <c r="AN1863">
        <v>0</v>
      </c>
      <c r="AO1863">
        <v>0</v>
      </c>
      <c r="AP1863" t="s">
        <v>52</v>
      </c>
      <c r="AQ1863" t="s">
        <v>52</v>
      </c>
      <c r="AR1863" t="s">
        <v>62</v>
      </c>
      <c r="AS1863" t="s">
        <v>52</v>
      </c>
      <c r="AT1863" t="s">
        <v>74</v>
      </c>
      <c r="AU1863" t="s">
        <v>64</v>
      </c>
      <c r="AV1863" t="s">
        <v>62</v>
      </c>
      <c r="AW1863" t="s">
        <v>65</v>
      </c>
      <c r="AX1863" t="s">
        <v>66</v>
      </c>
      <c r="AY1863" t="s">
        <v>654</v>
      </c>
    </row>
    <row r="1864" spans="1:51" hidden="1" x14ac:dyDescent="0.25">
      <c r="A1864">
        <v>203826</v>
      </c>
      <c r="B1864" t="s">
        <v>6966</v>
      </c>
      <c r="C1864" t="e">
        <f>VLOOKUP(A1864,[1]Customer_payment_journal_line!$AL:$BO,30,0)</f>
        <v>#N/A</v>
      </c>
      <c r="D1864" t="s">
        <v>76</v>
      </c>
      <c r="E1864" t="s">
        <v>6967</v>
      </c>
      <c r="F1864" t="s">
        <v>6968</v>
      </c>
      <c r="G1864" t="s">
        <v>6741</v>
      </c>
      <c r="H1864" t="s">
        <v>80</v>
      </c>
      <c r="I1864" t="s">
        <v>81</v>
      </c>
      <c r="J1864" t="s">
        <v>6969</v>
      </c>
      <c r="K1864" t="s">
        <v>6970</v>
      </c>
      <c r="L1864" t="s">
        <v>52</v>
      </c>
      <c r="M1864">
        <v>5415</v>
      </c>
      <c r="N1864">
        <v>0</v>
      </c>
      <c r="O1864" t="s">
        <v>61</v>
      </c>
      <c r="P1864">
        <v>100</v>
      </c>
      <c r="Q1864" t="s">
        <v>52</v>
      </c>
      <c r="R1864" t="s">
        <v>52</v>
      </c>
      <c r="S1864" t="s">
        <v>52</v>
      </c>
      <c r="T1864" t="s">
        <v>52</v>
      </c>
      <c r="U1864" t="s">
        <v>52</v>
      </c>
      <c r="V1864" t="s">
        <v>62</v>
      </c>
      <c r="W1864" t="s">
        <v>52</v>
      </c>
      <c r="Y1864" t="s">
        <v>52</v>
      </c>
      <c r="AB1864" t="s">
        <v>52</v>
      </c>
      <c r="AE1864" t="s">
        <v>52</v>
      </c>
      <c r="AF1864" t="s">
        <v>52</v>
      </c>
      <c r="AH1864">
        <v>0</v>
      </c>
      <c r="AI1864">
        <v>0</v>
      </c>
      <c r="AJ1864" t="s">
        <v>52</v>
      </c>
      <c r="AK1864">
        <v>0</v>
      </c>
      <c r="AL1864" t="s">
        <v>52</v>
      </c>
      <c r="AM1864" t="s">
        <v>52</v>
      </c>
      <c r="AN1864">
        <v>0</v>
      </c>
      <c r="AO1864">
        <v>0</v>
      </c>
      <c r="AP1864" t="s">
        <v>52</v>
      </c>
      <c r="AQ1864" t="s">
        <v>52</v>
      </c>
      <c r="AR1864" t="s">
        <v>62</v>
      </c>
      <c r="AS1864" t="s">
        <v>52</v>
      </c>
      <c r="AT1864" t="s">
        <v>52</v>
      </c>
      <c r="AU1864" t="s">
        <v>64</v>
      </c>
      <c r="AV1864" t="s">
        <v>62</v>
      </c>
      <c r="AW1864" t="s">
        <v>65</v>
      </c>
      <c r="AX1864" t="s">
        <v>66</v>
      </c>
      <c r="AY1864" t="s">
        <v>76</v>
      </c>
    </row>
    <row r="1865" spans="1:51" hidden="1" x14ac:dyDescent="0.25">
      <c r="A1865">
        <v>203826</v>
      </c>
      <c r="B1865" t="s">
        <v>6971</v>
      </c>
      <c r="C1865" t="e">
        <f>VLOOKUP(A1865,[1]Customer_payment_journal_line!$AL:$BO,30,0)</f>
        <v>#N/A</v>
      </c>
      <c r="D1865" t="s">
        <v>76</v>
      </c>
      <c r="E1865" t="s">
        <v>6967</v>
      </c>
      <c r="F1865" t="s">
        <v>6968</v>
      </c>
      <c r="G1865" t="s">
        <v>6741</v>
      </c>
      <c r="H1865" t="s">
        <v>69</v>
      </c>
      <c r="I1865" t="s">
        <v>6972</v>
      </c>
      <c r="J1865" t="s">
        <v>6969</v>
      </c>
      <c r="K1865" t="s">
        <v>6970</v>
      </c>
      <c r="L1865" t="s">
        <v>52</v>
      </c>
      <c r="M1865">
        <v>0</v>
      </c>
      <c r="N1865">
        <v>4560</v>
      </c>
      <c r="O1865" t="s">
        <v>61</v>
      </c>
      <c r="P1865">
        <v>100</v>
      </c>
      <c r="Q1865" t="s">
        <v>52</v>
      </c>
      <c r="R1865" t="s">
        <v>52</v>
      </c>
      <c r="S1865" t="s">
        <v>52</v>
      </c>
      <c r="T1865" t="s">
        <v>52</v>
      </c>
      <c r="U1865" t="s">
        <v>52</v>
      </c>
      <c r="V1865" t="s">
        <v>62</v>
      </c>
      <c r="W1865" t="s">
        <v>52</v>
      </c>
      <c r="Y1865" t="s">
        <v>6973</v>
      </c>
      <c r="Z1865" t="s">
        <v>62</v>
      </c>
      <c r="AB1865" t="s">
        <v>6974</v>
      </c>
      <c r="AE1865" t="s">
        <v>6975</v>
      </c>
      <c r="AF1865" t="s">
        <v>52</v>
      </c>
      <c r="AH1865">
        <v>0</v>
      </c>
      <c r="AI1865">
        <v>0</v>
      </c>
      <c r="AJ1865" t="s">
        <v>52</v>
      </c>
      <c r="AK1865">
        <v>0</v>
      </c>
      <c r="AL1865" t="s">
        <v>52</v>
      </c>
      <c r="AM1865" t="s">
        <v>52</v>
      </c>
      <c r="AN1865">
        <v>0</v>
      </c>
      <c r="AO1865">
        <v>0</v>
      </c>
      <c r="AP1865" t="s">
        <v>52</v>
      </c>
      <c r="AQ1865" t="s">
        <v>52</v>
      </c>
      <c r="AR1865" t="s">
        <v>62</v>
      </c>
      <c r="AS1865" t="s">
        <v>52</v>
      </c>
      <c r="AT1865" t="s">
        <v>74</v>
      </c>
      <c r="AU1865" t="s">
        <v>64</v>
      </c>
      <c r="AV1865" t="s">
        <v>62</v>
      </c>
      <c r="AW1865" t="s">
        <v>65</v>
      </c>
      <c r="AX1865" t="s">
        <v>66</v>
      </c>
      <c r="AY1865" t="s">
        <v>76</v>
      </c>
    </row>
    <row r="1866" spans="1:51" hidden="1" x14ac:dyDescent="0.25">
      <c r="A1866">
        <v>203826</v>
      </c>
      <c r="B1866" t="s">
        <v>6976</v>
      </c>
      <c r="C1866" t="e">
        <f>VLOOKUP(A1866,[1]Customer_payment_journal_line!$AL:$BO,30,0)</f>
        <v>#N/A</v>
      </c>
      <c r="D1866" t="s">
        <v>76</v>
      </c>
      <c r="E1866" t="s">
        <v>6967</v>
      </c>
      <c r="F1866" t="s">
        <v>6968</v>
      </c>
      <c r="G1866" t="s">
        <v>6741</v>
      </c>
      <c r="H1866" t="s">
        <v>69</v>
      </c>
      <c r="I1866" t="s">
        <v>6972</v>
      </c>
      <c r="J1866" t="s">
        <v>6969</v>
      </c>
      <c r="K1866" t="s">
        <v>6970</v>
      </c>
      <c r="L1866" t="s">
        <v>52</v>
      </c>
      <c r="M1866">
        <v>0</v>
      </c>
      <c r="N1866">
        <v>855</v>
      </c>
      <c r="O1866" t="s">
        <v>61</v>
      </c>
      <c r="P1866">
        <v>100</v>
      </c>
      <c r="Q1866" t="s">
        <v>52</v>
      </c>
      <c r="R1866" t="s">
        <v>52</v>
      </c>
      <c r="S1866" t="s">
        <v>52</v>
      </c>
      <c r="T1866" t="s">
        <v>52</v>
      </c>
      <c r="U1866" t="s">
        <v>52</v>
      </c>
      <c r="V1866" t="s">
        <v>62</v>
      </c>
      <c r="W1866" t="s">
        <v>52</v>
      </c>
      <c r="Y1866" t="s">
        <v>6973</v>
      </c>
      <c r="Z1866" t="s">
        <v>62</v>
      </c>
      <c r="AB1866" t="s">
        <v>6977</v>
      </c>
      <c r="AE1866" t="s">
        <v>6978</v>
      </c>
      <c r="AF1866" t="s">
        <v>52</v>
      </c>
      <c r="AH1866">
        <v>0</v>
      </c>
      <c r="AI1866">
        <v>0</v>
      </c>
      <c r="AJ1866" t="s">
        <v>52</v>
      </c>
      <c r="AK1866">
        <v>0</v>
      </c>
      <c r="AL1866" t="s">
        <v>52</v>
      </c>
      <c r="AM1866" t="s">
        <v>52</v>
      </c>
      <c r="AN1866">
        <v>0</v>
      </c>
      <c r="AO1866">
        <v>0</v>
      </c>
      <c r="AP1866" t="s">
        <v>52</v>
      </c>
      <c r="AQ1866" t="s">
        <v>52</v>
      </c>
      <c r="AR1866" t="s">
        <v>62</v>
      </c>
      <c r="AS1866" t="s">
        <v>52</v>
      </c>
      <c r="AT1866" t="s">
        <v>74</v>
      </c>
      <c r="AU1866" t="s">
        <v>64</v>
      </c>
      <c r="AV1866" t="s">
        <v>62</v>
      </c>
      <c r="AW1866" t="s">
        <v>65</v>
      </c>
      <c r="AX1866" t="s">
        <v>66</v>
      </c>
      <c r="AY1866" t="s">
        <v>76</v>
      </c>
    </row>
    <row r="1867" spans="1:51" hidden="1" x14ac:dyDescent="0.25">
      <c r="A1867">
        <v>203831</v>
      </c>
      <c r="B1867" t="s">
        <v>6979</v>
      </c>
      <c r="C1867" t="e">
        <f>VLOOKUP(A1867,[1]Customer_payment_journal_line!$AL:$BO,30,0)</f>
        <v>#N/A</v>
      </c>
      <c r="D1867" t="s">
        <v>159</v>
      </c>
      <c r="E1867" t="s">
        <v>6980</v>
      </c>
      <c r="F1867" t="s">
        <v>6981</v>
      </c>
      <c r="G1867" t="s">
        <v>6741</v>
      </c>
      <c r="H1867" t="s">
        <v>80</v>
      </c>
      <c r="I1867" t="s">
        <v>632</v>
      </c>
      <c r="J1867" t="s">
        <v>6982</v>
      </c>
      <c r="K1867" t="s">
        <v>6983</v>
      </c>
      <c r="L1867" t="s">
        <v>52</v>
      </c>
      <c r="M1867">
        <v>1653</v>
      </c>
      <c r="N1867">
        <v>0</v>
      </c>
      <c r="O1867" t="s">
        <v>61</v>
      </c>
      <c r="P1867">
        <v>100</v>
      </c>
      <c r="Q1867" t="s">
        <v>52</v>
      </c>
      <c r="R1867" t="s">
        <v>52</v>
      </c>
      <c r="S1867" t="s">
        <v>52</v>
      </c>
      <c r="T1867" t="s">
        <v>52</v>
      </c>
      <c r="U1867" t="s">
        <v>52</v>
      </c>
      <c r="V1867" t="s">
        <v>62</v>
      </c>
      <c r="W1867" t="s">
        <v>52</v>
      </c>
      <c r="Y1867" t="s">
        <v>52</v>
      </c>
      <c r="AB1867" t="s">
        <v>52</v>
      </c>
      <c r="AE1867" t="s">
        <v>52</v>
      </c>
      <c r="AF1867" t="s">
        <v>52</v>
      </c>
      <c r="AG1867" t="s">
        <v>5213</v>
      </c>
      <c r="AH1867">
        <v>0</v>
      </c>
      <c r="AI1867">
        <v>0</v>
      </c>
      <c r="AJ1867" t="s">
        <v>52</v>
      </c>
      <c r="AK1867">
        <v>0</v>
      </c>
      <c r="AL1867" t="s">
        <v>52</v>
      </c>
      <c r="AM1867" t="s">
        <v>52</v>
      </c>
      <c r="AN1867">
        <v>0</v>
      </c>
      <c r="AO1867">
        <v>0</v>
      </c>
      <c r="AP1867" t="s">
        <v>52</v>
      </c>
      <c r="AQ1867" t="s">
        <v>52</v>
      </c>
      <c r="AR1867" t="s">
        <v>62</v>
      </c>
      <c r="AS1867" t="s">
        <v>52</v>
      </c>
      <c r="AT1867" t="s">
        <v>52</v>
      </c>
      <c r="AU1867" t="s">
        <v>64</v>
      </c>
      <c r="AV1867" t="s">
        <v>62</v>
      </c>
      <c r="AW1867" t="s">
        <v>65</v>
      </c>
      <c r="AX1867" t="s">
        <v>66</v>
      </c>
      <c r="AY1867" t="s">
        <v>165</v>
      </c>
    </row>
    <row r="1868" spans="1:51" hidden="1" x14ac:dyDescent="0.25">
      <c r="A1868">
        <v>203831</v>
      </c>
      <c r="B1868" t="s">
        <v>6984</v>
      </c>
      <c r="C1868" t="e">
        <f>VLOOKUP(A1868,[1]Customer_payment_journal_line!$AL:$BO,30,0)</f>
        <v>#N/A</v>
      </c>
      <c r="D1868" t="s">
        <v>159</v>
      </c>
      <c r="E1868" t="s">
        <v>6980</v>
      </c>
      <c r="F1868" t="s">
        <v>6981</v>
      </c>
      <c r="G1868" t="s">
        <v>6741</v>
      </c>
      <c r="H1868" t="s">
        <v>69</v>
      </c>
      <c r="I1868" t="s">
        <v>6985</v>
      </c>
      <c r="J1868" t="s">
        <v>6982</v>
      </c>
      <c r="K1868" t="s">
        <v>6983</v>
      </c>
      <c r="L1868" t="s">
        <v>52</v>
      </c>
      <c r="M1868">
        <v>0</v>
      </c>
      <c r="N1868">
        <v>1653</v>
      </c>
      <c r="O1868" t="s">
        <v>61</v>
      </c>
      <c r="P1868">
        <v>100</v>
      </c>
      <c r="Q1868" t="s">
        <v>52</v>
      </c>
      <c r="R1868" t="s">
        <v>52</v>
      </c>
      <c r="S1868" t="s">
        <v>52</v>
      </c>
      <c r="T1868" t="s">
        <v>52</v>
      </c>
      <c r="U1868" t="s">
        <v>52</v>
      </c>
      <c r="V1868" t="s">
        <v>62</v>
      </c>
      <c r="W1868" t="s">
        <v>52</v>
      </c>
      <c r="Y1868" t="s">
        <v>6986</v>
      </c>
      <c r="Z1868" t="s">
        <v>62</v>
      </c>
      <c r="AB1868" t="s">
        <v>6987</v>
      </c>
      <c r="AE1868" t="s">
        <v>6988</v>
      </c>
      <c r="AF1868" t="s">
        <v>52</v>
      </c>
      <c r="AG1868" t="s">
        <v>5213</v>
      </c>
      <c r="AH1868">
        <v>0</v>
      </c>
      <c r="AI1868">
        <v>0</v>
      </c>
      <c r="AJ1868" t="s">
        <v>52</v>
      </c>
      <c r="AK1868">
        <v>0</v>
      </c>
      <c r="AL1868" t="s">
        <v>52</v>
      </c>
      <c r="AM1868" t="s">
        <v>52</v>
      </c>
      <c r="AN1868">
        <v>0</v>
      </c>
      <c r="AO1868">
        <v>0</v>
      </c>
      <c r="AP1868" t="s">
        <v>52</v>
      </c>
      <c r="AQ1868" t="s">
        <v>52</v>
      </c>
      <c r="AR1868" t="s">
        <v>62</v>
      </c>
      <c r="AS1868" t="s">
        <v>52</v>
      </c>
      <c r="AT1868" t="s">
        <v>74</v>
      </c>
      <c r="AU1868" t="s">
        <v>64</v>
      </c>
      <c r="AV1868" t="s">
        <v>62</v>
      </c>
      <c r="AW1868" t="s">
        <v>65</v>
      </c>
      <c r="AX1868" t="s">
        <v>66</v>
      </c>
      <c r="AY1868" t="s">
        <v>165</v>
      </c>
    </row>
    <row r="1869" spans="1:51" hidden="1" x14ac:dyDescent="0.25">
      <c r="A1869">
        <v>203832</v>
      </c>
      <c r="B1869" t="s">
        <v>6989</v>
      </c>
      <c r="C1869" t="e">
        <f>VLOOKUP(A1869,[1]Customer_payment_journal_line!$AL:$BO,30,0)</f>
        <v>#N/A</v>
      </c>
      <c r="D1869" t="s">
        <v>159</v>
      </c>
      <c r="E1869" t="s">
        <v>6990</v>
      </c>
      <c r="F1869" t="s">
        <v>6991</v>
      </c>
      <c r="G1869" t="s">
        <v>6741</v>
      </c>
      <c r="H1869" t="s">
        <v>80</v>
      </c>
      <c r="I1869" t="s">
        <v>632</v>
      </c>
      <c r="J1869" t="s">
        <v>6982</v>
      </c>
      <c r="K1869" t="s">
        <v>6983</v>
      </c>
      <c r="L1869" t="s">
        <v>52</v>
      </c>
      <c r="M1869">
        <v>650.26</v>
      </c>
      <c r="N1869">
        <v>0</v>
      </c>
      <c r="O1869" t="s">
        <v>61</v>
      </c>
      <c r="P1869">
        <v>100</v>
      </c>
      <c r="Q1869" t="s">
        <v>52</v>
      </c>
      <c r="R1869" t="s">
        <v>52</v>
      </c>
      <c r="S1869" t="s">
        <v>52</v>
      </c>
      <c r="T1869" t="s">
        <v>52</v>
      </c>
      <c r="U1869" t="s">
        <v>52</v>
      </c>
      <c r="V1869" t="s">
        <v>62</v>
      </c>
      <c r="W1869" t="s">
        <v>52</v>
      </c>
      <c r="Y1869" t="s">
        <v>52</v>
      </c>
      <c r="AB1869" t="s">
        <v>52</v>
      </c>
      <c r="AE1869" t="s">
        <v>52</v>
      </c>
      <c r="AF1869" t="s">
        <v>52</v>
      </c>
      <c r="AH1869">
        <v>0</v>
      </c>
      <c r="AI1869">
        <v>0</v>
      </c>
      <c r="AJ1869" t="s">
        <v>52</v>
      </c>
      <c r="AK1869">
        <v>0</v>
      </c>
      <c r="AL1869" t="s">
        <v>52</v>
      </c>
      <c r="AM1869" t="s">
        <v>52</v>
      </c>
      <c r="AN1869">
        <v>0</v>
      </c>
      <c r="AO1869">
        <v>0</v>
      </c>
      <c r="AP1869" t="s">
        <v>52</v>
      </c>
      <c r="AQ1869" t="s">
        <v>52</v>
      </c>
      <c r="AR1869" t="s">
        <v>62</v>
      </c>
      <c r="AS1869" t="s">
        <v>52</v>
      </c>
      <c r="AT1869" t="s">
        <v>52</v>
      </c>
      <c r="AU1869" t="s">
        <v>64</v>
      </c>
      <c r="AV1869" t="s">
        <v>62</v>
      </c>
      <c r="AW1869" t="s">
        <v>65</v>
      </c>
      <c r="AX1869" t="s">
        <v>66</v>
      </c>
      <c r="AY1869" t="s">
        <v>165</v>
      </c>
    </row>
    <row r="1870" spans="1:51" hidden="1" x14ac:dyDescent="0.25">
      <c r="A1870">
        <v>203832</v>
      </c>
      <c r="B1870" t="s">
        <v>6992</v>
      </c>
      <c r="C1870" t="e">
        <f>VLOOKUP(A1870,[1]Customer_payment_journal_line!$AL:$BO,30,0)</f>
        <v>#N/A</v>
      </c>
      <c r="D1870" t="s">
        <v>159</v>
      </c>
      <c r="E1870" t="s">
        <v>6990</v>
      </c>
      <c r="F1870" t="s">
        <v>6991</v>
      </c>
      <c r="G1870" t="s">
        <v>6741</v>
      </c>
      <c r="H1870" t="s">
        <v>69</v>
      </c>
      <c r="I1870" t="s">
        <v>6985</v>
      </c>
      <c r="J1870" t="s">
        <v>6982</v>
      </c>
      <c r="K1870" t="s">
        <v>6983</v>
      </c>
      <c r="L1870" t="s">
        <v>52</v>
      </c>
      <c r="M1870">
        <v>0</v>
      </c>
      <c r="N1870">
        <v>650.26</v>
      </c>
      <c r="O1870" t="s">
        <v>61</v>
      </c>
      <c r="P1870">
        <v>100</v>
      </c>
      <c r="Q1870" t="s">
        <v>52</v>
      </c>
      <c r="R1870" t="s">
        <v>52</v>
      </c>
      <c r="S1870" t="s">
        <v>52</v>
      </c>
      <c r="T1870" t="s">
        <v>52</v>
      </c>
      <c r="U1870" t="s">
        <v>52</v>
      </c>
      <c r="V1870" t="s">
        <v>62</v>
      </c>
      <c r="W1870" t="s">
        <v>52</v>
      </c>
      <c r="Y1870" t="s">
        <v>6986</v>
      </c>
      <c r="Z1870" t="s">
        <v>62</v>
      </c>
      <c r="AB1870" t="s">
        <v>6993</v>
      </c>
      <c r="AE1870" t="s">
        <v>6994</v>
      </c>
      <c r="AF1870" t="s">
        <v>52</v>
      </c>
      <c r="AH1870">
        <v>0</v>
      </c>
      <c r="AI1870">
        <v>0</v>
      </c>
      <c r="AJ1870" t="s">
        <v>52</v>
      </c>
      <c r="AK1870">
        <v>0</v>
      </c>
      <c r="AL1870" t="s">
        <v>52</v>
      </c>
      <c r="AM1870" t="s">
        <v>52</v>
      </c>
      <c r="AN1870">
        <v>0</v>
      </c>
      <c r="AO1870">
        <v>0</v>
      </c>
      <c r="AP1870" t="s">
        <v>52</v>
      </c>
      <c r="AQ1870" t="s">
        <v>52</v>
      </c>
      <c r="AR1870" t="s">
        <v>62</v>
      </c>
      <c r="AS1870" t="s">
        <v>52</v>
      </c>
      <c r="AT1870" t="s">
        <v>74</v>
      </c>
      <c r="AU1870" t="s">
        <v>64</v>
      </c>
      <c r="AV1870" t="s">
        <v>62</v>
      </c>
      <c r="AW1870" t="s">
        <v>65</v>
      </c>
      <c r="AX1870" t="s">
        <v>66</v>
      </c>
      <c r="AY1870" t="s">
        <v>165</v>
      </c>
    </row>
    <row r="1871" spans="1:51" hidden="1" x14ac:dyDescent="0.25">
      <c r="A1871">
        <v>203834</v>
      </c>
      <c r="B1871" t="s">
        <v>6995</v>
      </c>
      <c r="C1871" t="e">
        <f>VLOOKUP(A1871,[1]Customer_payment_journal_line!$AL:$BO,30,0)</f>
        <v>#N/A</v>
      </c>
      <c r="D1871" t="s">
        <v>159</v>
      </c>
      <c r="E1871" t="s">
        <v>6996</v>
      </c>
      <c r="F1871" t="s">
        <v>6997</v>
      </c>
      <c r="G1871" t="s">
        <v>6741</v>
      </c>
      <c r="H1871" t="s">
        <v>80</v>
      </c>
      <c r="I1871" t="s">
        <v>269</v>
      </c>
      <c r="J1871" t="s">
        <v>6982</v>
      </c>
      <c r="K1871" t="s">
        <v>6983</v>
      </c>
      <c r="L1871" t="s">
        <v>52</v>
      </c>
      <c r="M1871">
        <v>1780</v>
      </c>
      <c r="N1871">
        <v>0</v>
      </c>
      <c r="O1871" t="s">
        <v>178</v>
      </c>
      <c r="P1871">
        <v>5085</v>
      </c>
      <c r="Q1871" t="s">
        <v>52</v>
      </c>
      <c r="R1871" t="s">
        <v>52</v>
      </c>
      <c r="S1871" t="s">
        <v>52</v>
      </c>
      <c r="T1871" t="s">
        <v>52</v>
      </c>
      <c r="U1871" t="s">
        <v>52</v>
      </c>
      <c r="V1871" t="s">
        <v>62</v>
      </c>
      <c r="W1871" t="s">
        <v>52</v>
      </c>
      <c r="Y1871" t="s">
        <v>52</v>
      </c>
      <c r="AB1871" t="s">
        <v>52</v>
      </c>
      <c r="AE1871" t="s">
        <v>52</v>
      </c>
      <c r="AF1871" t="s">
        <v>52</v>
      </c>
      <c r="AG1871" t="s">
        <v>5213</v>
      </c>
      <c r="AH1871">
        <v>0</v>
      </c>
      <c r="AI1871">
        <v>0</v>
      </c>
      <c r="AJ1871" t="s">
        <v>52</v>
      </c>
      <c r="AK1871">
        <v>0</v>
      </c>
      <c r="AL1871" t="s">
        <v>52</v>
      </c>
      <c r="AM1871" t="s">
        <v>52</v>
      </c>
      <c r="AN1871">
        <v>0</v>
      </c>
      <c r="AO1871">
        <v>0</v>
      </c>
      <c r="AP1871" t="s">
        <v>52</v>
      </c>
      <c r="AQ1871" t="s">
        <v>52</v>
      </c>
      <c r="AR1871" t="s">
        <v>62</v>
      </c>
      <c r="AS1871" t="s">
        <v>52</v>
      </c>
      <c r="AT1871" t="s">
        <v>52</v>
      </c>
      <c r="AU1871" t="s">
        <v>64</v>
      </c>
      <c r="AV1871" t="s">
        <v>62</v>
      </c>
      <c r="AW1871" t="s">
        <v>65</v>
      </c>
      <c r="AX1871" t="s">
        <v>66</v>
      </c>
      <c r="AY1871" t="s">
        <v>165</v>
      </c>
    </row>
    <row r="1872" spans="1:51" hidden="1" x14ac:dyDescent="0.25">
      <c r="A1872">
        <v>203834</v>
      </c>
      <c r="B1872" t="s">
        <v>6998</v>
      </c>
      <c r="C1872" t="e">
        <f>VLOOKUP(A1872,[1]Customer_payment_journal_line!$AL:$BO,30,0)</f>
        <v>#N/A</v>
      </c>
      <c r="D1872" t="s">
        <v>159</v>
      </c>
      <c r="E1872" t="s">
        <v>6996</v>
      </c>
      <c r="F1872" t="s">
        <v>6997</v>
      </c>
      <c r="G1872" t="s">
        <v>6741</v>
      </c>
      <c r="H1872" t="s">
        <v>69</v>
      </c>
      <c r="I1872" t="s">
        <v>6985</v>
      </c>
      <c r="J1872" t="s">
        <v>6982</v>
      </c>
      <c r="K1872" t="s">
        <v>6983</v>
      </c>
      <c r="L1872" t="s">
        <v>52</v>
      </c>
      <c r="M1872">
        <v>0</v>
      </c>
      <c r="N1872">
        <v>1780</v>
      </c>
      <c r="O1872" t="s">
        <v>178</v>
      </c>
      <c r="P1872">
        <v>5085</v>
      </c>
      <c r="Q1872" t="s">
        <v>52</v>
      </c>
      <c r="R1872" t="s">
        <v>52</v>
      </c>
      <c r="S1872" t="s">
        <v>52</v>
      </c>
      <c r="T1872" t="s">
        <v>52</v>
      </c>
      <c r="U1872" t="s">
        <v>52</v>
      </c>
      <c r="V1872" t="s">
        <v>62</v>
      </c>
      <c r="W1872" t="s">
        <v>52</v>
      </c>
      <c r="Y1872" t="s">
        <v>6986</v>
      </c>
      <c r="Z1872" t="s">
        <v>62</v>
      </c>
      <c r="AB1872" t="s">
        <v>6999</v>
      </c>
      <c r="AE1872" t="s">
        <v>7000</v>
      </c>
      <c r="AF1872" t="s">
        <v>52</v>
      </c>
      <c r="AG1872" t="s">
        <v>5213</v>
      </c>
      <c r="AH1872">
        <v>0</v>
      </c>
      <c r="AI1872">
        <v>0</v>
      </c>
      <c r="AJ1872" t="s">
        <v>52</v>
      </c>
      <c r="AK1872">
        <v>0</v>
      </c>
      <c r="AL1872" t="s">
        <v>52</v>
      </c>
      <c r="AM1872" t="s">
        <v>52</v>
      </c>
      <c r="AN1872">
        <v>0</v>
      </c>
      <c r="AO1872">
        <v>0</v>
      </c>
      <c r="AP1872" t="s">
        <v>52</v>
      </c>
      <c r="AQ1872" t="s">
        <v>52</v>
      </c>
      <c r="AR1872" t="s">
        <v>62</v>
      </c>
      <c r="AS1872" t="s">
        <v>52</v>
      </c>
      <c r="AT1872" t="s">
        <v>74</v>
      </c>
      <c r="AU1872" t="s">
        <v>64</v>
      </c>
      <c r="AV1872" t="s">
        <v>62</v>
      </c>
      <c r="AW1872" t="s">
        <v>65</v>
      </c>
      <c r="AX1872" t="s">
        <v>66</v>
      </c>
      <c r="AY1872" t="s">
        <v>165</v>
      </c>
    </row>
    <row r="1873" spans="1:51" hidden="1" x14ac:dyDescent="0.25">
      <c r="A1873">
        <v>203839</v>
      </c>
      <c r="B1873" t="s">
        <v>7001</v>
      </c>
      <c r="C1873" t="e">
        <f>VLOOKUP(A1873,[1]Customer_payment_journal_line!$AL:$BO,30,0)</f>
        <v>#N/A</v>
      </c>
      <c r="D1873" t="s">
        <v>159</v>
      </c>
      <c r="E1873" t="s">
        <v>7002</v>
      </c>
      <c r="F1873" t="s">
        <v>7003</v>
      </c>
      <c r="G1873" t="s">
        <v>6741</v>
      </c>
      <c r="H1873" t="s">
        <v>80</v>
      </c>
      <c r="I1873" t="s">
        <v>177</v>
      </c>
      <c r="J1873" t="s">
        <v>6878</v>
      </c>
      <c r="K1873" t="s">
        <v>6879</v>
      </c>
      <c r="L1873" t="s">
        <v>52</v>
      </c>
      <c r="M1873">
        <v>446</v>
      </c>
      <c r="N1873">
        <v>0</v>
      </c>
      <c r="O1873" t="s">
        <v>178</v>
      </c>
      <c r="P1873">
        <v>5085</v>
      </c>
      <c r="Q1873" t="s">
        <v>52</v>
      </c>
      <c r="R1873" t="s">
        <v>52</v>
      </c>
      <c r="S1873" t="s">
        <v>52</v>
      </c>
      <c r="T1873" t="s">
        <v>52</v>
      </c>
      <c r="U1873" t="s">
        <v>52</v>
      </c>
      <c r="V1873" t="s">
        <v>62</v>
      </c>
      <c r="W1873" t="s">
        <v>52</v>
      </c>
      <c r="Y1873" t="s">
        <v>52</v>
      </c>
      <c r="AB1873" t="s">
        <v>52</v>
      </c>
      <c r="AE1873" t="s">
        <v>52</v>
      </c>
      <c r="AF1873" t="s">
        <v>52</v>
      </c>
      <c r="AH1873">
        <v>0</v>
      </c>
      <c r="AI1873">
        <v>0</v>
      </c>
      <c r="AJ1873" t="s">
        <v>52</v>
      </c>
      <c r="AK1873">
        <v>0</v>
      </c>
      <c r="AL1873" t="s">
        <v>52</v>
      </c>
      <c r="AM1873" t="s">
        <v>52</v>
      </c>
      <c r="AN1873">
        <v>0</v>
      </c>
      <c r="AO1873">
        <v>0</v>
      </c>
      <c r="AP1873" t="s">
        <v>52</v>
      </c>
      <c r="AQ1873" t="s">
        <v>52</v>
      </c>
      <c r="AR1873" t="s">
        <v>62</v>
      </c>
      <c r="AS1873" t="s">
        <v>52</v>
      </c>
      <c r="AT1873" t="s">
        <v>52</v>
      </c>
      <c r="AU1873" t="s">
        <v>64</v>
      </c>
      <c r="AV1873" t="s">
        <v>62</v>
      </c>
      <c r="AW1873" t="s">
        <v>65</v>
      </c>
      <c r="AX1873" t="s">
        <v>66</v>
      </c>
      <c r="AY1873" t="s">
        <v>165</v>
      </c>
    </row>
    <row r="1874" spans="1:51" hidden="1" x14ac:dyDescent="0.25">
      <c r="A1874">
        <v>203839</v>
      </c>
      <c r="B1874" t="s">
        <v>7004</v>
      </c>
      <c r="C1874" t="e">
        <f>VLOOKUP(A1874,[1]Customer_payment_journal_line!$AL:$BO,30,0)</f>
        <v>#N/A</v>
      </c>
      <c r="D1874" t="s">
        <v>159</v>
      </c>
      <c r="E1874" t="s">
        <v>7002</v>
      </c>
      <c r="F1874" t="s">
        <v>7003</v>
      </c>
      <c r="G1874" t="s">
        <v>6741</v>
      </c>
      <c r="H1874" t="s">
        <v>69</v>
      </c>
      <c r="I1874" t="s">
        <v>6881</v>
      </c>
      <c r="J1874" t="s">
        <v>6878</v>
      </c>
      <c r="K1874" t="s">
        <v>6879</v>
      </c>
      <c r="L1874" t="s">
        <v>52</v>
      </c>
      <c r="M1874">
        <v>0</v>
      </c>
      <c r="N1874">
        <v>446</v>
      </c>
      <c r="O1874" t="s">
        <v>178</v>
      </c>
      <c r="P1874">
        <v>5085</v>
      </c>
      <c r="Q1874" t="s">
        <v>52</v>
      </c>
      <c r="R1874" t="s">
        <v>52</v>
      </c>
      <c r="S1874" t="s">
        <v>52</v>
      </c>
      <c r="T1874" t="s">
        <v>52</v>
      </c>
      <c r="U1874" t="s">
        <v>52</v>
      </c>
      <c r="V1874" t="s">
        <v>62</v>
      </c>
      <c r="W1874" t="s">
        <v>52</v>
      </c>
      <c r="Y1874" t="s">
        <v>6882</v>
      </c>
      <c r="Z1874" t="s">
        <v>62</v>
      </c>
      <c r="AB1874" t="s">
        <v>7005</v>
      </c>
      <c r="AE1874" t="s">
        <v>7006</v>
      </c>
      <c r="AF1874" t="s">
        <v>52</v>
      </c>
      <c r="AH1874">
        <v>0</v>
      </c>
      <c r="AI1874">
        <v>0</v>
      </c>
      <c r="AJ1874" t="s">
        <v>52</v>
      </c>
      <c r="AK1874">
        <v>0</v>
      </c>
      <c r="AL1874" t="s">
        <v>52</v>
      </c>
      <c r="AM1874" t="s">
        <v>52</v>
      </c>
      <c r="AN1874">
        <v>0</v>
      </c>
      <c r="AO1874">
        <v>0</v>
      </c>
      <c r="AP1874" t="s">
        <v>52</v>
      </c>
      <c r="AQ1874" t="s">
        <v>52</v>
      </c>
      <c r="AR1874" t="s">
        <v>62</v>
      </c>
      <c r="AS1874" t="s">
        <v>52</v>
      </c>
      <c r="AT1874" t="s">
        <v>74</v>
      </c>
      <c r="AU1874" t="s">
        <v>64</v>
      </c>
      <c r="AV1874" t="s">
        <v>62</v>
      </c>
      <c r="AW1874" t="s">
        <v>65</v>
      </c>
      <c r="AX1874" t="s">
        <v>66</v>
      </c>
      <c r="AY1874" t="s">
        <v>165</v>
      </c>
    </row>
    <row r="1875" spans="1:51" x14ac:dyDescent="0.25">
      <c r="A1875">
        <v>203870</v>
      </c>
      <c r="B1875" t="s">
        <v>7007</v>
      </c>
      <c r="C1875" t="e">
        <f>VLOOKUP(A1875,[1]Customer_payment_journal_line!$AL:$BO,30,0)</f>
        <v>#N/A</v>
      </c>
      <c r="D1875" t="s">
        <v>644</v>
      </c>
      <c r="E1875" t="s">
        <v>7008</v>
      </c>
      <c r="F1875" t="s">
        <v>7009</v>
      </c>
      <c r="G1875" t="s">
        <v>6741</v>
      </c>
      <c r="H1875" t="s">
        <v>210</v>
      </c>
      <c r="I1875" t="s">
        <v>7010</v>
      </c>
      <c r="K1875" t="s">
        <v>1065</v>
      </c>
      <c r="L1875" t="s">
        <v>52</v>
      </c>
      <c r="M1875">
        <v>47772</v>
      </c>
      <c r="N1875">
        <v>0</v>
      </c>
      <c r="O1875" t="s">
        <v>61</v>
      </c>
      <c r="P1875">
        <v>100</v>
      </c>
      <c r="Q1875" t="s">
        <v>52</v>
      </c>
      <c r="R1875" t="s">
        <v>52</v>
      </c>
      <c r="S1875" t="s">
        <v>52</v>
      </c>
      <c r="T1875" t="s">
        <v>52</v>
      </c>
      <c r="U1875" t="s">
        <v>52</v>
      </c>
      <c r="V1875" t="s">
        <v>62</v>
      </c>
      <c r="W1875" t="s">
        <v>63</v>
      </c>
      <c r="Y1875" t="s">
        <v>52</v>
      </c>
      <c r="AB1875" t="s">
        <v>52</v>
      </c>
      <c r="AE1875" t="s">
        <v>52</v>
      </c>
      <c r="AF1875" t="s">
        <v>162</v>
      </c>
      <c r="AG1875" t="s">
        <v>7011</v>
      </c>
      <c r="AH1875">
        <v>0</v>
      </c>
      <c r="AI1875">
        <v>0</v>
      </c>
      <c r="AJ1875" t="s">
        <v>52</v>
      </c>
      <c r="AK1875">
        <v>0</v>
      </c>
      <c r="AL1875" t="s">
        <v>52</v>
      </c>
      <c r="AM1875" t="s">
        <v>52</v>
      </c>
      <c r="AN1875">
        <v>0</v>
      </c>
      <c r="AO1875">
        <v>0</v>
      </c>
      <c r="AP1875" t="s">
        <v>52</v>
      </c>
      <c r="AQ1875" t="s">
        <v>52</v>
      </c>
      <c r="AR1875" t="s">
        <v>62</v>
      </c>
      <c r="AS1875" t="s">
        <v>52</v>
      </c>
      <c r="AT1875" t="s">
        <v>52</v>
      </c>
      <c r="AU1875" t="s">
        <v>64</v>
      </c>
      <c r="AV1875" t="s">
        <v>62</v>
      </c>
      <c r="AW1875" t="s">
        <v>65</v>
      </c>
      <c r="AX1875" t="s">
        <v>1067</v>
      </c>
      <c r="AY1875" t="s">
        <v>654</v>
      </c>
    </row>
    <row r="1876" spans="1:51" x14ac:dyDescent="0.25">
      <c r="A1876">
        <v>203870</v>
      </c>
      <c r="B1876" t="s">
        <v>7012</v>
      </c>
      <c r="C1876" t="e">
        <f>VLOOKUP(A1876,[1]Customer_payment_journal_line!$AL:$BO,30,0)</f>
        <v>#N/A</v>
      </c>
      <c r="D1876" t="s">
        <v>644</v>
      </c>
      <c r="E1876" t="s">
        <v>7008</v>
      </c>
      <c r="F1876" t="s">
        <v>7009</v>
      </c>
      <c r="G1876" t="s">
        <v>6741</v>
      </c>
      <c r="H1876" t="s">
        <v>69</v>
      </c>
      <c r="I1876" t="s">
        <v>7013</v>
      </c>
      <c r="J1876" t="s">
        <v>7014</v>
      </c>
      <c r="K1876" t="s">
        <v>1065</v>
      </c>
      <c r="L1876" t="s">
        <v>52</v>
      </c>
      <c r="M1876">
        <v>0</v>
      </c>
      <c r="N1876">
        <v>47772</v>
      </c>
      <c r="O1876" t="s">
        <v>61</v>
      </c>
      <c r="P1876">
        <v>100</v>
      </c>
      <c r="Q1876" t="s">
        <v>52</v>
      </c>
      <c r="R1876" t="s">
        <v>52</v>
      </c>
      <c r="S1876" t="s">
        <v>52</v>
      </c>
      <c r="T1876" t="s">
        <v>52</v>
      </c>
      <c r="U1876" t="s">
        <v>52</v>
      </c>
      <c r="V1876" t="s">
        <v>1071</v>
      </c>
      <c r="W1876" t="s">
        <v>52</v>
      </c>
      <c r="Y1876" t="s">
        <v>7015</v>
      </c>
      <c r="Z1876" t="s">
        <v>62</v>
      </c>
      <c r="AB1876" t="s">
        <v>52</v>
      </c>
      <c r="AE1876" t="s">
        <v>52</v>
      </c>
      <c r="AF1876" t="s">
        <v>162</v>
      </c>
      <c r="AG1876" t="s">
        <v>7011</v>
      </c>
      <c r="AH1876">
        <v>0</v>
      </c>
      <c r="AI1876">
        <v>0</v>
      </c>
      <c r="AJ1876" t="s">
        <v>52</v>
      </c>
      <c r="AK1876">
        <v>0</v>
      </c>
      <c r="AL1876" t="s">
        <v>52</v>
      </c>
      <c r="AM1876" t="s">
        <v>52</v>
      </c>
      <c r="AN1876">
        <v>0</v>
      </c>
      <c r="AO1876">
        <v>0</v>
      </c>
      <c r="AP1876" t="s">
        <v>52</v>
      </c>
      <c r="AQ1876" t="s">
        <v>52</v>
      </c>
      <c r="AR1876" t="s">
        <v>62</v>
      </c>
      <c r="AS1876" t="s">
        <v>52</v>
      </c>
      <c r="AT1876" t="s">
        <v>21</v>
      </c>
      <c r="AU1876" t="s">
        <v>64</v>
      </c>
      <c r="AV1876" t="s">
        <v>62</v>
      </c>
      <c r="AW1876" t="s">
        <v>65</v>
      </c>
      <c r="AX1876" t="s">
        <v>1067</v>
      </c>
      <c r="AY1876" t="s">
        <v>654</v>
      </c>
    </row>
    <row r="1877" spans="1:51" hidden="1" x14ac:dyDescent="0.25">
      <c r="A1877">
        <v>401755</v>
      </c>
      <c r="B1877" t="s">
        <v>7016</v>
      </c>
      <c r="C1877" t="e">
        <f>VLOOKUP(A1877,[1]Customer_payment_journal_line!$AL:$BO,30,0)</f>
        <v>#N/A</v>
      </c>
      <c r="D1877" t="s">
        <v>159</v>
      </c>
      <c r="E1877" t="s">
        <v>7017</v>
      </c>
      <c r="F1877" t="s">
        <v>7018</v>
      </c>
      <c r="G1877" t="s">
        <v>6741</v>
      </c>
      <c r="H1877" t="s">
        <v>80</v>
      </c>
      <c r="I1877" t="s">
        <v>5842</v>
      </c>
      <c r="J1877" t="s">
        <v>5843</v>
      </c>
      <c r="K1877" t="s">
        <v>7019</v>
      </c>
      <c r="L1877" t="s">
        <v>52</v>
      </c>
      <c r="M1877">
        <v>855</v>
      </c>
      <c r="N1877">
        <v>0</v>
      </c>
      <c r="O1877" t="s">
        <v>61</v>
      </c>
      <c r="P1877">
        <v>100</v>
      </c>
      <c r="Q1877" t="s">
        <v>52</v>
      </c>
      <c r="R1877" t="s">
        <v>52</v>
      </c>
      <c r="S1877" t="s">
        <v>52</v>
      </c>
      <c r="T1877" t="s">
        <v>52</v>
      </c>
      <c r="U1877" t="s">
        <v>52</v>
      </c>
      <c r="V1877" t="s">
        <v>62</v>
      </c>
      <c r="W1877" t="s">
        <v>52</v>
      </c>
      <c r="Y1877" t="s">
        <v>52</v>
      </c>
      <c r="AB1877" t="s">
        <v>52</v>
      </c>
      <c r="AE1877" t="s">
        <v>52</v>
      </c>
      <c r="AF1877" t="s">
        <v>52</v>
      </c>
      <c r="AG1877" t="s">
        <v>5213</v>
      </c>
      <c r="AH1877">
        <v>0</v>
      </c>
      <c r="AI1877">
        <v>0</v>
      </c>
      <c r="AJ1877" t="s">
        <v>52</v>
      </c>
      <c r="AK1877">
        <v>0</v>
      </c>
      <c r="AL1877" t="s">
        <v>52</v>
      </c>
      <c r="AM1877" t="s">
        <v>52</v>
      </c>
      <c r="AN1877">
        <v>0</v>
      </c>
      <c r="AO1877">
        <v>0</v>
      </c>
      <c r="AP1877" t="s">
        <v>52</v>
      </c>
      <c r="AQ1877" t="s">
        <v>52</v>
      </c>
      <c r="AR1877" t="s">
        <v>62</v>
      </c>
      <c r="AS1877" t="s">
        <v>52</v>
      </c>
      <c r="AT1877" t="s">
        <v>52</v>
      </c>
      <c r="AU1877" t="s">
        <v>64</v>
      </c>
      <c r="AV1877" t="s">
        <v>62</v>
      </c>
      <c r="AW1877" t="s">
        <v>65</v>
      </c>
      <c r="AX1877" t="s">
        <v>66</v>
      </c>
      <c r="AY1877" t="s">
        <v>165</v>
      </c>
    </row>
    <row r="1878" spans="1:51" hidden="1" x14ac:dyDescent="0.25">
      <c r="A1878">
        <v>401755</v>
      </c>
      <c r="B1878" t="s">
        <v>7020</v>
      </c>
      <c r="C1878" t="e">
        <f>VLOOKUP(A1878,[1]Customer_payment_journal_line!$AL:$BO,30,0)</f>
        <v>#N/A</v>
      </c>
      <c r="D1878" t="s">
        <v>159</v>
      </c>
      <c r="E1878" t="s">
        <v>7017</v>
      </c>
      <c r="F1878" t="s">
        <v>7018</v>
      </c>
      <c r="G1878" t="s">
        <v>6741</v>
      </c>
      <c r="H1878" t="s">
        <v>69</v>
      </c>
      <c r="I1878" t="s">
        <v>5846</v>
      </c>
      <c r="J1878" t="s">
        <v>5843</v>
      </c>
      <c r="K1878" t="s">
        <v>7019</v>
      </c>
      <c r="L1878" t="s">
        <v>52</v>
      </c>
      <c r="M1878">
        <v>0</v>
      </c>
      <c r="N1878">
        <v>855</v>
      </c>
      <c r="O1878" t="s">
        <v>61</v>
      </c>
      <c r="P1878">
        <v>100</v>
      </c>
      <c r="Q1878" t="s">
        <v>52</v>
      </c>
      <c r="R1878" t="s">
        <v>52</v>
      </c>
      <c r="S1878" t="s">
        <v>52</v>
      </c>
      <c r="T1878" t="s">
        <v>52</v>
      </c>
      <c r="U1878" t="s">
        <v>52</v>
      </c>
      <c r="V1878" t="s">
        <v>62</v>
      </c>
      <c r="W1878" t="s">
        <v>52</v>
      </c>
      <c r="Y1878" t="s">
        <v>5847</v>
      </c>
      <c r="Z1878" t="s">
        <v>62</v>
      </c>
      <c r="AB1878" t="s">
        <v>7021</v>
      </c>
      <c r="AE1878" t="s">
        <v>7022</v>
      </c>
      <c r="AF1878" t="s">
        <v>52</v>
      </c>
      <c r="AG1878" t="s">
        <v>5213</v>
      </c>
      <c r="AH1878">
        <v>0</v>
      </c>
      <c r="AI1878">
        <v>0</v>
      </c>
      <c r="AJ1878" t="s">
        <v>52</v>
      </c>
      <c r="AK1878">
        <v>0</v>
      </c>
      <c r="AL1878" t="s">
        <v>52</v>
      </c>
      <c r="AM1878" t="s">
        <v>52</v>
      </c>
      <c r="AN1878">
        <v>0</v>
      </c>
      <c r="AO1878">
        <v>0</v>
      </c>
      <c r="AP1878" t="s">
        <v>52</v>
      </c>
      <c r="AQ1878" t="s">
        <v>52</v>
      </c>
      <c r="AR1878" t="s">
        <v>62</v>
      </c>
      <c r="AS1878" t="s">
        <v>52</v>
      </c>
      <c r="AT1878" t="s">
        <v>74</v>
      </c>
      <c r="AU1878" t="s">
        <v>64</v>
      </c>
      <c r="AV1878" t="s">
        <v>62</v>
      </c>
      <c r="AW1878" t="s">
        <v>65</v>
      </c>
      <c r="AX1878" t="s">
        <v>66</v>
      </c>
      <c r="AY1878" t="s">
        <v>165</v>
      </c>
    </row>
    <row r="1879" spans="1:51" hidden="1" x14ac:dyDescent="0.25">
      <c r="A1879">
        <v>402325</v>
      </c>
      <c r="B1879" t="s">
        <v>7023</v>
      </c>
      <c r="C1879" t="e">
        <f>VLOOKUP(A1879,[1]Customer_payment_journal_line!$AL:$BO,30,0)</f>
        <v>#N/A</v>
      </c>
      <c r="D1879" t="s">
        <v>159</v>
      </c>
      <c r="E1879" t="s">
        <v>7024</v>
      </c>
      <c r="F1879" t="s">
        <v>7025</v>
      </c>
      <c r="G1879" t="s">
        <v>6741</v>
      </c>
      <c r="H1879" t="s">
        <v>80</v>
      </c>
      <c r="I1879" t="s">
        <v>3573</v>
      </c>
      <c r="J1879" t="s">
        <v>5843</v>
      </c>
      <c r="K1879" t="s">
        <v>7026</v>
      </c>
      <c r="L1879" t="s">
        <v>52</v>
      </c>
      <c r="M1879">
        <v>570</v>
      </c>
      <c r="N1879">
        <v>0</v>
      </c>
      <c r="O1879" t="s">
        <v>178</v>
      </c>
      <c r="P1879">
        <v>5085</v>
      </c>
      <c r="Q1879" t="s">
        <v>52</v>
      </c>
      <c r="R1879" t="s">
        <v>52</v>
      </c>
      <c r="S1879" t="s">
        <v>52</v>
      </c>
      <c r="T1879" t="s">
        <v>52</v>
      </c>
      <c r="U1879" t="s">
        <v>52</v>
      </c>
      <c r="V1879" t="s">
        <v>62</v>
      </c>
      <c r="W1879" t="s">
        <v>52</v>
      </c>
      <c r="Y1879" t="s">
        <v>52</v>
      </c>
      <c r="AB1879" t="s">
        <v>52</v>
      </c>
      <c r="AE1879" t="s">
        <v>52</v>
      </c>
      <c r="AF1879" t="s">
        <v>52</v>
      </c>
      <c r="AH1879">
        <v>0</v>
      </c>
      <c r="AI1879">
        <v>0</v>
      </c>
      <c r="AJ1879" t="s">
        <v>52</v>
      </c>
      <c r="AK1879">
        <v>0</v>
      </c>
      <c r="AL1879" t="s">
        <v>52</v>
      </c>
      <c r="AM1879" t="s">
        <v>52</v>
      </c>
      <c r="AN1879">
        <v>0</v>
      </c>
      <c r="AO1879">
        <v>0</v>
      </c>
      <c r="AP1879" t="s">
        <v>52</v>
      </c>
      <c r="AQ1879" t="s">
        <v>52</v>
      </c>
      <c r="AR1879" t="s">
        <v>62</v>
      </c>
      <c r="AS1879" t="s">
        <v>52</v>
      </c>
      <c r="AT1879" t="s">
        <v>52</v>
      </c>
      <c r="AU1879" t="s">
        <v>64</v>
      </c>
      <c r="AV1879" t="s">
        <v>62</v>
      </c>
      <c r="AW1879" t="s">
        <v>65</v>
      </c>
      <c r="AX1879" t="s">
        <v>66</v>
      </c>
      <c r="AY1879" t="s">
        <v>165</v>
      </c>
    </row>
    <row r="1880" spans="1:51" hidden="1" x14ac:dyDescent="0.25">
      <c r="A1880">
        <v>402325</v>
      </c>
      <c r="B1880" t="s">
        <v>7027</v>
      </c>
      <c r="C1880" t="e">
        <f>VLOOKUP(A1880,[1]Customer_payment_journal_line!$AL:$BO,30,0)</f>
        <v>#N/A</v>
      </c>
      <c r="D1880" t="s">
        <v>159</v>
      </c>
      <c r="E1880" t="s">
        <v>7024</v>
      </c>
      <c r="F1880" t="s">
        <v>7025</v>
      </c>
      <c r="G1880" t="s">
        <v>6741</v>
      </c>
      <c r="H1880" t="s">
        <v>69</v>
      </c>
      <c r="I1880" t="s">
        <v>5846</v>
      </c>
      <c r="J1880" t="s">
        <v>5843</v>
      </c>
      <c r="K1880" t="s">
        <v>7026</v>
      </c>
      <c r="L1880" t="s">
        <v>52</v>
      </c>
      <c r="M1880">
        <v>0</v>
      </c>
      <c r="N1880">
        <v>570</v>
      </c>
      <c r="O1880" t="s">
        <v>178</v>
      </c>
      <c r="P1880">
        <v>5085</v>
      </c>
      <c r="Q1880" t="s">
        <v>52</v>
      </c>
      <c r="R1880" t="s">
        <v>52</v>
      </c>
      <c r="S1880" t="s">
        <v>52</v>
      </c>
      <c r="T1880" t="s">
        <v>52</v>
      </c>
      <c r="U1880" t="s">
        <v>52</v>
      </c>
      <c r="V1880" t="s">
        <v>62</v>
      </c>
      <c r="W1880" t="s">
        <v>52</v>
      </c>
      <c r="Y1880" t="s">
        <v>5847</v>
      </c>
      <c r="Z1880" t="s">
        <v>62</v>
      </c>
      <c r="AB1880" t="s">
        <v>7028</v>
      </c>
      <c r="AE1880" t="s">
        <v>7029</v>
      </c>
      <c r="AF1880" t="s">
        <v>52</v>
      </c>
      <c r="AH1880">
        <v>0</v>
      </c>
      <c r="AI1880">
        <v>0</v>
      </c>
      <c r="AJ1880" t="s">
        <v>52</v>
      </c>
      <c r="AK1880">
        <v>0</v>
      </c>
      <c r="AL1880" t="s">
        <v>52</v>
      </c>
      <c r="AM1880" t="s">
        <v>52</v>
      </c>
      <c r="AN1880">
        <v>0</v>
      </c>
      <c r="AO1880">
        <v>0</v>
      </c>
      <c r="AP1880" t="s">
        <v>52</v>
      </c>
      <c r="AQ1880" t="s">
        <v>52</v>
      </c>
      <c r="AR1880" t="s">
        <v>62</v>
      </c>
      <c r="AS1880" t="s">
        <v>52</v>
      </c>
      <c r="AT1880" t="s">
        <v>74</v>
      </c>
      <c r="AU1880" t="s">
        <v>64</v>
      </c>
      <c r="AV1880" t="s">
        <v>62</v>
      </c>
      <c r="AW1880" t="s">
        <v>65</v>
      </c>
      <c r="AX1880" t="s">
        <v>66</v>
      </c>
      <c r="AY1880" t="s">
        <v>165</v>
      </c>
    </row>
    <row r="1881" spans="1:51" hidden="1" x14ac:dyDescent="0.25">
      <c r="A1881">
        <v>402387</v>
      </c>
      <c r="B1881" t="s">
        <v>7030</v>
      </c>
      <c r="C1881" t="e">
        <f>VLOOKUP(A1881,[1]Customer_payment_journal_line!$AL:$BO,30,0)</f>
        <v>#N/A</v>
      </c>
      <c r="D1881" t="s">
        <v>159</v>
      </c>
      <c r="E1881" t="s">
        <v>7031</v>
      </c>
      <c r="F1881" t="s">
        <v>7032</v>
      </c>
      <c r="G1881" t="s">
        <v>6741</v>
      </c>
      <c r="H1881" t="s">
        <v>80</v>
      </c>
      <c r="I1881" t="s">
        <v>5842</v>
      </c>
      <c r="J1881" t="s">
        <v>5843</v>
      </c>
      <c r="K1881" t="s">
        <v>7026</v>
      </c>
      <c r="L1881" t="s">
        <v>52</v>
      </c>
      <c r="M1881">
        <v>10830</v>
      </c>
      <c r="N1881">
        <v>0</v>
      </c>
      <c r="O1881" t="s">
        <v>61</v>
      </c>
      <c r="P1881">
        <v>100</v>
      </c>
      <c r="Q1881" t="s">
        <v>52</v>
      </c>
      <c r="R1881" t="s">
        <v>52</v>
      </c>
      <c r="S1881" t="s">
        <v>52</v>
      </c>
      <c r="T1881" t="s">
        <v>52</v>
      </c>
      <c r="U1881" t="s">
        <v>52</v>
      </c>
      <c r="V1881" t="s">
        <v>62</v>
      </c>
      <c r="W1881" t="s">
        <v>52</v>
      </c>
      <c r="Y1881" t="s">
        <v>52</v>
      </c>
      <c r="AB1881" t="s">
        <v>52</v>
      </c>
      <c r="AE1881" t="s">
        <v>52</v>
      </c>
      <c r="AF1881" t="s">
        <v>52</v>
      </c>
      <c r="AG1881" t="s">
        <v>5213</v>
      </c>
      <c r="AH1881">
        <v>0</v>
      </c>
      <c r="AI1881">
        <v>0</v>
      </c>
      <c r="AJ1881" t="s">
        <v>52</v>
      </c>
      <c r="AK1881">
        <v>0</v>
      </c>
      <c r="AL1881" t="s">
        <v>52</v>
      </c>
      <c r="AM1881" t="s">
        <v>52</v>
      </c>
      <c r="AN1881">
        <v>0</v>
      </c>
      <c r="AO1881">
        <v>0</v>
      </c>
      <c r="AP1881" t="s">
        <v>52</v>
      </c>
      <c r="AQ1881" t="s">
        <v>52</v>
      </c>
      <c r="AR1881" t="s">
        <v>62</v>
      </c>
      <c r="AS1881" t="s">
        <v>52</v>
      </c>
      <c r="AT1881" t="s">
        <v>52</v>
      </c>
      <c r="AU1881" t="s">
        <v>64</v>
      </c>
      <c r="AV1881" t="s">
        <v>62</v>
      </c>
      <c r="AW1881" t="s">
        <v>65</v>
      </c>
      <c r="AX1881" t="s">
        <v>66</v>
      </c>
      <c r="AY1881" t="s">
        <v>165</v>
      </c>
    </row>
    <row r="1882" spans="1:51" hidden="1" x14ac:dyDescent="0.25">
      <c r="A1882">
        <v>402387</v>
      </c>
      <c r="B1882" t="s">
        <v>7033</v>
      </c>
      <c r="C1882" t="e">
        <f>VLOOKUP(A1882,[1]Customer_payment_journal_line!$AL:$BO,30,0)</f>
        <v>#N/A</v>
      </c>
      <c r="D1882" t="s">
        <v>159</v>
      </c>
      <c r="E1882" t="s">
        <v>7031</v>
      </c>
      <c r="F1882" t="s">
        <v>7032</v>
      </c>
      <c r="G1882" t="s">
        <v>6741</v>
      </c>
      <c r="H1882" t="s">
        <v>69</v>
      </c>
      <c r="I1882" t="s">
        <v>5846</v>
      </c>
      <c r="J1882" t="s">
        <v>5843</v>
      </c>
      <c r="K1882" t="s">
        <v>7026</v>
      </c>
      <c r="L1882" t="s">
        <v>52</v>
      </c>
      <c r="M1882">
        <v>0</v>
      </c>
      <c r="N1882">
        <v>10830</v>
      </c>
      <c r="O1882" t="s">
        <v>61</v>
      </c>
      <c r="P1882">
        <v>100</v>
      </c>
      <c r="Q1882" t="s">
        <v>52</v>
      </c>
      <c r="R1882" t="s">
        <v>52</v>
      </c>
      <c r="S1882" t="s">
        <v>52</v>
      </c>
      <c r="T1882" t="s">
        <v>52</v>
      </c>
      <c r="U1882" t="s">
        <v>52</v>
      </c>
      <c r="V1882" t="s">
        <v>62</v>
      </c>
      <c r="W1882" t="s">
        <v>52</v>
      </c>
      <c r="Y1882" t="s">
        <v>5847</v>
      </c>
      <c r="Z1882" t="s">
        <v>62</v>
      </c>
      <c r="AB1882" t="s">
        <v>7034</v>
      </c>
      <c r="AE1882" t="s">
        <v>7035</v>
      </c>
      <c r="AF1882" t="s">
        <v>52</v>
      </c>
      <c r="AG1882" t="s">
        <v>5213</v>
      </c>
      <c r="AH1882">
        <v>0</v>
      </c>
      <c r="AI1882">
        <v>0</v>
      </c>
      <c r="AJ1882" t="s">
        <v>52</v>
      </c>
      <c r="AK1882">
        <v>0</v>
      </c>
      <c r="AL1882" t="s">
        <v>52</v>
      </c>
      <c r="AM1882" t="s">
        <v>52</v>
      </c>
      <c r="AN1882">
        <v>0</v>
      </c>
      <c r="AO1882">
        <v>0</v>
      </c>
      <c r="AP1882" t="s">
        <v>52</v>
      </c>
      <c r="AQ1882" t="s">
        <v>52</v>
      </c>
      <c r="AR1882" t="s">
        <v>62</v>
      </c>
      <c r="AS1882" t="s">
        <v>52</v>
      </c>
      <c r="AT1882" t="s">
        <v>74</v>
      </c>
      <c r="AU1882" t="s">
        <v>64</v>
      </c>
      <c r="AV1882" t="s">
        <v>62</v>
      </c>
      <c r="AW1882" t="s">
        <v>65</v>
      </c>
      <c r="AX1882" t="s">
        <v>66</v>
      </c>
      <c r="AY1882" t="s">
        <v>165</v>
      </c>
    </row>
    <row r="1883" spans="1:51" hidden="1" x14ac:dyDescent="0.25">
      <c r="A1883">
        <v>402489</v>
      </c>
      <c r="B1883" t="s">
        <v>7036</v>
      </c>
      <c r="C1883" t="e">
        <f>VLOOKUP(A1883,[1]Customer_payment_journal_line!$AL:$BO,30,0)</f>
        <v>#N/A</v>
      </c>
      <c r="D1883" t="s">
        <v>159</v>
      </c>
      <c r="E1883" t="s">
        <v>7037</v>
      </c>
      <c r="F1883" t="s">
        <v>7038</v>
      </c>
      <c r="G1883" t="s">
        <v>6741</v>
      </c>
      <c r="H1883" t="s">
        <v>80</v>
      </c>
      <c r="I1883" t="s">
        <v>5842</v>
      </c>
      <c r="J1883" t="s">
        <v>5843</v>
      </c>
      <c r="K1883" t="s">
        <v>7019</v>
      </c>
      <c r="L1883" t="s">
        <v>52</v>
      </c>
      <c r="M1883">
        <v>2850</v>
      </c>
      <c r="N1883">
        <v>0</v>
      </c>
      <c r="O1883" t="s">
        <v>61</v>
      </c>
      <c r="P1883">
        <v>100</v>
      </c>
      <c r="Q1883" t="s">
        <v>52</v>
      </c>
      <c r="R1883" t="s">
        <v>52</v>
      </c>
      <c r="S1883" t="s">
        <v>52</v>
      </c>
      <c r="T1883" t="s">
        <v>52</v>
      </c>
      <c r="U1883" t="s">
        <v>52</v>
      </c>
      <c r="V1883" t="s">
        <v>62</v>
      </c>
      <c r="W1883" t="s">
        <v>52</v>
      </c>
      <c r="Y1883" t="s">
        <v>52</v>
      </c>
      <c r="AB1883" t="s">
        <v>52</v>
      </c>
      <c r="AE1883" t="s">
        <v>52</v>
      </c>
      <c r="AF1883" t="s">
        <v>52</v>
      </c>
      <c r="AG1883" t="s">
        <v>5213</v>
      </c>
      <c r="AH1883">
        <v>0</v>
      </c>
      <c r="AI1883">
        <v>0</v>
      </c>
      <c r="AJ1883" t="s">
        <v>52</v>
      </c>
      <c r="AK1883">
        <v>0</v>
      </c>
      <c r="AL1883" t="s">
        <v>52</v>
      </c>
      <c r="AM1883" t="s">
        <v>52</v>
      </c>
      <c r="AN1883">
        <v>0</v>
      </c>
      <c r="AO1883">
        <v>0</v>
      </c>
      <c r="AP1883" t="s">
        <v>52</v>
      </c>
      <c r="AQ1883" t="s">
        <v>52</v>
      </c>
      <c r="AR1883" t="s">
        <v>62</v>
      </c>
      <c r="AS1883" t="s">
        <v>52</v>
      </c>
      <c r="AT1883" t="s">
        <v>52</v>
      </c>
      <c r="AU1883" t="s">
        <v>64</v>
      </c>
      <c r="AV1883" t="s">
        <v>62</v>
      </c>
      <c r="AW1883" t="s">
        <v>65</v>
      </c>
      <c r="AX1883" t="s">
        <v>66</v>
      </c>
      <c r="AY1883" t="s">
        <v>165</v>
      </c>
    </row>
    <row r="1884" spans="1:51" hidden="1" x14ac:dyDescent="0.25">
      <c r="A1884">
        <v>402489</v>
      </c>
      <c r="B1884" t="s">
        <v>7039</v>
      </c>
      <c r="C1884" t="e">
        <f>VLOOKUP(A1884,[1]Customer_payment_journal_line!$AL:$BO,30,0)</f>
        <v>#N/A</v>
      </c>
      <c r="D1884" t="s">
        <v>159</v>
      </c>
      <c r="E1884" t="s">
        <v>7037</v>
      </c>
      <c r="F1884" t="s">
        <v>7038</v>
      </c>
      <c r="G1884" t="s">
        <v>6741</v>
      </c>
      <c r="H1884" t="s">
        <v>69</v>
      </c>
      <c r="I1884" t="s">
        <v>5846</v>
      </c>
      <c r="J1884" t="s">
        <v>5843</v>
      </c>
      <c r="K1884" t="s">
        <v>7019</v>
      </c>
      <c r="L1884" t="s">
        <v>52</v>
      </c>
      <c r="M1884">
        <v>0</v>
      </c>
      <c r="N1884">
        <v>2850</v>
      </c>
      <c r="O1884" t="s">
        <v>61</v>
      </c>
      <c r="P1884">
        <v>100</v>
      </c>
      <c r="Q1884" t="s">
        <v>52</v>
      </c>
      <c r="R1884" t="s">
        <v>52</v>
      </c>
      <c r="S1884" t="s">
        <v>52</v>
      </c>
      <c r="T1884" t="s">
        <v>52</v>
      </c>
      <c r="U1884" t="s">
        <v>52</v>
      </c>
      <c r="V1884" t="s">
        <v>62</v>
      </c>
      <c r="W1884" t="s">
        <v>52</v>
      </c>
      <c r="Y1884" t="s">
        <v>5847</v>
      </c>
      <c r="Z1884" t="s">
        <v>62</v>
      </c>
      <c r="AB1884" t="s">
        <v>7040</v>
      </c>
      <c r="AE1884" t="s">
        <v>7041</v>
      </c>
      <c r="AF1884" t="s">
        <v>52</v>
      </c>
      <c r="AG1884" t="s">
        <v>5213</v>
      </c>
      <c r="AH1884">
        <v>0</v>
      </c>
      <c r="AI1884">
        <v>0</v>
      </c>
      <c r="AJ1884" t="s">
        <v>52</v>
      </c>
      <c r="AK1884">
        <v>0</v>
      </c>
      <c r="AL1884" t="s">
        <v>52</v>
      </c>
      <c r="AM1884" t="s">
        <v>52</v>
      </c>
      <c r="AN1884">
        <v>0</v>
      </c>
      <c r="AO1884">
        <v>0</v>
      </c>
      <c r="AP1884" t="s">
        <v>52</v>
      </c>
      <c r="AQ1884" t="s">
        <v>52</v>
      </c>
      <c r="AR1884" t="s">
        <v>62</v>
      </c>
      <c r="AS1884" t="s">
        <v>52</v>
      </c>
      <c r="AT1884" t="s">
        <v>74</v>
      </c>
      <c r="AU1884" t="s">
        <v>64</v>
      </c>
      <c r="AV1884" t="s">
        <v>62</v>
      </c>
      <c r="AW1884" t="s">
        <v>65</v>
      </c>
      <c r="AX1884" t="s">
        <v>66</v>
      </c>
      <c r="AY1884" t="s">
        <v>165</v>
      </c>
    </row>
    <row r="1885" spans="1:51" hidden="1" x14ac:dyDescent="0.25">
      <c r="A1885">
        <v>403697</v>
      </c>
      <c r="B1885" t="s">
        <v>7042</v>
      </c>
      <c r="C1885" t="e">
        <f>VLOOKUP(A1885,[1]Customer_payment_journal_line!$AL:$BO,30,0)</f>
        <v>#N/A</v>
      </c>
      <c r="D1885" t="s">
        <v>159</v>
      </c>
      <c r="E1885" t="s">
        <v>7043</v>
      </c>
      <c r="F1885" t="s">
        <v>7044</v>
      </c>
      <c r="G1885" t="s">
        <v>6741</v>
      </c>
      <c r="H1885" t="s">
        <v>80</v>
      </c>
      <c r="I1885" t="s">
        <v>3573</v>
      </c>
      <c r="J1885" t="s">
        <v>5843</v>
      </c>
      <c r="K1885" t="s">
        <v>7019</v>
      </c>
      <c r="L1885" t="s">
        <v>52</v>
      </c>
      <c r="M1885">
        <v>50</v>
      </c>
      <c r="N1885">
        <v>0</v>
      </c>
      <c r="O1885" t="s">
        <v>178</v>
      </c>
      <c r="P1885">
        <v>5085</v>
      </c>
      <c r="Q1885" t="s">
        <v>52</v>
      </c>
      <c r="R1885" t="s">
        <v>52</v>
      </c>
      <c r="S1885" t="s">
        <v>52</v>
      </c>
      <c r="T1885" t="s">
        <v>52</v>
      </c>
      <c r="U1885" t="s">
        <v>52</v>
      </c>
      <c r="V1885" t="s">
        <v>62</v>
      </c>
      <c r="W1885" t="s">
        <v>52</v>
      </c>
      <c r="Y1885" t="s">
        <v>52</v>
      </c>
      <c r="AB1885" t="s">
        <v>52</v>
      </c>
      <c r="AE1885" t="s">
        <v>52</v>
      </c>
      <c r="AF1885" t="s">
        <v>52</v>
      </c>
      <c r="AH1885">
        <v>0</v>
      </c>
      <c r="AI1885">
        <v>0</v>
      </c>
      <c r="AJ1885" t="s">
        <v>52</v>
      </c>
      <c r="AK1885">
        <v>0</v>
      </c>
      <c r="AL1885" t="s">
        <v>52</v>
      </c>
      <c r="AM1885" t="s">
        <v>52</v>
      </c>
      <c r="AN1885">
        <v>0</v>
      </c>
      <c r="AO1885">
        <v>0</v>
      </c>
      <c r="AP1885" t="s">
        <v>52</v>
      </c>
      <c r="AQ1885" t="s">
        <v>52</v>
      </c>
      <c r="AR1885" t="s">
        <v>62</v>
      </c>
      <c r="AS1885" t="s">
        <v>52</v>
      </c>
      <c r="AT1885" t="s">
        <v>52</v>
      </c>
      <c r="AU1885" t="s">
        <v>64</v>
      </c>
      <c r="AV1885" t="s">
        <v>62</v>
      </c>
      <c r="AW1885" t="s">
        <v>65</v>
      </c>
      <c r="AX1885" t="s">
        <v>66</v>
      </c>
      <c r="AY1885" t="s">
        <v>165</v>
      </c>
    </row>
    <row r="1886" spans="1:51" hidden="1" x14ac:dyDescent="0.25">
      <c r="A1886">
        <v>403697</v>
      </c>
      <c r="B1886" t="s">
        <v>7045</v>
      </c>
      <c r="C1886" t="e">
        <f>VLOOKUP(A1886,[1]Customer_payment_journal_line!$AL:$BO,30,0)</f>
        <v>#N/A</v>
      </c>
      <c r="D1886" t="s">
        <v>159</v>
      </c>
      <c r="E1886" t="s">
        <v>7043</v>
      </c>
      <c r="F1886" t="s">
        <v>7044</v>
      </c>
      <c r="G1886" t="s">
        <v>6741</v>
      </c>
      <c r="H1886" t="s">
        <v>69</v>
      </c>
      <c r="I1886" t="s">
        <v>5846</v>
      </c>
      <c r="J1886" t="s">
        <v>5843</v>
      </c>
      <c r="K1886" t="s">
        <v>7019</v>
      </c>
      <c r="L1886" t="s">
        <v>52</v>
      </c>
      <c r="M1886">
        <v>0</v>
      </c>
      <c r="N1886">
        <v>50</v>
      </c>
      <c r="O1886" t="s">
        <v>178</v>
      </c>
      <c r="P1886">
        <v>5085</v>
      </c>
      <c r="Q1886" t="s">
        <v>52</v>
      </c>
      <c r="R1886" t="s">
        <v>52</v>
      </c>
      <c r="S1886" t="s">
        <v>52</v>
      </c>
      <c r="T1886" t="s">
        <v>52</v>
      </c>
      <c r="U1886" t="s">
        <v>52</v>
      </c>
      <c r="V1886" t="s">
        <v>62</v>
      </c>
      <c r="W1886" t="s">
        <v>52</v>
      </c>
      <c r="Y1886" t="s">
        <v>5847</v>
      </c>
      <c r="Z1886" t="s">
        <v>62</v>
      </c>
      <c r="AB1886" t="s">
        <v>7046</v>
      </c>
      <c r="AE1886" t="s">
        <v>7047</v>
      </c>
      <c r="AF1886" t="s">
        <v>52</v>
      </c>
      <c r="AH1886">
        <v>0</v>
      </c>
      <c r="AI1886">
        <v>0</v>
      </c>
      <c r="AJ1886" t="s">
        <v>52</v>
      </c>
      <c r="AK1886">
        <v>0</v>
      </c>
      <c r="AL1886" t="s">
        <v>52</v>
      </c>
      <c r="AM1886" t="s">
        <v>52</v>
      </c>
      <c r="AN1886">
        <v>0</v>
      </c>
      <c r="AO1886">
        <v>0</v>
      </c>
      <c r="AP1886" t="s">
        <v>52</v>
      </c>
      <c r="AQ1886" t="s">
        <v>52</v>
      </c>
      <c r="AR1886" t="s">
        <v>62</v>
      </c>
      <c r="AS1886" t="s">
        <v>52</v>
      </c>
      <c r="AT1886" t="s">
        <v>74</v>
      </c>
      <c r="AU1886" t="s">
        <v>64</v>
      </c>
      <c r="AV1886" t="s">
        <v>62</v>
      </c>
      <c r="AW1886" t="s">
        <v>65</v>
      </c>
      <c r="AX1886" t="s">
        <v>66</v>
      </c>
      <c r="AY1886" t="s">
        <v>165</v>
      </c>
    </row>
    <row r="1887" spans="1:51" hidden="1" x14ac:dyDescent="0.25">
      <c r="A1887">
        <v>404329</v>
      </c>
      <c r="B1887" t="s">
        <v>7048</v>
      </c>
      <c r="C1887" t="e">
        <f>VLOOKUP(A1887,[1]Customer_payment_journal_line!$AL:$BO,30,0)</f>
        <v>#N/A</v>
      </c>
      <c r="D1887" t="s">
        <v>159</v>
      </c>
      <c r="E1887" t="s">
        <v>7049</v>
      </c>
      <c r="F1887" t="s">
        <v>7050</v>
      </c>
      <c r="G1887" t="s">
        <v>6741</v>
      </c>
      <c r="H1887" t="s">
        <v>80</v>
      </c>
      <c r="I1887" t="s">
        <v>5842</v>
      </c>
      <c r="J1887" t="s">
        <v>5843</v>
      </c>
      <c r="K1887" t="s">
        <v>7026</v>
      </c>
      <c r="L1887" t="s">
        <v>52</v>
      </c>
      <c r="M1887">
        <v>855</v>
      </c>
      <c r="N1887">
        <v>0</v>
      </c>
      <c r="O1887" t="s">
        <v>61</v>
      </c>
      <c r="P1887">
        <v>100</v>
      </c>
      <c r="Q1887" t="s">
        <v>52</v>
      </c>
      <c r="R1887" t="s">
        <v>52</v>
      </c>
      <c r="S1887" t="s">
        <v>52</v>
      </c>
      <c r="T1887" t="s">
        <v>52</v>
      </c>
      <c r="U1887" t="s">
        <v>52</v>
      </c>
      <c r="V1887" t="s">
        <v>62</v>
      </c>
      <c r="W1887" t="s">
        <v>52</v>
      </c>
      <c r="Y1887" t="s">
        <v>52</v>
      </c>
      <c r="AB1887" t="s">
        <v>52</v>
      </c>
      <c r="AE1887" t="s">
        <v>52</v>
      </c>
      <c r="AF1887" t="s">
        <v>52</v>
      </c>
      <c r="AG1887" t="s">
        <v>5213</v>
      </c>
      <c r="AH1887">
        <v>0</v>
      </c>
      <c r="AI1887">
        <v>0</v>
      </c>
      <c r="AJ1887" t="s">
        <v>52</v>
      </c>
      <c r="AK1887">
        <v>0</v>
      </c>
      <c r="AL1887" t="s">
        <v>52</v>
      </c>
      <c r="AM1887" t="s">
        <v>52</v>
      </c>
      <c r="AN1887">
        <v>0</v>
      </c>
      <c r="AO1887">
        <v>0</v>
      </c>
      <c r="AP1887" t="s">
        <v>52</v>
      </c>
      <c r="AQ1887" t="s">
        <v>52</v>
      </c>
      <c r="AR1887" t="s">
        <v>62</v>
      </c>
      <c r="AS1887" t="s">
        <v>52</v>
      </c>
      <c r="AT1887" t="s">
        <v>52</v>
      </c>
      <c r="AU1887" t="s">
        <v>64</v>
      </c>
      <c r="AV1887" t="s">
        <v>62</v>
      </c>
      <c r="AW1887" t="s">
        <v>65</v>
      </c>
      <c r="AX1887" t="s">
        <v>66</v>
      </c>
      <c r="AY1887" t="s">
        <v>165</v>
      </c>
    </row>
    <row r="1888" spans="1:51" hidden="1" x14ac:dyDescent="0.25">
      <c r="A1888">
        <v>404329</v>
      </c>
      <c r="B1888" t="s">
        <v>7051</v>
      </c>
      <c r="C1888" t="e">
        <f>VLOOKUP(A1888,[1]Customer_payment_journal_line!$AL:$BO,30,0)</f>
        <v>#N/A</v>
      </c>
      <c r="D1888" t="s">
        <v>159</v>
      </c>
      <c r="E1888" t="s">
        <v>7049</v>
      </c>
      <c r="F1888" t="s">
        <v>7050</v>
      </c>
      <c r="G1888" t="s">
        <v>6741</v>
      </c>
      <c r="H1888" t="s">
        <v>69</v>
      </c>
      <c r="I1888" t="s">
        <v>5846</v>
      </c>
      <c r="J1888" t="s">
        <v>5843</v>
      </c>
      <c r="K1888" t="s">
        <v>7026</v>
      </c>
      <c r="L1888" t="s">
        <v>52</v>
      </c>
      <c r="M1888">
        <v>0</v>
      </c>
      <c r="N1888">
        <v>855</v>
      </c>
      <c r="O1888" t="s">
        <v>61</v>
      </c>
      <c r="P1888">
        <v>100</v>
      </c>
      <c r="Q1888" t="s">
        <v>52</v>
      </c>
      <c r="R1888" t="s">
        <v>52</v>
      </c>
      <c r="S1888" t="s">
        <v>52</v>
      </c>
      <c r="T1888" t="s">
        <v>52</v>
      </c>
      <c r="U1888" t="s">
        <v>52</v>
      </c>
      <c r="V1888" t="s">
        <v>62</v>
      </c>
      <c r="W1888" t="s">
        <v>52</v>
      </c>
      <c r="Y1888" t="s">
        <v>5847</v>
      </c>
      <c r="Z1888" t="s">
        <v>62</v>
      </c>
      <c r="AB1888" t="s">
        <v>7052</v>
      </c>
      <c r="AE1888" t="s">
        <v>7053</v>
      </c>
      <c r="AF1888" t="s">
        <v>52</v>
      </c>
      <c r="AG1888" t="s">
        <v>5213</v>
      </c>
      <c r="AH1888">
        <v>0</v>
      </c>
      <c r="AI1888">
        <v>0</v>
      </c>
      <c r="AJ1888" t="s">
        <v>52</v>
      </c>
      <c r="AK1888">
        <v>0</v>
      </c>
      <c r="AL1888" t="s">
        <v>52</v>
      </c>
      <c r="AM1888" t="s">
        <v>52</v>
      </c>
      <c r="AN1888">
        <v>0</v>
      </c>
      <c r="AO1888">
        <v>0</v>
      </c>
      <c r="AP1888" t="s">
        <v>52</v>
      </c>
      <c r="AQ1888" t="s">
        <v>52</v>
      </c>
      <c r="AR1888" t="s">
        <v>62</v>
      </c>
      <c r="AS1888" t="s">
        <v>52</v>
      </c>
      <c r="AT1888" t="s">
        <v>74</v>
      </c>
      <c r="AU1888" t="s">
        <v>64</v>
      </c>
      <c r="AV1888" t="s">
        <v>62</v>
      </c>
      <c r="AW1888" t="s">
        <v>65</v>
      </c>
      <c r="AX1888" t="s">
        <v>66</v>
      </c>
      <c r="AY1888" t="s">
        <v>165</v>
      </c>
    </row>
    <row r="1889" spans="1:51" hidden="1" x14ac:dyDescent="0.25">
      <c r="A1889">
        <v>406205</v>
      </c>
      <c r="B1889" t="s">
        <v>7054</v>
      </c>
      <c r="C1889" t="e">
        <f>VLOOKUP(A1889,[1]Customer_payment_journal_line!$AL:$BO,30,0)</f>
        <v>#N/A</v>
      </c>
      <c r="D1889" t="s">
        <v>76</v>
      </c>
      <c r="E1889" t="s">
        <v>7055</v>
      </c>
      <c r="F1889" t="s">
        <v>7056</v>
      </c>
      <c r="G1889" t="s">
        <v>6741</v>
      </c>
      <c r="H1889" t="s">
        <v>80</v>
      </c>
      <c r="I1889" t="s">
        <v>81</v>
      </c>
      <c r="J1889" t="s">
        <v>7057</v>
      </c>
      <c r="K1889" t="s">
        <v>5778</v>
      </c>
      <c r="L1889" t="s">
        <v>52</v>
      </c>
      <c r="M1889">
        <v>34605.379999999997</v>
      </c>
      <c r="N1889">
        <v>0</v>
      </c>
      <c r="O1889" t="s">
        <v>61</v>
      </c>
      <c r="P1889">
        <v>100</v>
      </c>
      <c r="Q1889" t="s">
        <v>52</v>
      </c>
      <c r="R1889" t="s">
        <v>52</v>
      </c>
      <c r="S1889" t="s">
        <v>52</v>
      </c>
      <c r="T1889" t="s">
        <v>52</v>
      </c>
      <c r="U1889" t="s">
        <v>52</v>
      </c>
      <c r="V1889" t="s">
        <v>62</v>
      </c>
      <c r="W1889" t="s">
        <v>52</v>
      </c>
      <c r="Y1889" t="s">
        <v>52</v>
      </c>
      <c r="AB1889" t="s">
        <v>52</v>
      </c>
      <c r="AE1889" t="s">
        <v>52</v>
      </c>
      <c r="AF1889" t="s">
        <v>52</v>
      </c>
      <c r="AH1889">
        <v>0</v>
      </c>
      <c r="AI1889">
        <v>0</v>
      </c>
      <c r="AJ1889" t="s">
        <v>52</v>
      </c>
      <c r="AK1889">
        <v>0</v>
      </c>
      <c r="AL1889" t="s">
        <v>52</v>
      </c>
      <c r="AM1889" t="s">
        <v>52</v>
      </c>
      <c r="AN1889">
        <v>0</v>
      </c>
      <c r="AO1889">
        <v>0</v>
      </c>
      <c r="AP1889" t="s">
        <v>52</v>
      </c>
      <c r="AQ1889" t="s">
        <v>52</v>
      </c>
      <c r="AR1889" t="s">
        <v>62</v>
      </c>
      <c r="AS1889" t="s">
        <v>52</v>
      </c>
      <c r="AT1889" t="s">
        <v>52</v>
      </c>
      <c r="AU1889" t="s">
        <v>64</v>
      </c>
      <c r="AV1889" t="s">
        <v>62</v>
      </c>
      <c r="AW1889" t="s">
        <v>65</v>
      </c>
      <c r="AX1889" t="s">
        <v>66</v>
      </c>
      <c r="AY1889" t="s">
        <v>76</v>
      </c>
    </row>
    <row r="1890" spans="1:51" hidden="1" x14ac:dyDescent="0.25">
      <c r="A1890">
        <v>406205</v>
      </c>
      <c r="B1890" t="s">
        <v>7058</v>
      </c>
      <c r="C1890" t="e">
        <f>VLOOKUP(A1890,[1]Customer_payment_journal_line!$AL:$BO,30,0)</f>
        <v>#N/A</v>
      </c>
      <c r="D1890" t="s">
        <v>76</v>
      </c>
      <c r="E1890" t="s">
        <v>7055</v>
      </c>
      <c r="F1890" t="s">
        <v>7056</v>
      </c>
      <c r="G1890" t="s">
        <v>6741</v>
      </c>
      <c r="H1890" t="s">
        <v>69</v>
      </c>
      <c r="I1890" t="s">
        <v>7059</v>
      </c>
      <c r="J1890" t="s">
        <v>7057</v>
      </c>
      <c r="K1890" t="s">
        <v>5778</v>
      </c>
      <c r="L1890" t="s">
        <v>52</v>
      </c>
      <c r="M1890">
        <v>0</v>
      </c>
      <c r="N1890">
        <v>33750.379999999997</v>
      </c>
      <c r="O1890" t="s">
        <v>61</v>
      </c>
      <c r="P1890">
        <v>100</v>
      </c>
      <c r="Q1890" t="s">
        <v>52</v>
      </c>
      <c r="R1890" t="s">
        <v>52</v>
      </c>
      <c r="S1890" t="s">
        <v>52</v>
      </c>
      <c r="T1890" t="s">
        <v>52</v>
      </c>
      <c r="U1890" t="s">
        <v>52</v>
      </c>
      <c r="V1890" t="s">
        <v>62</v>
      </c>
      <c r="W1890" t="s">
        <v>52</v>
      </c>
      <c r="Y1890" t="s">
        <v>7060</v>
      </c>
      <c r="Z1890" t="s">
        <v>62</v>
      </c>
      <c r="AB1890" t="s">
        <v>7061</v>
      </c>
      <c r="AE1890" t="s">
        <v>7062</v>
      </c>
      <c r="AF1890" t="s">
        <v>52</v>
      </c>
      <c r="AH1890">
        <v>0</v>
      </c>
      <c r="AI1890">
        <v>0</v>
      </c>
      <c r="AJ1890" t="s">
        <v>52</v>
      </c>
      <c r="AK1890">
        <v>0</v>
      </c>
      <c r="AL1890" t="s">
        <v>52</v>
      </c>
      <c r="AM1890" t="s">
        <v>52</v>
      </c>
      <c r="AN1890">
        <v>0</v>
      </c>
      <c r="AO1890">
        <v>0</v>
      </c>
      <c r="AP1890" t="s">
        <v>52</v>
      </c>
      <c r="AQ1890" t="s">
        <v>52</v>
      </c>
      <c r="AR1890" t="s">
        <v>62</v>
      </c>
      <c r="AS1890" t="s">
        <v>52</v>
      </c>
      <c r="AT1890" t="s">
        <v>74</v>
      </c>
      <c r="AU1890" t="s">
        <v>64</v>
      </c>
      <c r="AV1890" t="s">
        <v>62</v>
      </c>
      <c r="AW1890" t="s">
        <v>65</v>
      </c>
      <c r="AX1890" t="s">
        <v>66</v>
      </c>
      <c r="AY1890" t="s">
        <v>76</v>
      </c>
    </row>
    <row r="1891" spans="1:51" hidden="1" x14ac:dyDescent="0.25">
      <c r="A1891">
        <v>406205</v>
      </c>
      <c r="B1891" t="s">
        <v>7063</v>
      </c>
      <c r="C1891" t="e">
        <f>VLOOKUP(A1891,[1]Customer_payment_journal_line!$AL:$BO,30,0)</f>
        <v>#N/A</v>
      </c>
      <c r="D1891" t="s">
        <v>76</v>
      </c>
      <c r="E1891" t="s">
        <v>7055</v>
      </c>
      <c r="F1891" t="s">
        <v>7056</v>
      </c>
      <c r="G1891" t="s">
        <v>6741</v>
      </c>
      <c r="H1891" t="s">
        <v>69</v>
      </c>
      <c r="I1891" t="s">
        <v>7059</v>
      </c>
      <c r="J1891" t="s">
        <v>7057</v>
      </c>
      <c r="K1891" t="s">
        <v>5778</v>
      </c>
      <c r="L1891" t="s">
        <v>52</v>
      </c>
      <c r="M1891">
        <v>0</v>
      </c>
      <c r="N1891">
        <v>855</v>
      </c>
      <c r="O1891" t="s">
        <v>61</v>
      </c>
      <c r="P1891">
        <v>100</v>
      </c>
      <c r="Q1891" t="s">
        <v>52</v>
      </c>
      <c r="R1891" t="s">
        <v>52</v>
      </c>
      <c r="S1891" t="s">
        <v>52</v>
      </c>
      <c r="T1891" t="s">
        <v>52</v>
      </c>
      <c r="U1891" t="s">
        <v>52</v>
      </c>
      <c r="V1891" t="s">
        <v>62</v>
      </c>
      <c r="W1891" t="s">
        <v>52</v>
      </c>
      <c r="Y1891" t="s">
        <v>7060</v>
      </c>
      <c r="Z1891" t="s">
        <v>62</v>
      </c>
      <c r="AB1891" t="s">
        <v>7064</v>
      </c>
      <c r="AE1891" t="s">
        <v>7065</v>
      </c>
      <c r="AF1891" t="s">
        <v>52</v>
      </c>
      <c r="AH1891">
        <v>0</v>
      </c>
      <c r="AI1891">
        <v>0</v>
      </c>
      <c r="AJ1891" t="s">
        <v>52</v>
      </c>
      <c r="AK1891">
        <v>0</v>
      </c>
      <c r="AL1891" t="s">
        <v>52</v>
      </c>
      <c r="AM1891" t="s">
        <v>52</v>
      </c>
      <c r="AN1891">
        <v>0</v>
      </c>
      <c r="AO1891">
        <v>0</v>
      </c>
      <c r="AP1891" t="s">
        <v>52</v>
      </c>
      <c r="AQ1891" t="s">
        <v>52</v>
      </c>
      <c r="AR1891" t="s">
        <v>62</v>
      </c>
      <c r="AS1891" t="s">
        <v>52</v>
      </c>
      <c r="AT1891" t="s">
        <v>74</v>
      </c>
      <c r="AU1891" t="s">
        <v>64</v>
      </c>
      <c r="AV1891" t="s">
        <v>62</v>
      </c>
      <c r="AW1891" t="s">
        <v>65</v>
      </c>
      <c r="AX1891" t="s">
        <v>66</v>
      </c>
      <c r="AY1891" t="s">
        <v>76</v>
      </c>
    </row>
    <row r="1892" spans="1:51" hidden="1" x14ac:dyDescent="0.25">
      <c r="A1892">
        <v>406210</v>
      </c>
      <c r="B1892" t="s">
        <v>7066</v>
      </c>
      <c r="C1892" t="e">
        <f>VLOOKUP(A1892,[1]Customer_payment_journal_line!$AL:$BO,30,0)</f>
        <v>#N/A</v>
      </c>
      <c r="D1892" t="s">
        <v>159</v>
      </c>
      <c r="E1892" t="s">
        <v>7067</v>
      </c>
      <c r="F1892" t="s">
        <v>7068</v>
      </c>
      <c r="G1892" t="s">
        <v>6741</v>
      </c>
      <c r="H1892" t="s">
        <v>80</v>
      </c>
      <c r="I1892" t="s">
        <v>269</v>
      </c>
      <c r="J1892" t="s">
        <v>7069</v>
      </c>
      <c r="K1892" t="s">
        <v>7070</v>
      </c>
      <c r="L1892" t="s">
        <v>52</v>
      </c>
      <c r="M1892">
        <v>585</v>
      </c>
      <c r="N1892">
        <v>0</v>
      </c>
      <c r="O1892" t="s">
        <v>178</v>
      </c>
      <c r="P1892">
        <v>5085</v>
      </c>
      <c r="Q1892" t="s">
        <v>52</v>
      </c>
      <c r="R1892" t="s">
        <v>52</v>
      </c>
      <c r="S1892" t="s">
        <v>52</v>
      </c>
      <c r="T1892" t="s">
        <v>52</v>
      </c>
      <c r="U1892" t="s">
        <v>52</v>
      </c>
      <c r="V1892" t="s">
        <v>62</v>
      </c>
      <c r="W1892" t="s">
        <v>52</v>
      </c>
      <c r="Y1892" t="s">
        <v>52</v>
      </c>
      <c r="AB1892" t="s">
        <v>52</v>
      </c>
      <c r="AE1892" t="s">
        <v>52</v>
      </c>
      <c r="AF1892" t="s">
        <v>52</v>
      </c>
      <c r="AH1892">
        <v>0</v>
      </c>
      <c r="AI1892">
        <v>0</v>
      </c>
      <c r="AJ1892" t="s">
        <v>52</v>
      </c>
      <c r="AK1892">
        <v>0</v>
      </c>
      <c r="AL1892" t="s">
        <v>52</v>
      </c>
      <c r="AM1892" t="s">
        <v>52</v>
      </c>
      <c r="AN1892">
        <v>0</v>
      </c>
      <c r="AO1892">
        <v>0</v>
      </c>
      <c r="AP1892" t="s">
        <v>52</v>
      </c>
      <c r="AQ1892" t="s">
        <v>52</v>
      </c>
      <c r="AR1892" t="s">
        <v>62</v>
      </c>
      <c r="AS1892" t="s">
        <v>52</v>
      </c>
      <c r="AT1892" t="s">
        <v>52</v>
      </c>
      <c r="AU1892" t="s">
        <v>64</v>
      </c>
      <c r="AV1892" t="s">
        <v>62</v>
      </c>
      <c r="AW1892" t="s">
        <v>65</v>
      </c>
      <c r="AX1892" t="s">
        <v>66</v>
      </c>
      <c r="AY1892" t="s">
        <v>165</v>
      </c>
    </row>
    <row r="1893" spans="1:51" hidden="1" x14ac:dyDescent="0.25">
      <c r="A1893">
        <v>406210</v>
      </c>
      <c r="B1893" t="s">
        <v>7071</v>
      </c>
      <c r="C1893" t="e">
        <f>VLOOKUP(A1893,[1]Customer_payment_journal_line!$AL:$BO,30,0)</f>
        <v>#N/A</v>
      </c>
      <c r="D1893" t="s">
        <v>159</v>
      </c>
      <c r="E1893" t="s">
        <v>7067</v>
      </c>
      <c r="F1893" t="s">
        <v>7068</v>
      </c>
      <c r="G1893" t="s">
        <v>6741</v>
      </c>
      <c r="H1893" t="s">
        <v>69</v>
      </c>
      <c r="I1893" t="s">
        <v>7072</v>
      </c>
      <c r="J1893" t="s">
        <v>7069</v>
      </c>
      <c r="K1893" t="s">
        <v>7070</v>
      </c>
      <c r="L1893" t="s">
        <v>52</v>
      </c>
      <c r="M1893">
        <v>0</v>
      </c>
      <c r="N1893">
        <v>585</v>
      </c>
      <c r="O1893" t="s">
        <v>178</v>
      </c>
      <c r="P1893">
        <v>5085</v>
      </c>
      <c r="Q1893" t="s">
        <v>52</v>
      </c>
      <c r="R1893" t="s">
        <v>52</v>
      </c>
      <c r="S1893" t="s">
        <v>52</v>
      </c>
      <c r="T1893" t="s">
        <v>52</v>
      </c>
      <c r="U1893" t="s">
        <v>52</v>
      </c>
      <c r="V1893" t="s">
        <v>62</v>
      </c>
      <c r="W1893" t="s">
        <v>52</v>
      </c>
      <c r="Y1893" t="s">
        <v>7073</v>
      </c>
      <c r="Z1893" t="s">
        <v>62</v>
      </c>
      <c r="AB1893" t="s">
        <v>7074</v>
      </c>
      <c r="AE1893" t="s">
        <v>7075</v>
      </c>
      <c r="AF1893" t="s">
        <v>52</v>
      </c>
      <c r="AH1893">
        <v>0</v>
      </c>
      <c r="AI1893">
        <v>0</v>
      </c>
      <c r="AJ1893" t="s">
        <v>52</v>
      </c>
      <c r="AK1893">
        <v>0</v>
      </c>
      <c r="AL1893" t="s">
        <v>52</v>
      </c>
      <c r="AM1893" t="s">
        <v>52</v>
      </c>
      <c r="AN1893">
        <v>0</v>
      </c>
      <c r="AO1893">
        <v>0</v>
      </c>
      <c r="AP1893" t="s">
        <v>52</v>
      </c>
      <c r="AQ1893" t="s">
        <v>52</v>
      </c>
      <c r="AR1893" t="s">
        <v>62</v>
      </c>
      <c r="AS1893" t="s">
        <v>52</v>
      </c>
      <c r="AT1893" t="s">
        <v>74</v>
      </c>
      <c r="AU1893" t="s">
        <v>64</v>
      </c>
      <c r="AV1893" t="s">
        <v>62</v>
      </c>
      <c r="AW1893" t="s">
        <v>65</v>
      </c>
      <c r="AX1893" t="s">
        <v>66</v>
      </c>
      <c r="AY1893" t="s">
        <v>165</v>
      </c>
    </row>
    <row r="1894" spans="1:51" hidden="1" x14ac:dyDescent="0.25">
      <c r="A1894">
        <v>406214</v>
      </c>
      <c r="B1894" t="s">
        <v>7076</v>
      </c>
      <c r="C1894" t="e">
        <f>VLOOKUP(A1894,[1]Customer_payment_journal_line!$AL:$BO,30,0)</f>
        <v>#N/A</v>
      </c>
      <c r="D1894" t="s">
        <v>159</v>
      </c>
      <c r="E1894" t="s">
        <v>7077</v>
      </c>
      <c r="F1894" t="s">
        <v>7078</v>
      </c>
      <c r="G1894" t="s">
        <v>6741</v>
      </c>
      <c r="H1894" t="s">
        <v>80</v>
      </c>
      <c r="I1894" t="s">
        <v>3573</v>
      </c>
      <c r="J1894" t="s">
        <v>5843</v>
      </c>
      <c r="K1894" t="s">
        <v>7079</v>
      </c>
      <c r="L1894" t="s">
        <v>52</v>
      </c>
      <c r="M1894">
        <v>120</v>
      </c>
      <c r="N1894">
        <v>0</v>
      </c>
      <c r="O1894" t="s">
        <v>178</v>
      </c>
      <c r="P1894">
        <v>5085</v>
      </c>
      <c r="Q1894" t="s">
        <v>52</v>
      </c>
      <c r="R1894" t="s">
        <v>52</v>
      </c>
      <c r="S1894" t="s">
        <v>52</v>
      </c>
      <c r="T1894" t="s">
        <v>52</v>
      </c>
      <c r="U1894" t="s">
        <v>52</v>
      </c>
      <c r="V1894" t="s">
        <v>62</v>
      </c>
      <c r="W1894" t="s">
        <v>52</v>
      </c>
      <c r="Y1894" t="s">
        <v>52</v>
      </c>
      <c r="AB1894" t="s">
        <v>52</v>
      </c>
      <c r="AE1894" t="s">
        <v>52</v>
      </c>
      <c r="AF1894" t="s">
        <v>52</v>
      </c>
      <c r="AG1894" t="s">
        <v>5213</v>
      </c>
      <c r="AH1894">
        <v>0</v>
      </c>
      <c r="AI1894">
        <v>0</v>
      </c>
      <c r="AJ1894" t="s">
        <v>52</v>
      </c>
      <c r="AK1894">
        <v>0</v>
      </c>
      <c r="AL1894" t="s">
        <v>52</v>
      </c>
      <c r="AM1894" t="s">
        <v>52</v>
      </c>
      <c r="AN1894">
        <v>0</v>
      </c>
      <c r="AO1894">
        <v>0</v>
      </c>
      <c r="AP1894" t="s">
        <v>52</v>
      </c>
      <c r="AQ1894" t="s">
        <v>52</v>
      </c>
      <c r="AR1894" t="s">
        <v>62</v>
      </c>
      <c r="AS1894" t="s">
        <v>52</v>
      </c>
      <c r="AT1894" t="s">
        <v>52</v>
      </c>
      <c r="AU1894" t="s">
        <v>64</v>
      </c>
      <c r="AV1894" t="s">
        <v>62</v>
      </c>
      <c r="AW1894" t="s">
        <v>65</v>
      </c>
      <c r="AX1894" t="s">
        <v>66</v>
      </c>
      <c r="AY1894" t="s">
        <v>165</v>
      </c>
    </row>
    <row r="1895" spans="1:51" hidden="1" x14ac:dyDescent="0.25">
      <c r="A1895">
        <v>406214</v>
      </c>
      <c r="B1895" t="s">
        <v>7080</v>
      </c>
      <c r="C1895" t="e">
        <f>VLOOKUP(A1895,[1]Customer_payment_journal_line!$AL:$BO,30,0)</f>
        <v>#N/A</v>
      </c>
      <c r="D1895" t="s">
        <v>159</v>
      </c>
      <c r="E1895" t="s">
        <v>7077</v>
      </c>
      <c r="F1895" t="s">
        <v>7078</v>
      </c>
      <c r="G1895" t="s">
        <v>6741</v>
      </c>
      <c r="H1895" t="s">
        <v>69</v>
      </c>
      <c r="I1895" t="s">
        <v>5846</v>
      </c>
      <c r="J1895" t="s">
        <v>5843</v>
      </c>
      <c r="K1895" t="s">
        <v>7079</v>
      </c>
      <c r="L1895" t="s">
        <v>52</v>
      </c>
      <c r="M1895">
        <v>0</v>
      </c>
      <c r="N1895">
        <v>120</v>
      </c>
      <c r="O1895" t="s">
        <v>178</v>
      </c>
      <c r="P1895">
        <v>5085</v>
      </c>
      <c r="Q1895" t="s">
        <v>52</v>
      </c>
      <c r="R1895" t="s">
        <v>52</v>
      </c>
      <c r="S1895" t="s">
        <v>52</v>
      </c>
      <c r="T1895" t="s">
        <v>52</v>
      </c>
      <c r="U1895" t="s">
        <v>52</v>
      </c>
      <c r="V1895" t="s">
        <v>62</v>
      </c>
      <c r="W1895" t="s">
        <v>52</v>
      </c>
      <c r="Y1895" t="s">
        <v>5847</v>
      </c>
      <c r="Z1895" t="s">
        <v>62</v>
      </c>
      <c r="AB1895" t="s">
        <v>7081</v>
      </c>
      <c r="AE1895" t="s">
        <v>7082</v>
      </c>
      <c r="AF1895" t="s">
        <v>52</v>
      </c>
      <c r="AG1895" t="s">
        <v>5213</v>
      </c>
      <c r="AH1895">
        <v>0</v>
      </c>
      <c r="AI1895">
        <v>0</v>
      </c>
      <c r="AJ1895" t="s">
        <v>52</v>
      </c>
      <c r="AK1895">
        <v>0</v>
      </c>
      <c r="AL1895" t="s">
        <v>52</v>
      </c>
      <c r="AM1895" t="s">
        <v>52</v>
      </c>
      <c r="AN1895">
        <v>0</v>
      </c>
      <c r="AO1895">
        <v>0</v>
      </c>
      <c r="AP1895" t="s">
        <v>52</v>
      </c>
      <c r="AQ1895" t="s">
        <v>52</v>
      </c>
      <c r="AR1895" t="s">
        <v>62</v>
      </c>
      <c r="AS1895" t="s">
        <v>52</v>
      </c>
      <c r="AT1895" t="s">
        <v>74</v>
      </c>
      <c r="AU1895" t="s">
        <v>64</v>
      </c>
      <c r="AV1895" t="s">
        <v>62</v>
      </c>
      <c r="AW1895" t="s">
        <v>65</v>
      </c>
      <c r="AX1895" t="s">
        <v>66</v>
      </c>
      <c r="AY1895" t="s">
        <v>165</v>
      </c>
    </row>
    <row r="1896" spans="1:51" hidden="1" x14ac:dyDescent="0.25">
      <c r="A1896">
        <v>406215</v>
      </c>
      <c r="B1896" t="s">
        <v>7083</v>
      </c>
      <c r="C1896" t="e">
        <f>VLOOKUP(A1896,[1]Customer_payment_journal_line!$AL:$BO,30,0)</f>
        <v>#N/A</v>
      </c>
      <c r="D1896" t="s">
        <v>76</v>
      </c>
      <c r="E1896" t="s">
        <v>7084</v>
      </c>
      <c r="F1896" t="s">
        <v>7085</v>
      </c>
      <c r="G1896" t="s">
        <v>6741</v>
      </c>
      <c r="H1896" t="s">
        <v>80</v>
      </c>
      <c r="I1896" t="s">
        <v>81</v>
      </c>
      <c r="J1896" t="s">
        <v>7086</v>
      </c>
      <c r="K1896" t="s">
        <v>7087</v>
      </c>
      <c r="L1896" t="s">
        <v>52</v>
      </c>
      <c r="M1896">
        <v>6327</v>
      </c>
      <c r="N1896">
        <v>0</v>
      </c>
      <c r="O1896" t="s">
        <v>61</v>
      </c>
      <c r="P1896">
        <v>100</v>
      </c>
      <c r="Q1896" t="s">
        <v>52</v>
      </c>
      <c r="R1896" t="s">
        <v>52</v>
      </c>
      <c r="S1896" t="s">
        <v>52</v>
      </c>
      <c r="T1896" t="s">
        <v>52</v>
      </c>
      <c r="U1896" t="s">
        <v>52</v>
      </c>
      <c r="V1896" t="s">
        <v>62</v>
      </c>
      <c r="W1896" t="s">
        <v>52</v>
      </c>
      <c r="Y1896" t="s">
        <v>52</v>
      </c>
      <c r="AB1896" t="s">
        <v>52</v>
      </c>
      <c r="AE1896" t="s">
        <v>52</v>
      </c>
      <c r="AF1896" t="s">
        <v>52</v>
      </c>
      <c r="AH1896">
        <v>0</v>
      </c>
      <c r="AI1896">
        <v>0</v>
      </c>
      <c r="AJ1896" t="s">
        <v>52</v>
      </c>
      <c r="AK1896">
        <v>0</v>
      </c>
      <c r="AL1896" t="s">
        <v>52</v>
      </c>
      <c r="AM1896" t="s">
        <v>52</v>
      </c>
      <c r="AN1896">
        <v>0</v>
      </c>
      <c r="AO1896">
        <v>0</v>
      </c>
      <c r="AP1896" t="s">
        <v>52</v>
      </c>
      <c r="AQ1896" t="s">
        <v>52</v>
      </c>
      <c r="AR1896" t="s">
        <v>62</v>
      </c>
      <c r="AS1896" t="s">
        <v>52</v>
      </c>
      <c r="AT1896" t="s">
        <v>52</v>
      </c>
      <c r="AU1896" t="s">
        <v>64</v>
      </c>
      <c r="AV1896" t="s">
        <v>62</v>
      </c>
      <c r="AW1896" t="s">
        <v>65</v>
      </c>
      <c r="AX1896" t="s">
        <v>66</v>
      </c>
      <c r="AY1896" t="s">
        <v>76</v>
      </c>
    </row>
    <row r="1897" spans="1:51" hidden="1" x14ac:dyDescent="0.25">
      <c r="A1897">
        <v>406215</v>
      </c>
      <c r="B1897" t="s">
        <v>7088</v>
      </c>
      <c r="C1897" t="e">
        <f>VLOOKUP(A1897,[1]Customer_payment_journal_line!$AL:$BO,30,0)</f>
        <v>#N/A</v>
      </c>
      <c r="D1897" t="s">
        <v>76</v>
      </c>
      <c r="E1897" t="s">
        <v>7084</v>
      </c>
      <c r="F1897" t="s">
        <v>7085</v>
      </c>
      <c r="G1897" t="s">
        <v>6741</v>
      </c>
      <c r="H1897" t="s">
        <v>69</v>
      </c>
      <c r="I1897" t="s">
        <v>2657</v>
      </c>
      <c r="J1897" t="s">
        <v>7086</v>
      </c>
      <c r="K1897" t="s">
        <v>7087</v>
      </c>
      <c r="L1897" t="s">
        <v>52</v>
      </c>
      <c r="M1897">
        <v>0</v>
      </c>
      <c r="N1897">
        <v>5472</v>
      </c>
      <c r="O1897" t="s">
        <v>61</v>
      </c>
      <c r="P1897">
        <v>100</v>
      </c>
      <c r="Q1897" t="s">
        <v>52</v>
      </c>
      <c r="R1897" t="s">
        <v>52</v>
      </c>
      <c r="S1897" t="s">
        <v>52</v>
      </c>
      <c r="T1897" t="s">
        <v>52</v>
      </c>
      <c r="U1897" t="s">
        <v>52</v>
      </c>
      <c r="V1897" t="s">
        <v>62</v>
      </c>
      <c r="W1897" t="s">
        <v>52</v>
      </c>
      <c r="Y1897" t="s">
        <v>2658</v>
      </c>
      <c r="Z1897" t="s">
        <v>62</v>
      </c>
      <c r="AB1897" t="s">
        <v>7089</v>
      </c>
      <c r="AE1897" t="s">
        <v>7090</v>
      </c>
      <c r="AF1897" t="s">
        <v>52</v>
      </c>
      <c r="AH1897">
        <v>0</v>
      </c>
      <c r="AI1897">
        <v>0</v>
      </c>
      <c r="AJ1897" t="s">
        <v>52</v>
      </c>
      <c r="AK1897">
        <v>0</v>
      </c>
      <c r="AL1897" t="s">
        <v>52</v>
      </c>
      <c r="AM1897" t="s">
        <v>52</v>
      </c>
      <c r="AN1897">
        <v>0</v>
      </c>
      <c r="AO1897">
        <v>0</v>
      </c>
      <c r="AP1897" t="s">
        <v>52</v>
      </c>
      <c r="AQ1897" t="s">
        <v>52</v>
      </c>
      <c r="AR1897" t="s">
        <v>62</v>
      </c>
      <c r="AS1897" t="s">
        <v>52</v>
      </c>
      <c r="AT1897" t="s">
        <v>74</v>
      </c>
      <c r="AU1897" t="s">
        <v>64</v>
      </c>
      <c r="AV1897" t="s">
        <v>62</v>
      </c>
      <c r="AW1897" t="s">
        <v>65</v>
      </c>
      <c r="AX1897" t="s">
        <v>66</v>
      </c>
      <c r="AY1897" t="s">
        <v>76</v>
      </c>
    </row>
    <row r="1898" spans="1:51" hidden="1" x14ac:dyDescent="0.25">
      <c r="A1898">
        <v>406215</v>
      </c>
      <c r="B1898" t="s">
        <v>7091</v>
      </c>
      <c r="C1898" t="e">
        <f>VLOOKUP(A1898,[1]Customer_payment_journal_line!$AL:$BO,30,0)</f>
        <v>#N/A</v>
      </c>
      <c r="D1898" t="s">
        <v>76</v>
      </c>
      <c r="E1898" t="s">
        <v>7084</v>
      </c>
      <c r="F1898" t="s">
        <v>7085</v>
      </c>
      <c r="G1898" t="s">
        <v>6741</v>
      </c>
      <c r="H1898" t="s">
        <v>69</v>
      </c>
      <c r="I1898" t="s">
        <v>2657</v>
      </c>
      <c r="J1898" t="s">
        <v>7086</v>
      </c>
      <c r="K1898" t="s">
        <v>7087</v>
      </c>
      <c r="L1898" t="s">
        <v>52</v>
      </c>
      <c r="M1898">
        <v>0</v>
      </c>
      <c r="N1898">
        <v>855</v>
      </c>
      <c r="O1898" t="s">
        <v>61</v>
      </c>
      <c r="P1898">
        <v>100</v>
      </c>
      <c r="Q1898" t="s">
        <v>52</v>
      </c>
      <c r="R1898" t="s">
        <v>52</v>
      </c>
      <c r="S1898" t="s">
        <v>52</v>
      </c>
      <c r="T1898" t="s">
        <v>52</v>
      </c>
      <c r="U1898" t="s">
        <v>52</v>
      </c>
      <c r="V1898" t="s">
        <v>62</v>
      </c>
      <c r="W1898" t="s">
        <v>52</v>
      </c>
      <c r="Y1898" t="s">
        <v>2658</v>
      </c>
      <c r="Z1898" t="s">
        <v>62</v>
      </c>
      <c r="AB1898" t="s">
        <v>7092</v>
      </c>
      <c r="AE1898" t="s">
        <v>7093</v>
      </c>
      <c r="AF1898" t="s">
        <v>52</v>
      </c>
      <c r="AH1898">
        <v>0</v>
      </c>
      <c r="AI1898">
        <v>0</v>
      </c>
      <c r="AJ1898" t="s">
        <v>52</v>
      </c>
      <c r="AK1898">
        <v>0</v>
      </c>
      <c r="AL1898" t="s">
        <v>52</v>
      </c>
      <c r="AM1898" t="s">
        <v>52</v>
      </c>
      <c r="AN1898">
        <v>0</v>
      </c>
      <c r="AO1898">
        <v>0</v>
      </c>
      <c r="AP1898" t="s">
        <v>52</v>
      </c>
      <c r="AQ1898" t="s">
        <v>52</v>
      </c>
      <c r="AR1898" t="s">
        <v>62</v>
      </c>
      <c r="AS1898" t="s">
        <v>52</v>
      </c>
      <c r="AT1898" t="s">
        <v>74</v>
      </c>
      <c r="AU1898" t="s">
        <v>64</v>
      </c>
      <c r="AV1898" t="s">
        <v>62</v>
      </c>
      <c r="AW1898" t="s">
        <v>65</v>
      </c>
      <c r="AX1898" t="s">
        <v>66</v>
      </c>
      <c r="AY1898" t="s">
        <v>76</v>
      </c>
    </row>
    <row r="1899" spans="1:51" hidden="1" x14ac:dyDescent="0.25">
      <c r="A1899">
        <v>406216</v>
      </c>
      <c r="B1899" t="s">
        <v>7094</v>
      </c>
      <c r="C1899" t="e">
        <f>VLOOKUP(A1899,[1]Customer_payment_journal_line!$AL:$BO,30,0)</f>
        <v>#N/A</v>
      </c>
      <c r="D1899" t="s">
        <v>159</v>
      </c>
      <c r="E1899" t="s">
        <v>7095</v>
      </c>
      <c r="F1899" t="s">
        <v>7096</v>
      </c>
      <c r="G1899" t="s">
        <v>6741</v>
      </c>
      <c r="H1899" t="s">
        <v>80</v>
      </c>
      <c r="I1899" t="s">
        <v>3573</v>
      </c>
      <c r="J1899" t="s">
        <v>5843</v>
      </c>
      <c r="K1899" t="s">
        <v>7097</v>
      </c>
      <c r="L1899" t="s">
        <v>52</v>
      </c>
      <c r="M1899">
        <v>595</v>
      </c>
      <c r="N1899">
        <v>0</v>
      </c>
      <c r="O1899" t="s">
        <v>178</v>
      </c>
      <c r="P1899">
        <v>5085</v>
      </c>
      <c r="Q1899" t="s">
        <v>52</v>
      </c>
      <c r="R1899" t="s">
        <v>52</v>
      </c>
      <c r="S1899" t="s">
        <v>52</v>
      </c>
      <c r="T1899" t="s">
        <v>52</v>
      </c>
      <c r="U1899" t="s">
        <v>52</v>
      </c>
      <c r="V1899" t="s">
        <v>62</v>
      </c>
      <c r="W1899" t="s">
        <v>52</v>
      </c>
      <c r="Y1899" t="s">
        <v>52</v>
      </c>
      <c r="AB1899" t="s">
        <v>52</v>
      </c>
      <c r="AE1899" t="s">
        <v>52</v>
      </c>
      <c r="AF1899" t="s">
        <v>52</v>
      </c>
      <c r="AG1899" t="s">
        <v>5213</v>
      </c>
      <c r="AH1899">
        <v>0</v>
      </c>
      <c r="AI1899">
        <v>0</v>
      </c>
      <c r="AJ1899" t="s">
        <v>52</v>
      </c>
      <c r="AK1899">
        <v>0</v>
      </c>
      <c r="AL1899" t="s">
        <v>52</v>
      </c>
      <c r="AM1899" t="s">
        <v>52</v>
      </c>
      <c r="AN1899">
        <v>0</v>
      </c>
      <c r="AO1899">
        <v>0</v>
      </c>
      <c r="AP1899" t="s">
        <v>52</v>
      </c>
      <c r="AQ1899" t="s">
        <v>52</v>
      </c>
      <c r="AR1899" t="s">
        <v>62</v>
      </c>
      <c r="AS1899" t="s">
        <v>52</v>
      </c>
      <c r="AT1899" t="s">
        <v>52</v>
      </c>
      <c r="AU1899" t="s">
        <v>64</v>
      </c>
      <c r="AV1899" t="s">
        <v>62</v>
      </c>
      <c r="AW1899" t="s">
        <v>65</v>
      </c>
      <c r="AX1899" t="s">
        <v>66</v>
      </c>
      <c r="AY1899" t="s">
        <v>165</v>
      </c>
    </row>
    <row r="1900" spans="1:51" hidden="1" x14ac:dyDescent="0.25">
      <c r="A1900">
        <v>406216</v>
      </c>
      <c r="B1900" t="s">
        <v>7098</v>
      </c>
      <c r="C1900" t="e">
        <f>VLOOKUP(A1900,[1]Customer_payment_journal_line!$AL:$BO,30,0)</f>
        <v>#N/A</v>
      </c>
      <c r="D1900" t="s">
        <v>159</v>
      </c>
      <c r="E1900" t="s">
        <v>7095</v>
      </c>
      <c r="F1900" t="s">
        <v>7096</v>
      </c>
      <c r="G1900" t="s">
        <v>6741</v>
      </c>
      <c r="H1900" t="s">
        <v>69</v>
      </c>
      <c r="I1900" t="s">
        <v>5846</v>
      </c>
      <c r="J1900" t="s">
        <v>5843</v>
      </c>
      <c r="K1900" t="s">
        <v>7097</v>
      </c>
      <c r="L1900" t="s">
        <v>52</v>
      </c>
      <c r="M1900">
        <v>0</v>
      </c>
      <c r="N1900">
        <v>595</v>
      </c>
      <c r="O1900" t="s">
        <v>178</v>
      </c>
      <c r="P1900">
        <v>5085</v>
      </c>
      <c r="Q1900" t="s">
        <v>52</v>
      </c>
      <c r="R1900" t="s">
        <v>52</v>
      </c>
      <c r="S1900" t="s">
        <v>52</v>
      </c>
      <c r="T1900" t="s">
        <v>52</v>
      </c>
      <c r="U1900" t="s">
        <v>52</v>
      </c>
      <c r="V1900" t="s">
        <v>62</v>
      </c>
      <c r="W1900" t="s">
        <v>52</v>
      </c>
      <c r="Y1900" t="s">
        <v>5847</v>
      </c>
      <c r="Z1900" t="s">
        <v>62</v>
      </c>
      <c r="AB1900" t="s">
        <v>7099</v>
      </c>
      <c r="AE1900" t="s">
        <v>7100</v>
      </c>
      <c r="AF1900" t="s">
        <v>52</v>
      </c>
      <c r="AG1900" t="s">
        <v>5213</v>
      </c>
      <c r="AH1900">
        <v>0</v>
      </c>
      <c r="AI1900">
        <v>0</v>
      </c>
      <c r="AJ1900" t="s">
        <v>52</v>
      </c>
      <c r="AK1900">
        <v>0</v>
      </c>
      <c r="AL1900" t="s">
        <v>52</v>
      </c>
      <c r="AM1900" t="s">
        <v>52</v>
      </c>
      <c r="AN1900">
        <v>0</v>
      </c>
      <c r="AO1900">
        <v>0</v>
      </c>
      <c r="AP1900" t="s">
        <v>52</v>
      </c>
      <c r="AQ1900" t="s">
        <v>52</v>
      </c>
      <c r="AR1900" t="s">
        <v>62</v>
      </c>
      <c r="AS1900" t="s">
        <v>52</v>
      </c>
      <c r="AT1900" t="s">
        <v>74</v>
      </c>
      <c r="AU1900" t="s">
        <v>64</v>
      </c>
      <c r="AV1900" t="s">
        <v>62</v>
      </c>
      <c r="AW1900" t="s">
        <v>65</v>
      </c>
      <c r="AX1900" t="s">
        <v>66</v>
      </c>
      <c r="AY1900" t="s">
        <v>165</v>
      </c>
    </row>
    <row r="1901" spans="1:51" hidden="1" x14ac:dyDescent="0.25">
      <c r="A1901">
        <v>406217</v>
      </c>
      <c r="B1901" t="s">
        <v>7101</v>
      </c>
      <c r="C1901" t="e">
        <f>VLOOKUP(A1901,[1]Customer_payment_journal_line!$AL:$BO,30,0)</f>
        <v>#N/A</v>
      </c>
      <c r="D1901" t="s">
        <v>159</v>
      </c>
      <c r="E1901" t="s">
        <v>7102</v>
      </c>
      <c r="F1901" t="s">
        <v>7103</v>
      </c>
      <c r="G1901" t="s">
        <v>6741</v>
      </c>
      <c r="H1901" t="s">
        <v>80</v>
      </c>
      <c r="I1901" t="s">
        <v>5842</v>
      </c>
      <c r="J1901" t="s">
        <v>5843</v>
      </c>
      <c r="K1901" t="s">
        <v>7097</v>
      </c>
      <c r="L1901" t="s">
        <v>52</v>
      </c>
      <c r="M1901">
        <v>9690</v>
      </c>
      <c r="N1901">
        <v>0</v>
      </c>
      <c r="O1901" t="s">
        <v>61</v>
      </c>
      <c r="P1901">
        <v>100</v>
      </c>
      <c r="Q1901" t="s">
        <v>52</v>
      </c>
      <c r="R1901" t="s">
        <v>52</v>
      </c>
      <c r="S1901" t="s">
        <v>52</v>
      </c>
      <c r="T1901" t="s">
        <v>52</v>
      </c>
      <c r="U1901" t="s">
        <v>52</v>
      </c>
      <c r="V1901" t="s">
        <v>62</v>
      </c>
      <c r="W1901" t="s">
        <v>52</v>
      </c>
      <c r="Y1901" t="s">
        <v>52</v>
      </c>
      <c r="AB1901" t="s">
        <v>52</v>
      </c>
      <c r="AE1901" t="s">
        <v>52</v>
      </c>
      <c r="AF1901" t="s">
        <v>52</v>
      </c>
      <c r="AG1901" t="s">
        <v>5213</v>
      </c>
      <c r="AH1901">
        <v>0</v>
      </c>
      <c r="AI1901">
        <v>0</v>
      </c>
      <c r="AJ1901" t="s">
        <v>52</v>
      </c>
      <c r="AK1901">
        <v>0</v>
      </c>
      <c r="AL1901" t="s">
        <v>52</v>
      </c>
      <c r="AM1901" t="s">
        <v>52</v>
      </c>
      <c r="AN1901">
        <v>0</v>
      </c>
      <c r="AO1901">
        <v>0</v>
      </c>
      <c r="AP1901" t="s">
        <v>52</v>
      </c>
      <c r="AQ1901" t="s">
        <v>52</v>
      </c>
      <c r="AR1901" t="s">
        <v>62</v>
      </c>
      <c r="AS1901" t="s">
        <v>52</v>
      </c>
      <c r="AT1901" t="s">
        <v>52</v>
      </c>
      <c r="AU1901" t="s">
        <v>64</v>
      </c>
      <c r="AV1901" t="s">
        <v>62</v>
      </c>
      <c r="AW1901" t="s">
        <v>65</v>
      </c>
      <c r="AX1901" t="s">
        <v>66</v>
      </c>
      <c r="AY1901" t="s">
        <v>165</v>
      </c>
    </row>
    <row r="1902" spans="1:51" hidden="1" x14ac:dyDescent="0.25">
      <c r="A1902">
        <v>406217</v>
      </c>
      <c r="B1902" t="s">
        <v>7104</v>
      </c>
      <c r="C1902" t="e">
        <f>VLOOKUP(A1902,[1]Customer_payment_journal_line!$AL:$BO,30,0)</f>
        <v>#N/A</v>
      </c>
      <c r="D1902" t="s">
        <v>159</v>
      </c>
      <c r="E1902" t="s">
        <v>7102</v>
      </c>
      <c r="F1902" t="s">
        <v>7103</v>
      </c>
      <c r="G1902" t="s">
        <v>6741</v>
      </c>
      <c r="H1902" t="s">
        <v>69</v>
      </c>
      <c r="I1902" t="s">
        <v>5846</v>
      </c>
      <c r="J1902" t="s">
        <v>5843</v>
      </c>
      <c r="K1902" t="s">
        <v>7097</v>
      </c>
      <c r="L1902" t="s">
        <v>52</v>
      </c>
      <c r="M1902">
        <v>0</v>
      </c>
      <c r="N1902">
        <v>9690</v>
      </c>
      <c r="O1902" t="s">
        <v>61</v>
      </c>
      <c r="P1902">
        <v>100</v>
      </c>
      <c r="Q1902" t="s">
        <v>52</v>
      </c>
      <c r="R1902" t="s">
        <v>52</v>
      </c>
      <c r="S1902" t="s">
        <v>52</v>
      </c>
      <c r="T1902" t="s">
        <v>52</v>
      </c>
      <c r="U1902" t="s">
        <v>52</v>
      </c>
      <c r="V1902" t="s">
        <v>62</v>
      </c>
      <c r="W1902" t="s">
        <v>52</v>
      </c>
      <c r="Y1902" t="s">
        <v>5847</v>
      </c>
      <c r="Z1902" t="s">
        <v>62</v>
      </c>
      <c r="AB1902" t="s">
        <v>7105</v>
      </c>
      <c r="AE1902" t="s">
        <v>7106</v>
      </c>
      <c r="AF1902" t="s">
        <v>52</v>
      </c>
      <c r="AG1902" t="s">
        <v>5213</v>
      </c>
      <c r="AH1902">
        <v>0</v>
      </c>
      <c r="AI1902">
        <v>0</v>
      </c>
      <c r="AJ1902" t="s">
        <v>52</v>
      </c>
      <c r="AK1902">
        <v>0</v>
      </c>
      <c r="AL1902" t="s">
        <v>52</v>
      </c>
      <c r="AM1902" t="s">
        <v>52</v>
      </c>
      <c r="AN1902">
        <v>0</v>
      </c>
      <c r="AO1902">
        <v>0</v>
      </c>
      <c r="AP1902" t="s">
        <v>52</v>
      </c>
      <c r="AQ1902" t="s">
        <v>52</v>
      </c>
      <c r="AR1902" t="s">
        <v>62</v>
      </c>
      <c r="AS1902" t="s">
        <v>52</v>
      </c>
      <c r="AT1902" t="s">
        <v>74</v>
      </c>
      <c r="AU1902" t="s">
        <v>64</v>
      </c>
      <c r="AV1902" t="s">
        <v>62</v>
      </c>
      <c r="AW1902" t="s">
        <v>65</v>
      </c>
      <c r="AX1902" t="s">
        <v>66</v>
      </c>
      <c r="AY1902" t="s">
        <v>165</v>
      </c>
    </row>
    <row r="1903" spans="1:51" hidden="1" x14ac:dyDescent="0.25">
      <c r="A1903">
        <v>406218</v>
      </c>
      <c r="B1903" t="s">
        <v>7107</v>
      </c>
      <c r="C1903" t="e">
        <f>VLOOKUP(A1903,[1]Customer_payment_journal_line!$AL:$BO,30,0)</f>
        <v>#N/A</v>
      </c>
      <c r="D1903" t="s">
        <v>159</v>
      </c>
      <c r="E1903" t="s">
        <v>7108</v>
      </c>
      <c r="F1903" t="s">
        <v>7109</v>
      </c>
      <c r="G1903" t="s">
        <v>6741</v>
      </c>
      <c r="H1903" t="s">
        <v>80</v>
      </c>
      <c r="I1903" t="s">
        <v>5842</v>
      </c>
      <c r="J1903" t="s">
        <v>5843</v>
      </c>
      <c r="K1903" t="s">
        <v>7097</v>
      </c>
      <c r="L1903" t="s">
        <v>52</v>
      </c>
      <c r="M1903">
        <v>855</v>
      </c>
      <c r="N1903">
        <v>0</v>
      </c>
      <c r="O1903" t="s">
        <v>61</v>
      </c>
      <c r="P1903">
        <v>100</v>
      </c>
      <c r="Q1903" t="s">
        <v>52</v>
      </c>
      <c r="R1903" t="s">
        <v>52</v>
      </c>
      <c r="S1903" t="s">
        <v>52</v>
      </c>
      <c r="T1903" t="s">
        <v>52</v>
      </c>
      <c r="U1903" t="s">
        <v>52</v>
      </c>
      <c r="V1903" t="s">
        <v>62</v>
      </c>
      <c r="W1903" t="s">
        <v>52</v>
      </c>
      <c r="Y1903" t="s">
        <v>52</v>
      </c>
      <c r="AB1903" t="s">
        <v>52</v>
      </c>
      <c r="AE1903" t="s">
        <v>52</v>
      </c>
      <c r="AF1903" t="s">
        <v>52</v>
      </c>
      <c r="AG1903" t="s">
        <v>5213</v>
      </c>
      <c r="AH1903">
        <v>0</v>
      </c>
      <c r="AI1903">
        <v>0</v>
      </c>
      <c r="AJ1903" t="s">
        <v>52</v>
      </c>
      <c r="AK1903">
        <v>0</v>
      </c>
      <c r="AL1903" t="s">
        <v>52</v>
      </c>
      <c r="AM1903" t="s">
        <v>52</v>
      </c>
      <c r="AN1903">
        <v>0</v>
      </c>
      <c r="AO1903">
        <v>0</v>
      </c>
      <c r="AP1903" t="s">
        <v>52</v>
      </c>
      <c r="AQ1903" t="s">
        <v>52</v>
      </c>
      <c r="AR1903" t="s">
        <v>62</v>
      </c>
      <c r="AS1903" t="s">
        <v>52</v>
      </c>
      <c r="AT1903" t="s">
        <v>52</v>
      </c>
      <c r="AU1903" t="s">
        <v>64</v>
      </c>
      <c r="AV1903" t="s">
        <v>62</v>
      </c>
      <c r="AW1903" t="s">
        <v>65</v>
      </c>
      <c r="AX1903" t="s">
        <v>66</v>
      </c>
      <c r="AY1903" t="s">
        <v>165</v>
      </c>
    </row>
    <row r="1904" spans="1:51" hidden="1" x14ac:dyDescent="0.25">
      <c r="A1904">
        <v>406218</v>
      </c>
      <c r="B1904" t="s">
        <v>7110</v>
      </c>
      <c r="C1904" t="e">
        <f>VLOOKUP(A1904,[1]Customer_payment_journal_line!$AL:$BO,30,0)</f>
        <v>#N/A</v>
      </c>
      <c r="D1904" t="s">
        <v>159</v>
      </c>
      <c r="E1904" t="s">
        <v>7108</v>
      </c>
      <c r="F1904" t="s">
        <v>7109</v>
      </c>
      <c r="G1904" t="s">
        <v>6741</v>
      </c>
      <c r="H1904" t="s">
        <v>69</v>
      </c>
      <c r="I1904" t="s">
        <v>5846</v>
      </c>
      <c r="J1904" t="s">
        <v>5843</v>
      </c>
      <c r="K1904" t="s">
        <v>7097</v>
      </c>
      <c r="L1904" t="s">
        <v>52</v>
      </c>
      <c r="M1904">
        <v>0</v>
      </c>
      <c r="N1904">
        <v>855</v>
      </c>
      <c r="O1904" t="s">
        <v>61</v>
      </c>
      <c r="P1904">
        <v>100</v>
      </c>
      <c r="Q1904" t="s">
        <v>52</v>
      </c>
      <c r="R1904" t="s">
        <v>52</v>
      </c>
      <c r="S1904" t="s">
        <v>52</v>
      </c>
      <c r="T1904" t="s">
        <v>52</v>
      </c>
      <c r="U1904" t="s">
        <v>52</v>
      </c>
      <c r="V1904" t="s">
        <v>62</v>
      </c>
      <c r="W1904" t="s">
        <v>52</v>
      </c>
      <c r="Y1904" t="s">
        <v>5847</v>
      </c>
      <c r="Z1904" t="s">
        <v>62</v>
      </c>
      <c r="AB1904" t="s">
        <v>7111</v>
      </c>
      <c r="AE1904" t="s">
        <v>7112</v>
      </c>
      <c r="AF1904" t="s">
        <v>52</v>
      </c>
      <c r="AG1904" t="s">
        <v>5213</v>
      </c>
      <c r="AH1904">
        <v>0</v>
      </c>
      <c r="AI1904">
        <v>0</v>
      </c>
      <c r="AJ1904" t="s">
        <v>52</v>
      </c>
      <c r="AK1904">
        <v>0</v>
      </c>
      <c r="AL1904" t="s">
        <v>52</v>
      </c>
      <c r="AM1904" t="s">
        <v>52</v>
      </c>
      <c r="AN1904">
        <v>0</v>
      </c>
      <c r="AO1904">
        <v>0</v>
      </c>
      <c r="AP1904" t="s">
        <v>52</v>
      </c>
      <c r="AQ1904" t="s">
        <v>52</v>
      </c>
      <c r="AR1904" t="s">
        <v>62</v>
      </c>
      <c r="AS1904" t="s">
        <v>52</v>
      </c>
      <c r="AT1904" t="s">
        <v>74</v>
      </c>
      <c r="AU1904" t="s">
        <v>64</v>
      </c>
      <c r="AV1904" t="s">
        <v>62</v>
      </c>
      <c r="AW1904" t="s">
        <v>65</v>
      </c>
      <c r="AX1904" t="s">
        <v>66</v>
      </c>
      <c r="AY1904" t="s">
        <v>165</v>
      </c>
    </row>
    <row r="1905" spans="1:51" hidden="1" x14ac:dyDescent="0.25">
      <c r="A1905">
        <v>406219</v>
      </c>
      <c r="B1905" t="s">
        <v>7113</v>
      </c>
      <c r="C1905" t="e">
        <f>VLOOKUP(A1905,[1]Customer_payment_journal_line!$AL:$BO,30,0)</f>
        <v>#N/A</v>
      </c>
      <c r="D1905" t="s">
        <v>76</v>
      </c>
      <c r="E1905" t="s">
        <v>7114</v>
      </c>
      <c r="F1905" t="s">
        <v>7115</v>
      </c>
      <c r="G1905" t="s">
        <v>6741</v>
      </c>
      <c r="H1905" t="s">
        <v>80</v>
      </c>
      <c r="I1905" t="s">
        <v>81</v>
      </c>
      <c r="J1905" t="s">
        <v>7116</v>
      </c>
      <c r="K1905" t="s">
        <v>3351</v>
      </c>
      <c r="L1905" t="s">
        <v>52</v>
      </c>
      <c r="M1905">
        <v>2359.8000000000002</v>
      </c>
      <c r="N1905">
        <v>0</v>
      </c>
      <c r="O1905" t="s">
        <v>61</v>
      </c>
      <c r="P1905">
        <v>100</v>
      </c>
      <c r="Q1905" t="s">
        <v>52</v>
      </c>
      <c r="R1905" t="s">
        <v>52</v>
      </c>
      <c r="S1905" t="s">
        <v>52</v>
      </c>
      <c r="T1905" t="s">
        <v>52</v>
      </c>
      <c r="U1905" t="s">
        <v>52</v>
      </c>
      <c r="V1905" t="s">
        <v>62</v>
      </c>
      <c r="W1905" t="s">
        <v>52</v>
      </c>
      <c r="Y1905" t="s">
        <v>52</v>
      </c>
      <c r="AB1905" t="s">
        <v>52</v>
      </c>
      <c r="AE1905" t="s">
        <v>52</v>
      </c>
      <c r="AF1905" t="s">
        <v>52</v>
      </c>
      <c r="AH1905">
        <v>0</v>
      </c>
      <c r="AI1905">
        <v>0</v>
      </c>
      <c r="AJ1905" t="s">
        <v>52</v>
      </c>
      <c r="AK1905">
        <v>0</v>
      </c>
      <c r="AL1905" t="s">
        <v>52</v>
      </c>
      <c r="AM1905" t="s">
        <v>52</v>
      </c>
      <c r="AN1905">
        <v>0</v>
      </c>
      <c r="AO1905">
        <v>0</v>
      </c>
      <c r="AP1905" t="s">
        <v>52</v>
      </c>
      <c r="AQ1905" t="s">
        <v>52</v>
      </c>
      <c r="AR1905" t="s">
        <v>62</v>
      </c>
      <c r="AS1905" t="s">
        <v>52</v>
      </c>
      <c r="AT1905" t="s">
        <v>52</v>
      </c>
      <c r="AU1905" t="s">
        <v>64</v>
      </c>
      <c r="AV1905" t="s">
        <v>62</v>
      </c>
      <c r="AW1905" t="s">
        <v>65</v>
      </c>
      <c r="AX1905" t="s">
        <v>66</v>
      </c>
      <c r="AY1905" t="s">
        <v>76</v>
      </c>
    </row>
    <row r="1906" spans="1:51" hidden="1" x14ac:dyDescent="0.25">
      <c r="A1906">
        <v>406219</v>
      </c>
      <c r="B1906" t="s">
        <v>7117</v>
      </c>
      <c r="C1906" t="e">
        <f>VLOOKUP(A1906,[1]Customer_payment_journal_line!$AL:$BO,30,0)</f>
        <v>#N/A</v>
      </c>
      <c r="D1906" t="s">
        <v>76</v>
      </c>
      <c r="E1906" t="s">
        <v>7114</v>
      </c>
      <c r="F1906" t="s">
        <v>7115</v>
      </c>
      <c r="G1906" t="s">
        <v>6741</v>
      </c>
      <c r="H1906" t="s">
        <v>69</v>
      </c>
      <c r="I1906" t="s">
        <v>3353</v>
      </c>
      <c r="J1906" t="s">
        <v>7116</v>
      </c>
      <c r="K1906" t="s">
        <v>3351</v>
      </c>
      <c r="L1906" t="s">
        <v>52</v>
      </c>
      <c r="M1906">
        <v>0</v>
      </c>
      <c r="N1906">
        <v>2359.8000000000002</v>
      </c>
      <c r="O1906" t="s">
        <v>61</v>
      </c>
      <c r="P1906">
        <v>100</v>
      </c>
      <c r="Q1906" t="s">
        <v>52</v>
      </c>
      <c r="R1906" t="s">
        <v>52</v>
      </c>
      <c r="S1906" t="s">
        <v>52</v>
      </c>
      <c r="T1906" t="s">
        <v>52</v>
      </c>
      <c r="U1906" t="s">
        <v>52</v>
      </c>
      <c r="V1906" t="s">
        <v>62</v>
      </c>
      <c r="W1906" t="s">
        <v>52</v>
      </c>
      <c r="Y1906" t="s">
        <v>3354</v>
      </c>
      <c r="Z1906" t="s">
        <v>62</v>
      </c>
      <c r="AB1906" t="s">
        <v>7118</v>
      </c>
      <c r="AE1906" t="s">
        <v>7119</v>
      </c>
      <c r="AF1906" t="s">
        <v>52</v>
      </c>
      <c r="AH1906">
        <v>0</v>
      </c>
      <c r="AI1906">
        <v>0</v>
      </c>
      <c r="AJ1906" t="s">
        <v>52</v>
      </c>
      <c r="AK1906">
        <v>0</v>
      </c>
      <c r="AL1906" t="s">
        <v>52</v>
      </c>
      <c r="AM1906" t="s">
        <v>52</v>
      </c>
      <c r="AN1906">
        <v>0</v>
      </c>
      <c r="AO1906">
        <v>0</v>
      </c>
      <c r="AP1906" t="s">
        <v>52</v>
      </c>
      <c r="AQ1906" t="s">
        <v>52</v>
      </c>
      <c r="AR1906" t="s">
        <v>62</v>
      </c>
      <c r="AS1906" t="s">
        <v>52</v>
      </c>
      <c r="AT1906" t="s">
        <v>74</v>
      </c>
      <c r="AU1906" t="s">
        <v>64</v>
      </c>
      <c r="AV1906" t="s">
        <v>62</v>
      </c>
      <c r="AW1906" t="s">
        <v>65</v>
      </c>
      <c r="AX1906" t="s">
        <v>66</v>
      </c>
      <c r="AY1906" t="s">
        <v>76</v>
      </c>
    </row>
    <row r="1907" spans="1:51" hidden="1" x14ac:dyDescent="0.25">
      <c r="A1907">
        <v>406220</v>
      </c>
      <c r="B1907" t="s">
        <v>7120</v>
      </c>
      <c r="C1907" t="e">
        <f>VLOOKUP(A1907,[1]Customer_payment_journal_line!$AL:$BO,30,0)</f>
        <v>#N/A</v>
      </c>
      <c r="D1907" t="s">
        <v>159</v>
      </c>
      <c r="E1907" t="s">
        <v>7121</v>
      </c>
      <c r="F1907" t="s">
        <v>7122</v>
      </c>
      <c r="G1907" t="s">
        <v>6741</v>
      </c>
      <c r="H1907" t="s">
        <v>80</v>
      </c>
      <c r="I1907" t="s">
        <v>5842</v>
      </c>
      <c r="J1907" t="s">
        <v>5843</v>
      </c>
      <c r="K1907" t="s">
        <v>7079</v>
      </c>
      <c r="L1907" t="s">
        <v>52</v>
      </c>
      <c r="M1907">
        <v>6840</v>
      </c>
      <c r="N1907">
        <v>0</v>
      </c>
      <c r="O1907" t="s">
        <v>61</v>
      </c>
      <c r="P1907">
        <v>100</v>
      </c>
      <c r="Q1907" t="s">
        <v>52</v>
      </c>
      <c r="R1907" t="s">
        <v>52</v>
      </c>
      <c r="S1907" t="s">
        <v>52</v>
      </c>
      <c r="T1907" t="s">
        <v>52</v>
      </c>
      <c r="U1907" t="s">
        <v>52</v>
      </c>
      <c r="V1907" t="s">
        <v>62</v>
      </c>
      <c r="W1907" t="s">
        <v>52</v>
      </c>
      <c r="Y1907" t="s">
        <v>52</v>
      </c>
      <c r="AB1907" t="s">
        <v>52</v>
      </c>
      <c r="AE1907" t="s">
        <v>52</v>
      </c>
      <c r="AF1907" t="s">
        <v>52</v>
      </c>
      <c r="AG1907" t="s">
        <v>5213</v>
      </c>
      <c r="AH1907">
        <v>0</v>
      </c>
      <c r="AI1907">
        <v>0</v>
      </c>
      <c r="AJ1907" t="s">
        <v>52</v>
      </c>
      <c r="AK1907">
        <v>0</v>
      </c>
      <c r="AL1907" t="s">
        <v>52</v>
      </c>
      <c r="AM1907" t="s">
        <v>52</v>
      </c>
      <c r="AN1907">
        <v>0</v>
      </c>
      <c r="AO1907">
        <v>0</v>
      </c>
      <c r="AP1907" t="s">
        <v>52</v>
      </c>
      <c r="AQ1907" t="s">
        <v>52</v>
      </c>
      <c r="AR1907" t="s">
        <v>62</v>
      </c>
      <c r="AS1907" t="s">
        <v>52</v>
      </c>
      <c r="AT1907" t="s">
        <v>52</v>
      </c>
      <c r="AU1907" t="s">
        <v>64</v>
      </c>
      <c r="AV1907" t="s">
        <v>62</v>
      </c>
      <c r="AW1907" t="s">
        <v>65</v>
      </c>
      <c r="AX1907" t="s">
        <v>66</v>
      </c>
      <c r="AY1907" t="s">
        <v>165</v>
      </c>
    </row>
    <row r="1908" spans="1:51" hidden="1" x14ac:dyDescent="0.25">
      <c r="A1908">
        <v>406220</v>
      </c>
      <c r="B1908" t="s">
        <v>7123</v>
      </c>
      <c r="C1908" t="e">
        <f>VLOOKUP(A1908,[1]Customer_payment_journal_line!$AL:$BO,30,0)</f>
        <v>#N/A</v>
      </c>
      <c r="D1908" t="s">
        <v>159</v>
      </c>
      <c r="E1908" t="s">
        <v>7121</v>
      </c>
      <c r="F1908" t="s">
        <v>7122</v>
      </c>
      <c r="G1908" t="s">
        <v>6741</v>
      </c>
      <c r="H1908" t="s">
        <v>69</v>
      </c>
      <c r="I1908" t="s">
        <v>5846</v>
      </c>
      <c r="J1908" t="s">
        <v>5843</v>
      </c>
      <c r="K1908" t="s">
        <v>7079</v>
      </c>
      <c r="L1908" t="s">
        <v>52</v>
      </c>
      <c r="M1908">
        <v>0</v>
      </c>
      <c r="N1908">
        <v>6840</v>
      </c>
      <c r="O1908" t="s">
        <v>61</v>
      </c>
      <c r="P1908">
        <v>100</v>
      </c>
      <c r="Q1908" t="s">
        <v>52</v>
      </c>
      <c r="R1908" t="s">
        <v>52</v>
      </c>
      <c r="S1908" t="s">
        <v>52</v>
      </c>
      <c r="T1908" t="s">
        <v>52</v>
      </c>
      <c r="U1908" t="s">
        <v>52</v>
      </c>
      <c r="V1908" t="s">
        <v>62</v>
      </c>
      <c r="W1908" t="s">
        <v>52</v>
      </c>
      <c r="Y1908" t="s">
        <v>5847</v>
      </c>
      <c r="Z1908" t="s">
        <v>62</v>
      </c>
      <c r="AB1908" t="s">
        <v>7124</v>
      </c>
      <c r="AE1908" t="s">
        <v>7125</v>
      </c>
      <c r="AF1908" t="s">
        <v>52</v>
      </c>
      <c r="AG1908" t="s">
        <v>5213</v>
      </c>
      <c r="AH1908">
        <v>0</v>
      </c>
      <c r="AI1908">
        <v>0</v>
      </c>
      <c r="AJ1908" t="s">
        <v>52</v>
      </c>
      <c r="AK1908">
        <v>0</v>
      </c>
      <c r="AL1908" t="s">
        <v>52</v>
      </c>
      <c r="AM1908" t="s">
        <v>52</v>
      </c>
      <c r="AN1908">
        <v>0</v>
      </c>
      <c r="AO1908">
        <v>0</v>
      </c>
      <c r="AP1908" t="s">
        <v>52</v>
      </c>
      <c r="AQ1908" t="s">
        <v>52</v>
      </c>
      <c r="AR1908" t="s">
        <v>62</v>
      </c>
      <c r="AS1908" t="s">
        <v>52</v>
      </c>
      <c r="AT1908" t="s">
        <v>74</v>
      </c>
      <c r="AU1908" t="s">
        <v>64</v>
      </c>
      <c r="AV1908" t="s">
        <v>62</v>
      </c>
      <c r="AW1908" t="s">
        <v>65</v>
      </c>
      <c r="AX1908" t="s">
        <v>66</v>
      </c>
      <c r="AY1908" t="s">
        <v>165</v>
      </c>
    </row>
    <row r="1909" spans="1:51" hidden="1" x14ac:dyDescent="0.25">
      <c r="A1909">
        <v>406221</v>
      </c>
      <c r="B1909" t="s">
        <v>7126</v>
      </c>
      <c r="C1909" t="e">
        <f>VLOOKUP(A1909,[1]Customer_payment_journal_line!$AL:$BO,30,0)</f>
        <v>#N/A</v>
      </c>
      <c r="D1909" t="s">
        <v>159</v>
      </c>
      <c r="E1909" t="s">
        <v>7127</v>
      </c>
      <c r="F1909" t="s">
        <v>7128</v>
      </c>
      <c r="G1909" t="s">
        <v>6741</v>
      </c>
      <c r="H1909" t="s">
        <v>80</v>
      </c>
      <c r="I1909" t="s">
        <v>5842</v>
      </c>
      <c r="J1909" t="s">
        <v>5843</v>
      </c>
      <c r="K1909" t="s">
        <v>7079</v>
      </c>
      <c r="L1909" t="s">
        <v>52</v>
      </c>
      <c r="M1909">
        <v>855</v>
      </c>
      <c r="N1909">
        <v>0</v>
      </c>
      <c r="O1909" t="s">
        <v>61</v>
      </c>
      <c r="P1909">
        <v>100</v>
      </c>
      <c r="Q1909" t="s">
        <v>52</v>
      </c>
      <c r="R1909" t="s">
        <v>52</v>
      </c>
      <c r="S1909" t="s">
        <v>52</v>
      </c>
      <c r="T1909" t="s">
        <v>52</v>
      </c>
      <c r="U1909" t="s">
        <v>52</v>
      </c>
      <c r="V1909" t="s">
        <v>62</v>
      </c>
      <c r="W1909" t="s">
        <v>52</v>
      </c>
      <c r="Y1909" t="s">
        <v>52</v>
      </c>
      <c r="AB1909" t="s">
        <v>52</v>
      </c>
      <c r="AE1909" t="s">
        <v>52</v>
      </c>
      <c r="AF1909" t="s">
        <v>52</v>
      </c>
      <c r="AG1909" t="s">
        <v>5213</v>
      </c>
      <c r="AH1909">
        <v>0</v>
      </c>
      <c r="AI1909">
        <v>0</v>
      </c>
      <c r="AJ1909" t="s">
        <v>52</v>
      </c>
      <c r="AK1909">
        <v>0</v>
      </c>
      <c r="AL1909" t="s">
        <v>52</v>
      </c>
      <c r="AM1909" t="s">
        <v>52</v>
      </c>
      <c r="AN1909">
        <v>0</v>
      </c>
      <c r="AO1909">
        <v>0</v>
      </c>
      <c r="AP1909" t="s">
        <v>52</v>
      </c>
      <c r="AQ1909" t="s">
        <v>52</v>
      </c>
      <c r="AR1909" t="s">
        <v>62</v>
      </c>
      <c r="AS1909" t="s">
        <v>52</v>
      </c>
      <c r="AT1909" t="s">
        <v>52</v>
      </c>
      <c r="AU1909" t="s">
        <v>64</v>
      </c>
      <c r="AV1909" t="s">
        <v>62</v>
      </c>
      <c r="AW1909" t="s">
        <v>65</v>
      </c>
      <c r="AX1909" t="s">
        <v>66</v>
      </c>
      <c r="AY1909" t="s">
        <v>165</v>
      </c>
    </row>
    <row r="1910" spans="1:51" hidden="1" x14ac:dyDescent="0.25">
      <c r="A1910">
        <v>406221</v>
      </c>
      <c r="B1910" t="s">
        <v>7129</v>
      </c>
      <c r="C1910" t="e">
        <f>VLOOKUP(A1910,[1]Customer_payment_journal_line!$AL:$BO,30,0)</f>
        <v>#N/A</v>
      </c>
      <c r="D1910" t="s">
        <v>159</v>
      </c>
      <c r="E1910" t="s">
        <v>7127</v>
      </c>
      <c r="F1910" t="s">
        <v>7128</v>
      </c>
      <c r="G1910" t="s">
        <v>6741</v>
      </c>
      <c r="H1910" t="s">
        <v>69</v>
      </c>
      <c r="I1910" t="s">
        <v>5846</v>
      </c>
      <c r="J1910" t="s">
        <v>5843</v>
      </c>
      <c r="K1910" t="s">
        <v>7079</v>
      </c>
      <c r="L1910" t="s">
        <v>52</v>
      </c>
      <c r="M1910">
        <v>0</v>
      </c>
      <c r="N1910">
        <v>855</v>
      </c>
      <c r="O1910" t="s">
        <v>61</v>
      </c>
      <c r="P1910">
        <v>100</v>
      </c>
      <c r="Q1910" t="s">
        <v>52</v>
      </c>
      <c r="R1910" t="s">
        <v>52</v>
      </c>
      <c r="S1910" t="s">
        <v>52</v>
      </c>
      <c r="T1910" t="s">
        <v>52</v>
      </c>
      <c r="U1910" t="s">
        <v>52</v>
      </c>
      <c r="V1910" t="s">
        <v>62</v>
      </c>
      <c r="W1910" t="s">
        <v>52</v>
      </c>
      <c r="Y1910" t="s">
        <v>5847</v>
      </c>
      <c r="Z1910" t="s">
        <v>62</v>
      </c>
      <c r="AB1910" t="s">
        <v>7130</v>
      </c>
      <c r="AE1910" t="s">
        <v>7131</v>
      </c>
      <c r="AF1910" t="s">
        <v>52</v>
      </c>
      <c r="AG1910" t="s">
        <v>5213</v>
      </c>
      <c r="AH1910">
        <v>0</v>
      </c>
      <c r="AI1910">
        <v>0</v>
      </c>
      <c r="AJ1910" t="s">
        <v>52</v>
      </c>
      <c r="AK1910">
        <v>0</v>
      </c>
      <c r="AL1910" t="s">
        <v>52</v>
      </c>
      <c r="AM1910" t="s">
        <v>52</v>
      </c>
      <c r="AN1910">
        <v>0</v>
      </c>
      <c r="AO1910">
        <v>0</v>
      </c>
      <c r="AP1910" t="s">
        <v>52</v>
      </c>
      <c r="AQ1910" t="s">
        <v>52</v>
      </c>
      <c r="AR1910" t="s">
        <v>62</v>
      </c>
      <c r="AS1910" t="s">
        <v>52</v>
      </c>
      <c r="AT1910" t="s">
        <v>74</v>
      </c>
      <c r="AU1910" t="s">
        <v>64</v>
      </c>
      <c r="AV1910" t="s">
        <v>62</v>
      </c>
      <c r="AW1910" t="s">
        <v>65</v>
      </c>
      <c r="AX1910" t="s">
        <v>66</v>
      </c>
      <c r="AY1910" t="s">
        <v>165</v>
      </c>
    </row>
    <row r="1911" spans="1:51" hidden="1" x14ac:dyDescent="0.25">
      <c r="A1911">
        <v>406222</v>
      </c>
      <c r="B1911" t="s">
        <v>7132</v>
      </c>
      <c r="C1911" t="e">
        <f>VLOOKUP(A1911,[1]Customer_payment_journal_line!$AL:$BO,30,0)</f>
        <v>#N/A</v>
      </c>
      <c r="D1911" t="s">
        <v>76</v>
      </c>
      <c r="E1911" t="s">
        <v>7133</v>
      </c>
      <c r="F1911" t="s">
        <v>7134</v>
      </c>
      <c r="G1911" t="s">
        <v>6741</v>
      </c>
      <c r="H1911" t="s">
        <v>80</v>
      </c>
      <c r="I1911" t="s">
        <v>81</v>
      </c>
      <c r="J1911" t="s">
        <v>7135</v>
      </c>
      <c r="K1911" t="s">
        <v>7136</v>
      </c>
      <c r="L1911" t="s">
        <v>52</v>
      </c>
      <c r="M1911">
        <v>10887</v>
      </c>
      <c r="N1911">
        <v>0</v>
      </c>
      <c r="O1911" t="s">
        <v>61</v>
      </c>
      <c r="P1911">
        <v>100</v>
      </c>
      <c r="Q1911" t="s">
        <v>52</v>
      </c>
      <c r="R1911" t="s">
        <v>52</v>
      </c>
      <c r="S1911" t="s">
        <v>52</v>
      </c>
      <c r="T1911" t="s">
        <v>52</v>
      </c>
      <c r="U1911" t="s">
        <v>52</v>
      </c>
      <c r="V1911" t="s">
        <v>62</v>
      </c>
      <c r="W1911" t="s">
        <v>52</v>
      </c>
      <c r="Y1911" t="s">
        <v>52</v>
      </c>
      <c r="AB1911" t="s">
        <v>52</v>
      </c>
      <c r="AE1911" t="s">
        <v>52</v>
      </c>
      <c r="AF1911" t="s">
        <v>52</v>
      </c>
      <c r="AH1911">
        <v>0</v>
      </c>
      <c r="AI1911">
        <v>0</v>
      </c>
      <c r="AJ1911" t="s">
        <v>52</v>
      </c>
      <c r="AK1911">
        <v>0</v>
      </c>
      <c r="AL1911" t="s">
        <v>52</v>
      </c>
      <c r="AM1911" t="s">
        <v>52</v>
      </c>
      <c r="AN1911">
        <v>0</v>
      </c>
      <c r="AO1911">
        <v>0</v>
      </c>
      <c r="AP1911" t="s">
        <v>52</v>
      </c>
      <c r="AQ1911" t="s">
        <v>52</v>
      </c>
      <c r="AR1911" t="s">
        <v>62</v>
      </c>
      <c r="AS1911" t="s">
        <v>52</v>
      </c>
      <c r="AT1911" t="s">
        <v>52</v>
      </c>
      <c r="AU1911" t="s">
        <v>64</v>
      </c>
      <c r="AV1911" t="s">
        <v>62</v>
      </c>
      <c r="AW1911" t="s">
        <v>65</v>
      </c>
      <c r="AX1911" t="s">
        <v>66</v>
      </c>
      <c r="AY1911" t="s">
        <v>76</v>
      </c>
    </row>
    <row r="1912" spans="1:51" hidden="1" x14ac:dyDescent="0.25">
      <c r="A1912">
        <v>406222</v>
      </c>
      <c r="B1912" t="s">
        <v>7137</v>
      </c>
      <c r="C1912" t="e">
        <f>VLOOKUP(A1912,[1]Customer_payment_journal_line!$AL:$BO,30,0)</f>
        <v>#N/A</v>
      </c>
      <c r="D1912" t="s">
        <v>76</v>
      </c>
      <c r="E1912" t="s">
        <v>7133</v>
      </c>
      <c r="F1912" t="s">
        <v>7134</v>
      </c>
      <c r="G1912" t="s">
        <v>6741</v>
      </c>
      <c r="H1912" t="s">
        <v>69</v>
      </c>
      <c r="I1912" t="s">
        <v>7138</v>
      </c>
      <c r="J1912" t="s">
        <v>7135</v>
      </c>
      <c r="K1912" t="s">
        <v>7136</v>
      </c>
      <c r="L1912" t="s">
        <v>52</v>
      </c>
      <c r="M1912">
        <v>0</v>
      </c>
      <c r="N1912">
        <v>10032</v>
      </c>
      <c r="O1912" t="s">
        <v>61</v>
      </c>
      <c r="P1912">
        <v>100</v>
      </c>
      <c r="Q1912" t="s">
        <v>52</v>
      </c>
      <c r="R1912" t="s">
        <v>52</v>
      </c>
      <c r="S1912" t="s">
        <v>52</v>
      </c>
      <c r="T1912" t="s">
        <v>52</v>
      </c>
      <c r="U1912" t="s">
        <v>52</v>
      </c>
      <c r="V1912" t="s">
        <v>62</v>
      </c>
      <c r="W1912" t="s">
        <v>52</v>
      </c>
      <c r="Y1912" t="s">
        <v>7139</v>
      </c>
      <c r="Z1912" t="s">
        <v>62</v>
      </c>
      <c r="AB1912" t="s">
        <v>7140</v>
      </c>
      <c r="AE1912" t="s">
        <v>7141</v>
      </c>
      <c r="AF1912" t="s">
        <v>52</v>
      </c>
      <c r="AH1912">
        <v>0</v>
      </c>
      <c r="AI1912">
        <v>0</v>
      </c>
      <c r="AJ1912" t="s">
        <v>52</v>
      </c>
      <c r="AK1912">
        <v>0</v>
      </c>
      <c r="AL1912" t="s">
        <v>52</v>
      </c>
      <c r="AM1912" t="s">
        <v>52</v>
      </c>
      <c r="AN1912">
        <v>0</v>
      </c>
      <c r="AO1912">
        <v>0</v>
      </c>
      <c r="AP1912" t="s">
        <v>52</v>
      </c>
      <c r="AQ1912" t="s">
        <v>52</v>
      </c>
      <c r="AR1912" t="s">
        <v>62</v>
      </c>
      <c r="AS1912" t="s">
        <v>52</v>
      </c>
      <c r="AT1912" t="s">
        <v>74</v>
      </c>
      <c r="AU1912" t="s">
        <v>64</v>
      </c>
      <c r="AV1912" t="s">
        <v>62</v>
      </c>
      <c r="AW1912" t="s">
        <v>65</v>
      </c>
      <c r="AX1912" t="s">
        <v>66</v>
      </c>
      <c r="AY1912" t="s">
        <v>76</v>
      </c>
    </row>
    <row r="1913" spans="1:51" hidden="1" x14ac:dyDescent="0.25">
      <c r="A1913">
        <v>406222</v>
      </c>
      <c r="B1913" t="s">
        <v>7142</v>
      </c>
      <c r="C1913" t="e">
        <f>VLOOKUP(A1913,[1]Customer_payment_journal_line!$AL:$BO,30,0)</f>
        <v>#N/A</v>
      </c>
      <c r="D1913" t="s">
        <v>76</v>
      </c>
      <c r="E1913" t="s">
        <v>7133</v>
      </c>
      <c r="F1913" t="s">
        <v>7134</v>
      </c>
      <c r="G1913" t="s">
        <v>6741</v>
      </c>
      <c r="H1913" t="s">
        <v>69</v>
      </c>
      <c r="I1913" t="s">
        <v>7138</v>
      </c>
      <c r="J1913" t="s">
        <v>7135</v>
      </c>
      <c r="K1913" t="s">
        <v>7136</v>
      </c>
      <c r="L1913" t="s">
        <v>52</v>
      </c>
      <c r="M1913">
        <v>0</v>
      </c>
      <c r="N1913">
        <v>855</v>
      </c>
      <c r="O1913" t="s">
        <v>61</v>
      </c>
      <c r="P1913">
        <v>100</v>
      </c>
      <c r="Q1913" t="s">
        <v>52</v>
      </c>
      <c r="R1913" t="s">
        <v>52</v>
      </c>
      <c r="S1913" t="s">
        <v>52</v>
      </c>
      <c r="T1913" t="s">
        <v>52</v>
      </c>
      <c r="U1913" t="s">
        <v>52</v>
      </c>
      <c r="V1913" t="s">
        <v>62</v>
      </c>
      <c r="W1913" t="s">
        <v>52</v>
      </c>
      <c r="Y1913" t="s">
        <v>7139</v>
      </c>
      <c r="Z1913" t="s">
        <v>62</v>
      </c>
      <c r="AB1913" t="s">
        <v>7143</v>
      </c>
      <c r="AE1913" t="s">
        <v>7144</v>
      </c>
      <c r="AF1913" t="s">
        <v>52</v>
      </c>
      <c r="AH1913">
        <v>0</v>
      </c>
      <c r="AI1913">
        <v>0</v>
      </c>
      <c r="AJ1913" t="s">
        <v>52</v>
      </c>
      <c r="AK1913">
        <v>0</v>
      </c>
      <c r="AL1913" t="s">
        <v>52</v>
      </c>
      <c r="AM1913" t="s">
        <v>52</v>
      </c>
      <c r="AN1913">
        <v>0</v>
      </c>
      <c r="AO1913">
        <v>0</v>
      </c>
      <c r="AP1913" t="s">
        <v>52</v>
      </c>
      <c r="AQ1913" t="s">
        <v>52</v>
      </c>
      <c r="AR1913" t="s">
        <v>62</v>
      </c>
      <c r="AS1913" t="s">
        <v>52</v>
      </c>
      <c r="AT1913" t="s">
        <v>74</v>
      </c>
      <c r="AU1913" t="s">
        <v>64</v>
      </c>
      <c r="AV1913" t="s">
        <v>62</v>
      </c>
      <c r="AW1913" t="s">
        <v>65</v>
      </c>
      <c r="AX1913" t="s">
        <v>66</v>
      </c>
      <c r="AY1913" t="s">
        <v>76</v>
      </c>
    </row>
    <row r="1914" spans="1:51" hidden="1" x14ac:dyDescent="0.25">
      <c r="A1914">
        <v>406226</v>
      </c>
      <c r="B1914" t="s">
        <v>7145</v>
      </c>
      <c r="C1914" t="e">
        <f>VLOOKUP(A1914,[1]Customer_payment_journal_line!$AL:$BO,30,0)</f>
        <v>#N/A</v>
      </c>
      <c r="D1914" t="s">
        <v>159</v>
      </c>
      <c r="E1914" t="s">
        <v>7146</v>
      </c>
      <c r="F1914" t="s">
        <v>7147</v>
      </c>
      <c r="G1914" t="s">
        <v>6741</v>
      </c>
      <c r="H1914" t="s">
        <v>80</v>
      </c>
      <c r="I1914" t="s">
        <v>4766</v>
      </c>
      <c r="J1914" t="s">
        <v>7148</v>
      </c>
      <c r="K1914" t="s">
        <v>7149</v>
      </c>
      <c r="L1914" t="s">
        <v>52</v>
      </c>
      <c r="M1914">
        <v>985</v>
      </c>
      <c r="N1914">
        <v>0</v>
      </c>
      <c r="O1914" t="s">
        <v>178</v>
      </c>
      <c r="P1914">
        <v>5085</v>
      </c>
      <c r="Q1914" t="s">
        <v>52</v>
      </c>
      <c r="R1914" t="s">
        <v>52</v>
      </c>
      <c r="S1914" t="s">
        <v>52</v>
      </c>
      <c r="T1914" t="s">
        <v>52</v>
      </c>
      <c r="U1914" t="s">
        <v>52</v>
      </c>
      <c r="V1914" t="s">
        <v>62</v>
      </c>
      <c r="W1914" t="s">
        <v>52</v>
      </c>
      <c r="Y1914" t="s">
        <v>52</v>
      </c>
      <c r="AB1914" t="s">
        <v>52</v>
      </c>
      <c r="AE1914" t="s">
        <v>52</v>
      </c>
      <c r="AF1914" t="s">
        <v>52</v>
      </c>
      <c r="AH1914">
        <v>0</v>
      </c>
      <c r="AI1914">
        <v>0</v>
      </c>
      <c r="AJ1914" t="s">
        <v>52</v>
      </c>
      <c r="AK1914">
        <v>0</v>
      </c>
      <c r="AL1914" t="s">
        <v>52</v>
      </c>
      <c r="AM1914" t="s">
        <v>52</v>
      </c>
      <c r="AN1914">
        <v>0</v>
      </c>
      <c r="AO1914">
        <v>0</v>
      </c>
      <c r="AP1914" t="s">
        <v>52</v>
      </c>
      <c r="AQ1914" t="s">
        <v>52</v>
      </c>
      <c r="AR1914" t="s">
        <v>62</v>
      </c>
      <c r="AS1914" t="s">
        <v>52</v>
      </c>
      <c r="AT1914" t="s">
        <v>52</v>
      </c>
      <c r="AU1914" t="s">
        <v>64</v>
      </c>
      <c r="AV1914" t="s">
        <v>62</v>
      </c>
      <c r="AW1914" t="s">
        <v>65</v>
      </c>
      <c r="AX1914" t="s">
        <v>66</v>
      </c>
      <c r="AY1914" t="s">
        <v>165</v>
      </c>
    </row>
    <row r="1915" spans="1:51" hidden="1" x14ac:dyDescent="0.25">
      <c r="A1915">
        <v>406226</v>
      </c>
      <c r="B1915" t="s">
        <v>7150</v>
      </c>
      <c r="C1915" t="e">
        <f>VLOOKUP(A1915,[1]Customer_payment_journal_line!$AL:$BO,30,0)</f>
        <v>#N/A</v>
      </c>
      <c r="D1915" t="s">
        <v>159</v>
      </c>
      <c r="E1915" t="s">
        <v>7146</v>
      </c>
      <c r="F1915" t="s">
        <v>7147</v>
      </c>
      <c r="G1915" t="s">
        <v>6741</v>
      </c>
      <c r="H1915" t="s">
        <v>69</v>
      </c>
      <c r="I1915" t="s">
        <v>7151</v>
      </c>
      <c r="J1915" t="s">
        <v>7148</v>
      </c>
      <c r="K1915" t="s">
        <v>7149</v>
      </c>
      <c r="L1915" t="s">
        <v>52</v>
      </c>
      <c r="M1915">
        <v>0</v>
      </c>
      <c r="N1915">
        <v>575</v>
      </c>
      <c r="O1915" t="s">
        <v>178</v>
      </c>
      <c r="P1915">
        <v>5085</v>
      </c>
      <c r="Q1915" t="s">
        <v>52</v>
      </c>
      <c r="R1915" t="s">
        <v>52</v>
      </c>
      <c r="S1915" t="s">
        <v>52</v>
      </c>
      <c r="T1915" t="s">
        <v>52</v>
      </c>
      <c r="U1915" t="s">
        <v>52</v>
      </c>
      <c r="V1915" t="s">
        <v>62</v>
      </c>
      <c r="W1915" t="s">
        <v>52</v>
      </c>
      <c r="Y1915" t="s">
        <v>7152</v>
      </c>
      <c r="Z1915" t="s">
        <v>62</v>
      </c>
      <c r="AB1915" t="s">
        <v>7153</v>
      </c>
      <c r="AE1915" t="s">
        <v>7154</v>
      </c>
      <c r="AF1915" t="s">
        <v>52</v>
      </c>
      <c r="AH1915">
        <v>0</v>
      </c>
      <c r="AI1915">
        <v>0</v>
      </c>
      <c r="AJ1915" t="s">
        <v>52</v>
      </c>
      <c r="AK1915">
        <v>0</v>
      </c>
      <c r="AL1915" t="s">
        <v>52</v>
      </c>
      <c r="AM1915" t="s">
        <v>52</v>
      </c>
      <c r="AN1915">
        <v>0</v>
      </c>
      <c r="AO1915">
        <v>0</v>
      </c>
      <c r="AP1915" t="s">
        <v>52</v>
      </c>
      <c r="AQ1915" t="s">
        <v>52</v>
      </c>
      <c r="AR1915" t="s">
        <v>62</v>
      </c>
      <c r="AS1915" t="s">
        <v>52</v>
      </c>
      <c r="AT1915" t="s">
        <v>74</v>
      </c>
      <c r="AU1915" t="s">
        <v>64</v>
      </c>
      <c r="AV1915" t="s">
        <v>62</v>
      </c>
      <c r="AW1915" t="s">
        <v>65</v>
      </c>
      <c r="AX1915" t="s">
        <v>66</v>
      </c>
      <c r="AY1915" t="s">
        <v>165</v>
      </c>
    </row>
    <row r="1916" spans="1:51" hidden="1" x14ac:dyDescent="0.25">
      <c r="A1916">
        <v>406226</v>
      </c>
      <c r="B1916" t="s">
        <v>7155</v>
      </c>
      <c r="C1916" t="e">
        <f>VLOOKUP(A1916,[1]Customer_payment_journal_line!$AL:$BO,30,0)</f>
        <v>#N/A</v>
      </c>
      <c r="D1916" t="s">
        <v>159</v>
      </c>
      <c r="E1916" t="s">
        <v>7146</v>
      </c>
      <c r="F1916" t="s">
        <v>7147</v>
      </c>
      <c r="G1916" t="s">
        <v>6741</v>
      </c>
      <c r="H1916" t="s">
        <v>69</v>
      </c>
      <c r="I1916" t="s">
        <v>7151</v>
      </c>
      <c r="J1916" t="s">
        <v>7148</v>
      </c>
      <c r="K1916" t="s">
        <v>7149</v>
      </c>
      <c r="L1916" t="s">
        <v>52</v>
      </c>
      <c r="M1916">
        <v>0</v>
      </c>
      <c r="N1916">
        <v>410</v>
      </c>
      <c r="O1916" t="s">
        <v>178</v>
      </c>
      <c r="P1916">
        <v>5085</v>
      </c>
      <c r="Q1916" t="s">
        <v>52</v>
      </c>
      <c r="R1916" t="s">
        <v>52</v>
      </c>
      <c r="S1916" t="s">
        <v>52</v>
      </c>
      <c r="T1916" t="s">
        <v>52</v>
      </c>
      <c r="U1916" t="s">
        <v>52</v>
      </c>
      <c r="V1916" t="s">
        <v>62</v>
      </c>
      <c r="W1916" t="s">
        <v>52</v>
      </c>
      <c r="Y1916" t="s">
        <v>7152</v>
      </c>
      <c r="Z1916" t="s">
        <v>62</v>
      </c>
      <c r="AB1916" t="s">
        <v>7156</v>
      </c>
      <c r="AE1916" t="s">
        <v>7157</v>
      </c>
      <c r="AF1916" t="s">
        <v>52</v>
      </c>
      <c r="AH1916">
        <v>0</v>
      </c>
      <c r="AI1916">
        <v>0</v>
      </c>
      <c r="AJ1916" t="s">
        <v>52</v>
      </c>
      <c r="AK1916">
        <v>0</v>
      </c>
      <c r="AL1916" t="s">
        <v>52</v>
      </c>
      <c r="AM1916" t="s">
        <v>52</v>
      </c>
      <c r="AN1916">
        <v>0</v>
      </c>
      <c r="AO1916">
        <v>0</v>
      </c>
      <c r="AP1916" t="s">
        <v>52</v>
      </c>
      <c r="AQ1916" t="s">
        <v>52</v>
      </c>
      <c r="AR1916" t="s">
        <v>62</v>
      </c>
      <c r="AS1916" t="s">
        <v>52</v>
      </c>
      <c r="AT1916" t="s">
        <v>74</v>
      </c>
      <c r="AU1916" t="s">
        <v>64</v>
      </c>
      <c r="AV1916" t="s">
        <v>62</v>
      </c>
      <c r="AW1916" t="s">
        <v>65</v>
      </c>
      <c r="AX1916" t="s">
        <v>66</v>
      </c>
      <c r="AY1916" t="s">
        <v>165</v>
      </c>
    </row>
    <row r="1917" spans="1:51" hidden="1" x14ac:dyDescent="0.25">
      <c r="A1917">
        <v>406227</v>
      </c>
      <c r="B1917" t="s">
        <v>7158</v>
      </c>
      <c r="C1917" t="e">
        <f>VLOOKUP(A1917,[1]Customer_payment_journal_line!$AL:$BO,30,0)</f>
        <v>#N/A</v>
      </c>
      <c r="D1917" t="s">
        <v>159</v>
      </c>
      <c r="E1917" t="s">
        <v>7159</v>
      </c>
      <c r="F1917" t="s">
        <v>7160</v>
      </c>
      <c r="G1917" t="s">
        <v>6741</v>
      </c>
      <c r="H1917" t="s">
        <v>80</v>
      </c>
      <c r="I1917" t="s">
        <v>4777</v>
      </c>
      <c r="J1917" t="s">
        <v>7148</v>
      </c>
      <c r="K1917" t="s">
        <v>7149</v>
      </c>
      <c r="L1917" t="s">
        <v>52</v>
      </c>
      <c r="M1917">
        <v>24168</v>
      </c>
      <c r="N1917">
        <v>0</v>
      </c>
      <c r="O1917" t="s">
        <v>61</v>
      </c>
      <c r="P1917">
        <v>100</v>
      </c>
      <c r="Q1917" t="s">
        <v>52</v>
      </c>
      <c r="R1917" t="s">
        <v>52</v>
      </c>
      <c r="S1917" t="s">
        <v>52</v>
      </c>
      <c r="T1917" t="s">
        <v>52</v>
      </c>
      <c r="U1917" t="s">
        <v>52</v>
      </c>
      <c r="V1917" t="s">
        <v>62</v>
      </c>
      <c r="W1917" t="s">
        <v>52</v>
      </c>
      <c r="Y1917" t="s">
        <v>52</v>
      </c>
      <c r="AB1917" t="s">
        <v>52</v>
      </c>
      <c r="AE1917" t="s">
        <v>52</v>
      </c>
      <c r="AF1917" t="s">
        <v>52</v>
      </c>
      <c r="AH1917">
        <v>0</v>
      </c>
      <c r="AI1917">
        <v>0</v>
      </c>
      <c r="AJ1917" t="s">
        <v>52</v>
      </c>
      <c r="AK1917">
        <v>0</v>
      </c>
      <c r="AL1917" t="s">
        <v>52</v>
      </c>
      <c r="AM1917" t="s">
        <v>52</v>
      </c>
      <c r="AN1917">
        <v>0</v>
      </c>
      <c r="AO1917">
        <v>0</v>
      </c>
      <c r="AP1917" t="s">
        <v>52</v>
      </c>
      <c r="AQ1917" t="s">
        <v>52</v>
      </c>
      <c r="AR1917" t="s">
        <v>62</v>
      </c>
      <c r="AS1917" t="s">
        <v>52</v>
      </c>
      <c r="AT1917" t="s">
        <v>52</v>
      </c>
      <c r="AU1917" t="s">
        <v>64</v>
      </c>
      <c r="AV1917" t="s">
        <v>62</v>
      </c>
      <c r="AW1917" t="s">
        <v>65</v>
      </c>
      <c r="AX1917" t="s">
        <v>66</v>
      </c>
      <c r="AY1917" t="s">
        <v>165</v>
      </c>
    </row>
    <row r="1918" spans="1:51" hidden="1" x14ac:dyDescent="0.25">
      <c r="A1918">
        <v>406227</v>
      </c>
      <c r="B1918" t="s">
        <v>7161</v>
      </c>
      <c r="C1918" t="e">
        <f>VLOOKUP(A1918,[1]Customer_payment_journal_line!$AL:$BO,30,0)</f>
        <v>#N/A</v>
      </c>
      <c r="D1918" t="s">
        <v>159</v>
      </c>
      <c r="E1918" t="s">
        <v>7159</v>
      </c>
      <c r="F1918" t="s">
        <v>7160</v>
      </c>
      <c r="G1918" t="s">
        <v>6741</v>
      </c>
      <c r="H1918" t="s">
        <v>69</v>
      </c>
      <c r="I1918" t="s">
        <v>7151</v>
      </c>
      <c r="J1918" t="s">
        <v>7148</v>
      </c>
      <c r="K1918" t="s">
        <v>7149</v>
      </c>
      <c r="L1918" t="s">
        <v>52</v>
      </c>
      <c r="M1918">
        <v>0</v>
      </c>
      <c r="N1918">
        <v>13110</v>
      </c>
      <c r="O1918" t="s">
        <v>61</v>
      </c>
      <c r="P1918">
        <v>100</v>
      </c>
      <c r="Q1918" t="s">
        <v>52</v>
      </c>
      <c r="R1918" t="s">
        <v>52</v>
      </c>
      <c r="S1918" t="s">
        <v>52</v>
      </c>
      <c r="T1918" t="s">
        <v>52</v>
      </c>
      <c r="U1918" t="s">
        <v>52</v>
      </c>
      <c r="V1918" t="s">
        <v>62</v>
      </c>
      <c r="W1918" t="s">
        <v>52</v>
      </c>
      <c r="Y1918" t="s">
        <v>7152</v>
      </c>
      <c r="Z1918" t="s">
        <v>62</v>
      </c>
      <c r="AB1918" t="s">
        <v>7162</v>
      </c>
      <c r="AE1918" t="s">
        <v>7163</v>
      </c>
      <c r="AF1918" t="s">
        <v>52</v>
      </c>
      <c r="AH1918">
        <v>0</v>
      </c>
      <c r="AI1918">
        <v>0</v>
      </c>
      <c r="AJ1918" t="s">
        <v>52</v>
      </c>
      <c r="AK1918">
        <v>0</v>
      </c>
      <c r="AL1918" t="s">
        <v>52</v>
      </c>
      <c r="AM1918" t="s">
        <v>52</v>
      </c>
      <c r="AN1918">
        <v>0</v>
      </c>
      <c r="AO1918">
        <v>0</v>
      </c>
      <c r="AP1918" t="s">
        <v>52</v>
      </c>
      <c r="AQ1918" t="s">
        <v>52</v>
      </c>
      <c r="AR1918" t="s">
        <v>62</v>
      </c>
      <c r="AS1918" t="s">
        <v>52</v>
      </c>
      <c r="AT1918" t="s">
        <v>74</v>
      </c>
      <c r="AU1918" t="s">
        <v>64</v>
      </c>
      <c r="AV1918" t="s">
        <v>62</v>
      </c>
      <c r="AW1918" t="s">
        <v>65</v>
      </c>
      <c r="AX1918" t="s">
        <v>66</v>
      </c>
      <c r="AY1918" t="s">
        <v>165</v>
      </c>
    </row>
    <row r="1919" spans="1:51" hidden="1" x14ac:dyDescent="0.25">
      <c r="A1919">
        <v>406227</v>
      </c>
      <c r="B1919" t="s">
        <v>7164</v>
      </c>
      <c r="C1919" t="e">
        <f>VLOOKUP(A1919,[1]Customer_payment_journal_line!$AL:$BO,30,0)</f>
        <v>#N/A</v>
      </c>
      <c r="D1919" t="s">
        <v>159</v>
      </c>
      <c r="E1919" t="s">
        <v>7159</v>
      </c>
      <c r="F1919" t="s">
        <v>7160</v>
      </c>
      <c r="G1919" t="s">
        <v>6741</v>
      </c>
      <c r="H1919" t="s">
        <v>69</v>
      </c>
      <c r="I1919" t="s">
        <v>7151</v>
      </c>
      <c r="J1919" t="s">
        <v>7148</v>
      </c>
      <c r="K1919" t="s">
        <v>7149</v>
      </c>
      <c r="L1919" t="s">
        <v>52</v>
      </c>
      <c r="M1919">
        <v>0</v>
      </c>
      <c r="N1919">
        <v>855</v>
      </c>
      <c r="O1919" t="s">
        <v>61</v>
      </c>
      <c r="P1919">
        <v>100</v>
      </c>
      <c r="Q1919" t="s">
        <v>52</v>
      </c>
      <c r="R1919" t="s">
        <v>52</v>
      </c>
      <c r="S1919" t="s">
        <v>52</v>
      </c>
      <c r="T1919" t="s">
        <v>52</v>
      </c>
      <c r="U1919" t="s">
        <v>52</v>
      </c>
      <c r="V1919" t="s">
        <v>62</v>
      </c>
      <c r="W1919" t="s">
        <v>52</v>
      </c>
      <c r="Y1919" t="s">
        <v>7152</v>
      </c>
      <c r="Z1919" t="s">
        <v>62</v>
      </c>
      <c r="AB1919" t="s">
        <v>7165</v>
      </c>
      <c r="AE1919" t="s">
        <v>7166</v>
      </c>
      <c r="AF1919" t="s">
        <v>52</v>
      </c>
      <c r="AH1919">
        <v>0</v>
      </c>
      <c r="AI1919">
        <v>0</v>
      </c>
      <c r="AJ1919" t="s">
        <v>52</v>
      </c>
      <c r="AK1919">
        <v>0</v>
      </c>
      <c r="AL1919" t="s">
        <v>52</v>
      </c>
      <c r="AM1919" t="s">
        <v>52</v>
      </c>
      <c r="AN1919">
        <v>0</v>
      </c>
      <c r="AO1919">
        <v>0</v>
      </c>
      <c r="AP1919" t="s">
        <v>52</v>
      </c>
      <c r="AQ1919" t="s">
        <v>52</v>
      </c>
      <c r="AR1919" t="s">
        <v>62</v>
      </c>
      <c r="AS1919" t="s">
        <v>52</v>
      </c>
      <c r="AT1919" t="s">
        <v>74</v>
      </c>
      <c r="AU1919" t="s">
        <v>64</v>
      </c>
      <c r="AV1919" t="s">
        <v>62</v>
      </c>
      <c r="AW1919" t="s">
        <v>65</v>
      </c>
      <c r="AX1919" t="s">
        <v>66</v>
      </c>
      <c r="AY1919" t="s">
        <v>165</v>
      </c>
    </row>
    <row r="1920" spans="1:51" hidden="1" x14ac:dyDescent="0.25">
      <c r="A1920">
        <v>406227</v>
      </c>
      <c r="B1920" t="s">
        <v>7167</v>
      </c>
      <c r="C1920" t="e">
        <f>VLOOKUP(A1920,[1]Customer_payment_journal_line!$AL:$BO,30,0)</f>
        <v>#N/A</v>
      </c>
      <c r="D1920" t="s">
        <v>159</v>
      </c>
      <c r="E1920" t="s">
        <v>7159</v>
      </c>
      <c r="F1920" t="s">
        <v>7160</v>
      </c>
      <c r="G1920" t="s">
        <v>6741</v>
      </c>
      <c r="H1920" t="s">
        <v>69</v>
      </c>
      <c r="I1920" t="s">
        <v>7151</v>
      </c>
      <c r="J1920" t="s">
        <v>7148</v>
      </c>
      <c r="K1920" t="s">
        <v>7149</v>
      </c>
      <c r="L1920" t="s">
        <v>52</v>
      </c>
      <c r="M1920">
        <v>0</v>
      </c>
      <c r="N1920">
        <v>9348</v>
      </c>
      <c r="O1920" t="s">
        <v>61</v>
      </c>
      <c r="P1920">
        <v>100</v>
      </c>
      <c r="Q1920" t="s">
        <v>52</v>
      </c>
      <c r="R1920" t="s">
        <v>52</v>
      </c>
      <c r="S1920" t="s">
        <v>52</v>
      </c>
      <c r="T1920" t="s">
        <v>52</v>
      </c>
      <c r="U1920" t="s">
        <v>52</v>
      </c>
      <c r="V1920" t="s">
        <v>62</v>
      </c>
      <c r="W1920" t="s">
        <v>52</v>
      </c>
      <c r="Y1920" t="s">
        <v>7152</v>
      </c>
      <c r="Z1920" t="s">
        <v>62</v>
      </c>
      <c r="AB1920" t="s">
        <v>7168</v>
      </c>
      <c r="AE1920" t="s">
        <v>7169</v>
      </c>
      <c r="AF1920" t="s">
        <v>52</v>
      </c>
      <c r="AH1920">
        <v>0</v>
      </c>
      <c r="AI1920">
        <v>0</v>
      </c>
      <c r="AJ1920" t="s">
        <v>52</v>
      </c>
      <c r="AK1920">
        <v>0</v>
      </c>
      <c r="AL1920" t="s">
        <v>52</v>
      </c>
      <c r="AM1920" t="s">
        <v>52</v>
      </c>
      <c r="AN1920">
        <v>0</v>
      </c>
      <c r="AO1920">
        <v>0</v>
      </c>
      <c r="AP1920" t="s">
        <v>52</v>
      </c>
      <c r="AQ1920" t="s">
        <v>52</v>
      </c>
      <c r="AR1920" t="s">
        <v>62</v>
      </c>
      <c r="AS1920" t="s">
        <v>52</v>
      </c>
      <c r="AT1920" t="s">
        <v>74</v>
      </c>
      <c r="AU1920" t="s">
        <v>64</v>
      </c>
      <c r="AV1920" t="s">
        <v>62</v>
      </c>
      <c r="AW1920" t="s">
        <v>65</v>
      </c>
      <c r="AX1920" t="s">
        <v>66</v>
      </c>
      <c r="AY1920" t="s">
        <v>165</v>
      </c>
    </row>
    <row r="1921" spans="1:51" hidden="1" x14ac:dyDescent="0.25">
      <c r="A1921">
        <v>406227</v>
      </c>
      <c r="B1921" t="s">
        <v>7170</v>
      </c>
      <c r="C1921" t="e">
        <f>VLOOKUP(A1921,[1]Customer_payment_journal_line!$AL:$BO,30,0)</f>
        <v>#N/A</v>
      </c>
      <c r="D1921" t="s">
        <v>159</v>
      </c>
      <c r="E1921" t="s">
        <v>7159</v>
      </c>
      <c r="F1921" t="s">
        <v>7160</v>
      </c>
      <c r="G1921" t="s">
        <v>6741</v>
      </c>
      <c r="H1921" t="s">
        <v>69</v>
      </c>
      <c r="I1921" t="s">
        <v>7151</v>
      </c>
      <c r="J1921" t="s">
        <v>7148</v>
      </c>
      <c r="K1921" t="s">
        <v>7149</v>
      </c>
      <c r="L1921" t="s">
        <v>52</v>
      </c>
      <c r="M1921">
        <v>0</v>
      </c>
      <c r="N1921">
        <v>855</v>
      </c>
      <c r="O1921" t="s">
        <v>61</v>
      </c>
      <c r="P1921">
        <v>100</v>
      </c>
      <c r="Q1921" t="s">
        <v>52</v>
      </c>
      <c r="R1921" t="s">
        <v>52</v>
      </c>
      <c r="S1921" t="s">
        <v>52</v>
      </c>
      <c r="T1921" t="s">
        <v>52</v>
      </c>
      <c r="U1921" t="s">
        <v>52</v>
      </c>
      <c r="V1921" t="s">
        <v>62</v>
      </c>
      <c r="W1921" t="s">
        <v>52</v>
      </c>
      <c r="Y1921" t="s">
        <v>7152</v>
      </c>
      <c r="Z1921" t="s">
        <v>62</v>
      </c>
      <c r="AB1921" t="s">
        <v>7171</v>
      </c>
      <c r="AE1921" t="s">
        <v>7172</v>
      </c>
      <c r="AF1921" t="s">
        <v>52</v>
      </c>
      <c r="AH1921">
        <v>0</v>
      </c>
      <c r="AI1921">
        <v>0</v>
      </c>
      <c r="AJ1921" t="s">
        <v>52</v>
      </c>
      <c r="AK1921">
        <v>0</v>
      </c>
      <c r="AL1921" t="s">
        <v>52</v>
      </c>
      <c r="AM1921" t="s">
        <v>52</v>
      </c>
      <c r="AN1921">
        <v>0</v>
      </c>
      <c r="AO1921">
        <v>0</v>
      </c>
      <c r="AP1921" t="s">
        <v>52</v>
      </c>
      <c r="AQ1921" t="s">
        <v>52</v>
      </c>
      <c r="AR1921" t="s">
        <v>62</v>
      </c>
      <c r="AS1921" t="s">
        <v>52</v>
      </c>
      <c r="AT1921" t="s">
        <v>74</v>
      </c>
      <c r="AU1921" t="s">
        <v>64</v>
      </c>
      <c r="AV1921" t="s">
        <v>62</v>
      </c>
      <c r="AW1921" t="s">
        <v>65</v>
      </c>
      <c r="AX1921" t="s">
        <v>66</v>
      </c>
      <c r="AY1921" t="s">
        <v>165</v>
      </c>
    </row>
    <row r="1922" spans="1:51" hidden="1" x14ac:dyDescent="0.25">
      <c r="A1922">
        <v>406228</v>
      </c>
      <c r="B1922" t="s">
        <v>7173</v>
      </c>
      <c r="C1922" t="e">
        <f>VLOOKUP(A1922,[1]Customer_payment_journal_line!$AL:$BO,30,0)</f>
        <v>#N/A</v>
      </c>
      <c r="D1922" t="s">
        <v>76</v>
      </c>
      <c r="E1922" t="s">
        <v>7174</v>
      </c>
      <c r="F1922" t="s">
        <v>7175</v>
      </c>
      <c r="G1922" t="s">
        <v>6741</v>
      </c>
      <c r="H1922" t="s">
        <v>80</v>
      </c>
      <c r="I1922" t="s">
        <v>81</v>
      </c>
      <c r="J1922" t="s">
        <v>7176</v>
      </c>
      <c r="K1922" t="s">
        <v>4655</v>
      </c>
      <c r="L1922" t="s">
        <v>52</v>
      </c>
      <c r="M1922">
        <v>1869.6</v>
      </c>
      <c r="N1922">
        <v>0</v>
      </c>
      <c r="O1922" t="s">
        <v>61</v>
      </c>
      <c r="P1922">
        <v>100</v>
      </c>
      <c r="Q1922" t="s">
        <v>52</v>
      </c>
      <c r="R1922" t="s">
        <v>52</v>
      </c>
      <c r="S1922" t="s">
        <v>52</v>
      </c>
      <c r="T1922" t="s">
        <v>52</v>
      </c>
      <c r="U1922" t="s">
        <v>52</v>
      </c>
      <c r="V1922" t="s">
        <v>62</v>
      </c>
      <c r="W1922" t="s">
        <v>52</v>
      </c>
      <c r="Y1922" t="s">
        <v>52</v>
      </c>
      <c r="AB1922" t="s">
        <v>52</v>
      </c>
      <c r="AE1922" t="s">
        <v>52</v>
      </c>
      <c r="AF1922" t="s">
        <v>52</v>
      </c>
      <c r="AH1922">
        <v>0</v>
      </c>
      <c r="AI1922">
        <v>0</v>
      </c>
      <c r="AJ1922" t="s">
        <v>52</v>
      </c>
      <c r="AK1922">
        <v>0</v>
      </c>
      <c r="AL1922" t="s">
        <v>52</v>
      </c>
      <c r="AM1922" t="s">
        <v>52</v>
      </c>
      <c r="AN1922">
        <v>0</v>
      </c>
      <c r="AO1922">
        <v>0</v>
      </c>
      <c r="AP1922" t="s">
        <v>52</v>
      </c>
      <c r="AQ1922" t="s">
        <v>52</v>
      </c>
      <c r="AR1922" t="s">
        <v>62</v>
      </c>
      <c r="AS1922" t="s">
        <v>52</v>
      </c>
      <c r="AT1922" t="s">
        <v>52</v>
      </c>
      <c r="AU1922" t="s">
        <v>64</v>
      </c>
      <c r="AV1922" t="s">
        <v>62</v>
      </c>
      <c r="AW1922" t="s">
        <v>65</v>
      </c>
      <c r="AX1922" t="s">
        <v>66</v>
      </c>
      <c r="AY1922" t="s">
        <v>76</v>
      </c>
    </row>
    <row r="1923" spans="1:51" hidden="1" x14ac:dyDescent="0.25">
      <c r="A1923">
        <v>406228</v>
      </c>
      <c r="B1923" t="s">
        <v>7177</v>
      </c>
      <c r="C1923" t="e">
        <f>VLOOKUP(A1923,[1]Customer_payment_journal_line!$AL:$BO,30,0)</f>
        <v>#N/A</v>
      </c>
      <c r="D1923" t="s">
        <v>76</v>
      </c>
      <c r="E1923" t="s">
        <v>7174</v>
      </c>
      <c r="F1923" t="s">
        <v>7175</v>
      </c>
      <c r="G1923" t="s">
        <v>6741</v>
      </c>
      <c r="H1923" t="s">
        <v>69</v>
      </c>
      <c r="I1923" t="s">
        <v>4657</v>
      </c>
      <c r="J1923" t="s">
        <v>7176</v>
      </c>
      <c r="K1923" t="s">
        <v>4655</v>
      </c>
      <c r="L1923" t="s">
        <v>52</v>
      </c>
      <c r="M1923">
        <v>0</v>
      </c>
      <c r="N1923">
        <v>1869.6</v>
      </c>
      <c r="O1923" t="s">
        <v>61</v>
      </c>
      <c r="P1923">
        <v>100</v>
      </c>
      <c r="Q1923" t="s">
        <v>52</v>
      </c>
      <c r="R1923" t="s">
        <v>52</v>
      </c>
      <c r="S1923" t="s">
        <v>52</v>
      </c>
      <c r="T1923" t="s">
        <v>52</v>
      </c>
      <c r="U1923" t="s">
        <v>52</v>
      </c>
      <c r="V1923" t="s">
        <v>62</v>
      </c>
      <c r="W1923" t="s">
        <v>52</v>
      </c>
      <c r="Y1923" t="s">
        <v>4658</v>
      </c>
      <c r="Z1923" t="s">
        <v>62</v>
      </c>
      <c r="AB1923" t="s">
        <v>7178</v>
      </c>
      <c r="AE1923" t="s">
        <v>7179</v>
      </c>
      <c r="AF1923" t="s">
        <v>52</v>
      </c>
      <c r="AH1923">
        <v>0</v>
      </c>
      <c r="AI1923">
        <v>0</v>
      </c>
      <c r="AJ1923" t="s">
        <v>52</v>
      </c>
      <c r="AK1923">
        <v>0</v>
      </c>
      <c r="AL1923" t="s">
        <v>52</v>
      </c>
      <c r="AM1923" t="s">
        <v>52</v>
      </c>
      <c r="AN1923">
        <v>0</v>
      </c>
      <c r="AO1923">
        <v>0</v>
      </c>
      <c r="AP1923" t="s">
        <v>52</v>
      </c>
      <c r="AQ1923" t="s">
        <v>52</v>
      </c>
      <c r="AR1923" t="s">
        <v>62</v>
      </c>
      <c r="AS1923" t="s">
        <v>52</v>
      </c>
      <c r="AT1923" t="s">
        <v>74</v>
      </c>
      <c r="AU1923" t="s">
        <v>64</v>
      </c>
      <c r="AV1923" t="s">
        <v>62</v>
      </c>
      <c r="AW1923" t="s">
        <v>65</v>
      </c>
      <c r="AX1923" t="s">
        <v>66</v>
      </c>
      <c r="AY1923" t="s">
        <v>76</v>
      </c>
    </row>
    <row r="1924" spans="1:51" hidden="1" x14ac:dyDescent="0.25">
      <c r="A1924">
        <v>406231</v>
      </c>
      <c r="B1924" t="s">
        <v>7180</v>
      </c>
      <c r="C1924" t="e">
        <f>VLOOKUP(A1924,[1]Customer_payment_journal_line!$AL:$BO,30,0)</f>
        <v>#N/A</v>
      </c>
      <c r="D1924" t="s">
        <v>76</v>
      </c>
      <c r="E1924" t="s">
        <v>7181</v>
      </c>
      <c r="F1924" t="s">
        <v>7182</v>
      </c>
      <c r="G1924" t="s">
        <v>6741</v>
      </c>
      <c r="H1924" t="s">
        <v>80</v>
      </c>
      <c r="I1924" t="s">
        <v>81</v>
      </c>
      <c r="J1924" t="s">
        <v>7183</v>
      </c>
      <c r="K1924" t="s">
        <v>7184</v>
      </c>
      <c r="L1924" t="s">
        <v>52</v>
      </c>
      <c r="M1924">
        <v>9006</v>
      </c>
      <c r="N1924">
        <v>0</v>
      </c>
      <c r="O1924" t="s">
        <v>61</v>
      </c>
      <c r="P1924">
        <v>100</v>
      </c>
      <c r="Q1924" t="s">
        <v>52</v>
      </c>
      <c r="R1924" t="s">
        <v>52</v>
      </c>
      <c r="S1924" t="s">
        <v>52</v>
      </c>
      <c r="T1924" t="s">
        <v>52</v>
      </c>
      <c r="U1924" t="s">
        <v>52</v>
      </c>
      <c r="V1924" t="s">
        <v>62</v>
      </c>
      <c r="W1924" t="s">
        <v>52</v>
      </c>
      <c r="Y1924" t="s">
        <v>52</v>
      </c>
      <c r="AB1924" t="s">
        <v>52</v>
      </c>
      <c r="AE1924" t="s">
        <v>52</v>
      </c>
      <c r="AF1924" t="s">
        <v>52</v>
      </c>
      <c r="AH1924">
        <v>0</v>
      </c>
      <c r="AI1924">
        <v>0</v>
      </c>
      <c r="AJ1924" t="s">
        <v>52</v>
      </c>
      <c r="AK1924">
        <v>0</v>
      </c>
      <c r="AL1924" t="s">
        <v>52</v>
      </c>
      <c r="AM1924" t="s">
        <v>52</v>
      </c>
      <c r="AN1924">
        <v>0</v>
      </c>
      <c r="AO1924">
        <v>0</v>
      </c>
      <c r="AP1924" t="s">
        <v>52</v>
      </c>
      <c r="AQ1924" t="s">
        <v>52</v>
      </c>
      <c r="AR1924" t="s">
        <v>62</v>
      </c>
      <c r="AS1924" t="s">
        <v>52</v>
      </c>
      <c r="AT1924" t="s">
        <v>52</v>
      </c>
      <c r="AU1924" t="s">
        <v>64</v>
      </c>
      <c r="AV1924" t="s">
        <v>62</v>
      </c>
      <c r="AW1924" t="s">
        <v>65</v>
      </c>
      <c r="AX1924" t="s">
        <v>66</v>
      </c>
      <c r="AY1924" t="s">
        <v>76</v>
      </c>
    </row>
    <row r="1925" spans="1:51" hidden="1" x14ac:dyDescent="0.25">
      <c r="A1925">
        <v>406231</v>
      </c>
      <c r="B1925" t="s">
        <v>7185</v>
      </c>
      <c r="C1925" t="e">
        <f>VLOOKUP(A1925,[1]Customer_payment_journal_line!$AL:$BO,30,0)</f>
        <v>#N/A</v>
      </c>
      <c r="D1925" t="s">
        <v>76</v>
      </c>
      <c r="E1925" t="s">
        <v>7181</v>
      </c>
      <c r="F1925" t="s">
        <v>7182</v>
      </c>
      <c r="G1925" t="s">
        <v>6741</v>
      </c>
      <c r="H1925" t="s">
        <v>69</v>
      </c>
      <c r="I1925" t="s">
        <v>7186</v>
      </c>
      <c r="J1925" t="s">
        <v>7183</v>
      </c>
      <c r="K1925" t="s">
        <v>7184</v>
      </c>
      <c r="L1925" t="s">
        <v>52</v>
      </c>
      <c r="M1925">
        <v>0</v>
      </c>
      <c r="N1925">
        <v>5700</v>
      </c>
      <c r="O1925" t="s">
        <v>61</v>
      </c>
      <c r="P1925">
        <v>100</v>
      </c>
      <c r="Q1925" t="s">
        <v>52</v>
      </c>
      <c r="R1925" t="s">
        <v>52</v>
      </c>
      <c r="S1925" t="s">
        <v>52</v>
      </c>
      <c r="T1925" t="s">
        <v>52</v>
      </c>
      <c r="U1925" t="s">
        <v>52</v>
      </c>
      <c r="V1925" t="s">
        <v>62</v>
      </c>
      <c r="W1925" t="s">
        <v>52</v>
      </c>
      <c r="Y1925" t="s">
        <v>7187</v>
      </c>
      <c r="Z1925" t="s">
        <v>62</v>
      </c>
      <c r="AB1925" t="s">
        <v>7188</v>
      </c>
      <c r="AE1925" t="s">
        <v>7189</v>
      </c>
      <c r="AF1925" t="s">
        <v>52</v>
      </c>
      <c r="AH1925">
        <v>0</v>
      </c>
      <c r="AI1925">
        <v>0</v>
      </c>
      <c r="AJ1925" t="s">
        <v>52</v>
      </c>
      <c r="AK1925">
        <v>0</v>
      </c>
      <c r="AL1925" t="s">
        <v>52</v>
      </c>
      <c r="AM1925" t="s">
        <v>52</v>
      </c>
      <c r="AN1925">
        <v>0</v>
      </c>
      <c r="AO1925">
        <v>0</v>
      </c>
      <c r="AP1925" t="s">
        <v>52</v>
      </c>
      <c r="AQ1925" t="s">
        <v>52</v>
      </c>
      <c r="AR1925" t="s">
        <v>62</v>
      </c>
      <c r="AS1925" t="s">
        <v>52</v>
      </c>
      <c r="AT1925" t="s">
        <v>74</v>
      </c>
      <c r="AU1925" t="s">
        <v>64</v>
      </c>
      <c r="AV1925" t="s">
        <v>62</v>
      </c>
      <c r="AW1925" t="s">
        <v>65</v>
      </c>
      <c r="AX1925" t="s">
        <v>66</v>
      </c>
      <c r="AY1925" t="s">
        <v>76</v>
      </c>
    </row>
    <row r="1926" spans="1:51" hidden="1" x14ac:dyDescent="0.25">
      <c r="A1926">
        <v>406231</v>
      </c>
      <c r="B1926" t="s">
        <v>7190</v>
      </c>
      <c r="C1926" t="e">
        <f>VLOOKUP(A1926,[1]Customer_payment_journal_line!$AL:$BO,30,0)</f>
        <v>#N/A</v>
      </c>
      <c r="D1926" t="s">
        <v>76</v>
      </c>
      <c r="E1926" t="s">
        <v>7181</v>
      </c>
      <c r="F1926" t="s">
        <v>7182</v>
      </c>
      <c r="G1926" t="s">
        <v>6741</v>
      </c>
      <c r="H1926" t="s">
        <v>69</v>
      </c>
      <c r="I1926" t="s">
        <v>7186</v>
      </c>
      <c r="J1926" t="s">
        <v>7183</v>
      </c>
      <c r="K1926" t="s">
        <v>7184</v>
      </c>
      <c r="L1926" t="s">
        <v>52</v>
      </c>
      <c r="M1926">
        <v>0</v>
      </c>
      <c r="N1926">
        <v>855</v>
      </c>
      <c r="O1926" t="s">
        <v>61</v>
      </c>
      <c r="P1926">
        <v>100</v>
      </c>
      <c r="Q1926" t="s">
        <v>52</v>
      </c>
      <c r="R1926" t="s">
        <v>52</v>
      </c>
      <c r="S1926" t="s">
        <v>52</v>
      </c>
      <c r="T1926" t="s">
        <v>52</v>
      </c>
      <c r="U1926" t="s">
        <v>52</v>
      </c>
      <c r="V1926" t="s">
        <v>62</v>
      </c>
      <c r="W1926" t="s">
        <v>52</v>
      </c>
      <c r="Y1926" t="s">
        <v>7187</v>
      </c>
      <c r="Z1926" t="s">
        <v>62</v>
      </c>
      <c r="AB1926" t="s">
        <v>7191</v>
      </c>
      <c r="AE1926" t="s">
        <v>7192</v>
      </c>
      <c r="AF1926" t="s">
        <v>52</v>
      </c>
      <c r="AH1926">
        <v>0</v>
      </c>
      <c r="AI1926">
        <v>0</v>
      </c>
      <c r="AJ1926" t="s">
        <v>52</v>
      </c>
      <c r="AK1926">
        <v>0</v>
      </c>
      <c r="AL1926" t="s">
        <v>52</v>
      </c>
      <c r="AM1926" t="s">
        <v>52</v>
      </c>
      <c r="AN1926">
        <v>0</v>
      </c>
      <c r="AO1926">
        <v>0</v>
      </c>
      <c r="AP1926" t="s">
        <v>52</v>
      </c>
      <c r="AQ1926" t="s">
        <v>52</v>
      </c>
      <c r="AR1926" t="s">
        <v>62</v>
      </c>
      <c r="AS1926" t="s">
        <v>52</v>
      </c>
      <c r="AT1926" t="s">
        <v>74</v>
      </c>
      <c r="AU1926" t="s">
        <v>64</v>
      </c>
      <c r="AV1926" t="s">
        <v>62</v>
      </c>
      <c r="AW1926" t="s">
        <v>65</v>
      </c>
      <c r="AX1926" t="s">
        <v>66</v>
      </c>
      <c r="AY1926" t="s">
        <v>76</v>
      </c>
    </row>
    <row r="1927" spans="1:51" hidden="1" x14ac:dyDescent="0.25">
      <c r="A1927">
        <v>406231</v>
      </c>
      <c r="B1927" t="s">
        <v>7193</v>
      </c>
      <c r="C1927" t="e">
        <f>VLOOKUP(A1927,[1]Customer_payment_journal_line!$AL:$BO,30,0)</f>
        <v>#N/A</v>
      </c>
      <c r="D1927" t="s">
        <v>76</v>
      </c>
      <c r="E1927" t="s">
        <v>7181</v>
      </c>
      <c r="F1927" t="s">
        <v>7182</v>
      </c>
      <c r="G1927" t="s">
        <v>6741</v>
      </c>
      <c r="H1927" t="s">
        <v>69</v>
      </c>
      <c r="I1927" t="s">
        <v>7186</v>
      </c>
      <c r="J1927" t="s">
        <v>7183</v>
      </c>
      <c r="K1927" t="s">
        <v>7184</v>
      </c>
      <c r="L1927" t="s">
        <v>52</v>
      </c>
      <c r="M1927">
        <v>0</v>
      </c>
      <c r="N1927">
        <v>1596</v>
      </c>
      <c r="O1927" t="s">
        <v>61</v>
      </c>
      <c r="P1927">
        <v>100</v>
      </c>
      <c r="Q1927" t="s">
        <v>52</v>
      </c>
      <c r="R1927" t="s">
        <v>52</v>
      </c>
      <c r="S1927" t="s">
        <v>52</v>
      </c>
      <c r="T1927" t="s">
        <v>52</v>
      </c>
      <c r="U1927" t="s">
        <v>52</v>
      </c>
      <c r="V1927" t="s">
        <v>62</v>
      </c>
      <c r="W1927" t="s">
        <v>52</v>
      </c>
      <c r="Y1927" t="s">
        <v>7187</v>
      </c>
      <c r="Z1927" t="s">
        <v>62</v>
      </c>
      <c r="AB1927" t="s">
        <v>7194</v>
      </c>
      <c r="AE1927" t="s">
        <v>7195</v>
      </c>
      <c r="AF1927" t="s">
        <v>52</v>
      </c>
      <c r="AH1927">
        <v>0</v>
      </c>
      <c r="AI1927">
        <v>0</v>
      </c>
      <c r="AJ1927" t="s">
        <v>52</v>
      </c>
      <c r="AK1927">
        <v>0</v>
      </c>
      <c r="AL1927" t="s">
        <v>52</v>
      </c>
      <c r="AM1927" t="s">
        <v>52</v>
      </c>
      <c r="AN1927">
        <v>0</v>
      </c>
      <c r="AO1927">
        <v>0</v>
      </c>
      <c r="AP1927" t="s">
        <v>52</v>
      </c>
      <c r="AQ1927" t="s">
        <v>52</v>
      </c>
      <c r="AR1927" t="s">
        <v>62</v>
      </c>
      <c r="AS1927" t="s">
        <v>52</v>
      </c>
      <c r="AT1927" t="s">
        <v>74</v>
      </c>
      <c r="AU1927" t="s">
        <v>64</v>
      </c>
      <c r="AV1927" t="s">
        <v>62</v>
      </c>
      <c r="AW1927" t="s">
        <v>65</v>
      </c>
      <c r="AX1927" t="s">
        <v>66</v>
      </c>
      <c r="AY1927" t="s">
        <v>76</v>
      </c>
    </row>
    <row r="1928" spans="1:51" hidden="1" x14ac:dyDescent="0.25">
      <c r="A1928">
        <v>406231</v>
      </c>
      <c r="B1928" t="s">
        <v>7196</v>
      </c>
      <c r="C1928" t="e">
        <f>VLOOKUP(A1928,[1]Customer_payment_journal_line!$AL:$BO,30,0)</f>
        <v>#N/A</v>
      </c>
      <c r="D1928" t="s">
        <v>76</v>
      </c>
      <c r="E1928" t="s">
        <v>7181</v>
      </c>
      <c r="F1928" t="s">
        <v>7182</v>
      </c>
      <c r="G1928" t="s">
        <v>6741</v>
      </c>
      <c r="H1928" t="s">
        <v>69</v>
      </c>
      <c r="I1928" t="s">
        <v>7186</v>
      </c>
      <c r="J1928" t="s">
        <v>7183</v>
      </c>
      <c r="K1928" t="s">
        <v>7184</v>
      </c>
      <c r="L1928" t="s">
        <v>52</v>
      </c>
      <c r="M1928">
        <v>0</v>
      </c>
      <c r="N1928">
        <v>855</v>
      </c>
      <c r="O1928" t="s">
        <v>61</v>
      </c>
      <c r="P1928">
        <v>100</v>
      </c>
      <c r="Q1928" t="s">
        <v>52</v>
      </c>
      <c r="R1928" t="s">
        <v>52</v>
      </c>
      <c r="S1928" t="s">
        <v>52</v>
      </c>
      <c r="T1928" t="s">
        <v>52</v>
      </c>
      <c r="U1928" t="s">
        <v>52</v>
      </c>
      <c r="V1928" t="s">
        <v>62</v>
      </c>
      <c r="W1928" t="s">
        <v>52</v>
      </c>
      <c r="Y1928" t="s">
        <v>7187</v>
      </c>
      <c r="Z1928" t="s">
        <v>62</v>
      </c>
      <c r="AB1928" t="s">
        <v>7197</v>
      </c>
      <c r="AE1928" t="s">
        <v>7198</v>
      </c>
      <c r="AF1928" t="s">
        <v>52</v>
      </c>
      <c r="AH1928">
        <v>0</v>
      </c>
      <c r="AI1928">
        <v>0</v>
      </c>
      <c r="AJ1928" t="s">
        <v>52</v>
      </c>
      <c r="AK1928">
        <v>0</v>
      </c>
      <c r="AL1928" t="s">
        <v>52</v>
      </c>
      <c r="AM1928" t="s">
        <v>52</v>
      </c>
      <c r="AN1928">
        <v>0</v>
      </c>
      <c r="AO1928">
        <v>0</v>
      </c>
      <c r="AP1928" t="s">
        <v>52</v>
      </c>
      <c r="AQ1928" t="s">
        <v>52</v>
      </c>
      <c r="AR1928" t="s">
        <v>62</v>
      </c>
      <c r="AS1928" t="s">
        <v>52</v>
      </c>
      <c r="AT1928" t="s">
        <v>74</v>
      </c>
      <c r="AU1928" t="s">
        <v>64</v>
      </c>
      <c r="AV1928" t="s">
        <v>62</v>
      </c>
      <c r="AW1928" t="s">
        <v>65</v>
      </c>
      <c r="AX1928" t="s">
        <v>66</v>
      </c>
      <c r="AY1928" t="s">
        <v>76</v>
      </c>
    </row>
    <row r="1929" spans="1:51" hidden="1" x14ac:dyDescent="0.25">
      <c r="A1929">
        <v>406232</v>
      </c>
      <c r="B1929" t="s">
        <v>7199</v>
      </c>
      <c r="C1929" t="e">
        <f>VLOOKUP(A1929,[1]Customer_payment_journal_line!$AL:$BO,30,0)</f>
        <v>#N/A</v>
      </c>
      <c r="D1929" t="s">
        <v>76</v>
      </c>
      <c r="E1929" t="s">
        <v>7200</v>
      </c>
      <c r="F1929" t="s">
        <v>7201</v>
      </c>
      <c r="G1929" t="s">
        <v>6741</v>
      </c>
      <c r="H1929" t="s">
        <v>80</v>
      </c>
      <c r="I1929" t="s">
        <v>81</v>
      </c>
      <c r="J1929" t="s">
        <v>7202</v>
      </c>
      <c r="K1929" t="s">
        <v>3744</v>
      </c>
      <c r="L1929" t="s">
        <v>52</v>
      </c>
      <c r="M1929">
        <v>1710</v>
      </c>
      <c r="N1929">
        <v>0</v>
      </c>
      <c r="O1929" t="s">
        <v>61</v>
      </c>
      <c r="P1929">
        <v>100</v>
      </c>
      <c r="Q1929" t="s">
        <v>52</v>
      </c>
      <c r="R1929" t="s">
        <v>52</v>
      </c>
      <c r="S1929" t="s">
        <v>52</v>
      </c>
      <c r="T1929" t="s">
        <v>52</v>
      </c>
      <c r="U1929" t="s">
        <v>52</v>
      </c>
      <c r="V1929" t="s">
        <v>62</v>
      </c>
      <c r="W1929" t="s">
        <v>52</v>
      </c>
      <c r="Y1929" t="s">
        <v>52</v>
      </c>
      <c r="AB1929" t="s">
        <v>52</v>
      </c>
      <c r="AE1929" t="s">
        <v>52</v>
      </c>
      <c r="AF1929" t="s">
        <v>52</v>
      </c>
      <c r="AH1929">
        <v>0</v>
      </c>
      <c r="AI1929">
        <v>0</v>
      </c>
      <c r="AJ1929" t="s">
        <v>52</v>
      </c>
      <c r="AK1929">
        <v>0</v>
      </c>
      <c r="AL1929" t="s">
        <v>52</v>
      </c>
      <c r="AM1929" t="s">
        <v>52</v>
      </c>
      <c r="AN1929">
        <v>0</v>
      </c>
      <c r="AO1929">
        <v>0</v>
      </c>
      <c r="AP1929" t="s">
        <v>52</v>
      </c>
      <c r="AQ1929" t="s">
        <v>52</v>
      </c>
      <c r="AR1929" t="s">
        <v>62</v>
      </c>
      <c r="AS1929" t="s">
        <v>52</v>
      </c>
      <c r="AT1929" t="s">
        <v>52</v>
      </c>
      <c r="AU1929" t="s">
        <v>64</v>
      </c>
      <c r="AV1929" t="s">
        <v>62</v>
      </c>
      <c r="AW1929" t="s">
        <v>65</v>
      </c>
      <c r="AX1929" t="s">
        <v>66</v>
      </c>
      <c r="AY1929" t="s">
        <v>76</v>
      </c>
    </row>
    <row r="1930" spans="1:51" hidden="1" x14ac:dyDescent="0.25">
      <c r="A1930">
        <v>406232</v>
      </c>
      <c r="B1930" t="s">
        <v>7203</v>
      </c>
      <c r="C1930" t="e">
        <f>VLOOKUP(A1930,[1]Customer_payment_journal_line!$AL:$BO,30,0)</f>
        <v>#N/A</v>
      </c>
      <c r="D1930" t="s">
        <v>76</v>
      </c>
      <c r="E1930" t="s">
        <v>7200</v>
      </c>
      <c r="F1930" t="s">
        <v>7201</v>
      </c>
      <c r="G1930" t="s">
        <v>6741</v>
      </c>
      <c r="H1930" t="s">
        <v>69</v>
      </c>
      <c r="I1930" t="s">
        <v>3746</v>
      </c>
      <c r="J1930" t="s">
        <v>7202</v>
      </c>
      <c r="K1930" t="s">
        <v>3744</v>
      </c>
      <c r="L1930" t="s">
        <v>52</v>
      </c>
      <c r="M1930">
        <v>0</v>
      </c>
      <c r="N1930">
        <v>1710</v>
      </c>
      <c r="O1930" t="s">
        <v>61</v>
      </c>
      <c r="P1930">
        <v>100</v>
      </c>
      <c r="Q1930" t="s">
        <v>52</v>
      </c>
      <c r="R1930" t="s">
        <v>52</v>
      </c>
      <c r="S1930" t="s">
        <v>52</v>
      </c>
      <c r="T1930" t="s">
        <v>52</v>
      </c>
      <c r="U1930" t="s">
        <v>52</v>
      </c>
      <c r="V1930" t="s">
        <v>62</v>
      </c>
      <c r="W1930" t="s">
        <v>52</v>
      </c>
      <c r="Y1930" t="s">
        <v>3747</v>
      </c>
      <c r="Z1930" t="s">
        <v>62</v>
      </c>
      <c r="AB1930" t="s">
        <v>7204</v>
      </c>
      <c r="AE1930" t="s">
        <v>7205</v>
      </c>
      <c r="AF1930" t="s">
        <v>52</v>
      </c>
      <c r="AH1930">
        <v>0</v>
      </c>
      <c r="AI1930">
        <v>0</v>
      </c>
      <c r="AJ1930" t="s">
        <v>52</v>
      </c>
      <c r="AK1930">
        <v>0</v>
      </c>
      <c r="AL1930" t="s">
        <v>52</v>
      </c>
      <c r="AM1930" t="s">
        <v>52</v>
      </c>
      <c r="AN1930">
        <v>0</v>
      </c>
      <c r="AO1930">
        <v>0</v>
      </c>
      <c r="AP1930" t="s">
        <v>52</v>
      </c>
      <c r="AQ1930" t="s">
        <v>52</v>
      </c>
      <c r="AR1930" t="s">
        <v>62</v>
      </c>
      <c r="AS1930" t="s">
        <v>52</v>
      </c>
      <c r="AT1930" t="s">
        <v>74</v>
      </c>
      <c r="AU1930" t="s">
        <v>64</v>
      </c>
      <c r="AV1930" t="s">
        <v>62</v>
      </c>
      <c r="AW1930" t="s">
        <v>65</v>
      </c>
      <c r="AX1930" t="s">
        <v>66</v>
      </c>
      <c r="AY1930" t="s">
        <v>76</v>
      </c>
    </row>
    <row r="1931" spans="1:51" hidden="1" x14ac:dyDescent="0.25">
      <c r="A1931">
        <v>406233</v>
      </c>
      <c r="B1931" t="s">
        <v>7206</v>
      </c>
      <c r="C1931" t="e">
        <f>VLOOKUP(A1931,[1]Customer_payment_journal_line!$AL:$BO,30,0)</f>
        <v>#N/A</v>
      </c>
      <c r="D1931" t="s">
        <v>159</v>
      </c>
      <c r="E1931" t="s">
        <v>7207</v>
      </c>
      <c r="F1931" t="s">
        <v>7208</v>
      </c>
      <c r="G1931" t="s">
        <v>6741</v>
      </c>
      <c r="H1931" t="s">
        <v>80</v>
      </c>
      <c r="I1931" t="s">
        <v>1278</v>
      </c>
      <c r="J1931" t="s">
        <v>3129</v>
      </c>
      <c r="K1931" t="s">
        <v>3756</v>
      </c>
      <c r="L1931" t="s">
        <v>52</v>
      </c>
      <c r="M1931">
        <v>440</v>
      </c>
      <c r="N1931">
        <v>0</v>
      </c>
      <c r="O1931" t="s">
        <v>126</v>
      </c>
      <c r="P1931">
        <v>5285</v>
      </c>
      <c r="Q1931" t="s">
        <v>52</v>
      </c>
      <c r="R1931" t="s">
        <v>52</v>
      </c>
      <c r="S1931" t="s">
        <v>52</v>
      </c>
      <c r="T1931" t="s">
        <v>52</v>
      </c>
      <c r="U1931" t="s">
        <v>52</v>
      </c>
      <c r="V1931" t="s">
        <v>62</v>
      </c>
      <c r="W1931" t="s">
        <v>52</v>
      </c>
      <c r="Y1931" t="s">
        <v>52</v>
      </c>
      <c r="AB1931" t="s">
        <v>52</v>
      </c>
      <c r="AE1931" t="s">
        <v>52</v>
      </c>
      <c r="AF1931" t="s">
        <v>52</v>
      </c>
      <c r="AH1931">
        <v>0</v>
      </c>
      <c r="AI1931">
        <v>0</v>
      </c>
      <c r="AJ1931" t="s">
        <v>52</v>
      </c>
      <c r="AK1931">
        <v>0</v>
      </c>
      <c r="AL1931" t="s">
        <v>52</v>
      </c>
      <c r="AM1931" t="s">
        <v>52</v>
      </c>
      <c r="AN1931">
        <v>0</v>
      </c>
      <c r="AO1931">
        <v>0</v>
      </c>
      <c r="AP1931" t="s">
        <v>52</v>
      </c>
      <c r="AQ1931" t="s">
        <v>52</v>
      </c>
      <c r="AR1931" t="s">
        <v>62</v>
      </c>
      <c r="AS1931" t="s">
        <v>52</v>
      </c>
      <c r="AT1931" t="s">
        <v>52</v>
      </c>
      <c r="AU1931" t="s">
        <v>64</v>
      </c>
      <c r="AV1931" t="s">
        <v>62</v>
      </c>
      <c r="AW1931" t="s">
        <v>65</v>
      </c>
      <c r="AX1931" t="s">
        <v>66</v>
      </c>
      <c r="AY1931" t="s">
        <v>165</v>
      </c>
    </row>
    <row r="1932" spans="1:51" hidden="1" x14ac:dyDescent="0.25">
      <c r="A1932">
        <v>406233</v>
      </c>
      <c r="B1932" t="s">
        <v>7209</v>
      </c>
      <c r="C1932" t="e">
        <f>VLOOKUP(A1932,[1]Customer_payment_journal_line!$AL:$BO,30,0)</f>
        <v>#N/A</v>
      </c>
      <c r="D1932" t="s">
        <v>159</v>
      </c>
      <c r="E1932" t="s">
        <v>7207</v>
      </c>
      <c r="F1932" t="s">
        <v>7208</v>
      </c>
      <c r="G1932" t="s">
        <v>6741</v>
      </c>
      <c r="H1932" t="s">
        <v>69</v>
      </c>
      <c r="I1932" t="s">
        <v>3132</v>
      </c>
      <c r="J1932" t="s">
        <v>3129</v>
      </c>
      <c r="K1932" t="s">
        <v>3756</v>
      </c>
      <c r="L1932" t="s">
        <v>52</v>
      </c>
      <c r="M1932">
        <v>0</v>
      </c>
      <c r="N1932">
        <v>440</v>
      </c>
      <c r="O1932" t="s">
        <v>126</v>
      </c>
      <c r="P1932">
        <v>5285</v>
      </c>
      <c r="Q1932" t="s">
        <v>52</v>
      </c>
      <c r="R1932" t="s">
        <v>52</v>
      </c>
      <c r="S1932" t="s">
        <v>52</v>
      </c>
      <c r="T1932" t="s">
        <v>52</v>
      </c>
      <c r="U1932" t="s">
        <v>52</v>
      </c>
      <c r="V1932" t="s">
        <v>62</v>
      </c>
      <c r="W1932" t="s">
        <v>52</v>
      </c>
      <c r="Y1932" t="s">
        <v>3133</v>
      </c>
      <c r="Z1932" t="s">
        <v>62</v>
      </c>
      <c r="AB1932" t="s">
        <v>7210</v>
      </c>
      <c r="AE1932" t="s">
        <v>7211</v>
      </c>
      <c r="AF1932" t="s">
        <v>52</v>
      </c>
      <c r="AH1932">
        <v>0</v>
      </c>
      <c r="AI1932">
        <v>0</v>
      </c>
      <c r="AJ1932" t="s">
        <v>52</v>
      </c>
      <c r="AK1932">
        <v>0</v>
      </c>
      <c r="AL1932" t="s">
        <v>52</v>
      </c>
      <c r="AM1932" t="s">
        <v>52</v>
      </c>
      <c r="AN1932">
        <v>0</v>
      </c>
      <c r="AO1932">
        <v>0</v>
      </c>
      <c r="AP1932" t="s">
        <v>52</v>
      </c>
      <c r="AQ1932" t="s">
        <v>52</v>
      </c>
      <c r="AR1932" t="s">
        <v>62</v>
      </c>
      <c r="AS1932" t="s">
        <v>52</v>
      </c>
      <c r="AT1932" t="s">
        <v>74</v>
      </c>
      <c r="AU1932" t="s">
        <v>64</v>
      </c>
      <c r="AV1932" t="s">
        <v>62</v>
      </c>
      <c r="AW1932" t="s">
        <v>65</v>
      </c>
      <c r="AX1932" t="s">
        <v>66</v>
      </c>
      <c r="AY1932" t="s">
        <v>165</v>
      </c>
    </row>
    <row r="1933" spans="1:51" hidden="1" x14ac:dyDescent="0.25">
      <c r="A1933">
        <v>406236</v>
      </c>
      <c r="B1933" t="s">
        <v>7212</v>
      </c>
      <c r="C1933" t="e">
        <f>VLOOKUP(A1933,[1]Customer_payment_journal_line!$AL:$BO,30,0)</f>
        <v>#N/A</v>
      </c>
      <c r="D1933" t="s">
        <v>76</v>
      </c>
      <c r="E1933" t="s">
        <v>7213</v>
      </c>
      <c r="F1933" t="s">
        <v>7214</v>
      </c>
      <c r="G1933" t="s">
        <v>6741</v>
      </c>
      <c r="H1933" t="s">
        <v>80</v>
      </c>
      <c r="I1933" t="s">
        <v>81</v>
      </c>
      <c r="J1933" t="s">
        <v>7215</v>
      </c>
      <c r="K1933" t="s">
        <v>4354</v>
      </c>
      <c r="L1933" t="s">
        <v>52</v>
      </c>
      <c r="M1933">
        <v>2420</v>
      </c>
      <c r="N1933">
        <v>0</v>
      </c>
      <c r="O1933" t="s">
        <v>61</v>
      </c>
      <c r="P1933">
        <v>100</v>
      </c>
      <c r="Q1933" t="s">
        <v>52</v>
      </c>
      <c r="R1933" t="s">
        <v>52</v>
      </c>
      <c r="S1933" t="s">
        <v>52</v>
      </c>
      <c r="T1933" t="s">
        <v>52</v>
      </c>
      <c r="U1933" t="s">
        <v>52</v>
      </c>
      <c r="V1933" t="s">
        <v>62</v>
      </c>
      <c r="W1933" t="s">
        <v>52</v>
      </c>
      <c r="Y1933" t="s">
        <v>52</v>
      </c>
      <c r="AB1933" t="s">
        <v>52</v>
      </c>
      <c r="AE1933" t="s">
        <v>52</v>
      </c>
      <c r="AF1933" t="s">
        <v>52</v>
      </c>
      <c r="AH1933">
        <v>0</v>
      </c>
      <c r="AI1933">
        <v>0</v>
      </c>
      <c r="AJ1933" t="s">
        <v>52</v>
      </c>
      <c r="AK1933">
        <v>0</v>
      </c>
      <c r="AL1933" t="s">
        <v>52</v>
      </c>
      <c r="AM1933" t="s">
        <v>52</v>
      </c>
      <c r="AN1933">
        <v>0</v>
      </c>
      <c r="AO1933">
        <v>0</v>
      </c>
      <c r="AP1933" t="s">
        <v>52</v>
      </c>
      <c r="AQ1933" t="s">
        <v>52</v>
      </c>
      <c r="AR1933" t="s">
        <v>62</v>
      </c>
      <c r="AS1933" t="s">
        <v>52</v>
      </c>
      <c r="AT1933" t="s">
        <v>52</v>
      </c>
      <c r="AU1933" t="s">
        <v>64</v>
      </c>
      <c r="AV1933" t="s">
        <v>62</v>
      </c>
      <c r="AW1933" t="s">
        <v>65</v>
      </c>
      <c r="AX1933" t="s">
        <v>66</v>
      </c>
      <c r="AY1933" t="s">
        <v>76</v>
      </c>
    </row>
    <row r="1934" spans="1:51" hidden="1" x14ac:dyDescent="0.25">
      <c r="A1934">
        <v>406236</v>
      </c>
      <c r="B1934" t="s">
        <v>7216</v>
      </c>
      <c r="C1934" t="e">
        <f>VLOOKUP(A1934,[1]Customer_payment_journal_line!$AL:$BO,30,0)</f>
        <v>#N/A</v>
      </c>
      <c r="D1934" t="s">
        <v>76</v>
      </c>
      <c r="E1934" t="s">
        <v>7213</v>
      </c>
      <c r="F1934" t="s">
        <v>7214</v>
      </c>
      <c r="G1934" t="s">
        <v>6741</v>
      </c>
      <c r="H1934" t="s">
        <v>69</v>
      </c>
      <c r="I1934" t="s">
        <v>2013</v>
      </c>
      <c r="J1934" t="s">
        <v>7215</v>
      </c>
      <c r="K1934" t="s">
        <v>4354</v>
      </c>
      <c r="L1934" t="s">
        <v>52</v>
      </c>
      <c r="M1934">
        <v>0</v>
      </c>
      <c r="N1934">
        <v>1240</v>
      </c>
      <c r="O1934" t="s">
        <v>61</v>
      </c>
      <c r="P1934">
        <v>100</v>
      </c>
      <c r="Q1934" t="s">
        <v>52</v>
      </c>
      <c r="R1934" t="s">
        <v>52</v>
      </c>
      <c r="S1934" t="s">
        <v>52</v>
      </c>
      <c r="T1934" t="s">
        <v>52</v>
      </c>
      <c r="U1934" t="s">
        <v>52</v>
      </c>
      <c r="V1934" t="s">
        <v>62</v>
      </c>
      <c r="W1934" t="s">
        <v>52</v>
      </c>
      <c r="Y1934" t="s">
        <v>2014</v>
      </c>
      <c r="Z1934" t="s">
        <v>62</v>
      </c>
      <c r="AB1934" t="s">
        <v>7217</v>
      </c>
      <c r="AE1934" t="s">
        <v>7218</v>
      </c>
      <c r="AF1934" t="s">
        <v>52</v>
      </c>
      <c r="AH1934">
        <v>0</v>
      </c>
      <c r="AI1934">
        <v>0</v>
      </c>
      <c r="AJ1934" t="s">
        <v>52</v>
      </c>
      <c r="AK1934">
        <v>0</v>
      </c>
      <c r="AL1934" t="s">
        <v>52</v>
      </c>
      <c r="AM1934" t="s">
        <v>52</v>
      </c>
      <c r="AN1934">
        <v>0</v>
      </c>
      <c r="AO1934">
        <v>0</v>
      </c>
      <c r="AP1934" t="s">
        <v>52</v>
      </c>
      <c r="AQ1934" t="s">
        <v>52</v>
      </c>
      <c r="AR1934" t="s">
        <v>62</v>
      </c>
      <c r="AS1934" t="s">
        <v>52</v>
      </c>
      <c r="AT1934" t="s">
        <v>74</v>
      </c>
      <c r="AU1934" t="s">
        <v>64</v>
      </c>
      <c r="AV1934" t="s">
        <v>62</v>
      </c>
      <c r="AW1934" t="s">
        <v>65</v>
      </c>
      <c r="AX1934" t="s">
        <v>66</v>
      </c>
      <c r="AY1934" t="s">
        <v>76</v>
      </c>
    </row>
    <row r="1935" spans="1:51" hidden="1" x14ac:dyDescent="0.25">
      <c r="A1935">
        <v>406236</v>
      </c>
      <c r="B1935" t="s">
        <v>7219</v>
      </c>
      <c r="C1935" t="e">
        <f>VLOOKUP(A1935,[1]Customer_payment_journal_line!$AL:$BO,30,0)</f>
        <v>#N/A</v>
      </c>
      <c r="D1935" t="s">
        <v>76</v>
      </c>
      <c r="E1935" t="s">
        <v>7213</v>
      </c>
      <c r="F1935" t="s">
        <v>7214</v>
      </c>
      <c r="G1935" t="s">
        <v>6741</v>
      </c>
      <c r="H1935" t="s">
        <v>69</v>
      </c>
      <c r="I1935" t="s">
        <v>2013</v>
      </c>
      <c r="J1935" t="s">
        <v>7215</v>
      </c>
      <c r="K1935" t="s">
        <v>4354</v>
      </c>
      <c r="L1935" t="s">
        <v>52</v>
      </c>
      <c r="M1935">
        <v>0</v>
      </c>
      <c r="N1935">
        <v>1180</v>
      </c>
      <c r="O1935" t="s">
        <v>61</v>
      </c>
      <c r="P1935">
        <v>100</v>
      </c>
      <c r="Q1935" t="s">
        <v>52</v>
      </c>
      <c r="R1935" t="s">
        <v>52</v>
      </c>
      <c r="S1935" t="s">
        <v>52</v>
      </c>
      <c r="T1935" t="s">
        <v>52</v>
      </c>
      <c r="U1935" t="s">
        <v>52</v>
      </c>
      <c r="V1935" t="s">
        <v>62</v>
      </c>
      <c r="W1935" t="s">
        <v>52</v>
      </c>
      <c r="Y1935" t="s">
        <v>2014</v>
      </c>
      <c r="Z1935" t="s">
        <v>62</v>
      </c>
      <c r="AB1935" t="s">
        <v>7220</v>
      </c>
      <c r="AE1935" t="s">
        <v>7221</v>
      </c>
      <c r="AF1935" t="s">
        <v>52</v>
      </c>
      <c r="AH1935">
        <v>0</v>
      </c>
      <c r="AI1935">
        <v>0</v>
      </c>
      <c r="AJ1935" t="s">
        <v>52</v>
      </c>
      <c r="AK1935">
        <v>0</v>
      </c>
      <c r="AL1935" t="s">
        <v>52</v>
      </c>
      <c r="AM1935" t="s">
        <v>52</v>
      </c>
      <c r="AN1935">
        <v>0</v>
      </c>
      <c r="AO1935">
        <v>0</v>
      </c>
      <c r="AP1935" t="s">
        <v>52</v>
      </c>
      <c r="AQ1935" t="s">
        <v>52</v>
      </c>
      <c r="AR1935" t="s">
        <v>62</v>
      </c>
      <c r="AS1935" t="s">
        <v>52</v>
      </c>
      <c r="AT1935" t="s">
        <v>74</v>
      </c>
      <c r="AU1935" t="s">
        <v>64</v>
      </c>
      <c r="AV1935" t="s">
        <v>62</v>
      </c>
      <c r="AW1935" t="s">
        <v>65</v>
      </c>
      <c r="AX1935" t="s">
        <v>66</v>
      </c>
      <c r="AY1935" t="s">
        <v>76</v>
      </c>
    </row>
    <row r="1936" spans="1:51" hidden="1" x14ac:dyDescent="0.25">
      <c r="A1936">
        <v>406237</v>
      </c>
      <c r="B1936" t="s">
        <v>7222</v>
      </c>
      <c r="C1936" t="e">
        <f>VLOOKUP(A1936,[1]Customer_payment_journal_line!$AL:$BO,30,0)</f>
        <v>#N/A</v>
      </c>
      <c r="D1936" t="s">
        <v>76</v>
      </c>
      <c r="E1936" t="s">
        <v>7223</v>
      </c>
      <c r="F1936" t="s">
        <v>7224</v>
      </c>
      <c r="G1936" t="s">
        <v>6741</v>
      </c>
      <c r="H1936" t="s">
        <v>80</v>
      </c>
      <c r="I1936" t="s">
        <v>81</v>
      </c>
      <c r="J1936" t="s">
        <v>7215</v>
      </c>
      <c r="K1936" t="s">
        <v>2011</v>
      </c>
      <c r="L1936" t="s">
        <v>52</v>
      </c>
      <c r="M1936">
        <v>625</v>
      </c>
      <c r="N1936">
        <v>0</v>
      </c>
      <c r="O1936" t="s">
        <v>61</v>
      </c>
      <c r="P1936">
        <v>100</v>
      </c>
      <c r="Q1936" t="s">
        <v>52</v>
      </c>
      <c r="R1936" t="s">
        <v>52</v>
      </c>
      <c r="S1936" t="s">
        <v>52</v>
      </c>
      <c r="T1936" t="s">
        <v>52</v>
      </c>
      <c r="U1936" t="s">
        <v>52</v>
      </c>
      <c r="V1936" t="s">
        <v>62</v>
      </c>
      <c r="W1936" t="s">
        <v>52</v>
      </c>
      <c r="Y1936" t="s">
        <v>52</v>
      </c>
      <c r="AB1936" t="s">
        <v>52</v>
      </c>
      <c r="AE1936" t="s">
        <v>52</v>
      </c>
      <c r="AF1936" t="s">
        <v>52</v>
      </c>
      <c r="AH1936">
        <v>0</v>
      </c>
      <c r="AI1936">
        <v>0</v>
      </c>
      <c r="AJ1936" t="s">
        <v>52</v>
      </c>
      <c r="AK1936">
        <v>0</v>
      </c>
      <c r="AL1936" t="s">
        <v>52</v>
      </c>
      <c r="AM1936" t="s">
        <v>52</v>
      </c>
      <c r="AN1936">
        <v>0</v>
      </c>
      <c r="AO1936">
        <v>0</v>
      </c>
      <c r="AP1936" t="s">
        <v>52</v>
      </c>
      <c r="AQ1936" t="s">
        <v>52</v>
      </c>
      <c r="AR1936" t="s">
        <v>62</v>
      </c>
      <c r="AS1936" t="s">
        <v>52</v>
      </c>
      <c r="AT1936" t="s">
        <v>52</v>
      </c>
      <c r="AU1936" t="s">
        <v>64</v>
      </c>
      <c r="AV1936" t="s">
        <v>62</v>
      </c>
      <c r="AW1936" t="s">
        <v>65</v>
      </c>
      <c r="AX1936" t="s">
        <v>66</v>
      </c>
      <c r="AY1936" t="s">
        <v>76</v>
      </c>
    </row>
    <row r="1937" spans="1:51" hidden="1" x14ac:dyDescent="0.25">
      <c r="A1937">
        <v>406237</v>
      </c>
      <c r="B1937" t="s">
        <v>7225</v>
      </c>
      <c r="C1937" t="e">
        <f>VLOOKUP(A1937,[1]Customer_payment_journal_line!$AL:$BO,30,0)</f>
        <v>#N/A</v>
      </c>
      <c r="D1937" t="s">
        <v>76</v>
      </c>
      <c r="E1937" t="s">
        <v>7223</v>
      </c>
      <c r="F1937" t="s">
        <v>7224</v>
      </c>
      <c r="G1937" t="s">
        <v>6741</v>
      </c>
      <c r="H1937" t="s">
        <v>69</v>
      </c>
      <c r="I1937" t="s">
        <v>2013</v>
      </c>
      <c r="J1937" t="s">
        <v>7215</v>
      </c>
      <c r="K1937" t="s">
        <v>2011</v>
      </c>
      <c r="L1937" t="s">
        <v>52</v>
      </c>
      <c r="M1937">
        <v>0</v>
      </c>
      <c r="N1937">
        <v>625</v>
      </c>
      <c r="O1937" t="s">
        <v>61</v>
      </c>
      <c r="P1937">
        <v>100</v>
      </c>
      <c r="Q1937" t="s">
        <v>52</v>
      </c>
      <c r="R1937" t="s">
        <v>52</v>
      </c>
      <c r="S1937" t="s">
        <v>52</v>
      </c>
      <c r="T1937" t="s">
        <v>52</v>
      </c>
      <c r="U1937" t="s">
        <v>52</v>
      </c>
      <c r="V1937" t="s">
        <v>62</v>
      </c>
      <c r="W1937" t="s">
        <v>52</v>
      </c>
      <c r="Y1937" t="s">
        <v>2014</v>
      </c>
      <c r="Z1937" t="s">
        <v>62</v>
      </c>
      <c r="AB1937" t="s">
        <v>7226</v>
      </c>
      <c r="AE1937" t="s">
        <v>7227</v>
      </c>
      <c r="AF1937" t="s">
        <v>52</v>
      </c>
      <c r="AH1937">
        <v>0</v>
      </c>
      <c r="AI1937">
        <v>0</v>
      </c>
      <c r="AJ1937" t="s">
        <v>52</v>
      </c>
      <c r="AK1937">
        <v>0</v>
      </c>
      <c r="AL1937" t="s">
        <v>52</v>
      </c>
      <c r="AM1937" t="s">
        <v>52</v>
      </c>
      <c r="AN1937">
        <v>0</v>
      </c>
      <c r="AO1937">
        <v>0</v>
      </c>
      <c r="AP1937" t="s">
        <v>52</v>
      </c>
      <c r="AQ1937" t="s">
        <v>52</v>
      </c>
      <c r="AR1937" t="s">
        <v>62</v>
      </c>
      <c r="AS1937" t="s">
        <v>52</v>
      </c>
      <c r="AT1937" t="s">
        <v>74</v>
      </c>
      <c r="AU1937" t="s">
        <v>64</v>
      </c>
      <c r="AV1937" t="s">
        <v>62</v>
      </c>
      <c r="AW1937" t="s">
        <v>65</v>
      </c>
      <c r="AX1937" t="s">
        <v>66</v>
      </c>
      <c r="AY1937" t="s">
        <v>76</v>
      </c>
    </row>
    <row r="1938" spans="1:51" hidden="1" x14ac:dyDescent="0.25">
      <c r="A1938">
        <v>203698</v>
      </c>
      <c r="B1938" t="s">
        <v>7228</v>
      </c>
      <c r="C1938" t="e">
        <f>VLOOKUP(A1938,[1]Customer_payment_journal_line!$AL:$BO,30,0)</f>
        <v>#N/A</v>
      </c>
      <c r="D1938" t="s">
        <v>53</v>
      </c>
      <c r="E1938" t="s">
        <v>7229</v>
      </c>
      <c r="F1938" t="s">
        <v>7230</v>
      </c>
      <c r="G1938" t="s">
        <v>6741</v>
      </c>
      <c r="H1938" t="s">
        <v>57</v>
      </c>
      <c r="I1938" t="s">
        <v>58</v>
      </c>
      <c r="J1938" t="s">
        <v>7231</v>
      </c>
      <c r="K1938" t="s">
        <v>7232</v>
      </c>
      <c r="L1938" t="s">
        <v>52</v>
      </c>
      <c r="M1938">
        <v>1710</v>
      </c>
      <c r="N1938">
        <v>0</v>
      </c>
      <c r="O1938" t="s">
        <v>61</v>
      </c>
      <c r="P1938">
        <v>100</v>
      </c>
      <c r="Q1938" t="s">
        <v>52</v>
      </c>
      <c r="R1938" t="s">
        <v>52</v>
      </c>
      <c r="S1938" t="s">
        <v>52</v>
      </c>
      <c r="T1938" t="s">
        <v>52</v>
      </c>
      <c r="U1938" t="s">
        <v>52</v>
      </c>
      <c r="V1938" t="s">
        <v>62</v>
      </c>
      <c r="W1938" t="s">
        <v>63</v>
      </c>
      <c r="Y1938" t="s">
        <v>52</v>
      </c>
      <c r="AB1938" t="s">
        <v>52</v>
      </c>
      <c r="AE1938" t="s">
        <v>52</v>
      </c>
      <c r="AF1938" t="s">
        <v>52</v>
      </c>
      <c r="AH1938">
        <v>0</v>
      </c>
      <c r="AI1938">
        <v>0</v>
      </c>
      <c r="AJ1938" t="s">
        <v>52</v>
      </c>
      <c r="AK1938">
        <v>0</v>
      </c>
      <c r="AL1938" t="s">
        <v>52</v>
      </c>
      <c r="AM1938" t="s">
        <v>52</v>
      </c>
      <c r="AN1938">
        <v>0</v>
      </c>
      <c r="AO1938">
        <v>0</v>
      </c>
      <c r="AP1938" t="s">
        <v>52</v>
      </c>
      <c r="AQ1938" t="s">
        <v>52</v>
      </c>
      <c r="AR1938" t="s">
        <v>62</v>
      </c>
      <c r="AS1938" t="s">
        <v>52</v>
      </c>
      <c r="AT1938" t="s">
        <v>52</v>
      </c>
      <c r="AU1938" t="s">
        <v>64</v>
      </c>
      <c r="AV1938" t="s">
        <v>62</v>
      </c>
      <c r="AW1938" t="s">
        <v>65</v>
      </c>
      <c r="AX1938" t="s">
        <v>66</v>
      </c>
      <c r="AY1938" t="s">
        <v>67</v>
      </c>
    </row>
    <row r="1939" spans="1:51" hidden="1" x14ac:dyDescent="0.25">
      <c r="A1939">
        <v>203698</v>
      </c>
      <c r="B1939" t="s">
        <v>7233</v>
      </c>
      <c r="C1939" t="e">
        <f>VLOOKUP(A1939,[1]Customer_payment_journal_line!$AL:$BO,30,0)</f>
        <v>#N/A</v>
      </c>
      <c r="D1939" t="s">
        <v>53</v>
      </c>
      <c r="E1939" t="s">
        <v>7229</v>
      </c>
      <c r="F1939" t="s">
        <v>7230</v>
      </c>
      <c r="G1939" t="s">
        <v>6741</v>
      </c>
      <c r="H1939" t="s">
        <v>69</v>
      </c>
      <c r="I1939" t="s">
        <v>7234</v>
      </c>
      <c r="J1939" t="s">
        <v>7231</v>
      </c>
      <c r="K1939" t="s">
        <v>7232</v>
      </c>
      <c r="L1939" t="s">
        <v>52</v>
      </c>
      <c r="M1939">
        <v>0</v>
      </c>
      <c r="N1939">
        <v>1710</v>
      </c>
      <c r="O1939" t="s">
        <v>61</v>
      </c>
      <c r="P1939">
        <v>100</v>
      </c>
      <c r="Q1939" t="s">
        <v>52</v>
      </c>
      <c r="R1939" t="s">
        <v>52</v>
      </c>
      <c r="S1939" t="s">
        <v>52</v>
      </c>
      <c r="T1939" t="s">
        <v>52</v>
      </c>
      <c r="U1939" t="s">
        <v>52</v>
      </c>
      <c r="V1939" t="s">
        <v>62</v>
      </c>
      <c r="W1939" t="s">
        <v>52</v>
      </c>
      <c r="Y1939" t="s">
        <v>7235</v>
      </c>
      <c r="Z1939" t="s">
        <v>62</v>
      </c>
      <c r="AB1939" t="s">
        <v>7236</v>
      </c>
      <c r="AE1939" t="s">
        <v>7237</v>
      </c>
      <c r="AF1939" t="s">
        <v>52</v>
      </c>
      <c r="AH1939">
        <v>0</v>
      </c>
      <c r="AI1939">
        <v>0</v>
      </c>
      <c r="AJ1939" t="s">
        <v>52</v>
      </c>
      <c r="AK1939">
        <v>0</v>
      </c>
      <c r="AL1939" t="s">
        <v>52</v>
      </c>
      <c r="AM1939" t="s">
        <v>52</v>
      </c>
      <c r="AN1939">
        <v>0</v>
      </c>
      <c r="AO1939">
        <v>0</v>
      </c>
      <c r="AP1939" t="s">
        <v>52</v>
      </c>
      <c r="AQ1939" t="s">
        <v>52</v>
      </c>
      <c r="AR1939" t="s">
        <v>62</v>
      </c>
      <c r="AS1939" t="s">
        <v>52</v>
      </c>
      <c r="AT1939" t="s">
        <v>74</v>
      </c>
      <c r="AU1939" t="s">
        <v>64</v>
      </c>
      <c r="AV1939" t="s">
        <v>62</v>
      </c>
      <c r="AW1939" t="s">
        <v>65</v>
      </c>
      <c r="AX1939" t="s">
        <v>66</v>
      </c>
      <c r="AY1939" t="s">
        <v>67</v>
      </c>
    </row>
    <row r="1940" spans="1:51" hidden="1" x14ac:dyDescent="0.25">
      <c r="A1940">
        <v>203699</v>
      </c>
      <c r="B1940" t="s">
        <v>7238</v>
      </c>
      <c r="C1940" t="e">
        <f>VLOOKUP(A1940,[1]Customer_payment_journal_line!$AL:$BO,30,0)</f>
        <v>#N/A</v>
      </c>
      <c r="D1940" t="s">
        <v>53</v>
      </c>
      <c r="E1940" t="s">
        <v>7239</v>
      </c>
      <c r="F1940" t="s">
        <v>7240</v>
      </c>
      <c r="G1940" t="s">
        <v>6741</v>
      </c>
      <c r="H1940" t="s">
        <v>57</v>
      </c>
      <c r="I1940" t="s">
        <v>58</v>
      </c>
      <c r="J1940" t="s">
        <v>7231</v>
      </c>
      <c r="K1940" t="s">
        <v>7232</v>
      </c>
      <c r="L1940" t="s">
        <v>52</v>
      </c>
      <c r="M1940">
        <v>855</v>
      </c>
      <c r="N1940">
        <v>0</v>
      </c>
      <c r="O1940" t="s">
        <v>61</v>
      </c>
      <c r="P1940">
        <v>100</v>
      </c>
      <c r="Q1940" t="s">
        <v>52</v>
      </c>
      <c r="R1940" t="s">
        <v>52</v>
      </c>
      <c r="S1940" t="s">
        <v>52</v>
      </c>
      <c r="T1940" t="s">
        <v>52</v>
      </c>
      <c r="U1940" t="s">
        <v>52</v>
      </c>
      <c r="V1940" t="s">
        <v>62</v>
      </c>
      <c r="W1940" t="s">
        <v>63</v>
      </c>
      <c r="Y1940" t="s">
        <v>52</v>
      </c>
      <c r="AB1940" t="s">
        <v>52</v>
      </c>
      <c r="AE1940" t="s">
        <v>52</v>
      </c>
      <c r="AF1940" t="s">
        <v>52</v>
      </c>
      <c r="AH1940">
        <v>0</v>
      </c>
      <c r="AI1940">
        <v>0</v>
      </c>
      <c r="AJ1940" t="s">
        <v>52</v>
      </c>
      <c r="AK1940">
        <v>0</v>
      </c>
      <c r="AL1940" t="s">
        <v>52</v>
      </c>
      <c r="AM1940" t="s">
        <v>52</v>
      </c>
      <c r="AN1940">
        <v>0</v>
      </c>
      <c r="AO1940">
        <v>0</v>
      </c>
      <c r="AP1940" t="s">
        <v>52</v>
      </c>
      <c r="AQ1940" t="s">
        <v>52</v>
      </c>
      <c r="AR1940" t="s">
        <v>62</v>
      </c>
      <c r="AS1940" t="s">
        <v>52</v>
      </c>
      <c r="AT1940" t="s">
        <v>52</v>
      </c>
      <c r="AU1940" t="s">
        <v>64</v>
      </c>
      <c r="AV1940" t="s">
        <v>62</v>
      </c>
      <c r="AW1940" t="s">
        <v>65</v>
      </c>
      <c r="AX1940" t="s">
        <v>66</v>
      </c>
      <c r="AY1940" t="s">
        <v>67</v>
      </c>
    </row>
    <row r="1941" spans="1:51" hidden="1" x14ac:dyDescent="0.25">
      <c r="A1941">
        <v>203699</v>
      </c>
      <c r="B1941" t="s">
        <v>7241</v>
      </c>
      <c r="C1941" t="e">
        <f>VLOOKUP(A1941,[1]Customer_payment_journal_line!$AL:$BO,30,0)</f>
        <v>#N/A</v>
      </c>
      <c r="D1941" t="s">
        <v>53</v>
      </c>
      <c r="E1941" t="s">
        <v>7239</v>
      </c>
      <c r="F1941" t="s">
        <v>7240</v>
      </c>
      <c r="G1941" t="s">
        <v>6741</v>
      </c>
      <c r="H1941" t="s">
        <v>69</v>
      </c>
      <c r="I1941" t="s">
        <v>7234</v>
      </c>
      <c r="J1941" t="s">
        <v>7231</v>
      </c>
      <c r="K1941" t="s">
        <v>7232</v>
      </c>
      <c r="L1941" t="s">
        <v>52</v>
      </c>
      <c r="M1941">
        <v>0</v>
      </c>
      <c r="N1941">
        <v>855</v>
      </c>
      <c r="O1941" t="s">
        <v>61</v>
      </c>
      <c r="P1941">
        <v>100</v>
      </c>
      <c r="Q1941" t="s">
        <v>52</v>
      </c>
      <c r="R1941" t="s">
        <v>52</v>
      </c>
      <c r="S1941" t="s">
        <v>52</v>
      </c>
      <c r="T1941" t="s">
        <v>52</v>
      </c>
      <c r="U1941" t="s">
        <v>52</v>
      </c>
      <c r="V1941" t="s">
        <v>62</v>
      </c>
      <c r="W1941" t="s">
        <v>52</v>
      </c>
      <c r="Y1941" t="s">
        <v>7235</v>
      </c>
      <c r="Z1941" t="s">
        <v>62</v>
      </c>
      <c r="AB1941" t="s">
        <v>7242</v>
      </c>
      <c r="AE1941" t="s">
        <v>7243</v>
      </c>
      <c r="AF1941" t="s">
        <v>52</v>
      </c>
      <c r="AH1941">
        <v>0</v>
      </c>
      <c r="AI1941">
        <v>0</v>
      </c>
      <c r="AJ1941" t="s">
        <v>52</v>
      </c>
      <c r="AK1941">
        <v>0</v>
      </c>
      <c r="AL1941" t="s">
        <v>52</v>
      </c>
      <c r="AM1941" t="s">
        <v>52</v>
      </c>
      <c r="AN1941">
        <v>0</v>
      </c>
      <c r="AO1941">
        <v>0</v>
      </c>
      <c r="AP1941" t="s">
        <v>52</v>
      </c>
      <c r="AQ1941" t="s">
        <v>52</v>
      </c>
      <c r="AR1941" t="s">
        <v>62</v>
      </c>
      <c r="AS1941" t="s">
        <v>52</v>
      </c>
      <c r="AT1941" t="s">
        <v>74</v>
      </c>
      <c r="AU1941" t="s">
        <v>64</v>
      </c>
      <c r="AV1941" t="s">
        <v>62</v>
      </c>
      <c r="AW1941" t="s">
        <v>65</v>
      </c>
      <c r="AX1941" t="s">
        <v>66</v>
      </c>
      <c r="AY1941" t="s">
        <v>67</v>
      </c>
    </row>
    <row r="1942" spans="1:51" hidden="1" x14ac:dyDescent="0.25">
      <c r="A1942">
        <v>203700</v>
      </c>
      <c r="B1942" t="s">
        <v>7244</v>
      </c>
      <c r="C1942" t="e">
        <f>VLOOKUP(A1942,[1]Customer_payment_journal_line!$AL:$BO,30,0)</f>
        <v>#N/A</v>
      </c>
      <c r="D1942" t="s">
        <v>53</v>
      </c>
      <c r="E1942" t="s">
        <v>7245</v>
      </c>
      <c r="F1942" t="s">
        <v>7246</v>
      </c>
      <c r="G1942" t="s">
        <v>6741</v>
      </c>
      <c r="H1942" t="s">
        <v>57</v>
      </c>
      <c r="I1942" t="s">
        <v>516</v>
      </c>
      <c r="J1942" t="s">
        <v>7231</v>
      </c>
      <c r="K1942" t="s">
        <v>7232</v>
      </c>
      <c r="L1942" t="s">
        <v>52</v>
      </c>
      <c r="M1942">
        <v>70</v>
      </c>
      <c r="N1942">
        <v>0</v>
      </c>
      <c r="O1942" t="s">
        <v>178</v>
      </c>
      <c r="P1942">
        <v>5085</v>
      </c>
      <c r="Q1942" t="s">
        <v>52</v>
      </c>
      <c r="R1942" t="s">
        <v>52</v>
      </c>
      <c r="S1942" t="s">
        <v>52</v>
      </c>
      <c r="T1942" t="s">
        <v>52</v>
      </c>
      <c r="U1942" t="s">
        <v>52</v>
      </c>
      <c r="V1942" t="s">
        <v>62</v>
      </c>
      <c r="W1942" t="s">
        <v>63</v>
      </c>
      <c r="Y1942" t="s">
        <v>52</v>
      </c>
      <c r="AB1942" t="s">
        <v>52</v>
      </c>
      <c r="AE1942" t="s">
        <v>52</v>
      </c>
      <c r="AF1942" t="s">
        <v>52</v>
      </c>
      <c r="AH1942">
        <v>0</v>
      </c>
      <c r="AI1942">
        <v>0</v>
      </c>
      <c r="AJ1942" t="s">
        <v>52</v>
      </c>
      <c r="AK1942">
        <v>0</v>
      </c>
      <c r="AL1942" t="s">
        <v>52</v>
      </c>
      <c r="AM1942" t="s">
        <v>52</v>
      </c>
      <c r="AN1942">
        <v>0</v>
      </c>
      <c r="AO1942">
        <v>0</v>
      </c>
      <c r="AP1942" t="s">
        <v>52</v>
      </c>
      <c r="AQ1942" t="s">
        <v>52</v>
      </c>
      <c r="AR1942" t="s">
        <v>62</v>
      </c>
      <c r="AS1942" t="s">
        <v>52</v>
      </c>
      <c r="AT1942" t="s">
        <v>52</v>
      </c>
      <c r="AU1942" t="s">
        <v>64</v>
      </c>
      <c r="AV1942" t="s">
        <v>62</v>
      </c>
      <c r="AW1942" t="s">
        <v>65</v>
      </c>
      <c r="AX1942" t="s">
        <v>66</v>
      </c>
      <c r="AY1942" t="s">
        <v>67</v>
      </c>
    </row>
    <row r="1943" spans="1:51" hidden="1" x14ac:dyDescent="0.25">
      <c r="A1943">
        <v>203700</v>
      </c>
      <c r="B1943" t="s">
        <v>7247</v>
      </c>
      <c r="C1943" t="e">
        <f>VLOOKUP(A1943,[1]Customer_payment_journal_line!$AL:$BO,30,0)</f>
        <v>#N/A</v>
      </c>
      <c r="D1943" t="s">
        <v>53</v>
      </c>
      <c r="E1943" t="s">
        <v>7245</v>
      </c>
      <c r="F1943" t="s">
        <v>7246</v>
      </c>
      <c r="G1943" t="s">
        <v>6741</v>
      </c>
      <c r="H1943" t="s">
        <v>69</v>
      </c>
      <c r="I1943" t="s">
        <v>7234</v>
      </c>
      <c r="J1943" t="s">
        <v>7231</v>
      </c>
      <c r="K1943" t="s">
        <v>7232</v>
      </c>
      <c r="L1943" t="s">
        <v>52</v>
      </c>
      <c r="M1943">
        <v>0</v>
      </c>
      <c r="N1943">
        <v>70</v>
      </c>
      <c r="O1943" t="s">
        <v>178</v>
      </c>
      <c r="P1943">
        <v>5085</v>
      </c>
      <c r="Q1943" t="s">
        <v>52</v>
      </c>
      <c r="R1943" t="s">
        <v>52</v>
      </c>
      <c r="S1943" t="s">
        <v>52</v>
      </c>
      <c r="T1943" t="s">
        <v>52</v>
      </c>
      <c r="U1943" t="s">
        <v>52</v>
      </c>
      <c r="V1943" t="s">
        <v>62</v>
      </c>
      <c r="W1943" t="s">
        <v>52</v>
      </c>
      <c r="Y1943" t="s">
        <v>7235</v>
      </c>
      <c r="Z1943" t="s">
        <v>62</v>
      </c>
      <c r="AB1943" t="s">
        <v>7248</v>
      </c>
      <c r="AE1943" t="s">
        <v>7249</v>
      </c>
      <c r="AF1943" t="s">
        <v>52</v>
      </c>
      <c r="AH1943">
        <v>0</v>
      </c>
      <c r="AI1943">
        <v>0</v>
      </c>
      <c r="AJ1943" t="s">
        <v>52</v>
      </c>
      <c r="AK1943">
        <v>0</v>
      </c>
      <c r="AL1943" t="s">
        <v>52</v>
      </c>
      <c r="AM1943" t="s">
        <v>52</v>
      </c>
      <c r="AN1943">
        <v>0</v>
      </c>
      <c r="AO1943">
        <v>0</v>
      </c>
      <c r="AP1943" t="s">
        <v>52</v>
      </c>
      <c r="AQ1943" t="s">
        <v>52</v>
      </c>
      <c r="AR1943" t="s">
        <v>62</v>
      </c>
      <c r="AS1943" t="s">
        <v>52</v>
      </c>
      <c r="AT1943" t="s">
        <v>74</v>
      </c>
      <c r="AU1943" t="s">
        <v>64</v>
      </c>
      <c r="AV1943" t="s">
        <v>62</v>
      </c>
      <c r="AW1943" t="s">
        <v>65</v>
      </c>
      <c r="AX1943" t="s">
        <v>66</v>
      </c>
      <c r="AY1943" t="s">
        <v>67</v>
      </c>
    </row>
    <row r="1944" spans="1:51" hidden="1" x14ac:dyDescent="0.25">
      <c r="A1944">
        <v>203725</v>
      </c>
      <c r="B1944" t="s">
        <v>7250</v>
      </c>
      <c r="C1944" t="e">
        <f>VLOOKUP(A1944,[1]Customer_payment_journal_line!$AL:$BO,30,0)</f>
        <v>#N/A</v>
      </c>
      <c r="D1944" t="s">
        <v>644</v>
      </c>
      <c r="E1944" t="s">
        <v>7251</v>
      </c>
      <c r="F1944" t="s">
        <v>7252</v>
      </c>
      <c r="G1944" t="s">
        <v>6741</v>
      </c>
      <c r="H1944" t="s">
        <v>210</v>
      </c>
      <c r="I1944" t="s">
        <v>7253</v>
      </c>
      <c r="K1944" t="s">
        <v>7254</v>
      </c>
      <c r="L1944" t="s">
        <v>52</v>
      </c>
      <c r="M1944">
        <v>810</v>
      </c>
      <c r="N1944">
        <v>0</v>
      </c>
      <c r="O1944" t="s">
        <v>61</v>
      </c>
      <c r="P1944">
        <v>100</v>
      </c>
      <c r="Q1944" t="s">
        <v>52</v>
      </c>
      <c r="R1944" t="s">
        <v>52</v>
      </c>
      <c r="S1944" t="s">
        <v>52</v>
      </c>
      <c r="T1944" t="s">
        <v>52</v>
      </c>
      <c r="U1944" t="s">
        <v>52</v>
      </c>
      <c r="V1944" t="s">
        <v>62</v>
      </c>
      <c r="W1944" t="s">
        <v>63</v>
      </c>
      <c r="Y1944" t="s">
        <v>52</v>
      </c>
      <c r="AB1944" t="s">
        <v>7255</v>
      </c>
      <c r="AE1944" t="s">
        <v>7256</v>
      </c>
      <c r="AF1944" t="s">
        <v>162</v>
      </c>
      <c r="AG1944" t="s">
        <v>7257</v>
      </c>
      <c r="AH1944">
        <v>0</v>
      </c>
      <c r="AI1944">
        <v>0</v>
      </c>
      <c r="AJ1944" t="s">
        <v>52</v>
      </c>
      <c r="AK1944">
        <v>0</v>
      </c>
      <c r="AL1944" t="s">
        <v>52</v>
      </c>
      <c r="AM1944" t="s">
        <v>52</v>
      </c>
      <c r="AN1944">
        <v>0</v>
      </c>
      <c r="AO1944">
        <v>0</v>
      </c>
      <c r="AP1944" t="s">
        <v>52</v>
      </c>
      <c r="AQ1944" t="s">
        <v>52</v>
      </c>
      <c r="AR1944" t="s">
        <v>62</v>
      </c>
      <c r="AS1944" t="s">
        <v>52</v>
      </c>
      <c r="AT1944" t="s">
        <v>52</v>
      </c>
      <c r="AU1944" t="s">
        <v>64</v>
      </c>
      <c r="AV1944" t="s">
        <v>62</v>
      </c>
      <c r="AW1944" t="s">
        <v>65</v>
      </c>
      <c r="AX1944" t="s">
        <v>66</v>
      </c>
      <c r="AY1944" t="s">
        <v>654</v>
      </c>
    </row>
    <row r="1945" spans="1:51" hidden="1" x14ac:dyDescent="0.25">
      <c r="A1945">
        <v>203725</v>
      </c>
      <c r="B1945" t="s">
        <v>7258</v>
      </c>
      <c r="C1945" t="e">
        <f>VLOOKUP(A1945,[1]Customer_payment_journal_line!$AL:$BO,30,0)</f>
        <v>#N/A</v>
      </c>
      <c r="D1945" t="s">
        <v>644</v>
      </c>
      <c r="E1945" t="s">
        <v>7251</v>
      </c>
      <c r="F1945" t="s">
        <v>7252</v>
      </c>
      <c r="G1945" t="s">
        <v>6741</v>
      </c>
      <c r="H1945" t="s">
        <v>69</v>
      </c>
      <c r="I1945" t="s">
        <v>4205</v>
      </c>
      <c r="J1945" t="s">
        <v>4202</v>
      </c>
      <c r="K1945" t="s">
        <v>7254</v>
      </c>
      <c r="L1945" t="s">
        <v>52</v>
      </c>
      <c r="M1945">
        <v>0</v>
      </c>
      <c r="N1945">
        <v>810</v>
      </c>
      <c r="O1945" t="s">
        <v>61</v>
      </c>
      <c r="P1945">
        <v>100</v>
      </c>
      <c r="Q1945" t="s">
        <v>52</v>
      </c>
      <c r="R1945" t="s">
        <v>52</v>
      </c>
      <c r="S1945" t="s">
        <v>52</v>
      </c>
      <c r="T1945" t="s">
        <v>52</v>
      </c>
      <c r="U1945" t="s">
        <v>52</v>
      </c>
      <c r="V1945" t="s">
        <v>62</v>
      </c>
      <c r="W1945" t="s">
        <v>52</v>
      </c>
      <c r="Y1945" t="s">
        <v>4206</v>
      </c>
      <c r="Z1945" t="s">
        <v>62</v>
      </c>
      <c r="AB1945" t="s">
        <v>7255</v>
      </c>
      <c r="AE1945" t="s">
        <v>7256</v>
      </c>
      <c r="AF1945" t="s">
        <v>162</v>
      </c>
      <c r="AG1945" t="s">
        <v>7257</v>
      </c>
      <c r="AH1945">
        <v>0</v>
      </c>
      <c r="AI1945">
        <v>0</v>
      </c>
      <c r="AJ1945" t="s">
        <v>52</v>
      </c>
      <c r="AK1945">
        <v>0</v>
      </c>
      <c r="AL1945" t="s">
        <v>52</v>
      </c>
      <c r="AM1945" t="s">
        <v>52</v>
      </c>
      <c r="AN1945">
        <v>0</v>
      </c>
      <c r="AO1945">
        <v>0</v>
      </c>
      <c r="AP1945" t="s">
        <v>52</v>
      </c>
      <c r="AQ1945" t="s">
        <v>52</v>
      </c>
      <c r="AR1945" t="s">
        <v>62</v>
      </c>
      <c r="AS1945" t="s">
        <v>52</v>
      </c>
      <c r="AT1945" t="s">
        <v>74</v>
      </c>
      <c r="AU1945" t="s">
        <v>64</v>
      </c>
      <c r="AV1945" t="s">
        <v>62</v>
      </c>
      <c r="AW1945" t="s">
        <v>65</v>
      </c>
      <c r="AX1945" t="s">
        <v>66</v>
      </c>
      <c r="AY1945" t="s">
        <v>654</v>
      </c>
    </row>
    <row r="1946" spans="1:51" hidden="1" x14ac:dyDescent="0.25">
      <c r="A1946">
        <v>203726</v>
      </c>
      <c r="B1946" t="s">
        <v>7259</v>
      </c>
      <c r="C1946" t="e">
        <f>VLOOKUP(A1946,[1]Customer_payment_journal_line!$AL:$BO,30,0)</f>
        <v>#N/A</v>
      </c>
      <c r="D1946" t="s">
        <v>644</v>
      </c>
      <c r="E1946" t="s">
        <v>7260</v>
      </c>
      <c r="F1946" t="s">
        <v>7261</v>
      </c>
      <c r="G1946" t="s">
        <v>6741</v>
      </c>
      <c r="H1946" t="s">
        <v>210</v>
      </c>
      <c r="I1946" t="s">
        <v>7262</v>
      </c>
      <c r="K1946" t="s">
        <v>7254</v>
      </c>
      <c r="L1946" t="s">
        <v>52</v>
      </c>
      <c r="M1946">
        <v>432</v>
      </c>
      <c r="N1946">
        <v>0</v>
      </c>
      <c r="O1946" t="s">
        <v>178</v>
      </c>
      <c r="P1946">
        <v>5085</v>
      </c>
      <c r="Q1946" t="s">
        <v>52</v>
      </c>
      <c r="R1946" t="s">
        <v>52</v>
      </c>
      <c r="S1946" t="s">
        <v>52</v>
      </c>
      <c r="T1946" t="s">
        <v>52</v>
      </c>
      <c r="U1946" t="s">
        <v>52</v>
      </c>
      <c r="V1946" t="s">
        <v>62</v>
      </c>
      <c r="W1946" t="s">
        <v>63</v>
      </c>
      <c r="Y1946" t="s">
        <v>52</v>
      </c>
      <c r="AB1946" t="s">
        <v>7263</v>
      </c>
      <c r="AE1946" t="s">
        <v>7264</v>
      </c>
      <c r="AF1946" t="s">
        <v>177</v>
      </c>
      <c r="AG1946" t="s">
        <v>7265</v>
      </c>
      <c r="AH1946">
        <v>0</v>
      </c>
      <c r="AI1946">
        <v>0</v>
      </c>
      <c r="AJ1946" t="s">
        <v>52</v>
      </c>
      <c r="AK1946">
        <v>0</v>
      </c>
      <c r="AL1946" t="s">
        <v>52</v>
      </c>
      <c r="AM1946" t="s">
        <v>52</v>
      </c>
      <c r="AN1946">
        <v>0</v>
      </c>
      <c r="AO1946">
        <v>0</v>
      </c>
      <c r="AP1946" t="s">
        <v>52</v>
      </c>
      <c r="AQ1946" t="s">
        <v>52</v>
      </c>
      <c r="AR1946" t="s">
        <v>62</v>
      </c>
      <c r="AS1946" t="s">
        <v>52</v>
      </c>
      <c r="AT1946" t="s">
        <v>52</v>
      </c>
      <c r="AU1946" t="s">
        <v>64</v>
      </c>
      <c r="AV1946" t="s">
        <v>62</v>
      </c>
      <c r="AW1946" t="s">
        <v>65</v>
      </c>
      <c r="AX1946" t="s">
        <v>66</v>
      </c>
      <c r="AY1946" t="s">
        <v>654</v>
      </c>
    </row>
    <row r="1947" spans="1:51" hidden="1" x14ac:dyDescent="0.25">
      <c r="A1947">
        <v>203726</v>
      </c>
      <c r="B1947" t="s">
        <v>7266</v>
      </c>
      <c r="C1947" t="e">
        <f>VLOOKUP(A1947,[1]Customer_payment_journal_line!$AL:$BO,30,0)</f>
        <v>#N/A</v>
      </c>
      <c r="D1947" t="s">
        <v>644</v>
      </c>
      <c r="E1947" t="s">
        <v>7260</v>
      </c>
      <c r="F1947" t="s">
        <v>7261</v>
      </c>
      <c r="G1947" t="s">
        <v>6741</v>
      </c>
      <c r="H1947" t="s">
        <v>69</v>
      </c>
      <c r="I1947" t="s">
        <v>4205</v>
      </c>
      <c r="J1947" t="s">
        <v>4202</v>
      </c>
      <c r="K1947" t="s">
        <v>7254</v>
      </c>
      <c r="L1947" t="s">
        <v>52</v>
      </c>
      <c r="M1947">
        <v>0</v>
      </c>
      <c r="N1947">
        <v>432</v>
      </c>
      <c r="O1947" t="s">
        <v>178</v>
      </c>
      <c r="P1947">
        <v>5085</v>
      </c>
      <c r="Q1947" t="s">
        <v>52</v>
      </c>
      <c r="R1947" t="s">
        <v>52</v>
      </c>
      <c r="S1947" t="s">
        <v>52</v>
      </c>
      <c r="T1947" t="s">
        <v>52</v>
      </c>
      <c r="U1947" t="s">
        <v>52</v>
      </c>
      <c r="V1947" t="s">
        <v>62</v>
      </c>
      <c r="W1947" t="s">
        <v>52</v>
      </c>
      <c r="Y1947" t="s">
        <v>4206</v>
      </c>
      <c r="Z1947" t="s">
        <v>62</v>
      </c>
      <c r="AB1947" t="s">
        <v>7263</v>
      </c>
      <c r="AE1947" t="s">
        <v>7264</v>
      </c>
      <c r="AF1947" t="s">
        <v>177</v>
      </c>
      <c r="AG1947" t="s">
        <v>7265</v>
      </c>
      <c r="AH1947">
        <v>0</v>
      </c>
      <c r="AI1947">
        <v>0</v>
      </c>
      <c r="AJ1947" t="s">
        <v>52</v>
      </c>
      <c r="AK1947">
        <v>0</v>
      </c>
      <c r="AL1947" t="s">
        <v>52</v>
      </c>
      <c r="AM1947" t="s">
        <v>52</v>
      </c>
      <c r="AN1947">
        <v>0</v>
      </c>
      <c r="AO1947">
        <v>0</v>
      </c>
      <c r="AP1947" t="s">
        <v>52</v>
      </c>
      <c r="AQ1947" t="s">
        <v>52</v>
      </c>
      <c r="AR1947" t="s">
        <v>62</v>
      </c>
      <c r="AS1947" t="s">
        <v>52</v>
      </c>
      <c r="AT1947" t="s">
        <v>74</v>
      </c>
      <c r="AU1947" t="s">
        <v>64</v>
      </c>
      <c r="AV1947" t="s">
        <v>62</v>
      </c>
      <c r="AW1947" t="s">
        <v>65</v>
      </c>
      <c r="AX1947" t="s">
        <v>66</v>
      </c>
      <c r="AY1947" t="s">
        <v>654</v>
      </c>
    </row>
    <row r="1948" spans="1:51" hidden="1" x14ac:dyDescent="0.25">
      <c r="A1948">
        <v>203727</v>
      </c>
      <c r="B1948" t="s">
        <v>7267</v>
      </c>
      <c r="C1948" t="e">
        <f>VLOOKUP(A1948,[1]Customer_payment_journal_line!$AL:$BO,30,0)</f>
        <v>#N/A</v>
      </c>
      <c r="D1948" t="s">
        <v>644</v>
      </c>
      <c r="E1948" t="s">
        <v>7268</v>
      </c>
      <c r="F1948" t="s">
        <v>7269</v>
      </c>
      <c r="G1948" t="s">
        <v>6741</v>
      </c>
      <c r="H1948" t="s">
        <v>210</v>
      </c>
      <c r="I1948" t="s">
        <v>7253</v>
      </c>
      <c r="K1948" t="s">
        <v>7270</v>
      </c>
      <c r="L1948" t="s">
        <v>52</v>
      </c>
      <c r="M1948">
        <v>810</v>
      </c>
      <c r="N1948">
        <v>0</v>
      </c>
      <c r="O1948" t="s">
        <v>61</v>
      </c>
      <c r="P1948">
        <v>100</v>
      </c>
      <c r="Q1948" t="s">
        <v>52</v>
      </c>
      <c r="R1948" t="s">
        <v>52</v>
      </c>
      <c r="S1948" t="s">
        <v>52</v>
      </c>
      <c r="T1948" t="s">
        <v>52</v>
      </c>
      <c r="U1948" t="s">
        <v>52</v>
      </c>
      <c r="V1948" t="s">
        <v>62</v>
      </c>
      <c r="W1948" t="s">
        <v>63</v>
      </c>
      <c r="Y1948" t="s">
        <v>52</v>
      </c>
      <c r="AB1948" t="s">
        <v>7271</v>
      </c>
      <c r="AE1948" t="s">
        <v>7272</v>
      </c>
      <c r="AF1948" t="s">
        <v>162</v>
      </c>
      <c r="AG1948" t="s">
        <v>7273</v>
      </c>
      <c r="AH1948">
        <v>0</v>
      </c>
      <c r="AI1948">
        <v>0</v>
      </c>
      <c r="AJ1948" t="s">
        <v>52</v>
      </c>
      <c r="AK1948">
        <v>0</v>
      </c>
      <c r="AL1948" t="s">
        <v>52</v>
      </c>
      <c r="AM1948" t="s">
        <v>52</v>
      </c>
      <c r="AN1948">
        <v>0</v>
      </c>
      <c r="AO1948">
        <v>0</v>
      </c>
      <c r="AP1948" t="s">
        <v>52</v>
      </c>
      <c r="AQ1948" t="s">
        <v>52</v>
      </c>
      <c r="AR1948" t="s">
        <v>62</v>
      </c>
      <c r="AS1948" t="s">
        <v>52</v>
      </c>
      <c r="AT1948" t="s">
        <v>52</v>
      </c>
      <c r="AU1948" t="s">
        <v>64</v>
      </c>
      <c r="AV1948" t="s">
        <v>62</v>
      </c>
      <c r="AW1948" t="s">
        <v>65</v>
      </c>
      <c r="AX1948" t="s">
        <v>66</v>
      </c>
      <c r="AY1948" t="s">
        <v>654</v>
      </c>
    </row>
    <row r="1949" spans="1:51" hidden="1" x14ac:dyDescent="0.25">
      <c r="A1949">
        <v>203727</v>
      </c>
      <c r="B1949" t="s">
        <v>7274</v>
      </c>
      <c r="C1949" t="e">
        <f>VLOOKUP(A1949,[1]Customer_payment_journal_line!$AL:$BO,30,0)</f>
        <v>#N/A</v>
      </c>
      <c r="D1949" t="s">
        <v>644</v>
      </c>
      <c r="E1949" t="s">
        <v>7268</v>
      </c>
      <c r="F1949" t="s">
        <v>7269</v>
      </c>
      <c r="G1949" t="s">
        <v>6741</v>
      </c>
      <c r="H1949" t="s">
        <v>69</v>
      </c>
      <c r="I1949" t="s">
        <v>4205</v>
      </c>
      <c r="J1949" t="s">
        <v>4202</v>
      </c>
      <c r="K1949" t="s">
        <v>7270</v>
      </c>
      <c r="L1949" t="s">
        <v>52</v>
      </c>
      <c r="M1949">
        <v>0</v>
      </c>
      <c r="N1949">
        <v>810</v>
      </c>
      <c r="O1949" t="s">
        <v>61</v>
      </c>
      <c r="P1949">
        <v>100</v>
      </c>
      <c r="Q1949" t="s">
        <v>52</v>
      </c>
      <c r="R1949" t="s">
        <v>52</v>
      </c>
      <c r="S1949" t="s">
        <v>52</v>
      </c>
      <c r="T1949" t="s">
        <v>52</v>
      </c>
      <c r="U1949" t="s">
        <v>52</v>
      </c>
      <c r="V1949" t="s">
        <v>62</v>
      </c>
      <c r="W1949" t="s">
        <v>52</v>
      </c>
      <c r="Y1949" t="s">
        <v>4206</v>
      </c>
      <c r="Z1949" t="s">
        <v>62</v>
      </c>
      <c r="AB1949" t="s">
        <v>7271</v>
      </c>
      <c r="AE1949" t="s">
        <v>7272</v>
      </c>
      <c r="AF1949" t="s">
        <v>162</v>
      </c>
      <c r="AG1949" t="s">
        <v>7273</v>
      </c>
      <c r="AH1949">
        <v>0</v>
      </c>
      <c r="AI1949">
        <v>0</v>
      </c>
      <c r="AJ1949" t="s">
        <v>52</v>
      </c>
      <c r="AK1949">
        <v>0</v>
      </c>
      <c r="AL1949" t="s">
        <v>52</v>
      </c>
      <c r="AM1949" t="s">
        <v>52</v>
      </c>
      <c r="AN1949">
        <v>0</v>
      </c>
      <c r="AO1949">
        <v>0</v>
      </c>
      <c r="AP1949" t="s">
        <v>52</v>
      </c>
      <c r="AQ1949" t="s">
        <v>52</v>
      </c>
      <c r="AR1949" t="s">
        <v>62</v>
      </c>
      <c r="AS1949" t="s">
        <v>52</v>
      </c>
      <c r="AT1949" t="s">
        <v>74</v>
      </c>
      <c r="AU1949" t="s">
        <v>64</v>
      </c>
      <c r="AV1949" t="s">
        <v>62</v>
      </c>
      <c r="AW1949" t="s">
        <v>65</v>
      </c>
      <c r="AX1949" t="s">
        <v>66</v>
      </c>
      <c r="AY1949" t="s">
        <v>654</v>
      </c>
    </row>
    <row r="1950" spans="1:51" hidden="1" x14ac:dyDescent="0.25">
      <c r="A1950">
        <v>203728</v>
      </c>
      <c r="B1950" t="s">
        <v>7275</v>
      </c>
      <c r="C1950" t="e">
        <f>VLOOKUP(A1950,[1]Customer_payment_journal_line!$AL:$BO,30,0)</f>
        <v>#N/A</v>
      </c>
      <c r="D1950" t="s">
        <v>644</v>
      </c>
      <c r="E1950" t="s">
        <v>7276</v>
      </c>
      <c r="F1950" t="s">
        <v>7277</v>
      </c>
      <c r="G1950" t="s">
        <v>6741</v>
      </c>
      <c r="H1950" t="s">
        <v>210</v>
      </c>
      <c r="I1950" t="s">
        <v>7262</v>
      </c>
      <c r="K1950" t="s">
        <v>7270</v>
      </c>
      <c r="L1950" t="s">
        <v>52</v>
      </c>
      <c r="M1950">
        <v>234</v>
      </c>
      <c r="N1950">
        <v>0</v>
      </c>
      <c r="O1950" t="s">
        <v>178</v>
      </c>
      <c r="P1950">
        <v>5085</v>
      </c>
      <c r="Q1950" t="s">
        <v>52</v>
      </c>
      <c r="R1950" t="s">
        <v>52</v>
      </c>
      <c r="S1950" t="s">
        <v>52</v>
      </c>
      <c r="T1950" t="s">
        <v>52</v>
      </c>
      <c r="U1950" t="s">
        <v>52</v>
      </c>
      <c r="V1950" t="s">
        <v>62</v>
      </c>
      <c r="W1950" t="s">
        <v>63</v>
      </c>
      <c r="Y1950" t="s">
        <v>52</v>
      </c>
      <c r="AB1950" t="s">
        <v>7278</v>
      </c>
      <c r="AE1950" t="s">
        <v>7279</v>
      </c>
      <c r="AF1950" t="s">
        <v>177</v>
      </c>
      <c r="AG1950" t="s">
        <v>7280</v>
      </c>
      <c r="AH1950">
        <v>0</v>
      </c>
      <c r="AI1950">
        <v>0</v>
      </c>
      <c r="AJ1950" t="s">
        <v>52</v>
      </c>
      <c r="AK1950">
        <v>0</v>
      </c>
      <c r="AL1950" t="s">
        <v>52</v>
      </c>
      <c r="AM1950" t="s">
        <v>52</v>
      </c>
      <c r="AN1950">
        <v>0</v>
      </c>
      <c r="AO1950">
        <v>0</v>
      </c>
      <c r="AP1950" t="s">
        <v>52</v>
      </c>
      <c r="AQ1950" t="s">
        <v>52</v>
      </c>
      <c r="AR1950" t="s">
        <v>62</v>
      </c>
      <c r="AS1950" t="s">
        <v>52</v>
      </c>
      <c r="AT1950" t="s">
        <v>52</v>
      </c>
      <c r="AU1950" t="s">
        <v>64</v>
      </c>
      <c r="AV1950" t="s">
        <v>62</v>
      </c>
      <c r="AW1950" t="s">
        <v>65</v>
      </c>
      <c r="AX1950" t="s">
        <v>66</v>
      </c>
      <c r="AY1950" t="s">
        <v>654</v>
      </c>
    </row>
    <row r="1951" spans="1:51" hidden="1" x14ac:dyDescent="0.25">
      <c r="A1951">
        <v>203728</v>
      </c>
      <c r="B1951" t="s">
        <v>7281</v>
      </c>
      <c r="C1951" t="e">
        <f>VLOOKUP(A1951,[1]Customer_payment_journal_line!$AL:$BO,30,0)</f>
        <v>#N/A</v>
      </c>
      <c r="D1951" t="s">
        <v>644</v>
      </c>
      <c r="E1951" t="s">
        <v>7276</v>
      </c>
      <c r="F1951" t="s">
        <v>7277</v>
      </c>
      <c r="G1951" t="s">
        <v>6741</v>
      </c>
      <c r="H1951" t="s">
        <v>69</v>
      </c>
      <c r="I1951" t="s">
        <v>4205</v>
      </c>
      <c r="J1951" t="s">
        <v>4202</v>
      </c>
      <c r="K1951" t="s">
        <v>7270</v>
      </c>
      <c r="L1951" t="s">
        <v>52</v>
      </c>
      <c r="M1951">
        <v>0</v>
      </c>
      <c r="N1951">
        <v>234</v>
      </c>
      <c r="O1951" t="s">
        <v>178</v>
      </c>
      <c r="P1951">
        <v>5085</v>
      </c>
      <c r="Q1951" t="s">
        <v>52</v>
      </c>
      <c r="R1951" t="s">
        <v>52</v>
      </c>
      <c r="S1951" t="s">
        <v>52</v>
      </c>
      <c r="T1951" t="s">
        <v>52</v>
      </c>
      <c r="U1951" t="s">
        <v>52</v>
      </c>
      <c r="V1951" t="s">
        <v>62</v>
      </c>
      <c r="W1951" t="s">
        <v>52</v>
      </c>
      <c r="Y1951" t="s">
        <v>4206</v>
      </c>
      <c r="Z1951" t="s">
        <v>62</v>
      </c>
      <c r="AB1951" t="s">
        <v>7278</v>
      </c>
      <c r="AE1951" t="s">
        <v>7279</v>
      </c>
      <c r="AF1951" t="s">
        <v>177</v>
      </c>
      <c r="AG1951" t="s">
        <v>7280</v>
      </c>
      <c r="AH1951">
        <v>0</v>
      </c>
      <c r="AI1951">
        <v>0</v>
      </c>
      <c r="AJ1951" t="s">
        <v>52</v>
      </c>
      <c r="AK1951">
        <v>0</v>
      </c>
      <c r="AL1951" t="s">
        <v>52</v>
      </c>
      <c r="AM1951" t="s">
        <v>52</v>
      </c>
      <c r="AN1951">
        <v>0</v>
      </c>
      <c r="AO1951">
        <v>0</v>
      </c>
      <c r="AP1951" t="s">
        <v>52</v>
      </c>
      <c r="AQ1951" t="s">
        <v>52</v>
      </c>
      <c r="AR1951" t="s">
        <v>62</v>
      </c>
      <c r="AS1951" t="s">
        <v>52</v>
      </c>
      <c r="AT1951" t="s">
        <v>74</v>
      </c>
      <c r="AU1951" t="s">
        <v>64</v>
      </c>
      <c r="AV1951" t="s">
        <v>62</v>
      </c>
      <c r="AW1951" t="s">
        <v>65</v>
      </c>
      <c r="AX1951" t="s">
        <v>66</v>
      </c>
      <c r="AY1951" t="s">
        <v>654</v>
      </c>
    </row>
    <row r="1952" spans="1:51" hidden="1" x14ac:dyDescent="0.25">
      <c r="A1952">
        <v>203742</v>
      </c>
      <c r="B1952" t="s">
        <v>7282</v>
      </c>
      <c r="C1952" t="e">
        <f>VLOOKUP(A1952,[1]Customer_payment_journal_line!$AL:$BO,30,0)</f>
        <v>#N/A</v>
      </c>
      <c r="D1952" t="s">
        <v>159</v>
      </c>
      <c r="E1952" t="s">
        <v>7283</v>
      </c>
      <c r="F1952" t="s">
        <v>7284</v>
      </c>
      <c r="G1952" t="s">
        <v>6741</v>
      </c>
      <c r="H1952" t="s">
        <v>80</v>
      </c>
      <c r="I1952" t="s">
        <v>269</v>
      </c>
      <c r="J1952" t="s">
        <v>7285</v>
      </c>
      <c r="K1952" t="s">
        <v>7286</v>
      </c>
      <c r="L1952" t="s">
        <v>52</v>
      </c>
      <c r="M1952">
        <v>350</v>
      </c>
      <c r="N1952">
        <v>0</v>
      </c>
      <c r="O1952" t="s">
        <v>178</v>
      </c>
      <c r="P1952">
        <v>5085</v>
      </c>
      <c r="Q1952" t="s">
        <v>52</v>
      </c>
      <c r="R1952" t="s">
        <v>52</v>
      </c>
      <c r="S1952" t="s">
        <v>52</v>
      </c>
      <c r="T1952" t="s">
        <v>52</v>
      </c>
      <c r="U1952" t="s">
        <v>52</v>
      </c>
      <c r="V1952" t="s">
        <v>62</v>
      </c>
      <c r="W1952" t="s">
        <v>52</v>
      </c>
      <c r="Y1952" t="s">
        <v>52</v>
      </c>
      <c r="AB1952" t="s">
        <v>52</v>
      </c>
      <c r="AE1952" t="s">
        <v>52</v>
      </c>
      <c r="AF1952" t="s">
        <v>52</v>
      </c>
      <c r="AH1952">
        <v>0</v>
      </c>
      <c r="AI1952">
        <v>0</v>
      </c>
      <c r="AJ1952" t="s">
        <v>52</v>
      </c>
      <c r="AK1952">
        <v>0</v>
      </c>
      <c r="AL1952" t="s">
        <v>52</v>
      </c>
      <c r="AM1952" t="s">
        <v>52</v>
      </c>
      <c r="AN1952">
        <v>0</v>
      </c>
      <c r="AO1952">
        <v>0</v>
      </c>
      <c r="AP1952" t="s">
        <v>52</v>
      </c>
      <c r="AQ1952" t="s">
        <v>52</v>
      </c>
      <c r="AR1952" t="s">
        <v>62</v>
      </c>
      <c r="AS1952" t="s">
        <v>52</v>
      </c>
      <c r="AT1952" t="s">
        <v>52</v>
      </c>
      <c r="AU1952" t="s">
        <v>64</v>
      </c>
      <c r="AV1952" t="s">
        <v>62</v>
      </c>
      <c r="AW1952" t="s">
        <v>65</v>
      </c>
      <c r="AX1952" t="s">
        <v>66</v>
      </c>
      <c r="AY1952" t="s">
        <v>165</v>
      </c>
    </row>
    <row r="1953" spans="1:51" hidden="1" x14ac:dyDescent="0.25">
      <c r="A1953">
        <v>203742</v>
      </c>
      <c r="B1953" t="s">
        <v>7287</v>
      </c>
      <c r="C1953" t="e">
        <f>VLOOKUP(A1953,[1]Customer_payment_journal_line!$AL:$BO,30,0)</f>
        <v>#N/A</v>
      </c>
      <c r="D1953" t="s">
        <v>159</v>
      </c>
      <c r="E1953" t="s">
        <v>7283</v>
      </c>
      <c r="F1953" t="s">
        <v>7284</v>
      </c>
      <c r="G1953" t="s">
        <v>6741</v>
      </c>
      <c r="H1953" t="s">
        <v>69</v>
      </c>
      <c r="I1953" t="s">
        <v>1740</v>
      </c>
      <c r="J1953" t="s">
        <v>7285</v>
      </c>
      <c r="K1953" t="s">
        <v>7286</v>
      </c>
      <c r="L1953" t="s">
        <v>52</v>
      </c>
      <c r="M1953">
        <v>0</v>
      </c>
      <c r="N1953">
        <v>350</v>
      </c>
      <c r="O1953" t="s">
        <v>178</v>
      </c>
      <c r="P1953">
        <v>5085</v>
      </c>
      <c r="Q1953" t="s">
        <v>52</v>
      </c>
      <c r="R1953" t="s">
        <v>52</v>
      </c>
      <c r="S1953" t="s">
        <v>52</v>
      </c>
      <c r="T1953" t="s">
        <v>52</v>
      </c>
      <c r="U1953" t="s">
        <v>52</v>
      </c>
      <c r="V1953" t="s">
        <v>62</v>
      </c>
      <c r="W1953" t="s">
        <v>52</v>
      </c>
      <c r="Y1953" t="s">
        <v>1741</v>
      </c>
      <c r="Z1953" t="s">
        <v>62</v>
      </c>
      <c r="AB1953" t="s">
        <v>7288</v>
      </c>
      <c r="AE1953" t="s">
        <v>7289</v>
      </c>
      <c r="AF1953" t="s">
        <v>52</v>
      </c>
      <c r="AH1953">
        <v>0</v>
      </c>
      <c r="AI1953">
        <v>0</v>
      </c>
      <c r="AJ1953" t="s">
        <v>52</v>
      </c>
      <c r="AK1953">
        <v>0</v>
      </c>
      <c r="AL1953" t="s">
        <v>52</v>
      </c>
      <c r="AM1953" t="s">
        <v>52</v>
      </c>
      <c r="AN1953">
        <v>0</v>
      </c>
      <c r="AO1953">
        <v>0</v>
      </c>
      <c r="AP1953" t="s">
        <v>52</v>
      </c>
      <c r="AQ1953" t="s">
        <v>52</v>
      </c>
      <c r="AR1953" t="s">
        <v>62</v>
      </c>
      <c r="AS1953" t="s">
        <v>52</v>
      </c>
      <c r="AT1953" t="s">
        <v>74</v>
      </c>
      <c r="AU1953" t="s">
        <v>64</v>
      </c>
      <c r="AV1953" t="s">
        <v>62</v>
      </c>
      <c r="AW1953" t="s">
        <v>65</v>
      </c>
      <c r="AX1953" t="s">
        <v>66</v>
      </c>
      <c r="AY1953" t="s">
        <v>165</v>
      </c>
    </row>
    <row r="1954" spans="1:51" hidden="1" x14ac:dyDescent="0.25">
      <c r="A1954">
        <v>203743</v>
      </c>
      <c r="B1954" t="s">
        <v>7290</v>
      </c>
      <c r="C1954" t="e">
        <f>VLOOKUP(A1954,[1]Customer_payment_journal_line!$AL:$BO,30,0)</f>
        <v>#N/A</v>
      </c>
      <c r="D1954" t="s">
        <v>159</v>
      </c>
      <c r="E1954" t="s">
        <v>7291</v>
      </c>
      <c r="F1954" t="s">
        <v>7292</v>
      </c>
      <c r="G1954" t="s">
        <v>6741</v>
      </c>
      <c r="H1954" t="s">
        <v>80</v>
      </c>
      <c r="I1954" t="s">
        <v>632</v>
      </c>
      <c r="J1954" t="s">
        <v>7285</v>
      </c>
      <c r="K1954" t="s">
        <v>7286</v>
      </c>
      <c r="L1954" t="s">
        <v>52</v>
      </c>
      <c r="M1954">
        <v>855</v>
      </c>
      <c r="N1954">
        <v>0</v>
      </c>
      <c r="O1954" t="s">
        <v>61</v>
      </c>
      <c r="P1954">
        <v>100</v>
      </c>
      <c r="Q1954" t="s">
        <v>52</v>
      </c>
      <c r="R1954" t="s">
        <v>52</v>
      </c>
      <c r="S1954" t="s">
        <v>52</v>
      </c>
      <c r="T1954" t="s">
        <v>52</v>
      </c>
      <c r="U1954" t="s">
        <v>52</v>
      </c>
      <c r="V1954" t="s">
        <v>62</v>
      </c>
      <c r="W1954" t="s">
        <v>52</v>
      </c>
      <c r="Y1954" t="s">
        <v>52</v>
      </c>
      <c r="AB1954" t="s">
        <v>52</v>
      </c>
      <c r="AE1954" t="s">
        <v>52</v>
      </c>
      <c r="AF1954" t="s">
        <v>52</v>
      </c>
      <c r="AH1954">
        <v>0</v>
      </c>
      <c r="AI1954">
        <v>0</v>
      </c>
      <c r="AJ1954" t="s">
        <v>52</v>
      </c>
      <c r="AK1954">
        <v>0</v>
      </c>
      <c r="AL1954" t="s">
        <v>52</v>
      </c>
      <c r="AM1954" t="s">
        <v>52</v>
      </c>
      <c r="AN1954">
        <v>0</v>
      </c>
      <c r="AO1954">
        <v>0</v>
      </c>
      <c r="AP1954" t="s">
        <v>52</v>
      </c>
      <c r="AQ1954" t="s">
        <v>52</v>
      </c>
      <c r="AR1954" t="s">
        <v>62</v>
      </c>
      <c r="AS1954" t="s">
        <v>52</v>
      </c>
      <c r="AT1954" t="s">
        <v>52</v>
      </c>
      <c r="AU1954" t="s">
        <v>64</v>
      </c>
      <c r="AV1954" t="s">
        <v>62</v>
      </c>
      <c r="AW1954" t="s">
        <v>65</v>
      </c>
      <c r="AX1954" t="s">
        <v>66</v>
      </c>
      <c r="AY1954" t="s">
        <v>165</v>
      </c>
    </row>
    <row r="1955" spans="1:51" hidden="1" x14ac:dyDescent="0.25">
      <c r="A1955">
        <v>203743</v>
      </c>
      <c r="B1955" t="s">
        <v>7293</v>
      </c>
      <c r="C1955" t="e">
        <f>VLOOKUP(A1955,[1]Customer_payment_journal_line!$AL:$BO,30,0)</f>
        <v>#N/A</v>
      </c>
      <c r="D1955" t="s">
        <v>159</v>
      </c>
      <c r="E1955" t="s">
        <v>7291</v>
      </c>
      <c r="F1955" t="s">
        <v>7292</v>
      </c>
      <c r="G1955" t="s">
        <v>6741</v>
      </c>
      <c r="H1955" t="s">
        <v>69</v>
      </c>
      <c r="I1955" t="s">
        <v>1740</v>
      </c>
      <c r="J1955" t="s">
        <v>7285</v>
      </c>
      <c r="K1955" t="s">
        <v>7286</v>
      </c>
      <c r="L1955" t="s">
        <v>52</v>
      </c>
      <c r="M1955">
        <v>0</v>
      </c>
      <c r="N1955">
        <v>855</v>
      </c>
      <c r="O1955" t="s">
        <v>61</v>
      </c>
      <c r="P1955">
        <v>100</v>
      </c>
      <c r="Q1955" t="s">
        <v>52</v>
      </c>
      <c r="R1955" t="s">
        <v>52</v>
      </c>
      <c r="S1955" t="s">
        <v>52</v>
      </c>
      <c r="T1955" t="s">
        <v>52</v>
      </c>
      <c r="U1955" t="s">
        <v>52</v>
      </c>
      <c r="V1955" t="s">
        <v>62</v>
      </c>
      <c r="W1955" t="s">
        <v>52</v>
      </c>
      <c r="Y1955" t="s">
        <v>1741</v>
      </c>
      <c r="Z1955" t="s">
        <v>62</v>
      </c>
      <c r="AB1955" t="s">
        <v>7294</v>
      </c>
      <c r="AE1955" t="s">
        <v>7295</v>
      </c>
      <c r="AF1955" t="s">
        <v>52</v>
      </c>
      <c r="AH1955">
        <v>0</v>
      </c>
      <c r="AI1955">
        <v>0</v>
      </c>
      <c r="AJ1955" t="s">
        <v>52</v>
      </c>
      <c r="AK1955">
        <v>0</v>
      </c>
      <c r="AL1955" t="s">
        <v>52</v>
      </c>
      <c r="AM1955" t="s">
        <v>52</v>
      </c>
      <c r="AN1955">
        <v>0</v>
      </c>
      <c r="AO1955">
        <v>0</v>
      </c>
      <c r="AP1955" t="s">
        <v>52</v>
      </c>
      <c r="AQ1955" t="s">
        <v>52</v>
      </c>
      <c r="AR1955" t="s">
        <v>62</v>
      </c>
      <c r="AS1955" t="s">
        <v>52</v>
      </c>
      <c r="AT1955" t="s">
        <v>74</v>
      </c>
      <c r="AU1955" t="s">
        <v>64</v>
      </c>
      <c r="AV1955" t="s">
        <v>62</v>
      </c>
      <c r="AW1955" t="s">
        <v>65</v>
      </c>
      <c r="AX1955" t="s">
        <v>66</v>
      </c>
      <c r="AY1955" t="s">
        <v>165</v>
      </c>
    </row>
    <row r="1956" spans="1:51" hidden="1" x14ac:dyDescent="0.25">
      <c r="A1956">
        <v>203744</v>
      </c>
      <c r="B1956" t="s">
        <v>7296</v>
      </c>
      <c r="C1956" t="e">
        <f>VLOOKUP(A1956,[1]Customer_payment_journal_line!$AL:$BO,30,0)</f>
        <v>#N/A</v>
      </c>
      <c r="D1956" t="s">
        <v>159</v>
      </c>
      <c r="E1956" t="s">
        <v>7297</v>
      </c>
      <c r="F1956" t="s">
        <v>7298</v>
      </c>
      <c r="G1956" t="s">
        <v>6741</v>
      </c>
      <c r="H1956" t="s">
        <v>80</v>
      </c>
      <c r="I1956" t="s">
        <v>632</v>
      </c>
      <c r="J1956" t="s">
        <v>7285</v>
      </c>
      <c r="K1956" t="s">
        <v>7286</v>
      </c>
      <c r="L1956" t="s">
        <v>52</v>
      </c>
      <c r="M1956">
        <v>3990</v>
      </c>
      <c r="N1956">
        <v>0</v>
      </c>
      <c r="O1956" t="s">
        <v>61</v>
      </c>
      <c r="P1956">
        <v>100</v>
      </c>
      <c r="Q1956" t="s">
        <v>52</v>
      </c>
      <c r="R1956" t="s">
        <v>52</v>
      </c>
      <c r="S1956" t="s">
        <v>52</v>
      </c>
      <c r="T1956" t="s">
        <v>52</v>
      </c>
      <c r="U1956" t="s">
        <v>52</v>
      </c>
      <c r="V1956" t="s">
        <v>62</v>
      </c>
      <c r="W1956" t="s">
        <v>52</v>
      </c>
      <c r="Y1956" t="s">
        <v>52</v>
      </c>
      <c r="AB1956" t="s">
        <v>52</v>
      </c>
      <c r="AE1956" t="s">
        <v>52</v>
      </c>
      <c r="AF1956" t="s">
        <v>52</v>
      </c>
      <c r="AH1956">
        <v>0</v>
      </c>
      <c r="AI1956">
        <v>0</v>
      </c>
      <c r="AJ1956" t="s">
        <v>52</v>
      </c>
      <c r="AK1956">
        <v>0</v>
      </c>
      <c r="AL1956" t="s">
        <v>52</v>
      </c>
      <c r="AM1956" t="s">
        <v>52</v>
      </c>
      <c r="AN1956">
        <v>0</v>
      </c>
      <c r="AO1956">
        <v>0</v>
      </c>
      <c r="AP1956" t="s">
        <v>52</v>
      </c>
      <c r="AQ1956" t="s">
        <v>52</v>
      </c>
      <c r="AR1956" t="s">
        <v>62</v>
      </c>
      <c r="AS1956" t="s">
        <v>52</v>
      </c>
      <c r="AT1956" t="s">
        <v>52</v>
      </c>
      <c r="AU1956" t="s">
        <v>64</v>
      </c>
      <c r="AV1956" t="s">
        <v>62</v>
      </c>
      <c r="AW1956" t="s">
        <v>65</v>
      </c>
      <c r="AX1956" t="s">
        <v>66</v>
      </c>
      <c r="AY1956" t="s">
        <v>165</v>
      </c>
    </row>
    <row r="1957" spans="1:51" hidden="1" x14ac:dyDescent="0.25">
      <c r="A1957">
        <v>203744</v>
      </c>
      <c r="B1957" t="s">
        <v>7299</v>
      </c>
      <c r="C1957" t="e">
        <f>VLOOKUP(A1957,[1]Customer_payment_journal_line!$AL:$BO,30,0)</f>
        <v>#N/A</v>
      </c>
      <c r="D1957" t="s">
        <v>159</v>
      </c>
      <c r="E1957" t="s">
        <v>7297</v>
      </c>
      <c r="F1957" t="s">
        <v>7298</v>
      </c>
      <c r="G1957" t="s">
        <v>6741</v>
      </c>
      <c r="H1957" t="s">
        <v>69</v>
      </c>
      <c r="I1957" t="s">
        <v>1740</v>
      </c>
      <c r="J1957" t="s">
        <v>7285</v>
      </c>
      <c r="K1957" t="s">
        <v>7286</v>
      </c>
      <c r="L1957" t="s">
        <v>52</v>
      </c>
      <c r="M1957">
        <v>0</v>
      </c>
      <c r="N1957">
        <v>3990</v>
      </c>
      <c r="O1957" t="s">
        <v>61</v>
      </c>
      <c r="P1957">
        <v>100</v>
      </c>
      <c r="Q1957" t="s">
        <v>52</v>
      </c>
      <c r="R1957" t="s">
        <v>52</v>
      </c>
      <c r="S1957" t="s">
        <v>52</v>
      </c>
      <c r="T1957" t="s">
        <v>52</v>
      </c>
      <c r="U1957" t="s">
        <v>52</v>
      </c>
      <c r="V1957" t="s">
        <v>62</v>
      </c>
      <c r="W1957" t="s">
        <v>52</v>
      </c>
      <c r="Y1957" t="s">
        <v>1741</v>
      </c>
      <c r="Z1957" t="s">
        <v>62</v>
      </c>
      <c r="AB1957" t="s">
        <v>7300</v>
      </c>
      <c r="AE1957" t="s">
        <v>7301</v>
      </c>
      <c r="AF1957" t="s">
        <v>52</v>
      </c>
      <c r="AH1957">
        <v>0</v>
      </c>
      <c r="AI1957">
        <v>0</v>
      </c>
      <c r="AJ1957" t="s">
        <v>52</v>
      </c>
      <c r="AK1957">
        <v>0</v>
      </c>
      <c r="AL1957" t="s">
        <v>52</v>
      </c>
      <c r="AM1957" t="s">
        <v>52</v>
      </c>
      <c r="AN1957">
        <v>0</v>
      </c>
      <c r="AO1957">
        <v>0</v>
      </c>
      <c r="AP1957" t="s">
        <v>52</v>
      </c>
      <c r="AQ1957" t="s">
        <v>52</v>
      </c>
      <c r="AR1957" t="s">
        <v>62</v>
      </c>
      <c r="AS1957" t="s">
        <v>52</v>
      </c>
      <c r="AT1957" t="s">
        <v>74</v>
      </c>
      <c r="AU1957" t="s">
        <v>64</v>
      </c>
      <c r="AV1957" t="s">
        <v>62</v>
      </c>
      <c r="AW1957" t="s">
        <v>65</v>
      </c>
      <c r="AX1957" t="s">
        <v>66</v>
      </c>
      <c r="AY1957" t="s">
        <v>165</v>
      </c>
    </row>
    <row r="1958" spans="1:51" hidden="1" x14ac:dyDescent="0.25">
      <c r="A1958">
        <v>203747</v>
      </c>
      <c r="B1958" t="s">
        <v>7302</v>
      </c>
      <c r="C1958" t="e">
        <f>VLOOKUP(A1958,[1]Customer_payment_journal_line!$AL:$BO,30,0)</f>
        <v>#N/A</v>
      </c>
      <c r="D1958" t="s">
        <v>53</v>
      </c>
      <c r="E1958" t="s">
        <v>7303</v>
      </c>
      <c r="F1958" t="s">
        <v>7304</v>
      </c>
      <c r="G1958" t="s">
        <v>6741</v>
      </c>
      <c r="H1958" t="s">
        <v>57</v>
      </c>
      <c r="I1958" t="s">
        <v>58</v>
      </c>
      <c r="J1958" t="s">
        <v>1610</v>
      </c>
      <c r="K1958" t="s">
        <v>6808</v>
      </c>
      <c r="L1958" t="s">
        <v>52</v>
      </c>
      <c r="M1958">
        <v>3420</v>
      </c>
      <c r="N1958">
        <v>0</v>
      </c>
      <c r="O1958" t="s">
        <v>61</v>
      </c>
      <c r="P1958">
        <v>100</v>
      </c>
      <c r="Q1958" t="s">
        <v>52</v>
      </c>
      <c r="R1958" t="s">
        <v>52</v>
      </c>
      <c r="S1958" t="s">
        <v>52</v>
      </c>
      <c r="T1958" t="s">
        <v>52</v>
      </c>
      <c r="U1958" t="s">
        <v>52</v>
      </c>
      <c r="V1958" t="s">
        <v>62</v>
      </c>
      <c r="W1958" t="s">
        <v>63</v>
      </c>
      <c r="Y1958" t="s">
        <v>52</v>
      </c>
      <c r="AB1958" t="s">
        <v>52</v>
      </c>
      <c r="AE1958" t="s">
        <v>52</v>
      </c>
      <c r="AF1958" t="s">
        <v>52</v>
      </c>
      <c r="AH1958">
        <v>0</v>
      </c>
      <c r="AI1958">
        <v>0</v>
      </c>
      <c r="AJ1958" t="s">
        <v>52</v>
      </c>
      <c r="AK1958">
        <v>0</v>
      </c>
      <c r="AL1958" t="s">
        <v>52</v>
      </c>
      <c r="AM1958" t="s">
        <v>52</v>
      </c>
      <c r="AN1958">
        <v>0</v>
      </c>
      <c r="AO1958">
        <v>0</v>
      </c>
      <c r="AP1958" t="s">
        <v>52</v>
      </c>
      <c r="AQ1958" t="s">
        <v>52</v>
      </c>
      <c r="AR1958" t="s">
        <v>62</v>
      </c>
      <c r="AS1958" t="s">
        <v>52</v>
      </c>
      <c r="AT1958" t="s">
        <v>52</v>
      </c>
      <c r="AU1958" t="s">
        <v>64</v>
      </c>
      <c r="AV1958" t="s">
        <v>62</v>
      </c>
      <c r="AW1958" t="s">
        <v>65</v>
      </c>
      <c r="AX1958" t="s">
        <v>66</v>
      </c>
      <c r="AY1958" t="s">
        <v>67</v>
      </c>
    </row>
    <row r="1959" spans="1:51" hidden="1" x14ac:dyDescent="0.25">
      <c r="A1959">
        <v>203747</v>
      </c>
      <c r="B1959" t="s">
        <v>7305</v>
      </c>
      <c r="C1959" t="e">
        <f>VLOOKUP(A1959,[1]Customer_payment_journal_line!$AL:$BO,30,0)</f>
        <v>#N/A</v>
      </c>
      <c r="D1959" t="s">
        <v>53</v>
      </c>
      <c r="E1959" t="s">
        <v>7303</v>
      </c>
      <c r="F1959" t="s">
        <v>7304</v>
      </c>
      <c r="G1959" t="s">
        <v>6741</v>
      </c>
      <c r="H1959" t="s">
        <v>69</v>
      </c>
      <c r="I1959" t="s">
        <v>842</v>
      </c>
      <c r="J1959" t="s">
        <v>1610</v>
      </c>
      <c r="K1959" t="s">
        <v>6808</v>
      </c>
      <c r="L1959" t="s">
        <v>52</v>
      </c>
      <c r="M1959">
        <v>0</v>
      </c>
      <c r="N1959">
        <v>3420</v>
      </c>
      <c r="O1959" t="s">
        <v>61</v>
      </c>
      <c r="P1959">
        <v>100</v>
      </c>
      <c r="Q1959" t="s">
        <v>52</v>
      </c>
      <c r="R1959" t="s">
        <v>52</v>
      </c>
      <c r="S1959" t="s">
        <v>52</v>
      </c>
      <c r="T1959" t="s">
        <v>52</v>
      </c>
      <c r="U1959" t="s">
        <v>52</v>
      </c>
      <c r="V1959" t="s">
        <v>62</v>
      </c>
      <c r="W1959" t="s">
        <v>52</v>
      </c>
      <c r="Y1959" t="s">
        <v>844</v>
      </c>
      <c r="Z1959" t="s">
        <v>62</v>
      </c>
      <c r="AB1959" t="s">
        <v>7306</v>
      </c>
      <c r="AE1959" t="s">
        <v>7307</v>
      </c>
      <c r="AF1959" t="s">
        <v>52</v>
      </c>
      <c r="AH1959">
        <v>0</v>
      </c>
      <c r="AI1959">
        <v>0</v>
      </c>
      <c r="AJ1959" t="s">
        <v>52</v>
      </c>
      <c r="AK1959">
        <v>0</v>
      </c>
      <c r="AL1959" t="s">
        <v>52</v>
      </c>
      <c r="AM1959" t="s">
        <v>52</v>
      </c>
      <c r="AN1959">
        <v>0</v>
      </c>
      <c r="AO1959">
        <v>0</v>
      </c>
      <c r="AP1959" t="s">
        <v>52</v>
      </c>
      <c r="AQ1959" t="s">
        <v>52</v>
      </c>
      <c r="AR1959" t="s">
        <v>62</v>
      </c>
      <c r="AS1959" t="s">
        <v>52</v>
      </c>
      <c r="AT1959" t="s">
        <v>74</v>
      </c>
      <c r="AU1959" t="s">
        <v>64</v>
      </c>
      <c r="AV1959" t="s">
        <v>62</v>
      </c>
      <c r="AW1959" t="s">
        <v>65</v>
      </c>
      <c r="AX1959" t="s">
        <v>66</v>
      </c>
      <c r="AY1959" t="s">
        <v>67</v>
      </c>
    </row>
    <row r="1960" spans="1:51" hidden="1" x14ac:dyDescent="0.25">
      <c r="A1960">
        <v>203748</v>
      </c>
      <c r="B1960" t="s">
        <v>7308</v>
      </c>
      <c r="C1960" t="e">
        <f>VLOOKUP(A1960,[1]Customer_payment_journal_line!$AL:$BO,30,0)</f>
        <v>#N/A</v>
      </c>
      <c r="D1960" t="s">
        <v>53</v>
      </c>
      <c r="E1960" t="s">
        <v>7309</v>
      </c>
      <c r="F1960" t="s">
        <v>7310</v>
      </c>
      <c r="G1960" t="s">
        <v>6741</v>
      </c>
      <c r="H1960" t="s">
        <v>57</v>
      </c>
      <c r="I1960" t="s">
        <v>58</v>
      </c>
      <c r="J1960" t="s">
        <v>1610</v>
      </c>
      <c r="K1960" t="s">
        <v>6801</v>
      </c>
      <c r="L1960" t="s">
        <v>52</v>
      </c>
      <c r="M1960">
        <v>3420</v>
      </c>
      <c r="N1960">
        <v>0</v>
      </c>
      <c r="O1960" t="s">
        <v>61</v>
      </c>
      <c r="P1960">
        <v>100</v>
      </c>
      <c r="Q1960" t="s">
        <v>52</v>
      </c>
      <c r="R1960" t="s">
        <v>52</v>
      </c>
      <c r="S1960" t="s">
        <v>52</v>
      </c>
      <c r="T1960" t="s">
        <v>52</v>
      </c>
      <c r="U1960" t="s">
        <v>52</v>
      </c>
      <c r="V1960" t="s">
        <v>62</v>
      </c>
      <c r="W1960" t="s">
        <v>63</v>
      </c>
      <c r="Y1960" t="s">
        <v>52</v>
      </c>
      <c r="AB1960" t="s">
        <v>52</v>
      </c>
      <c r="AE1960" t="s">
        <v>52</v>
      </c>
      <c r="AF1960" t="s">
        <v>52</v>
      </c>
      <c r="AH1960">
        <v>0</v>
      </c>
      <c r="AI1960">
        <v>0</v>
      </c>
      <c r="AJ1960" t="s">
        <v>52</v>
      </c>
      <c r="AK1960">
        <v>0</v>
      </c>
      <c r="AL1960" t="s">
        <v>52</v>
      </c>
      <c r="AM1960" t="s">
        <v>52</v>
      </c>
      <c r="AN1960">
        <v>0</v>
      </c>
      <c r="AO1960">
        <v>0</v>
      </c>
      <c r="AP1960" t="s">
        <v>52</v>
      </c>
      <c r="AQ1960" t="s">
        <v>52</v>
      </c>
      <c r="AR1960" t="s">
        <v>62</v>
      </c>
      <c r="AS1960" t="s">
        <v>52</v>
      </c>
      <c r="AT1960" t="s">
        <v>52</v>
      </c>
      <c r="AU1960" t="s">
        <v>64</v>
      </c>
      <c r="AV1960" t="s">
        <v>62</v>
      </c>
      <c r="AW1960" t="s">
        <v>65</v>
      </c>
      <c r="AX1960" t="s">
        <v>66</v>
      </c>
      <c r="AY1960" t="s">
        <v>67</v>
      </c>
    </row>
    <row r="1961" spans="1:51" hidden="1" x14ac:dyDescent="0.25">
      <c r="A1961">
        <v>203748</v>
      </c>
      <c r="B1961" t="s">
        <v>7311</v>
      </c>
      <c r="C1961" t="e">
        <f>VLOOKUP(A1961,[1]Customer_payment_journal_line!$AL:$BO,30,0)</f>
        <v>#N/A</v>
      </c>
      <c r="D1961" t="s">
        <v>53</v>
      </c>
      <c r="E1961" t="s">
        <v>7309</v>
      </c>
      <c r="F1961" t="s">
        <v>7310</v>
      </c>
      <c r="G1961" t="s">
        <v>6741</v>
      </c>
      <c r="H1961" t="s">
        <v>69</v>
      </c>
      <c r="I1961" t="s">
        <v>842</v>
      </c>
      <c r="J1961" t="s">
        <v>1610</v>
      </c>
      <c r="K1961" t="s">
        <v>6801</v>
      </c>
      <c r="L1961" t="s">
        <v>52</v>
      </c>
      <c r="M1961">
        <v>0</v>
      </c>
      <c r="N1961">
        <v>3420</v>
      </c>
      <c r="O1961" t="s">
        <v>61</v>
      </c>
      <c r="P1961">
        <v>100</v>
      </c>
      <c r="Q1961" t="s">
        <v>52</v>
      </c>
      <c r="R1961" t="s">
        <v>52</v>
      </c>
      <c r="S1961" t="s">
        <v>52</v>
      </c>
      <c r="T1961" t="s">
        <v>52</v>
      </c>
      <c r="U1961" t="s">
        <v>52</v>
      </c>
      <c r="V1961" t="s">
        <v>62</v>
      </c>
      <c r="W1961" t="s">
        <v>52</v>
      </c>
      <c r="Y1961" t="s">
        <v>844</v>
      </c>
      <c r="Z1961" t="s">
        <v>62</v>
      </c>
      <c r="AB1961" t="s">
        <v>7312</v>
      </c>
      <c r="AE1961" t="s">
        <v>7313</v>
      </c>
      <c r="AF1961" t="s">
        <v>52</v>
      </c>
      <c r="AH1961">
        <v>0</v>
      </c>
      <c r="AI1961">
        <v>0</v>
      </c>
      <c r="AJ1961" t="s">
        <v>52</v>
      </c>
      <c r="AK1961">
        <v>0</v>
      </c>
      <c r="AL1961" t="s">
        <v>52</v>
      </c>
      <c r="AM1961" t="s">
        <v>52</v>
      </c>
      <c r="AN1961">
        <v>0</v>
      </c>
      <c r="AO1961">
        <v>0</v>
      </c>
      <c r="AP1961" t="s">
        <v>52</v>
      </c>
      <c r="AQ1961" t="s">
        <v>52</v>
      </c>
      <c r="AR1961" t="s">
        <v>62</v>
      </c>
      <c r="AS1961" t="s">
        <v>52</v>
      </c>
      <c r="AT1961" t="s">
        <v>74</v>
      </c>
      <c r="AU1961" t="s">
        <v>64</v>
      </c>
      <c r="AV1961" t="s">
        <v>62</v>
      </c>
      <c r="AW1961" t="s">
        <v>65</v>
      </c>
      <c r="AX1961" t="s">
        <v>66</v>
      </c>
      <c r="AY1961" t="s">
        <v>67</v>
      </c>
    </row>
    <row r="1962" spans="1:51" hidden="1" x14ac:dyDescent="0.25">
      <c r="A1962">
        <v>406207</v>
      </c>
      <c r="B1962" t="s">
        <v>7314</v>
      </c>
      <c r="C1962" t="e">
        <f>VLOOKUP(A1962,[1]Customer_payment_journal_line!$AL:$BO,30,0)</f>
        <v>#N/A</v>
      </c>
      <c r="D1962" t="s">
        <v>53</v>
      </c>
      <c r="E1962" t="s">
        <v>7315</v>
      </c>
      <c r="F1962" t="s">
        <v>7316</v>
      </c>
      <c r="G1962" t="s">
        <v>6741</v>
      </c>
      <c r="H1962" t="s">
        <v>57</v>
      </c>
      <c r="I1962" t="s">
        <v>58</v>
      </c>
      <c r="J1962" t="s">
        <v>7317</v>
      </c>
      <c r="K1962" t="s">
        <v>7318</v>
      </c>
      <c r="L1962" t="s">
        <v>52</v>
      </c>
      <c r="M1962">
        <v>1995</v>
      </c>
      <c r="N1962">
        <v>0</v>
      </c>
      <c r="O1962" t="s">
        <v>61</v>
      </c>
      <c r="P1962">
        <v>100</v>
      </c>
      <c r="Q1962" t="s">
        <v>52</v>
      </c>
      <c r="R1962" t="s">
        <v>52</v>
      </c>
      <c r="S1962" t="s">
        <v>52</v>
      </c>
      <c r="T1962" t="s">
        <v>52</v>
      </c>
      <c r="U1962" t="s">
        <v>52</v>
      </c>
      <c r="V1962" t="s">
        <v>62</v>
      </c>
      <c r="W1962" t="s">
        <v>63</v>
      </c>
      <c r="Y1962" t="s">
        <v>52</v>
      </c>
      <c r="AB1962" t="s">
        <v>52</v>
      </c>
      <c r="AE1962" t="s">
        <v>52</v>
      </c>
      <c r="AF1962" t="s">
        <v>52</v>
      </c>
      <c r="AH1962">
        <v>0</v>
      </c>
      <c r="AI1962">
        <v>0</v>
      </c>
      <c r="AJ1962" t="s">
        <v>52</v>
      </c>
      <c r="AK1962">
        <v>0</v>
      </c>
      <c r="AL1962" t="s">
        <v>52</v>
      </c>
      <c r="AM1962" t="s">
        <v>52</v>
      </c>
      <c r="AN1962">
        <v>0</v>
      </c>
      <c r="AO1962">
        <v>0</v>
      </c>
      <c r="AP1962" t="s">
        <v>52</v>
      </c>
      <c r="AQ1962" t="s">
        <v>52</v>
      </c>
      <c r="AR1962" t="s">
        <v>62</v>
      </c>
      <c r="AS1962" t="s">
        <v>52</v>
      </c>
      <c r="AT1962" t="s">
        <v>52</v>
      </c>
      <c r="AU1962" t="s">
        <v>64</v>
      </c>
      <c r="AV1962" t="s">
        <v>62</v>
      </c>
      <c r="AW1962" t="s">
        <v>65</v>
      </c>
      <c r="AX1962" t="s">
        <v>66</v>
      </c>
      <c r="AY1962" t="s">
        <v>67</v>
      </c>
    </row>
    <row r="1963" spans="1:51" hidden="1" x14ac:dyDescent="0.25">
      <c r="A1963">
        <v>406207</v>
      </c>
      <c r="B1963" t="s">
        <v>7319</v>
      </c>
      <c r="C1963" t="e">
        <f>VLOOKUP(A1963,[1]Customer_payment_journal_line!$AL:$BO,30,0)</f>
        <v>#N/A</v>
      </c>
      <c r="D1963" t="s">
        <v>53</v>
      </c>
      <c r="E1963" t="s">
        <v>7315</v>
      </c>
      <c r="F1963" t="s">
        <v>7316</v>
      </c>
      <c r="G1963" t="s">
        <v>6741</v>
      </c>
      <c r="H1963" t="s">
        <v>69</v>
      </c>
      <c r="I1963" t="s">
        <v>7320</v>
      </c>
      <c r="J1963" t="s">
        <v>7317</v>
      </c>
      <c r="K1963" t="s">
        <v>7318</v>
      </c>
      <c r="L1963" t="s">
        <v>52</v>
      </c>
      <c r="M1963">
        <v>0</v>
      </c>
      <c r="N1963">
        <v>1995</v>
      </c>
      <c r="O1963" t="s">
        <v>61</v>
      </c>
      <c r="P1963">
        <v>100</v>
      </c>
      <c r="Q1963" t="s">
        <v>52</v>
      </c>
      <c r="R1963" t="s">
        <v>52</v>
      </c>
      <c r="S1963" t="s">
        <v>52</v>
      </c>
      <c r="T1963" t="s">
        <v>52</v>
      </c>
      <c r="U1963" t="s">
        <v>52</v>
      </c>
      <c r="V1963" t="s">
        <v>62</v>
      </c>
      <c r="W1963" t="s">
        <v>52</v>
      </c>
      <c r="Y1963" t="s">
        <v>7321</v>
      </c>
      <c r="Z1963" t="s">
        <v>62</v>
      </c>
      <c r="AB1963" t="s">
        <v>7322</v>
      </c>
      <c r="AE1963" t="s">
        <v>7323</v>
      </c>
      <c r="AF1963" t="s">
        <v>52</v>
      </c>
      <c r="AH1963">
        <v>0</v>
      </c>
      <c r="AI1963">
        <v>0</v>
      </c>
      <c r="AJ1963" t="s">
        <v>52</v>
      </c>
      <c r="AK1963">
        <v>0</v>
      </c>
      <c r="AL1963" t="s">
        <v>52</v>
      </c>
      <c r="AM1963" t="s">
        <v>52</v>
      </c>
      <c r="AN1963">
        <v>0</v>
      </c>
      <c r="AO1963">
        <v>0</v>
      </c>
      <c r="AP1963" t="s">
        <v>52</v>
      </c>
      <c r="AQ1963" t="s">
        <v>52</v>
      </c>
      <c r="AR1963" t="s">
        <v>62</v>
      </c>
      <c r="AS1963" t="s">
        <v>52</v>
      </c>
      <c r="AT1963" t="s">
        <v>74</v>
      </c>
      <c r="AU1963" t="s">
        <v>64</v>
      </c>
      <c r="AV1963" t="s">
        <v>62</v>
      </c>
      <c r="AW1963" t="s">
        <v>65</v>
      </c>
      <c r="AX1963" t="s">
        <v>66</v>
      </c>
      <c r="AY1963" t="s">
        <v>67</v>
      </c>
    </row>
    <row r="1964" spans="1:51" hidden="1" x14ac:dyDescent="0.25">
      <c r="A1964">
        <v>406208</v>
      </c>
      <c r="B1964" t="s">
        <v>7324</v>
      </c>
      <c r="C1964" t="e">
        <f>VLOOKUP(A1964,[1]Customer_payment_journal_line!$AL:$BO,30,0)</f>
        <v>#N/A</v>
      </c>
      <c r="D1964" t="s">
        <v>53</v>
      </c>
      <c r="E1964" t="s">
        <v>7325</v>
      </c>
      <c r="F1964" t="s">
        <v>7326</v>
      </c>
      <c r="G1964" t="s">
        <v>6741</v>
      </c>
      <c r="H1964" t="s">
        <v>57</v>
      </c>
      <c r="I1964" t="s">
        <v>58</v>
      </c>
      <c r="J1964" t="s">
        <v>7317</v>
      </c>
      <c r="K1964" t="s">
        <v>7318</v>
      </c>
      <c r="L1964" t="s">
        <v>52</v>
      </c>
      <c r="M1964">
        <v>855</v>
      </c>
      <c r="N1964">
        <v>0</v>
      </c>
      <c r="O1964" t="s">
        <v>61</v>
      </c>
      <c r="P1964">
        <v>100</v>
      </c>
      <c r="Q1964" t="s">
        <v>52</v>
      </c>
      <c r="R1964" t="s">
        <v>52</v>
      </c>
      <c r="S1964" t="s">
        <v>52</v>
      </c>
      <c r="T1964" t="s">
        <v>52</v>
      </c>
      <c r="U1964" t="s">
        <v>52</v>
      </c>
      <c r="V1964" t="s">
        <v>62</v>
      </c>
      <c r="W1964" t="s">
        <v>63</v>
      </c>
      <c r="Y1964" t="s">
        <v>52</v>
      </c>
      <c r="AB1964" t="s">
        <v>52</v>
      </c>
      <c r="AE1964" t="s">
        <v>52</v>
      </c>
      <c r="AF1964" t="s">
        <v>52</v>
      </c>
      <c r="AH1964">
        <v>0</v>
      </c>
      <c r="AI1964">
        <v>0</v>
      </c>
      <c r="AJ1964" t="s">
        <v>52</v>
      </c>
      <c r="AK1964">
        <v>0</v>
      </c>
      <c r="AL1964" t="s">
        <v>52</v>
      </c>
      <c r="AM1964" t="s">
        <v>52</v>
      </c>
      <c r="AN1964">
        <v>0</v>
      </c>
      <c r="AO1964">
        <v>0</v>
      </c>
      <c r="AP1964" t="s">
        <v>52</v>
      </c>
      <c r="AQ1964" t="s">
        <v>52</v>
      </c>
      <c r="AR1964" t="s">
        <v>62</v>
      </c>
      <c r="AS1964" t="s">
        <v>52</v>
      </c>
      <c r="AT1964" t="s">
        <v>52</v>
      </c>
      <c r="AU1964" t="s">
        <v>64</v>
      </c>
      <c r="AV1964" t="s">
        <v>62</v>
      </c>
      <c r="AW1964" t="s">
        <v>65</v>
      </c>
      <c r="AX1964" t="s">
        <v>66</v>
      </c>
      <c r="AY1964" t="s">
        <v>67</v>
      </c>
    </row>
    <row r="1965" spans="1:51" hidden="1" x14ac:dyDescent="0.25">
      <c r="A1965">
        <v>406208</v>
      </c>
      <c r="B1965" t="s">
        <v>7327</v>
      </c>
      <c r="C1965" t="e">
        <f>VLOOKUP(A1965,[1]Customer_payment_journal_line!$AL:$BO,30,0)</f>
        <v>#N/A</v>
      </c>
      <c r="D1965" t="s">
        <v>53</v>
      </c>
      <c r="E1965" t="s">
        <v>7325</v>
      </c>
      <c r="F1965" t="s">
        <v>7326</v>
      </c>
      <c r="G1965" t="s">
        <v>6741</v>
      </c>
      <c r="H1965" t="s">
        <v>69</v>
      </c>
      <c r="I1965" t="s">
        <v>7320</v>
      </c>
      <c r="J1965" t="s">
        <v>7317</v>
      </c>
      <c r="K1965" t="s">
        <v>7318</v>
      </c>
      <c r="L1965" t="s">
        <v>52</v>
      </c>
      <c r="M1965">
        <v>0</v>
      </c>
      <c r="N1965">
        <v>855</v>
      </c>
      <c r="O1965" t="s">
        <v>61</v>
      </c>
      <c r="P1965">
        <v>100</v>
      </c>
      <c r="Q1965" t="s">
        <v>52</v>
      </c>
      <c r="R1965" t="s">
        <v>52</v>
      </c>
      <c r="S1965" t="s">
        <v>52</v>
      </c>
      <c r="T1965" t="s">
        <v>52</v>
      </c>
      <c r="U1965" t="s">
        <v>52</v>
      </c>
      <c r="V1965" t="s">
        <v>62</v>
      </c>
      <c r="W1965" t="s">
        <v>52</v>
      </c>
      <c r="Y1965" t="s">
        <v>7321</v>
      </c>
      <c r="Z1965" t="s">
        <v>62</v>
      </c>
      <c r="AB1965" t="s">
        <v>7328</v>
      </c>
      <c r="AE1965" t="s">
        <v>7329</v>
      </c>
      <c r="AF1965" t="s">
        <v>52</v>
      </c>
      <c r="AH1965">
        <v>0</v>
      </c>
      <c r="AI1965">
        <v>0</v>
      </c>
      <c r="AJ1965" t="s">
        <v>52</v>
      </c>
      <c r="AK1965">
        <v>0</v>
      </c>
      <c r="AL1965" t="s">
        <v>52</v>
      </c>
      <c r="AM1965" t="s">
        <v>52</v>
      </c>
      <c r="AN1965">
        <v>0</v>
      </c>
      <c r="AO1965">
        <v>0</v>
      </c>
      <c r="AP1965" t="s">
        <v>52</v>
      </c>
      <c r="AQ1965" t="s">
        <v>52</v>
      </c>
      <c r="AR1965" t="s">
        <v>62</v>
      </c>
      <c r="AS1965" t="s">
        <v>52</v>
      </c>
      <c r="AT1965" t="s">
        <v>74</v>
      </c>
      <c r="AU1965" t="s">
        <v>64</v>
      </c>
      <c r="AV1965" t="s">
        <v>62</v>
      </c>
      <c r="AW1965" t="s">
        <v>65</v>
      </c>
      <c r="AX1965" t="s">
        <v>66</v>
      </c>
      <c r="AY1965" t="s">
        <v>67</v>
      </c>
    </row>
    <row r="1966" spans="1:51" hidden="1" x14ac:dyDescent="0.25">
      <c r="A1966">
        <v>406209</v>
      </c>
      <c r="B1966" t="s">
        <v>7330</v>
      </c>
      <c r="C1966" t="e">
        <f>VLOOKUP(A1966,[1]Customer_payment_journal_line!$AL:$BO,30,0)</f>
        <v>#N/A</v>
      </c>
      <c r="D1966" t="s">
        <v>53</v>
      </c>
      <c r="E1966" t="s">
        <v>7331</v>
      </c>
      <c r="F1966" t="s">
        <v>7332</v>
      </c>
      <c r="G1966" t="s">
        <v>6741</v>
      </c>
      <c r="H1966" t="s">
        <v>57</v>
      </c>
      <c r="I1966" t="s">
        <v>516</v>
      </c>
      <c r="J1966" t="s">
        <v>7317</v>
      </c>
      <c r="K1966" t="s">
        <v>7318</v>
      </c>
      <c r="L1966" t="s">
        <v>52</v>
      </c>
      <c r="M1966">
        <v>105</v>
      </c>
      <c r="N1966">
        <v>0</v>
      </c>
      <c r="O1966" t="s">
        <v>178</v>
      </c>
      <c r="P1966">
        <v>5085</v>
      </c>
      <c r="Q1966" t="s">
        <v>52</v>
      </c>
      <c r="R1966" t="s">
        <v>52</v>
      </c>
      <c r="S1966" t="s">
        <v>52</v>
      </c>
      <c r="T1966" t="s">
        <v>52</v>
      </c>
      <c r="U1966" t="s">
        <v>52</v>
      </c>
      <c r="V1966" t="s">
        <v>62</v>
      </c>
      <c r="W1966" t="s">
        <v>63</v>
      </c>
      <c r="Y1966" t="s">
        <v>52</v>
      </c>
      <c r="AB1966" t="s">
        <v>52</v>
      </c>
      <c r="AE1966" t="s">
        <v>52</v>
      </c>
      <c r="AF1966" t="s">
        <v>52</v>
      </c>
      <c r="AH1966">
        <v>0</v>
      </c>
      <c r="AI1966">
        <v>0</v>
      </c>
      <c r="AJ1966" t="s">
        <v>52</v>
      </c>
      <c r="AK1966">
        <v>0</v>
      </c>
      <c r="AL1966" t="s">
        <v>52</v>
      </c>
      <c r="AM1966" t="s">
        <v>52</v>
      </c>
      <c r="AN1966">
        <v>0</v>
      </c>
      <c r="AO1966">
        <v>0</v>
      </c>
      <c r="AP1966" t="s">
        <v>52</v>
      </c>
      <c r="AQ1966" t="s">
        <v>52</v>
      </c>
      <c r="AR1966" t="s">
        <v>62</v>
      </c>
      <c r="AS1966" t="s">
        <v>52</v>
      </c>
      <c r="AT1966" t="s">
        <v>52</v>
      </c>
      <c r="AU1966" t="s">
        <v>64</v>
      </c>
      <c r="AV1966" t="s">
        <v>62</v>
      </c>
      <c r="AW1966" t="s">
        <v>65</v>
      </c>
      <c r="AX1966" t="s">
        <v>66</v>
      </c>
      <c r="AY1966" t="s">
        <v>67</v>
      </c>
    </row>
    <row r="1967" spans="1:51" hidden="1" x14ac:dyDescent="0.25">
      <c r="A1967">
        <v>406209</v>
      </c>
      <c r="B1967" t="s">
        <v>7333</v>
      </c>
      <c r="C1967" t="e">
        <f>VLOOKUP(A1967,[1]Customer_payment_journal_line!$AL:$BO,30,0)</f>
        <v>#N/A</v>
      </c>
      <c r="D1967" t="s">
        <v>53</v>
      </c>
      <c r="E1967" t="s">
        <v>7331</v>
      </c>
      <c r="F1967" t="s">
        <v>7332</v>
      </c>
      <c r="G1967" t="s">
        <v>6741</v>
      </c>
      <c r="H1967" t="s">
        <v>69</v>
      </c>
      <c r="I1967" t="s">
        <v>7320</v>
      </c>
      <c r="J1967" t="s">
        <v>7317</v>
      </c>
      <c r="K1967" t="s">
        <v>7318</v>
      </c>
      <c r="L1967" t="s">
        <v>52</v>
      </c>
      <c r="M1967">
        <v>0</v>
      </c>
      <c r="N1967">
        <v>105</v>
      </c>
      <c r="O1967" t="s">
        <v>178</v>
      </c>
      <c r="P1967">
        <v>5085</v>
      </c>
      <c r="Q1967" t="s">
        <v>52</v>
      </c>
      <c r="R1967" t="s">
        <v>52</v>
      </c>
      <c r="S1967" t="s">
        <v>52</v>
      </c>
      <c r="T1967" t="s">
        <v>52</v>
      </c>
      <c r="U1967" t="s">
        <v>52</v>
      </c>
      <c r="V1967" t="s">
        <v>62</v>
      </c>
      <c r="W1967" t="s">
        <v>52</v>
      </c>
      <c r="Y1967" t="s">
        <v>7321</v>
      </c>
      <c r="Z1967" t="s">
        <v>62</v>
      </c>
      <c r="AB1967" t="s">
        <v>7334</v>
      </c>
      <c r="AE1967" t="s">
        <v>7335</v>
      </c>
      <c r="AF1967" t="s">
        <v>52</v>
      </c>
      <c r="AH1967">
        <v>0</v>
      </c>
      <c r="AI1967">
        <v>0</v>
      </c>
      <c r="AJ1967" t="s">
        <v>52</v>
      </c>
      <c r="AK1967">
        <v>0</v>
      </c>
      <c r="AL1967" t="s">
        <v>52</v>
      </c>
      <c r="AM1967" t="s">
        <v>52</v>
      </c>
      <c r="AN1967">
        <v>0</v>
      </c>
      <c r="AO1967">
        <v>0</v>
      </c>
      <c r="AP1967" t="s">
        <v>52</v>
      </c>
      <c r="AQ1967" t="s">
        <v>52</v>
      </c>
      <c r="AR1967" t="s">
        <v>62</v>
      </c>
      <c r="AS1967" t="s">
        <v>52</v>
      </c>
      <c r="AT1967" t="s">
        <v>74</v>
      </c>
      <c r="AU1967" t="s">
        <v>64</v>
      </c>
      <c r="AV1967" t="s">
        <v>62</v>
      </c>
      <c r="AW1967" t="s">
        <v>65</v>
      </c>
      <c r="AX1967" t="s">
        <v>66</v>
      </c>
      <c r="AY1967" t="s">
        <v>67</v>
      </c>
    </row>
    <row r="1968" spans="1:51" hidden="1" x14ac:dyDescent="0.25">
      <c r="A1968">
        <v>203753</v>
      </c>
      <c r="B1968" t="s">
        <v>7336</v>
      </c>
      <c r="C1968" t="e">
        <f>VLOOKUP(A1968,[1]Customer_payment_journal_line!$AL:$BO,30,0)</f>
        <v>#N/A</v>
      </c>
      <c r="D1968" t="s">
        <v>53</v>
      </c>
      <c r="E1968" t="s">
        <v>7337</v>
      </c>
      <c r="F1968" t="s">
        <v>7338</v>
      </c>
      <c r="G1968" t="s">
        <v>6741</v>
      </c>
      <c r="H1968" t="s">
        <v>57</v>
      </c>
      <c r="I1968" t="s">
        <v>319</v>
      </c>
      <c r="J1968" t="s">
        <v>450</v>
      </c>
      <c r="K1968" t="s">
        <v>7339</v>
      </c>
      <c r="L1968" t="s">
        <v>52</v>
      </c>
      <c r="M1968">
        <v>1778.4</v>
      </c>
      <c r="N1968">
        <v>0</v>
      </c>
      <c r="O1968" t="s">
        <v>61</v>
      </c>
      <c r="P1968">
        <v>100</v>
      </c>
      <c r="Q1968" t="s">
        <v>52</v>
      </c>
      <c r="R1968" t="s">
        <v>52</v>
      </c>
      <c r="S1968" t="s">
        <v>52</v>
      </c>
      <c r="T1968" t="s">
        <v>52</v>
      </c>
      <c r="U1968" t="s">
        <v>52</v>
      </c>
      <c r="V1968" t="s">
        <v>62</v>
      </c>
      <c r="W1968" t="s">
        <v>63</v>
      </c>
      <c r="Y1968" t="s">
        <v>52</v>
      </c>
      <c r="AB1968" t="s">
        <v>52</v>
      </c>
      <c r="AE1968" t="s">
        <v>52</v>
      </c>
      <c r="AF1968" t="s">
        <v>52</v>
      </c>
      <c r="AH1968">
        <v>0</v>
      </c>
      <c r="AI1968">
        <v>0</v>
      </c>
      <c r="AJ1968" t="s">
        <v>52</v>
      </c>
      <c r="AK1968">
        <v>0</v>
      </c>
      <c r="AL1968" t="s">
        <v>52</v>
      </c>
      <c r="AM1968" t="s">
        <v>52</v>
      </c>
      <c r="AN1968">
        <v>0</v>
      </c>
      <c r="AO1968">
        <v>0</v>
      </c>
      <c r="AP1968" t="s">
        <v>52</v>
      </c>
      <c r="AQ1968" t="s">
        <v>52</v>
      </c>
      <c r="AR1968" t="s">
        <v>62</v>
      </c>
      <c r="AS1968" t="s">
        <v>52</v>
      </c>
      <c r="AT1968" t="s">
        <v>52</v>
      </c>
      <c r="AU1968" t="s">
        <v>64</v>
      </c>
      <c r="AV1968" t="s">
        <v>62</v>
      </c>
      <c r="AW1968" t="s">
        <v>65</v>
      </c>
      <c r="AX1968" t="s">
        <v>66</v>
      </c>
      <c r="AY1968" t="s">
        <v>67</v>
      </c>
    </row>
    <row r="1969" spans="1:51" hidden="1" x14ac:dyDescent="0.25">
      <c r="A1969">
        <v>203753</v>
      </c>
      <c r="B1969" t="s">
        <v>7340</v>
      </c>
      <c r="C1969" t="e">
        <f>VLOOKUP(A1969,[1]Customer_payment_journal_line!$AL:$BO,30,0)</f>
        <v>#N/A</v>
      </c>
      <c r="D1969" t="s">
        <v>53</v>
      </c>
      <c r="E1969" t="s">
        <v>7337</v>
      </c>
      <c r="F1969" t="s">
        <v>7338</v>
      </c>
      <c r="G1969" t="s">
        <v>6741</v>
      </c>
      <c r="H1969" t="s">
        <v>69</v>
      </c>
      <c r="I1969" t="s">
        <v>453</v>
      </c>
      <c r="J1969" t="s">
        <v>450</v>
      </c>
      <c r="K1969" t="s">
        <v>7339</v>
      </c>
      <c r="L1969" t="s">
        <v>52</v>
      </c>
      <c r="M1969">
        <v>0</v>
      </c>
      <c r="N1969">
        <v>1778.4</v>
      </c>
      <c r="O1969" t="s">
        <v>61</v>
      </c>
      <c r="P1969">
        <v>100</v>
      </c>
      <c r="Q1969" t="s">
        <v>52</v>
      </c>
      <c r="R1969" t="s">
        <v>52</v>
      </c>
      <c r="S1969" t="s">
        <v>52</v>
      </c>
      <c r="T1969" t="s">
        <v>52</v>
      </c>
      <c r="U1969" t="s">
        <v>52</v>
      </c>
      <c r="V1969" t="s">
        <v>62</v>
      </c>
      <c r="W1969" t="s">
        <v>52</v>
      </c>
      <c r="Y1969" t="s">
        <v>454</v>
      </c>
      <c r="Z1969" t="s">
        <v>62</v>
      </c>
      <c r="AB1969" t="s">
        <v>7341</v>
      </c>
      <c r="AE1969" t="s">
        <v>7342</v>
      </c>
      <c r="AF1969" t="s">
        <v>52</v>
      </c>
      <c r="AH1969">
        <v>0</v>
      </c>
      <c r="AI1969">
        <v>0</v>
      </c>
      <c r="AJ1969" t="s">
        <v>52</v>
      </c>
      <c r="AK1969">
        <v>0</v>
      </c>
      <c r="AL1969" t="s">
        <v>52</v>
      </c>
      <c r="AM1969" t="s">
        <v>52</v>
      </c>
      <c r="AN1969">
        <v>0</v>
      </c>
      <c r="AO1969">
        <v>0</v>
      </c>
      <c r="AP1969" t="s">
        <v>52</v>
      </c>
      <c r="AQ1969" t="s">
        <v>52</v>
      </c>
      <c r="AR1969" t="s">
        <v>62</v>
      </c>
      <c r="AS1969" t="s">
        <v>52</v>
      </c>
      <c r="AT1969" t="s">
        <v>74</v>
      </c>
      <c r="AU1969" t="s">
        <v>64</v>
      </c>
      <c r="AV1969" t="s">
        <v>62</v>
      </c>
      <c r="AW1969" t="s">
        <v>65</v>
      </c>
      <c r="AX1969" t="s">
        <v>66</v>
      </c>
      <c r="AY1969" t="s">
        <v>67</v>
      </c>
    </row>
    <row r="1970" spans="1:51" hidden="1" x14ac:dyDescent="0.25">
      <c r="A1970">
        <v>203754</v>
      </c>
      <c r="B1970" t="s">
        <v>7343</v>
      </c>
      <c r="C1970" t="e">
        <f>VLOOKUP(A1970,[1]Customer_payment_journal_line!$AL:$BO,30,0)</f>
        <v>#N/A</v>
      </c>
      <c r="D1970" t="s">
        <v>53</v>
      </c>
      <c r="E1970" t="s">
        <v>7344</v>
      </c>
      <c r="F1970" t="s">
        <v>7345</v>
      </c>
      <c r="G1970" t="s">
        <v>6741</v>
      </c>
      <c r="H1970" t="s">
        <v>57</v>
      </c>
      <c r="I1970" t="s">
        <v>319</v>
      </c>
      <c r="J1970" t="s">
        <v>450</v>
      </c>
      <c r="K1970" t="s">
        <v>7339</v>
      </c>
      <c r="L1970" t="s">
        <v>52</v>
      </c>
      <c r="M1970">
        <v>855</v>
      </c>
      <c r="N1970">
        <v>0</v>
      </c>
      <c r="O1970" t="s">
        <v>61</v>
      </c>
      <c r="P1970">
        <v>100</v>
      </c>
      <c r="Q1970" t="s">
        <v>52</v>
      </c>
      <c r="R1970" t="s">
        <v>52</v>
      </c>
      <c r="S1970" t="s">
        <v>52</v>
      </c>
      <c r="T1970" t="s">
        <v>52</v>
      </c>
      <c r="U1970" t="s">
        <v>52</v>
      </c>
      <c r="V1970" t="s">
        <v>62</v>
      </c>
      <c r="W1970" t="s">
        <v>63</v>
      </c>
      <c r="Y1970" t="s">
        <v>52</v>
      </c>
      <c r="AB1970" t="s">
        <v>52</v>
      </c>
      <c r="AE1970" t="s">
        <v>52</v>
      </c>
      <c r="AF1970" t="s">
        <v>52</v>
      </c>
      <c r="AH1970">
        <v>0</v>
      </c>
      <c r="AI1970">
        <v>0</v>
      </c>
      <c r="AJ1970" t="s">
        <v>52</v>
      </c>
      <c r="AK1970">
        <v>0</v>
      </c>
      <c r="AL1970" t="s">
        <v>52</v>
      </c>
      <c r="AM1970" t="s">
        <v>52</v>
      </c>
      <c r="AN1970">
        <v>0</v>
      </c>
      <c r="AO1970">
        <v>0</v>
      </c>
      <c r="AP1970" t="s">
        <v>52</v>
      </c>
      <c r="AQ1970" t="s">
        <v>52</v>
      </c>
      <c r="AR1970" t="s">
        <v>62</v>
      </c>
      <c r="AS1970" t="s">
        <v>52</v>
      </c>
      <c r="AT1970" t="s">
        <v>52</v>
      </c>
      <c r="AU1970" t="s">
        <v>64</v>
      </c>
      <c r="AV1970" t="s">
        <v>62</v>
      </c>
      <c r="AW1970" t="s">
        <v>65</v>
      </c>
      <c r="AX1970" t="s">
        <v>66</v>
      </c>
      <c r="AY1970" t="s">
        <v>67</v>
      </c>
    </row>
    <row r="1971" spans="1:51" hidden="1" x14ac:dyDescent="0.25">
      <c r="A1971">
        <v>203754</v>
      </c>
      <c r="B1971" t="s">
        <v>7346</v>
      </c>
      <c r="C1971" t="e">
        <f>VLOOKUP(A1971,[1]Customer_payment_journal_line!$AL:$BO,30,0)</f>
        <v>#N/A</v>
      </c>
      <c r="D1971" t="s">
        <v>53</v>
      </c>
      <c r="E1971" t="s">
        <v>7344</v>
      </c>
      <c r="F1971" t="s">
        <v>7345</v>
      </c>
      <c r="G1971" t="s">
        <v>6741</v>
      </c>
      <c r="H1971" t="s">
        <v>69</v>
      </c>
      <c r="I1971" t="s">
        <v>453</v>
      </c>
      <c r="J1971" t="s">
        <v>450</v>
      </c>
      <c r="K1971" t="s">
        <v>7339</v>
      </c>
      <c r="L1971" t="s">
        <v>52</v>
      </c>
      <c r="M1971">
        <v>0</v>
      </c>
      <c r="N1971">
        <v>855</v>
      </c>
      <c r="O1971" t="s">
        <v>61</v>
      </c>
      <c r="P1971">
        <v>100</v>
      </c>
      <c r="Q1971" t="s">
        <v>52</v>
      </c>
      <c r="R1971" t="s">
        <v>52</v>
      </c>
      <c r="S1971" t="s">
        <v>52</v>
      </c>
      <c r="T1971" t="s">
        <v>52</v>
      </c>
      <c r="U1971" t="s">
        <v>52</v>
      </c>
      <c r="V1971" t="s">
        <v>62</v>
      </c>
      <c r="W1971" t="s">
        <v>52</v>
      </c>
      <c r="Y1971" t="s">
        <v>454</v>
      </c>
      <c r="Z1971" t="s">
        <v>62</v>
      </c>
      <c r="AB1971" t="s">
        <v>7347</v>
      </c>
      <c r="AE1971" t="s">
        <v>7348</v>
      </c>
      <c r="AF1971" t="s">
        <v>52</v>
      </c>
      <c r="AH1971">
        <v>0</v>
      </c>
      <c r="AI1971">
        <v>0</v>
      </c>
      <c r="AJ1971" t="s">
        <v>52</v>
      </c>
      <c r="AK1971">
        <v>0</v>
      </c>
      <c r="AL1971" t="s">
        <v>52</v>
      </c>
      <c r="AM1971" t="s">
        <v>52</v>
      </c>
      <c r="AN1971">
        <v>0</v>
      </c>
      <c r="AO1971">
        <v>0</v>
      </c>
      <c r="AP1971" t="s">
        <v>52</v>
      </c>
      <c r="AQ1971" t="s">
        <v>52</v>
      </c>
      <c r="AR1971" t="s">
        <v>62</v>
      </c>
      <c r="AS1971" t="s">
        <v>52</v>
      </c>
      <c r="AT1971" t="s">
        <v>74</v>
      </c>
      <c r="AU1971" t="s">
        <v>64</v>
      </c>
      <c r="AV1971" t="s">
        <v>62</v>
      </c>
      <c r="AW1971" t="s">
        <v>65</v>
      </c>
      <c r="AX1971" t="s">
        <v>66</v>
      </c>
      <c r="AY1971" t="s">
        <v>67</v>
      </c>
    </row>
    <row r="1972" spans="1:51" hidden="1" x14ac:dyDescent="0.25">
      <c r="A1972">
        <v>406211</v>
      </c>
      <c r="B1972" t="s">
        <v>7349</v>
      </c>
      <c r="C1972" t="e">
        <f>VLOOKUP(A1972,[1]Customer_payment_journal_line!$AL:$BO,30,0)</f>
        <v>#N/A</v>
      </c>
      <c r="D1972" t="s">
        <v>53</v>
      </c>
      <c r="E1972" t="s">
        <v>7350</v>
      </c>
      <c r="F1972" t="s">
        <v>7351</v>
      </c>
      <c r="G1972" t="s">
        <v>6741</v>
      </c>
      <c r="H1972" t="s">
        <v>57</v>
      </c>
      <c r="I1972" t="s">
        <v>58</v>
      </c>
      <c r="J1972" t="s">
        <v>7069</v>
      </c>
      <c r="K1972" t="s">
        <v>7070</v>
      </c>
      <c r="L1972" t="s">
        <v>52</v>
      </c>
      <c r="M1972">
        <v>8151</v>
      </c>
      <c r="N1972">
        <v>0</v>
      </c>
      <c r="O1972" t="s">
        <v>61</v>
      </c>
      <c r="P1972">
        <v>100</v>
      </c>
      <c r="Q1972" t="s">
        <v>52</v>
      </c>
      <c r="R1972" t="s">
        <v>52</v>
      </c>
      <c r="S1972" t="s">
        <v>52</v>
      </c>
      <c r="T1972" t="s">
        <v>52</v>
      </c>
      <c r="U1972" t="s">
        <v>52</v>
      </c>
      <c r="V1972" t="s">
        <v>62</v>
      </c>
      <c r="W1972" t="s">
        <v>63</v>
      </c>
      <c r="Y1972" t="s">
        <v>52</v>
      </c>
      <c r="AB1972" t="s">
        <v>52</v>
      </c>
      <c r="AE1972" t="s">
        <v>52</v>
      </c>
      <c r="AF1972" t="s">
        <v>52</v>
      </c>
      <c r="AH1972">
        <v>0</v>
      </c>
      <c r="AI1972">
        <v>0</v>
      </c>
      <c r="AJ1972" t="s">
        <v>52</v>
      </c>
      <c r="AK1972">
        <v>0</v>
      </c>
      <c r="AL1972" t="s">
        <v>52</v>
      </c>
      <c r="AM1972" t="s">
        <v>52</v>
      </c>
      <c r="AN1972">
        <v>0</v>
      </c>
      <c r="AO1972">
        <v>0</v>
      </c>
      <c r="AP1972" t="s">
        <v>52</v>
      </c>
      <c r="AQ1972" t="s">
        <v>52</v>
      </c>
      <c r="AR1972" t="s">
        <v>62</v>
      </c>
      <c r="AS1972" t="s">
        <v>52</v>
      </c>
      <c r="AT1972" t="s">
        <v>52</v>
      </c>
      <c r="AU1972" t="s">
        <v>64</v>
      </c>
      <c r="AV1972" t="s">
        <v>62</v>
      </c>
      <c r="AW1972" t="s">
        <v>65</v>
      </c>
      <c r="AX1972" t="s">
        <v>66</v>
      </c>
      <c r="AY1972" t="s">
        <v>67</v>
      </c>
    </row>
    <row r="1973" spans="1:51" hidden="1" x14ac:dyDescent="0.25">
      <c r="A1973">
        <v>406211</v>
      </c>
      <c r="B1973" t="s">
        <v>7352</v>
      </c>
      <c r="C1973" t="e">
        <f>VLOOKUP(A1973,[1]Customer_payment_journal_line!$AL:$BO,30,0)</f>
        <v>#N/A</v>
      </c>
      <c r="D1973" t="s">
        <v>53</v>
      </c>
      <c r="E1973" t="s">
        <v>7350</v>
      </c>
      <c r="F1973" t="s">
        <v>7351</v>
      </c>
      <c r="G1973" t="s">
        <v>6741</v>
      </c>
      <c r="H1973" t="s">
        <v>69</v>
      </c>
      <c r="I1973" t="s">
        <v>7072</v>
      </c>
      <c r="J1973" t="s">
        <v>7069</v>
      </c>
      <c r="K1973" t="s">
        <v>7070</v>
      </c>
      <c r="L1973" t="s">
        <v>52</v>
      </c>
      <c r="M1973">
        <v>0</v>
      </c>
      <c r="N1973">
        <v>8151</v>
      </c>
      <c r="O1973" t="s">
        <v>61</v>
      </c>
      <c r="P1973">
        <v>100</v>
      </c>
      <c r="Q1973" t="s">
        <v>52</v>
      </c>
      <c r="R1973" t="s">
        <v>52</v>
      </c>
      <c r="S1973" t="s">
        <v>52</v>
      </c>
      <c r="T1973" t="s">
        <v>52</v>
      </c>
      <c r="U1973" t="s">
        <v>52</v>
      </c>
      <c r="V1973" t="s">
        <v>62</v>
      </c>
      <c r="W1973" t="s">
        <v>52</v>
      </c>
      <c r="Y1973" t="s">
        <v>7073</v>
      </c>
      <c r="Z1973" t="s">
        <v>62</v>
      </c>
      <c r="AB1973" t="s">
        <v>7353</v>
      </c>
      <c r="AE1973" t="s">
        <v>7354</v>
      </c>
      <c r="AF1973" t="s">
        <v>52</v>
      </c>
      <c r="AH1973">
        <v>0</v>
      </c>
      <c r="AI1973">
        <v>0</v>
      </c>
      <c r="AJ1973" t="s">
        <v>52</v>
      </c>
      <c r="AK1973">
        <v>0</v>
      </c>
      <c r="AL1973" t="s">
        <v>52</v>
      </c>
      <c r="AM1973" t="s">
        <v>52</v>
      </c>
      <c r="AN1973">
        <v>0</v>
      </c>
      <c r="AO1973">
        <v>0</v>
      </c>
      <c r="AP1973" t="s">
        <v>52</v>
      </c>
      <c r="AQ1973" t="s">
        <v>52</v>
      </c>
      <c r="AR1973" t="s">
        <v>62</v>
      </c>
      <c r="AS1973" t="s">
        <v>52</v>
      </c>
      <c r="AT1973" t="s">
        <v>74</v>
      </c>
      <c r="AU1973" t="s">
        <v>64</v>
      </c>
      <c r="AV1973" t="s">
        <v>62</v>
      </c>
      <c r="AW1973" t="s">
        <v>65</v>
      </c>
      <c r="AX1973" t="s">
        <v>66</v>
      </c>
      <c r="AY1973" t="s">
        <v>67</v>
      </c>
    </row>
    <row r="1974" spans="1:51" hidden="1" x14ac:dyDescent="0.25">
      <c r="A1974">
        <v>406212</v>
      </c>
      <c r="B1974" t="s">
        <v>7355</v>
      </c>
      <c r="C1974" t="e">
        <f>VLOOKUP(A1974,[1]Customer_payment_journal_line!$AL:$BO,30,0)</f>
        <v>#N/A</v>
      </c>
      <c r="D1974" t="s">
        <v>53</v>
      </c>
      <c r="E1974" t="s">
        <v>7356</v>
      </c>
      <c r="F1974" t="s">
        <v>7357</v>
      </c>
      <c r="G1974" t="s">
        <v>6741</v>
      </c>
      <c r="H1974" t="s">
        <v>57</v>
      </c>
      <c r="I1974" t="s">
        <v>58</v>
      </c>
      <c r="J1974" t="s">
        <v>7069</v>
      </c>
      <c r="K1974" t="s">
        <v>7070</v>
      </c>
      <c r="L1974" t="s">
        <v>52</v>
      </c>
      <c r="M1974">
        <v>855</v>
      </c>
      <c r="N1974">
        <v>0</v>
      </c>
      <c r="O1974" t="s">
        <v>61</v>
      </c>
      <c r="P1974">
        <v>100</v>
      </c>
      <c r="Q1974" t="s">
        <v>52</v>
      </c>
      <c r="R1974" t="s">
        <v>52</v>
      </c>
      <c r="S1974" t="s">
        <v>52</v>
      </c>
      <c r="T1974" t="s">
        <v>52</v>
      </c>
      <c r="U1974" t="s">
        <v>52</v>
      </c>
      <c r="V1974" t="s">
        <v>62</v>
      </c>
      <c r="W1974" t="s">
        <v>63</v>
      </c>
      <c r="Y1974" t="s">
        <v>52</v>
      </c>
      <c r="AB1974" t="s">
        <v>52</v>
      </c>
      <c r="AE1974" t="s">
        <v>52</v>
      </c>
      <c r="AF1974" t="s">
        <v>52</v>
      </c>
      <c r="AH1974">
        <v>0</v>
      </c>
      <c r="AI1974">
        <v>0</v>
      </c>
      <c r="AJ1974" t="s">
        <v>52</v>
      </c>
      <c r="AK1974">
        <v>0</v>
      </c>
      <c r="AL1974" t="s">
        <v>52</v>
      </c>
      <c r="AM1974" t="s">
        <v>52</v>
      </c>
      <c r="AN1974">
        <v>0</v>
      </c>
      <c r="AO1974">
        <v>0</v>
      </c>
      <c r="AP1974" t="s">
        <v>52</v>
      </c>
      <c r="AQ1974" t="s">
        <v>52</v>
      </c>
      <c r="AR1974" t="s">
        <v>62</v>
      </c>
      <c r="AS1974" t="s">
        <v>52</v>
      </c>
      <c r="AT1974" t="s">
        <v>52</v>
      </c>
      <c r="AU1974" t="s">
        <v>64</v>
      </c>
      <c r="AV1974" t="s">
        <v>62</v>
      </c>
      <c r="AW1974" t="s">
        <v>65</v>
      </c>
      <c r="AX1974" t="s">
        <v>66</v>
      </c>
      <c r="AY1974" t="s">
        <v>67</v>
      </c>
    </row>
    <row r="1975" spans="1:51" hidden="1" x14ac:dyDescent="0.25">
      <c r="A1975">
        <v>406212</v>
      </c>
      <c r="B1975" t="s">
        <v>7358</v>
      </c>
      <c r="C1975" t="e">
        <f>VLOOKUP(A1975,[1]Customer_payment_journal_line!$AL:$BO,30,0)</f>
        <v>#N/A</v>
      </c>
      <c r="D1975" t="s">
        <v>53</v>
      </c>
      <c r="E1975" t="s">
        <v>7356</v>
      </c>
      <c r="F1975" t="s">
        <v>7357</v>
      </c>
      <c r="G1975" t="s">
        <v>6741</v>
      </c>
      <c r="H1975" t="s">
        <v>69</v>
      </c>
      <c r="I1975" t="s">
        <v>7072</v>
      </c>
      <c r="J1975" t="s">
        <v>7069</v>
      </c>
      <c r="K1975" t="s">
        <v>7070</v>
      </c>
      <c r="L1975" t="s">
        <v>52</v>
      </c>
      <c r="M1975">
        <v>0</v>
      </c>
      <c r="N1975">
        <v>855</v>
      </c>
      <c r="O1975" t="s">
        <v>61</v>
      </c>
      <c r="P1975">
        <v>100</v>
      </c>
      <c r="Q1975" t="s">
        <v>52</v>
      </c>
      <c r="R1975" t="s">
        <v>52</v>
      </c>
      <c r="S1975" t="s">
        <v>52</v>
      </c>
      <c r="T1975" t="s">
        <v>52</v>
      </c>
      <c r="U1975" t="s">
        <v>52</v>
      </c>
      <c r="V1975" t="s">
        <v>62</v>
      </c>
      <c r="W1975" t="s">
        <v>52</v>
      </c>
      <c r="Y1975" t="s">
        <v>7073</v>
      </c>
      <c r="Z1975" t="s">
        <v>62</v>
      </c>
      <c r="AB1975" t="s">
        <v>7359</v>
      </c>
      <c r="AE1975" t="s">
        <v>7360</v>
      </c>
      <c r="AF1975" t="s">
        <v>52</v>
      </c>
      <c r="AH1975">
        <v>0</v>
      </c>
      <c r="AI1975">
        <v>0</v>
      </c>
      <c r="AJ1975" t="s">
        <v>52</v>
      </c>
      <c r="AK1975">
        <v>0</v>
      </c>
      <c r="AL1975" t="s">
        <v>52</v>
      </c>
      <c r="AM1975" t="s">
        <v>52</v>
      </c>
      <c r="AN1975">
        <v>0</v>
      </c>
      <c r="AO1975">
        <v>0</v>
      </c>
      <c r="AP1975" t="s">
        <v>52</v>
      </c>
      <c r="AQ1975" t="s">
        <v>52</v>
      </c>
      <c r="AR1975" t="s">
        <v>62</v>
      </c>
      <c r="AS1975" t="s">
        <v>52</v>
      </c>
      <c r="AT1975" t="s">
        <v>74</v>
      </c>
      <c r="AU1975" t="s">
        <v>64</v>
      </c>
      <c r="AV1975" t="s">
        <v>62</v>
      </c>
      <c r="AW1975" t="s">
        <v>65</v>
      </c>
      <c r="AX1975" t="s">
        <v>66</v>
      </c>
      <c r="AY1975" t="s">
        <v>67</v>
      </c>
    </row>
    <row r="1976" spans="1:51" hidden="1" x14ac:dyDescent="0.25">
      <c r="A1976">
        <v>406213</v>
      </c>
      <c r="B1976" t="s">
        <v>7361</v>
      </c>
      <c r="C1976" t="e">
        <f>VLOOKUP(A1976,[1]Customer_payment_journal_line!$AL:$BO,30,0)</f>
        <v>#N/A</v>
      </c>
      <c r="D1976" t="s">
        <v>53</v>
      </c>
      <c r="E1976" t="s">
        <v>7362</v>
      </c>
      <c r="F1976" t="s">
        <v>7363</v>
      </c>
      <c r="G1976" t="s">
        <v>6741</v>
      </c>
      <c r="H1976" t="s">
        <v>57</v>
      </c>
      <c r="I1976" t="s">
        <v>1349</v>
      </c>
      <c r="J1976" t="s">
        <v>7364</v>
      </c>
      <c r="K1976" t="s">
        <v>3731</v>
      </c>
      <c r="L1976" t="s">
        <v>52</v>
      </c>
      <c r="M1976">
        <v>6828.6</v>
      </c>
      <c r="N1976">
        <v>0</v>
      </c>
      <c r="O1976" t="s">
        <v>61</v>
      </c>
      <c r="P1976">
        <v>100</v>
      </c>
      <c r="Q1976" t="s">
        <v>52</v>
      </c>
      <c r="R1976" t="s">
        <v>52</v>
      </c>
      <c r="S1976" t="s">
        <v>52</v>
      </c>
      <c r="T1976" t="s">
        <v>52</v>
      </c>
      <c r="U1976" t="s">
        <v>52</v>
      </c>
      <c r="V1976" t="s">
        <v>62</v>
      </c>
      <c r="W1976" t="s">
        <v>63</v>
      </c>
      <c r="Y1976" t="s">
        <v>52</v>
      </c>
      <c r="AB1976" t="s">
        <v>52</v>
      </c>
      <c r="AE1976" t="s">
        <v>52</v>
      </c>
      <c r="AF1976" t="s">
        <v>52</v>
      </c>
      <c r="AH1976">
        <v>0</v>
      </c>
      <c r="AI1976">
        <v>0</v>
      </c>
      <c r="AJ1976" t="s">
        <v>52</v>
      </c>
      <c r="AK1976">
        <v>0</v>
      </c>
      <c r="AL1976" t="s">
        <v>52</v>
      </c>
      <c r="AM1976" t="s">
        <v>52</v>
      </c>
      <c r="AN1976">
        <v>0</v>
      </c>
      <c r="AO1976">
        <v>0</v>
      </c>
      <c r="AP1976" t="s">
        <v>52</v>
      </c>
      <c r="AQ1976" t="s">
        <v>52</v>
      </c>
      <c r="AR1976" t="s">
        <v>62</v>
      </c>
      <c r="AS1976" t="s">
        <v>52</v>
      </c>
      <c r="AT1976" t="s">
        <v>52</v>
      </c>
      <c r="AU1976" t="s">
        <v>64</v>
      </c>
      <c r="AV1976" t="s">
        <v>62</v>
      </c>
      <c r="AW1976" t="s">
        <v>65</v>
      </c>
      <c r="AX1976" t="s">
        <v>66</v>
      </c>
      <c r="AY1976" t="s">
        <v>67</v>
      </c>
    </row>
    <row r="1977" spans="1:51" hidden="1" x14ac:dyDescent="0.25">
      <c r="A1977">
        <v>406213</v>
      </c>
      <c r="B1977" t="s">
        <v>7365</v>
      </c>
      <c r="C1977" t="e">
        <f>VLOOKUP(A1977,[1]Customer_payment_journal_line!$AL:$BO,30,0)</f>
        <v>#N/A</v>
      </c>
      <c r="D1977" t="s">
        <v>53</v>
      </c>
      <c r="E1977" t="s">
        <v>7362</v>
      </c>
      <c r="F1977" t="s">
        <v>7363</v>
      </c>
      <c r="G1977" t="s">
        <v>6741</v>
      </c>
      <c r="H1977" t="s">
        <v>69</v>
      </c>
      <c r="I1977" t="s">
        <v>3733</v>
      </c>
      <c r="J1977" t="s">
        <v>7364</v>
      </c>
      <c r="K1977" t="s">
        <v>3731</v>
      </c>
      <c r="L1977" t="s">
        <v>52</v>
      </c>
      <c r="M1977">
        <v>0</v>
      </c>
      <c r="N1977">
        <v>6828.6</v>
      </c>
      <c r="O1977" t="s">
        <v>61</v>
      </c>
      <c r="P1977">
        <v>100</v>
      </c>
      <c r="Q1977" t="s">
        <v>52</v>
      </c>
      <c r="R1977" t="s">
        <v>52</v>
      </c>
      <c r="S1977" t="s">
        <v>52</v>
      </c>
      <c r="T1977" t="s">
        <v>52</v>
      </c>
      <c r="U1977" t="s">
        <v>52</v>
      </c>
      <c r="V1977" t="s">
        <v>62</v>
      </c>
      <c r="W1977" t="s">
        <v>52</v>
      </c>
      <c r="Y1977" t="s">
        <v>3734</v>
      </c>
      <c r="Z1977" t="s">
        <v>62</v>
      </c>
      <c r="AB1977" t="s">
        <v>7366</v>
      </c>
      <c r="AE1977" t="s">
        <v>7367</v>
      </c>
      <c r="AF1977" t="s">
        <v>52</v>
      </c>
      <c r="AH1977">
        <v>0</v>
      </c>
      <c r="AI1977">
        <v>0</v>
      </c>
      <c r="AJ1977" t="s">
        <v>52</v>
      </c>
      <c r="AK1977">
        <v>0</v>
      </c>
      <c r="AL1977" t="s">
        <v>52</v>
      </c>
      <c r="AM1977" t="s">
        <v>52</v>
      </c>
      <c r="AN1977">
        <v>0</v>
      </c>
      <c r="AO1977">
        <v>0</v>
      </c>
      <c r="AP1977" t="s">
        <v>52</v>
      </c>
      <c r="AQ1977" t="s">
        <v>52</v>
      </c>
      <c r="AR1977" t="s">
        <v>62</v>
      </c>
      <c r="AS1977" t="s">
        <v>52</v>
      </c>
      <c r="AT1977" t="s">
        <v>74</v>
      </c>
      <c r="AU1977" t="s">
        <v>64</v>
      </c>
      <c r="AV1977" t="s">
        <v>62</v>
      </c>
      <c r="AW1977" t="s">
        <v>65</v>
      </c>
      <c r="AX1977" t="s">
        <v>66</v>
      </c>
      <c r="AY1977" t="s">
        <v>67</v>
      </c>
    </row>
    <row r="1978" spans="1:51" hidden="1" x14ac:dyDescent="0.25">
      <c r="A1978">
        <v>203759</v>
      </c>
      <c r="B1978" t="s">
        <v>7368</v>
      </c>
      <c r="C1978" t="e">
        <f>VLOOKUP(A1978,[1]Customer_payment_journal_line!$AL:$BO,30,0)</f>
        <v>#N/A</v>
      </c>
      <c r="D1978" t="s">
        <v>644</v>
      </c>
      <c r="E1978" t="s">
        <v>7369</v>
      </c>
      <c r="F1978" t="s">
        <v>7370</v>
      </c>
      <c r="G1978" t="s">
        <v>6741</v>
      </c>
      <c r="H1978" t="s">
        <v>210</v>
      </c>
      <c r="I1978" t="s">
        <v>659</v>
      </c>
      <c r="K1978" t="s">
        <v>7371</v>
      </c>
      <c r="L1978" t="s">
        <v>52</v>
      </c>
      <c r="M1978">
        <v>2280</v>
      </c>
      <c r="N1978">
        <v>0</v>
      </c>
      <c r="O1978" t="s">
        <v>61</v>
      </c>
      <c r="P1978">
        <v>100</v>
      </c>
      <c r="Q1978" t="s">
        <v>52</v>
      </c>
      <c r="R1978" t="s">
        <v>52</v>
      </c>
      <c r="S1978" t="s">
        <v>52</v>
      </c>
      <c r="T1978" t="s">
        <v>52</v>
      </c>
      <c r="U1978" t="s">
        <v>52</v>
      </c>
      <c r="V1978" t="s">
        <v>62</v>
      </c>
      <c r="W1978" t="s">
        <v>63</v>
      </c>
      <c r="Y1978" t="s">
        <v>52</v>
      </c>
      <c r="AB1978" t="s">
        <v>7372</v>
      </c>
      <c r="AE1978" t="s">
        <v>7373</v>
      </c>
      <c r="AF1978" t="s">
        <v>162</v>
      </c>
      <c r="AG1978" t="s">
        <v>7374</v>
      </c>
      <c r="AH1978">
        <v>0</v>
      </c>
      <c r="AI1978">
        <v>0</v>
      </c>
      <c r="AJ1978" t="s">
        <v>52</v>
      </c>
      <c r="AK1978">
        <v>0</v>
      </c>
      <c r="AL1978" t="s">
        <v>52</v>
      </c>
      <c r="AM1978" t="s">
        <v>52</v>
      </c>
      <c r="AN1978">
        <v>0</v>
      </c>
      <c r="AO1978">
        <v>0</v>
      </c>
      <c r="AP1978" t="s">
        <v>52</v>
      </c>
      <c r="AQ1978" t="s">
        <v>52</v>
      </c>
      <c r="AR1978" t="s">
        <v>62</v>
      </c>
      <c r="AS1978" t="s">
        <v>52</v>
      </c>
      <c r="AT1978" t="s">
        <v>52</v>
      </c>
      <c r="AU1978" t="s">
        <v>64</v>
      </c>
      <c r="AV1978" t="s">
        <v>62</v>
      </c>
      <c r="AW1978" t="s">
        <v>65</v>
      </c>
      <c r="AX1978" t="s">
        <v>66</v>
      </c>
      <c r="AY1978" t="s">
        <v>654</v>
      </c>
    </row>
    <row r="1979" spans="1:51" hidden="1" x14ac:dyDescent="0.25">
      <c r="A1979">
        <v>203759</v>
      </c>
      <c r="B1979" t="s">
        <v>7375</v>
      </c>
      <c r="C1979" t="e">
        <f>VLOOKUP(A1979,[1]Customer_payment_journal_line!$AL:$BO,30,0)</f>
        <v>#N/A</v>
      </c>
      <c r="D1979" t="s">
        <v>644</v>
      </c>
      <c r="E1979" t="s">
        <v>7369</v>
      </c>
      <c r="F1979" t="s">
        <v>7370</v>
      </c>
      <c r="G1979" t="s">
        <v>6741</v>
      </c>
      <c r="H1979" t="s">
        <v>69</v>
      </c>
      <c r="I1979" t="s">
        <v>647</v>
      </c>
      <c r="J1979" t="s">
        <v>648</v>
      </c>
      <c r="K1979" t="s">
        <v>7371</v>
      </c>
      <c r="L1979" t="s">
        <v>52</v>
      </c>
      <c r="M1979">
        <v>0</v>
      </c>
      <c r="N1979">
        <v>2280</v>
      </c>
      <c r="O1979" t="s">
        <v>61</v>
      </c>
      <c r="P1979">
        <v>100</v>
      </c>
      <c r="Q1979" t="s">
        <v>52</v>
      </c>
      <c r="R1979" t="s">
        <v>52</v>
      </c>
      <c r="S1979" t="s">
        <v>52</v>
      </c>
      <c r="T1979" t="s">
        <v>52</v>
      </c>
      <c r="U1979" t="s">
        <v>52</v>
      </c>
      <c r="V1979" t="s">
        <v>62</v>
      </c>
      <c r="W1979" t="s">
        <v>52</v>
      </c>
      <c r="Y1979" t="s">
        <v>650</v>
      </c>
      <c r="Z1979" t="s">
        <v>62</v>
      </c>
      <c r="AB1979" t="s">
        <v>7372</v>
      </c>
      <c r="AE1979" t="s">
        <v>7373</v>
      </c>
      <c r="AF1979" t="s">
        <v>162</v>
      </c>
      <c r="AG1979" t="s">
        <v>7374</v>
      </c>
      <c r="AH1979">
        <v>0</v>
      </c>
      <c r="AI1979">
        <v>0</v>
      </c>
      <c r="AJ1979" t="s">
        <v>52</v>
      </c>
      <c r="AK1979">
        <v>0</v>
      </c>
      <c r="AL1979" t="s">
        <v>52</v>
      </c>
      <c r="AM1979" t="s">
        <v>52</v>
      </c>
      <c r="AN1979">
        <v>0</v>
      </c>
      <c r="AO1979">
        <v>0</v>
      </c>
      <c r="AP1979" t="s">
        <v>52</v>
      </c>
      <c r="AQ1979" t="s">
        <v>52</v>
      </c>
      <c r="AR1979" t="s">
        <v>62</v>
      </c>
      <c r="AS1979" t="s">
        <v>52</v>
      </c>
      <c r="AT1979" t="s">
        <v>74</v>
      </c>
      <c r="AU1979" t="s">
        <v>64</v>
      </c>
      <c r="AV1979" t="s">
        <v>62</v>
      </c>
      <c r="AW1979" t="s">
        <v>65</v>
      </c>
      <c r="AX1979" t="s">
        <v>66</v>
      </c>
      <c r="AY1979" t="s">
        <v>654</v>
      </c>
    </row>
    <row r="1980" spans="1:51" hidden="1" x14ac:dyDescent="0.25">
      <c r="A1980">
        <v>203760</v>
      </c>
      <c r="B1980" t="s">
        <v>7376</v>
      </c>
      <c r="C1980" t="e">
        <f>VLOOKUP(A1980,[1]Customer_payment_journal_line!$AL:$BO,30,0)</f>
        <v>#N/A</v>
      </c>
      <c r="D1980" t="s">
        <v>53</v>
      </c>
      <c r="E1980" t="s">
        <v>7377</v>
      </c>
      <c r="F1980" t="s">
        <v>7378</v>
      </c>
      <c r="G1980" t="s">
        <v>6741</v>
      </c>
      <c r="H1980" t="s">
        <v>57</v>
      </c>
      <c r="I1980" t="s">
        <v>58</v>
      </c>
      <c r="J1980" t="s">
        <v>5066</v>
      </c>
      <c r="K1980" t="s">
        <v>7379</v>
      </c>
      <c r="L1980" t="s">
        <v>52</v>
      </c>
      <c r="M1980">
        <v>4473.3599999999997</v>
      </c>
      <c r="N1980">
        <v>0</v>
      </c>
      <c r="O1980" t="s">
        <v>61</v>
      </c>
      <c r="P1980">
        <v>100</v>
      </c>
      <c r="Q1980" t="s">
        <v>52</v>
      </c>
      <c r="R1980" t="s">
        <v>52</v>
      </c>
      <c r="S1980" t="s">
        <v>52</v>
      </c>
      <c r="T1980" t="s">
        <v>52</v>
      </c>
      <c r="U1980" t="s">
        <v>52</v>
      </c>
      <c r="V1980" t="s">
        <v>62</v>
      </c>
      <c r="W1980" t="s">
        <v>63</v>
      </c>
      <c r="Y1980" t="s">
        <v>52</v>
      </c>
      <c r="AB1980" t="s">
        <v>52</v>
      </c>
      <c r="AE1980" t="s">
        <v>52</v>
      </c>
      <c r="AF1980" t="s">
        <v>52</v>
      </c>
      <c r="AH1980">
        <v>0</v>
      </c>
      <c r="AI1980">
        <v>0</v>
      </c>
      <c r="AJ1980" t="s">
        <v>52</v>
      </c>
      <c r="AK1980">
        <v>0</v>
      </c>
      <c r="AL1980" t="s">
        <v>52</v>
      </c>
      <c r="AM1980" t="s">
        <v>52</v>
      </c>
      <c r="AN1980">
        <v>0</v>
      </c>
      <c r="AO1980">
        <v>0</v>
      </c>
      <c r="AP1980" t="s">
        <v>52</v>
      </c>
      <c r="AQ1980" t="s">
        <v>52</v>
      </c>
      <c r="AR1980" t="s">
        <v>62</v>
      </c>
      <c r="AS1980" t="s">
        <v>52</v>
      </c>
      <c r="AT1980" t="s">
        <v>52</v>
      </c>
      <c r="AU1980" t="s">
        <v>64</v>
      </c>
      <c r="AV1980" t="s">
        <v>62</v>
      </c>
      <c r="AW1980" t="s">
        <v>65</v>
      </c>
      <c r="AX1980" t="s">
        <v>66</v>
      </c>
      <c r="AY1980" t="s">
        <v>67</v>
      </c>
    </row>
    <row r="1981" spans="1:51" hidden="1" x14ac:dyDescent="0.25">
      <c r="A1981">
        <v>203760</v>
      </c>
      <c r="B1981" t="s">
        <v>7380</v>
      </c>
      <c r="C1981" t="e">
        <f>VLOOKUP(A1981,[1]Customer_payment_journal_line!$AL:$BO,30,0)</f>
        <v>#N/A</v>
      </c>
      <c r="D1981" t="s">
        <v>53</v>
      </c>
      <c r="E1981" t="s">
        <v>7377</v>
      </c>
      <c r="F1981" t="s">
        <v>7378</v>
      </c>
      <c r="G1981" t="s">
        <v>6741</v>
      </c>
      <c r="H1981" t="s">
        <v>69</v>
      </c>
      <c r="I1981" t="s">
        <v>5069</v>
      </c>
      <c r="J1981" t="s">
        <v>5066</v>
      </c>
      <c r="K1981" t="s">
        <v>7379</v>
      </c>
      <c r="L1981" t="s">
        <v>52</v>
      </c>
      <c r="M1981">
        <v>0</v>
      </c>
      <c r="N1981">
        <v>4473.3599999999997</v>
      </c>
      <c r="O1981" t="s">
        <v>61</v>
      </c>
      <c r="P1981">
        <v>100</v>
      </c>
      <c r="Q1981" t="s">
        <v>52</v>
      </c>
      <c r="R1981" t="s">
        <v>52</v>
      </c>
      <c r="S1981" t="s">
        <v>52</v>
      </c>
      <c r="T1981" t="s">
        <v>52</v>
      </c>
      <c r="U1981" t="s">
        <v>52</v>
      </c>
      <c r="V1981" t="s">
        <v>62</v>
      </c>
      <c r="W1981" t="s">
        <v>52</v>
      </c>
      <c r="Y1981" t="s">
        <v>5070</v>
      </c>
      <c r="Z1981" t="s">
        <v>62</v>
      </c>
      <c r="AB1981" t="s">
        <v>7381</v>
      </c>
      <c r="AE1981" t="s">
        <v>7382</v>
      </c>
      <c r="AF1981" t="s">
        <v>52</v>
      </c>
      <c r="AH1981">
        <v>0</v>
      </c>
      <c r="AI1981">
        <v>0</v>
      </c>
      <c r="AJ1981" t="s">
        <v>52</v>
      </c>
      <c r="AK1981">
        <v>0</v>
      </c>
      <c r="AL1981" t="s">
        <v>52</v>
      </c>
      <c r="AM1981" t="s">
        <v>52</v>
      </c>
      <c r="AN1981">
        <v>0</v>
      </c>
      <c r="AO1981">
        <v>0</v>
      </c>
      <c r="AP1981" t="s">
        <v>52</v>
      </c>
      <c r="AQ1981" t="s">
        <v>52</v>
      </c>
      <c r="AR1981" t="s">
        <v>62</v>
      </c>
      <c r="AS1981" t="s">
        <v>52</v>
      </c>
      <c r="AT1981" t="s">
        <v>74</v>
      </c>
      <c r="AU1981" t="s">
        <v>64</v>
      </c>
      <c r="AV1981" t="s">
        <v>62</v>
      </c>
      <c r="AW1981" t="s">
        <v>65</v>
      </c>
      <c r="AX1981" t="s">
        <v>66</v>
      </c>
      <c r="AY1981" t="s">
        <v>67</v>
      </c>
    </row>
    <row r="1982" spans="1:51" hidden="1" x14ac:dyDescent="0.25">
      <c r="A1982">
        <v>317165</v>
      </c>
      <c r="B1982" t="s">
        <v>7383</v>
      </c>
      <c r="C1982" t="e">
        <f>VLOOKUP(A1982,[1]Customer_payment_journal_line!$AL:$BO,30,0)</f>
        <v>#N/A</v>
      </c>
      <c r="D1982" t="s">
        <v>53</v>
      </c>
      <c r="E1982" t="s">
        <v>7384</v>
      </c>
      <c r="F1982" t="s">
        <v>7385</v>
      </c>
      <c r="G1982" t="s">
        <v>6741</v>
      </c>
      <c r="H1982" t="s">
        <v>201</v>
      </c>
      <c r="I1982" t="s">
        <v>58</v>
      </c>
      <c r="J1982" t="s">
        <v>202</v>
      </c>
      <c r="K1982" t="s">
        <v>7386</v>
      </c>
      <c r="L1982" t="s">
        <v>52</v>
      </c>
      <c r="M1982">
        <v>5700</v>
      </c>
      <c r="N1982">
        <v>0</v>
      </c>
      <c r="O1982" t="s">
        <v>61</v>
      </c>
      <c r="P1982">
        <v>100</v>
      </c>
      <c r="Q1982" t="s">
        <v>52</v>
      </c>
      <c r="R1982" t="s">
        <v>52</v>
      </c>
      <c r="S1982" t="s">
        <v>52</v>
      </c>
      <c r="T1982" t="s">
        <v>52</v>
      </c>
      <c r="U1982" t="s">
        <v>52</v>
      </c>
      <c r="V1982" t="s">
        <v>62</v>
      </c>
      <c r="W1982" t="s">
        <v>63</v>
      </c>
      <c r="Y1982" t="s">
        <v>52</v>
      </c>
      <c r="AB1982" t="s">
        <v>7387</v>
      </c>
      <c r="AE1982" t="s">
        <v>7387</v>
      </c>
      <c r="AF1982" t="s">
        <v>52</v>
      </c>
      <c r="AH1982">
        <v>0</v>
      </c>
      <c r="AI1982">
        <v>0</v>
      </c>
      <c r="AJ1982" t="s">
        <v>52</v>
      </c>
      <c r="AK1982">
        <v>0</v>
      </c>
      <c r="AL1982" t="s">
        <v>52</v>
      </c>
      <c r="AM1982" t="s">
        <v>52</v>
      </c>
      <c r="AN1982">
        <v>0</v>
      </c>
      <c r="AO1982">
        <v>0</v>
      </c>
      <c r="AP1982" t="s">
        <v>52</v>
      </c>
      <c r="AQ1982" t="s">
        <v>52</v>
      </c>
      <c r="AR1982" t="s">
        <v>62</v>
      </c>
      <c r="AS1982" t="s">
        <v>52</v>
      </c>
      <c r="AT1982" t="s">
        <v>52</v>
      </c>
      <c r="AU1982" t="s">
        <v>64</v>
      </c>
      <c r="AV1982" t="s">
        <v>62</v>
      </c>
      <c r="AW1982" t="s">
        <v>65</v>
      </c>
      <c r="AX1982" t="s">
        <v>66</v>
      </c>
      <c r="AY1982" t="s">
        <v>67</v>
      </c>
    </row>
    <row r="1983" spans="1:51" hidden="1" x14ac:dyDescent="0.25">
      <c r="A1983">
        <v>317165</v>
      </c>
      <c r="B1983" t="s">
        <v>7388</v>
      </c>
      <c r="C1983" t="e">
        <f>VLOOKUP(A1983,[1]Customer_payment_journal_line!$AL:$BO,30,0)</f>
        <v>#N/A</v>
      </c>
      <c r="D1983" t="s">
        <v>53</v>
      </c>
      <c r="E1983" t="s">
        <v>7384</v>
      </c>
      <c r="F1983" t="s">
        <v>7385</v>
      </c>
      <c r="G1983" t="s">
        <v>6741</v>
      </c>
      <c r="H1983" t="s">
        <v>201</v>
      </c>
      <c r="I1983" t="s">
        <v>516</v>
      </c>
      <c r="J1983" t="s">
        <v>202</v>
      </c>
      <c r="K1983" t="s">
        <v>7386</v>
      </c>
      <c r="L1983" t="s">
        <v>52</v>
      </c>
      <c r="M1983">
        <v>48</v>
      </c>
      <c r="N1983">
        <v>0</v>
      </c>
      <c r="O1983" t="s">
        <v>178</v>
      </c>
      <c r="P1983">
        <v>5085</v>
      </c>
      <c r="Q1983" t="s">
        <v>52</v>
      </c>
      <c r="R1983" t="s">
        <v>52</v>
      </c>
      <c r="S1983" t="s">
        <v>52</v>
      </c>
      <c r="T1983" t="s">
        <v>52</v>
      </c>
      <c r="U1983" t="s">
        <v>52</v>
      </c>
      <c r="V1983" t="s">
        <v>62</v>
      </c>
      <c r="W1983" t="s">
        <v>63</v>
      </c>
      <c r="Y1983" t="s">
        <v>52</v>
      </c>
      <c r="AB1983" t="s">
        <v>7387</v>
      </c>
      <c r="AE1983" t="s">
        <v>7387</v>
      </c>
      <c r="AF1983" t="s">
        <v>52</v>
      </c>
      <c r="AH1983">
        <v>0</v>
      </c>
      <c r="AI1983">
        <v>0</v>
      </c>
      <c r="AJ1983" t="s">
        <v>52</v>
      </c>
      <c r="AK1983">
        <v>0</v>
      </c>
      <c r="AL1983" t="s">
        <v>52</v>
      </c>
      <c r="AM1983" t="s">
        <v>52</v>
      </c>
      <c r="AN1983">
        <v>0</v>
      </c>
      <c r="AO1983">
        <v>0</v>
      </c>
      <c r="AP1983" t="s">
        <v>52</v>
      </c>
      <c r="AQ1983" t="s">
        <v>52</v>
      </c>
      <c r="AR1983" t="s">
        <v>62</v>
      </c>
      <c r="AS1983" t="s">
        <v>52</v>
      </c>
      <c r="AT1983" t="s">
        <v>52</v>
      </c>
      <c r="AU1983" t="s">
        <v>64</v>
      </c>
      <c r="AV1983" t="s">
        <v>62</v>
      </c>
      <c r="AW1983" t="s">
        <v>65</v>
      </c>
      <c r="AX1983" t="s">
        <v>66</v>
      </c>
      <c r="AY1983" t="s">
        <v>67</v>
      </c>
    </row>
    <row r="1984" spans="1:51" hidden="1" x14ac:dyDescent="0.25">
      <c r="A1984">
        <v>317165</v>
      </c>
      <c r="B1984" t="s">
        <v>7389</v>
      </c>
      <c r="C1984" t="e">
        <f>VLOOKUP(A1984,[1]Customer_payment_journal_line!$AL:$BO,30,0)</f>
        <v>#N/A</v>
      </c>
      <c r="D1984" t="s">
        <v>53</v>
      </c>
      <c r="E1984" t="s">
        <v>7384</v>
      </c>
      <c r="F1984" t="s">
        <v>7385</v>
      </c>
      <c r="G1984" t="s">
        <v>6741</v>
      </c>
      <c r="H1984" t="s">
        <v>201</v>
      </c>
      <c r="I1984" t="s">
        <v>125</v>
      </c>
      <c r="J1984" t="s">
        <v>202</v>
      </c>
      <c r="K1984" t="s">
        <v>7386</v>
      </c>
      <c r="L1984" t="s">
        <v>52</v>
      </c>
      <c r="M1984">
        <v>100</v>
      </c>
      <c r="N1984">
        <v>0</v>
      </c>
      <c r="O1984" t="s">
        <v>126</v>
      </c>
      <c r="P1984">
        <v>5285</v>
      </c>
      <c r="Q1984" t="s">
        <v>52</v>
      </c>
      <c r="R1984" t="s">
        <v>52</v>
      </c>
      <c r="S1984" t="s">
        <v>52</v>
      </c>
      <c r="T1984" t="s">
        <v>52</v>
      </c>
      <c r="U1984" t="s">
        <v>52</v>
      </c>
      <c r="V1984" t="s">
        <v>62</v>
      </c>
      <c r="W1984" t="s">
        <v>63</v>
      </c>
      <c r="Y1984" t="s">
        <v>52</v>
      </c>
      <c r="AB1984" t="s">
        <v>7387</v>
      </c>
      <c r="AE1984" t="s">
        <v>7387</v>
      </c>
      <c r="AF1984" t="s">
        <v>52</v>
      </c>
      <c r="AH1984">
        <v>0</v>
      </c>
      <c r="AI1984">
        <v>0</v>
      </c>
      <c r="AJ1984" t="s">
        <v>52</v>
      </c>
      <c r="AK1984">
        <v>0</v>
      </c>
      <c r="AL1984" t="s">
        <v>52</v>
      </c>
      <c r="AM1984" t="s">
        <v>52</v>
      </c>
      <c r="AN1984">
        <v>0</v>
      </c>
      <c r="AO1984">
        <v>0</v>
      </c>
      <c r="AP1984" t="s">
        <v>52</v>
      </c>
      <c r="AQ1984" t="s">
        <v>52</v>
      </c>
      <c r="AR1984" t="s">
        <v>62</v>
      </c>
      <c r="AS1984" t="s">
        <v>52</v>
      </c>
      <c r="AT1984" t="s">
        <v>52</v>
      </c>
      <c r="AU1984" t="s">
        <v>64</v>
      </c>
      <c r="AV1984" t="s">
        <v>62</v>
      </c>
      <c r="AW1984" t="s">
        <v>65</v>
      </c>
      <c r="AX1984" t="s">
        <v>66</v>
      </c>
      <c r="AY1984" t="s">
        <v>67</v>
      </c>
    </row>
    <row r="1985" spans="1:51" hidden="1" x14ac:dyDescent="0.25">
      <c r="A1985">
        <v>317165</v>
      </c>
      <c r="B1985" t="s">
        <v>7390</v>
      </c>
      <c r="C1985" t="e">
        <f>VLOOKUP(A1985,[1]Customer_payment_journal_line!$AL:$BO,30,0)</f>
        <v>#N/A</v>
      </c>
      <c r="D1985" t="s">
        <v>53</v>
      </c>
      <c r="E1985" t="s">
        <v>7384</v>
      </c>
      <c r="F1985" t="s">
        <v>7385</v>
      </c>
      <c r="G1985" t="s">
        <v>6741</v>
      </c>
      <c r="H1985" t="s">
        <v>69</v>
      </c>
      <c r="I1985" t="s">
        <v>2023</v>
      </c>
      <c r="J1985" t="s">
        <v>2024</v>
      </c>
      <c r="K1985" t="s">
        <v>7386</v>
      </c>
      <c r="L1985" t="s">
        <v>52</v>
      </c>
      <c r="M1985">
        <v>0</v>
      </c>
      <c r="N1985">
        <v>240</v>
      </c>
      <c r="O1985" t="s">
        <v>126</v>
      </c>
      <c r="P1985">
        <v>5285</v>
      </c>
      <c r="Q1985" t="s">
        <v>52</v>
      </c>
      <c r="R1985" t="s">
        <v>52</v>
      </c>
      <c r="S1985" t="s">
        <v>52</v>
      </c>
      <c r="T1985" t="s">
        <v>52</v>
      </c>
      <c r="U1985" t="s">
        <v>52</v>
      </c>
      <c r="V1985" t="s">
        <v>62</v>
      </c>
      <c r="W1985" t="s">
        <v>52</v>
      </c>
      <c r="Y1985" t="s">
        <v>2025</v>
      </c>
      <c r="Z1985" t="s">
        <v>62</v>
      </c>
      <c r="AB1985" t="s">
        <v>7387</v>
      </c>
      <c r="AE1985" t="s">
        <v>7387</v>
      </c>
      <c r="AF1985" t="s">
        <v>52</v>
      </c>
      <c r="AH1985">
        <v>0</v>
      </c>
      <c r="AI1985">
        <v>0</v>
      </c>
      <c r="AJ1985" t="s">
        <v>52</v>
      </c>
      <c r="AK1985">
        <v>0</v>
      </c>
      <c r="AL1985" t="s">
        <v>52</v>
      </c>
      <c r="AM1985" t="s">
        <v>52</v>
      </c>
      <c r="AN1985">
        <v>0</v>
      </c>
      <c r="AO1985">
        <v>0</v>
      </c>
      <c r="AP1985" t="s">
        <v>52</v>
      </c>
      <c r="AQ1985" t="s">
        <v>52</v>
      </c>
      <c r="AR1985" t="s">
        <v>62</v>
      </c>
      <c r="AS1985" t="s">
        <v>52</v>
      </c>
      <c r="AT1985" t="s">
        <v>74</v>
      </c>
      <c r="AU1985" t="s">
        <v>64</v>
      </c>
      <c r="AV1985" t="s">
        <v>62</v>
      </c>
      <c r="AW1985" t="s">
        <v>65</v>
      </c>
      <c r="AX1985" t="s">
        <v>66</v>
      </c>
      <c r="AY1985" t="s">
        <v>67</v>
      </c>
    </row>
    <row r="1986" spans="1:51" hidden="1" x14ac:dyDescent="0.25">
      <c r="A1986">
        <v>317165</v>
      </c>
      <c r="B1986" t="s">
        <v>7391</v>
      </c>
      <c r="C1986" t="e">
        <f>VLOOKUP(A1986,[1]Customer_payment_journal_line!$AL:$BO,30,0)</f>
        <v>#N/A</v>
      </c>
      <c r="D1986" t="s">
        <v>53</v>
      </c>
      <c r="E1986" t="s">
        <v>7384</v>
      </c>
      <c r="F1986" t="s">
        <v>7385</v>
      </c>
      <c r="G1986" t="s">
        <v>6741</v>
      </c>
      <c r="H1986" t="s">
        <v>210</v>
      </c>
      <c r="I1986" t="s">
        <v>2027</v>
      </c>
      <c r="J1986" t="s">
        <v>52</v>
      </c>
      <c r="K1986" t="s">
        <v>7386</v>
      </c>
      <c r="L1986" t="s">
        <v>52</v>
      </c>
      <c r="M1986">
        <v>0</v>
      </c>
      <c r="N1986">
        <v>741.8</v>
      </c>
      <c r="O1986" t="s">
        <v>61</v>
      </c>
      <c r="P1986">
        <v>100</v>
      </c>
      <c r="Q1986" t="s">
        <v>52</v>
      </c>
      <c r="R1986" t="s">
        <v>52</v>
      </c>
      <c r="S1986" t="s">
        <v>52</v>
      </c>
      <c r="T1986" t="s">
        <v>52</v>
      </c>
      <c r="U1986" t="s">
        <v>52</v>
      </c>
      <c r="V1986" t="s">
        <v>62</v>
      </c>
      <c r="W1986" t="s">
        <v>63</v>
      </c>
      <c r="Y1986" t="s">
        <v>2025</v>
      </c>
      <c r="AB1986" t="s">
        <v>7387</v>
      </c>
      <c r="AE1986" t="s">
        <v>7387</v>
      </c>
      <c r="AF1986" t="s">
        <v>52</v>
      </c>
      <c r="AH1986">
        <v>0</v>
      </c>
      <c r="AI1986">
        <v>0</v>
      </c>
      <c r="AJ1986" t="s">
        <v>52</v>
      </c>
      <c r="AK1986">
        <v>0</v>
      </c>
      <c r="AL1986" t="s">
        <v>52</v>
      </c>
      <c r="AM1986" t="s">
        <v>52</v>
      </c>
      <c r="AN1986">
        <v>0</v>
      </c>
      <c r="AO1986">
        <v>0</v>
      </c>
      <c r="AP1986" t="s">
        <v>52</v>
      </c>
      <c r="AQ1986" t="s">
        <v>52</v>
      </c>
      <c r="AR1986" t="s">
        <v>62</v>
      </c>
      <c r="AS1986" t="s">
        <v>52</v>
      </c>
      <c r="AT1986" t="s">
        <v>52</v>
      </c>
      <c r="AU1986" t="s">
        <v>64</v>
      </c>
      <c r="AV1986" t="s">
        <v>62</v>
      </c>
      <c r="AW1986" t="s">
        <v>65</v>
      </c>
      <c r="AX1986" t="s">
        <v>66</v>
      </c>
      <c r="AY1986" t="s">
        <v>67</v>
      </c>
    </row>
    <row r="1987" spans="1:51" hidden="1" x14ac:dyDescent="0.25">
      <c r="A1987">
        <v>203771</v>
      </c>
      <c r="B1987" t="s">
        <v>7392</v>
      </c>
      <c r="C1987" t="e">
        <f>VLOOKUP(A1987,[1]Customer_payment_journal_line!$AL:$BO,30,0)</f>
        <v>#N/A</v>
      </c>
      <c r="D1987" t="s">
        <v>53</v>
      </c>
      <c r="E1987" t="s">
        <v>7393</v>
      </c>
      <c r="F1987" t="s">
        <v>7394</v>
      </c>
      <c r="G1987" t="s">
        <v>6741</v>
      </c>
      <c r="H1987" t="s">
        <v>57</v>
      </c>
      <c r="I1987" t="s">
        <v>58</v>
      </c>
      <c r="J1987" t="s">
        <v>2031</v>
      </c>
      <c r="K1987" t="s">
        <v>7386</v>
      </c>
      <c r="L1987" t="s">
        <v>52</v>
      </c>
      <c r="M1987">
        <v>9804</v>
      </c>
      <c r="N1987">
        <v>0</v>
      </c>
      <c r="O1987" t="s">
        <v>61</v>
      </c>
      <c r="P1987">
        <v>100</v>
      </c>
      <c r="Q1987" t="s">
        <v>52</v>
      </c>
      <c r="R1987" t="s">
        <v>52</v>
      </c>
      <c r="S1987" t="s">
        <v>52</v>
      </c>
      <c r="T1987" t="s">
        <v>52</v>
      </c>
      <c r="U1987" t="s">
        <v>52</v>
      </c>
      <c r="V1987" t="s">
        <v>62</v>
      </c>
      <c r="W1987" t="s">
        <v>63</v>
      </c>
      <c r="Y1987" t="s">
        <v>52</v>
      </c>
      <c r="AB1987" t="s">
        <v>52</v>
      </c>
      <c r="AE1987" t="s">
        <v>52</v>
      </c>
      <c r="AF1987" t="s">
        <v>52</v>
      </c>
      <c r="AH1987">
        <v>0</v>
      </c>
      <c r="AI1987">
        <v>0</v>
      </c>
      <c r="AJ1987" t="s">
        <v>52</v>
      </c>
      <c r="AK1987">
        <v>0</v>
      </c>
      <c r="AL1987" t="s">
        <v>52</v>
      </c>
      <c r="AM1987" t="s">
        <v>52</v>
      </c>
      <c r="AN1987">
        <v>0</v>
      </c>
      <c r="AO1987">
        <v>0</v>
      </c>
      <c r="AP1987" t="s">
        <v>52</v>
      </c>
      <c r="AQ1987" t="s">
        <v>52</v>
      </c>
      <c r="AR1987" t="s">
        <v>62</v>
      </c>
      <c r="AS1987" t="s">
        <v>52</v>
      </c>
      <c r="AT1987" t="s">
        <v>52</v>
      </c>
      <c r="AU1987" t="s">
        <v>64</v>
      </c>
      <c r="AV1987" t="s">
        <v>62</v>
      </c>
      <c r="AW1987" t="s">
        <v>65</v>
      </c>
      <c r="AX1987" t="s">
        <v>66</v>
      </c>
      <c r="AY1987" t="s">
        <v>67</v>
      </c>
    </row>
    <row r="1988" spans="1:51" hidden="1" x14ac:dyDescent="0.25">
      <c r="A1988">
        <v>203771</v>
      </c>
      <c r="B1988" t="s">
        <v>7395</v>
      </c>
      <c r="C1988" t="e">
        <f>VLOOKUP(A1988,[1]Customer_payment_journal_line!$AL:$BO,30,0)</f>
        <v>#N/A</v>
      </c>
      <c r="D1988" t="s">
        <v>53</v>
      </c>
      <c r="E1988" t="s">
        <v>7393</v>
      </c>
      <c r="F1988" t="s">
        <v>7394</v>
      </c>
      <c r="G1988" t="s">
        <v>6741</v>
      </c>
      <c r="H1988" t="s">
        <v>69</v>
      </c>
      <c r="I1988" t="s">
        <v>2023</v>
      </c>
      <c r="J1988" t="s">
        <v>2031</v>
      </c>
      <c r="K1988" t="s">
        <v>7386</v>
      </c>
      <c r="L1988" t="s">
        <v>52</v>
      </c>
      <c r="M1988">
        <v>0</v>
      </c>
      <c r="N1988">
        <v>9804</v>
      </c>
      <c r="O1988" t="s">
        <v>61</v>
      </c>
      <c r="P1988">
        <v>100</v>
      </c>
      <c r="Q1988" t="s">
        <v>52</v>
      </c>
      <c r="R1988" t="s">
        <v>52</v>
      </c>
      <c r="S1988" t="s">
        <v>52</v>
      </c>
      <c r="T1988" t="s">
        <v>52</v>
      </c>
      <c r="U1988" t="s">
        <v>52</v>
      </c>
      <c r="V1988" t="s">
        <v>62</v>
      </c>
      <c r="W1988" t="s">
        <v>52</v>
      </c>
      <c r="Y1988" t="s">
        <v>2025</v>
      </c>
      <c r="Z1988" t="s">
        <v>62</v>
      </c>
      <c r="AB1988" t="s">
        <v>7396</v>
      </c>
      <c r="AE1988" t="s">
        <v>7397</v>
      </c>
      <c r="AF1988" t="s">
        <v>52</v>
      </c>
      <c r="AH1988">
        <v>0</v>
      </c>
      <c r="AI1988">
        <v>0</v>
      </c>
      <c r="AJ1988" t="s">
        <v>52</v>
      </c>
      <c r="AK1988">
        <v>0</v>
      </c>
      <c r="AL1988" t="s">
        <v>52</v>
      </c>
      <c r="AM1988" t="s">
        <v>52</v>
      </c>
      <c r="AN1988">
        <v>0</v>
      </c>
      <c r="AO1988">
        <v>0</v>
      </c>
      <c r="AP1988" t="s">
        <v>52</v>
      </c>
      <c r="AQ1988" t="s">
        <v>52</v>
      </c>
      <c r="AR1988" t="s">
        <v>62</v>
      </c>
      <c r="AS1988" t="s">
        <v>52</v>
      </c>
      <c r="AT1988" t="s">
        <v>74</v>
      </c>
      <c r="AU1988" t="s">
        <v>64</v>
      </c>
      <c r="AV1988" t="s">
        <v>62</v>
      </c>
      <c r="AW1988" t="s">
        <v>65</v>
      </c>
      <c r="AX1988" t="s">
        <v>66</v>
      </c>
      <c r="AY1988" t="s">
        <v>67</v>
      </c>
    </row>
    <row r="1989" spans="1:51" hidden="1" x14ac:dyDescent="0.25">
      <c r="A1989">
        <v>203772</v>
      </c>
      <c r="B1989" t="s">
        <v>7398</v>
      </c>
      <c r="C1989" t="e">
        <f>VLOOKUP(A1989,[1]Customer_payment_journal_line!$AL:$BO,30,0)</f>
        <v>#N/A</v>
      </c>
      <c r="D1989" t="s">
        <v>53</v>
      </c>
      <c r="E1989" t="s">
        <v>7399</v>
      </c>
      <c r="F1989" t="s">
        <v>7400</v>
      </c>
      <c r="G1989" t="s">
        <v>6741</v>
      </c>
      <c r="H1989" t="s">
        <v>57</v>
      </c>
      <c r="I1989" t="s">
        <v>58</v>
      </c>
      <c r="J1989" t="s">
        <v>2031</v>
      </c>
      <c r="K1989" t="s">
        <v>7386</v>
      </c>
      <c r="L1989" t="s">
        <v>52</v>
      </c>
      <c r="M1989">
        <v>855</v>
      </c>
      <c r="N1989">
        <v>0</v>
      </c>
      <c r="O1989" t="s">
        <v>61</v>
      </c>
      <c r="P1989">
        <v>100</v>
      </c>
      <c r="Q1989" t="s">
        <v>52</v>
      </c>
      <c r="R1989" t="s">
        <v>52</v>
      </c>
      <c r="S1989" t="s">
        <v>52</v>
      </c>
      <c r="T1989" t="s">
        <v>52</v>
      </c>
      <c r="U1989" t="s">
        <v>52</v>
      </c>
      <c r="V1989" t="s">
        <v>62</v>
      </c>
      <c r="W1989" t="s">
        <v>63</v>
      </c>
      <c r="Y1989" t="s">
        <v>52</v>
      </c>
      <c r="AB1989" t="s">
        <v>52</v>
      </c>
      <c r="AE1989" t="s">
        <v>52</v>
      </c>
      <c r="AF1989" t="s">
        <v>52</v>
      </c>
      <c r="AH1989">
        <v>0</v>
      </c>
      <c r="AI1989">
        <v>0</v>
      </c>
      <c r="AJ1989" t="s">
        <v>52</v>
      </c>
      <c r="AK1989">
        <v>0</v>
      </c>
      <c r="AL1989" t="s">
        <v>52</v>
      </c>
      <c r="AM1989" t="s">
        <v>52</v>
      </c>
      <c r="AN1989">
        <v>0</v>
      </c>
      <c r="AO1989">
        <v>0</v>
      </c>
      <c r="AP1989" t="s">
        <v>52</v>
      </c>
      <c r="AQ1989" t="s">
        <v>52</v>
      </c>
      <c r="AR1989" t="s">
        <v>62</v>
      </c>
      <c r="AS1989" t="s">
        <v>52</v>
      </c>
      <c r="AT1989" t="s">
        <v>52</v>
      </c>
      <c r="AU1989" t="s">
        <v>64</v>
      </c>
      <c r="AV1989" t="s">
        <v>62</v>
      </c>
      <c r="AW1989" t="s">
        <v>65</v>
      </c>
      <c r="AX1989" t="s">
        <v>66</v>
      </c>
      <c r="AY1989" t="s">
        <v>67</v>
      </c>
    </row>
    <row r="1990" spans="1:51" hidden="1" x14ac:dyDescent="0.25">
      <c r="A1990">
        <v>203772</v>
      </c>
      <c r="B1990" t="s">
        <v>7401</v>
      </c>
      <c r="C1990" t="e">
        <f>VLOOKUP(A1990,[1]Customer_payment_journal_line!$AL:$BO,30,0)</f>
        <v>#N/A</v>
      </c>
      <c r="D1990" t="s">
        <v>53</v>
      </c>
      <c r="E1990" t="s">
        <v>7399</v>
      </c>
      <c r="F1990" t="s">
        <v>7400</v>
      </c>
      <c r="G1990" t="s">
        <v>6741</v>
      </c>
      <c r="H1990" t="s">
        <v>69</v>
      </c>
      <c r="I1990" t="s">
        <v>2023</v>
      </c>
      <c r="J1990" t="s">
        <v>2031</v>
      </c>
      <c r="K1990" t="s">
        <v>7386</v>
      </c>
      <c r="L1990" t="s">
        <v>52</v>
      </c>
      <c r="M1990">
        <v>0</v>
      </c>
      <c r="N1990">
        <v>855</v>
      </c>
      <c r="O1990" t="s">
        <v>61</v>
      </c>
      <c r="P1990">
        <v>100</v>
      </c>
      <c r="Q1990" t="s">
        <v>52</v>
      </c>
      <c r="R1990" t="s">
        <v>52</v>
      </c>
      <c r="S1990" t="s">
        <v>52</v>
      </c>
      <c r="T1990" t="s">
        <v>52</v>
      </c>
      <c r="U1990" t="s">
        <v>52</v>
      </c>
      <c r="V1990" t="s">
        <v>62</v>
      </c>
      <c r="W1990" t="s">
        <v>52</v>
      </c>
      <c r="Y1990" t="s">
        <v>2025</v>
      </c>
      <c r="Z1990" t="s">
        <v>62</v>
      </c>
      <c r="AB1990" t="s">
        <v>7402</v>
      </c>
      <c r="AE1990" t="s">
        <v>7403</v>
      </c>
      <c r="AF1990" t="s">
        <v>52</v>
      </c>
      <c r="AH1990">
        <v>0</v>
      </c>
      <c r="AI1990">
        <v>0</v>
      </c>
      <c r="AJ1990" t="s">
        <v>52</v>
      </c>
      <c r="AK1990">
        <v>0</v>
      </c>
      <c r="AL1990" t="s">
        <v>52</v>
      </c>
      <c r="AM1990" t="s">
        <v>52</v>
      </c>
      <c r="AN1990">
        <v>0</v>
      </c>
      <c r="AO1990">
        <v>0</v>
      </c>
      <c r="AP1990" t="s">
        <v>52</v>
      </c>
      <c r="AQ1990" t="s">
        <v>52</v>
      </c>
      <c r="AR1990" t="s">
        <v>62</v>
      </c>
      <c r="AS1990" t="s">
        <v>52</v>
      </c>
      <c r="AT1990" t="s">
        <v>74</v>
      </c>
      <c r="AU1990" t="s">
        <v>64</v>
      </c>
      <c r="AV1990" t="s">
        <v>62</v>
      </c>
      <c r="AW1990" t="s">
        <v>65</v>
      </c>
      <c r="AX1990" t="s">
        <v>66</v>
      </c>
      <c r="AY1990" t="s">
        <v>67</v>
      </c>
    </row>
    <row r="1991" spans="1:51" hidden="1" x14ac:dyDescent="0.25">
      <c r="A1991">
        <v>406223</v>
      </c>
      <c r="B1991" t="s">
        <v>7404</v>
      </c>
      <c r="C1991" t="e">
        <f>VLOOKUP(A1991,[1]Customer_payment_journal_line!$AL:$BO,30,0)</f>
        <v>#N/A</v>
      </c>
      <c r="D1991" t="s">
        <v>53</v>
      </c>
      <c r="E1991" t="s">
        <v>7405</v>
      </c>
      <c r="F1991" t="s">
        <v>7406</v>
      </c>
      <c r="G1991" t="s">
        <v>6741</v>
      </c>
      <c r="H1991" t="s">
        <v>57</v>
      </c>
      <c r="I1991" t="s">
        <v>58</v>
      </c>
      <c r="J1991" t="s">
        <v>7407</v>
      </c>
      <c r="K1991" t="s">
        <v>7408</v>
      </c>
      <c r="L1991" t="s">
        <v>52</v>
      </c>
      <c r="M1991">
        <v>7980</v>
      </c>
      <c r="N1991">
        <v>0</v>
      </c>
      <c r="O1991" t="s">
        <v>61</v>
      </c>
      <c r="P1991">
        <v>100</v>
      </c>
      <c r="Q1991" t="s">
        <v>52</v>
      </c>
      <c r="R1991" t="s">
        <v>52</v>
      </c>
      <c r="S1991" t="s">
        <v>52</v>
      </c>
      <c r="T1991" t="s">
        <v>52</v>
      </c>
      <c r="U1991" t="s">
        <v>52</v>
      </c>
      <c r="V1991" t="s">
        <v>62</v>
      </c>
      <c r="W1991" t="s">
        <v>63</v>
      </c>
      <c r="Y1991" t="s">
        <v>52</v>
      </c>
      <c r="AB1991" t="s">
        <v>52</v>
      </c>
      <c r="AE1991" t="s">
        <v>52</v>
      </c>
      <c r="AF1991" t="s">
        <v>52</v>
      </c>
      <c r="AH1991">
        <v>0</v>
      </c>
      <c r="AI1991">
        <v>0</v>
      </c>
      <c r="AJ1991" t="s">
        <v>52</v>
      </c>
      <c r="AK1991">
        <v>0</v>
      </c>
      <c r="AL1991" t="s">
        <v>52</v>
      </c>
      <c r="AM1991" t="s">
        <v>52</v>
      </c>
      <c r="AN1991">
        <v>0</v>
      </c>
      <c r="AO1991">
        <v>0</v>
      </c>
      <c r="AP1991" t="s">
        <v>52</v>
      </c>
      <c r="AQ1991" t="s">
        <v>52</v>
      </c>
      <c r="AR1991" t="s">
        <v>62</v>
      </c>
      <c r="AS1991" t="s">
        <v>52</v>
      </c>
      <c r="AT1991" t="s">
        <v>52</v>
      </c>
      <c r="AU1991" t="s">
        <v>64</v>
      </c>
      <c r="AV1991" t="s">
        <v>62</v>
      </c>
      <c r="AW1991" t="s">
        <v>65</v>
      </c>
      <c r="AX1991" t="s">
        <v>66</v>
      </c>
      <c r="AY1991" t="s">
        <v>67</v>
      </c>
    </row>
    <row r="1992" spans="1:51" hidden="1" x14ac:dyDescent="0.25">
      <c r="A1992">
        <v>406223</v>
      </c>
      <c r="B1992" t="s">
        <v>7409</v>
      </c>
      <c r="C1992" t="e">
        <f>VLOOKUP(A1992,[1]Customer_payment_journal_line!$AL:$BO,30,0)</f>
        <v>#N/A</v>
      </c>
      <c r="D1992" t="s">
        <v>53</v>
      </c>
      <c r="E1992" t="s">
        <v>7405</v>
      </c>
      <c r="F1992" t="s">
        <v>7406</v>
      </c>
      <c r="G1992" t="s">
        <v>6741</v>
      </c>
      <c r="H1992" t="s">
        <v>69</v>
      </c>
      <c r="I1992" t="s">
        <v>7410</v>
      </c>
      <c r="J1992" t="s">
        <v>7407</v>
      </c>
      <c r="K1992" t="s">
        <v>7408</v>
      </c>
      <c r="L1992" t="s">
        <v>52</v>
      </c>
      <c r="M1992">
        <v>0</v>
      </c>
      <c r="N1992">
        <v>7980</v>
      </c>
      <c r="O1992" t="s">
        <v>61</v>
      </c>
      <c r="P1992">
        <v>100</v>
      </c>
      <c r="Q1992" t="s">
        <v>52</v>
      </c>
      <c r="R1992" t="s">
        <v>52</v>
      </c>
      <c r="S1992" t="s">
        <v>52</v>
      </c>
      <c r="T1992" t="s">
        <v>52</v>
      </c>
      <c r="U1992" t="s">
        <v>52</v>
      </c>
      <c r="V1992" t="s">
        <v>62</v>
      </c>
      <c r="W1992" t="s">
        <v>52</v>
      </c>
      <c r="Y1992" t="s">
        <v>7411</v>
      </c>
      <c r="Z1992" t="s">
        <v>62</v>
      </c>
      <c r="AB1992" t="s">
        <v>7412</v>
      </c>
      <c r="AE1992" t="s">
        <v>7413</v>
      </c>
      <c r="AF1992" t="s">
        <v>52</v>
      </c>
      <c r="AH1992">
        <v>0</v>
      </c>
      <c r="AI1992">
        <v>0</v>
      </c>
      <c r="AJ1992" t="s">
        <v>52</v>
      </c>
      <c r="AK1992">
        <v>0</v>
      </c>
      <c r="AL1992" t="s">
        <v>52</v>
      </c>
      <c r="AM1992" t="s">
        <v>52</v>
      </c>
      <c r="AN1992">
        <v>0</v>
      </c>
      <c r="AO1992">
        <v>0</v>
      </c>
      <c r="AP1992" t="s">
        <v>52</v>
      </c>
      <c r="AQ1992" t="s">
        <v>52</v>
      </c>
      <c r="AR1992" t="s">
        <v>62</v>
      </c>
      <c r="AS1992" t="s">
        <v>52</v>
      </c>
      <c r="AT1992" t="s">
        <v>74</v>
      </c>
      <c r="AU1992" t="s">
        <v>64</v>
      </c>
      <c r="AV1992" t="s">
        <v>62</v>
      </c>
      <c r="AW1992" t="s">
        <v>65</v>
      </c>
      <c r="AX1992" t="s">
        <v>66</v>
      </c>
      <c r="AY1992" t="s">
        <v>67</v>
      </c>
    </row>
    <row r="1993" spans="1:51" hidden="1" x14ac:dyDescent="0.25">
      <c r="A1993">
        <v>406224</v>
      </c>
      <c r="B1993" t="s">
        <v>7414</v>
      </c>
      <c r="C1993" t="e">
        <f>VLOOKUP(A1993,[1]Customer_payment_journal_line!$AL:$BO,30,0)</f>
        <v>#N/A</v>
      </c>
      <c r="D1993" t="s">
        <v>53</v>
      </c>
      <c r="E1993" t="s">
        <v>7415</v>
      </c>
      <c r="F1993" t="s">
        <v>7416</v>
      </c>
      <c r="G1993" t="s">
        <v>6741</v>
      </c>
      <c r="H1993" t="s">
        <v>57</v>
      </c>
      <c r="I1993" t="s">
        <v>1349</v>
      </c>
      <c r="J1993" t="s">
        <v>7417</v>
      </c>
      <c r="K1993" t="s">
        <v>2862</v>
      </c>
      <c r="L1993" t="s">
        <v>52</v>
      </c>
      <c r="M1993">
        <v>10374</v>
      </c>
      <c r="N1993">
        <v>0</v>
      </c>
      <c r="O1993" t="s">
        <v>61</v>
      </c>
      <c r="P1993">
        <v>100</v>
      </c>
      <c r="Q1993" t="s">
        <v>52</v>
      </c>
      <c r="R1993" t="s">
        <v>52</v>
      </c>
      <c r="S1993" t="s">
        <v>52</v>
      </c>
      <c r="T1993" t="s">
        <v>52</v>
      </c>
      <c r="U1993" t="s">
        <v>52</v>
      </c>
      <c r="V1993" t="s">
        <v>62</v>
      </c>
      <c r="W1993" t="s">
        <v>63</v>
      </c>
      <c r="Y1993" t="s">
        <v>52</v>
      </c>
      <c r="AB1993" t="s">
        <v>52</v>
      </c>
      <c r="AE1993" t="s">
        <v>52</v>
      </c>
      <c r="AF1993" t="s">
        <v>52</v>
      </c>
      <c r="AH1993">
        <v>0</v>
      </c>
      <c r="AI1993">
        <v>0</v>
      </c>
      <c r="AJ1993" t="s">
        <v>52</v>
      </c>
      <c r="AK1993">
        <v>0</v>
      </c>
      <c r="AL1993" t="s">
        <v>52</v>
      </c>
      <c r="AM1993" t="s">
        <v>52</v>
      </c>
      <c r="AN1993">
        <v>0</v>
      </c>
      <c r="AO1993">
        <v>0</v>
      </c>
      <c r="AP1993" t="s">
        <v>52</v>
      </c>
      <c r="AQ1993" t="s">
        <v>52</v>
      </c>
      <c r="AR1993" t="s">
        <v>62</v>
      </c>
      <c r="AS1993" t="s">
        <v>52</v>
      </c>
      <c r="AT1993" t="s">
        <v>52</v>
      </c>
      <c r="AU1993" t="s">
        <v>64</v>
      </c>
      <c r="AV1993" t="s">
        <v>62</v>
      </c>
      <c r="AW1993" t="s">
        <v>65</v>
      </c>
      <c r="AX1993" t="s">
        <v>66</v>
      </c>
      <c r="AY1993" t="s">
        <v>67</v>
      </c>
    </row>
    <row r="1994" spans="1:51" hidden="1" x14ac:dyDescent="0.25">
      <c r="A1994">
        <v>406224</v>
      </c>
      <c r="B1994" t="s">
        <v>7418</v>
      </c>
      <c r="C1994" t="e">
        <f>VLOOKUP(A1994,[1]Customer_payment_journal_line!$AL:$BO,30,0)</f>
        <v>#N/A</v>
      </c>
      <c r="D1994" t="s">
        <v>53</v>
      </c>
      <c r="E1994" t="s">
        <v>7415</v>
      </c>
      <c r="F1994" t="s">
        <v>7416</v>
      </c>
      <c r="G1994" t="s">
        <v>6741</v>
      </c>
      <c r="H1994" t="s">
        <v>69</v>
      </c>
      <c r="I1994" t="s">
        <v>2864</v>
      </c>
      <c r="J1994" t="s">
        <v>7417</v>
      </c>
      <c r="K1994" t="s">
        <v>2862</v>
      </c>
      <c r="L1994" t="s">
        <v>52</v>
      </c>
      <c r="M1994">
        <v>0</v>
      </c>
      <c r="N1994">
        <v>10374</v>
      </c>
      <c r="O1994" t="s">
        <v>61</v>
      </c>
      <c r="P1994">
        <v>100</v>
      </c>
      <c r="Q1994" t="s">
        <v>52</v>
      </c>
      <c r="R1994" t="s">
        <v>52</v>
      </c>
      <c r="S1994" t="s">
        <v>52</v>
      </c>
      <c r="T1994" t="s">
        <v>52</v>
      </c>
      <c r="U1994" t="s">
        <v>52</v>
      </c>
      <c r="V1994" t="s">
        <v>62</v>
      </c>
      <c r="W1994" t="s">
        <v>52</v>
      </c>
      <c r="Y1994" t="s">
        <v>2865</v>
      </c>
      <c r="Z1994" t="s">
        <v>62</v>
      </c>
      <c r="AB1994" t="s">
        <v>7419</v>
      </c>
      <c r="AE1994" t="s">
        <v>7420</v>
      </c>
      <c r="AF1994" t="s">
        <v>52</v>
      </c>
      <c r="AH1994">
        <v>0</v>
      </c>
      <c r="AI1994">
        <v>0</v>
      </c>
      <c r="AJ1994" t="s">
        <v>52</v>
      </c>
      <c r="AK1994">
        <v>0</v>
      </c>
      <c r="AL1994" t="s">
        <v>52</v>
      </c>
      <c r="AM1994" t="s">
        <v>52</v>
      </c>
      <c r="AN1994">
        <v>0</v>
      </c>
      <c r="AO1994">
        <v>0</v>
      </c>
      <c r="AP1994" t="s">
        <v>52</v>
      </c>
      <c r="AQ1994" t="s">
        <v>52</v>
      </c>
      <c r="AR1994" t="s">
        <v>62</v>
      </c>
      <c r="AS1994" t="s">
        <v>52</v>
      </c>
      <c r="AT1994" t="s">
        <v>74</v>
      </c>
      <c r="AU1994" t="s">
        <v>64</v>
      </c>
      <c r="AV1994" t="s">
        <v>62</v>
      </c>
      <c r="AW1994" t="s">
        <v>65</v>
      </c>
      <c r="AX1994" t="s">
        <v>66</v>
      </c>
      <c r="AY1994" t="s">
        <v>67</v>
      </c>
    </row>
    <row r="1995" spans="1:51" hidden="1" x14ac:dyDescent="0.25">
      <c r="A1995">
        <v>406225</v>
      </c>
      <c r="B1995" t="s">
        <v>7421</v>
      </c>
      <c r="C1995" t="e">
        <f>VLOOKUP(A1995,[1]Customer_payment_journal_line!$AL:$BO,30,0)</f>
        <v>#N/A</v>
      </c>
      <c r="D1995" t="s">
        <v>53</v>
      </c>
      <c r="E1995" t="s">
        <v>7422</v>
      </c>
      <c r="F1995" t="s">
        <v>7423</v>
      </c>
      <c r="G1995" t="s">
        <v>6741</v>
      </c>
      <c r="H1995" t="s">
        <v>57</v>
      </c>
      <c r="I1995" t="s">
        <v>58</v>
      </c>
      <c r="J1995" t="s">
        <v>7407</v>
      </c>
      <c r="K1995" t="s">
        <v>7408</v>
      </c>
      <c r="L1995" t="s">
        <v>52</v>
      </c>
      <c r="M1995">
        <v>855</v>
      </c>
      <c r="N1995">
        <v>0</v>
      </c>
      <c r="O1995" t="s">
        <v>61</v>
      </c>
      <c r="P1995">
        <v>100</v>
      </c>
      <c r="Q1995" t="s">
        <v>52</v>
      </c>
      <c r="R1995" t="s">
        <v>52</v>
      </c>
      <c r="S1995" t="s">
        <v>52</v>
      </c>
      <c r="T1995" t="s">
        <v>52</v>
      </c>
      <c r="U1995" t="s">
        <v>52</v>
      </c>
      <c r="V1995" t="s">
        <v>62</v>
      </c>
      <c r="W1995" t="s">
        <v>63</v>
      </c>
      <c r="Y1995" t="s">
        <v>52</v>
      </c>
      <c r="AB1995" t="s">
        <v>52</v>
      </c>
      <c r="AE1995" t="s">
        <v>52</v>
      </c>
      <c r="AF1995" t="s">
        <v>52</v>
      </c>
      <c r="AH1995">
        <v>0</v>
      </c>
      <c r="AI1995">
        <v>0</v>
      </c>
      <c r="AJ1995" t="s">
        <v>52</v>
      </c>
      <c r="AK1995">
        <v>0</v>
      </c>
      <c r="AL1995" t="s">
        <v>52</v>
      </c>
      <c r="AM1995" t="s">
        <v>52</v>
      </c>
      <c r="AN1995">
        <v>0</v>
      </c>
      <c r="AO1995">
        <v>0</v>
      </c>
      <c r="AP1995" t="s">
        <v>52</v>
      </c>
      <c r="AQ1995" t="s">
        <v>52</v>
      </c>
      <c r="AR1995" t="s">
        <v>62</v>
      </c>
      <c r="AS1995" t="s">
        <v>52</v>
      </c>
      <c r="AT1995" t="s">
        <v>52</v>
      </c>
      <c r="AU1995" t="s">
        <v>64</v>
      </c>
      <c r="AV1995" t="s">
        <v>62</v>
      </c>
      <c r="AW1995" t="s">
        <v>65</v>
      </c>
      <c r="AX1995" t="s">
        <v>66</v>
      </c>
      <c r="AY1995" t="s">
        <v>67</v>
      </c>
    </row>
    <row r="1996" spans="1:51" hidden="1" x14ac:dyDescent="0.25">
      <c r="A1996">
        <v>406225</v>
      </c>
      <c r="B1996" t="s">
        <v>7424</v>
      </c>
      <c r="C1996" t="e">
        <f>VLOOKUP(A1996,[1]Customer_payment_journal_line!$AL:$BO,30,0)</f>
        <v>#N/A</v>
      </c>
      <c r="D1996" t="s">
        <v>53</v>
      </c>
      <c r="E1996" t="s">
        <v>7422</v>
      </c>
      <c r="F1996" t="s">
        <v>7423</v>
      </c>
      <c r="G1996" t="s">
        <v>6741</v>
      </c>
      <c r="H1996" t="s">
        <v>69</v>
      </c>
      <c r="I1996" t="s">
        <v>7410</v>
      </c>
      <c r="J1996" t="s">
        <v>7407</v>
      </c>
      <c r="K1996" t="s">
        <v>7408</v>
      </c>
      <c r="L1996" t="s">
        <v>52</v>
      </c>
      <c r="M1996">
        <v>0</v>
      </c>
      <c r="N1996">
        <v>855</v>
      </c>
      <c r="O1996" t="s">
        <v>61</v>
      </c>
      <c r="P1996">
        <v>100</v>
      </c>
      <c r="Q1996" t="s">
        <v>52</v>
      </c>
      <c r="R1996" t="s">
        <v>52</v>
      </c>
      <c r="S1996" t="s">
        <v>52</v>
      </c>
      <c r="T1996" t="s">
        <v>52</v>
      </c>
      <c r="U1996" t="s">
        <v>52</v>
      </c>
      <c r="V1996" t="s">
        <v>62</v>
      </c>
      <c r="W1996" t="s">
        <v>52</v>
      </c>
      <c r="Y1996" t="s">
        <v>7411</v>
      </c>
      <c r="Z1996" t="s">
        <v>62</v>
      </c>
      <c r="AB1996" t="s">
        <v>7425</v>
      </c>
      <c r="AE1996" t="s">
        <v>7426</v>
      </c>
      <c r="AF1996" t="s">
        <v>52</v>
      </c>
      <c r="AH1996">
        <v>0</v>
      </c>
      <c r="AI1996">
        <v>0</v>
      </c>
      <c r="AJ1996" t="s">
        <v>52</v>
      </c>
      <c r="AK1996">
        <v>0</v>
      </c>
      <c r="AL1996" t="s">
        <v>52</v>
      </c>
      <c r="AM1996" t="s">
        <v>52</v>
      </c>
      <c r="AN1996">
        <v>0</v>
      </c>
      <c r="AO1996">
        <v>0</v>
      </c>
      <c r="AP1996" t="s">
        <v>52</v>
      </c>
      <c r="AQ1996" t="s">
        <v>52</v>
      </c>
      <c r="AR1996" t="s">
        <v>62</v>
      </c>
      <c r="AS1996" t="s">
        <v>52</v>
      </c>
      <c r="AT1996" t="s">
        <v>74</v>
      </c>
      <c r="AU1996" t="s">
        <v>64</v>
      </c>
      <c r="AV1996" t="s">
        <v>62</v>
      </c>
      <c r="AW1996" t="s">
        <v>65</v>
      </c>
      <c r="AX1996" t="s">
        <v>66</v>
      </c>
      <c r="AY1996" t="s">
        <v>67</v>
      </c>
    </row>
    <row r="1997" spans="1:51" hidden="1" x14ac:dyDescent="0.25">
      <c r="A1997">
        <v>406229</v>
      </c>
      <c r="B1997" t="s">
        <v>7427</v>
      </c>
      <c r="C1997" t="e">
        <f>VLOOKUP(A1997,[1]Customer_payment_journal_line!$AL:$BO,30,0)</f>
        <v>#N/A</v>
      </c>
      <c r="D1997" t="s">
        <v>53</v>
      </c>
      <c r="E1997" t="s">
        <v>7428</v>
      </c>
      <c r="F1997" t="s">
        <v>7429</v>
      </c>
      <c r="G1997" t="s">
        <v>6741</v>
      </c>
      <c r="H1997" t="s">
        <v>57</v>
      </c>
      <c r="I1997" t="s">
        <v>516</v>
      </c>
      <c r="J1997" t="s">
        <v>7183</v>
      </c>
      <c r="K1997" t="s">
        <v>7430</v>
      </c>
      <c r="L1997" t="s">
        <v>52</v>
      </c>
      <c r="M1997">
        <v>150</v>
      </c>
      <c r="N1997">
        <v>0</v>
      </c>
      <c r="O1997" t="s">
        <v>178</v>
      </c>
      <c r="P1997">
        <v>5085</v>
      </c>
      <c r="Q1997" t="s">
        <v>52</v>
      </c>
      <c r="R1997" t="s">
        <v>52</v>
      </c>
      <c r="S1997" t="s">
        <v>52</v>
      </c>
      <c r="T1997" t="s">
        <v>52</v>
      </c>
      <c r="U1997" t="s">
        <v>52</v>
      </c>
      <c r="V1997" t="s">
        <v>62</v>
      </c>
      <c r="W1997" t="s">
        <v>63</v>
      </c>
      <c r="Y1997" t="s">
        <v>52</v>
      </c>
      <c r="AB1997" t="s">
        <v>52</v>
      </c>
      <c r="AE1997" t="s">
        <v>52</v>
      </c>
      <c r="AF1997" t="s">
        <v>52</v>
      </c>
      <c r="AH1997">
        <v>0</v>
      </c>
      <c r="AI1997">
        <v>0</v>
      </c>
      <c r="AJ1997" t="s">
        <v>52</v>
      </c>
      <c r="AK1997">
        <v>0</v>
      </c>
      <c r="AL1997" t="s">
        <v>52</v>
      </c>
      <c r="AM1997" t="s">
        <v>52</v>
      </c>
      <c r="AN1997">
        <v>0</v>
      </c>
      <c r="AO1997">
        <v>0</v>
      </c>
      <c r="AP1997" t="s">
        <v>52</v>
      </c>
      <c r="AQ1997" t="s">
        <v>52</v>
      </c>
      <c r="AR1997" t="s">
        <v>62</v>
      </c>
      <c r="AS1997" t="s">
        <v>52</v>
      </c>
      <c r="AT1997" t="s">
        <v>52</v>
      </c>
      <c r="AU1997" t="s">
        <v>64</v>
      </c>
      <c r="AV1997" t="s">
        <v>62</v>
      </c>
      <c r="AW1997" t="s">
        <v>65</v>
      </c>
      <c r="AX1997" t="s">
        <v>66</v>
      </c>
      <c r="AY1997" t="s">
        <v>67</v>
      </c>
    </row>
    <row r="1998" spans="1:51" hidden="1" x14ac:dyDescent="0.25">
      <c r="A1998">
        <v>406229</v>
      </c>
      <c r="B1998" t="s">
        <v>7431</v>
      </c>
      <c r="C1998" t="e">
        <f>VLOOKUP(A1998,[1]Customer_payment_journal_line!$AL:$BO,30,0)</f>
        <v>#N/A</v>
      </c>
      <c r="D1998" t="s">
        <v>53</v>
      </c>
      <c r="E1998" t="s">
        <v>7428</v>
      </c>
      <c r="F1998" t="s">
        <v>7429</v>
      </c>
      <c r="G1998" t="s">
        <v>6741</v>
      </c>
      <c r="H1998" t="s">
        <v>69</v>
      </c>
      <c r="I1998" t="s">
        <v>7186</v>
      </c>
      <c r="J1998" t="s">
        <v>7183</v>
      </c>
      <c r="K1998" t="s">
        <v>7430</v>
      </c>
      <c r="L1998" t="s">
        <v>52</v>
      </c>
      <c r="M1998">
        <v>0</v>
      </c>
      <c r="N1998">
        <v>150</v>
      </c>
      <c r="O1998" t="s">
        <v>178</v>
      </c>
      <c r="P1998">
        <v>5085</v>
      </c>
      <c r="Q1998" t="s">
        <v>52</v>
      </c>
      <c r="R1998" t="s">
        <v>52</v>
      </c>
      <c r="S1998" t="s">
        <v>52</v>
      </c>
      <c r="T1998" t="s">
        <v>52</v>
      </c>
      <c r="U1998" t="s">
        <v>52</v>
      </c>
      <c r="V1998" t="s">
        <v>62</v>
      </c>
      <c r="W1998" t="s">
        <v>52</v>
      </c>
      <c r="Y1998" t="s">
        <v>7187</v>
      </c>
      <c r="Z1998" t="s">
        <v>62</v>
      </c>
      <c r="AB1998" t="s">
        <v>7432</v>
      </c>
      <c r="AE1998" t="s">
        <v>7433</v>
      </c>
      <c r="AF1998" t="s">
        <v>52</v>
      </c>
      <c r="AH1998">
        <v>0</v>
      </c>
      <c r="AI1998">
        <v>0</v>
      </c>
      <c r="AJ1998" t="s">
        <v>52</v>
      </c>
      <c r="AK1998">
        <v>0</v>
      </c>
      <c r="AL1998" t="s">
        <v>52</v>
      </c>
      <c r="AM1998" t="s">
        <v>52</v>
      </c>
      <c r="AN1998">
        <v>0</v>
      </c>
      <c r="AO1998">
        <v>0</v>
      </c>
      <c r="AP1998" t="s">
        <v>52</v>
      </c>
      <c r="AQ1998" t="s">
        <v>52</v>
      </c>
      <c r="AR1998" t="s">
        <v>62</v>
      </c>
      <c r="AS1998" t="s">
        <v>52</v>
      </c>
      <c r="AT1998" t="s">
        <v>74</v>
      </c>
      <c r="AU1998" t="s">
        <v>64</v>
      </c>
      <c r="AV1998" t="s">
        <v>62</v>
      </c>
      <c r="AW1998" t="s">
        <v>65</v>
      </c>
      <c r="AX1998" t="s">
        <v>66</v>
      </c>
      <c r="AY1998" t="s">
        <v>67</v>
      </c>
    </row>
    <row r="1999" spans="1:51" hidden="1" x14ac:dyDescent="0.25">
      <c r="A1999">
        <v>406230</v>
      </c>
      <c r="B1999" t="s">
        <v>7434</v>
      </c>
      <c r="C1999" t="e">
        <f>VLOOKUP(A1999,[1]Customer_payment_journal_line!$AL:$BO,30,0)</f>
        <v>#N/A</v>
      </c>
      <c r="D1999" t="s">
        <v>53</v>
      </c>
      <c r="E1999" t="s">
        <v>7435</v>
      </c>
      <c r="F1999" t="s">
        <v>7436</v>
      </c>
      <c r="G1999" t="s">
        <v>6741</v>
      </c>
      <c r="H1999" t="s">
        <v>57</v>
      </c>
      <c r="I1999" t="s">
        <v>516</v>
      </c>
      <c r="J1999" t="s">
        <v>7183</v>
      </c>
      <c r="K1999" t="s">
        <v>7184</v>
      </c>
      <c r="L1999" t="s">
        <v>52</v>
      </c>
      <c r="M1999">
        <v>20</v>
      </c>
      <c r="N1999">
        <v>0</v>
      </c>
      <c r="O1999" t="s">
        <v>178</v>
      </c>
      <c r="P1999">
        <v>5085</v>
      </c>
      <c r="Q1999" t="s">
        <v>52</v>
      </c>
      <c r="R1999" t="s">
        <v>52</v>
      </c>
      <c r="S1999" t="s">
        <v>52</v>
      </c>
      <c r="T1999" t="s">
        <v>52</v>
      </c>
      <c r="U1999" t="s">
        <v>52</v>
      </c>
      <c r="V1999" t="s">
        <v>62</v>
      </c>
      <c r="W1999" t="s">
        <v>63</v>
      </c>
      <c r="Y1999" t="s">
        <v>52</v>
      </c>
      <c r="AB1999" t="s">
        <v>52</v>
      </c>
      <c r="AE1999" t="s">
        <v>52</v>
      </c>
      <c r="AF1999" t="s">
        <v>52</v>
      </c>
      <c r="AH1999">
        <v>0</v>
      </c>
      <c r="AI1999">
        <v>0</v>
      </c>
      <c r="AJ1999" t="s">
        <v>52</v>
      </c>
      <c r="AK1999">
        <v>0</v>
      </c>
      <c r="AL1999" t="s">
        <v>52</v>
      </c>
      <c r="AM1999" t="s">
        <v>52</v>
      </c>
      <c r="AN1999">
        <v>0</v>
      </c>
      <c r="AO1999">
        <v>0</v>
      </c>
      <c r="AP1999" t="s">
        <v>52</v>
      </c>
      <c r="AQ1999" t="s">
        <v>52</v>
      </c>
      <c r="AR1999" t="s">
        <v>62</v>
      </c>
      <c r="AS1999" t="s">
        <v>52</v>
      </c>
      <c r="AT1999" t="s">
        <v>52</v>
      </c>
      <c r="AU1999" t="s">
        <v>64</v>
      </c>
      <c r="AV1999" t="s">
        <v>62</v>
      </c>
      <c r="AW1999" t="s">
        <v>65</v>
      </c>
      <c r="AX1999" t="s">
        <v>66</v>
      </c>
      <c r="AY1999" t="s">
        <v>67</v>
      </c>
    </row>
    <row r="2000" spans="1:51" hidden="1" x14ac:dyDescent="0.25">
      <c r="A2000">
        <v>406230</v>
      </c>
      <c r="B2000" t="s">
        <v>7437</v>
      </c>
      <c r="C2000" t="e">
        <f>VLOOKUP(A2000,[1]Customer_payment_journal_line!$AL:$BO,30,0)</f>
        <v>#N/A</v>
      </c>
      <c r="D2000" t="s">
        <v>53</v>
      </c>
      <c r="E2000" t="s">
        <v>7435</v>
      </c>
      <c r="F2000" t="s">
        <v>7436</v>
      </c>
      <c r="G2000" t="s">
        <v>6741</v>
      </c>
      <c r="H2000" t="s">
        <v>69</v>
      </c>
      <c r="I2000" t="s">
        <v>7186</v>
      </c>
      <c r="J2000" t="s">
        <v>7183</v>
      </c>
      <c r="K2000" t="s">
        <v>7184</v>
      </c>
      <c r="L2000" t="s">
        <v>52</v>
      </c>
      <c r="M2000">
        <v>0</v>
      </c>
      <c r="N2000">
        <v>20</v>
      </c>
      <c r="O2000" t="s">
        <v>178</v>
      </c>
      <c r="P2000">
        <v>5085</v>
      </c>
      <c r="Q2000" t="s">
        <v>52</v>
      </c>
      <c r="R2000" t="s">
        <v>52</v>
      </c>
      <c r="S2000" t="s">
        <v>52</v>
      </c>
      <c r="T2000" t="s">
        <v>52</v>
      </c>
      <c r="U2000" t="s">
        <v>52</v>
      </c>
      <c r="V2000" t="s">
        <v>62</v>
      </c>
      <c r="W2000" t="s">
        <v>52</v>
      </c>
      <c r="Y2000" t="s">
        <v>7187</v>
      </c>
      <c r="Z2000" t="s">
        <v>62</v>
      </c>
      <c r="AB2000" t="s">
        <v>7438</v>
      </c>
      <c r="AE2000" t="s">
        <v>7439</v>
      </c>
      <c r="AF2000" t="s">
        <v>52</v>
      </c>
      <c r="AH2000">
        <v>0</v>
      </c>
      <c r="AI2000">
        <v>0</v>
      </c>
      <c r="AJ2000" t="s">
        <v>52</v>
      </c>
      <c r="AK2000">
        <v>0</v>
      </c>
      <c r="AL2000" t="s">
        <v>52</v>
      </c>
      <c r="AM2000" t="s">
        <v>52</v>
      </c>
      <c r="AN2000">
        <v>0</v>
      </c>
      <c r="AO2000">
        <v>0</v>
      </c>
      <c r="AP2000" t="s">
        <v>52</v>
      </c>
      <c r="AQ2000" t="s">
        <v>52</v>
      </c>
      <c r="AR2000" t="s">
        <v>62</v>
      </c>
      <c r="AS2000" t="s">
        <v>52</v>
      </c>
      <c r="AT2000" t="s">
        <v>74</v>
      </c>
      <c r="AU2000" t="s">
        <v>64</v>
      </c>
      <c r="AV2000" t="s">
        <v>62</v>
      </c>
      <c r="AW2000" t="s">
        <v>65</v>
      </c>
      <c r="AX2000" t="s">
        <v>66</v>
      </c>
      <c r="AY2000" t="s">
        <v>67</v>
      </c>
    </row>
    <row r="2001" spans="1:51" hidden="1" x14ac:dyDescent="0.25">
      <c r="A2001">
        <v>203803</v>
      </c>
      <c r="B2001" t="s">
        <v>7440</v>
      </c>
      <c r="C2001" t="e">
        <f>VLOOKUP(A2001,[1]Customer_payment_journal_line!$AL:$BO,30,0)</f>
        <v>#N/A</v>
      </c>
      <c r="D2001" t="s">
        <v>53</v>
      </c>
      <c r="E2001" t="s">
        <v>7441</v>
      </c>
      <c r="F2001" t="s">
        <v>7442</v>
      </c>
      <c r="G2001" t="s">
        <v>6741</v>
      </c>
      <c r="H2001" t="s">
        <v>57</v>
      </c>
      <c r="I2001" t="s">
        <v>58</v>
      </c>
      <c r="J2001" t="s">
        <v>2985</v>
      </c>
      <c r="K2001" t="s">
        <v>7443</v>
      </c>
      <c r="L2001" t="s">
        <v>52</v>
      </c>
      <c r="M2001">
        <v>9747</v>
      </c>
      <c r="N2001">
        <v>0</v>
      </c>
      <c r="O2001" t="s">
        <v>61</v>
      </c>
      <c r="P2001">
        <v>100</v>
      </c>
      <c r="Q2001" t="s">
        <v>52</v>
      </c>
      <c r="R2001" t="s">
        <v>52</v>
      </c>
      <c r="S2001" t="s">
        <v>52</v>
      </c>
      <c r="T2001" t="s">
        <v>52</v>
      </c>
      <c r="U2001" t="s">
        <v>52</v>
      </c>
      <c r="V2001" t="s">
        <v>62</v>
      </c>
      <c r="W2001" t="s">
        <v>63</v>
      </c>
      <c r="Y2001" t="s">
        <v>52</v>
      </c>
      <c r="AB2001" t="s">
        <v>52</v>
      </c>
      <c r="AE2001" t="s">
        <v>52</v>
      </c>
      <c r="AF2001" t="s">
        <v>52</v>
      </c>
      <c r="AH2001">
        <v>0</v>
      </c>
      <c r="AI2001">
        <v>0</v>
      </c>
      <c r="AJ2001" t="s">
        <v>52</v>
      </c>
      <c r="AK2001">
        <v>0</v>
      </c>
      <c r="AL2001" t="s">
        <v>52</v>
      </c>
      <c r="AM2001" t="s">
        <v>52</v>
      </c>
      <c r="AN2001">
        <v>0</v>
      </c>
      <c r="AO2001">
        <v>0</v>
      </c>
      <c r="AP2001" t="s">
        <v>52</v>
      </c>
      <c r="AQ2001" t="s">
        <v>52</v>
      </c>
      <c r="AR2001" t="s">
        <v>62</v>
      </c>
      <c r="AS2001" t="s">
        <v>52</v>
      </c>
      <c r="AT2001" t="s">
        <v>52</v>
      </c>
      <c r="AU2001" t="s">
        <v>64</v>
      </c>
      <c r="AV2001" t="s">
        <v>62</v>
      </c>
      <c r="AW2001" t="s">
        <v>65</v>
      </c>
      <c r="AX2001" t="s">
        <v>66</v>
      </c>
      <c r="AY2001" t="s">
        <v>67</v>
      </c>
    </row>
    <row r="2002" spans="1:51" hidden="1" x14ac:dyDescent="0.25">
      <c r="A2002">
        <v>203803</v>
      </c>
      <c r="B2002" t="s">
        <v>7444</v>
      </c>
      <c r="C2002" t="e">
        <f>VLOOKUP(A2002,[1]Customer_payment_journal_line!$AL:$BO,30,0)</f>
        <v>#N/A</v>
      </c>
      <c r="D2002" t="s">
        <v>53</v>
      </c>
      <c r="E2002" t="s">
        <v>7441</v>
      </c>
      <c r="F2002" t="s">
        <v>7442</v>
      </c>
      <c r="G2002" t="s">
        <v>6741</v>
      </c>
      <c r="H2002" t="s">
        <v>69</v>
      </c>
      <c r="I2002" t="s">
        <v>2988</v>
      </c>
      <c r="J2002" t="s">
        <v>2985</v>
      </c>
      <c r="K2002" t="s">
        <v>7443</v>
      </c>
      <c r="L2002" t="s">
        <v>52</v>
      </c>
      <c r="M2002">
        <v>0</v>
      </c>
      <c r="N2002">
        <v>9747</v>
      </c>
      <c r="O2002" t="s">
        <v>61</v>
      </c>
      <c r="P2002">
        <v>100</v>
      </c>
      <c r="Q2002" t="s">
        <v>52</v>
      </c>
      <c r="R2002" t="s">
        <v>52</v>
      </c>
      <c r="S2002" t="s">
        <v>52</v>
      </c>
      <c r="T2002" t="s">
        <v>52</v>
      </c>
      <c r="U2002" t="s">
        <v>52</v>
      </c>
      <c r="V2002" t="s">
        <v>62</v>
      </c>
      <c r="W2002" t="s">
        <v>52</v>
      </c>
      <c r="Y2002" t="s">
        <v>2989</v>
      </c>
      <c r="Z2002" t="s">
        <v>62</v>
      </c>
      <c r="AB2002" t="s">
        <v>7445</v>
      </c>
      <c r="AE2002" t="s">
        <v>7446</v>
      </c>
      <c r="AF2002" t="s">
        <v>52</v>
      </c>
      <c r="AH2002">
        <v>0</v>
      </c>
      <c r="AI2002">
        <v>0</v>
      </c>
      <c r="AJ2002" t="s">
        <v>52</v>
      </c>
      <c r="AK2002">
        <v>0</v>
      </c>
      <c r="AL2002" t="s">
        <v>52</v>
      </c>
      <c r="AM2002" t="s">
        <v>52</v>
      </c>
      <c r="AN2002">
        <v>0</v>
      </c>
      <c r="AO2002">
        <v>0</v>
      </c>
      <c r="AP2002" t="s">
        <v>52</v>
      </c>
      <c r="AQ2002" t="s">
        <v>52</v>
      </c>
      <c r="AR2002" t="s">
        <v>62</v>
      </c>
      <c r="AS2002" t="s">
        <v>52</v>
      </c>
      <c r="AT2002" t="s">
        <v>74</v>
      </c>
      <c r="AU2002" t="s">
        <v>64</v>
      </c>
      <c r="AV2002" t="s">
        <v>62</v>
      </c>
      <c r="AW2002" t="s">
        <v>65</v>
      </c>
      <c r="AX2002" t="s">
        <v>66</v>
      </c>
      <c r="AY2002" t="s">
        <v>67</v>
      </c>
    </row>
    <row r="2003" spans="1:51" hidden="1" x14ac:dyDescent="0.25">
      <c r="A2003">
        <v>203804</v>
      </c>
      <c r="B2003" t="s">
        <v>7447</v>
      </c>
      <c r="C2003" t="e">
        <f>VLOOKUP(A2003,[1]Customer_payment_journal_line!$AL:$BO,30,0)</f>
        <v>#N/A</v>
      </c>
      <c r="D2003" t="s">
        <v>53</v>
      </c>
      <c r="E2003" t="s">
        <v>7448</v>
      </c>
      <c r="F2003" t="s">
        <v>7449</v>
      </c>
      <c r="G2003" t="s">
        <v>6741</v>
      </c>
      <c r="H2003" t="s">
        <v>57</v>
      </c>
      <c r="I2003" t="s">
        <v>58</v>
      </c>
      <c r="J2003" t="s">
        <v>2985</v>
      </c>
      <c r="K2003" t="s">
        <v>7443</v>
      </c>
      <c r="L2003" t="s">
        <v>52</v>
      </c>
      <c r="M2003">
        <v>855</v>
      </c>
      <c r="N2003">
        <v>0</v>
      </c>
      <c r="O2003" t="s">
        <v>61</v>
      </c>
      <c r="P2003">
        <v>100</v>
      </c>
      <c r="Q2003" t="s">
        <v>52</v>
      </c>
      <c r="R2003" t="s">
        <v>52</v>
      </c>
      <c r="S2003" t="s">
        <v>52</v>
      </c>
      <c r="T2003" t="s">
        <v>52</v>
      </c>
      <c r="U2003" t="s">
        <v>52</v>
      </c>
      <c r="V2003" t="s">
        <v>62</v>
      </c>
      <c r="W2003" t="s">
        <v>63</v>
      </c>
      <c r="Y2003" t="s">
        <v>52</v>
      </c>
      <c r="AB2003" t="s">
        <v>52</v>
      </c>
      <c r="AE2003" t="s">
        <v>52</v>
      </c>
      <c r="AF2003" t="s">
        <v>52</v>
      </c>
      <c r="AH2003">
        <v>0</v>
      </c>
      <c r="AI2003">
        <v>0</v>
      </c>
      <c r="AJ2003" t="s">
        <v>52</v>
      </c>
      <c r="AK2003">
        <v>0</v>
      </c>
      <c r="AL2003" t="s">
        <v>52</v>
      </c>
      <c r="AM2003" t="s">
        <v>52</v>
      </c>
      <c r="AN2003">
        <v>0</v>
      </c>
      <c r="AO2003">
        <v>0</v>
      </c>
      <c r="AP2003" t="s">
        <v>52</v>
      </c>
      <c r="AQ2003" t="s">
        <v>52</v>
      </c>
      <c r="AR2003" t="s">
        <v>62</v>
      </c>
      <c r="AS2003" t="s">
        <v>52</v>
      </c>
      <c r="AT2003" t="s">
        <v>52</v>
      </c>
      <c r="AU2003" t="s">
        <v>64</v>
      </c>
      <c r="AV2003" t="s">
        <v>62</v>
      </c>
      <c r="AW2003" t="s">
        <v>65</v>
      </c>
      <c r="AX2003" t="s">
        <v>66</v>
      </c>
      <c r="AY2003" t="s">
        <v>67</v>
      </c>
    </row>
    <row r="2004" spans="1:51" hidden="1" x14ac:dyDescent="0.25">
      <c r="A2004">
        <v>203804</v>
      </c>
      <c r="B2004" t="s">
        <v>7450</v>
      </c>
      <c r="C2004" t="e">
        <f>VLOOKUP(A2004,[1]Customer_payment_journal_line!$AL:$BO,30,0)</f>
        <v>#N/A</v>
      </c>
      <c r="D2004" t="s">
        <v>53</v>
      </c>
      <c r="E2004" t="s">
        <v>7448</v>
      </c>
      <c r="F2004" t="s">
        <v>7449</v>
      </c>
      <c r="G2004" t="s">
        <v>6741</v>
      </c>
      <c r="H2004" t="s">
        <v>69</v>
      </c>
      <c r="I2004" t="s">
        <v>2988</v>
      </c>
      <c r="J2004" t="s">
        <v>2985</v>
      </c>
      <c r="K2004" t="s">
        <v>7443</v>
      </c>
      <c r="L2004" t="s">
        <v>52</v>
      </c>
      <c r="M2004">
        <v>0</v>
      </c>
      <c r="N2004">
        <v>855</v>
      </c>
      <c r="O2004" t="s">
        <v>61</v>
      </c>
      <c r="P2004">
        <v>100</v>
      </c>
      <c r="Q2004" t="s">
        <v>52</v>
      </c>
      <c r="R2004" t="s">
        <v>52</v>
      </c>
      <c r="S2004" t="s">
        <v>52</v>
      </c>
      <c r="T2004" t="s">
        <v>52</v>
      </c>
      <c r="U2004" t="s">
        <v>52</v>
      </c>
      <c r="V2004" t="s">
        <v>62</v>
      </c>
      <c r="W2004" t="s">
        <v>52</v>
      </c>
      <c r="Y2004" t="s">
        <v>2989</v>
      </c>
      <c r="Z2004" t="s">
        <v>62</v>
      </c>
      <c r="AB2004" t="s">
        <v>7451</v>
      </c>
      <c r="AE2004" t="s">
        <v>7452</v>
      </c>
      <c r="AF2004" t="s">
        <v>52</v>
      </c>
      <c r="AH2004">
        <v>0</v>
      </c>
      <c r="AI2004">
        <v>0</v>
      </c>
      <c r="AJ2004" t="s">
        <v>52</v>
      </c>
      <c r="AK2004">
        <v>0</v>
      </c>
      <c r="AL2004" t="s">
        <v>52</v>
      </c>
      <c r="AM2004" t="s">
        <v>52</v>
      </c>
      <c r="AN2004">
        <v>0</v>
      </c>
      <c r="AO2004">
        <v>0</v>
      </c>
      <c r="AP2004" t="s">
        <v>52</v>
      </c>
      <c r="AQ2004" t="s">
        <v>52</v>
      </c>
      <c r="AR2004" t="s">
        <v>62</v>
      </c>
      <c r="AS2004" t="s">
        <v>52</v>
      </c>
      <c r="AT2004" t="s">
        <v>74</v>
      </c>
      <c r="AU2004" t="s">
        <v>64</v>
      </c>
      <c r="AV2004" t="s">
        <v>62</v>
      </c>
      <c r="AW2004" t="s">
        <v>65</v>
      </c>
      <c r="AX2004" t="s">
        <v>66</v>
      </c>
      <c r="AY2004" t="s">
        <v>67</v>
      </c>
    </row>
    <row r="2005" spans="1:51" hidden="1" x14ac:dyDescent="0.25">
      <c r="A2005">
        <v>203807</v>
      </c>
      <c r="B2005" t="s">
        <v>7453</v>
      </c>
      <c r="C2005" t="e">
        <f>VLOOKUP(A2005,[1]Customer_payment_journal_line!$AL:$BO,30,0)</f>
        <v>#N/A</v>
      </c>
      <c r="D2005" t="s">
        <v>53</v>
      </c>
      <c r="E2005" t="s">
        <v>7454</v>
      </c>
      <c r="F2005" t="s">
        <v>7455</v>
      </c>
      <c r="G2005" t="s">
        <v>6741</v>
      </c>
      <c r="H2005" t="s">
        <v>57</v>
      </c>
      <c r="I2005" t="s">
        <v>58</v>
      </c>
      <c r="J2005" t="s">
        <v>7456</v>
      </c>
      <c r="K2005" t="s">
        <v>4801</v>
      </c>
      <c r="L2005" t="s">
        <v>52</v>
      </c>
      <c r="M2005">
        <v>17000</v>
      </c>
      <c r="N2005">
        <v>0</v>
      </c>
      <c r="O2005" t="s">
        <v>61</v>
      </c>
      <c r="P2005">
        <v>100</v>
      </c>
      <c r="Q2005" t="s">
        <v>52</v>
      </c>
      <c r="R2005" t="s">
        <v>52</v>
      </c>
      <c r="S2005" t="s">
        <v>52</v>
      </c>
      <c r="T2005" t="s">
        <v>52</v>
      </c>
      <c r="U2005" t="s">
        <v>52</v>
      </c>
      <c r="V2005" t="s">
        <v>62</v>
      </c>
      <c r="W2005" t="s">
        <v>63</v>
      </c>
      <c r="Y2005" t="s">
        <v>52</v>
      </c>
      <c r="AB2005" t="s">
        <v>52</v>
      </c>
      <c r="AE2005" t="s">
        <v>52</v>
      </c>
      <c r="AF2005" t="s">
        <v>52</v>
      </c>
      <c r="AH2005">
        <v>0</v>
      </c>
      <c r="AI2005">
        <v>0</v>
      </c>
      <c r="AJ2005" t="s">
        <v>52</v>
      </c>
      <c r="AK2005">
        <v>0</v>
      </c>
      <c r="AL2005" t="s">
        <v>52</v>
      </c>
      <c r="AM2005" t="s">
        <v>52</v>
      </c>
      <c r="AN2005">
        <v>0</v>
      </c>
      <c r="AO2005">
        <v>0</v>
      </c>
      <c r="AP2005" t="s">
        <v>52</v>
      </c>
      <c r="AQ2005" t="s">
        <v>52</v>
      </c>
      <c r="AR2005" t="s">
        <v>62</v>
      </c>
      <c r="AS2005" t="s">
        <v>52</v>
      </c>
      <c r="AT2005" t="s">
        <v>52</v>
      </c>
      <c r="AU2005" t="s">
        <v>64</v>
      </c>
      <c r="AV2005" t="s">
        <v>62</v>
      </c>
      <c r="AW2005" t="s">
        <v>65</v>
      </c>
      <c r="AX2005" t="s">
        <v>66</v>
      </c>
      <c r="AY2005" t="s">
        <v>67</v>
      </c>
    </row>
    <row r="2006" spans="1:51" hidden="1" x14ac:dyDescent="0.25">
      <c r="A2006">
        <v>203807</v>
      </c>
      <c r="B2006" t="s">
        <v>7457</v>
      </c>
      <c r="C2006" t="e">
        <f>VLOOKUP(A2006,[1]Customer_payment_journal_line!$AL:$BO,30,0)</f>
        <v>#N/A</v>
      </c>
      <c r="D2006" t="s">
        <v>53</v>
      </c>
      <c r="E2006" t="s">
        <v>7454</v>
      </c>
      <c r="F2006" t="s">
        <v>7455</v>
      </c>
      <c r="G2006" t="s">
        <v>6741</v>
      </c>
      <c r="H2006" t="s">
        <v>69</v>
      </c>
      <c r="I2006" t="s">
        <v>5764</v>
      </c>
      <c r="J2006" t="s">
        <v>7456</v>
      </c>
      <c r="K2006" t="s">
        <v>4801</v>
      </c>
      <c r="L2006" t="s">
        <v>52</v>
      </c>
      <c r="M2006">
        <v>0</v>
      </c>
      <c r="N2006">
        <v>17000</v>
      </c>
      <c r="O2006" t="s">
        <v>61</v>
      </c>
      <c r="P2006">
        <v>100</v>
      </c>
      <c r="Q2006" t="s">
        <v>52</v>
      </c>
      <c r="R2006" t="s">
        <v>52</v>
      </c>
      <c r="S2006" t="s">
        <v>52</v>
      </c>
      <c r="T2006" t="s">
        <v>52</v>
      </c>
      <c r="U2006" t="s">
        <v>52</v>
      </c>
      <c r="V2006" t="s">
        <v>62</v>
      </c>
      <c r="W2006" t="s">
        <v>52</v>
      </c>
      <c r="Y2006" t="s">
        <v>5765</v>
      </c>
      <c r="Z2006" t="s">
        <v>62</v>
      </c>
      <c r="AB2006" t="s">
        <v>7458</v>
      </c>
      <c r="AE2006" t="s">
        <v>7459</v>
      </c>
      <c r="AF2006" t="s">
        <v>52</v>
      </c>
      <c r="AH2006">
        <v>0</v>
      </c>
      <c r="AI2006">
        <v>0</v>
      </c>
      <c r="AJ2006" t="s">
        <v>52</v>
      </c>
      <c r="AK2006">
        <v>0</v>
      </c>
      <c r="AL2006" t="s">
        <v>52</v>
      </c>
      <c r="AM2006" t="s">
        <v>52</v>
      </c>
      <c r="AN2006">
        <v>0</v>
      </c>
      <c r="AO2006">
        <v>0</v>
      </c>
      <c r="AP2006" t="s">
        <v>52</v>
      </c>
      <c r="AQ2006" t="s">
        <v>52</v>
      </c>
      <c r="AR2006" t="s">
        <v>62</v>
      </c>
      <c r="AS2006" t="s">
        <v>52</v>
      </c>
      <c r="AT2006" t="s">
        <v>74</v>
      </c>
      <c r="AU2006" t="s">
        <v>64</v>
      </c>
      <c r="AV2006" t="s">
        <v>62</v>
      </c>
      <c r="AW2006" t="s">
        <v>65</v>
      </c>
      <c r="AX2006" t="s">
        <v>66</v>
      </c>
      <c r="AY2006" t="s">
        <v>67</v>
      </c>
    </row>
    <row r="2007" spans="1:51" hidden="1" x14ac:dyDescent="0.25">
      <c r="A2007">
        <v>203815</v>
      </c>
      <c r="B2007" t="s">
        <v>7460</v>
      </c>
      <c r="C2007" t="e">
        <f>VLOOKUP(A2007,[1]Customer_payment_journal_line!$AL:$BO,30,0)</f>
        <v>#N/A</v>
      </c>
      <c r="D2007" t="s">
        <v>53</v>
      </c>
      <c r="E2007" t="s">
        <v>7461</v>
      </c>
      <c r="F2007" t="s">
        <v>7462</v>
      </c>
      <c r="G2007" t="s">
        <v>6741</v>
      </c>
      <c r="H2007" t="s">
        <v>57</v>
      </c>
      <c r="I2007" t="s">
        <v>125</v>
      </c>
      <c r="J2007" t="s">
        <v>7463</v>
      </c>
      <c r="K2007" t="s">
        <v>7464</v>
      </c>
      <c r="L2007" t="s">
        <v>52</v>
      </c>
      <c r="M2007">
        <v>175</v>
      </c>
      <c r="N2007">
        <v>0</v>
      </c>
      <c r="O2007" t="s">
        <v>126</v>
      </c>
      <c r="P2007">
        <v>5285</v>
      </c>
      <c r="Q2007" t="s">
        <v>52</v>
      </c>
      <c r="R2007" t="s">
        <v>52</v>
      </c>
      <c r="S2007" t="s">
        <v>52</v>
      </c>
      <c r="T2007" t="s">
        <v>52</v>
      </c>
      <c r="U2007" t="s">
        <v>52</v>
      </c>
      <c r="V2007" t="s">
        <v>62</v>
      </c>
      <c r="W2007" t="s">
        <v>63</v>
      </c>
      <c r="Y2007" t="s">
        <v>52</v>
      </c>
      <c r="AB2007" t="s">
        <v>52</v>
      </c>
      <c r="AE2007" t="s">
        <v>52</v>
      </c>
      <c r="AF2007" t="s">
        <v>52</v>
      </c>
      <c r="AH2007">
        <v>0</v>
      </c>
      <c r="AI2007">
        <v>0</v>
      </c>
      <c r="AJ2007" t="s">
        <v>52</v>
      </c>
      <c r="AK2007">
        <v>0</v>
      </c>
      <c r="AL2007" t="s">
        <v>52</v>
      </c>
      <c r="AM2007" t="s">
        <v>52</v>
      </c>
      <c r="AN2007">
        <v>0</v>
      </c>
      <c r="AO2007">
        <v>0</v>
      </c>
      <c r="AP2007" t="s">
        <v>52</v>
      </c>
      <c r="AQ2007" t="s">
        <v>52</v>
      </c>
      <c r="AR2007" t="s">
        <v>62</v>
      </c>
      <c r="AS2007" t="s">
        <v>52</v>
      </c>
      <c r="AT2007" t="s">
        <v>52</v>
      </c>
      <c r="AU2007" t="s">
        <v>64</v>
      </c>
      <c r="AV2007" t="s">
        <v>62</v>
      </c>
      <c r="AW2007" t="s">
        <v>65</v>
      </c>
      <c r="AX2007" t="s">
        <v>66</v>
      </c>
      <c r="AY2007" t="s">
        <v>67</v>
      </c>
    </row>
    <row r="2008" spans="1:51" hidden="1" x14ac:dyDescent="0.25">
      <c r="A2008">
        <v>203815</v>
      </c>
      <c r="B2008" t="s">
        <v>7465</v>
      </c>
      <c r="C2008" t="e">
        <f>VLOOKUP(A2008,[1]Customer_payment_journal_line!$AL:$BO,30,0)</f>
        <v>#N/A</v>
      </c>
      <c r="D2008" t="s">
        <v>53</v>
      </c>
      <c r="E2008" t="s">
        <v>7461</v>
      </c>
      <c r="F2008" t="s">
        <v>7462</v>
      </c>
      <c r="G2008" t="s">
        <v>6741</v>
      </c>
      <c r="H2008" t="s">
        <v>69</v>
      </c>
      <c r="I2008" t="s">
        <v>1406</v>
      </c>
      <c r="J2008" t="s">
        <v>7463</v>
      </c>
      <c r="K2008" t="s">
        <v>7464</v>
      </c>
      <c r="L2008" t="s">
        <v>52</v>
      </c>
      <c r="M2008">
        <v>0</v>
      </c>
      <c r="N2008">
        <v>175</v>
      </c>
      <c r="O2008" t="s">
        <v>126</v>
      </c>
      <c r="P2008">
        <v>5285</v>
      </c>
      <c r="Q2008" t="s">
        <v>52</v>
      </c>
      <c r="R2008" t="s">
        <v>52</v>
      </c>
      <c r="S2008" t="s">
        <v>52</v>
      </c>
      <c r="T2008" t="s">
        <v>52</v>
      </c>
      <c r="U2008" t="s">
        <v>52</v>
      </c>
      <c r="V2008" t="s">
        <v>62</v>
      </c>
      <c r="W2008" t="s">
        <v>52</v>
      </c>
      <c r="Y2008" t="s">
        <v>1408</v>
      </c>
      <c r="Z2008" t="s">
        <v>62</v>
      </c>
      <c r="AB2008" t="s">
        <v>7466</v>
      </c>
      <c r="AE2008" t="s">
        <v>7467</v>
      </c>
      <c r="AF2008" t="s">
        <v>52</v>
      </c>
      <c r="AH2008">
        <v>0</v>
      </c>
      <c r="AI2008">
        <v>0</v>
      </c>
      <c r="AJ2008" t="s">
        <v>52</v>
      </c>
      <c r="AK2008">
        <v>0</v>
      </c>
      <c r="AL2008" t="s">
        <v>52</v>
      </c>
      <c r="AM2008" t="s">
        <v>52</v>
      </c>
      <c r="AN2008">
        <v>0</v>
      </c>
      <c r="AO2008">
        <v>0</v>
      </c>
      <c r="AP2008" t="s">
        <v>52</v>
      </c>
      <c r="AQ2008" t="s">
        <v>52</v>
      </c>
      <c r="AR2008" t="s">
        <v>62</v>
      </c>
      <c r="AS2008" t="s">
        <v>52</v>
      </c>
      <c r="AT2008" t="s">
        <v>74</v>
      </c>
      <c r="AU2008" t="s">
        <v>64</v>
      </c>
      <c r="AV2008" t="s">
        <v>62</v>
      </c>
      <c r="AW2008" t="s">
        <v>65</v>
      </c>
      <c r="AX2008" t="s">
        <v>66</v>
      </c>
      <c r="AY2008" t="s">
        <v>67</v>
      </c>
    </row>
    <row r="2009" spans="1:51" hidden="1" x14ac:dyDescent="0.25">
      <c r="A2009">
        <v>406234</v>
      </c>
      <c r="B2009" t="s">
        <v>7468</v>
      </c>
      <c r="C2009" t="e">
        <f>VLOOKUP(A2009,[1]Customer_payment_journal_line!$AL:$BO,30,0)</f>
        <v>#N/A</v>
      </c>
      <c r="D2009" t="s">
        <v>53</v>
      </c>
      <c r="E2009" t="s">
        <v>7469</v>
      </c>
      <c r="F2009" t="s">
        <v>7470</v>
      </c>
      <c r="G2009" t="s">
        <v>6741</v>
      </c>
      <c r="H2009" t="s">
        <v>57</v>
      </c>
      <c r="I2009" t="s">
        <v>58</v>
      </c>
      <c r="J2009" t="s">
        <v>7471</v>
      </c>
      <c r="K2009" t="s">
        <v>5550</v>
      </c>
      <c r="L2009" t="s">
        <v>52</v>
      </c>
      <c r="M2009">
        <v>21534.14</v>
      </c>
      <c r="N2009">
        <v>0</v>
      </c>
      <c r="O2009" t="s">
        <v>61</v>
      </c>
      <c r="P2009">
        <v>100</v>
      </c>
      <c r="Q2009" t="s">
        <v>52</v>
      </c>
      <c r="R2009" t="s">
        <v>52</v>
      </c>
      <c r="S2009" t="s">
        <v>52</v>
      </c>
      <c r="T2009" t="s">
        <v>52</v>
      </c>
      <c r="U2009" t="s">
        <v>52</v>
      </c>
      <c r="V2009" t="s">
        <v>62</v>
      </c>
      <c r="W2009" t="s">
        <v>63</v>
      </c>
      <c r="Y2009" t="s">
        <v>52</v>
      </c>
      <c r="AB2009" t="s">
        <v>52</v>
      </c>
      <c r="AE2009" t="s">
        <v>52</v>
      </c>
      <c r="AF2009" t="s">
        <v>52</v>
      </c>
      <c r="AH2009">
        <v>0</v>
      </c>
      <c r="AI2009">
        <v>0</v>
      </c>
      <c r="AJ2009" t="s">
        <v>52</v>
      </c>
      <c r="AK2009">
        <v>0</v>
      </c>
      <c r="AL2009" t="s">
        <v>52</v>
      </c>
      <c r="AM2009" t="s">
        <v>52</v>
      </c>
      <c r="AN2009">
        <v>0</v>
      </c>
      <c r="AO2009">
        <v>0</v>
      </c>
      <c r="AP2009" t="s">
        <v>52</v>
      </c>
      <c r="AQ2009" t="s">
        <v>52</v>
      </c>
      <c r="AR2009" t="s">
        <v>62</v>
      </c>
      <c r="AS2009" t="s">
        <v>52</v>
      </c>
      <c r="AT2009" t="s">
        <v>52</v>
      </c>
      <c r="AU2009" t="s">
        <v>64</v>
      </c>
      <c r="AV2009" t="s">
        <v>62</v>
      </c>
      <c r="AW2009" t="s">
        <v>65</v>
      </c>
      <c r="AX2009" t="s">
        <v>66</v>
      </c>
      <c r="AY2009" t="s">
        <v>67</v>
      </c>
    </row>
    <row r="2010" spans="1:51" hidden="1" x14ac:dyDescent="0.25">
      <c r="A2010">
        <v>406234</v>
      </c>
      <c r="B2010" t="s">
        <v>7472</v>
      </c>
      <c r="C2010" t="e">
        <f>VLOOKUP(A2010,[1]Customer_payment_journal_line!$AL:$BO,30,0)</f>
        <v>#N/A</v>
      </c>
      <c r="D2010" t="s">
        <v>53</v>
      </c>
      <c r="E2010" t="s">
        <v>7469</v>
      </c>
      <c r="F2010" t="s">
        <v>7470</v>
      </c>
      <c r="G2010" t="s">
        <v>6741</v>
      </c>
      <c r="H2010" t="s">
        <v>69</v>
      </c>
      <c r="I2010" t="s">
        <v>7473</v>
      </c>
      <c r="J2010" t="s">
        <v>7471</v>
      </c>
      <c r="K2010" t="s">
        <v>5550</v>
      </c>
      <c r="L2010" t="s">
        <v>52</v>
      </c>
      <c r="M2010">
        <v>0</v>
      </c>
      <c r="N2010">
        <v>21534.14</v>
      </c>
      <c r="O2010" t="s">
        <v>61</v>
      </c>
      <c r="P2010">
        <v>100</v>
      </c>
      <c r="Q2010" t="s">
        <v>52</v>
      </c>
      <c r="R2010" t="s">
        <v>52</v>
      </c>
      <c r="S2010" t="s">
        <v>52</v>
      </c>
      <c r="T2010" t="s">
        <v>52</v>
      </c>
      <c r="U2010" t="s">
        <v>52</v>
      </c>
      <c r="V2010" t="s">
        <v>62</v>
      </c>
      <c r="W2010" t="s">
        <v>52</v>
      </c>
      <c r="Y2010" t="s">
        <v>7474</v>
      </c>
      <c r="Z2010" t="s">
        <v>62</v>
      </c>
      <c r="AB2010" t="s">
        <v>7475</v>
      </c>
      <c r="AE2010" t="s">
        <v>7476</v>
      </c>
      <c r="AF2010" t="s">
        <v>52</v>
      </c>
      <c r="AH2010">
        <v>0</v>
      </c>
      <c r="AI2010">
        <v>0</v>
      </c>
      <c r="AJ2010" t="s">
        <v>52</v>
      </c>
      <c r="AK2010">
        <v>0</v>
      </c>
      <c r="AL2010" t="s">
        <v>52</v>
      </c>
      <c r="AM2010" t="s">
        <v>52</v>
      </c>
      <c r="AN2010">
        <v>0</v>
      </c>
      <c r="AO2010">
        <v>0</v>
      </c>
      <c r="AP2010" t="s">
        <v>52</v>
      </c>
      <c r="AQ2010" t="s">
        <v>52</v>
      </c>
      <c r="AR2010" t="s">
        <v>62</v>
      </c>
      <c r="AS2010" t="s">
        <v>52</v>
      </c>
      <c r="AT2010" t="s">
        <v>74</v>
      </c>
      <c r="AU2010" t="s">
        <v>64</v>
      </c>
      <c r="AV2010" t="s">
        <v>62</v>
      </c>
      <c r="AW2010" t="s">
        <v>65</v>
      </c>
      <c r="AX2010" t="s">
        <v>66</v>
      </c>
      <c r="AY2010" t="s">
        <v>67</v>
      </c>
    </row>
    <row r="2011" spans="1:51" hidden="1" x14ac:dyDescent="0.25">
      <c r="A2011">
        <v>406235</v>
      </c>
      <c r="B2011" t="s">
        <v>7477</v>
      </c>
      <c r="C2011" t="e">
        <f>VLOOKUP(A2011,[1]Customer_payment_journal_line!$AL:$BO,30,0)</f>
        <v>#N/A</v>
      </c>
      <c r="D2011" t="s">
        <v>53</v>
      </c>
      <c r="E2011" t="s">
        <v>7478</v>
      </c>
      <c r="F2011" t="s">
        <v>7479</v>
      </c>
      <c r="G2011" t="s">
        <v>6741</v>
      </c>
      <c r="H2011" t="s">
        <v>57</v>
      </c>
      <c r="I2011" t="s">
        <v>58</v>
      </c>
      <c r="J2011" t="s">
        <v>7471</v>
      </c>
      <c r="K2011" t="s">
        <v>5550</v>
      </c>
      <c r="L2011" t="s">
        <v>52</v>
      </c>
      <c r="M2011">
        <v>855</v>
      </c>
      <c r="N2011">
        <v>0</v>
      </c>
      <c r="O2011" t="s">
        <v>61</v>
      </c>
      <c r="P2011">
        <v>100</v>
      </c>
      <c r="Q2011" t="s">
        <v>52</v>
      </c>
      <c r="R2011" t="s">
        <v>52</v>
      </c>
      <c r="S2011" t="s">
        <v>52</v>
      </c>
      <c r="T2011" t="s">
        <v>52</v>
      </c>
      <c r="U2011" t="s">
        <v>52</v>
      </c>
      <c r="V2011" t="s">
        <v>62</v>
      </c>
      <c r="W2011" t="s">
        <v>63</v>
      </c>
      <c r="Y2011" t="s">
        <v>52</v>
      </c>
      <c r="AB2011" t="s">
        <v>52</v>
      </c>
      <c r="AE2011" t="s">
        <v>52</v>
      </c>
      <c r="AF2011" t="s">
        <v>52</v>
      </c>
      <c r="AH2011">
        <v>0</v>
      </c>
      <c r="AI2011">
        <v>0</v>
      </c>
      <c r="AJ2011" t="s">
        <v>52</v>
      </c>
      <c r="AK2011">
        <v>0</v>
      </c>
      <c r="AL2011" t="s">
        <v>52</v>
      </c>
      <c r="AM2011" t="s">
        <v>52</v>
      </c>
      <c r="AN2011">
        <v>0</v>
      </c>
      <c r="AO2011">
        <v>0</v>
      </c>
      <c r="AP2011" t="s">
        <v>52</v>
      </c>
      <c r="AQ2011" t="s">
        <v>52</v>
      </c>
      <c r="AR2011" t="s">
        <v>62</v>
      </c>
      <c r="AS2011" t="s">
        <v>52</v>
      </c>
      <c r="AT2011" t="s">
        <v>52</v>
      </c>
      <c r="AU2011" t="s">
        <v>64</v>
      </c>
      <c r="AV2011" t="s">
        <v>62</v>
      </c>
      <c r="AW2011" t="s">
        <v>65</v>
      </c>
      <c r="AX2011" t="s">
        <v>66</v>
      </c>
      <c r="AY2011" t="s">
        <v>67</v>
      </c>
    </row>
    <row r="2012" spans="1:51" hidden="1" x14ac:dyDescent="0.25">
      <c r="A2012">
        <v>406235</v>
      </c>
      <c r="B2012" t="s">
        <v>7480</v>
      </c>
      <c r="C2012" t="e">
        <f>VLOOKUP(A2012,[1]Customer_payment_journal_line!$AL:$BO,30,0)</f>
        <v>#N/A</v>
      </c>
      <c r="D2012" t="s">
        <v>53</v>
      </c>
      <c r="E2012" t="s">
        <v>7478</v>
      </c>
      <c r="F2012" t="s">
        <v>7479</v>
      </c>
      <c r="G2012" t="s">
        <v>6741</v>
      </c>
      <c r="H2012" t="s">
        <v>69</v>
      </c>
      <c r="I2012" t="s">
        <v>7473</v>
      </c>
      <c r="J2012" t="s">
        <v>7471</v>
      </c>
      <c r="K2012" t="s">
        <v>5550</v>
      </c>
      <c r="L2012" t="s">
        <v>52</v>
      </c>
      <c r="M2012">
        <v>0</v>
      </c>
      <c r="N2012">
        <v>855</v>
      </c>
      <c r="O2012" t="s">
        <v>61</v>
      </c>
      <c r="P2012">
        <v>100</v>
      </c>
      <c r="Q2012" t="s">
        <v>52</v>
      </c>
      <c r="R2012" t="s">
        <v>52</v>
      </c>
      <c r="S2012" t="s">
        <v>52</v>
      </c>
      <c r="T2012" t="s">
        <v>52</v>
      </c>
      <c r="U2012" t="s">
        <v>52</v>
      </c>
      <c r="V2012" t="s">
        <v>62</v>
      </c>
      <c r="W2012" t="s">
        <v>52</v>
      </c>
      <c r="Y2012" t="s">
        <v>7474</v>
      </c>
      <c r="Z2012" t="s">
        <v>62</v>
      </c>
      <c r="AB2012" t="s">
        <v>7481</v>
      </c>
      <c r="AE2012" t="s">
        <v>7482</v>
      </c>
      <c r="AF2012" t="s">
        <v>52</v>
      </c>
      <c r="AH2012">
        <v>0</v>
      </c>
      <c r="AI2012">
        <v>0</v>
      </c>
      <c r="AJ2012" t="s">
        <v>52</v>
      </c>
      <c r="AK2012">
        <v>0</v>
      </c>
      <c r="AL2012" t="s">
        <v>52</v>
      </c>
      <c r="AM2012" t="s">
        <v>52</v>
      </c>
      <c r="AN2012">
        <v>0</v>
      </c>
      <c r="AO2012">
        <v>0</v>
      </c>
      <c r="AP2012" t="s">
        <v>52</v>
      </c>
      <c r="AQ2012" t="s">
        <v>52</v>
      </c>
      <c r="AR2012" t="s">
        <v>62</v>
      </c>
      <c r="AS2012" t="s">
        <v>52</v>
      </c>
      <c r="AT2012" t="s">
        <v>74</v>
      </c>
      <c r="AU2012" t="s">
        <v>64</v>
      </c>
      <c r="AV2012" t="s">
        <v>62</v>
      </c>
      <c r="AW2012" t="s">
        <v>65</v>
      </c>
      <c r="AX2012" t="s">
        <v>66</v>
      </c>
      <c r="AY2012" t="s">
        <v>67</v>
      </c>
    </row>
    <row r="2013" spans="1:51" hidden="1" x14ac:dyDescent="0.25">
      <c r="A2013">
        <v>203821</v>
      </c>
      <c r="B2013" t="s">
        <v>7483</v>
      </c>
      <c r="C2013" t="e">
        <f>VLOOKUP(A2013,[1]Customer_payment_journal_line!$AL:$BO,30,0)</f>
        <v>#N/A</v>
      </c>
      <c r="D2013" t="s">
        <v>53</v>
      </c>
      <c r="E2013" t="s">
        <v>7484</v>
      </c>
      <c r="F2013" t="s">
        <v>7485</v>
      </c>
      <c r="G2013" t="s">
        <v>6741</v>
      </c>
      <c r="H2013" t="s">
        <v>57</v>
      </c>
      <c r="I2013" t="s">
        <v>58</v>
      </c>
      <c r="J2013" t="s">
        <v>3456</v>
      </c>
      <c r="K2013" t="s">
        <v>6961</v>
      </c>
      <c r="L2013" t="s">
        <v>52</v>
      </c>
      <c r="M2013">
        <v>855</v>
      </c>
      <c r="N2013">
        <v>0</v>
      </c>
      <c r="O2013" t="s">
        <v>61</v>
      </c>
      <c r="P2013">
        <v>100</v>
      </c>
      <c r="Q2013" t="s">
        <v>52</v>
      </c>
      <c r="R2013" t="s">
        <v>52</v>
      </c>
      <c r="S2013" t="s">
        <v>52</v>
      </c>
      <c r="T2013" t="s">
        <v>52</v>
      </c>
      <c r="U2013" t="s">
        <v>52</v>
      </c>
      <c r="V2013" t="s">
        <v>62</v>
      </c>
      <c r="W2013" t="s">
        <v>63</v>
      </c>
      <c r="Y2013" t="s">
        <v>52</v>
      </c>
      <c r="AB2013" t="s">
        <v>52</v>
      </c>
      <c r="AE2013" t="s">
        <v>52</v>
      </c>
      <c r="AF2013" t="s">
        <v>52</v>
      </c>
      <c r="AH2013">
        <v>0</v>
      </c>
      <c r="AI2013">
        <v>0</v>
      </c>
      <c r="AJ2013" t="s">
        <v>52</v>
      </c>
      <c r="AK2013">
        <v>0</v>
      </c>
      <c r="AL2013" t="s">
        <v>52</v>
      </c>
      <c r="AM2013" t="s">
        <v>52</v>
      </c>
      <c r="AN2013">
        <v>0</v>
      </c>
      <c r="AO2013">
        <v>0</v>
      </c>
      <c r="AP2013" t="s">
        <v>52</v>
      </c>
      <c r="AQ2013" t="s">
        <v>52</v>
      </c>
      <c r="AR2013" t="s">
        <v>62</v>
      </c>
      <c r="AS2013" t="s">
        <v>52</v>
      </c>
      <c r="AT2013" t="s">
        <v>52</v>
      </c>
      <c r="AU2013" t="s">
        <v>64</v>
      </c>
      <c r="AV2013" t="s">
        <v>62</v>
      </c>
      <c r="AW2013" t="s">
        <v>65</v>
      </c>
      <c r="AX2013" t="s">
        <v>66</v>
      </c>
      <c r="AY2013" t="s">
        <v>67</v>
      </c>
    </row>
    <row r="2014" spans="1:51" hidden="1" x14ac:dyDescent="0.25">
      <c r="A2014">
        <v>203821</v>
      </c>
      <c r="B2014" t="s">
        <v>7486</v>
      </c>
      <c r="C2014" t="e">
        <f>VLOOKUP(A2014,[1]Customer_payment_journal_line!$AL:$BO,30,0)</f>
        <v>#N/A</v>
      </c>
      <c r="D2014" t="s">
        <v>53</v>
      </c>
      <c r="E2014" t="s">
        <v>7484</v>
      </c>
      <c r="F2014" t="s">
        <v>7485</v>
      </c>
      <c r="G2014" t="s">
        <v>6741</v>
      </c>
      <c r="H2014" t="s">
        <v>69</v>
      </c>
      <c r="I2014" t="s">
        <v>769</v>
      </c>
      <c r="J2014" t="s">
        <v>3456</v>
      </c>
      <c r="K2014" t="s">
        <v>6961</v>
      </c>
      <c r="L2014" t="s">
        <v>52</v>
      </c>
      <c r="M2014">
        <v>0</v>
      </c>
      <c r="N2014">
        <v>855</v>
      </c>
      <c r="O2014" t="s">
        <v>61</v>
      </c>
      <c r="P2014">
        <v>100</v>
      </c>
      <c r="Q2014" t="s">
        <v>52</v>
      </c>
      <c r="R2014" t="s">
        <v>52</v>
      </c>
      <c r="S2014" t="s">
        <v>52</v>
      </c>
      <c r="T2014" t="s">
        <v>52</v>
      </c>
      <c r="U2014" t="s">
        <v>52</v>
      </c>
      <c r="V2014" t="s">
        <v>62</v>
      </c>
      <c r="W2014" t="s">
        <v>52</v>
      </c>
      <c r="Y2014" t="s">
        <v>771</v>
      </c>
      <c r="Z2014" t="s">
        <v>62</v>
      </c>
      <c r="AB2014" t="s">
        <v>7487</v>
      </c>
      <c r="AE2014" t="s">
        <v>7488</v>
      </c>
      <c r="AF2014" t="s">
        <v>52</v>
      </c>
      <c r="AH2014">
        <v>0</v>
      </c>
      <c r="AI2014">
        <v>0</v>
      </c>
      <c r="AJ2014" t="s">
        <v>52</v>
      </c>
      <c r="AK2014">
        <v>0</v>
      </c>
      <c r="AL2014" t="s">
        <v>52</v>
      </c>
      <c r="AM2014" t="s">
        <v>52</v>
      </c>
      <c r="AN2014">
        <v>0</v>
      </c>
      <c r="AO2014">
        <v>0</v>
      </c>
      <c r="AP2014" t="s">
        <v>52</v>
      </c>
      <c r="AQ2014" t="s">
        <v>52</v>
      </c>
      <c r="AR2014" t="s">
        <v>62</v>
      </c>
      <c r="AS2014" t="s">
        <v>52</v>
      </c>
      <c r="AT2014" t="s">
        <v>74</v>
      </c>
      <c r="AU2014" t="s">
        <v>64</v>
      </c>
      <c r="AV2014" t="s">
        <v>62</v>
      </c>
      <c r="AW2014" t="s">
        <v>65</v>
      </c>
      <c r="AX2014" t="s">
        <v>66</v>
      </c>
      <c r="AY2014" t="s">
        <v>67</v>
      </c>
    </row>
    <row r="2015" spans="1:51" hidden="1" x14ac:dyDescent="0.25">
      <c r="A2015">
        <v>203824</v>
      </c>
      <c r="B2015" t="s">
        <v>7489</v>
      </c>
      <c r="C2015" t="e">
        <f>VLOOKUP(A2015,[1]Customer_payment_journal_line!$AL:$BO,30,0)</f>
        <v>#N/A</v>
      </c>
      <c r="D2015" t="s">
        <v>53</v>
      </c>
      <c r="E2015" t="s">
        <v>7490</v>
      </c>
      <c r="F2015" t="s">
        <v>7491</v>
      </c>
      <c r="G2015" t="s">
        <v>6741</v>
      </c>
      <c r="H2015" t="s">
        <v>57</v>
      </c>
      <c r="I2015" t="s">
        <v>516</v>
      </c>
      <c r="J2015" t="s">
        <v>7492</v>
      </c>
      <c r="K2015" t="s">
        <v>6970</v>
      </c>
      <c r="L2015" t="s">
        <v>52</v>
      </c>
      <c r="M2015">
        <v>80</v>
      </c>
      <c r="N2015">
        <v>0</v>
      </c>
      <c r="O2015" t="s">
        <v>178</v>
      </c>
      <c r="P2015">
        <v>5085</v>
      </c>
      <c r="Q2015" t="s">
        <v>52</v>
      </c>
      <c r="R2015" t="s">
        <v>52</v>
      </c>
      <c r="S2015" t="s">
        <v>52</v>
      </c>
      <c r="T2015" t="s">
        <v>52</v>
      </c>
      <c r="U2015" t="s">
        <v>52</v>
      </c>
      <c r="V2015" t="s">
        <v>62</v>
      </c>
      <c r="W2015" t="s">
        <v>63</v>
      </c>
      <c r="Y2015" t="s">
        <v>52</v>
      </c>
      <c r="AB2015" t="s">
        <v>52</v>
      </c>
      <c r="AE2015" t="s">
        <v>52</v>
      </c>
      <c r="AF2015" t="s">
        <v>52</v>
      </c>
      <c r="AH2015">
        <v>0</v>
      </c>
      <c r="AI2015">
        <v>0</v>
      </c>
      <c r="AJ2015" t="s">
        <v>52</v>
      </c>
      <c r="AK2015">
        <v>0</v>
      </c>
      <c r="AL2015" t="s">
        <v>52</v>
      </c>
      <c r="AM2015" t="s">
        <v>52</v>
      </c>
      <c r="AN2015">
        <v>0</v>
      </c>
      <c r="AO2015">
        <v>0</v>
      </c>
      <c r="AP2015" t="s">
        <v>52</v>
      </c>
      <c r="AQ2015" t="s">
        <v>52</v>
      </c>
      <c r="AR2015" t="s">
        <v>62</v>
      </c>
      <c r="AS2015" t="s">
        <v>52</v>
      </c>
      <c r="AT2015" t="s">
        <v>52</v>
      </c>
      <c r="AU2015" t="s">
        <v>64</v>
      </c>
      <c r="AV2015" t="s">
        <v>62</v>
      </c>
      <c r="AW2015" t="s">
        <v>65</v>
      </c>
      <c r="AX2015" t="s">
        <v>66</v>
      </c>
      <c r="AY2015" t="s">
        <v>67</v>
      </c>
    </row>
    <row r="2016" spans="1:51" hidden="1" x14ac:dyDescent="0.25">
      <c r="A2016">
        <v>203824</v>
      </c>
      <c r="B2016" t="s">
        <v>7493</v>
      </c>
      <c r="C2016" t="e">
        <f>VLOOKUP(A2016,[1]Customer_payment_journal_line!$AL:$BO,30,0)</f>
        <v>#N/A</v>
      </c>
      <c r="D2016" t="s">
        <v>53</v>
      </c>
      <c r="E2016" t="s">
        <v>7490</v>
      </c>
      <c r="F2016" t="s">
        <v>7491</v>
      </c>
      <c r="G2016" t="s">
        <v>6741</v>
      </c>
      <c r="H2016" t="s">
        <v>69</v>
      </c>
      <c r="I2016" t="s">
        <v>7494</v>
      </c>
      <c r="J2016" t="s">
        <v>7492</v>
      </c>
      <c r="K2016" t="s">
        <v>6970</v>
      </c>
      <c r="L2016" t="s">
        <v>52</v>
      </c>
      <c r="M2016">
        <v>0</v>
      </c>
      <c r="N2016">
        <v>80</v>
      </c>
      <c r="O2016" t="s">
        <v>178</v>
      </c>
      <c r="P2016">
        <v>5085</v>
      </c>
      <c r="Q2016" t="s">
        <v>52</v>
      </c>
      <c r="R2016" t="s">
        <v>52</v>
      </c>
      <c r="S2016" t="s">
        <v>52</v>
      </c>
      <c r="T2016" t="s">
        <v>52</v>
      </c>
      <c r="U2016" t="s">
        <v>52</v>
      </c>
      <c r="V2016" t="s">
        <v>62</v>
      </c>
      <c r="W2016" t="s">
        <v>52</v>
      </c>
      <c r="Y2016" t="s">
        <v>7495</v>
      </c>
      <c r="Z2016" t="s">
        <v>62</v>
      </c>
      <c r="AB2016" t="s">
        <v>7496</v>
      </c>
      <c r="AE2016" t="s">
        <v>7497</v>
      </c>
      <c r="AF2016" t="s">
        <v>52</v>
      </c>
      <c r="AH2016">
        <v>0</v>
      </c>
      <c r="AI2016">
        <v>0</v>
      </c>
      <c r="AJ2016" t="s">
        <v>52</v>
      </c>
      <c r="AK2016">
        <v>0</v>
      </c>
      <c r="AL2016" t="s">
        <v>52</v>
      </c>
      <c r="AM2016" t="s">
        <v>52</v>
      </c>
      <c r="AN2016">
        <v>0</v>
      </c>
      <c r="AO2016">
        <v>0</v>
      </c>
      <c r="AP2016" t="s">
        <v>52</v>
      </c>
      <c r="AQ2016" t="s">
        <v>52</v>
      </c>
      <c r="AR2016" t="s">
        <v>62</v>
      </c>
      <c r="AS2016" t="s">
        <v>52</v>
      </c>
      <c r="AT2016" t="s">
        <v>74</v>
      </c>
      <c r="AU2016" t="s">
        <v>64</v>
      </c>
      <c r="AV2016" t="s">
        <v>62</v>
      </c>
      <c r="AW2016" t="s">
        <v>65</v>
      </c>
      <c r="AX2016" t="s">
        <v>66</v>
      </c>
      <c r="AY2016" t="s">
        <v>67</v>
      </c>
    </row>
    <row r="2017" spans="1:51" hidden="1" x14ac:dyDescent="0.25">
      <c r="A2017">
        <v>406238</v>
      </c>
      <c r="B2017" t="s">
        <v>7498</v>
      </c>
      <c r="C2017" t="e">
        <f>VLOOKUP(A2017,[1]Customer_payment_journal_line!$AL:$BO,30,0)</f>
        <v>#N/A</v>
      </c>
      <c r="D2017" t="s">
        <v>53</v>
      </c>
      <c r="E2017" t="s">
        <v>7499</v>
      </c>
      <c r="F2017" t="s">
        <v>7500</v>
      </c>
      <c r="G2017" t="s">
        <v>6741</v>
      </c>
      <c r="H2017" t="s">
        <v>57</v>
      </c>
      <c r="I2017" t="s">
        <v>1349</v>
      </c>
      <c r="J2017" t="s">
        <v>7501</v>
      </c>
      <c r="K2017" t="s">
        <v>3266</v>
      </c>
      <c r="L2017" t="s">
        <v>52</v>
      </c>
      <c r="M2017">
        <v>5842.5</v>
      </c>
      <c r="N2017">
        <v>0</v>
      </c>
      <c r="O2017" t="s">
        <v>61</v>
      </c>
      <c r="P2017">
        <v>100</v>
      </c>
      <c r="Q2017" t="s">
        <v>52</v>
      </c>
      <c r="R2017" t="s">
        <v>52</v>
      </c>
      <c r="S2017" t="s">
        <v>52</v>
      </c>
      <c r="T2017" t="s">
        <v>52</v>
      </c>
      <c r="U2017" t="s">
        <v>52</v>
      </c>
      <c r="V2017" t="s">
        <v>62</v>
      </c>
      <c r="W2017" t="s">
        <v>63</v>
      </c>
      <c r="Y2017" t="s">
        <v>52</v>
      </c>
      <c r="AB2017" t="s">
        <v>52</v>
      </c>
      <c r="AE2017" t="s">
        <v>52</v>
      </c>
      <c r="AF2017" t="s">
        <v>52</v>
      </c>
      <c r="AH2017">
        <v>0</v>
      </c>
      <c r="AI2017">
        <v>0</v>
      </c>
      <c r="AJ2017" t="s">
        <v>52</v>
      </c>
      <c r="AK2017">
        <v>0</v>
      </c>
      <c r="AL2017" t="s">
        <v>52</v>
      </c>
      <c r="AM2017" t="s">
        <v>52</v>
      </c>
      <c r="AN2017">
        <v>0</v>
      </c>
      <c r="AO2017">
        <v>0</v>
      </c>
      <c r="AP2017" t="s">
        <v>52</v>
      </c>
      <c r="AQ2017" t="s">
        <v>52</v>
      </c>
      <c r="AR2017" t="s">
        <v>62</v>
      </c>
      <c r="AS2017" t="s">
        <v>52</v>
      </c>
      <c r="AT2017" t="s">
        <v>52</v>
      </c>
      <c r="AU2017" t="s">
        <v>64</v>
      </c>
      <c r="AV2017" t="s">
        <v>62</v>
      </c>
      <c r="AW2017" t="s">
        <v>65</v>
      </c>
      <c r="AX2017" t="s">
        <v>66</v>
      </c>
      <c r="AY2017" t="s">
        <v>67</v>
      </c>
    </row>
    <row r="2018" spans="1:51" hidden="1" x14ac:dyDescent="0.25">
      <c r="A2018">
        <v>406238</v>
      </c>
      <c r="B2018" t="s">
        <v>7502</v>
      </c>
      <c r="C2018" t="e">
        <f>VLOOKUP(A2018,[1]Customer_payment_journal_line!$AL:$BO,30,0)</f>
        <v>#N/A</v>
      </c>
      <c r="D2018" t="s">
        <v>53</v>
      </c>
      <c r="E2018" t="s">
        <v>7499</v>
      </c>
      <c r="F2018" t="s">
        <v>7500</v>
      </c>
      <c r="G2018" t="s">
        <v>6741</v>
      </c>
      <c r="H2018" t="s">
        <v>69</v>
      </c>
      <c r="I2018" t="s">
        <v>3268</v>
      </c>
      <c r="J2018" t="s">
        <v>7501</v>
      </c>
      <c r="K2018" t="s">
        <v>3266</v>
      </c>
      <c r="L2018" t="s">
        <v>52</v>
      </c>
      <c r="M2018">
        <v>0</v>
      </c>
      <c r="N2018">
        <v>5842.5</v>
      </c>
      <c r="O2018" t="s">
        <v>61</v>
      </c>
      <c r="P2018">
        <v>100</v>
      </c>
      <c r="Q2018" t="s">
        <v>52</v>
      </c>
      <c r="R2018" t="s">
        <v>52</v>
      </c>
      <c r="S2018" t="s">
        <v>52</v>
      </c>
      <c r="T2018" t="s">
        <v>52</v>
      </c>
      <c r="U2018" t="s">
        <v>52</v>
      </c>
      <c r="V2018" t="s">
        <v>62</v>
      </c>
      <c r="W2018" t="s">
        <v>52</v>
      </c>
      <c r="Y2018" t="s">
        <v>3269</v>
      </c>
      <c r="Z2018" t="s">
        <v>62</v>
      </c>
      <c r="AB2018" t="s">
        <v>7503</v>
      </c>
      <c r="AE2018" t="s">
        <v>7504</v>
      </c>
      <c r="AF2018" t="s">
        <v>52</v>
      </c>
      <c r="AH2018">
        <v>0</v>
      </c>
      <c r="AI2018">
        <v>0</v>
      </c>
      <c r="AJ2018" t="s">
        <v>52</v>
      </c>
      <c r="AK2018">
        <v>0</v>
      </c>
      <c r="AL2018" t="s">
        <v>52</v>
      </c>
      <c r="AM2018" t="s">
        <v>52</v>
      </c>
      <c r="AN2018">
        <v>0</v>
      </c>
      <c r="AO2018">
        <v>0</v>
      </c>
      <c r="AP2018" t="s">
        <v>52</v>
      </c>
      <c r="AQ2018" t="s">
        <v>52</v>
      </c>
      <c r="AR2018" t="s">
        <v>62</v>
      </c>
      <c r="AS2018" t="s">
        <v>52</v>
      </c>
      <c r="AT2018" t="s">
        <v>74</v>
      </c>
      <c r="AU2018" t="s">
        <v>64</v>
      </c>
      <c r="AV2018" t="s">
        <v>62</v>
      </c>
      <c r="AW2018" t="s">
        <v>65</v>
      </c>
      <c r="AX2018" t="s">
        <v>66</v>
      </c>
      <c r="AY2018" t="s">
        <v>67</v>
      </c>
    </row>
    <row r="2019" spans="1:51" hidden="1" x14ac:dyDescent="0.25">
      <c r="A2019">
        <v>317166</v>
      </c>
      <c r="B2019" t="s">
        <v>7505</v>
      </c>
      <c r="C2019" t="e">
        <f>VLOOKUP(A2019,[1]Customer_payment_journal_line!$AL:$BO,30,0)</f>
        <v>#N/A</v>
      </c>
      <c r="D2019" t="s">
        <v>53</v>
      </c>
      <c r="E2019" t="s">
        <v>7506</v>
      </c>
      <c r="F2019" t="s">
        <v>7507</v>
      </c>
      <c r="G2019" t="s">
        <v>6741</v>
      </c>
      <c r="H2019" t="s">
        <v>201</v>
      </c>
      <c r="I2019" t="s">
        <v>516</v>
      </c>
      <c r="J2019" t="s">
        <v>202</v>
      </c>
      <c r="K2019" t="s">
        <v>7508</v>
      </c>
      <c r="L2019" t="s">
        <v>52</v>
      </c>
      <c r="M2019">
        <v>18</v>
      </c>
      <c r="N2019">
        <v>0</v>
      </c>
      <c r="O2019" t="s">
        <v>178</v>
      </c>
      <c r="P2019">
        <v>5085</v>
      </c>
      <c r="Q2019" t="s">
        <v>52</v>
      </c>
      <c r="R2019" t="s">
        <v>52</v>
      </c>
      <c r="S2019" t="s">
        <v>52</v>
      </c>
      <c r="T2019" t="s">
        <v>52</v>
      </c>
      <c r="U2019" t="s">
        <v>52</v>
      </c>
      <c r="V2019" t="s">
        <v>62</v>
      </c>
      <c r="W2019" t="s">
        <v>63</v>
      </c>
      <c r="Y2019" t="s">
        <v>52</v>
      </c>
      <c r="AB2019" t="s">
        <v>7509</v>
      </c>
      <c r="AE2019" t="s">
        <v>7509</v>
      </c>
      <c r="AF2019" t="s">
        <v>52</v>
      </c>
      <c r="AH2019">
        <v>0</v>
      </c>
      <c r="AI2019">
        <v>0</v>
      </c>
      <c r="AJ2019" t="s">
        <v>52</v>
      </c>
      <c r="AK2019">
        <v>0</v>
      </c>
      <c r="AL2019" t="s">
        <v>52</v>
      </c>
      <c r="AM2019" t="s">
        <v>52</v>
      </c>
      <c r="AN2019">
        <v>0</v>
      </c>
      <c r="AO2019">
        <v>0</v>
      </c>
      <c r="AP2019" t="s">
        <v>52</v>
      </c>
      <c r="AQ2019" t="s">
        <v>52</v>
      </c>
      <c r="AR2019" t="s">
        <v>62</v>
      </c>
      <c r="AS2019" t="s">
        <v>52</v>
      </c>
      <c r="AT2019" t="s">
        <v>52</v>
      </c>
      <c r="AU2019" t="s">
        <v>64</v>
      </c>
      <c r="AV2019" t="s">
        <v>62</v>
      </c>
      <c r="AW2019" t="s">
        <v>65</v>
      </c>
      <c r="AX2019" t="s">
        <v>66</v>
      </c>
      <c r="AY2019" t="s">
        <v>67</v>
      </c>
    </row>
    <row r="2020" spans="1:51" hidden="1" x14ac:dyDescent="0.25">
      <c r="A2020">
        <v>317166</v>
      </c>
      <c r="B2020" t="s">
        <v>7510</v>
      </c>
      <c r="C2020" t="e">
        <f>VLOOKUP(A2020,[1]Customer_payment_journal_line!$AL:$BO,30,0)</f>
        <v>#N/A</v>
      </c>
      <c r="D2020" t="s">
        <v>53</v>
      </c>
      <c r="E2020" t="s">
        <v>7506</v>
      </c>
      <c r="F2020" t="s">
        <v>7507</v>
      </c>
      <c r="G2020" t="s">
        <v>6741</v>
      </c>
      <c r="H2020" t="s">
        <v>201</v>
      </c>
      <c r="I2020" t="s">
        <v>58</v>
      </c>
      <c r="J2020" t="s">
        <v>202</v>
      </c>
      <c r="K2020" t="s">
        <v>7508</v>
      </c>
      <c r="L2020" t="s">
        <v>52</v>
      </c>
      <c r="M2020">
        <v>636</v>
      </c>
      <c r="N2020">
        <v>0</v>
      </c>
      <c r="O2020" t="s">
        <v>61</v>
      </c>
      <c r="P2020">
        <v>100</v>
      </c>
      <c r="Q2020" t="s">
        <v>52</v>
      </c>
      <c r="R2020" t="s">
        <v>52</v>
      </c>
      <c r="S2020" t="s">
        <v>52</v>
      </c>
      <c r="T2020" t="s">
        <v>52</v>
      </c>
      <c r="U2020" t="s">
        <v>52</v>
      </c>
      <c r="V2020" t="s">
        <v>62</v>
      </c>
      <c r="W2020" t="s">
        <v>63</v>
      </c>
      <c r="Y2020" t="s">
        <v>52</v>
      </c>
      <c r="AB2020" t="s">
        <v>7509</v>
      </c>
      <c r="AE2020" t="s">
        <v>7509</v>
      </c>
      <c r="AF2020" t="s">
        <v>52</v>
      </c>
      <c r="AH2020">
        <v>0</v>
      </c>
      <c r="AI2020">
        <v>0</v>
      </c>
      <c r="AJ2020" t="s">
        <v>52</v>
      </c>
      <c r="AK2020">
        <v>0</v>
      </c>
      <c r="AL2020" t="s">
        <v>52</v>
      </c>
      <c r="AM2020" t="s">
        <v>52</v>
      </c>
      <c r="AN2020">
        <v>0</v>
      </c>
      <c r="AO2020">
        <v>0</v>
      </c>
      <c r="AP2020" t="s">
        <v>52</v>
      </c>
      <c r="AQ2020" t="s">
        <v>52</v>
      </c>
      <c r="AR2020" t="s">
        <v>62</v>
      </c>
      <c r="AS2020" t="s">
        <v>52</v>
      </c>
      <c r="AT2020" t="s">
        <v>52</v>
      </c>
      <c r="AU2020" t="s">
        <v>64</v>
      </c>
      <c r="AV2020" t="s">
        <v>62</v>
      </c>
      <c r="AW2020" t="s">
        <v>65</v>
      </c>
      <c r="AX2020" t="s">
        <v>66</v>
      </c>
      <c r="AY2020" t="s">
        <v>67</v>
      </c>
    </row>
    <row r="2021" spans="1:51" hidden="1" x14ac:dyDescent="0.25">
      <c r="A2021">
        <v>317166</v>
      </c>
      <c r="B2021" t="s">
        <v>7511</v>
      </c>
      <c r="C2021" t="e">
        <f>VLOOKUP(A2021,[1]Customer_payment_journal_line!$AL:$BO,30,0)</f>
        <v>#N/A</v>
      </c>
      <c r="D2021" t="s">
        <v>53</v>
      </c>
      <c r="E2021" t="s">
        <v>7506</v>
      </c>
      <c r="F2021" t="s">
        <v>7507</v>
      </c>
      <c r="G2021" t="s">
        <v>6741</v>
      </c>
      <c r="H2021" t="s">
        <v>69</v>
      </c>
      <c r="I2021" t="s">
        <v>4144</v>
      </c>
      <c r="J2021" t="s">
        <v>7512</v>
      </c>
      <c r="K2021" t="s">
        <v>7508</v>
      </c>
      <c r="L2021" t="s">
        <v>52</v>
      </c>
      <c r="M2021">
        <v>0</v>
      </c>
      <c r="N2021">
        <v>30</v>
      </c>
      <c r="O2021" t="s">
        <v>178</v>
      </c>
      <c r="P2021">
        <v>5085</v>
      </c>
      <c r="Q2021" t="s">
        <v>52</v>
      </c>
      <c r="R2021" t="s">
        <v>52</v>
      </c>
      <c r="S2021" t="s">
        <v>52</v>
      </c>
      <c r="T2021" t="s">
        <v>52</v>
      </c>
      <c r="U2021" t="s">
        <v>52</v>
      </c>
      <c r="V2021" t="s">
        <v>62</v>
      </c>
      <c r="W2021" t="s">
        <v>52</v>
      </c>
      <c r="Y2021" t="s">
        <v>4145</v>
      </c>
      <c r="Z2021" t="s">
        <v>62</v>
      </c>
      <c r="AB2021" t="s">
        <v>7509</v>
      </c>
      <c r="AE2021" t="s">
        <v>7509</v>
      </c>
      <c r="AF2021" t="s">
        <v>52</v>
      </c>
      <c r="AH2021">
        <v>0</v>
      </c>
      <c r="AI2021">
        <v>0</v>
      </c>
      <c r="AJ2021" t="s">
        <v>52</v>
      </c>
      <c r="AK2021">
        <v>0</v>
      </c>
      <c r="AL2021" t="s">
        <v>52</v>
      </c>
      <c r="AM2021" t="s">
        <v>52</v>
      </c>
      <c r="AN2021">
        <v>0</v>
      </c>
      <c r="AO2021">
        <v>0</v>
      </c>
      <c r="AP2021" t="s">
        <v>52</v>
      </c>
      <c r="AQ2021" t="s">
        <v>52</v>
      </c>
      <c r="AR2021" t="s">
        <v>62</v>
      </c>
      <c r="AS2021" t="s">
        <v>52</v>
      </c>
      <c r="AT2021" t="s">
        <v>74</v>
      </c>
      <c r="AU2021" t="s">
        <v>64</v>
      </c>
      <c r="AV2021" t="s">
        <v>62</v>
      </c>
      <c r="AW2021" t="s">
        <v>65</v>
      </c>
      <c r="AX2021" t="s">
        <v>66</v>
      </c>
      <c r="AY2021" t="s">
        <v>67</v>
      </c>
    </row>
    <row r="2022" spans="1:51" hidden="1" x14ac:dyDescent="0.25">
      <c r="A2022">
        <v>317166</v>
      </c>
      <c r="B2022" t="s">
        <v>7513</v>
      </c>
      <c r="C2022" t="e">
        <f>VLOOKUP(A2022,[1]Customer_payment_journal_line!$AL:$BO,30,0)</f>
        <v>#N/A</v>
      </c>
      <c r="D2022" t="s">
        <v>53</v>
      </c>
      <c r="E2022" t="s">
        <v>7506</v>
      </c>
      <c r="F2022" t="s">
        <v>7507</v>
      </c>
      <c r="G2022" t="s">
        <v>6741</v>
      </c>
      <c r="H2022" t="s">
        <v>210</v>
      </c>
      <c r="I2022" t="s">
        <v>7514</v>
      </c>
      <c r="J2022" t="s">
        <v>52</v>
      </c>
      <c r="K2022" t="s">
        <v>7508</v>
      </c>
      <c r="L2022" t="s">
        <v>52</v>
      </c>
      <c r="M2022">
        <v>0</v>
      </c>
      <c r="N2022">
        <v>25.8</v>
      </c>
      <c r="O2022" t="s">
        <v>61</v>
      </c>
      <c r="P2022">
        <v>100</v>
      </c>
      <c r="Q2022" t="s">
        <v>52</v>
      </c>
      <c r="R2022" t="s">
        <v>52</v>
      </c>
      <c r="S2022" t="s">
        <v>52</v>
      </c>
      <c r="T2022" t="s">
        <v>52</v>
      </c>
      <c r="U2022" t="s">
        <v>52</v>
      </c>
      <c r="V2022" t="s">
        <v>62</v>
      </c>
      <c r="W2022" t="s">
        <v>63</v>
      </c>
      <c r="Y2022" t="s">
        <v>4145</v>
      </c>
      <c r="AB2022" t="s">
        <v>7509</v>
      </c>
      <c r="AE2022" t="s">
        <v>7509</v>
      </c>
      <c r="AF2022" t="s">
        <v>52</v>
      </c>
      <c r="AH2022">
        <v>0</v>
      </c>
      <c r="AI2022">
        <v>0</v>
      </c>
      <c r="AJ2022" t="s">
        <v>52</v>
      </c>
      <c r="AK2022">
        <v>0</v>
      </c>
      <c r="AL2022" t="s">
        <v>52</v>
      </c>
      <c r="AM2022" t="s">
        <v>52</v>
      </c>
      <c r="AN2022">
        <v>0</v>
      </c>
      <c r="AO2022">
        <v>0</v>
      </c>
      <c r="AP2022" t="s">
        <v>52</v>
      </c>
      <c r="AQ2022" t="s">
        <v>52</v>
      </c>
      <c r="AR2022" t="s">
        <v>62</v>
      </c>
      <c r="AS2022" t="s">
        <v>52</v>
      </c>
      <c r="AT2022" t="s">
        <v>52</v>
      </c>
      <c r="AU2022" t="s">
        <v>64</v>
      </c>
      <c r="AV2022" t="s">
        <v>62</v>
      </c>
      <c r="AW2022" t="s">
        <v>65</v>
      </c>
      <c r="AX2022" t="s">
        <v>66</v>
      </c>
      <c r="AY2022" t="s">
        <v>67</v>
      </c>
    </row>
    <row r="2023" spans="1:51" hidden="1" x14ac:dyDescent="0.25">
      <c r="A2023">
        <v>203837</v>
      </c>
      <c r="B2023" t="s">
        <v>7515</v>
      </c>
      <c r="C2023" t="e">
        <f>VLOOKUP(A2023,[1]Customer_payment_journal_line!$AL:$BO,30,0)</f>
        <v>#N/A</v>
      </c>
      <c r="D2023" t="s">
        <v>53</v>
      </c>
      <c r="E2023" t="s">
        <v>7516</v>
      </c>
      <c r="F2023" t="s">
        <v>7517</v>
      </c>
      <c r="G2023" t="s">
        <v>6741</v>
      </c>
      <c r="H2023" t="s">
        <v>57</v>
      </c>
      <c r="I2023" t="s">
        <v>58</v>
      </c>
      <c r="J2023" t="s">
        <v>4141</v>
      </c>
      <c r="K2023" t="s">
        <v>7508</v>
      </c>
      <c r="L2023" t="s">
        <v>52</v>
      </c>
      <c r="M2023">
        <v>855</v>
      </c>
      <c r="N2023">
        <v>0</v>
      </c>
      <c r="O2023" t="s">
        <v>61</v>
      </c>
      <c r="P2023">
        <v>100</v>
      </c>
      <c r="Q2023" t="s">
        <v>52</v>
      </c>
      <c r="R2023" t="s">
        <v>52</v>
      </c>
      <c r="S2023" t="s">
        <v>52</v>
      </c>
      <c r="T2023" t="s">
        <v>52</v>
      </c>
      <c r="U2023" t="s">
        <v>52</v>
      </c>
      <c r="V2023" t="s">
        <v>62</v>
      </c>
      <c r="W2023" t="s">
        <v>63</v>
      </c>
      <c r="Y2023" t="s">
        <v>52</v>
      </c>
      <c r="AB2023" t="s">
        <v>52</v>
      </c>
      <c r="AE2023" t="s">
        <v>52</v>
      </c>
      <c r="AF2023" t="s">
        <v>52</v>
      </c>
      <c r="AH2023">
        <v>0</v>
      </c>
      <c r="AI2023">
        <v>0</v>
      </c>
      <c r="AJ2023" t="s">
        <v>52</v>
      </c>
      <c r="AK2023">
        <v>0</v>
      </c>
      <c r="AL2023" t="s">
        <v>52</v>
      </c>
      <c r="AM2023" t="s">
        <v>52</v>
      </c>
      <c r="AN2023">
        <v>0</v>
      </c>
      <c r="AO2023">
        <v>0</v>
      </c>
      <c r="AP2023" t="s">
        <v>52</v>
      </c>
      <c r="AQ2023" t="s">
        <v>52</v>
      </c>
      <c r="AR2023" t="s">
        <v>62</v>
      </c>
      <c r="AS2023" t="s">
        <v>52</v>
      </c>
      <c r="AT2023" t="s">
        <v>52</v>
      </c>
      <c r="AU2023" t="s">
        <v>64</v>
      </c>
      <c r="AV2023" t="s">
        <v>62</v>
      </c>
      <c r="AW2023" t="s">
        <v>65</v>
      </c>
      <c r="AX2023" t="s">
        <v>66</v>
      </c>
      <c r="AY2023" t="s">
        <v>67</v>
      </c>
    </row>
    <row r="2024" spans="1:51" hidden="1" x14ac:dyDescent="0.25">
      <c r="A2024">
        <v>203837</v>
      </c>
      <c r="B2024" t="s">
        <v>7518</v>
      </c>
      <c r="C2024" t="e">
        <f>VLOOKUP(A2024,[1]Customer_payment_journal_line!$AL:$BO,30,0)</f>
        <v>#N/A</v>
      </c>
      <c r="D2024" t="s">
        <v>53</v>
      </c>
      <c r="E2024" t="s">
        <v>7516</v>
      </c>
      <c r="F2024" t="s">
        <v>7517</v>
      </c>
      <c r="G2024" t="s">
        <v>6741</v>
      </c>
      <c r="H2024" t="s">
        <v>69</v>
      </c>
      <c r="I2024" t="s">
        <v>4144</v>
      </c>
      <c r="J2024" t="s">
        <v>4141</v>
      </c>
      <c r="K2024" t="s">
        <v>7508</v>
      </c>
      <c r="L2024" t="s">
        <v>52</v>
      </c>
      <c r="M2024">
        <v>0</v>
      </c>
      <c r="N2024">
        <v>855</v>
      </c>
      <c r="O2024" t="s">
        <v>61</v>
      </c>
      <c r="P2024">
        <v>100</v>
      </c>
      <c r="Q2024" t="s">
        <v>52</v>
      </c>
      <c r="R2024" t="s">
        <v>52</v>
      </c>
      <c r="S2024" t="s">
        <v>52</v>
      </c>
      <c r="T2024" t="s">
        <v>52</v>
      </c>
      <c r="U2024" t="s">
        <v>52</v>
      </c>
      <c r="V2024" t="s">
        <v>62</v>
      </c>
      <c r="W2024" t="s">
        <v>52</v>
      </c>
      <c r="Y2024" t="s">
        <v>4145</v>
      </c>
      <c r="Z2024" t="s">
        <v>62</v>
      </c>
      <c r="AB2024" t="s">
        <v>7519</v>
      </c>
      <c r="AE2024" t="s">
        <v>7520</v>
      </c>
      <c r="AF2024" t="s">
        <v>52</v>
      </c>
      <c r="AH2024">
        <v>0</v>
      </c>
      <c r="AI2024">
        <v>0</v>
      </c>
      <c r="AJ2024" t="s">
        <v>52</v>
      </c>
      <c r="AK2024">
        <v>0</v>
      </c>
      <c r="AL2024" t="s">
        <v>52</v>
      </c>
      <c r="AM2024" t="s">
        <v>52</v>
      </c>
      <c r="AN2024">
        <v>0</v>
      </c>
      <c r="AO2024">
        <v>0</v>
      </c>
      <c r="AP2024" t="s">
        <v>52</v>
      </c>
      <c r="AQ2024" t="s">
        <v>52</v>
      </c>
      <c r="AR2024" t="s">
        <v>62</v>
      </c>
      <c r="AS2024" t="s">
        <v>52</v>
      </c>
      <c r="AT2024" t="s">
        <v>74</v>
      </c>
      <c r="AU2024" t="s">
        <v>64</v>
      </c>
      <c r="AV2024" t="s">
        <v>62</v>
      </c>
      <c r="AW2024" t="s">
        <v>65</v>
      </c>
      <c r="AX2024" t="s">
        <v>66</v>
      </c>
      <c r="AY2024" t="s">
        <v>67</v>
      </c>
    </row>
    <row r="2025" spans="1:51" hidden="1" x14ac:dyDescent="0.25">
      <c r="A2025">
        <v>203838</v>
      </c>
      <c r="B2025" t="s">
        <v>7521</v>
      </c>
      <c r="C2025" t="e">
        <f>VLOOKUP(A2025,[1]Customer_payment_journal_line!$AL:$BO,30,0)</f>
        <v>#N/A</v>
      </c>
      <c r="D2025" t="s">
        <v>53</v>
      </c>
      <c r="E2025" t="s">
        <v>7522</v>
      </c>
      <c r="F2025" t="s">
        <v>7523</v>
      </c>
      <c r="G2025" t="s">
        <v>6741</v>
      </c>
      <c r="H2025" t="s">
        <v>57</v>
      </c>
      <c r="I2025" t="s">
        <v>58</v>
      </c>
      <c r="J2025" t="s">
        <v>4141</v>
      </c>
      <c r="K2025" t="s">
        <v>7508</v>
      </c>
      <c r="L2025" t="s">
        <v>52</v>
      </c>
      <c r="M2025">
        <v>855</v>
      </c>
      <c r="N2025">
        <v>0</v>
      </c>
      <c r="O2025" t="s">
        <v>61</v>
      </c>
      <c r="P2025">
        <v>100</v>
      </c>
      <c r="Q2025" t="s">
        <v>52</v>
      </c>
      <c r="R2025" t="s">
        <v>52</v>
      </c>
      <c r="S2025" t="s">
        <v>52</v>
      </c>
      <c r="T2025" t="s">
        <v>52</v>
      </c>
      <c r="U2025" t="s">
        <v>52</v>
      </c>
      <c r="V2025" t="s">
        <v>62</v>
      </c>
      <c r="W2025" t="s">
        <v>63</v>
      </c>
      <c r="Y2025" t="s">
        <v>52</v>
      </c>
      <c r="AB2025" t="s">
        <v>52</v>
      </c>
      <c r="AE2025" t="s">
        <v>52</v>
      </c>
      <c r="AF2025" t="s">
        <v>52</v>
      </c>
      <c r="AH2025">
        <v>0</v>
      </c>
      <c r="AI2025">
        <v>0</v>
      </c>
      <c r="AJ2025" t="s">
        <v>52</v>
      </c>
      <c r="AK2025">
        <v>0</v>
      </c>
      <c r="AL2025" t="s">
        <v>52</v>
      </c>
      <c r="AM2025" t="s">
        <v>52</v>
      </c>
      <c r="AN2025">
        <v>0</v>
      </c>
      <c r="AO2025">
        <v>0</v>
      </c>
      <c r="AP2025" t="s">
        <v>52</v>
      </c>
      <c r="AQ2025" t="s">
        <v>52</v>
      </c>
      <c r="AR2025" t="s">
        <v>62</v>
      </c>
      <c r="AS2025" t="s">
        <v>52</v>
      </c>
      <c r="AT2025" t="s">
        <v>52</v>
      </c>
      <c r="AU2025" t="s">
        <v>64</v>
      </c>
      <c r="AV2025" t="s">
        <v>62</v>
      </c>
      <c r="AW2025" t="s">
        <v>65</v>
      </c>
      <c r="AX2025" t="s">
        <v>66</v>
      </c>
      <c r="AY2025" t="s">
        <v>67</v>
      </c>
    </row>
    <row r="2026" spans="1:51" hidden="1" x14ac:dyDescent="0.25">
      <c r="A2026">
        <v>203838</v>
      </c>
      <c r="B2026" t="s">
        <v>7524</v>
      </c>
      <c r="C2026" t="e">
        <f>VLOOKUP(A2026,[1]Customer_payment_journal_line!$AL:$BO,30,0)</f>
        <v>#N/A</v>
      </c>
      <c r="D2026" t="s">
        <v>53</v>
      </c>
      <c r="E2026" t="s">
        <v>7522</v>
      </c>
      <c r="F2026" t="s">
        <v>7523</v>
      </c>
      <c r="G2026" t="s">
        <v>6741</v>
      </c>
      <c r="H2026" t="s">
        <v>69</v>
      </c>
      <c r="I2026" t="s">
        <v>4144</v>
      </c>
      <c r="J2026" t="s">
        <v>4141</v>
      </c>
      <c r="K2026" t="s">
        <v>7508</v>
      </c>
      <c r="L2026" t="s">
        <v>52</v>
      </c>
      <c r="M2026">
        <v>0</v>
      </c>
      <c r="N2026">
        <v>855</v>
      </c>
      <c r="O2026" t="s">
        <v>61</v>
      </c>
      <c r="P2026">
        <v>100</v>
      </c>
      <c r="Q2026" t="s">
        <v>52</v>
      </c>
      <c r="R2026" t="s">
        <v>52</v>
      </c>
      <c r="S2026" t="s">
        <v>52</v>
      </c>
      <c r="T2026" t="s">
        <v>52</v>
      </c>
      <c r="U2026" t="s">
        <v>52</v>
      </c>
      <c r="V2026" t="s">
        <v>62</v>
      </c>
      <c r="W2026" t="s">
        <v>52</v>
      </c>
      <c r="Y2026" t="s">
        <v>4145</v>
      </c>
      <c r="Z2026" t="s">
        <v>62</v>
      </c>
      <c r="AB2026" t="s">
        <v>7525</v>
      </c>
      <c r="AE2026" t="s">
        <v>7526</v>
      </c>
      <c r="AF2026" t="s">
        <v>52</v>
      </c>
      <c r="AH2026">
        <v>0</v>
      </c>
      <c r="AI2026">
        <v>0</v>
      </c>
      <c r="AJ2026" t="s">
        <v>52</v>
      </c>
      <c r="AK2026">
        <v>0</v>
      </c>
      <c r="AL2026" t="s">
        <v>52</v>
      </c>
      <c r="AM2026" t="s">
        <v>52</v>
      </c>
      <c r="AN2026">
        <v>0</v>
      </c>
      <c r="AO2026">
        <v>0</v>
      </c>
      <c r="AP2026" t="s">
        <v>52</v>
      </c>
      <c r="AQ2026" t="s">
        <v>52</v>
      </c>
      <c r="AR2026" t="s">
        <v>62</v>
      </c>
      <c r="AS2026" t="s">
        <v>52</v>
      </c>
      <c r="AT2026" t="s">
        <v>74</v>
      </c>
      <c r="AU2026" t="s">
        <v>64</v>
      </c>
      <c r="AV2026" t="s">
        <v>62</v>
      </c>
      <c r="AW2026" t="s">
        <v>65</v>
      </c>
      <c r="AX2026" t="s">
        <v>66</v>
      </c>
      <c r="AY2026" t="s">
        <v>67</v>
      </c>
    </row>
    <row r="2027" spans="1:51" hidden="1" x14ac:dyDescent="0.25">
      <c r="A2027">
        <v>203840</v>
      </c>
      <c r="B2027" t="s">
        <v>7527</v>
      </c>
      <c r="C2027" t="e">
        <f>VLOOKUP(A2027,[1]Customer_payment_journal_line!$AL:$BO,30,0)</f>
        <v>#N/A</v>
      </c>
      <c r="D2027" t="s">
        <v>53</v>
      </c>
      <c r="E2027" t="s">
        <v>7528</v>
      </c>
      <c r="F2027" t="s">
        <v>7529</v>
      </c>
      <c r="G2027" t="s">
        <v>6741</v>
      </c>
      <c r="H2027" t="s">
        <v>57</v>
      </c>
      <c r="I2027" t="s">
        <v>58</v>
      </c>
      <c r="J2027" t="s">
        <v>7530</v>
      </c>
      <c r="K2027" t="s">
        <v>7531</v>
      </c>
      <c r="L2027" t="s">
        <v>52</v>
      </c>
      <c r="M2027">
        <v>1710</v>
      </c>
      <c r="N2027">
        <v>0</v>
      </c>
      <c r="O2027" t="s">
        <v>61</v>
      </c>
      <c r="P2027">
        <v>100</v>
      </c>
      <c r="Q2027" t="s">
        <v>52</v>
      </c>
      <c r="R2027" t="s">
        <v>52</v>
      </c>
      <c r="S2027" t="s">
        <v>52</v>
      </c>
      <c r="T2027" t="s">
        <v>52</v>
      </c>
      <c r="U2027" t="s">
        <v>52</v>
      </c>
      <c r="V2027" t="s">
        <v>62</v>
      </c>
      <c r="W2027" t="s">
        <v>63</v>
      </c>
      <c r="Y2027" t="s">
        <v>52</v>
      </c>
      <c r="AB2027" t="s">
        <v>52</v>
      </c>
      <c r="AE2027" t="s">
        <v>52</v>
      </c>
      <c r="AF2027" t="s">
        <v>52</v>
      </c>
      <c r="AH2027">
        <v>0</v>
      </c>
      <c r="AI2027">
        <v>0</v>
      </c>
      <c r="AJ2027" t="s">
        <v>52</v>
      </c>
      <c r="AK2027">
        <v>0</v>
      </c>
      <c r="AL2027" t="s">
        <v>52</v>
      </c>
      <c r="AM2027" t="s">
        <v>52</v>
      </c>
      <c r="AN2027">
        <v>0</v>
      </c>
      <c r="AO2027">
        <v>0</v>
      </c>
      <c r="AP2027" t="s">
        <v>52</v>
      </c>
      <c r="AQ2027" t="s">
        <v>52</v>
      </c>
      <c r="AR2027" t="s">
        <v>62</v>
      </c>
      <c r="AS2027" t="s">
        <v>52</v>
      </c>
      <c r="AT2027" t="s">
        <v>52</v>
      </c>
      <c r="AU2027" t="s">
        <v>64</v>
      </c>
      <c r="AV2027" t="s">
        <v>62</v>
      </c>
      <c r="AW2027" t="s">
        <v>65</v>
      </c>
      <c r="AX2027" t="s">
        <v>66</v>
      </c>
      <c r="AY2027" t="s">
        <v>67</v>
      </c>
    </row>
    <row r="2028" spans="1:51" hidden="1" x14ac:dyDescent="0.25">
      <c r="A2028">
        <v>203840</v>
      </c>
      <c r="B2028" t="s">
        <v>7532</v>
      </c>
      <c r="C2028" t="e">
        <f>VLOOKUP(A2028,[1]Customer_payment_journal_line!$AL:$BO,30,0)</f>
        <v>#N/A</v>
      </c>
      <c r="D2028" t="s">
        <v>53</v>
      </c>
      <c r="E2028" t="s">
        <v>7528</v>
      </c>
      <c r="F2028" t="s">
        <v>7529</v>
      </c>
      <c r="G2028" t="s">
        <v>6741</v>
      </c>
      <c r="H2028" t="s">
        <v>69</v>
      </c>
      <c r="I2028" t="s">
        <v>431</v>
      </c>
      <c r="J2028" t="s">
        <v>7530</v>
      </c>
      <c r="K2028" t="s">
        <v>7531</v>
      </c>
      <c r="L2028" t="s">
        <v>52</v>
      </c>
      <c r="M2028">
        <v>0</v>
      </c>
      <c r="N2028">
        <v>1710</v>
      </c>
      <c r="O2028" t="s">
        <v>61</v>
      </c>
      <c r="P2028">
        <v>100</v>
      </c>
      <c r="Q2028" t="s">
        <v>52</v>
      </c>
      <c r="R2028" t="s">
        <v>52</v>
      </c>
      <c r="S2028" t="s">
        <v>52</v>
      </c>
      <c r="T2028" t="s">
        <v>52</v>
      </c>
      <c r="U2028" t="s">
        <v>52</v>
      </c>
      <c r="V2028" t="s">
        <v>62</v>
      </c>
      <c r="W2028" t="s">
        <v>52</v>
      </c>
      <c r="Y2028" t="s">
        <v>432</v>
      </c>
      <c r="Z2028" t="s">
        <v>62</v>
      </c>
      <c r="AB2028" t="s">
        <v>7533</v>
      </c>
      <c r="AE2028" t="s">
        <v>7534</v>
      </c>
      <c r="AF2028" t="s">
        <v>52</v>
      </c>
      <c r="AH2028">
        <v>0</v>
      </c>
      <c r="AI2028">
        <v>0</v>
      </c>
      <c r="AJ2028" t="s">
        <v>52</v>
      </c>
      <c r="AK2028">
        <v>0</v>
      </c>
      <c r="AL2028" t="s">
        <v>52</v>
      </c>
      <c r="AM2028" t="s">
        <v>52</v>
      </c>
      <c r="AN2028">
        <v>0</v>
      </c>
      <c r="AO2028">
        <v>0</v>
      </c>
      <c r="AP2028" t="s">
        <v>52</v>
      </c>
      <c r="AQ2028" t="s">
        <v>52</v>
      </c>
      <c r="AR2028" t="s">
        <v>62</v>
      </c>
      <c r="AS2028" t="s">
        <v>52</v>
      </c>
      <c r="AT2028" t="s">
        <v>74</v>
      </c>
      <c r="AU2028" t="s">
        <v>64</v>
      </c>
      <c r="AV2028" t="s">
        <v>62</v>
      </c>
      <c r="AW2028" t="s">
        <v>65</v>
      </c>
      <c r="AX2028" t="s">
        <v>66</v>
      </c>
      <c r="AY2028" t="s">
        <v>67</v>
      </c>
    </row>
    <row r="2029" spans="1:51" hidden="1" x14ac:dyDescent="0.25">
      <c r="A2029">
        <v>203841</v>
      </c>
      <c r="B2029" t="s">
        <v>7535</v>
      </c>
      <c r="C2029" t="e">
        <f>VLOOKUP(A2029,[1]Customer_payment_journal_line!$AL:$BO,30,0)</f>
        <v>#N/A</v>
      </c>
      <c r="D2029" t="s">
        <v>53</v>
      </c>
      <c r="E2029" t="s">
        <v>7536</v>
      </c>
      <c r="F2029" t="s">
        <v>7537</v>
      </c>
      <c r="G2029" t="s">
        <v>6741</v>
      </c>
      <c r="H2029" t="s">
        <v>57</v>
      </c>
      <c r="I2029" t="s">
        <v>58</v>
      </c>
      <c r="J2029" t="s">
        <v>7530</v>
      </c>
      <c r="K2029" t="s">
        <v>7531</v>
      </c>
      <c r="L2029" t="s">
        <v>52</v>
      </c>
      <c r="M2029">
        <v>855</v>
      </c>
      <c r="N2029">
        <v>0</v>
      </c>
      <c r="O2029" t="s">
        <v>61</v>
      </c>
      <c r="P2029">
        <v>100</v>
      </c>
      <c r="Q2029" t="s">
        <v>52</v>
      </c>
      <c r="R2029" t="s">
        <v>52</v>
      </c>
      <c r="S2029" t="s">
        <v>52</v>
      </c>
      <c r="T2029" t="s">
        <v>52</v>
      </c>
      <c r="U2029" t="s">
        <v>52</v>
      </c>
      <c r="V2029" t="s">
        <v>62</v>
      </c>
      <c r="W2029" t="s">
        <v>63</v>
      </c>
      <c r="Y2029" t="s">
        <v>52</v>
      </c>
      <c r="AB2029" t="s">
        <v>52</v>
      </c>
      <c r="AE2029" t="s">
        <v>52</v>
      </c>
      <c r="AF2029" t="s">
        <v>52</v>
      </c>
      <c r="AH2029">
        <v>0</v>
      </c>
      <c r="AI2029">
        <v>0</v>
      </c>
      <c r="AJ2029" t="s">
        <v>52</v>
      </c>
      <c r="AK2029">
        <v>0</v>
      </c>
      <c r="AL2029" t="s">
        <v>52</v>
      </c>
      <c r="AM2029" t="s">
        <v>52</v>
      </c>
      <c r="AN2029">
        <v>0</v>
      </c>
      <c r="AO2029">
        <v>0</v>
      </c>
      <c r="AP2029" t="s">
        <v>52</v>
      </c>
      <c r="AQ2029" t="s">
        <v>52</v>
      </c>
      <c r="AR2029" t="s">
        <v>62</v>
      </c>
      <c r="AS2029" t="s">
        <v>52</v>
      </c>
      <c r="AT2029" t="s">
        <v>52</v>
      </c>
      <c r="AU2029" t="s">
        <v>64</v>
      </c>
      <c r="AV2029" t="s">
        <v>62</v>
      </c>
      <c r="AW2029" t="s">
        <v>65</v>
      </c>
      <c r="AX2029" t="s">
        <v>66</v>
      </c>
      <c r="AY2029" t="s">
        <v>67</v>
      </c>
    </row>
    <row r="2030" spans="1:51" hidden="1" x14ac:dyDescent="0.25">
      <c r="A2030">
        <v>203841</v>
      </c>
      <c r="B2030" t="s">
        <v>7538</v>
      </c>
      <c r="C2030" t="e">
        <f>VLOOKUP(A2030,[1]Customer_payment_journal_line!$AL:$BO,30,0)</f>
        <v>#N/A</v>
      </c>
      <c r="D2030" t="s">
        <v>53</v>
      </c>
      <c r="E2030" t="s">
        <v>7536</v>
      </c>
      <c r="F2030" t="s">
        <v>7537</v>
      </c>
      <c r="G2030" t="s">
        <v>6741</v>
      </c>
      <c r="H2030" t="s">
        <v>69</v>
      </c>
      <c r="I2030" t="s">
        <v>431</v>
      </c>
      <c r="J2030" t="s">
        <v>7530</v>
      </c>
      <c r="K2030" t="s">
        <v>7531</v>
      </c>
      <c r="L2030" t="s">
        <v>52</v>
      </c>
      <c r="M2030">
        <v>0</v>
      </c>
      <c r="N2030">
        <v>855</v>
      </c>
      <c r="O2030" t="s">
        <v>61</v>
      </c>
      <c r="P2030">
        <v>100</v>
      </c>
      <c r="Q2030" t="s">
        <v>52</v>
      </c>
      <c r="R2030" t="s">
        <v>52</v>
      </c>
      <c r="S2030" t="s">
        <v>52</v>
      </c>
      <c r="T2030" t="s">
        <v>52</v>
      </c>
      <c r="U2030" t="s">
        <v>52</v>
      </c>
      <c r="V2030" t="s">
        <v>62</v>
      </c>
      <c r="W2030" t="s">
        <v>52</v>
      </c>
      <c r="Y2030" t="s">
        <v>432</v>
      </c>
      <c r="Z2030" t="s">
        <v>62</v>
      </c>
      <c r="AB2030" t="s">
        <v>7539</v>
      </c>
      <c r="AE2030" t="s">
        <v>7540</v>
      </c>
      <c r="AF2030" t="s">
        <v>52</v>
      </c>
      <c r="AH2030">
        <v>0</v>
      </c>
      <c r="AI2030">
        <v>0</v>
      </c>
      <c r="AJ2030" t="s">
        <v>52</v>
      </c>
      <c r="AK2030">
        <v>0</v>
      </c>
      <c r="AL2030" t="s">
        <v>52</v>
      </c>
      <c r="AM2030" t="s">
        <v>52</v>
      </c>
      <c r="AN2030">
        <v>0</v>
      </c>
      <c r="AO2030">
        <v>0</v>
      </c>
      <c r="AP2030" t="s">
        <v>52</v>
      </c>
      <c r="AQ2030" t="s">
        <v>52</v>
      </c>
      <c r="AR2030" t="s">
        <v>62</v>
      </c>
      <c r="AS2030" t="s">
        <v>52</v>
      </c>
      <c r="AT2030" t="s">
        <v>74</v>
      </c>
      <c r="AU2030" t="s">
        <v>64</v>
      </c>
      <c r="AV2030" t="s">
        <v>62</v>
      </c>
      <c r="AW2030" t="s">
        <v>65</v>
      </c>
      <c r="AX2030" t="s">
        <v>66</v>
      </c>
      <c r="AY2030" t="s">
        <v>67</v>
      </c>
    </row>
    <row r="2031" spans="1:51" hidden="1" x14ac:dyDescent="0.25">
      <c r="A2031">
        <v>317167</v>
      </c>
      <c r="B2031" t="s">
        <v>7541</v>
      </c>
      <c r="C2031" t="e">
        <f>VLOOKUP(A2031,[1]Customer_payment_journal_line!$AL:$BO,30,0)</f>
        <v>#N/A</v>
      </c>
      <c r="D2031" t="s">
        <v>53</v>
      </c>
      <c r="E2031" t="s">
        <v>7542</v>
      </c>
      <c r="F2031" t="s">
        <v>7543</v>
      </c>
      <c r="G2031" t="s">
        <v>6741</v>
      </c>
      <c r="H2031" t="s">
        <v>201</v>
      </c>
      <c r="I2031" t="s">
        <v>516</v>
      </c>
      <c r="J2031" t="s">
        <v>6516</v>
      </c>
      <c r="K2031" t="s">
        <v>7544</v>
      </c>
      <c r="L2031" t="s">
        <v>52</v>
      </c>
      <c r="M2031">
        <v>1700</v>
      </c>
      <c r="N2031">
        <v>0</v>
      </c>
      <c r="O2031" t="s">
        <v>178</v>
      </c>
      <c r="P2031">
        <v>5085</v>
      </c>
      <c r="Q2031" t="s">
        <v>52</v>
      </c>
      <c r="R2031" t="s">
        <v>52</v>
      </c>
      <c r="S2031" t="s">
        <v>52</v>
      </c>
      <c r="T2031" t="s">
        <v>52</v>
      </c>
      <c r="U2031" t="s">
        <v>52</v>
      </c>
      <c r="V2031" t="s">
        <v>62</v>
      </c>
      <c r="W2031" t="s">
        <v>63</v>
      </c>
      <c r="Y2031" t="s">
        <v>52</v>
      </c>
      <c r="AB2031" t="s">
        <v>7545</v>
      </c>
      <c r="AE2031" t="s">
        <v>7545</v>
      </c>
      <c r="AF2031" t="s">
        <v>52</v>
      </c>
      <c r="AH2031">
        <v>0</v>
      </c>
      <c r="AI2031">
        <v>0</v>
      </c>
      <c r="AJ2031" t="s">
        <v>52</v>
      </c>
      <c r="AK2031">
        <v>0</v>
      </c>
      <c r="AL2031" t="s">
        <v>52</v>
      </c>
      <c r="AM2031" t="s">
        <v>52</v>
      </c>
      <c r="AN2031">
        <v>0</v>
      </c>
      <c r="AO2031">
        <v>0</v>
      </c>
      <c r="AP2031" t="s">
        <v>52</v>
      </c>
      <c r="AQ2031" t="s">
        <v>52</v>
      </c>
      <c r="AR2031" t="s">
        <v>62</v>
      </c>
      <c r="AS2031" t="s">
        <v>52</v>
      </c>
      <c r="AT2031" t="s">
        <v>52</v>
      </c>
      <c r="AU2031" t="s">
        <v>64</v>
      </c>
      <c r="AV2031" t="s">
        <v>62</v>
      </c>
      <c r="AW2031" t="s">
        <v>65</v>
      </c>
      <c r="AX2031" t="s">
        <v>66</v>
      </c>
      <c r="AY2031" t="s">
        <v>67</v>
      </c>
    </row>
    <row r="2032" spans="1:51" hidden="1" x14ac:dyDescent="0.25">
      <c r="A2032">
        <v>317167</v>
      </c>
      <c r="B2032" t="s">
        <v>7546</v>
      </c>
      <c r="C2032" t="e">
        <f>VLOOKUP(A2032,[1]Customer_payment_journal_line!$AL:$BO,30,0)</f>
        <v>#N/A</v>
      </c>
      <c r="D2032" t="s">
        <v>53</v>
      </c>
      <c r="E2032" t="s">
        <v>7542</v>
      </c>
      <c r="F2032" t="s">
        <v>7543</v>
      </c>
      <c r="G2032" t="s">
        <v>6741</v>
      </c>
      <c r="H2032" t="s">
        <v>201</v>
      </c>
      <c r="I2032" t="s">
        <v>58</v>
      </c>
      <c r="J2032" t="s">
        <v>6516</v>
      </c>
      <c r="K2032" t="s">
        <v>7544</v>
      </c>
      <c r="L2032" t="s">
        <v>52</v>
      </c>
      <c r="M2032">
        <v>2173</v>
      </c>
      <c r="N2032">
        <v>0</v>
      </c>
      <c r="O2032" t="s">
        <v>61</v>
      </c>
      <c r="P2032">
        <v>100</v>
      </c>
      <c r="Q2032" t="s">
        <v>52</v>
      </c>
      <c r="R2032" t="s">
        <v>52</v>
      </c>
      <c r="S2032" t="s">
        <v>52</v>
      </c>
      <c r="T2032" t="s">
        <v>52</v>
      </c>
      <c r="U2032" t="s">
        <v>52</v>
      </c>
      <c r="V2032" t="s">
        <v>62</v>
      </c>
      <c r="W2032" t="s">
        <v>63</v>
      </c>
      <c r="Y2032" t="s">
        <v>52</v>
      </c>
      <c r="AB2032" t="s">
        <v>7545</v>
      </c>
      <c r="AE2032" t="s">
        <v>7545</v>
      </c>
      <c r="AF2032" t="s">
        <v>52</v>
      </c>
      <c r="AH2032">
        <v>0</v>
      </c>
      <c r="AI2032">
        <v>0</v>
      </c>
      <c r="AJ2032" t="s">
        <v>52</v>
      </c>
      <c r="AK2032">
        <v>0</v>
      </c>
      <c r="AL2032" t="s">
        <v>52</v>
      </c>
      <c r="AM2032" t="s">
        <v>52</v>
      </c>
      <c r="AN2032">
        <v>0</v>
      </c>
      <c r="AO2032">
        <v>0</v>
      </c>
      <c r="AP2032" t="s">
        <v>52</v>
      </c>
      <c r="AQ2032" t="s">
        <v>52</v>
      </c>
      <c r="AR2032" t="s">
        <v>62</v>
      </c>
      <c r="AS2032" t="s">
        <v>52</v>
      </c>
      <c r="AT2032" t="s">
        <v>52</v>
      </c>
      <c r="AU2032" t="s">
        <v>64</v>
      </c>
      <c r="AV2032" t="s">
        <v>62</v>
      </c>
      <c r="AW2032" t="s">
        <v>65</v>
      </c>
      <c r="AX2032" t="s">
        <v>66</v>
      </c>
      <c r="AY2032" t="s">
        <v>67</v>
      </c>
    </row>
    <row r="2033" spans="1:51" hidden="1" x14ac:dyDescent="0.25">
      <c r="A2033">
        <v>317167</v>
      </c>
      <c r="B2033" t="s">
        <v>7547</v>
      </c>
      <c r="C2033" t="e">
        <f>VLOOKUP(A2033,[1]Customer_payment_journal_line!$AL:$BO,30,0)</f>
        <v>#N/A</v>
      </c>
      <c r="D2033" t="s">
        <v>53</v>
      </c>
      <c r="E2033" t="s">
        <v>7542</v>
      </c>
      <c r="F2033" t="s">
        <v>7543</v>
      </c>
      <c r="G2033" t="s">
        <v>6741</v>
      </c>
      <c r="H2033" t="s">
        <v>69</v>
      </c>
      <c r="I2033" t="s">
        <v>3796</v>
      </c>
      <c r="J2033" t="s">
        <v>7548</v>
      </c>
      <c r="K2033" t="s">
        <v>7544</v>
      </c>
      <c r="L2033" t="s">
        <v>52</v>
      </c>
      <c r="M2033">
        <v>0</v>
      </c>
      <c r="N2033">
        <v>1741</v>
      </c>
      <c r="O2033" t="s">
        <v>178</v>
      </c>
      <c r="P2033">
        <v>5085</v>
      </c>
      <c r="Q2033" t="s">
        <v>52</v>
      </c>
      <c r="R2033" t="s">
        <v>52</v>
      </c>
      <c r="S2033" t="s">
        <v>52</v>
      </c>
      <c r="T2033" t="s">
        <v>52</v>
      </c>
      <c r="U2033" t="s">
        <v>52</v>
      </c>
      <c r="V2033" t="s">
        <v>62</v>
      </c>
      <c r="W2033" t="s">
        <v>52</v>
      </c>
      <c r="Y2033" t="s">
        <v>3798</v>
      </c>
      <c r="Z2033" t="s">
        <v>62</v>
      </c>
      <c r="AB2033" t="s">
        <v>7545</v>
      </c>
      <c r="AE2033" t="s">
        <v>7545</v>
      </c>
      <c r="AF2033" t="s">
        <v>52</v>
      </c>
      <c r="AH2033">
        <v>0</v>
      </c>
      <c r="AI2033">
        <v>0</v>
      </c>
      <c r="AJ2033" t="s">
        <v>52</v>
      </c>
      <c r="AK2033">
        <v>0</v>
      </c>
      <c r="AL2033" t="s">
        <v>52</v>
      </c>
      <c r="AM2033" t="s">
        <v>52</v>
      </c>
      <c r="AN2033">
        <v>0</v>
      </c>
      <c r="AO2033">
        <v>0</v>
      </c>
      <c r="AP2033" t="s">
        <v>52</v>
      </c>
      <c r="AQ2033" t="s">
        <v>52</v>
      </c>
      <c r="AR2033" t="s">
        <v>62</v>
      </c>
      <c r="AS2033" t="s">
        <v>52</v>
      </c>
      <c r="AT2033" t="s">
        <v>74</v>
      </c>
      <c r="AU2033" t="s">
        <v>64</v>
      </c>
      <c r="AV2033" t="s">
        <v>62</v>
      </c>
      <c r="AW2033" t="s">
        <v>65</v>
      </c>
      <c r="AX2033" t="s">
        <v>66</v>
      </c>
      <c r="AY2033" t="s">
        <v>67</v>
      </c>
    </row>
    <row r="2034" spans="1:51" hidden="1" x14ac:dyDescent="0.25">
      <c r="A2034">
        <v>317167</v>
      </c>
      <c r="B2034" t="s">
        <v>7549</v>
      </c>
      <c r="C2034" t="e">
        <f>VLOOKUP(A2034,[1]Customer_payment_journal_line!$AL:$BO,30,0)</f>
        <v>#N/A</v>
      </c>
      <c r="D2034" t="s">
        <v>53</v>
      </c>
      <c r="E2034" t="s">
        <v>7542</v>
      </c>
      <c r="F2034" t="s">
        <v>7543</v>
      </c>
      <c r="G2034" t="s">
        <v>6741</v>
      </c>
      <c r="H2034" t="s">
        <v>210</v>
      </c>
      <c r="I2034" t="s">
        <v>7550</v>
      </c>
      <c r="J2034" t="s">
        <v>52</v>
      </c>
      <c r="K2034" t="s">
        <v>7544</v>
      </c>
      <c r="L2034" t="s">
        <v>52</v>
      </c>
      <c r="M2034">
        <v>0</v>
      </c>
      <c r="N2034">
        <v>88.15</v>
      </c>
      <c r="O2034" t="s">
        <v>61</v>
      </c>
      <c r="P2034">
        <v>100</v>
      </c>
      <c r="Q2034" t="s">
        <v>52</v>
      </c>
      <c r="R2034" t="s">
        <v>52</v>
      </c>
      <c r="S2034" t="s">
        <v>52</v>
      </c>
      <c r="T2034" t="s">
        <v>52</v>
      </c>
      <c r="U2034" t="s">
        <v>52</v>
      </c>
      <c r="V2034" t="s">
        <v>62</v>
      </c>
      <c r="W2034" t="s">
        <v>63</v>
      </c>
      <c r="Y2034" t="s">
        <v>3798</v>
      </c>
      <c r="AB2034" t="s">
        <v>7545</v>
      </c>
      <c r="AE2034" t="s">
        <v>7545</v>
      </c>
      <c r="AF2034" t="s">
        <v>52</v>
      </c>
      <c r="AH2034">
        <v>0</v>
      </c>
      <c r="AI2034">
        <v>0</v>
      </c>
      <c r="AJ2034" t="s">
        <v>52</v>
      </c>
      <c r="AK2034">
        <v>0</v>
      </c>
      <c r="AL2034" t="s">
        <v>52</v>
      </c>
      <c r="AM2034" t="s">
        <v>52</v>
      </c>
      <c r="AN2034">
        <v>0</v>
      </c>
      <c r="AO2034">
        <v>0</v>
      </c>
      <c r="AP2034" t="s">
        <v>52</v>
      </c>
      <c r="AQ2034" t="s">
        <v>52</v>
      </c>
      <c r="AR2034" t="s">
        <v>62</v>
      </c>
      <c r="AS2034" t="s">
        <v>52</v>
      </c>
      <c r="AT2034" t="s">
        <v>52</v>
      </c>
      <c r="AU2034" t="s">
        <v>64</v>
      </c>
      <c r="AV2034" t="s">
        <v>62</v>
      </c>
      <c r="AW2034" t="s">
        <v>65</v>
      </c>
      <c r="AX2034" t="s">
        <v>66</v>
      </c>
      <c r="AY2034" t="s">
        <v>67</v>
      </c>
    </row>
    <row r="2035" spans="1:51" hidden="1" x14ac:dyDescent="0.25">
      <c r="A2035">
        <v>203861</v>
      </c>
      <c r="B2035" t="s">
        <v>7551</v>
      </c>
      <c r="C2035" t="e">
        <f>VLOOKUP(A2035,[1]Customer_payment_journal_line!$AL:$BO,30,0)</f>
        <v>#N/A</v>
      </c>
      <c r="D2035" t="s">
        <v>53</v>
      </c>
      <c r="E2035" t="s">
        <v>7552</v>
      </c>
      <c r="F2035" t="s">
        <v>7553</v>
      </c>
      <c r="G2035" t="s">
        <v>6741</v>
      </c>
      <c r="H2035" t="s">
        <v>57</v>
      </c>
      <c r="I2035" t="s">
        <v>58</v>
      </c>
      <c r="J2035" t="s">
        <v>7554</v>
      </c>
      <c r="K2035" t="s">
        <v>7555</v>
      </c>
      <c r="L2035" t="s">
        <v>52</v>
      </c>
      <c r="M2035">
        <v>2166</v>
      </c>
      <c r="N2035">
        <v>0</v>
      </c>
      <c r="O2035" t="s">
        <v>61</v>
      </c>
      <c r="P2035">
        <v>100</v>
      </c>
      <c r="Q2035" t="s">
        <v>52</v>
      </c>
      <c r="R2035" t="s">
        <v>52</v>
      </c>
      <c r="S2035" t="s">
        <v>52</v>
      </c>
      <c r="T2035" t="s">
        <v>52</v>
      </c>
      <c r="U2035" t="s">
        <v>52</v>
      </c>
      <c r="V2035" t="s">
        <v>62</v>
      </c>
      <c r="W2035" t="s">
        <v>63</v>
      </c>
      <c r="Y2035" t="s">
        <v>52</v>
      </c>
      <c r="AB2035" t="s">
        <v>52</v>
      </c>
      <c r="AE2035" t="s">
        <v>52</v>
      </c>
      <c r="AF2035" t="s">
        <v>52</v>
      </c>
      <c r="AH2035">
        <v>0</v>
      </c>
      <c r="AI2035">
        <v>0</v>
      </c>
      <c r="AJ2035" t="s">
        <v>52</v>
      </c>
      <c r="AK2035">
        <v>0</v>
      </c>
      <c r="AL2035" t="s">
        <v>52</v>
      </c>
      <c r="AM2035" t="s">
        <v>52</v>
      </c>
      <c r="AN2035">
        <v>0</v>
      </c>
      <c r="AO2035">
        <v>0</v>
      </c>
      <c r="AP2035" t="s">
        <v>52</v>
      </c>
      <c r="AQ2035" t="s">
        <v>52</v>
      </c>
      <c r="AR2035" t="s">
        <v>62</v>
      </c>
      <c r="AS2035" t="s">
        <v>52</v>
      </c>
      <c r="AT2035" t="s">
        <v>52</v>
      </c>
      <c r="AU2035" t="s">
        <v>64</v>
      </c>
      <c r="AV2035" t="s">
        <v>62</v>
      </c>
      <c r="AW2035" t="s">
        <v>65</v>
      </c>
      <c r="AX2035" t="s">
        <v>66</v>
      </c>
      <c r="AY2035" t="s">
        <v>67</v>
      </c>
    </row>
    <row r="2036" spans="1:51" hidden="1" x14ac:dyDescent="0.25">
      <c r="A2036">
        <v>203861</v>
      </c>
      <c r="B2036" t="s">
        <v>7556</v>
      </c>
      <c r="C2036" t="e">
        <f>VLOOKUP(A2036,[1]Customer_payment_journal_line!$AL:$BO,30,0)</f>
        <v>#N/A</v>
      </c>
      <c r="D2036" t="s">
        <v>53</v>
      </c>
      <c r="E2036" t="s">
        <v>7552</v>
      </c>
      <c r="F2036" t="s">
        <v>7553</v>
      </c>
      <c r="G2036" t="s">
        <v>6741</v>
      </c>
      <c r="H2036" t="s">
        <v>69</v>
      </c>
      <c r="I2036" t="s">
        <v>1494</v>
      </c>
      <c r="J2036" t="s">
        <v>7554</v>
      </c>
      <c r="K2036" t="s">
        <v>7555</v>
      </c>
      <c r="L2036" t="s">
        <v>52</v>
      </c>
      <c r="M2036">
        <v>0</v>
      </c>
      <c r="N2036">
        <v>2166</v>
      </c>
      <c r="O2036" t="s">
        <v>61</v>
      </c>
      <c r="P2036">
        <v>100</v>
      </c>
      <c r="Q2036" t="s">
        <v>52</v>
      </c>
      <c r="R2036" t="s">
        <v>52</v>
      </c>
      <c r="S2036" t="s">
        <v>52</v>
      </c>
      <c r="T2036" t="s">
        <v>52</v>
      </c>
      <c r="U2036" t="s">
        <v>52</v>
      </c>
      <c r="V2036" t="s">
        <v>62</v>
      </c>
      <c r="W2036" t="s">
        <v>52</v>
      </c>
      <c r="Y2036" t="s">
        <v>1495</v>
      </c>
      <c r="Z2036" t="s">
        <v>62</v>
      </c>
      <c r="AB2036" t="s">
        <v>7557</v>
      </c>
      <c r="AE2036" t="s">
        <v>7558</v>
      </c>
      <c r="AF2036" t="s">
        <v>52</v>
      </c>
      <c r="AH2036">
        <v>0</v>
      </c>
      <c r="AI2036">
        <v>0</v>
      </c>
      <c r="AJ2036" t="s">
        <v>52</v>
      </c>
      <c r="AK2036">
        <v>0</v>
      </c>
      <c r="AL2036" t="s">
        <v>52</v>
      </c>
      <c r="AM2036" t="s">
        <v>52</v>
      </c>
      <c r="AN2036">
        <v>0</v>
      </c>
      <c r="AO2036">
        <v>0</v>
      </c>
      <c r="AP2036" t="s">
        <v>52</v>
      </c>
      <c r="AQ2036" t="s">
        <v>52</v>
      </c>
      <c r="AR2036" t="s">
        <v>62</v>
      </c>
      <c r="AS2036" t="s">
        <v>52</v>
      </c>
      <c r="AT2036" t="s">
        <v>74</v>
      </c>
      <c r="AU2036" t="s">
        <v>64</v>
      </c>
      <c r="AV2036" t="s">
        <v>62</v>
      </c>
      <c r="AW2036" t="s">
        <v>65</v>
      </c>
      <c r="AX2036" t="s">
        <v>66</v>
      </c>
      <c r="AY2036" t="s">
        <v>67</v>
      </c>
    </row>
    <row r="2037" spans="1:51" hidden="1" x14ac:dyDescent="0.25">
      <c r="A2037">
        <v>203862</v>
      </c>
      <c r="B2037" t="s">
        <v>7559</v>
      </c>
      <c r="C2037" t="e">
        <f>VLOOKUP(A2037,[1]Customer_payment_journal_line!$AL:$BO,30,0)</f>
        <v>#N/A</v>
      </c>
      <c r="D2037" t="s">
        <v>53</v>
      </c>
      <c r="E2037" t="s">
        <v>7560</v>
      </c>
      <c r="F2037" t="s">
        <v>7561</v>
      </c>
      <c r="G2037" t="s">
        <v>6741</v>
      </c>
      <c r="H2037" t="s">
        <v>57</v>
      </c>
      <c r="I2037" t="s">
        <v>58</v>
      </c>
      <c r="J2037" t="s">
        <v>7554</v>
      </c>
      <c r="K2037" t="s">
        <v>7555</v>
      </c>
      <c r="L2037" t="s">
        <v>52</v>
      </c>
      <c r="M2037">
        <v>855</v>
      </c>
      <c r="N2037">
        <v>0</v>
      </c>
      <c r="O2037" t="s">
        <v>61</v>
      </c>
      <c r="P2037">
        <v>100</v>
      </c>
      <c r="Q2037" t="s">
        <v>52</v>
      </c>
      <c r="R2037" t="s">
        <v>52</v>
      </c>
      <c r="S2037" t="s">
        <v>52</v>
      </c>
      <c r="T2037" t="s">
        <v>52</v>
      </c>
      <c r="U2037" t="s">
        <v>52</v>
      </c>
      <c r="V2037" t="s">
        <v>62</v>
      </c>
      <c r="W2037" t="s">
        <v>63</v>
      </c>
      <c r="Y2037" t="s">
        <v>52</v>
      </c>
      <c r="AB2037" t="s">
        <v>52</v>
      </c>
      <c r="AE2037" t="s">
        <v>52</v>
      </c>
      <c r="AF2037" t="s">
        <v>52</v>
      </c>
      <c r="AH2037">
        <v>0</v>
      </c>
      <c r="AI2037">
        <v>0</v>
      </c>
      <c r="AJ2037" t="s">
        <v>52</v>
      </c>
      <c r="AK2037">
        <v>0</v>
      </c>
      <c r="AL2037" t="s">
        <v>52</v>
      </c>
      <c r="AM2037" t="s">
        <v>52</v>
      </c>
      <c r="AN2037">
        <v>0</v>
      </c>
      <c r="AO2037">
        <v>0</v>
      </c>
      <c r="AP2037" t="s">
        <v>52</v>
      </c>
      <c r="AQ2037" t="s">
        <v>52</v>
      </c>
      <c r="AR2037" t="s">
        <v>62</v>
      </c>
      <c r="AS2037" t="s">
        <v>52</v>
      </c>
      <c r="AT2037" t="s">
        <v>52</v>
      </c>
      <c r="AU2037" t="s">
        <v>64</v>
      </c>
      <c r="AV2037" t="s">
        <v>62</v>
      </c>
      <c r="AW2037" t="s">
        <v>65</v>
      </c>
      <c r="AX2037" t="s">
        <v>66</v>
      </c>
      <c r="AY2037" t="s">
        <v>67</v>
      </c>
    </row>
    <row r="2038" spans="1:51" hidden="1" x14ac:dyDescent="0.25">
      <c r="A2038">
        <v>203862</v>
      </c>
      <c r="B2038" t="s">
        <v>7562</v>
      </c>
      <c r="C2038" t="e">
        <f>VLOOKUP(A2038,[1]Customer_payment_journal_line!$AL:$BO,30,0)</f>
        <v>#N/A</v>
      </c>
      <c r="D2038" t="s">
        <v>53</v>
      </c>
      <c r="E2038" t="s">
        <v>7560</v>
      </c>
      <c r="F2038" t="s">
        <v>7561</v>
      </c>
      <c r="G2038" t="s">
        <v>6741</v>
      </c>
      <c r="H2038" t="s">
        <v>69</v>
      </c>
      <c r="I2038" t="s">
        <v>1494</v>
      </c>
      <c r="J2038" t="s">
        <v>7554</v>
      </c>
      <c r="K2038" t="s">
        <v>7555</v>
      </c>
      <c r="L2038" t="s">
        <v>52</v>
      </c>
      <c r="M2038">
        <v>0</v>
      </c>
      <c r="N2038">
        <v>855</v>
      </c>
      <c r="O2038" t="s">
        <v>61</v>
      </c>
      <c r="P2038">
        <v>100</v>
      </c>
      <c r="Q2038" t="s">
        <v>52</v>
      </c>
      <c r="R2038" t="s">
        <v>52</v>
      </c>
      <c r="S2038" t="s">
        <v>52</v>
      </c>
      <c r="T2038" t="s">
        <v>52</v>
      </c>
      <c r="U2038" t="s">
        <v>52</v>
      </c>
      <c r="V2038" t="s">
        <v>62</v>
      </c>
      <c r="W2038" t="s">
        <v>52</v>
      </c>
      <c r="Y2038" t="s">
        <v>1495</v>
      </c>
      <c r="Z2038" t="s">
        <v>62</v>
      </c>
      <c r="AB2038" t="s">
        <v>7563</v>
      </c>
      <c r="AE2038" t="s">
        <v>7564</v>
      </c>
      <c r="AF2038" t="s">
        <v>52</v>
      </c>
      <c r="AH2038">
        <v>0</v>
      </c>
      <c r="AI2038">
        <v>0</v>
      </c>
      <c r="AJ2038" t="s">
        <v>52</v>
      </c>
      <c r="AK2038">
        <v>0</v>
      </c>
      <c r="AL2038" t="s">
        <v>52</v>
      </c>
      <c r="AM2038" t="s">
        <v>52</v>
      </c>
      <c r="AN2038">
        <v>0</v>
      </c>
      <c r="AO2038">
        <v>0</v>
      </c>
      <c r="AP2038" t="s">
        <v>52</v>
      </c>
      <c r="AQ2038" t="s">
        <v>52</v>
      </c>
      <c r="AR2038" t="s">
        <v>62</v>
      </c>
      <c r="AS2038" t="s">
        <v>52</v>
      </c>
      <c r="AT2038" t="s">
        <v>74</v>
      </c>
      <c r="AU2038" t="s">
        <v>64</v>
      </c>
      <c r="AV2038" t="s">
        <v>62</v>
      </c>
      <c r="AW2038" t="s">
        <v>65</v>
      </c>
      <c r="AX2038" t="s">
        <v>66</v>
      </c>
      <c r="AY2038" t="s">
        <v>67</v>
      </c>
    </row>
    <row r="2039" spans="1:51" hidden="1" x14ac:dyDescent="0.25">
      <c r="A2039">
        <v>403176</v>
      </c>
      <c r="B2039" t="s">
        <v>7565</v>
      </c>
      <c r="C2039" t="e">
        <f>VLOOKUP(A2039,[1]Customer_payment_journal_line!$AL:$BO,30,0)</f>
        <v>#N/A</v>
      </c>
      <c r="D2039" t="s">
        <v>159</v>
      </c>
      <c r="E2039" t="s">
        <v>7566</v>
      </c>
      <c r="F2039" t="s">
        <v>7567</v>
      </c>
      <c r="G2039" t="s">
        <v>6741</v>
      </c>
      <c r="H2039" t="s">
        <v>210</v>
      </c>
      <c r="I2039" t="s">
        <v>7568</v>
      </c>
      <c r="K2039" t="s">
        <v>6244</v>
      </c>
      <c r="L2039" t="s">
        <v>52</v>
      </c>
      <c r="M2039">
        <v>200</v>
      </c>
      <c r="N2039">
        <v>0</v>
      </c>
      <c r="O2039" t="s">
        <v>178</v>
      </c>
      <c r="P2039">
        <v>5085</v>
      </c>
      <c r="Q2039" t="s">
        <v>52</v>
      </c>
      <c r="R2039" t="s">
        <v>52</v>
      </c>
      <c r="S2039" t="s">
        <v>52</v>
      </c>
      <c r="T2039" t="s">
        <v>52</v>
      </c>
      <c r="U2039" t="s">
        <v>52</v>
      </c>
      <c r="V2039" t="s">
        <v>62</v>
      </c>
      <c r="W2039" t="s">
        <v>63</v>
      </c>
      <c r="Y2039" t="s">
        <v>52</v>
      </c>
      <c r="AB2039" t="s">
        <v>7569</v>
      </c>
      <c r="AE2039" t="s">
        <v>7570</v>
      </c>
      <c r="AF2039" t="s">
        <v>52</v>
      </c>
      <c r="AG2039" t="s">
        <v>2320</v>
      </c>
      <c r="AH2039">
        <v>0</v>
      </c>
      <c r="AI2039">
        <v>0</v>
      </c>
      <c r="AJ2039" t="s">
        <v>52</v>
      </c>
      <c r="AK2039">
        <v>0</v>
      </c>
      <c r="AL2039" t="s">
        <v>52</v>
      </c>
      <c r="AM2039" t="s">
        <v>52</v>
      </c>
      <c r="AN2039">
        <v>0</v>
      </c>
      <c r="AO2039">
        <v>0</v>
      </c>
      <c r="AP2039" t="s">
        <v>52</v>
      </c>
      <c r="AQ2039" t="s">
        <v>52</v>
      </c>
      <c r="AR2039" t="s">
        <v>62</v>
      </c>
      <c r="AS2039" t="s">
        <v>52</v>
      </c>
      <c r="AT2039" t="s">
        <v>52</v>
      </c>
      <c r="AU2039" t="s">
        <v>64</v>
      </c>
      <c r="AV2039" t="s">
        <v>62</v>
      </c>
      <c r="AW2039" t="s">
        <v>65</v>
      </c>
      <c r="AX2039" t="s">
        <v>66</v>
      </c>
      <c r="AY2039" t="s">
        <v>165</v>
      </c>
    </row>
    <row r="2040" spans="1:51" hidden="1" x14ac:dyDescent="0.25">
      <c r="A2040">
        <v>403176</v>
      </c>
      <c r="B2040" t="s">
        <v>7571</v>
      </c>
      <c r="C2040" t="e">
        <f>VLOOKUP(A2040,[1]Customer_payment_journal_line!$AL:$BO,30,0)</f>
        <v>#N/A</v>
      </c>
      <c r="D2040" t="s">
        <v>159</v>
      </c>
      <c r="E2040" t="s">
        <v>7566</v>
      </c>
      <c r="F2040" t="s">
        <v>7567</v>
      </c>
      <c r="G2040" t="s">
        <v>6741</v>
      </c>
      <c r="H2040" t="s">
        <v>69</v>
      </c>
      <c r="I2040" t="s">
        <v>5846</v>
      </c>
      <c r="J2040" t="s">
        <v>5843</v>
      </c>
      <c r="K2040" t="s">
        <v>6244</v>
      </c>
      <c r="L2040" t="s">
        <v>52</v>
      </c>
      <c r="M2040">
        <v>0</v>
      </c>
      <c r="N2040">
        <v>200</v>
      </c>
      <c r="O2040" t="s">
        <v>178</v>
      </c>
      <c r="P2040">
        <v>5085</v>
      </c>
      <c r="Q2040" t="s">
        <v>52</v>
      </c>
      <c r="R2040" t="s">
        <v>52</v>
      </c>
      <c r="S2040" t="s">
        <v>52</v>
      </c>
      <c r="T2040" t="s">
        <v>52</v>
      </c>
      <c r="U2040" t="s">
        <v>52</v>
      </c>
      <c r="V2040" t="s">
        <v>62</v>
      </c>
      <c r="W2040" t="s">
        <v>52</v>
      </c>
      <c r="Y2040" t="s">
        <v>5847</v>
      </c>
      <c r="Z2040" t="s">
        <v>62</v>
      </c>
      <c r="AB2040" t="s">
        <v>7569</v>
      </c>
      <c r="AE2040" t="s">
        <v>7570</v>
      </c>
      <c r="AF2040" t="s">
        <v>52</v>
      </c>
      <c r="AG2040" t="s">
        <v>2320</v>
      </c>
      <c r="AH2040">
        <v>0</v>
      </c>
      <c r="AI2040">
        <v>0</v>
      </c>
      <c r="AJ2040" t="s">
        <v>52</v>
      </c>
      <c r="AK2040">
        <v>0</v>
      </c>
      <c r="AL2040" t="s">
        <v>52</v>
      </c>
      <c r="AM2040" t="s">
        <v>52</v>
      </c>
      <c r="AN2040">
        <v>0</v>
      </c>
      <c r="AO2040">
        <v>0</v>
      </c>
      <c r="AP2040" t="s">
        <v>52</v>
      </c>
      <c r="AQ2040" t="s">
        <v>52</v>
      </c>
      <c r="AR2040" t="s">
        <v>62</v>
      </c>
      <c r="AS2040" t="s">
        <v>52</v>
      </c>
      <c r="AT2040" t="s">
        <v>74</v>
      </c>
      <c r="AU2040" t="s">
        <v>64</v>
      </c>
      <c r="AV2040" t="s">
        <v>62</v>
      </c>
      <c r="AW2040" t="s">
        <v>65</v>
      </c>
      <c r="AX2040" t="s">
        <v>66</v>
      </c>
      <c r="AY2040" t="s">
        <v>165</v>
      </c>
    </row>
    <row r="2041" spans="1:51" hidden="1" x14ac:dyDescent="0.25">
      <c r="A2041">
        <v>404444</v>
      </c>
      <c r="B2041" t="s">
        <v>7572</v>
      </c>
      <c r="C2041" t="e">
        <f>VLOOKUP(A2041,[1]Customer_payment_journal_line!$AL:$BO,30,0)</f>
        <v>#N/A</v>
      </c>
      <c r="D2041" t="s">
        <v>159</v>
      </c>
      <c r="E2041" t="s">
        <v>7573</v>
      </c>
      <c r="F2041" t="s">
        <v>7574</v>
      </c>
      <c r="G2041" t="s">
        <v>6741</v>
      </c>
      <c r="H2041" t="s">
        <v>210</v>
      </c>
      <c r="I2041" t="s">
        <v>7568</v>
      </c>
      <c r="K2041" t="s">
        <v>6244</v>
      </c>
      <c r="L2041" t="s">
        <v>52</v>
      </c>
      <c r="M2041">
        <v>400</v>
      </c>
      <c r="N2041">
        <v>0</v>
      </c>
      <c r="O2041" t="s">
        <v>178</v>
      </c>
      <c r="P2041">
        <v>5085</v>
      </c>
      <c r="Q2041" t="s">
        <v>52</v>
      </c>
      <c r="R2041" t="s">
        <v>52</v>
      </c>
      <c r="S2041" t="s">
        <v>52</v>
      </c>
      <c r="T2041" t="s">
        <v>52</v>
      </c>
      <c r="U2041" t="s">
        <v>52</v>
      </c>
      <c r="V2041" t="s">
        <v>62</v>
      </c>
      <c r="W2041" t="s">
        <v>63</v>
      </c>
      <c r="Y2041" t="s">
        <v>52</v>
      </c>
      <c r="AB2041" t="s">
        <v>7569</v>
      </c>
      <c r="AE2041" t="s">
        <v>7570</v>
      </c>
      <c r="AF2041" t="s">
        <v>52</v>
      </c>
      <c r="AG2041" t="s">
        <v>5213</v>
      </c>
      <c r="AH2041">
        <v>0</v>
      </c>
      <c r="AI2041">
        <v>0</v>
      </c>
      <c r="AJ2041" t="s">
        <v>52</v>
      </c>
      <c r="AK2041">
        <v>0</v>
      </c>
      <c r="AL2041" t="s">
        <v>52</v>
      </c>
      <c r="AM2041" t="s">
        <v>52</v>
      </c>
      <c r="AN2041">
        <v>0</v>
      </c>
      <c r="AO2041">
        <v>0</v>
      </c>
      <c r="AP2041" t="s">
        <v>52</v>
      </c>
      <c r="AQ2041" t="s">
        <v>52</v>
      </c>
      <c r="AR2041" t="s">
        <v>62</v>
      </c>
      <c r="AS2041" t="s">
        <v>52</v>
      </c>
      <c r="AT2041" t="s">
        <v>52</v>
      </c>
      <c r="AU2041" t="s">
        <v>64</v>
      </c>
      <c r="AV2041" t="s">
        <v>62</v>
      </c>
      <c r="AW2041" t="s">
        <v>65</v>
      </c>
      <c r="AX2041" t="s">
        <v>66</v>
      </c>
      <c r="AY2041" t="s">
        <v>165</v>
      </c>
    </row>
    <row r="2042" spans="1:51" hidden="1" x14ac:dyDescent="0.25">
      <c r="A2042">
        <v>404444</v>
      </c>
      <c r="B2042" t="s">
        <v>7575</v>
      </c>
      <c r="C2042" t="e">
        <f>VLOOKUP(A2042,[1]Customer_payment_journal_line!$AL:$BO,30,0)</f>
        <v>#N/A</v>
      </c>
      <c r="D2042" t="s">
        <v>159</v>
      </c>
      <c r="E2042" t="s">
        <v>7573</v>
      </c>
      <c r="F2042" t="s">
        <v>7574</v>
      </c>
      <c r="G2042" t="s">
        <v>6741</v>
      </c>
      <c r="H2042" t="s">
        <v>69</v>
      </c>
      <c r="I2042" t="s">
        <v>5846</v>
      </c>
      <c r="J2042" t="s">
        <v>5843</v>
      </c>
      <c r="K2042" t="s">
        <v>6244</v>
      </c>
      <c r="L2042" t="s">
        <v>52</v>
      </c>
      <c r="M2042">
        <v>0</v>
      </c>
      <c r="N2042">
        <v>400</v>
      </c>
      <c r="O2042" t="s">
        <v>178</v>
      </c>
      <c r="P2042">
        <v>5085</v>
      </c>
      <c r="Q2042" t="s">
        <v>52</v>
      </c>
      <c r="R2042" t="s">
        <v>52</v>
      </c>
      <c r="S2042" t="s">
        <v>52</v>
      </c>
      <c r="T2042" t="s">
        <v>52</v>
      </c>
      <c r="U2042" t="s">
        <v>52</v>
      </c>
      <c r="V2042" t="s">
        <v>62</v>
      </c>
      <c r="W2042" t="s">
        <v>52</v>
      </c>
      <c r="Y2042" t="s">
        <v>5847</v>
      </c>
      <c r="Z2042" t="s">
        <v>62</v>
      </c>
      <c r="AB2042" t="s">
        <v>7569</v>
      </c>
      <c r="AE2042" t="s">
        <v>7570</v>
      </c>
      <c r="AF2042" t="s">
        <v>52</v>
      </c>
      <c r="AG2042" t="s">
        <v>5213</v>
      </c>
      <c r="AH2042">
        <v>0</v>
      </c>
      <c r="AI2042">
        <v>0</v>
      </c>
      <c r="AJ2042" t="s">
        <v>52</v>
      </c>
      <c r="AK2042">
        <v>0</v>
      </c>
      <c r="AL2042" t="s">
        <v>52</v>
      </c>
      <c r="AM2042" t="s">
        <v>52</v>
      </c>
      <c r="AN2042">
        <v>0</v>
      </c>
      <c r="AO2042">
        <v>0</v>
      </c>
      <c r="AP2042" t="s">
        <v>52</v>
      </c>
      <c r="AQ2042" t="s">
        <v>52</v>
      </c>
      <c r="AR2042" t="s">
        <v>62</v>
      </c>
      <c r="AS2042" t="s">
        <v>52</v>
      </c>
      <c r="AT2042" t="s">
        <v>74</v>
      </c>
      <c r="AU2042" t="s">
        <v>64</v>
      </c>
      <c r="AV2042" t="s">
        <v>62</v>
      </c>
      <c r="AW2042" t="s">
        <v>65</v>
      </c>
      <c r="AX2042" t="s">
        <v>66</v>
      </c>
      <c r="AY2042" t="s">
        <v>165</v>
      </c>
    </row>
    <row r="2043" spans="1:51" hidden="1" x14ac:dyDescent="0.25">
      <c r="A2043">
        <v>203884</v>
      </c>
      <c r="B2043" t="s">
        <v>7576</v>
      </c>
      <c r="C2043" t="str">
        <f>VLOOKUP(A2043,[1]Customer_payment_journal_line!$AL:$BO,30,0)</f>
        <v>CPay-000000122</v>
      </c>
      <c r="D2043" t="s">
        <v>53</v>
      </c>
      <c r="E2043" t="s">
        <v>7577</v>
      </c>
      <c r="F2043" t="s">
        <v>7578</v>
      </c>
      <c r="G2043" t="s">
        <v>7579</v>
      </c>
      <c r="H2043" t="s">
        <v>57</v>
      </c>
      <c r="I2043" t="s">
        <v>95</v>
      </c>
      <c r="J2043" t="s">
        <v>2378</v>
      </c>
      <c r="K2043" t="s">
        <v>7580</v>
      </c>
      <c r="L2043">
        <f>VLOOKUP(A2043,[1]Customer_payment_journal_line!$B:$L,11,0)</f>
        <v>578.15</v>
      </c>
      <c r="M2043" s="1">
        <v>578.15</v>
      </c>
      <c r="N2043" s="2">
        <f>L2043-M2043</f>
        <v>0</v>
      </c>
      <c r="O2043" t="s">
        <v>61</v>
      </c>
      <c r="P2043">
        <v>100</v>
      </c>
      <c r="Q2043" t="s">
        <v>52</v>
      </c>
      <c r="R2043" t="s">
        <v>52</v>
      </c>
      <c r="S2043" t="s">
        <v>52</v>
      </c>
      <c r="T2043" t="s">
        <v>52</v>
      </c>
      <c r="U2043" t="s">
        <v>52</v>
      </c>
      <c r="V2043" t="s">
        <v>62</v>
      </c>
      <c r="W2043" t="s">
        <v>63</v>
      </c>
      <c r="Y2043" t="s">
        <v>52</v>
      </c>
      <c r="AB2043" t="s">
        <v>52</v>
      </c>
      <c r="AE2043" t="s">
        <v>52</v>
      </c>
      <c r="AF2043" t="s">
        <v>52</v>
      </c>
      <c r="AH2043">
        <v>0</v>
      </c>
      <c r="AI2043">
        <v>0</v>
      </c>
      <c r="AJ2043" t="s">
        <v>52</v>
      </c>
      <c r="AK2043">
        <v>0</v>
      </c>
      <c r="AL2043" t="s">
        <v>52</v>
      </c>
      <c r="AM2043" t="s">
        <v>52</v>
      </c>
      <c r="AN2043">
        <v>0</v>
      </c>
      <c r="AO2043">
        <v>0</v>
      </c>
      <c r="AP2043" t="s">
        <v>52</v>
      </c>
      <c r="AQ2043" t="s">
        <v>52</v>
      </c>
      <c r="AR2043" t="s">
        <v>62</v>
      </c>
      <c r="AS2043" t="s">
        <v>52</v>
      </c>
      <c r="AT2043" t="s">
        <v>52</v>
      </c>
      <c r="AU2043" t="s">
        <v>64</v>
      </c>
      <c r="AV2043" t="s">
        <v>62</v>
      </c>
      <c r="AW2043" t="s">
        <v>65</v>
      </c>
      <c r="AX2043" t="s">
        <v>66</v>
      </c>
      <c r="AY2043" t="s">
        <v>67</v>
      </c>
    </row>
    <row r="2044" spans="1:51" hidden="1" x14ac:dyDescent="0.25">
      <c r="A2044">
        <v>203884</v>
      </c>
      <c r="B2044" t="s">
        <v>7581</v>
      </c>
      <c r="C2044" t="str">
        <f>VLOOKUP(A2044,[1]Customer_payment_journal_line!$AL:$BO,30,0)</f>
        <v>CPay-000000122</v>
      </c>
      <c r="D2044" t="s">
        <v>53</v>
      </c>
      <c r="E2044" t="s">
        <v>7577</v>
      </c>
      <c r="F2044" t="s">
        <v>7578</v>
      </c>
      <c r="G2044" t="s">
        <v>7579</v>
      </c>
      <c r="H2044" t="s">
        <v>69</v>
      </c>
      <c r="I2044" t="s">
        <v>2371</v>
      </c>
      <c r="J2044" t="s">
        <v>2378</v>
      </c>
      <c r="K2044" t="s">
        <v>7580</v>
      </c>
      <c r="L2044">
        <f>VLOOKUP(A2044,[1]Customer_payment_journal_line!$B:$L,11,0)</f>
        <v>578.15</v>
      </c>
      <c r="M2044" s="1">
        <v>0</v>
      </c>
      <c r="N2044">
        <v>578.15</v>
      </c>
      <c r="O2044" t="s">
        <v>61</v>
      </c>
      <c r="P2044">
        <v>100</v>
      </c>
      <c r="Q2044" t="s">
        <v>52</v>
      </c>
      <c r="R2044" t="s">
        <v>52</v>
      </c>
      <c r="S2044" t="s">
        <v>52</v>
      </c>
      <c r="T2044" t="s">
        <v>52</v>
      </c>
      <c r="U2044" t="s">
        <v>52</v>
      </c>
      <c r="V2044" t="s">
        <v>62</v>
      </c>
      <c r="W2044" t="s">
        <v>52</v>
      </c>
      <c r="Y2044" t="s">
        <v>2372</v>
      </c>
      <c r="Z2044" t="s">
        <v>62</v>
      </c>
      <c r="AB2044" t="s">
        <v>7582</v>
      </c>
      <c r="AE2044" t="s">
        <v>7583</v>
      </c>
      <c r="AF2044" t="s">
        <v>52</v>
      </c>
      <c r="AH2044">
        <v>0</v>
      </c>
      <c r="AI2044">
        <v>0</v>
      </c>
      <c r="AJ2044" t="s">
        <v>52</v>
      </c>
      <c r="AK2044">
        <v>0</v>
      </c>
      <c r="AL2044" t="s">
        <v>52</v>
      </c>
      <c r="AM2044" t="s">
        <v>52</v>
      </c>
      <c r="AN2044">
        <v>0</v>
      </c>
      <c r="AO2044">
        <v>0</v>
      </c>
      <c r="AP2044" t="s">
        <v>52</v>
      </c>
      <c r="AQ2044" t="s">
        <v>52</v>
      </c>
      <c r="AR2044" t="s">
        <v>62</v>
      </c>
      <c r="AS2044" t="s">
        <v>52</v>
      </c>
      <c r="AT2044" t="s">
        <v>74</v>
      </c>
      <c r="AU2044" t="s">
        <v>64</v>
      </c>
      <c r="AV2044" t="s">
        <v>62</v>
      </c>
      <c r="AW2044" t="s">
        <v>65</v>
      </c>
      <c r="AX2044" t="s">
        <v>66</v>
      </c>
      <c r="AY2044" t="s">
        <v>67</v>
      </c>
    </row>
    <row r="2045" spans="1:51" hidden="1" x14ac:dyDescent="0.25">
      <c r="A2045">
        <v>203885</v>
      </c>
      <c r="B2045" t="s">
        <v>7584</v>
      </c>
      <c r="C2045" t="str">
        <f>VLOOKUP(A2045,[1]Customer_payment_journal_line!$AL:$BO,30,0)</f>
        <v>CPay-000000123</v>
      </c>
      <c r="D2045" t="s">
        <v>53</v>
      </c>
      <c r="E2045" t="s">
        <v>7585</v>
      </c>
      <c r="F2045" t="s">
        <v>7586</v>
      </c>
      <c r="G2045" t="s">
        <v>7579</v>
      </c>
      <c r="H2045" t="s">
        <v>57</v>
      </c>
      <c r="I2045" t="s">
        <v>95</v>
      </c>
      <c r="J2045" t="s">
        <v>2378</v>
      </c>
      <c r="K2045" t="s">
        <v>7580</v>
      </c>
      <c r="L2045">
        <f>VLOOKUP(A2045,[1]Customer_payment_journal_line!$B:$L,11,0)</f>
        <v>1653</v>
      </c>
      <c r="M2045" s="1">
        <v>1653</v>
      </c>
      <c r="N2045" s="2">
        <f>L2045-M2045</f>
        <v>0</v>
      </c>
      <c r="O2045" t="s">
        <v>61</v>
      </c>
      <c r="P2045">
        <v>100</v>
      </c>
      <c r="Q2045" t="s">
        <v>52</v>
      </c>
      <c r="R2045" t="s">
        <v>52</v>
      </c>
      <c r="S2045" t="s">
        <v>52</v>
      </c>
      <c r="T2045" t="s">
        <v>52</v>
      </c>
      <c r="U2045" t="s">
        <v>52</v>
      </c>
      <c r="V2045" t="s">
        <v>62</v>
      </c>
      <c r="W2045" t="s">
        <v>63</v>
      </c>
      <c r="Y2045" t="s">
        <v>52</v>
      </c>
      <c r="AB2045" t="s">
        <v>52</v>
      </c>
      <c r="AE2045" t="s">
        <v>52</v>
      </c>
      <c r="AF2045" t="s">
        <v>52</v>
      </c>
      <c r="AH2045">
        <v>0</v>
      </c>
      <c r="AI2045">
        <v>0</v>
      </c>
      <c r="AJ2045" t="s">
        <v>52</v>
      </c>
      <c r="AK2045">
        <v>0</v>
      </c>
      <c r="AL2045" t="s">
        <v>52</v>
      </c>
      <c r="AM2045" t="s">
        <v>52</v>
      </c>
      <c r="AN2045">
        <v>0</v>
      </c>
      <c r="AO2045">
        <v>0</v>
      </c>
      <c r="AP2045" t="s">
        <v>52</v>
      </c>
      <c r="AQ2045" t="s">
        <v>52</v>
      </c>
      <c r="AR2045" t="s">
        <v>62</v>
      </c>
      <c r="AS2045" t="s">
        <v>52</v>
      </c>
      <c r="AT2045" t="s">
        <v>52</v>
      </c>
      <c r="AU2045" t="s">
        <v>64</v>
      </c>
      <c r="AV2045" t="s">
        <v>62</v>
      </c>
      <c r="AW2045" t="s">
        <v>65</v>
      </c>
      <c r="AX2045" t="s">
        <v>66</v>
      </c>
      <c r="AY2045" t="s">
        <v>67</v>
      </c>
    </row>
    <row r="2046" spans="1:51" hidden="1" x14ac:dyDescent="0.25">
      <c r="A2046">
        <v>203885</v>
      </c>
      <c r="B2046" t="s">
        <v>7587</v>
      </c>
      <c r="C2046" t="str">
        <f>VLOOKUP(A2046,[1]Customer_payment_journal_line!$AL:$BO,30,0)</f>
        <v>CPay-000000123</v>
      </c>
      <c r="D2046" t="s">
        <v>53</v>
      </c>
      <c r="E2046" t="s">
        <v>7585</v>
      </c>
      <c r="F2046" t="s">
        <v>7586</v>
      </c>
      <c r="G2046" t="s">
        <v>7579</v>
      </c>
      <c r="H2046" t="s">
        <v>69</v>
      </c>
      <c r="I2046" t="s">
        <v>2371</v>
      </c>
      <c r="J2046" t="s">
        <v>2378</v>
      </c>
      <c r="K2046" t="s">
        <v>7580</v>
      </c>
      <c r="L2046">
        <f>VLOOKUP(A2046,[1]Customer_payment_journal_line!$B:$L,11,0)</f>
        <v>1653</v>
      </c>
      <c r="M2046" s="1">
        <v>0</v>
      </c>
      <c r="N2046">
        <v>1653</v>
      </c>
      <c r="O2046" t="s">
        <v>61</v>
      </c>
      <c r="P2046">
        <v>100</v>
      </c>
      <c r="Q2046" t="s">
        <v>52</v>
      </c>
      <c r="R2046" t="s">
        <v>52</v>
      </c>
      <c r="S2046" t="s">
        <v>52</v>
      </c>
      <c r="T2046" t="s">
        <v>52</v>
      </c>
      <c r="U2046" t="s">
        <v>52</v>
      </c>
      <c r="V2046" t="s">
        <v>62</v>
      </c>
      <c r="W2046" t="s">
        <v>52</v>
      </c>
      <c r="Y2046" t="s">
        <v>2372</v>
      </c>
      <c r="Z2046" t="s">
        <v>62</v>
      </c>
      <c r="AB2046" t="s">
        <v>7588</v>
      </c>
      <c r="AE2046" t="s">
        <v>7589</v>
      </c>
      <c r="AF2046" t="s">
        <v>52</v>
      </c>
      <c r="AH2046">
        <v>0</v>
      </c>
      <c r="AI2046">
        <v>0</v>
      </c>
      <c r="AJ2046" t="s">
        <v>52</v>
      </c>
      <c r="AK2046">
        <v>0</v>
      </c>
      <c r="AL2046" t="s">
        <v>52</v>
      </c>
      <c r="AM2046" t="s">
        <v>52</v>
      </c>
      <c r="AN2046">
        <v>0</v>
      </c>
      <c r="AO2046">
        <v>0</v>
      </c>
      <c r="AP2046" t="s">
        <v>52</v>
      </c>
      <c r="AQ2046" t="s">
        <v>52</v>
      </c>
      <c r="AR2046" t="s">
        <v>62</v>
      </c>
      <c r="AS2046" t="s">
        <v>52</v>
      </c>
      <c r="AT2046" t="s">
        <v>74</v>
      </c>
      <c r="AU2046" t="s">
        <v>64</v>
      </c>
      <c r="AV2046" t="s">
        <v>62</v>
      </c>
      <c r="AW2046" t="s">
        <v>65</v>
      </c>
      <c r="AX2046" t="s">
        <v>66</v>
      </c>
      <c r="AY2046" t="s">
        <v>67</v>
      </c>
    </row>
    <row r="2047" spans="1:51" hidden="1" x14ac:dyDescent="0.25">
      <c r="A2047">
        <v>203889</v>
      </c>
      <c r="B2047" t="s">
        <v>7590</v>
      </c>
      <c r="C2047" t="str">
        <f>VLOOKUP(A2047,[1]Customer_payment_journal_line!$AL:$BO,30,0)</f>
        <v>CPay-000000124</v>
      </c>
      <c r="D2047" t="s">
        <v>53</v>
      </c>
      <c r="E2047" t="s">
        <v>7591</v>
      </c>
      <c r="F2047" t="s">
        <v>7592</v>
      </c>
      <c r="G2047" t="s">
        <v>7579</v>
      </c>
      <c r="H2047" t="s">
        <v>57</v>
      </c>
      <c r="I2047" t="s">
        <v>95</v>
      </c>
      <c r="J2047" t="s">
        <v>1082</v>
      </c>
      <c r="K2047" t="s">
        <v>7593</v>
      </c>
      <c r="L2047">
        <f>VLOOKUP(A2047,[1]Customer_payment_journal_line!$B:$L,11,0)</f>
        <v>1653</v>
      </c>
      <c r="M2047" s="1">
        <v>1653</v>
      </c>
      <c r="N2047" s="2">
        <f>L2047-M2047</f>
        <v>0</v>
      </c>
      <c r="O2047" t="s">
        <v>61</v>
      </c>
      <c r="P2047">
        <v>100</v>
      </c>
      <c r="Q2047" t="s">
        <v>52</v>
      </c>
      <c r="R2047" t="s">
        <v>52</v>
      </c>
      <c r="S2047" t="s">
        <v>52</v>
      </c>
      <c r="T2047" t="s">
        <v>52</v>
      </c>
      <c r="U2047" t="s">
        <v>52</v>
      </c>
      <c r="V2047" t="s">
        <v>62</v>
      </c>
      <c r="W2047" t="s">
        <v>63</v>
      </c>
      <c r="Y2047" t="s">
        <v>52</v>
      </c>
      <c r="AB2047" t="s">
        <v>52</v>
      </c>
      <c r="AE2047" t="s">
        <v>52</v>
      </c>
      <c r="AF2047" t="s">
        <v>52</v>
      </c>
      <c r="AH2047">
        <v>0</v>
      </c>
      <c r="AI2047">
        <v>0</v>
      </c>
      <c r="AJ2047" t="s">
        <v>52</v>
      </c>
      <c r="AK2047">
        <v>0</v>
      </c>
      <c r="AL2047" t="s">
        <v>52</v>
      </c>
      <c r="AM2047" t="s">
        <v>52</v>
      </c>
      <c r="AN2047">
        <v>0</v>
      </c>
      <c r="AO2047">
        <v>0</v>
      </c>
      <c r="AP2047" t="s">
        <v>52</v>
      </c>
      <c r="AQ2047" t="s">
        <v>52</v>
      </c>
      <c r="AR2047" t="s">
        <v>62</v>
      </c>
      <c r="AS2047" t="s">
        <v>52</v>
      </c>
      <c r="AT2047" t="s">
        <v>52</v>
      </c>
      <c r="AU2047" t="s">
        <v>64</v>
      </c>
      <c r="AV2047" t="s">
        <v>62</v>
      </c>
      <c r="AW2047" t="s">
        <v>65</v>
      </c>
      <c r="AX2047" t="s">
        <v>66</v>
      </c>
      <c r="AY2047" t="s">
        <v>67</v>
      </c>
    </row>
    <row r="2048" spans="1:51" hidden="1" x14ac:dyDescent="0.25">
      <c r="A2048">
        <v>203889</v>
      </c>
      <c r="B2048" t="s">
        <v>7594</v>
      </c>
      <c r="C2048" t="str">
        <f>VLOOKUP(A2048,[1]Customer_payment_journal_line!$AL:$BO,30,0)</f>
        <v>CPay-000000124</v>
      </c>
      <c r="D2048" t="s">
        <v>53</v>
      </c>
      <c r="E2048" t="s">
        <v>7591</v>
      </c>
      <c r="F2048" t="s">
        <v>7592</v>
      </c>
      <c r="G2048" t="s">
        <v>7579</v>
      </c>
      <c r="H2048" t="s">
        <v>69</v>
      </c>
      <c r="I2048" t="s">
        <v>1085</v>
      </c>
      <c r="J2048" t="s">
        <v>1082</v>
      </c>
      <c r="K2048" t="s">
        <v>7593</v>
      </c>
      <c r="L2048">
        <f>VLOOKUP(A2048,[1]Customer_payment_journal_line!$B:$L,11,0)</f>
        <v>1653</v>
      </c>
      <c r="M2048" s="1">
        <v>0</v>
      </c>
      <c r="N2048">
        <v>1653</v>
      </c>
      <c r="O2048" t="s">
        <v>61</v>
      </c>
      <c r="P2048">
        <v>100</v>
      </c>
      <c r="Q2048" t="s">
        <v>52</v>
      </c>
      <c r="R2048" t="s">
        <v>52</v>
      </c>
      <c r="S2048" t="s">
        <v>52</v>
      </c>
      <c r="T2048" t="s">
        <v>52</v>
      </c>
      <c r="U2048" t="s">
        <v>52</v>
      </c>
      <c r="V2048" t="s">
        <v>62</v>
      </c>
      <c r="W2048" t="s">
        <v>52</v>
      </c>
      <c r="Y2048" t="s">
        <v>1086</v>
      </c>
      <c r="Z2048" t="s">
        <v>62</v>
      </c>
      <c r="AB2048" t="s">
        <v>7595</v>
      </c>
      <c r="AE2048" t="s">
        <v>7596</v>
      </c>
      <c r="AF2048" t="s">
        <v>52</v>
      </c>
      <c r="AH2048">
        <v>0</v>
      </c>
      <c r="AI2048">
        <v>0</v>
      </c>
      <c r="AJ2048" t="s">
        <v>52</v>
      </c>
      <c r="AK2048">
        <v>0</v>
      </c>
      <c r="AL2048" t="s">
        <v>52</v>
      </c>
      <c r="AM2048" t="s">
        <v>52</v>
      </c>
      <c r="AN2048">
        <v>0</v>
      </c>
      <c r="AO2048">
        <v>0</v>
      </c>
      <c r="AP2048" t="s">
        <v>52</v>
      </c>
      <c r="AQ2048" t="s">
        <v>52</v>
      </c>
      <c r="AR2048" t="s">
        <v>62</v>
      </c>
      <c r="AS2048" t="s">
        <v>52</v>
      </c>
      <c r="AT2048" t="s">
        <v>74</v>
      </c>
      <c r="AU2048" t="s">
        <v>64</v>
      </c>
      <c r="AV2048" t="s">
        <v>62</v>
      </c>
      <c r="AW2048" t="s">
        <v>65</v>
      </c>
      <c r="AX2048" t="s">
        <v>66</v>
      </c>
      <c r="AY2048" t="s">
        <v>67</v>
      </c>
    </row>
    <row r="2049" spans="1:51" hidden="1" x14ac:dyDescent="0.25">
      <c r="A2049">
        <v>203890</v>
      </c>
      <c r="B2049" t="s">
        <v>7597</v>
      </c>
      <c r="C2049" t="str">
        <f>VLOOKUP(A2049,[1]Customer_payment_journal_line!$AL:$BO,30,0)</f>
        <v>CPay-000000125</v>
      </c>
      <c r="D2049" t="s">
        <v>53</v>
      </c>
      <c r="E2049" t="s">
        <v>7598</v>
      </c>
      <c r="F2049" t="s">
        <v>7599</v>
      </c>
      <c r="G2049" t="s">
        <v>7579</v>
      </c>
      <c r="H2049" t="s">
        <v>57</v>
      </c>
      <c r="I2049" t="s">
        <v>95</v>
      </c>
      <c r="J2049" t="s">
        <v>1082</v>
      </c>
      <c r="K2049" t="s">
        <v>7593</v>
      </c>
      <c r="L2049">
        <f>VLOOKUP(A2049,[1]Customer_payment_journal_line!$B:$L,11,0)</f>
        <v>661.2</v>
      </c>
      <c r="M2049" s="1">
        <v>661.2</v>
      </c>
      <c r="N2049" s="2">
        <f>L2049-M2049</f>
        <v>0</v>
      </c>
      <c r="O2049" t="s">
        <v>61</v>
      </c>
      <c r="P2049">
        <v>100</v>
      </c>
      <c r="Q2049" t="s">
        <v>52</v>
      </c>
      <c r="R2049" t="s">
        <v>52</v>
      </c>
      <c r="S2049" t="s">
        <v>52</v>
      </c>
      <c r="T2049" t="s">
        <v>52</v>
      </c>
      <c r="U2049" t="s">
        <v>52</v>
      </c>
      <c r="V2049" t="s">
        <v>62</v>
      </c>
      <c r="W2049" t="s">
        <v>63</v>
      </c>
      <c r="Y2049" t="s">
        <v>52</v>
      </c>
      <c r="AB2049" t="s">
        <v>52</v>
      </c>
      <c r="AE2049" t="s">
        <v>52</v>
      </c>
      <c r="AF2049" t="s">
        <v>52</v>
      </c>
      <c r="AH2049">
        <v>0</v>
      </c>
      <c r="AI2049">
        <v>0</v>
      </c>
      <c r="AJ2049" t="s">
        <v>52</v>
      </c>
      <c r="AK2049">
        <v>0</v>
      </c>
      <c r="AL2049" t="s">
        <v>52</v>
      </c>
      <c r="AM2049" t="s">
        <v>52</v>
      </c>
      <c r="AN2049">
        <v>0</v>
      </c>
      <c r="AO2049">
        <v>0</v>
      </c>
      <c r="AP2049" t="s">
        <v>52</v>
      </c>
      <c r="AQ2049" t="s">
        <v>52</v>
      </c>
      <c r="AR2049" t="s">
        <v>62</v>
      </c>
      <c r="AS2049" t="s">
        <v>52</v>
      </c>
      <c r="AT2049" t="s">
        <v>52</v>
      </c>
      <c r="AU2049" t="s">
        <v>64</v>
      </c>
      <c r="AV2049" t="s">
        <v>62</v>
      </c>
      <c r="AW2049" t="s">
        <v>65</v>
      </c>
      <c r="AX2049" t="s">
        <v>66</v>
      </c>
      <c r="AY2049" t="s">
        <v>67</v>
      </c>
    </row>
    <row r="2050" spans="1:51" hidden="1" x14ac:dyDescent="0.25">
      <c r="A2050">
        <v>203890</v>
      </c>
      <c r="B2050" t="s">
        <v>7600</v>
      </c>
      <c r="C2050" t="str">
        <f>VLOOKUP(A2050,[1]Customer_payment_journal_line!$AL:$BO,30,0)</f>
        <v>CPay-000000125</v>
      </c>
      <c r="D2050" t="s">
        <v>53</v>
      </c>
      <c r="E2050" t="s">
        <v>7598</v>
      </c>
      <c r="F2050" t="s">
        <v>7599</v>
      </c>
      <c r="G2050" t="s">
        <v>7579</v>
      </c>
      <c r="H2050" t="s">
        <v>69</v>
      </c>
      <c r="I2050" t="s">
        <v>1085</v>
      </c>
      <c r="J2050" t="s">
        <v>1082</v>
      </c>
      <c r="K2050" t="s">
        <v>7593</v>
      </c>
      <c r="L2050">
        <f>VLOOKUP(A2050,[1]Customer_payment_journal_line!$B:$L,11,0)</f>
        <v>661.2</v>
      </c>
      <c r="M2050" s="1">
        <v>0</v>
      </c>
      <c r="N2050">
        <v>661.2</v>
      </c>
      <c r="O2050" t="s">
        <v>61</v>
      </c>
      <c r="P2050">
        <v>100</v>
      </c>
      <c r="Q2050" t="s">
        <v>52</v>
      </c>
      <c r="R2050" t="s">
        <v>52</v>
      </c>
      <c r="S2050" t="s">
        <v>52</v>
      </c>
      <c r="T2050" t="s">
        <v>52</v>
      </c>
      <c r="U2050" t="s">
        <v>52</v>
      </c>
      <c r="V2050" t="s">
        <v>62</v>
      </c>
      <c r="W2050" t="s">
        <v>52</v>
      </c>
      <c r="Y2050" t="s">
        <v>1086</v>
      </c>
      <c r="Z2050" t="s">
        <v>62</v>
      </c>
      <c r="AB2050" t="s">
        <v>7601</v>
      </c>
      <c r="AE2050" t="s">
        <v>7602</v>
      </c>
      <c r="AF2050" t="s">
        <v>52</v>
      </c>
      <c r="AH2050">
        <v>0</v>
      </c>
      <c r="AI2050">
        <v>0</v>
      </c>
      <c r="AJ2050" t="s">
        <v>52</v>
      </c>
      <c r="AK2050">
        <v>0</v>
      </c>
      <c r="AL2050" t="s">
        <v>52</v>
      </c>
      <c r="AM2050" t="s">
        <v>52</v>
      </c>
      <c r="AN2050">
        <v>0</v>
      </c>
      <c r="AO2050">
        <v>0</v>
      </c>
      <c r="AP2050" t="s">
        <v>52</v>
      </c>
      <c r="AQ2050" t="s">
        <v>52</v>
      </c>
      <c r="AR2050" t="s">
        <v>62</v>
      </c>
      <c r="AS2050" t="s">
        <v>52</v>
      </c>
      <c r="AT2050" t="s">
        <v>74</v>
      </c>
      <c r="AU2050" t="s">
        <v>64</v>
      </c>
      <c r="AV2050" t="s">
        <v>62</v>
      </c>
      <c r="AW2050" t="s">
        <v>65</v>
      </c>
      <c r="AX2050" t="s">
        <v>66</v>
      </c>
      <c r="AY2050" t="s">
        <v>67</v>
      </c>
    </row>
    <row r="2051" spans="1:51" hidden="1" x14ac:dyDescent="0.25">
      <c r="A2051">
        <v>203895</v>
      </c>
      <c r="B2051" t="s">
        <v>7603</v>
      </c>
      <c r="C2051" t="e">
        <f>VLOOKUP(A2051,[1]Customer_payment_journal_line!$AL:$BO,30,0)</f>
        <v>#N/A</v>
      </c>
      <c r="D2051" t="s">
        <v>159</v>
      </c>
      <c r="E2051" t="s">
        <v>7604</v>
      </c>
      <c r="F2051" t="s">
        <v>7605</v>
      </c>
      <c r="G2051" t="s">
        <v>7579</v>
      </c>
      <c r="H2051" t="s">
        <v>80</v>
      </c>
      <c r="I2051" t="s">
        <v>3014</v>
      </c>
      <c r="J2051" t="s">
        <v>4837</v>
      </c>
      <c r="K2051" t="s">
        <v>7606</v>
      </c>
      <c r="L2051" t="s">
        <v>52</v>
      </c>
      <c r="M2051">
        <v>150</v>
      </c>
      <c r="N2051">
        <v>0</v>
      </c>
      <c r="O2051" t="s">
        <v>178</v>
      </c>
      <c r="P2051">
        <v>5085</v>
      </c>
      <c r="Q2051" t="s">
        <v>52</v>
      </c>
      <c r="R2051" t="s">
        <v>52</v>
      </c>
      <c r="S2051" t="s">
        <v>52</v>
      </c>
      <c r="T2051" t="s">
        <v>52</v>
      </c>
      <c r="U2051" t="s">
        <v>52</v>
      </c>
      <c r="V2051" t="s">
        <v>62</v>
      </c>
      <c r="W2051" t="s">
        <v>52</v>
      </c>
      <c r="Y2051" t="s">
        <v>52</v>
      </c>
      <c r="AB2051" t="s">
        <v>52</v>
      </c>
      <c r="AE2051" t="s">
        <v>52</v>
      </c>
      <c r="AF2051" t="s">
        <v>52</v>
      </c>
      <c r="AH2051">
        <v>0</v>
      </c>
      <c r="AI2051">
        <v>0</v>
      </c>
      <c r="AJ2051" t="s">
        <v>52</v>
      </c>
      <c r="AK2051">
        <v>0</v>
      </c>
      <c r="AL2051" t="s">
        <v>52</v>
      </c>
      <c r="AM2051" t="s">
        <v>52</v>
      </c>
      <c r="AN2051">
        <v>0</v>
      </c>
      <c r="AO2051">
        <v>0</v>
      </c>
      <c r="AP2051" t="s">
        <v>52</v>
      </c>
      <c r="AQ2051" t="s">
        <v>52</v>
      </c>
      <c r="AR2051" t="s">
        <v>62</v>
      </c>
      <c r="AS2051" t="s">
        <v>52</v>
      </c>
      <c r="AT2051" t="s">
        <v>52</v>
      </c>
      <c r="AU2051" t="s">
        <v>64</v>
      </c>
      <c r="AV2051" t="s">
        <v>62</v>
      </c>
      <c r="AW2051" t="s">
        <v>65</v>
      </c>
      <c r="AX2051" t="s">
        <v>66</v>
      </c>
      <c r="AY2051" t="s">
        <v>165</v>
      </c>
    </row>
    <row r="2052" spans="1:51" hidden="1" x14ac:dyDescent="0.25">
      <c r="A2052">
        <v>203895</v>
      </c>
      <c r="B2052" t="s">
        <v>7607</v>
      </c>
      <c r="C2052" t="e">
        <f>VLOOKUP(A2052,[1]Customer_payment_journal_line!$AL:$BO,30,0)</f>
        <v>#N/A</v>
      </c>
      <c r="D2052" t="s">
        <v>159</v>
      </c>
      <c r="E2052" t="s">
        <v>7604</v>
      </c>
      <c r="F2052" t="s">
        <v>7605</v>
      </c>
      <c r="G2052" t="s">
        <v>7579</v>
      </c>
      <c r="H2052" t="s">
        <v>69</v>
      </c>
      <c r="I2052" t="s">
        <v>4840</v>
      </c>
      <c r="J2052" t="s">
        <v>4837</v>
      </c>
      <c r="K2052" t="s">
        <v>7606</v>
      </c>
      <c r="L2052" t="s">
        <v>52</v>
      </c>
      <c r="M2052">
        <v>0</v>
      </c>
      <c r="N2052">
        <v>150</v>
      </c>
      <c r="O2052" t="s">
        <v>178</v>
      </c>
      <c r="P2052">
        <v>5085</v>
      </c>
      <c r="Q2052" t="s">
        <v>52</v>
      </c>
      <c r="R2052" t="s">
        <v>52</v>
      </c>
      <c r="S2052" t="s">
        <v>52</v>
      </c>
      <c r="T2052" t="s">
        <v>52</v>
      </c>
      <c r="U2052" t="s">
        <v>52</v>
      </c>
      <c r="V2052" t="s">
        <v>62</v>
      </c>
      <c r="W2052" t="s">
        <v>52</v>
      </c>
      <c r="Y2052" t="s">
        <v>4841</v>
      </c>
      <c r="Z2052" t="s">
        <v>62</v>
      </c>
      <c r="AB2052" t="s">
        <v>7608</v>
      </c>
      <c r="AE2052" t="s">
        <v>7609</v>
      </c>
      <c r="AF2052" t="s">
        <v>52</v>
      </c>
      <c r="AH2052">
        <v>0</v>
      </c>
      <c r="AI2052">
        <v>0</v>
      </c>
      <c r="AJ2052" t="s">
        <v>52</v>
      </c>
      <c r="AK2052">
        <v>0</v>
      </c>
      <c r="AL2052" t="s">
        <v>52</v>
      </c>
      <c r="AM2052" t="s">
        <v>52</v>
      </c>
      <c r="AN2052">
        <v>0</v>
      </c>
      <c r="AO2052">
        <v>0</v>
      </c>
      <c r="AP2052" t="s">
        <v>52</v>
      </c>
      <c r="AQ2052" t="s">
        <v>52</v>
      </c>
      <c r="AR2052" t="s">
        <v>62</v>
      </c>
      <c r="AS2052" t="s">
        <v>52</v>
      </c>
      <c r="AT2052" t="s">
        <v>74</v>
      </c>
      <c r="AU2052" t="s">
        <v>64</v>
      </c>
      <c r="AV2052" t="s">
        <v>62</v>
      </c>
      <c r="AW2052" t="s">
        <v>65</v>
      </c>
      <c r="AX2052" t="s">
        <v>66</v>
      </c>
      <c r="AY2052" t="s">
        <v>165</v>
      </c>
    </row>
    <row r="2053" spans="1:51" hidden="1" x14ac:dyDescent="0.25">
      <c r="A2053">
        <v>203896</v>
      </c>
      <c r="B2053" t="s">
        <v>7610</v>
      </c>
      <c r="C2053" t="e">
        <f>VLOOKUP(A2053,[1]Customer_payment_journal_line!$AL:$BO,30,0)</f>
        <v>#N/A</v>
      </c>
      <c r="D2053" t="s">
        <v>159</v>
      </c>
      <c r="E2053" t="s">
        <v>7611</v>
      </c>
      <c r="F2053" t="s">
        <v>7612</v>
      </c>
      <c r="G2053" t="s">
        <v>7579</v>
      </c>
      <c r="H2053" t="s">
        <v>80</v>
      </c>
      <c r="I2053" t="s">
        <v>1919</v>
      </c>
      <c r="J2053" t="s">
        <v>4837</v>
      </c>
      <c r="K2053" t="s">
        <v>7606</v>
      </c>
      <c r="L2053" t="s">
        <v>52</v>
      </c>
      <c r="M2053">
        <v>2565</v>
      </c>
      <c r="N2053">
        <v>0</v>
      </c>
      <c r="O2053" t="s">
        <v>61</v>
      </c>
      <c r="P2053">
        <v>100</v>
      </c>
      <c r="Q2053" t="s">
        <v>52</v>
      </c>
      <c r="R2053" t="s">
        <v>52</v>
      </c>
      <c r="S2053" t="s">
        <v>52</v>
      </c>
      <c r="T2053" t="s">
        <v>52</v>
      </c>
      <c r="U2053" t="s">
        <v>52</v>
      </c>
      <c r="V2053" t="s">
        <v>62</v>
      </c>
      <c r="W2053" t="s">
        <v>52</v>
      </c>
      <c r="Y2053" t="s">
        <v>52</v>
      </c>
      <c r="AB2053" t="s">
        <v>52</v>
      </c>
      <c r="AE2053" t="s">
        <v>52</v>
      </c>
      <c r="AF2053" t="s">
        <v>52</v>
      </c>
      <c r="AH2053">
        <v>0</v>
      </c>
      <c r="AI2053">
        <v>0</v>
      </c>
      <c r="AJ2053" t="s">
        <v>52</v>
      </c>
      <c r="AK2053">
        <v>0</v>
      </c>
      <c r="AL2053" t="s">
        <v>52</v>
      </c>
      <c r="AM2053" t="s">
        <v>52</v>
      </c>
      <c r="AN2053">
        <v>0</v>
      </c>
      <c r="AO2053">
        <v>0</v>
      </c>
      <c r="AP2053" t="s">
        <v>52</v>
      </c>
      <c r="AQ2053" t="s">
        <v>52</v>
      </c>
      <c r="AR2053" t="s">
        <v>62</v>
      </c>
      <c r="AS2053" t="s">
        <v>52</v>
      </c>
      <c r="AT2053" t="s">
        <v>52</v>
      </c>
      <c r="AU2053" t="s">
        <v>64</v>
      </c>
      <c r="AV2053" t="s">
        <v>62</v>
      </c>
      <c r="AW2053" t="s">
        <v>65</v>
      </c>
      <c r="AX2053" t="s">
        <v>66</v>
      </c>
      <c r="AY2053" t="s">
        <v>165</v>
      </c>
    </row>
    <row r="2054" spans="1:51" hidden="1" x14ac:dyDescent="0.25">
      <c r="A2054">
        <v>203896</v>
      </c>
      <c r="B2054" t="s">
        <v>7613</v>
      </c>
      <c r="C2054" t="e">
        <f>VLOOKUP(A2054,[1]Customer_payment_journal_line!$AL:$BO,30,0)</f>
        <v>#N/A</v>
      </c>
      <c r="D2054" t="s">
        <v>159</v>
      </c>
      <c r="E2054" t="s">
        <v>7611</v>
      </c>
      <c r="F2054" t="s">
        <v>7612</v>
      </c>
      <c r="G2054" t="s">
        <v>7579</v>
      </c>
      <c r="H2054" t="s">
        <v>69</v>
      </c>
      <c r="I2054" t="s">
        <v>4840</v>
      </c>
      <c r="J2054" t="s">
        <v>4837</v>
      </c>
      <c r="K2054" t="s">
        <v>7606</v>
      </c>
      <c r="L2054" t="s">
        <v>52</v>
      </c>
      <c r="M2054">
        <v>0</v>
      </c>
      <c r="N2054">
        <v>855</v>
      </c>
      <c r="O2054" t="s">
        <v>61</v>
      </c>
      <c r="P2054">
        <v>100</v>
      </c>
      <c r="Q2054" t="s">
        <v>52</v>
      </c>
      <c r="R2054" t="s">
        <v>52</v>
      </c>
      <c r="S2054" t="s">
        <v>52</v>
      </c>
      <c r="T2054" t="s">
        <v>52</v>
      </c>
      <c r="U2054" t="s">
        <v>52</v>
      </c>
      <c r="V2054" t="s">
        <v>62</v>
      </c>
      <c r="W2054" t="s">
        <v>52</v>
      </c>
      <c r="Y2054" t="s">
        <v>4841</v>
      </c>
      <c r="Z2054" t="s">
        <v>62</v>
      </c>
      <c r="AB2054" t="s">
        <v>7614</v>
      </c>
      <c r="AE2054" t="s">
        <v>7615</v>
      </c>
      <c r="AF2054" t="s">
        <v>52</v>
      </c>
      <c r="AH2054">
        <v>0</v>
      </c>
      <c r="AI2054">
        <v>0</v>
      </c>
      <c r="AJ2054" t="s">
        <v>52</v>
      </c>
      <c r="AK2054">
        <v>0</v>
      </c>
      <c r="AL2054" t="s">
        <v>52</v>
      </c>
      <c r="AM2054" t="s">
        <v>52</v>
      </c>
      <c r="AN2054">
        <v>0</v>
      </c>
      <c r="AO2054">
        <v>0</v>
      </c>
      <c r="AP2054" t="s">
        <v>52</v>
      </c>
      <c r="AQ2054" t="s">
        <v>52</v>
      </c>
      <c r="AR2054" t="s">
        <v>62</v>
      </c>
      <c r="AS2054" t="s">
        <v>52</v>
      </c>
      <c r="AT2054" t="s">
        <v>74</v>
      </c>
      <c r="AU2054" t="s">
        <v>64</v>
      </c>
      <c r="AV2054" t="s">
        <v>62</v>
      </c>
      <c r="AW2054" t="s">
        <v>65</v>
      </c>
      <c r="AX2054" t="s">
        <v>66</v>
      </c>
      <c r="AY2054" t="s">
        <v>165</v>
      </c>
    </row>
    <row r="2055" spans="1:51" hidden="1" x14ac:dyDescent="0.25">
      <c r="A2055">
        <v>203896</v>
      </c>
      <c r="B2055" t="s">
        <v>7616</v>
      </c>
      <c r="C2055" t="e">
        <f>VLOOKUP(A2055,[1]Customer_payment_journal_line!$AL:$BO,30,0)</f>
        <v>#N/A</v>
      </c>
      <c r="D2055" t="s">
        <v>159</v>
      </c>
      <c r="E2055" t="s">
        <v>7611</v>
      </c>
      <c r="F2055" t="s">
        <v>7612</v>
      </c>
      <c r="G2055" t="s">
        <v>7579</v>
      </c>
      <c r="H2055" t="s">
        <v>69</v>
      </c>
      <c r="I2055" t="s">
        <v>4840</v>
      </c>
      <c r="J2055" t="s">
        <v>4837</v>
      </c>
      <c r="K2055" t="s">
        <v>7606</v>
      </c>
      <c r="L2055" t="s">
        <v>52</v>
      </c>
      <c r="M2055">
        <v>0</v>
      </c>
      <c r="N2055">
        <v>1710</v>
      </c>
      <c r="O2055" t="s">
        <v>61</v>
      </c>
      <c r="P2055">
        <v>100</v>
      </c>
      <c r="Q2055" t="s">
        <v>52</v>
      </c>
      <c r="R2055" t="s">
        <v>52</v>
      </c>
      <c r="S2055" t="s">
        <v>52</v>
      </c>
      <c r="T2055" t="s">
        <v>52</v>
      </c>
      <c r="U2055" t="s">
        <v>52</v>
      </c>
      <c r="V2055" t="s">
        <v>62</v>
      </c>
      <c r="W2055" t="s">
        <v>52</v>
      </c>
      <c r="Y2055" t="s">
        <v>4841</v>
      </c>
      <c r="Z2055" t="s">
        <v>62</v>
      </c>
      <c r="AB2055" t="s">
        <v>7617</v>
      </c>
      <c r="AE2055" t="s">
        <v>7618</v>
      </c>
      <c r="AF2055" t="s">
        <v>52</v>
      </c>
      <c r="AH2055">
        <v>0</v>
      </c>
      <c r="AI2055">
        <v>0</v>
      </c>
      <c r="AJ2055" t="s">
        <v>52</v>
      </c>
      <c r="AK2055">
        <v>0</v>
      </c>
      <c r="AL2055" t="s">
        <v>52</v>
      </c>
      <c r="AM2055" t="s">
        <v>52</v>
      </c>
      <c r="AN2055">
        <v>0</v>
      </c>
      <c r="AO2055">
        <v>0</v>
      </c>
      <c r="AP2055" t="s">
        <v>52</v>
      </c>
      <c r="AQ2055" t="s">
        <v>52</v>
      </c>
      <c r="AR2055" t="s">
        <v>62</v>
      </c>
      <c r="AS2055" t="s">
        <v>52</v>
      </c>
      <c r="AT2055" t="s">
        <v>74</v>
      </c>
      <c r="AU2055" t="s">
        <v>64</v>
      </c>
      <c r="AV2055" t="s">
        <v>62</v>
      </c>
      <c r="AW2055" t="s">
        <v>65</v>
      </c>
      <c r="AX2055" t="s">
        <v>66</v>
      </c>
      <c r="AY2055" t="s">
        <v>165</v>
      </c>
    </row>
    <row r="2056" spans="1:51" hidden="1" x14ac:dyDescent="0.25">
      <c r="A2056">
        <v>203899</v>
      </c>
      <c r="B2056" t="s">
        <v>7619</v>
      </c>
      <c r="C2056" t="e">
        <f>VLOOKUP(A2056,[1]Customer_payment_journal_line!$AL:$BO,30,0)</f>
        <v>#N/A</v>
      </c>
      <c r="D2056" t="s">
        <v>76</v>
      </c>
      <c r="E2056" t="s">
        <v>7620</v>
      </c>
      <c r="F2056" t="s">
        <v>7621</v>
      </c>
      <c r="G2056" t="s">
        <v>7579</v>
      </c>
      <c r="H2056" t="s">
        <v>80</v>
      </c>
      <c r="I2056" t="s">
        <v>81</v>
      </c>
      <c r="J2056" t="s">
        <v>7622</v>
      </c>
      <c r="K2056" t="s">
        <v>7623</v>
      </c>
      <c r="L2056" t="s">
        <v>52</v>
      </c>
      <c r="M2056">
        <v>5985</v>
      </c>
      <c r="N2056">
        <v>0</v>
      </c>
      <c r="O2056" t="s">
        <v>61</v>
      </c>
      <c r="P2056">
        <v>100</v>
      </c>
      <c r="Q2056" t="s">
        <v>52</v>
      </c>
      <c r="R2056" t="s">
        <v>52</v>
      </c>
      <c r="S2056" t="s">
        <v>52</v>
      </c>
      <c r="T2056" t="s">
        <v>52</v>
      </c>
      <c r="U2056" t="s">
        <v>52</v>
      </c>
      <c r="V2056" t="s">
        <v>62</v>
      </c>
      <c r="W2056" t="s">
        <v>52</v>
      </c>
      <c r="Y2056" t="s">
        <v>52</v>
      </c>
      <c r="AB2056" t="s">
        <v>52</v>
      </c>
      <c r="AE2056" t="s">
        <v>52</v>
      </c>
      <c r="AF2056" t="s">
        <v>52</v>
      </c>
      <c r="AH2056">
        <v>0</v>
      </c>
      <c r="AI2056">
        <v>0</v>
      </c>
      <c r="AJ2056" t="s">
        <v>52</v>
      </c>
      <c r="AK2056">
        <v>0</v>
      </c>
      <c r="AL2056" t="s">
        <v>52</v>
      </c>
      <c r="AM2056" t="s">
        <v>52</v>
      </c>
      <c r="AN2056">
        <v>0</v>
      </c>
      <c r="AO2056">
        <v>0</v>
      </c>
      <c r="AP2056" t="s">
        <v>52</v>
      </c>
      <c r="AQ2056" t="s">
        <v>52</v>
      </c>
      <c r="AR2056" t="s">
        <v>62</v>
      </c>
      <c r="AS2056" t="s">
        <v>52</v>
      </c>
      <c r="AT2056" t="s">
        <v>52</v>
      </c>
      <c r="AU2056" t="s">
        <v>64</v>
      </c>
      <c r="AV2056" t="s">
        <v>62</v>
      </c>
      <c r="AW2056" t="s">
        <v>65</v>
      </c>
      <c r="AX2056" t="s">
        <v>66</v>
      </c>
      <c r="AY2056" t="s">
        <v>76</v>
      </c>
    </row>
    <row r="2057" spans="1:51" hidden="1" x14ac:dyDescent="0.25">
      <c r="A2057">
        <v>203899</v>
      </c>
      <c r="B2057" t="s">
        <v>7624</v>
      </c>
      <c r="C2057" t="e">
        <f>VLOOKUP(A2057,[1]Customer_payment_journal_line!$AL:$BO,30,0)</f>
        <v>#N/A</v>
      </c>
      <c r="D2057" t="s">
        <v>76</v>
      </c>
      <c r="E2057" t="s">
        <v>7620</v>
      </c>
      <c r="F2057" t="s">
        <v>7621</v>
      </c>
      <c r="G2057" t="s">
        <v>7579</v>
      </c>
      <c r="H2057" t="s">
        <v>69</v>
      </c>
      <c r="I2057" t="s">
        <v>7625</v>
      </c>
      <c r="J2057" t="s">
        <v>7622</v>
      </c>
      <c r="K2057" t="s">
        <v>7623</v>
      </c>
      <c r="L2057" t="s">
        <v>52</v>
      </c>
      <c r="M2057">
        <v>0</v>
      </c>
      <c r="N2057">
        <v>5130</v>
      </c>
      <c r="O2057" t="s">
        <v>61</v>
      </c>
      <c r="P2057">
        <v>100</v>
      </c>
      <c r="Q2057" t="s">
        <v>52</v>
      </c>
      <c r="R2057" t="s">
        <v>52</v>
      </c>
      <c r="S2057" t="s">
        <v>52</v>
      </c>
      <c r="T2057" t="s">
        <v>52</v>
      </c>
      <c r="U2057" t="s">
        <v>52</v>
      </c>
      <c r="V2057" t="s">
        <v>62</v>
      </c>
      <c r="W2057" t="s">
        <v>52</v>
      </c>
      <c r="Y2057" t="s">
        <v>7626</v>
      </c>
      <c r="Z2057" t="s">
        <v>62</v>
      </c>
      <c r="AB2057" t="s">
        <v>7627</v>
      </c>
      <c r="AE2057" t="s">
        <v>7628</v>
      </c>
      <c r="AF2057" t="s">
        <v>52</v>
      </c>
      <c r="AH2057">
        <v>0</v>
      </c>
      <c r="AI2057">
        <v>0</v>
      </c>
      <c r="AJ2057" t="s">
        <v>52</v>
      </c>
      <c r="AK2057">
        <v>0</v>
      </c>
      <c r="AL2057" t="s">
        <v>52</v>
      </c>
      <c r="AM2057" t="s">
        <v>52</v>
      </c>
      <c r="AN2057">
        <v>0</v>
      </c>
      <c r="AO2057">
        <v>0</v>
      </c>
      <c r="AP2057" t="s">
        <v>52</v>
      </c>
      <c r="AQ2057" t="s">
        <v>52</v>
      </c>
      <c r="AR2057" t="s">
        <v>62</v>
      </c>
      <c r="AS2057" t="s">
        <v>52</v>
      </c>
      <c r="AT2057" t="s">
        <v>74</v>
      </c>
      <c r="AU2057" t="s">
        <v>64</v>
      </c>
      <c r="AV2057" t="s">
        <v>62</v>
      </c>
      <c r="AW2057" t="s">
        <v>65</v>
      </c>
      <c r="AX2057" t="s">
        <v>66</v>
      </c>
      <c r="AY2057" t="s">
        <v>76</v>
      </c>
    </row>
    <row r="2058" spans="1:51" hidden="1" x14ac:dyDescent="0.25">
      <c r="A2058">
        <v>203899</v>
      </c>
      <c r="B2058" t="s">
        <v>7629</v>
      </c>
      <c r="C2058" t="e">
        <f>VLOOKUP(A2058,[1]Customer_payment_journal_line!$AL:$BO,30,0)</f>
        <v>#N/A</v>
      </c>
      <c r="D2058" t="s">
        <v>76</v>
      </c>
      <c r="E2058" t="s">
        <v>7620</v>
      </c>
      <c r="F2058" t="s">
        <v>7621</v>
      </c>
      <c r="G2058" t="s">
        <v>7579</v>
      </c>
      <c r="H2058" t="s">
        <v>69</v>
      </c>
      <c r="I2058" t="s">
        <v>7625</v>
      </c>
      <c r="J2058" t="s">
        <v>7622</v>
      </c>
      <c r="K2058" t="s">
        <v>7623</v>
      </c>
      <c r="L2058" t="s">
        <v>52</v>
      </c>
      <c r="M2058">
        <v>0</v>
      </c>
      <c r="N2058">
        <v>855</v>
      </c>
      <c r="O2058" t="s">
        <v>61</v>
      </c>
      <c r="P2058">
        <v>100</v>
      </c>
      <c r="Q2058" t="s">
        <v>52</v>
      </c>
      <c r="R2058" t="s">
        <v>52</v>
      </c>
      <c r="S2058" t="s">
        <v>52</v>
      </c>
      <c r="T2058" t="s">
        <v>52</v>
      </c>
      <c r="U2058" t="s">
        <v>52</v>
      </c>
      <c r="V2058" t="s">
        <v>62</v>
      </c>
      <c r="W2058" t="s">
        <v>52</v>
      </c>
      <c r="Y2058" t="s">
        <v>7626</v>
      </c>
      <c r="Z2058" t="s">
        <v>62</v>
      </c>
      <c r="AB2058" t="s">
        <v>7630</v>
      </c>
      <c r="AE2058" t="s">
        <v>7631</v>
      </c>
      <c r="AF2058" t="s">
        <v>52</v>
      </c>
      <c r="AH2058">
        <v>0</v>
      </c>
      <c r="AI2058">
        <v>0</v>
      </c>
      <c r="AJ2058" t="s">
        <v>52</v>
      </c>
      <c r="AK2058">
        <v>0</v>
      </c>
      <c r="AL2058" t="s">
        <v>52</v>
      </c>
      <c r="AM2058" t="s">
        <v>52</v>
      </c>
      <c r="AN2058">
        <v>0</v>
      </c>
      <c r="AO2058">
        <v>0</v>
      </c>
      <c r="AP2058" t="s">
        <v>52</v>
      </c>
      <c r="AQ2058" t="s">
        <v>52</v>
      </c>
      <c r="AR2058" t="s">
        <v>62</v>
      </c>
      <c r="AS2058" t="s">
        <v>52</v>
      </c>
      <c r="AT2058" t="s">
        <v>74</v>
      </c>
      <c r="AU2058" t="s">
        <v>64</v>
      </c>
      <c r="AV2058" t="s">
        <v>62</v>
      </c>
      <c r="AW2058" t="s">
        <v>65</v>
      </c>
      <c r="AX2058" t="s">
        <v>66</v>
      </c>
      <c r="AY2058" t="s">
        <v>76</v>
      </c>
    </row>
    <row r="2059" spans="1:51" hidden="1" x14ac:dyDescent="0.25">
      <c r="A2059">
        <v>203909</v>
      </c>
      <c r="B2059" t="s">
        <v>7632</v>
      </c>
      <c r="C2059" t="str">
        <f>VLOOKUP(A2059,[1]Customer_payment_journal_line!$AL:$BO,30,0)</f>
        <v>CPay-000000126</v>
      </c>
      <c r="D2059" t="s">
        <v>53</v>
      </c>
      <c r="E2059" t="s">
        <v>7633</v>
      </c>
      <c r="F2059" t="s">
        <v>7634</v>
      </c>
      <c r="G2059" t="s">
        <v>7579</v>
      </c>
      <c r="H2059" t="s">
        <v>57</v>
      </c>
      <c r="I2059" t="s">
        <v>95</v>
      </c>
      <c r="J2059" t="s">
        <v>2378</v>
      </c>
      <c r="K2059" t="s">
        <v>7635</v>
      </c>
      <c r="L2059">
        <f>VLOOKUP(A2059,[1]Customer_payment_journal_line!$B:$L,11,0)</f>
        <v>1653</v>
      </c>
      <c r="M2059" s="1">
        <v>1653</v>
      </c>
      <c r="N2059" s="2">
        <f>L2059-M2059</f>
        <v>0</v>
      </c>
      <c r="O2059" t="s">
        <v>61</v>
      </c>
      <c r="P2059">
        <v>100</v>
      </c>
      <c r="Q2059" t="s">
        <v>52</v>
      </c>
      <c r="R2059" t="s">
        <v>52</v>
      </c>
      <c r="S2059" t="s">
        <v>52</v>
      </c>
      <c r="T2059" t="s">
        <v>52</v>
      </c>
      <c r="U2059" t="s">
        <v>52</v>
      </c>
      <c r="V2059" t="s">
        <v>62</v>
      </c>
      <c r="W2059" t="s">
        <v>63</v>
      </c>
      <c r="Y2059" t="s">
        <v>52</v>
      </c>
      <c r="AB2059" t="s">
        <v>52</v>
      </c>
      <c r="AE2059" t="s">
        <v>52</v>
      </c>
      <c r="AF2059" t="s">
        <v>52</v>
      </c>
      <c r="AH2059">
        <v>0</v>
      </c>
      <c r="AI2059">
        <v>0</v>
      </c>
      <c r="AJ2059" t="s">
        <v>52</v>
      </c>
      <c r="AK2059">
        <v>0</v>
      </c>
      <c r="AL2059" t="s">
        <v>52</v>
      </c>
      <c r="AM2059" t="s">
        <v>52</v>
      </c>
      <c r="AN2059">
        <v>0</v>
      </c>
      <c r="AO2059">
        <v>0</v>
      </c>
      <c r="AP2059" t="s">
        <v>52</v>
      </c>
      <c r="AQ2059" t="s">
        <v>52</v>
      </c>
      <c r="AR2059" t="s">
        <v>62</v>
      </c>
      <c r="AS2059" t="s">
        <v>52</v>
      </c>
      <c r="AT2059" t="s">
        <v>52</v>
      </c>
      <c r="AU2059" t="s">
        <v>64</v>
      </c>
      <c r="AV2059" t="s">
        <v>62</v>
      </c>
      <c r="AW2059" t="s">
        <v>65</v>
      </c>
      <c r="AX2059" t="s">
        <v>66</v>
      </c>
      <c r="AY2059" t="s">
        <v>67</v>
      </c>
    </row>
    <row r="2060" spans="1:51" hidden="1" x14ac:dyDescent="0.25">
      <c r="A2060">
        <v>203909</v>
      </c>
      <c r="B2060" t="s">
        <v>7636</v>
      </c>
      <c r="C2060" t="str">
        <f>VLOOKUP(A2060,[1]Customer_payment_journal_line!$AL:$BO,30,0)</f>
        <v>CPay-000000126</v>
      </c>
      <c r="D2060" t="s">
        <v>53</v>
      </c>
      <c r="E2060" t="s">
        <v>7633</v>
      </c>
      <c r="F2060" t="s">
        <v>7634</v>
      </c>
      <c r="G2060" t="s">
        <v>7579</v>
      </c>
      <c r="H2060" t="s">
        <v>69</v>
      </c>
      <c r="I2060" t="s">
        <v>2371</v>
      </c>
      <c r="J2060" t="s">
        <v>2378</v>
      </c>
      <c r="K2060" t="s">
        <v>7635</v>
      </c>
      <c r="L2060">
        <f>VLOOKUP(A2060,[1]Customer_payment_journal_line!$B:$L,11,0)</f>
        <v>1653</v>
      </c>
      <c r="M2060" s="1">
        <v>0</v>
      </c>
      <c r="N2060">
        <v>1653</v>
      </c>
      <c r="O2060" t="s">
        <v>61</v>
      </c>
      <c r="P2060">
        <v>100</v>
      </c>
      <c r="Q2060" t="s">
        <v>52</v>
      </c>
      <c r="R2060" t="s">
        <v>52</v>
      </c>
      <c r="S2060" t="s">
        <v>52</v>
      </c>
      <c r="T2060" t="s">
        <v>52</v>
      </c>
      <c r="U2060" t="s">
        <v>52</v>
      </c>
      <c r="V2060" t="s">
        <v>62</v>
      </c>
      <c r="W2060" t="s">
        <v>52</v>
      </c>
      <c r="Y2060" t="s">
        <v>2372</v>
      </c>
      <c r="Z2060" t="s">
        <v>62</v>
      </c>
      <c r="AB2060" t="s">
        <v>7637</v>
      </c>
      <c r="AE2060" t="s">
        <v>7638</v>
      </c>
      <c r="AF2060" t="s">
        <v>52</v>
      </c>
      <c r="AH2060">
        <v>0</v>
      </c>
      <c r="AI2060">
        <v>0</v>
      </c>
      <c r="AJ2060" t="s">
        <v>52</v>
      </c>
      <c r="AK2060">
        <v>0</v>
      </c>
      <c r="AL2060" t="s">
        <v>52</v>
      </c>
      <c r="AM2060" t="s">
        <v>52</v>
      </c>
      <c r="AN2060">
        <v>0</v>
      </c>
      <c r="AO2060">
        <v>0</v>
      </c>
      <c r="AP2060" t="s">
        <v>52</v>
      </c>
      <c r="AQ2060" t="s">
        <v>52</v>
      </c>
      <c r="AR2060" t="s">
        <v>62</v>
      </c>
      <c r="AS2060" t="s">
        <v>52</v>
      </c>
      <c r="AT2060" t="s">
        <v>74</v>
      </c>
      <c r="AU2060" t="s">
        <v>64</v>
      </c>
      <c r="AV2060" t="s">
        <v>62</v>
      </c>
      <c r="AW2060" t="s">
        <v>65</v>
      </c>
      <c r="AX2060" t="s">
        <v>66</v>
      </c>
      <c r="AY2060" t="s">
        <v>67</v>
      </c>
    </row>
    <row r="2061" spans="1:51" hidden="1" x14ac:dyDescent="0.25">
      <c r="A2061">
        <v>203910</v>
      </c>
      <c r="B2061" t="s">
        <v>7639</v>
      </c>
      <c r="C2061" t="str">
        <f>VLOOKUP(A2061,[1]Customer_payment_journal_line!$AL:$BO,30,0)</f>
        <v>CPay-000000127</v>
      </c>
      <c r="D2061" t="s">
        <v>53</v>
      </c>
      <c r="E2061" t="s">
        <v>7640</v>
      </c>
      <c r="F2061" t="s">
        <v>7641</v>
      </c>
      <c r="G2061" t="s">
        <v>7579</v>
      </c>
      <c r="H2061" t="s">
        <v>57</v>
      </c>
      <c r="I2061" t="s">
        <v>95</v>
      </c>
      <c r="J2061" t="s">
        <v>2378</v>
      </c>
      <c r="K2061" t="s">
        <v>7635</v>
      </c>
      <c r="L2061">
        <f>VLOOKUP(A2061,[1]Customer_payment_journal_line!$B:$L,11,0)</f>
        <v>262.2</v>
      </c>
      <c r="M2061" s="1">
        <v>262.2</v>
      </c>
      <c r="N2061" s="2">
        <f>L2061-M2061</f>
        <v>0</v>
      </c>
      <c r="O2061" t="s">
        <v>61</v>
      </c>
      <c r="P2061">
        <v>100</v>
      </c>
      <c r="Q2061" t="s">
        <v>52</v>
      </c>
      <c r="R2061" t="s">
        <v>52</v>
      </c>
      <c r="S2061" t="s">
        <v>52</v>
      </c>
      <c r="T2061" t="s">
        <v>52</v>
      </c>
      <c r="U2061" t="s">
        <v>52</v>
      </c>
      <c r="V2061" t="s">
        <v>62</v>
      </c>
      <c r="W2061" t="s">
        <v>63</v>
      </c>
      <c r="Y2061" t="s">
        <v>52</v>
      </c>
      <c r="AB2061" t="s">
        <v>52</v>
      </c>
      <c r="AE2061" t="s">
        <v>52</v>
      </c>
      <c r="AF2061" t="s">
        <v>52</v>
      </c>
      <c r="AH2061">
        <v>0</v>
      </c>
      <c r="AI2061">
        <v>0</v>
      </c>
      <c r="AJ2061" t="s">
        <v>52</v>
      </c>
      <c r="AK2061">
        <v>0</v>
      </c>
      <c r="AL2061" t="s">
        <v>52</v>
      </c>
      <c r="AM2061" t="s">
        <v>52</v>
      </c>
      <c r="AN2061">
        <v>0</v>
      </c>
      <c r="AO2061">
        <v>0</v>
      </c>
      <c r="AP2061" t="s">
        <v>52</v>
      </c>
      <c r="AQ2061" t="s">
        <v>52</v>
      </c>
      <c r="AR2061" t="s">
        <v>62</v>
      </c>
      <c r="AS2061" t="s">
        <v>52</v>
      </c>
      <c r="AT2061" t="s">
        <v>52</v>
      </c>
      <c r="AU2061" t="s">
        <v>64</v>
      </c>
      <c r="AV2061" t="s">
        <v>62</v>
      </c>
      <c r="AW2061" t="s">
        <v>65</v>
      </c>
      <c r="AX2061" t="s">
        <v>66</v>
      </c>
      <c r="AY2061" t="s">
        <v>67</v>
      </c>
    </row>
    <row r="2062" spans="1:51" hidden="1" x14ac:dyDescent="0.25">
      <c r="A2062">
        <v>203910</v>
      </c>
      <c r="B2062" t="s">
        <v>7642</v>
      </c>
      <c r="C2062" t="str">
        <f>VLOOKUP(A2062,[1]Customer_payment_journal_line!$AL:$BO,30,0)</f>
        <v>CPay-000000127</v>
      </c>
      <c r="D2062" t="s">
        <v>53</v>
      </c>
      <c r="E2062" t="s">
        <v>7640</v>
      </c>
      <c r="F2062" t="s">
        <v>7641</v>
      </c>
      <c r="G2062" t="s">
        <v>7579</v>
      </c>
      <c r="H2062" t="s">
        <v>69</v>
      </c>
      <c r="I2062" t="s">
        <v>2371</v>
      </c>
      <c r="J2062" t="s">
        <v>2378</v>
      </c>
      <c r="K2062" t="s">
        <v>7635</v>
      </c>
      <c r="L2062">
        <f>VLOOKUP(A2062,[1]Customer_payment_journal_line!$B:$L,11,0)</f>
        <v>262.2</v>
      </c>
      <c r="M2062" s="1">
        <v>0</v>
      </c>
      <c r="N2062">
        <v>262.2</v>
      </c>
      <c r="O2062" t="s">
        <v>61</v>
      </c>
      <c r="P2062">
        <v>100</v>
      </c>
      <c r="Q2062" t="s">
        <v>52</v>
      </c>
      <c r="R2062" t="s">
        <v>52</v>
      </c>
      <c r="S2062" t="s">
        <v>52</v>
      </c>
      <c r="T2062" t="s">
        <v>52</v>
      </c>
      <c r="U2062" t="s">
        <v>52</v>
      </c>
      <c r="V2062" t="s">
        <v>62</v>
      </c>
      <c r="W2062" t="s">
        <v>52</v>
      </c>
      <c r="Y2062" t="s">
        <v>2372</v>
      </c>
      <c r="Z2062" t="s">
        <v>62</v>
      </c>
      <c r="AB2062" t="s">
        <v>7643</v>
      </c>
      <c r="AE2062" t="s">
        <v>7644</v>
      </c>
      <c r="AF2062" t="s">
        <v>52</v>
      </c>
      <c r="AH2062">
        <v>0</v>
      </c>
      <c r="AI2062">
        <v>0</v>
      </c>
      <c r="AJ2062" t="s">
        <v>52</v>
      </c>
      <c r="AK2062">
        <v>0</v>
      </c>
      <c r="AL2062" t="s">
        <v>52</v>
      </c>
      <c r="AM2062" t="s">
        <v>52</v>
      </c>
      <c r="AN2062">
        <v>0</v>
      </c>
      <c r="AO2062">
        <v>0</v>
      </c>
      <c r="AP2062" t="s">
        <v>52</v>
      </c>
      <c r="AQ2062" t="s">
        <v>52</v>
      </c>
      <c r="AR2062" t="s">
        <v>62</v>
      </c>
      <c r="AS2062" t="s">
        <v>52</v>
      </c>
      <c r="AT2062" t="s">
        <v>74</v>
      </c>
      <c r="AU2062" t="s">
        <v>64</v>
      </c>
      <c r="AV2062" t="s">
        <v>62</v>
      </c>
      <c r="AW2062" t="s">
        <v>65</v>
      </c>
      <c r="AX2062" t="s">
        <v>66</v>
      </c>
      <c r="AY2062" t="s">
        <v>67</v>
      </c>
    </row>
    <row r="2063" spans="1:51" hidden="1" x14ac:dyDescent="0.25">
      <c r="A2063">
        <v>203911</v>
      </c>
      <c r="B2063" t="s">
        <v>7645</v>
      </c>
      <c r="C2063" t="str">
        <f>VLOOKUP(A2063,[1]Customer_payment_journal_line!$AL:$BO,30,0)</f>
        <v>CPay-000000128</v>
      </c>
      <c r="D2063" t="s">
        <v>53</v>
      </c>
      <c r="E2063" t="s">
        <v>7646</v>
      </c>
      <c r="F2063" t="s">
        <v>7647</v>
      </c>
      <c r="G2063" t="s">
        <v>7579</v>
      </c>
      <c r="H2063" t="s">
        <v>57</v>
      </c>
      <c r="I2063" t="s">
        <v>95</v>
      </c>
      <c r="J2063" t="s">
        <v>2378</v>
      </c>
      <c r="K2063" t="s">
        <v>7648</v>
      </c>
      <c r="L2063">
        <f>VLOOKUP(A2063,[1]Customer_payment_journal_line!$B:$L,11,0)</f>
        <v>1653</v>
      </c>
      <c r="M2063" s="1">
        <v>1653</v>
      </c>
      <c r="N2063" s="2">
        <f>L2063-M2063</f>
        <v>0</v>
      </c>
      <c r="O2063" t="s">
        <v>61</v>
      </c>
      <c r="P2063">
        <v>100</v>
      </c>
      <c r="Q2063" t="s">
        <v>52</v>
      </c>
      <c r="R2063" t="s">
        <v>52</v>
      </c>
      <c r="S2063" t="s">
        <v>52</v>
      </c>
      <c r="T2063" t="s">
        <v>52</v>
      </c>
      <c r="U2063" t="s">
        <v>52</v>
      </c>
      <c r="V2063" t="s">
        <v>62</v>
      </c>
      <c r="W2063" t="s">
        <v>63</v>
      </c>
      <c r="Y2063" t="s">
        <v>52</v>
      </c>
      <c r="AB2063" t="s">
        <v>52</v>
      </c>
      <c r="AE2063" t="s">
        <v>52</v>
      </c>
      <c r="AF2063" t="s">
        <v>52</v>
      </c>
      <c r="AH2063">
        <v>0</v>
      </c>
      <c r="AI2063">
        <v>0</v>
      </c>
      <c r="AJ2063" t="s">
        <v>52</v>
      </c>
      <c r="AK2063">
        <v>0</v>
      </c>
      <c r="AL2063" t="s">
        <v>52</v>
      </c>
      <c r="AM2063" t="s">
        <v>52</v>
      </c>
      <c r="AN2063">
        <v>0</v>
      </c>
      <c r="AO2063">
        <v>0</v>
      </c>
      <c r="AP2063" t="s">
        <v>52</v>
      </c>
      <c r="AQ2063" t="s">
        <v>52</v>
      </c>
      <c r="AR2063" t="s">
        <v>62</v>
      </c>
      <c r="AS2063" t="s">
        <v>52</v>
      </c>
      <c r="AT2063" t="s">
        <v>52</v>
      </c>
      <c r="AU2063" t="s">
        <v>64</v>
      </c>
      <c r="AV2063" t="s">
        <v>62</v>
      </c>
      <c r="AW2063" t="s">
        <v>65</v>
      </c>
      <c r="AX2063" t="s">
        <v>66</v>
      </c>
      <c r="AY2063" t="s">
        <v>67</v>
      </c>
    </row>
    <row r="2064" spans="1:51" hidden="1" x14ac:dyDescent="0.25">
      <c r="A2064">
        <v>203911</v>
      </c>
      <c r="B2064" t="s">
        <v>7649</v>
      </c>
      <c r="C2064" t="str">
        <f>VLOOKUP(A2064,[1]Customer_payment_journal_line!$AL:$BO,30,0)</f>
        <v>CPay-000000128</v>
      </c>
      <c r="D2064" t="s">
        <v>53</v>
      </c>
      <c r="E2064" t="s">
        <v>7646</v>
      </c>
      <c r="F2064" t="s">
        <v>7647</v>
      </c>
      <c r="G2064" t="s">
        <v>7579</v>
      </c>
      <c r="H2064" t="s">
        <v>69</v>
      </c>
      <c r="I2064" t="s">
        <v>2371</v>
      </c>
      <c r="J2064" t="s">
        <v>2378</v>
      </c>
      <c r="K2064" t="s">
        <v>7648</v>
      </c>
      <c r="L2064">
        <f>VLOOKUP(A2064,[1]Customer_payment_journal_line!$B:$L,11,0)</f>
        <v>1653</v>
      </c>
      <c r="M2064" s="1">
        <v>0</v>
      </c>
      <c r="N2064">
        <v>1653</v>
      </c>
      <c r="O2064" t="s">
        <v>61</v>
      </c>
      <c r="P2064">
        <v>100</v>
      </c>
      <c r="Q2064" t="s">
        <v>52</v>
      </c>
      <c r="R2064" t="s">
        <v>52</v>
      </c>
      <c r="S2064" t="s">
        <v>52</v>
      </c>
      <c r="T2064" t="s">
        <v>52</v>
      </c>
      <c r="U2064" t="s">
        <v>52</v>
      </c>
      <c r="V2064" t="s">
        <v>62</v>
      </c>
      <c r="W2064" t="s">
        <v>52</v>
      </c>
      <c r="Y2064" t="s">
        <v>2372</v>
      </c>
      <c r="Z2064" t="s">
        <v>62</v>
      </c>
      <c r="AB2064" t="s">
        <v>7650</v>
      </c>
      <c r="AE2064" t="s">
        <v>7651</v>
      </c>
      <c r="AF2064" t="s">
        <v>52</v>
      </c>
      <c r="AH2064">
        <v>0</v>
      </c>
      <c r="AI2064">
        <v>0</v>
      </c>
      <c r="AJ2064" t="s">
        <v>52</v>
      </c>
      <c r="AK2064">
        <v>0</v>
      </c>
      <c r="AL2064" t="s">
        <v>52</v>
      </c>
      <c r="AM2064" t="s">
        <v>52</v>
      </c>
      <c r="AN2064">
        <v>0</v>
      </c>
      <c r="AO2064">
        <v>0</v>
      </c>
      <c r="AP2064" t="s">
        <v>52</v>
      </c>
      <c r="AQ2064" t="s">
        <v>52</v>
      </c>
      <c r="AR2064" t="s">
        <v>62</v>
      </c>
      <c r="AS2064" t="s">
        <v>52</v>
      </c>
      <c r="AT2064" t="s">
        <v>74</v>
      </c>
      <c r="AU2064" t="s">
        <v>64</v>
      </c>
      <c r="AV2064" t="s">
        <v>62</v>
      </c>
      <c r="AW2064" t="s">
        <v>65</v>
      </c>
      <c r="AX2064" t="s">
        <v>66</v>
      </c>
      <c r="AY2064" t="s">
        <v>67</v>
      </c>
    </row>
    <row r="2065" spans="1:51" hidden="1" x14ac:dyDescent="0.25">
      <c r="A2065">
        <v>203912</v>
      </c>
      <c r="B2065" t="s">
        <v>7652</v>
      </c>
      <c r="C2065" t="str">
        <f>VLOOKUP(A2065,[1]Customer_payment_journal_line!$AL:$BO,30,0)</f>
        <v>CPay-000000129</v>
      </c>
      <c r="D2065" t="s">
        <v>53</v>
      </c>
      <c r="E2065" t="s">
        <v>7653</v>
      </c>
      <c r="F2065" t="s">
        <v>7654</v>
      </c>
      <c r="G2065" t="s">
        <v>7579</v>
      </c>
      <c r="H2065" t="s">
        <v>57</v>
      </c>
      <c r="I2065" t="s">
        <v>95</v>
      </c>
      <c r="J2065" t="s">
        <v>2378</v>
      </c>
      <c r="K2065" t="s">
        <v>7648</v>
      </c>
      <c r="L2065">
        <f>VLOOKUP(A2065,[1]Customer_payment_journal_line!$B:$L,11,0)</f>
        <v>262.2</v>
      </c>
      <c r="M2065" s="1">
        <v>262.2</v>
      </c>
      <c r="N2065" s="2">
        <f>L2065-M2065</f>
        <v>0</v>
      </c>
      <c r="O2065" t="s">
        <v>61</v>
      </c>
      <c r="P2065">
        <v>100</v>
      </c>
      <c r="Q2065" t="s">
        <v>52</v>
      </c>
      <c r="R2065" t="s">
        <v>52</v>
      </c>
      <c r="S2065" t="s">
        <v>52</v>
      </c>
      <c r="T2065" t="s">
        <v>52</v>
      </c>
      <c r="U2065" t="s">
        <v>52</v>
      </c>
      <c r="V2065" t="s">
        <v>62</v>
      </c>
      <c r="W2065" t="s">
        <v>63</v>
      </c>
      <c r="Y2065" t="s">
        <v>52</v>
      </c>
      <c r="AB2065" t="s">
        <v>52</v>
      </c>
      <c r="AE2065" t="s">
        <v>52</v>
      </c>
      <c r="AF2065" t="s">
        <v>52</v>
      </c>
      <c r="AH2065">
        <v>0</v>
      </c>
      <c r="AI2065">
        <v>0</v>
      </c>
      <c r="AJ2065" t="s">
        <v>52</v>
      </c>
      <c r="AK2065">
        <v>0</v>
      </c>
      <c r="AL2065" t="s">
        <v>52</v>
      </c>
      <c r="AM2065" t="s">
        <v>52</v>
      </c>
      <c r="AN2065">
        <v>0</v>
      </c>
      <c r="AO2065">
        <v>0</v>
      </c>
      <c r="AP2065" t="s">
        <v>52</v>
      </c>
      <c r="AQ2065" t="s">
        <v>52</v>
      </c>
      <c r="AR2065" t="s">
        <v>62</v>
      </c>
      <c r="AS2065" t="s">
        <v>52</v>
      </c>
      <c r="AT2065" t="s">
        <v>52</v>
      </c>
      <c r="AU2065" t="s">
        <v>64</v>
      </c>
      <c r="AV2065" t="s">
        <v>62</v>
      </c>
      <c r="AW2065" t="s">
        <v>65</v>
      </c>
      <c r="AX2065" t="s">
        <v>66</v>
      </c>
      <c r="AY2065" t="s">
        <v>67</v>
      </c>
    </row>
    <row r="2066" spans="1:51" hidden="1" x14ac:dyDescent="0.25">
      <c r="A2066">
        <v>203912</v>
      </c>
      <c r="B2066" t="s">
        <v>7655</v>
      </c>
      <c r="C2066" t="str">
        <f>VLOOKUP(A2066,[1]Customer_payment_journal_line!$AL:$BO,30,0)</f>
        <v>CPay-000000129</v>
      </c>
      <c r="D2066" t="s">
        <v>53</v>
      </c>
      <c r="E2066" t="s">
        <v>7653</v>
      </c>
      <c r="F2066" t="s">
        <v>7654</v>
      </c>
      <c r="G2066" t="s">
        <v>7579</v>
      </c>
      <c r="H2066" t="s">
        <v>69</v>
      </c>
      <c r="I2066" t="s">
        <v>2371</v>
      </c>
      <c r="J2066" t="s">
        <v>2378</v>
      </c>
      <c r="K2066" t="s">
        <v>7648</v>
      </c>
      <c r="L2066">
        <f>VLOOKUP(A2066,[1]Customer_payment_journal_line!$B:$L,11,0)</f>
        <v>262.2</v>
      </c>
      <c r="M2066" s="1">
        <v>0</v>
      </c>
      <c r="N2066">
        <v>262.2</v>
      </c>
      <c r="O2066" t="s">
        <v>61</v>
      </c>
      <c r="P2066">
        <v>100</v>
      </c>
      <c r="Q2066" t="s">
        <v>52</v>
      </c>
      <c r="R2066" t="s">
        <v>52</v>
      </c>
      <c r="S2066" t="s">
        <v>52</v>
      </c>
      <c r="T2066" t="s">
        <v>52</v>
      </c>
      <c r="U2066" t="s">
        <v>52</v>
      </c>
      <c r="V2066" t="s">
        <v>62</v>
      </c>
      <c r="W2066" t="s">
        <v>52</v>
      </c>
      <c r="Y2066" t="s">
        <v>2372</v>
      </c>
      <c r="Z2066" t="s">
        <v>62</v>
      </c>
      <c r="AB2066" t="s">
        <v>7656</v>
      </c>
      <c r="AE2066" t="s">
        <v>7657</v>
      </c>
      <c r="AF2066" t="s">
        <v>52</v>
      </c>
      <c r="AH2066">
        <v>0</v>
      </c>
      <c r="AI2066">
        <v>0</v>
      </c>
      <c r="AJ2066" t="s">
        <v>52</v>
      </c>
      <c r="AK2066">
        <v>0</v>
      </c>
      <c r="AL2066" t="s">
        <v>52</v>
      </c>
      <c r="AM2066" t="s">
        <v>52</v>
      </c>
      <c r="AN2066">
        <v>0</v>
      </c>
      <c r="AO2066">
        <v>0</v>
      </c>
      <c r="AP2066" t="s">
        <v>52</v>
      </c>
      <c r="AQ2066" t="s">
        <v>52</v>
      </c>
      <c r="AR2066" t="s">
        <v>62</v>
      </c>
      <c r="AS2066" t="s">
        <v>52</v>
      </c>
      <c r="AT2066" t="s">
        <v>74</v>
      </c>
      <c r="AU2066" t="s">
        <v>64</v>
      </c>
      <c r="AV2066" t="s">
        <v>62</v>
      </c>
      <c r="AW2066" t="s">
        <v>65</v>
      </c>
      <c r="AX2066" t="s">
        <v>66</v>
      </c>
      <c r="AY2066" t="s">
        <v>67</v>
      </c>
    </row>
    <row r="2067" spans="1:51" hidden="1" x14ac:dyDescent="0.25">
      <c r="A2067">
        <v>203913</v>
      </c>
      <c r="B2067" t="s">
        <v>7658</v>
      </c>
      <c r="C2067" t="str">
        <f>VLOOKUP(A2067,[1]Customer_payment_journal_line!$AL:$BO,30,0)</f>
        <v>CPay-000000130</v>
      </c>
      <c r="D2067" t="s">
        <v>53</v>
      </c>
      <c r="E2067" t="s">
        <v>7659</v>
      </c>
      <c r="F2067" t="s">
        <v>7660</v>
      </c>
      <c r="G2067" t="s">
        <v>7579</v>
      </c>
      <c r="H2067" t="s">
        <v>57</v>
      </c>
      <c r="I2067" t="s">
        <v>95</v>
      </c>
      <c r="J2067" t="s">
        <v>2378</v>
      </c>
      <c r="K2067" t="s">
        <v>7661</v>
      </c>
      <c r="L2067">
        <f>VLOOKUP(A2067,[1]Customer_payment_journal_line!$B:$L,11,0)</f>
        <v>1653</v>
      </c>
      <c r="M2067" s="1">
        <v>1653</v>
      </c>
      <c r="N2067" s="2">
        <f>L2067-M2067</f>
        <v>0</v>
      </c>
      <c r="O2067" t="s">
        <v>61</v>
      </c>
      <c r="P2067">
        <v>100</v>
      </c>
      <c r="Q2067" t="s">
        <v>52</v>
      </c>
      <c r="R2067" t="s">
        <v>52</v>
      </c>
      <c r="S2067" t="s">
        <v>52</v>
      </c>
      <c r="T2067" t="s">
        <v>52</v>
      </c>
      <c r="U2067" t="s">
        <v>52</v>
      </c>
      <c r="V2067" t="s">
        <v>62</v>
      </c>
      <c r="W2067" t="s">
        <v>63</v>
      </c>
      <c r="Y2067" t="s">
        <v>52</v>
      </c>
      <c r="AB2067" t="s">
        <v>52</v>
      </c>
      <c r="AE2067" t="s">
        <v>52</v>
      </c>
      <c r="AF2067" t="s">
        <v>52</v>
      </c>
      <c r="AH2067">
        <v>0</v>
      </c>
      <c r="AI2067">
        <v>0</v>
      </c>
      <c r="AJ2067" t="s">
        <v>52</v>
      </c>
      <c r="AK2067">
        <v>0</v>
      </c>
      <c r="AL2067" t="s">
        <v>52</v>
      </c>
      <c r="AM2067" t="s">
        <v>52</v>
      </c>
      <c r="AN2067">
        <v>0</v>
      </c>
      <c r="AO2067">
        <v>0</v>
      </c>
      <c r="AP2067" t="s">
        <v>52</v>
      </c>
      <c r="AQ2067" t="s">
        <v>52</v>
      </c>
      <c r="AR2067" t="s">
        <v>62</v>
      </c>
      <c r="AS2067" t="s">
        <v>52</v>
      </c>
      <c r="AT2067" t="s">
        <v>52</v>
      </c>
      <c r="AU2067" t="s">
        <v>64</v>
      </c>
      <c r="AV2067" t="s">
        <v>62</v>
      </c>
      <c r="AW2067" t="s">
        <v>65</v>
      </c>
      <c r="AX2067" t="s">
        <v>66</v>
      </c>
      <c r="AY2067" t="s">
        <v>67</v>
      </c>
    </row>
    <row r="2068" spans="1:51" hidden="1" x14ac:dyDescent="0.25">
      <c r="A2068">
        <v>203913</v>
      </c>
      <c r="B2068" t="s">
        <v>7662</v>
      </c>
      <c r="C2068" t="str">
        <f>VLOOKUP(A2068,[1]Customer_payment_journal_line!$AL:$BO,30,0)</f>
        <v>CPay-000000130</v>
      </c>
      <c r="D2068" t="s">
        <v>53</v>
      </c>
      <c r="E2068" t="s">
        <v>7659</v>
      </c>
      <c r="F2068" t="s">
        <v>7660</v>
      </c>
      <c r="G2068" t="s">
        <v>7579</v>
      </c>
      <c r="H2068" t="s">
        <v>69</v>
      </c>
      <c r="I2068" t="s">
        <v>2371</v>
      </c>
      <c r="J2068" t="s">
        <v>2378</v>
      </c>
      <c r="K2068" t="s">
        <v>7661</v>
      </c>
      <c r="L2068">
        <f>VLOOKUP(A2068,[1]Customer_payment_journal_line!$B:$L,11,0)</f>
        <v>1653</v>
      </c>
      <c r="M2068" s="1">
        <v>0</v>
      </c>
      <c r="N2068">
        <v>1653</v>
      </c>
      <c r="O2068" t="s">
        <v>61</v>
      </c>
      <c r="P2068">
        <v>100</v>
      </c>
      <c r="Q2068" t="s">
        <v>52</v>
      </c>
      <c r="R2068" t="s">
        <v>52</v>
      </c>
      <c r="S2068" t="s">
        <v>52</v>
      </c>
      <c r="T2068" t="s">
        <v>52</v>
      </c>
      <c r="U2068" t="s">
        <v>52</v>
      </c>
      <c r="V2068" t="s">
        <v>62</v>
      </c>
      <c r="W2068" t="s">
        <v>52</v>
      </c>
      <c r="Y2068" t="s">
        <v>2372</v>
      </c>
      <c r="Z2068" t="s">
        <v>62</v>
      </c>
      <c r="AB2068" t="s">
        <v>7663</v>
      </c>
      <c r="AE2068" t="s">
        <v>7664</v>
      </c>
      <c r="AF2068" t="s">
        <v>52</v>
      </c>
      <c r="AH2068">
        <v>0</v>
      </c>
      <c r="AI2068">
        <v>0</v>
      </c>
      <c r="AJ2068" t="s">
        <v>52</v>
      </c>
      <c r="AK2068">
        <v>0</v>
      </c>
      <c r="AL2068" t="s">
        <v>52</v>
      </c>
      <c r="AM2068" t="s">
        <v>52</v>
      </c>
      <c r="AN2068">
        <v>0</v>
      </c>
      <c r="AO2068">
        <v>0</v>
      </c>
      <c r="AP2068" t="s">
        <v>52</v>
      </c>
      <c r="AQ2068" t="s">
        <v>52</v>
      </c>
      <c r="AR2068" t="s">
        <v>62</v>
      </c>
      <c r="AS2068" t="s">
        <v>52</v>
      </c>
      <c r="AT2068" t="s">
        <v>74</v>
      </c>
      <c r="AU2068" t="s">
        <v>64</v>
      </c>
      <c r="AV2068" t="s">
        <v>62</v>
      </c>
      <c r="AW2068" t="s">
        <v>65</v>
      </c>
      <c r="AX2068" t="s">
        <v>66</v>
      </c>
      <c r="AY2068" t="s">
        <v>67</v>
      </c>
    </row>
    <row r="2069" spans="1:51" hidden="1" x14ac:dyDescent="0.25">
      <c r="A2069">
        <v>203914</v>
      </c>
      <c r="B2069" t="s">
        <v>7665</v>
      </c>
      <c r="C2069" t="str">
        <f>VLOOKUP(A2069,[1]Customer_payment_journal_line!$AL:$BO,30,0)</f>
        <v>CPay-000000131</v>
      </c>
      <c r="D2069" t="s">
        <v>53</v>
      </c>
      <c r="E2069" t="s">
        <v>7666</v>
      </c>
      <c r="F2069" t="s">
        <v>7667</v>
      </c>
      <c r="G2069" t="s">
        <v>7579</v>
      </c>
      <c r="H2069" t="s">
        <v>57</v>
      </c>
      <c r="I2069" t="s">
        <v>95</v>
      </c>
      <c r="J2069" t="s">
        <v>2378</v>
      </c>
      <c r="K2069" t="s">
        <v>7661</v>
      </c>
      <c r="L2069">
        <f>VLOOKUP(A2069,[1]Customer_payment_journal_line!$B:$L,11,0)</f>
        <v>262.2</v>
      </c>
      <c r="M2069" s="1">
        <v>262.2</v>
      </c>
      <c r="N2069" s="2">
        <f>L2069-M2069</f>
        <v>0</v>
      </c>
      <c r="O2069" t="s">
        <v>61</v>
      </c>
      <c r="P2069">
        <v>100</v>
      </c>
      <c r="Q2069" t="s">
        <v>52</v>
      </c>
      <c r="R2069" t="s">
        <v>52</v>
      </c>
      <c r="S2069" t="s">
        <v>52</v>
      </c>
      <c r="T2069" t="s">
        <v>52</v>
      </c>
      <c r="U2069" t="s">
        <v>52</v>
      </c>
      <c r="V2069" t="s">
        <v>62</v>
      </c>
      <c r="W2069" t="s">
        <v>63</v>
      </c>
      <c r="Y2069" t="s">
        <v>52</v>
      </c>
      <c r="AB2069" t="s">
        <v>52</v>
      </c>
      <c r="AE2069" t="s">
        <v>52</v>
      </c>
      <c r="AF2069" t="s">
        <v>52</v>
      </c>
      <c r="AH2069">
        <v>0</v>
      </c>
      <c r="AI2069">
        <v>0</v>
      </c>
      <c r="AJ2069" t="s">
        <v>52</v>
      </c>
      <c r="AK2069">
        <v>0</v>
      </c>
      <c r="AL2069" t="s">
        <v>52</v>
      </c>
      <c r="AM2069" t="s">
        <v>52</v>
      </c>
      <c r="AN2069">
        <v>0</v>
      </c>
      <c r="AO2069">
        <v>0</v>
      </c>
      <c r="AP2069" t="s">
        <v>52</v>
      </c>
      <c r="AQ2069" t="s">
        <v>52</v>
      </c>
      <c r="AR2069" t="s">
        <v>62</v>
      </c>
      <c r="AS2069" t="s">
        <v>52</v>
      </c>
      <c r="AT2069" t="s">
        <v>52</v>
      </c>
      <c r="AU2069" t="s">
        <v>64</v>
      </c>
      <c r="AV2069" t="s">
        <v>62</v>
      </c>
      <c r="AW2069" t="s">
        <v>65</v>
      </c>
      <c r="AX2069" t="s">
        <v>66</v>
      </c>
      <c r="AY2069" t="s">
        <v>67</v>
      </c>
    </row>
    <row r="2070" spans="1:51" hidden="1" x14ac:dyDescent="0.25">
      <c r="A2070">
        <v>203914</v>
      </c>
      <c r="B2070" t="s">
        <v>7668</v>
      </c>
      <c r="C2070" t="str">
        <f>VLOOKUP(A2070,[1]Customer_payment_journal_line!$AL:$BO,30,0)</f>
        <v>CPay-000000131</v>
      </c>
      <c r="D2070" t="s">
        <v>53</v>
      </c>
      <c r="E2070" t="s">
        <v>7666</v>
      </c>
      <c r="F2070" t="s">
        <v>7667</v>
      </c>
      <c r="G2070" t="s">
        <v>7579</v>
      </c>
      <c r="H2070" t="s">
        <v>69</v>
      </c>
      <c r="I2070" t="s">
        <v>2371</v>
      </c>
      <c r="J2070" t="s">
        <v>2378</v>
      </c>
      <c r="K2070" t="s">
        <v>7661</v>
      </c>
      <c r="L2070">
        <f>VLOOKUP(A2070,[1]Customer_payment_journal_line!$B:$L,11,0)</f>
        <v>262.2</v>
      </c>
      <c r="M2070" s="1">
        <v>0</v>
      </c>
      <c r="N2070">
        <v>262.2</v>
      </c>
      <c r="O2070" t="s">
        <v>61</v>
      </c>
      <c r="P2070">
        <v>100</v>
      </c>
      <c r="Q2070" t="s">
        <v>52</v>
      </c>
      <c r="R2070" t="s">
        <v>52</v>
      </c>
      <c r="S2070" t="s">
        <v>52</v>
      </c>
      <c r="T2070" t="s">
        <v>52</v>
      </c>
      <c r="U2070" t="s">
        <v>52</v>
      </c>
      <c r="V2070" t="s">
        <v>62</v>
      </c>
      <c r="W2070" t="s">
        <v>52</v>
      </c>
      <c r="Y2070" t="s">
        <v>2372</v>
      </c>
      <c r="Z2070" t="s">
        <v>62</v>
      </c>
      <c r="AB2070" t="s">
        <v>7669</v>
      </c>
      <c r="AE2070" t="s">
        <v>7670</v>
      </c>
      <c r="AF2070" t="s">
        <v>52</v>
      </c>
      <c r="AH2070">
        <v>0</v>
      </c>
      <c r="AI2070">
        <v>0</v>
      </c>
      <c r="AJ2070" t="s">
        <v>52</v>
      </c>
      <c r="AK2070">
        <v>0</v>
      </c>
      <c r="AL2070" t="s">
        <v>52</v>
      </c>
      <c r="AM2070" t="s">
        <v>52</v>
      </c>
      <c r="AN2070">
        <v>0</v>
      </c>
      <c r="AO2070">
        <v>0</v>
      </c>
      <c r="AP2070" t="s">
        <v>52</v>
      </c>
      <c r="AQ2070" t="s">
        <v>52</v>
      </c>
      <c r="AR2070" t="s">
        <v>62</v>
      </c>
      <c r="AS2070" t="s">
        <v>52</v>
      </c>
      <c r="AT2070" t="s">
        <v>74</v>
      </c>
      <c r="AU2070" t="s">
        <v>64</v>
      </c>
      <c r="AV2070" t="s">
        <v>62</v>
      </c>
      <c r="AW2070" t="s">
        <v>65</v>
      </c>
      <c r="AX2070" t="s">
        <v>66</v>
      </c>
      <c r="AY2070" t="s">
        <v>67</v>
      </c>
    </row>
    <row r="2071" spans="1:51" hidden="1" x14ac:dyDescent="0.25">
      <c r="A2071">
        <v>203915</v>
      </c>
      <c r="B2071" t="s">
        <v>7671</v>
      </c>
      <c r="C2071" t="e">
        <f>VLOOKUP(A2071,[1]Customer_payment_journal_line!$AL:$BO,30,0)</f>
        <v>#N/A</v>
      </c>
      <c r="D2071" t="s">
        <v>53</v>
      </c>
      <c r="E2071" t="s">
        <v>7672</v>
      </c>
      <c r="F2071" t="s">
        <v>7673</v>
      </c>
      <c r="G2071" t="s">
        <v>7579</v>
      </c>
      <c r="H2071" t="s">
        <v>704</v>
      </c>
      <c r="I2071" t="s">
        <v>7674</v>
      </c>
      <c r="J2071" t="s">
        <v>7675</v>
      </c>
      <c r="K2071" t="s">
        <v>7676</v>
      </c>
      <c r="L2071" t="s">
        <v>7677</v>
      </c>
      <c r="M2071">
        <v>0</v>
      </c>
      <c r="N2071">
        <v>120000</v>
      </c>
      <c r="O2071" t="s">
        <v>61</v>
      </c>
      <c r="P2071">
        <v>100</v>
      </c>
      <c r="Q2071" t="s">
        <v>52</v>
      </c>
      <c r="R2071" t="s">
        <v>52</v>
      </c>
      <c r="S2071" t="s">
        <v>52</v>
      </c>
      <c r="T2071" t="s">
        <v>52</v>
      </c>
      <c r="U2071" t="s">
        <v>52</v>
      </c>
      <c r="V2071" t="s">
        <v>62</v>
      </c>
      <c r="W2071" t="s">
        <v>52</v>
      </c>
      <c r="Z2071" t="s">
        <v>62</v>
      </c>
      <c r="AB2071" t="s">
        <v>7678</v>
      </c>
      <c r="AC2071" t="s">
        <v>1804</v>
      </c>
      <c r="AD2071" t="s">
        <v>1804</v>
      </c>
      <c r="AF2071" t="s">
        <v>52</v>
      </c>
      <c r="AH2071">
        <v>0</v>
      </c>
      <c r="AI2071">
        <v>0</v>
      </c>
      <c r="AJ2071" t="s">
        <v>52</v>
      </c>
      <c r="AK2071">
        <v>0</v>
      </c>
      <c r="AL2071" t="s">
        <v>52</v>
      </c>
      <c r="AM2071" t="s">
        <v>52</v>
      </c>
      <c r="AN2071">
        <v>0</v>
      </c>
      <c r="AO2071">
        <v>0</v>
      </c>
      <c r="AP2071" t="s">
        <v>52</v>
      </c>
      <c r="AQ2071" t="s">
        <v>52</v>
      </c>
      <c r="AR2071" t="s">
        <v>62</v>
      </c>
      <c r="AS2071" t="s">
        <v>52</v>
      </c>
      <c r="AT2071" t="s">
        <v>710</v>
      </c>
      <c r="AU2071" t="s">
        <v>64</v>
      </c>
      <c r="AV2071" t="s">
        <v>62</v>
      </c>
      <c r="AW2071" t="s">
        <v>65</v>
      </c>
      <c r="AX2071" t="s">
        <v>702</v>
      </c>
      <c r="AY2071" t="s">
        <v>67</v>
      </c>
    </row>
    <row r="2072" spans="1:51" hidden="1" x14ac:dyDescent="0.25">
      <c r="A2072">
        <v>203915</v>
      </c>
      <c r="B2072" t="s">
        <v>7679</v>
      </c>
      <c r="C2072" t="e">
        <f>VLOOKUP(A2072,[1]Customer_payment_journal_line!$AL:$BO,30,0)</f>
        <v>#N/A</v>
      </c>
      <c r="D2072" t="s">
        <v>53</v>
      </c>
      <c r="E2072" t="s">
        <v>7672</v>
      </c>
      <c r="F2072" t="s">
        <v>7673</v>
      </c>
      <c r="G2072" t="s">
        <v>7579</v>
      </c>
      <c r="H2072" t="s">
        <v>201</v>
      </c>
      <c r="I2072" t="s">
        <v>58</v>
      </c>
      <c r="J2072" t="s">
        <v>7675</v>
      </c>
      <c r="K2072" t="s">
        <v>7676</v>
      </c>
      <c r="L2072" t="s">
        <v>52</v>
      </c>
      <c r="M2072">
        <v>120000</v>
      </c>
      <c r="N2072">
        <v>0</v>
      </c>
      <c r="O2072" t="s">
        <v>61</v>
      </c>
      <c r="P2072">
        <v>100</v>
      </c>
      <c r="Q2072" t="s">
        <v>52</v>
      </c>
      <c r="R2072" t="s">
        <v>52</v>
      </c>
      <c r="S2072" t="s">
        <v>52</v>
      </c>
      <c r="T2072" t="s">
        <v>52</v>
      </c>
      <c r="U2072" t="s">
        <v>52</v>
      </c>
      <c r="V2072" t="s">
        <v>62</v>
      </c>
      <c r="W2072" t="s">
        <v>63</v>
      </c>
      <c r="Y2072" t="s">
        <v>52</v>
      </c>
      <c r="AB2072" t="s">
        <v>7678</v>
      </c>
      <c r="AC2072" t="s">
        <v>1804</v>
      </c>
      <c r="AD2072" t="s">
        <v>1804</v>
      </c>
      <c r="AF2072" t="s">
        <v>52</v>
      </c>
      <c r="AH2072">
        <v>0</v>
      </c>
      <c r="AI2072">
        <v>0</v>
      </c>
      <c r="AJ2072" t="s">
        <v>52</v>
      </c>
      <c r="AK2072">
        <v>0</v>
      </c>
      <c r="AL2072" t="s">
        <v>52</v>
      </c>
      <c r="AM2072" t="s">
        <v>52</v>
      </c>
      <c r="AN2072">
        <v>0</v>
      </c>
      <c r="AO2072">
        <v>0</v>
      </c>
      <c r="AP2072" t="s">
        <v>52</v>
      </c>
      <c r="AQ2072" t="s">
        <v>52</v>
      </c>
      <c r="AR2072" t="s">
        <v>62</v>
      </c>
      <c r="AS2072" t="s">
        <v>52</v>
      </c>
      <c r="AT2072" t="s">
        <v>52</v>
      </c>
      <c r="AU2072" t="s">
        <v>64</v>
      </c>
      <c r="AV2072" t="s">
        <v>62</v>
      </c>
      <c r="AW2072" t="s">
        <v>65</v>
      </c>
      <c r="AX2072" t="s">
        <v>702</v>
      </c>
      <c r="AY2072" t="s">
        <v>67</v>
      </c>
    </row>
    <row r="2073" spans="1:51" hidden="1" x14ac:dyDescent="0.25">
      <c r="A2073">
        <v>203917</v>
      </c>
      <c r="B2073" t="s">
        <v>7680</v>
      </c>
      <c r="C2073" t="e">
        <f>VLOOKUP(A2073,[1]Customer_payment_journal_line!$AL:$BO,30,0)</f>
        <v>#N/A</v>
      </c>
      <c r="D2073" t="s">
        <v>53</v>
      </c>
      <c r="E2073" t="s">
        <v>7681</v>
      </c>
      <c r="F2073" t="s">
        <v>7682</v>
      </c>
      <c r="G2073" t="s">
        <v>7579</v>
      </c>
      <c r="H2073" t="s">
        <v>210</v>
      </c>
      <c r="I2073" t="s">
        <v>7683</v>
      </c>
      <c r="K2073" t="s">
        <v>7676</v>
      </c>
      <c r="L2073" t="s">
        <v>7684</v>
      </c>
      <c r="M2073">
        <v>895</v>
      </c>
      <c r="N2073">
        <v>0</v>
      </c>
      <c r="O2073" t="s">
        <v>61</v>
      </c>
      <c r="P2073">
        <v>100</v>
      </c>
      <c r="Q2073" t="s">
        <v>52</v>
      </c>
      <c r="R2073" t="s">
        <v>52</v>
      </c>
      <c r="S2073" t="s">
        <v>52</v>
      </c>
      <c r="T2073" t="s">
        <v>52</v>
      </c>
      <c r="U2073" t="s">
        <v>52</v>
      </c>
      <c r="V2073" t="s">
        <v>62</v>
      </c>
      <c r="W2073" t="s">
        <v>63</v>
      </c>
      <c r="Y2073" t="s">
        <v>52</v>
      </c>
      <c r="Z2073" t="s">
        <v>62</v>
      </c>
      <c r="AB2073" t="s">
        <v>7685</v>
      </c>
      <c r="AC2073" t="s">
        <v>1804</v>
      </c>
      <c r="AD2073" t="s">
        <v>1804</v>
      </c>
      <c r="AF2073" t="s">
        <v>52</v>
      </c>
      <c r="AH2073">
        <v>0</v>
      </c>
      <c r="AI2073">
        <v>0</v>
      </c>
      <c r="AJ2073" t="s">
        <v>52</v>
      </c>
      <c r="AK2073">
        <v>0</v>
      </c>
      <c r="AL2073" t="s">
        <v>52</v>
      </c>
      <c r="AM2073" t="s">
        <v>52</v>
      </c>
      <c r="AN2073">
        <v>0</v>
      </c>
      <c r="AO2073">
        <v>0</v>
      </c>
      <c r="AP2073" t="s">
        <v>52</v>
      </c>
      <c r="AQ2073" t="s">
        <v>52</v>
      </c>
      <c r="AR2073" t="s">
        <v>62</v>
      </c>
      <c r="AS2073" t="s">
        <v>52</v>
      </c>
      <c r="AT2073" t="s">
        <v>52</v>
      </c>
      <c r="AU2073" t="s">
        <v>64</v>
      </c>
      <c r="AV2073" t="s">
        <v>62</v>
      </c>
      <c r="AW2073" t="s">
        <v>65</v>
      </c>
      <c r="AX2073" t="s">
        <v>702</v>
      </c>
      <c r="AY2073" t="s">
        <v>67</v>
      </c>
    </row>
    <row r="2074" spans="1:51" hidden="1" x14ac:dyDescent="0.25">
      <c r="A2074">
        <v>203917</v>
      </c>
      <c r="B2074" t="s">
        <v>7686</v>
      </c>
      <c r="C2074" t="e">
        <f>VLOOKUP(A2074,[1]Customer_payment_journal_line!$AL:$BO,30,0)</f>
        <v>#N/A</v>
      </c>
      <c r="D2074" t="s">
        <v>53</v>
      </c>
      <c r="E2074" t="s">
        <v>7681</v>
      </c>
      <c r="F2074" t="s">
        <v>7682</v>
      </c>
      <c r="G2074" t="s">
        <v>7579</v>
      </c>
      <c r="H2074" t="s">
        <v>210</v>
      </c>
      <c r="I2074" t="s">
        <v>7687</v>
      </c>
      <c r="K2074" t="s">
        <v>7676</v>
      </c>
      <c r="L2074" t="s">
        <v>7684</v>
      </c>
      <c r="M2074">
        <v>9970.7199999999993</v>
      </c>
      <c r="N2074">
        <v>0</v>
      </c>
      <c r="O2074" t="s">
        <v>61</v>
      </c>
      <c r="P2074">
        <v>100</v>
      </c>
      <c r="Q2074" t="s">
        <v>52</v>
      </c>
      <c r="R2074" t="s">
        <v>52</v>
      </c>
      <c r="S2074" t="s">
        <v>52</v>
      </c>
      <c r="T2074" t="s">
        <v>52</v>
      </c>
      <c r="U2074" t="s">
        <v>52</v>
      </c>
      <c r="V2074" t="s">
        <v>62</v>
      </c>
      <c r="W2074" t="s">
        <v>63</v>
      </c>
      <c r="Y2074" t="s">
        <v>52</v>
      </c>
      <c r="Z2074" t="s">
        <v>62</v>
      </c>
      <c r="AB2074" t="s">
        <v>7685</v>
      </c>
      <c r="AC2074" t="s">
        <v>1804</v>
      </c>
      <c r="AD2074" t="s">
        <v>1804</v>
      </c>
      <c r="AF2074" t="s">
        <v>52</v>
      </c>
      <c r="AH2074">
        <v>0</v>
      </c>
      <c r="AI2074">
        <v>0</v>
      </c>
      <c r="AJ2074" t="s">
        <v>52</v>
      </c>
      <c r="AK2074">
        <v>0</v>
      </c>
      <c r="AL2074" t="s">
        <v>52</v>
      </c>
      <c r="AM2074" t="s">
        <v>52</v>
      </c>
      <c r="AN2074">
        <v>0</v>
      </c>
      <c r="AO2074">
        <v>0</v>
      </c>
      <c r="AP2074" t="s">
        <v>52</v>
      </c>
      <c r="AQ2074" t="s">
        <v>52</v>
      </c>
      <c r="AR2074" t="s">
        <v>62</v>
      </c>
      <c r="AS2074" t="s">
        <v>52</v>
      </c>
      <c r="AT2074" t="s">
        <v>52</v>
      </c>
      <c r="AU2074" t="s">
        <v>64</v>
      </c>
      <c r="AV2074" t="s">
        <v>62</v>
      </c>
      <c r="AW2074" t="s">
        <v>65</v>
      </c>
      <c r="AX2074" t="s">
        <v>702</v>
      </c>
      <c r="AY2074" t="s">
        <v>67</v>
      </c>
    </row>
    <row r="2075" spans="1:51" hidden="1" x14ac:dyDescent="0.25">
      <c r="A2075">
        <v>203917</v>
      </c>
      <c r="B2075" t="s">
        <v>7688</v>
      </c>
      <c r="C2075" t="e">
        <f>VLOOKUP(A2075,[1]Customer_payment_journal_line!$AL:$BO,30,0)</f>
        <v>#N/A</v>
      </c>
      <c r="D2075" t="s">
        <v>53</v>
      </c>
      <c r="E2075" t="s">
        <v>7681</v>
      </c>
      <c r="F2075" t="s">
        <v>7682</v>
      </c>
      <c r="G2075" t="s">
        <v>7579</v>
      </c>
      <c r="H2075" t="s">
        <v>704</v>
      </c>
      <c r="I2075" t="s">
        <v>7689</v>
      </c>
      <c r="J2075" t="s">
        <v>7690</v>
      </c>
      <c r="K2075" t="s">
        <v>7676</v>
      </c>
      <c r="L2075" t="s">
        <v>7684</v>
      </c>
      <c r="M2075">
        <v>0</v>
      </c>
      <c r="N2075">
        <v>250000</v>
      </c>
      <c r="O2075" t="s">
        <v>61</v>
      </c>
      <c r="P2075">
        <v>100</v>
      </c>
      <c r="Q2075" t="s">
        <v>52</v>
      </c>
      <c r="R2075" t="s">
        <v>52</v>
      </c>
      <c r="S2075" t="s">
        <v>52</v>
      </c>
      <c r="T2075" t="s">
        <v>52</v>
      </c>
      <c r="U2075" t="s">
        <v>52</v>
      </c>
      <c r="V2075" t="s">
        <v>62</v>
      </c>
      <c r="W2075" t="s">
        <v>52</v>
      </c>
      <c r="Z2075" t="s">
        <v>62</v>
      </c>
      <c r="AB2075" t="s">
        <v>7685</v>
      </c>
      <c r="AC2075" t="s">
        <v>1804</v>
      </c>
      <c r="AD2075" t="s">
        <v>1804</v>
      </c>
      <c r="AF2075" t="s">
        <v>52</v>
      </c>
      <c r="AH2075">
        <v>0</v>
      </c>
      <c r="AI2075">
        <v>0</v>
      </c>
      <c r="AJ2075" t="s">
        <v>52</v>
      </c>
      <c r="AK2075">
        <v>0</v>
      </c>
      <c r="AL2075" t="s">
        <v>52</v>
      </c>
      <c r="AM2075" t="s">
        <v>52</v>
      </c>
      <c r="AN2075">
        <v>0</v>
      </c>
      <c r="AO2075">
        <v>0</v>
      </c>
      <c r="AP2075" t="s">
        <v>52</v>
      </c>
      <c r="AQ2075" t="s">
        <v>52</v>
      </c>
      <c r="AR2075" t="s">
        <v>62</v>
      </c>
      <c r="AS2075" t="s">
        <v>52</v>
      </c>
      <c r="AT2075" t="s">
        <v>710</v>
      </c>
      <c r="AU2075" t="s">
        <v>64</v>
      </c>
      <c r="AV2075" t="s">
        <v>62</v>
      </c>
      <c r="AW2075" t="s">
        <v>65</v>
      </c>
      <c r="AX2075" t="s">
        <v>702</v>
      </c>
      <c r="AY2075" t="s">
        <v>67</v>
      </c>
    </row>
    <row r="2076" spans="1:51" hidden="1" x14ac:dyDescent="0.25">
      <c r="A2076">
        <v>203917</v>
      </c>
      <c r="B2076" t="s">
        <v>7691</v>
      </c>
      <c r="C2076" t="e">
        <f>VLOOKUP(A2076,[1]Customer_payment_journal_line!$AL:$BO,30,0)</f>
        <v>#N/A</v>
      </c>
      <c r="D2076" t="s">
        <v>53</v>
      </c>
      <c r="E2076" t="s">
        <v>7681</v>
      </c>
      <c r="F2076" t="s">
        <v>7682</v>
      </c>
      <c r="G2076" t="s">
        <v>7579</v>
      </c>
      <c r="H2076" t="s">
        <v>201</v>
      </c>
      <c r="I2076" t="s">
        <v>58</v>
      </c>
      <c r="J2076" t="s">
        <v>7690</v>
      </c>
      <c r="K2076" t="s">
        <v>7676</v>
      </c>
      <c r="L2076" t="s">
        <v>52</v>
      </c>
      <c r="M2076">
        <v>239134.28</v>
      </c>
      <c r="N2076">
        <v>0</v>
      </c>
      <c r="O2076" t="s">
        <v>61</v>
      </c>
      <c r="P2076">
        <v>100</v>
      </c>
      <c r="Q2076" t="s">
        <v>52</v>
      </c>
      <c r="R2076" t="s">
        <v>52</v>
      </c>
      <c r="S2076" t="s">
        <v>52</v>
      </c>
      <c r="T2076" t="s">
        <v>52</v>
      </c>
      <c r="U2076" t="s">
        <v>52</v>
      </c>
      <c r="V2076" t="s">
        <v>62</v>
      </c>
      <c r="W2076" t="s">
        <v>63</v>
      </c>
      <c r="Y2076" t="s">
        <v>52</v>
      </c>
      <c r="AB2076" t="s">
        <v>7685</v>
      </c>
      <c r="AC2076" t="s">
        <v>1804</v>
      </c>
      <c r="AD2076" t="s">
        <v>1804</v>
      </c>
      <c r="AF2076" t="s">
        <v>52</v>
      </c>
      <c r="AH2076">
        <v>0</v>
      </c>
      <c r="AI2076">
        <v>0</v>
      </c>
      <c r="AJ2076" t="s">
        <v>52</v>
      </c>
      <c r="AK2076">
        <v>0</v>
      </c>
      <c r="AL2076" t="s">
        <v>52</v>
      </c>
      <c r="AM2076" t="s">
        <v>52</v>
      </c>
      <c r="AN2076">
        <v>0</v>
      </c>
      <c r="AO2076">
        <v>0</v>
      </c>
      <c r="AP2076" t="s">
        <v>52</v>
      </c>
      <c r="AQ2076" t="s">
        <v>52</v>
      </c>
      <c r="AR2076" t="s">
        <v>62</v>
      </c>
      <c r="AS2076" t="s">
        <v>52</v>
      </c>
      <c r="AT2076" t="s">
        <v>52</v>
      </c>
      <c r="AU2076" t="s">
        <v>64</v>
      </c>
      <c r="AV2076" t="s">
        <v>62</v>
      </c>
      <c r="AW2076" t="s">
        <v>65</v>
      </c>
      <c r="AX2076" t="s">
        <v>702</v>
      </c>
      <c r="AY2076" t="s">
        <v>67</v>
      </c>
    </row>
    <row r="2077" spans="1:51" hidden="1" x14ac:dyDescent="0.25">
      <c r="A2077">
        <v>203919</v>
      </c>
      <c r="B2077" t="s">
        <v>7692</v>
      </c>
      <c r="C2077" t="e">
        <f>VLOOKUP(A2077,[1]Customer_payment_journal_line!$AL:$BO,30,0)</f>
        <v>#N/A</v>
      </c>
      <c r="D2077" t="s">
        <v>53</v>
      </c>
      <c r="E2077" t="s">
        <v>7693</v>
      </c>
      <c r="F2077" t="s">
        <v>7694</v>
      </c>
      <c r="G2077" t="s">
        <v>7579</v>
      </c>
      <c r="H2077" t="s">
        <v>210</v>
      </c>
      <c r="I2077" t="s">
        <v>7683</v>
      </c>
      <c r="K2077" t="s">
        <v>7695</v>
      </c>
      <c r="L2077" t="s">
        <v>7684</v>
      </c>
      <c r="M2077">
        <v>895</v>
      </c>
      <c r="N2077">
        <v>0</v>
      </c>
      <c r="O2077" t="s">
        <v>61</v>
      </c>
      <c r="P2077">
        <v>100</v>
      </c>
      <c r="Q2077" t="s">
        <v>52</v>
      </c>
      <c r="R2077" t="s">
        <v>52</v>
      </c>
      <c r="S2077" t="s">
        <v>52</v>
      </c>
      <c r="T2077" t="s">
        <v>52</v>
      </c>
      <c r="U2077" t="s">
        <v>52</v>
      </c>
      <c r="V2077" t="s">
        <v>62</v>
      </c>
      <c r="W2077" t="s">
        <v>63</v>
      </c>
      <c r="Y2077" t="s">
        <v>52</v>
      </c>
      <c r="Z2077" t="s">
        <v>62</v>
      </c>
      <c r="AB2077" t="s">
        <v>7696</v>
      </c>
      <c r="AC2077" t="s">
        <v>2356</v>
      </c>
      <c r="AD2077" t="s">
        <v>2356</v>
      </c>
      <c r="AF2077" t="s">
        <v>52</v>
      </c>
      <c r="AH2077">
        <v>0</v>
      </c>
      <c r="AI2077">
        <v>0</v>
      </c>
      <c r="AJ2077" t="s">
        <v>52</v>
      </c>
      <c r="AK2077">
        <v>0</v>
      </c>
      <c r="AL2077" t="s">
        <v>52</v>
      </c>
      <c r="AM2077" t="s">
        <v>52</v>
      </c>
      <c r="AN2077">
        <v>0</v>
      </c>
      <c r="AO2077">
        <v>0</v>
      </c>
      <c r="AP2077" t="s">
        <v>52</v>
      </c>
      <c r="AQ2077" t="s">
        <v>52</v>
      </c>
      <c r="AR2077" t="s">
        <v>62</v>
      </c>
      <c r="AS2077" t="s">
        <v>52</v>
      </c>
      <c r="AT2077" t="s">
        <v>52</v>
      </c>
      <c r="AU2077" t="s">
        <v>64</v>
      </c>
      <c r="AV2077" t="s">
        <v>62</v>
      </c>
      <c r="AW2077" t="s">
        <v>65</v>
      </c>
      <c r="AX2077" t="s">
        <v>702</v>
      </c>
      <c r="AY2077" t="s">
        <v>67</v>
      </c>
    </row>
    <row r="2078" spans="1:51" hidden="1" x14ac:dyDescent="0.25">
      <c r="A2078">
        <v>203919</v>
      </c>
      <c r="B2078" t="s">
        <v>7697</v>
      </c>
      <c r="C2078" t="e">
        <f>VLOOKUP(A2078,[1]Customer_payment_journal_line!$AL:$BO,30,0)</f>
        <v>#N/A</v>
      </c>
      <c r="D2078" t="s">
        <v>53</v>
      </c>
      <c r="E2078" t="s">
        <v>7693</v>
      </c>
      <c r="F2078" t="s">
        <v>7694</v>
      </c>
      <c r="G2078" t="s">
        <v>7579</v>
      </c>
      <c r="H2078" t="s">
        <v>210</v>
      </c>
      <c r="I2078" t="s">
        <v>7687</v>
      </c>
      <c r="K2078" t="s">
        <v>7695</v>
      </c>
      <c r="L2078" t="s">
        <v>7684</v>
      </c>
      <c r="M2078">
        <v>9970.7199999999993</v>
      </c>
      <c r="N2078">
        <v>0</v>
      </c>
      <c r="O2078" t="s">
        <v>61</v>
      </c>
      <c r="P2078">
        <v>100</v>
      </c>
      <c r="Q2078" t="s">
        <v>52</v>
      </c>
      <c r="R2078" t="s">
        <v>52</v>
      </c>
      <c r="S2078" t="s">
        <v>52</v>
      </c>
      <c r="T2078" t="s">
        <v>52</v>
      </c>
      <c r="U2078" t="s">
        <v>52</v>
      </c>
      <c r="V2078" t="s">
        <v>62</v>
      </c>
      <c r="W2078" t="s">
        <v>63</v>
      </c>
      <c r="Y2078" t="s">
        <v>52</v>
      </c>
      <c r="Z2078" t="s">
        <v>62</v>
      </c>
      <c r="AB2078" t="s">
        <v>7696</v>
      </c>
      <c r="AC2078" t="s">
        <v>2356</v>
      </c>
      <c r="AD2078" t="s">
        <v>2356</v>
      </c>
      <c r="AF2078" t="s">
        <v>52</v>
      </c>
      <c r="AH2078">
        <v>0</v>
      </c>
      <c r="AI2078">
        <v>0</v>
      </c>
      <c r="AJ2078" t="s">
        <v>52</v>
      </c>
      <c r="AK2078">
        <v>0</v>
      </c>
      <c r="AL2078" t="s">
        <v>52</v>
      </c>
      <c r="AM2078" t="s">
        <v>52</v>
      </c>
      <c r="AN2078">
        <v>0</v>
      </c>
      <c r="AO2078">
        <v>0</v>
      </c>
      <c r="AP2078" t="s">
        <v>52</v>
      </c>
      <c r="AQ2078" t="s">
        <v>52</v>
      </c>
      <c r="AR2078" t="s">
        <v>62</v>
      </c>
      <c r="AS2078" t="s">
        <v>52</v>
      </c>
      <c r="AT2078" t="s">
        <v>52</v>
      </c>
      <c r="AU2078" t="s">
        <v>64</v>
      </c>
      <c r="AV2078" t="s">
        <v>62</v>
      </c>
      <c r="AW2078" t="s">
        <v>65</v>
      </c>
      <c r="AX2078" t="s">
        <v>702</v>
      </c>
      <c r="AY2078" t="s">
        <v>67</v>
      </c>
    </row>
    <row r="2079" spans="1:51" hidden="1" x14ac:dyDescent="0.25">
      <c r="A2079">
        <v>203919</v>
      </c>
      <c r="B2079" t="s">
        <v>7698</v>
      </c>
      <c r="C2079" t="e">
        <f>VLOOKUP(A2079,[1]Customer_payment_journal_line!$AL:$BO,30,0)</f>
        <v>#N/A</v>
      </c>
      <c r="D2079" t="s">
        <v>53</v>
      </c>
      <c r="E2079" t="s">
        <v>7693</v>
      </c>
      <c r="F2079" t="s">
        <v>7694</v>
      </c>
      <c r="G2079" t="s">
        <v>7579</v>
      </c>
      <c r="H2079" t="s">
        <v>704</v>
      </c>
      <c r="I2079" t="s">
        <v>7689</v>
      </c>
      <c r="J2079" t="s">
        <v>7690</v>
      </c>
      <c r="K2079" t="s">
        <v>7695</v>
      </c>
      <c r="L2079" t="s">
        <v>7684</v>
      </c>
      <c r="M2079">
        <v>0</v>
      </c>
      <c r="N2079">
        <v>250000</v>
      </c>
      <c r="O2079" t="s">
        <v>61</v>
      </c>
      <c r="P2079">
        <v>100</v>
      </c>
      <c r="Q2079" t="s">
        <v>52</v>
      </c>
      <c r="R2079" t="s">
        <v>52</v>
      </c>
      <c r="S2079" t="s">
        <v>52</v>
      </c>
      <c r="T2079" t="s">
        <v>52</v>
      </c>
      <c r="U2079" t="s">
        <v>52</v>
      </c>
      <c r="V2079" t="s">
        <v>62</v>
      </c>
      <c r="W2079" t="s">
        <v>52</v>
      </c>
      <c r="Z2079" t="s">
        <v>62</v>
      </c>
      <c r="AB2079" t="s">
        <v>7696</v>
      </c>
      <c r="AC2079" t="s">
        <v>2356</v>
      </c>
      <c r="AD2079" t="s">
        <v>2356</v>
      </c>
      <c r="AF2079" t="s">
        <v>52</v>
      </c>
      <c r="AH2079">
        <v>0</v>
      </c>
      <c r="AI2079">
        <v>0</v>
      </c>
      <c r="AJ2079" t="s">
        <v>52</v>
      </c>
      <c r="AK2079">
        <v>0</v>
      </c>
      <c r="AL2079" t="s">
        <v>52</v>
      </c>
      <c r="AM2079" t="s">
        <v>52</v>
      </c>
      <c r="AN2079">
        <v>0</v>
      </c>
      <c r="AO2079">
        <v>0</v>
      </c>
      <c r="AP2079" t="s">
        <v>52</v>
      </c>
      <c r="AQ2079" t="s">
        <v>52</v>
      </c>
      <c r="AR2079" t="s">
        <v>62</v>
      </c>
      <c r="AS2079" t="s">
        <v>52</v>
      </c>
      <c r="AT2079" t="s">
        <v>710</v>
      </c>
      <c r="AU2079" t="s">
        <v>64</v>
      </c>
      <c r="AV2079" t="s">
        <v>62</v>
      </c>
      <c r="AW2079" t="s">
        <v>65</v>
      </c>
      <c r="AX2079" t="s">
        <v>702</v>
      </c>
      <c r="AY2079" t="s">
        <v>67</v>
      </c>
    </row>
    <row r="2080" spans="1:51" hidden="1" x14ac:dyDescent="0.25">
      <c r="A2080">
        <v>203919</v>
      </c>
      <c r="B2080" t="s">
        <v>7699</v>
      </c>
      <c r="C2080" t="e">
        <f>VLOOKUP(A2080,[1]Customer_payment_journal_line!$AL:$BO,30,0)</f>
        <v>#N/A</v>
      </c>
      <c r="D2080" t="s">
        <v>53</v>
      </c>
      <c r="E2080" t="s">
        <v>7693</v>
      </c>
      <c r="F2080" t="s">
        <v>7694</v>
      </c>
      <c r="G2080" t="s">
        <v>7579</v>
      </c>
      <c r="H2080" t="s">
        <v>201</v>
      </c>
      <c r="I2080" t="s">
        <v>58</v>
      </c>
      <c r="J2080" t="s">
        <v>7690</v>
      </c>
      <c r="K2080" t="s">
        <v>7695</v>
      </c>
      <c r="L2080" t="s">
        <v>52</v>
      </c>
      <c r="M2080">
        <v>239134.28</v>
      </c>
      <c r="N2080">
        <v>0</v>
      </c>
      <c r="O2080" t="s">
        <v>61</v>
      </c>
      <c r="P2080">
        <v>100</v>
      </c>
      <c r="Q2080" t="s">
        <v>52</v>
      </c>
      <c r="R2080" t="s">
        <v>52</v>
      </c>
      <c r="S2080" t="s">
        <v>52</v>
      </c>
      <c r="T2080" t="s">
        <v>52</v>
      </c>
      <c r="U2080" t="s">
        <v>52</v>
      </c>
      <c r="V2080" t="s">
        <v>62</v>
      </c>
      <c r="W2080" t="s">
        <v>63</v>
      </c>
      <c r="Y2080" t="s">
        <v>52</v>
      </c>
      <c r="AB2080" t="s">
        <v>7696</v>
      </c>
      <c r="AC2080" t="s">
        <v>2356</v>
      </c>
      <c r="AD2080" t="s">
        <v>2356</v>
      </c>
      <c r="AF2080" t="s">
        <v>52</v>
      </c>
      <c r="AH2080">
        <v>0</v>
      </c>
      <c r="AI2080">
        <v>0</v>
      </c>
      <c r="AJ2080" t="s">
        <v>52</v>
      </c>
      <c r="AK2080">
        <v>0</v>
      </c>
      <c r="AL2080" t="s">
        <v>52</v>
      </c>
      <c r="AM2080" t="s">
        <v>52</v>
      </c>
      <c r="AN2080">
        <v>0</v>
      </c>
      <c r="AO2080">
        <v>0</v>
      </c>
      <c r="AP2080" t="s">
        <v>52</v>
      </c>
      <c r="AQ2080" t="s">
        <v>52</v>
      </c>
      <c r="AR2080" t="s">
        <v>62</v>
      </c>
      <c r="AS2080" t="s">
        <v>52</v>
      </c>
      <c r="AT2080" t="s">
        <v>52</v>
      </c>
      <c r="AU2080" t="s">
        <v>64</v>
      </c>
      <c r="AV2080" t="s">
        <v>62</v>
      </c>
      <c r="AW2080" t="s">
        <v>65</v>
      </c>
      <c r="AX2080" t="s">
        <v>702</v>
      </c>
      <c r="AY2080" t="s">
        <v>67</v>
      </c>
    </row>
    <row r="2081" spans="1:51" hidden="1" x14ac:dyDescent="0.25">
      <c r="A2081">
        <v>203921</v>
      </c>
      <c r="B2081" t="s">
        <v>7700</v>
      </c>
      <c r="C2081" t="e">
        <f>VLOOKUP(A2081,[1]Customer_payment_journal_line!$AL:$BO,30,0)</f>
        <v>#N/A</v>
      </c>
      <c r="D2081" t="s">
        <v>53</v>
      </c>
      <c r="E2081" t="s">
        <v>7701</v>
      </c>
      <c r="F2081" t="s">
        <v>7702</v>
      </c>
      <c r="G2081" t="s">
        <v>7579</v>
      </c>
      <c r="H2081" t="s">
        <v>210</v>
      </c>
      <c r="I2081" t="s">
        <v>7683</v>
      </c>
      <c r="K2081" t="s">
        <v>7703</v>
      </c>
      <c r="L2081" t="s">
        <v>7684</v>
      </c>
      <c r="M2081">
        <v>1115</v>
      </c>
      <c r="N2081">
        <v>0</v>
      </c>
      <c r="O2081" t="s">
        <v>61</v>
      </c>
      <c r="P2081">
        <v>100</v>
      </c>
      <c r="Q2081" t="s">
        <v>52</v>
      </c>
      <c r="R2081" t="s">
        <v>52</v>
      </c>
      <c r="S2081" t="s">
        <v>52</v>
      </c>
      <c r="T2081" t="s">
        <v>52</v>
      </c>
      <c r="U2081" t="s">
        <v>52</v>
      </c>
      <c r="V2081" t="s">
        <v>62</v>
      </c>
      <c r="W2081" t="s">
        <v>63</v>
      </c>
      <c r="Y2081" t="s">
        <v>52</v>
      </c>
      <c r="Z2081" t="s">
        <v>62</v>
      </c>
      <c r="AB2081" t="s">
        <v>7704</v>
      </c>
      <c r="AC2081" t="s">
        <v>1063</v>
      </c>
      <c r="AD2081" t="s">
        <v>1063</v>
      </c>
      <c r="AF2081" t="s">
        <v>52</v>
      </c>
      <c r="AH2081">
        <v>0</v>
      </c>
      <c r="AI2081">
        <v>0</v>
      </c>
      <c r="AJ2081" t="s">
        <v>52</v>
      </c>
      <c r="AK2081">
        <v>0</v>
      </c>
      <c r="AL2081" t="s">
        <v>52</v>
      </c>
      <c r="AM2081" t="s">
        <v>52</v>
      </c>
      <c r="AN2081">
        <v>0</v>
      </c>
      <c r="AO2081">
        <v>0</v>
      </c>
      <c r="AP2081" t="s">
        <v>52</v>
      </c>
      <c r="AQ2081" t="s">
        <v>52</v>
      </c>
      <c r="AR2081" t="s">
        <v>62</v>
      </c>
      <c r="AS2081" t="s">
        <v>52</v>
      </c>
      <c r="AT2081" t="s">
        <v>52</v>
      </c>
      <c r="AU2081" t="s">
        <v>64</v>
      </c>
      <c r="AV2081" t="s">
        <v>62</v>
      </c>
      <c r="AW2081" t="s">
        <v>65</v>
      </c>
      <c r="AX2081" t="s">
        <v>702</v>
      </c>
      <c r="AY2081" t="s">
        <v>67</v>
      </c>
    </row>
    <row r="2082" spans="1:51" hidden="1" x14ac:dyDescent="0.25">
      <c r="A2082">
        <v>203921</v>
      </c>
      <c r="B2082" t="s">
        <v>7705</v>
      </c>
      <c r="C2082" t="e">
        <f>VLOOKUP(A2082,[1]Customer_payment_journal_line!$AL:$BO,30,0)</f>
        <v>#N/A</v>
      </c>
      <c r="D2082" t="s">
        <v>53</v>
      </c>
      <c r="E2082" t="s">
        <v>7701</v>
      </c>
      <c r="F2082" t="s">
        <v>7702</v>
      </c>
      <c r="G2082" t="s">
        <v>7579</v>
      </c>
      <c r="H2082" t="s">
        <v>210</v>
      </c>
      <c r="I2082" t="s">
        <v>7687</v>
      </c>
      <c r="K2082" t="s">
        <v>7703</v>
      </c>
      <c r="L2082" t="s">
        <v>7684</v>
      </c>
      <c r="M2082">
        <v>18886.54</v>
      </c>
      <c r="N2082">
        <v>0</v>
      </c>
      <c r="O2082" t="s">
        <v>61</v>
      </c>
      <c r="P2082">
        <v>100</v>
      </c>
      <c r="Q2082" t="s">
        <v>52</v>
      </c>
      <c r="R2082" t="s">
        <v>52</v>
      </c>
      <c r="S2082" t="s">
        <v>52</v>
      </c>
      <c r="T2082" t="s">
        <v>52</v>
      </c>
      <c r="U2082" t="s">
        <v>52</v>
      </c>
      <c r="V2082" t="s">
        <v>62</v>
      </c>
      <c r="W2082" t="s">
        <v>63</v>
      </c>
      <c r="Y2082" t="s">
        <v>52</v>
      </c>
      <c r="Z2082" t="s">
        <v>62</v>
      </c>
      <c r="AB2082" t="s">
        <v>7704</v>
      </c>
      <c r="AC2082" t="s">
        <v>1063</v>
      </c>
      <c r="AD2082" t="s">
        <v>1063</v>
      </c>
      <c r="AF2082" t="s">
        <v>52</v>
      </c>
      <c r="AH2082">
        <v>0</v>
      </c>
      <c r="AI2082">
        <v>0</v>
      </c>
      <c r="AJ2082" t="s">
        <v>52</v>
      </c>
      <c r="AK2082">
        <v>0</v>
      </c>
      <c r="AL2082" t="s">
        <v>52</v>
      </c>
      <c r="AM2082" t="s">
        <v>52</v>
      </c>
      <c r="AN2082">
        <v>0</v>
      </c>
      <c r="AO2082">
        <v>0</v>
      </c>
      <c r="AP2082" t="s">
        <v>52</v>
      </c>
      <c r="AQ2082" t="s">
        <v>52</v>
      </c>
      <c r="AR2082" t="s">
        <v>62</v>
      </c>
      <c r="AS2082" t="s">
        <v>52</v>
      </c>
      <c r="AT2082" t="s">
        <v>52</v>
      </c>
      <c r="AU2082" t="s">
        <v>64</v>
      </c>
      <c r="AV2082" t="s">
        <v>62</v>
      </c>
      <c r="AW2082" t="s">
        <v>65</v>
      </c>
      <c r="AX2082" t="s">
        <v>702</v>
      </c>
      <c r="AY2082" t="s">
        <v>67</v>
      </c>
    </row>
    <row r="2083" spans="1:51" hidden="1" x14ac:dyDescent="0.25">
      <c r="A2083">
        <v>203921</v>
      </c>
      <c r="B2083" t="s">
        <v>7706</v>
      </c>
      <c r="C2083" t="e">
        <f>VLOOKUP(A2083,[1]Customer_payment_journal_line!$AL:$BO,30,0)</f>
        <v>#N/A</v>
      </c>
      <c r="D2083" t="s">
        <v>53</v>
      </c>
      <c r="E2083" t="s">
        <v>7701</v>
      </c>
      <c r="F2083" t="s">
        <v>7702</v>
      </c>
      <c r="G2083" t="s">
        <v>7579</v>
      </c>
      <c r="H2083" t="s">
        <v>704</v>
      </c>
      <c r="I2083" t="s">
        <v>7689</v>
      </c>
      <c r="J2083" t="s">
        <v>7690</v>
      </c>
      <c r="K2083" t="s">
        <v>7703</v>
      </c>
      <c r="L2083" t="s">
        <v>7684</v>
      </c>
      <c r="M2083">
        <v>0</v>
      </c>
      <c r="N2083">
        <v>250000</v>
      </c>
      <c r="O2083" t="s">
        <v>61</v>
      </c>
      <c r="P2083">
        <v>100</v>
      </c>
      <c r="Q2083" t="s">
        <v>52</v>
      </c>
      <c r="R2083" t="s">
        <v>52</v>
      </c>
      <c r="S2083" t="s">
        <v>52</v>
      </c>
      <c r="T2083" t="s">
        <v>52</v>
      </c>
      <c r="U2083" t="s">
        <v>52</v>
      </c>
      <c r="V2083" t="s">
        <v>62</v>
      </c>
      <c r="W2083" t="s">
        <v>52</v>
      </c>
      <c r="Z2083" t="s">
        <v>62</v>
      </c>
      <c r="AB2083" t="s">
        <v>7704</v>
      </c>
      <c r="AC2083" t="s">
        <v>1063</v>
      </c>
      <c r="AD2083" t="s">
        <v>1063</v>
      </c>
      <c r="AF2083" t="s">
        <v>52</v>
      </c>
      <c r="AH2083">
        <v>0</v>
      </c>
      <c r="AI2083">
        <v>0</v>
      </c>
      <c r="AJ2083" t="s">
        <v>52</v>
      </c>
      <c r="AK2083">
        <v>0</v>
      </c>
      <c r="AL2083" t="s">
        <v>52</v>
      </c>
      <c r="AM2083" t="s">
        <v>52</v>
      </c>
      <c r="AN2083">
        <v>0</v>
      </c>
      <c r="AO2083">
        <v>0</v>
      </c>
      <c r="AP2083" t="s">
        <v>52</v>
      </c>
      <c r="AQ2083" t="s">
        <v>52</v>
      </c>
      <c r="AR2083" t="s">
        <v>62</v>
      </c>
      <c r="AS2083" t="s">
        <v>52</v>
      </c>
      <c r="AT2083" t="s">
        <v>710</v>
      </c>
      <c r="AU2083" t="s">
        <v>64</v>
      </c>
      <c r="AV2083" t="s">
        <v>62</v>
      </c>
      <c r="AW2083" t="s">
        <v>65</v>
      </c>
      <c r="AX2083" t="s">
        <v>702</v>
      </c>
      <c r="AY2083" t="s">
        <v>67</v>
      </c>
    </row>
    <row r="2084" spans="1:51" hidden="1" x14ac:dyDescent="0.25">
      <c r="A2084">
        <v>203921</v>
      </c>
      <c r="B2084" t="s">
        <v>7707</v>
      </c>
      <c r="C2084" t="e">
        <f>VLOOKUP(A2084,[1]Customer_payment_journal_line!$AL:$BO,30,0)</f>
        <v>#N/A</v>
      </c>
      <c r="D2084" t="s">
        <v>53</v>
      </c>
      <c r="E2084" t="s">
        <v>7701</v>
      </c>
      <c r="F2084" t="s">
        <v>7702</v>
      </c>
      <c r="G2084" t="s">
        <v>7579</v>
      </c>
      <c r="H2084" t="s">
        <v>201</v>
      </c>
      <c r="I2084" t="s">
        <v>58</v>
      </c>
      <c r="J2084" t="s">
        <v>7690</v>
      </c>
      <c r="K2084" t="s">
        <v>7703</v>
      </c>
      <c r="L2084" t="s">
        <v>52</v>
      </c>
      <c r="M2084">
        <v>229998.46</v>
      </c>
      <c r="N2084">
        <v>0</v>
      </c>
      <c r="O2084" t="s">
        <v>61</v>
      </c>
      <c r="P2084">
        <v>100</v>
      </c>
      <c r="Q2084" t="s">
        <v>52</v>
      </c>
      <c r="R2084" t="s">
        <v>52</v>
      </c>
      <c r="S2084" t="s">
        <v>52</v>
      </c>
      <c r="T2084" t="s">
        <v>52</v>
      </c>
      <c r="U2084" t="s">
        <v>52</v>
      </c>
      <c r="V2084" t="s">
        <v>62</v>
      </c>
      <c r="W2084" t="s">
        <v>63</v>
      </c>
      <c r="Y2084" t="s">
        <v>52</v>
      </c>
      <c r="AB2084" t="s">
        <v>7704</v>
      </c>
      <c r="AC2084" t="s">
        <v>1063</v>
      </c>
      <c r="AD2084" t="s">
        <v>1063</v>
      </c>
      <c r="AF2084" t="s">
        <v>52</v>
      </c>
      <c r="AH2084">
        <v>0</v>
      </c>
      <c r="AI2084">
        <v>0</v>
      </c>
      <c r="AJ2084" t="s">
        <v>52</v>
      </c>
      <c r="AK2084">
        <v>0</v>
      </c>
      <c r="AL2084" t="s">
        <v>52</v>
      </c>
      <c r="AM2084" t="s">
        <v>52</v>
      </c>
      <c r="AN2084">
        <v>0</v>
      </c>
      <c r="AO2084">
        <v>0</v>
      </c>
      <c r="AP2084" t="s">
        <v>52</v>
      </c>
      <c r="AQ2084" t="s">
        <v>52</v>
      </c>
      <c r="AR2084" t="s">
        <v>62</v>
      </c>
      <c r="AS2084" t="s">
        <v>52</v>
      </c>
      <c r="AT2084" t="s">
        <v>52</v>
      </c>
      <c r="AU2084" t="s">
        <v>64</v>
      </c>
      <c r="AV2084" t="s">
        <v>62</v>
      </c>
      <c r="AW2084" t="s">
        <v>65</v>
      </c>
      <c r="AX2084" t="s">
        <v>702</v>
      </c>
      <c r="AY2084" t="s">
        <v>67</v>
      </c>
    </row>
    <row r="2085" spans="1:51" hidden="1" x14ac:dyDescent="0.25">
      <c r="A2085">
        <v>203922</v>
      </c>
      <c r="B2085" t="s">
        <v>7708</v>
      </c>
      <c r="C2085" t="e">
        <f>VLOOKUP(A2085,[1]Customer_payment_journal_line!$AL:$BO,30,0)</f>
        <v>#N/A</v>
      </c>
      <c r="D2085" t="s">
        <v>53</v>
      </c>
      <c r="E2085" t="s">
        <v>7709</v>
      </c>
      <c r="F2085" t="s">
        <v>7710</v>
      </c>
      <c r="G2085" t="s">
        <v>7579</v>
      </c>
      <c r="H2085" t="s">
        <v>704</v>
      </c>
      <c r="I2085" t="s">
        <v>7674</v>
      </c>
      <c r="J2085" t="s">
        <v>7675</v>
      </c>
      <c r="K2085" t="s">
        <v>7703</v>
      </c>
      <c r="L2085" t="s">
        <v>7677</v>
      </c>
      <c r="M2085">
        <v>0</v>
      </c>
      <c r="N2085">
        <v>160000</v>
      </c>
      <c r="O2085" t="s">
        <v>61</v>
      </c>
      <c r="P2085">
        <v>100</v>
      </c>
      <c r="Q2085" t="s">
        <v>52</v>
      </c>
      <c r="R2085" t="s">
        <v>52</v>
      </c>
      <c r="S2085" t="s">
        <v>52</v>
      </c>
      <c r="T2085" t="s">
        <v>52</v>
      </c>
      <c r="U2085" t="s">
        <v>52</v>
      </c>
      <c r="V2085" t="s">
        <v>62</v>
      </c>
      <c r="W2085" t="s">
        <v>52</v>
      </c>
      <c r="Z2085" t="s">
        <v>62</v>
      </c>
      <c r="AB2085" t="s">
        <v>7711</v>
      </c>
      <c r="AC2085" t="s">
        <v>1063</v>
      </c>
      <c r="AD2085" t="s">
        <v>1063</v>
      </c>
      <c r="AF2085" t="s">
        <v>52</v>
      </c>
      <c r="AH2085">
        <v>0</v>
      </c>
      <c r="AI2085">
        <v>0</v>
      </c>
      <c r="AJ2085" t="s">
        <v>52</v>
      </c>
      <c r="AK2085">
        <v>0</v>
      </c>
      <c r="AL2085" t="s">
        <v>52</v>
      </c>
      <c r="AM2085" t="s">
        <v>52</v>
      </c>
      <c r="AN2085">
        <v>0</v>
      </c>
      <c r="AO2085">
        <v>0</v>
      </c>
      <c r="AP2085" t="s">
        <v>52</v>
      </c>
      <c r="AQ2085" t="s">
        <v>52</v>
      </c>
      <c r="AR2085" t="s">
        <v>62</v>
      </c>
      <c r="AS2085" t="s">
        <v>52</v>
      </c>
      <c r="AT2085" t="s">
        <v>710</v>
      </c>
      <c r="AU2085" t="s">
        <v>64</v>
      </c>
      <c r="AV2085" t="s">
        <v>62</v>
      </c>
      <c r="AW2085" t="s">
        <v>65</v>
      </c>
      <c r="AX2085" t="s">
        <v>702</v>
      </c>
      <c r="AY2085" t="s">
        <v>67</v>
      </c>
    </row>
    <row r="2086" spans="1:51" hidden="1" x14ac:dyDescent="0.25">
      <c r="A2086">
        <v>203922</v>
      </c>
      <c r="B2086" t="s">
        <v>7712</v>
      </c>
      <c r="C2086" t="e">
        <f>VLOOKUP(A2086,[1]Customer_payment_journal_line!$AL:$BO,30,0)</f>
        <v>#N/A</v>
      </c>
      <c r="D2086" t="s">
        <v>53</v>
      </c>
      <c r="E2086" t="s">
        <v>7709</v>
      </c>
      <c r="F2086" t="s">
        <v>7710</v>
      </c>
      <c r="G2086" t="s">
        <v>7579</v>
      </c>
      <c r="H2086" t="s">
        <v>201</v>
      </c>
      <c r="I2086" t="s">
        <v>58</v>
      </c>
      <c r="J2086" t="s">
        <v>7675</v>
      </c>
      <c r="K2086" t="s">
        <v>7703</v>
      </c>
      <c r="L2086" t="s">
        <v>52</v>
      </c>
      <c r="M2086">
        <v>160000</v>
      </c>
      <c r="N2086">
        <v>0</v>
      </c>
      <c r="O2086" t="s">
        <v>61</v>
      </c>
      <c r="P2086">
        <v>100</v>
      </c>
      <c r="Q2086" t="s">
        <v>52</v>
      </c>
      <c r="R2086" t="s">
        <v>52</v>
      </c>
      <c r="S2086" t="s">
        <v>52</v>
      </c>
      <c r="T2086" t="s">
        <v>52</v>
      </c>
      <c r="U2086" t="s">
        <v>52</v>
      </c>
      <c r="V2086" t="s">
        <v>62</v>
      </c>
      <c r="W2086" t="s">
        <v>63</v>
      </c>
      <c r="Y2086" t="s">
        <v>52</v>
      </c>
      <c r="AB2086" t="s">
        <v>7711</v>
      </c>
      <c r="AC2086" t="s">
        <v>1063</v>
      </c>
      <c r="AD2086" t="s">
        <v>1063</v>
      </c>
      <c r="AF2086" t="s">
        <v>52</v>
      </c>
      <c r="AH2086">
        <v>0</v>
      </c>
      <c r="AI2086">
        <v>0</v>
      </c>
      <c r="AJ2086" t="s">
        <v>52</v>
      </c>
      <c r="AK2086">
        <v>0</v>
      </c>
      <c r="AL2086" t="s">
        <v>52</v>
      </c>
      <c r="AM2086" t="s">
        <v>52</v>
      </c>
      <c r="AN2086">
        <v>0</v>
      </c>
      <c r="AO2086">
        <v>0</v>
      </c>
      <c r="AP2086" t="s">
        <v>52</v>
      </c>
      <c r="AQ2086" t="s">
        <v>52</v>
      </c>
      <c r="AR2086" t="s">
        <v>62</v>
      </c>
      <c r="AS2086" t="s">
        <v>52</v>
      </c>
      <c r="AT2086" t="s">
        <v>52</v>
      </c>
      <c r="AU2086" t="s">
        <v>64</v>
      </c>
      <c r="AV2086" t="s">
        <v>62</v>
      </c>
      <c r="AW2086" t="s">
        <v>65</v>
      </c>
      <c r="AX2086" t="s">
        <v>702</v>
      </c>
      <c r="AY2086" t="s">
        <v>67</v>
      </c>
    </row>
    <row r="2087" spans="1:51" hidden="1" x14ac:dyDescent="0.25">
      <c r="A2087">
        <v>203938</v>
      </c>
      <c r="B2087" t="s">
        <v>7713</v>
      </c>
      <c r="C2087" t="str">
        <f>VLOOKUP(A2087,[1]Customer_payment_journal_line!$AL:$BO,30,0)</f>
        <v>CPay-000000132</v>
      </c>
      <c r="D2087" t="s">
        <v>53</v>
      </c>
      <c r="E2087" t="s">
        <v>7714</v>
      </c>
      <c r="F2087" t="s">
        <v>7715</v>
      </c>
      <c r="G2087" t="s">
        <v>7579</v>
      </c>
      <c r="H2087" t="s">
        <v>57</v>
      </c>
      <c r="I2087" t="s">
        <v>95</v>
      </c>
      <c r="J2087" t="s">
        <v>4218</v>
      </c>
      <c r="K2087" t="s">
        <v>7716</v>
      </c>
      <c r="L2087">
        <f>VLOOKUP(A2087,[1]Customer_payment_journal_line!$B:$L,11,0)</f>
        <v>1653</v>
      </c>
      <c r="M2087" s="1">
        <v>1653</v>
      </c>
      <c r="N2087" s="2">
        <f>L2087-M2087</f>
        <v>0</v>
      </c>
      <c r="O2087" t="s">
        <v>61</v>
      </c>
      <c r="P2087">
        <v>100</v>
      </c>
      <c r="Q2087" t="s">
        <v>52</v>
      </c>
      <c r="R2087" t="s">
        <v>52</v>
      </c>
      <c r="S2087" t="s">
        <v>52</v>
      </c>
      <c r="T2087" t="s">
        <v>52</v>
      </c>
      <c r="U2087" t="s">
        <v>52</v>
      </c>
      <c r="V2087" t="s">
        <v>62</v>
      </c>
      <c r="W2087" t="s">
        <v>63</v>
      </c>
      <c r="Y2087" t="s">
        <v>52</v>
      </c>
      <c r="AB2087" t="s">
        <v>52</v>
      </c>
      <c r="AE2087" t="s">
        <v>52</v>
      </c>
      <c r="AF2087" t="s">
        <v>52</v>
      </c>
      <c r="AH2087">
        <v>0</v>
      </c>
      <c r="AI2087">
        <v>0</v>
      </c>
      <c r="AJ2087" t="s">
        <v>52</v>
      </c>
      <c r="AK2087">
        <v>0</v>
      </c>
      <c r="AL2087" t="s">
        <v>52</v>
      </c>
      <c r="AM2087" t="s">
        <v>52</v>
      </c>
      <c r="AN2087">
        <v>0</v>
      </c>
      <c r="AO2087">
        <v>0</v>
      </c>
      <c r="AP2087" t="s">
        <v>52</v>
      </c>
      <c r="AQ2087" t="s">
        <v>52</v>
      </c>
      <c r="AR2087" t="s">
        <v>62</v>
      </c>
      <c r="AS2087" t="s">
        <v>52</v>
      </c>
      <c r="AT2087" t="s">
        <v>52</v>
      </c>
      <c r="AU2087" t="s">
        <v>64</v>
      </c>
      <c r="AV2087" t="s">
        <v>62</v>
      </c>
      <c r="AW2087" t="s">
        <v>65</v>
      </c>
      <c r="AX2087" t="s">
        <v>66</v>
      </c>
      <c r="AY2087" t="s">
        <v>67</v>
      </c>
    </row>
    <row r="2088" spans="1:51" hidden="1" x14ac:dyDescent="0.25">
      <c r="A2088">
        <v>203938</v>
      </c>
      <c r="B2088" t="s">
        <v>7717</v>
      </c>
      <c r="C2088" t="str">
        <f>VLOOKUP(A2088,[1]Customer_payment_journal_line!$AL:$BO,30,0)</f>
        <v>CPay-000000132</v>
      </c>
      <c r="D2088" t="s">
        <v>53</v>
      </c>
      <c r="E2088" t="s">
        <v>7714</v>
      </c>
      <c r="F2088" t="s">
        <v>7715</v>
      </c>
      <c r="G2088" t="s">
        <v>7579</v>
      </c>
      <c r="H2088" t="s">
        <v>69</v>
      </c>
      <c r="I2088" t="s">
        <v>1893</v>
      </c>
      <c r="J2088" t="s">
        <v>4218</v>
      </c>
      <c r="K2088" t="s">
        <v>7716</v>
      </c>
      <c r="L2088">
        <f>VLOOKUP(A2088,[1]Customer_payment_journal_line!$B:$L,11,0)</f>
        <v>1653</v>
      </c>
      <c r="M2088" s="1">
        <v>0</v>
      </c>
      <c r="N2088">
        <v>1653</v>
      </c>
      <c r="O2088" t="s">
        <v>61</v>
      </c>
      <c r="P2088">
        <v>100</v>
      </c>
      <c r="Q2088" t="s">
        <v>52</v>
      </c>
      <c r="R2088" t="s">
        <v>52</v>
      </c>
      <c r="S2088" t="s">
        <v>52</v>
      </c>
      <c r="T2088" t="s">
        <v>52</v>
      </c>
      <c r="U2088" t="s">
        <v>52</v>
      </c>
      <c r="V2088" t="s">
        <v>62</v>
      </c>
      <c r="W2088" t="s">
        <v>52</v>
      </c>
      <c r="Y2088" t="s">
        <v>1894</v>
      </c>
      <c r="Z2088" t="s">
        <v>62</v>
      </c>
      <c r="AB2088" t="s">
        <v>7718</v>
      </c>
      <c r="AE2088" t="s">
        <v>7719</v>
      </c>
      <c r="AF2088" t="s">
        <v>52</v>
      </c>
      <c r="AH2088">
        <v>0</v>
      </c>
      <c r="AI2088">
        <v>0</v>
      </c>
      <c r="AJ2088" t="s">
        <v>52</v>
      </c>
      <c r="AK2088">
        <v>0</v>
      </c>
      <c r="AL2088" t="s">
        <v>52</v>
      </c>
      <c r="AM2088" t="s">
        <v>52</v>
      </c>
      <c r="AN2088">
        <v>0</v>
      </c>
      <c r="AO2088">
        <v>0</v>
      </c>
      <c r="AP2088" t="s">
        <v>52</v>
      </c>
      <c r="AQ2088" t="s">
        <v>52</v>
      </c>
      <c r="AR2088" t="s">
        <v>62</v>
      </c>
      <c r="AS2088" t="s">
        <v>52</v>
      </c>
      <c r="AT2088" t="s">
        <v>74</v>
      </c>
      <c r="AU2088" t="s">
        <v>64</v>
      </c>
      <c r="AV2088" t="s">
        <v>62</v>
      </c>
      <c r="AW2088" t="s">
        <v>65</v>
      </c>
      <c r="AX2088" t="s">
        <v>66</v>
      </c>
      <c r="AY2088" t="s">
        <v>67</v>
      </c>
    </row>
    <row r="2089" spans="1:51" hidden="1" x14ac:dyDescent="0.25">
      <c r="A2089">
        <v>203939</v>
      </c>
      <c r="B2089" t="s">
        <v>7720</v>
      </c>
      <c r="C2089" t="str">
        <f>VLOOKUP(A2089,[1]Customer_payment_journal_line!$AL:$BO,30,0)</f>
        <v>CPay-000000133</v>
      </c>
      <c r="D2089" t="s">
        <v>53</v>
      </c>
      <c r="E2089" t="s">
        <v>7721</v>
      </c>
      <c r="F2089" t="s">
        <v>7722</v>
      </c>
      <c r="G2089" t="s">
        <v>7579</v>
      </c>
      <c r="H2089" t="s">
        <v>57</v>
      </c>
      <c r="I2089" t="s">
        <v>95</v>
      </c>
      <c r="J2089" t="s">
        <v>4218</v>
      </c>
      <c r="K2089" t="s">
        <v>7716</v>
      </c>
      <c r="L2089">
        <f>VLOOKUP(A2089,[1]Customer_payment_journal_line!$B:$L,11,0)</f>
        <v>487.69</v>
      </c>
      <c r="M2089" s="1">
        <v>487.69</v>
      </c>
      <c r="N2089" s="2">
        <f>L2089-M2089</f>
        <v>0</v>
      </c>
      <c r="O2089" t="s">
        <v>61</v>
      </c>
      <c r="P2089">
        <v>100</v>
      </c>
      <c r="Q2089" t="s">
        <v>52</v>
      </c>
      <c r="R2089" t="s">
        <v>52</v>
      </c>
      <c r="S2089" t="s">
        <v>52</v>
      </c>
      <c r="T2089" t="s">
        <v>52</v>
      </c>
      <c r="U2089" t="s">
        <v>52</v>
      </c>
      <c r="V2089" t="s">
        <v>62</v>
      </c>
      <c r="W2089" t="s">
        <v>63</v>
      </c>
      <c r="Y2089" t="s">
        <v>52</v>
      </c>
      <c r="AB2089" t="s">
        <v>52</v>
      </c>
      <c r="AE2089" t="s">
        <v>52</v>
      </c>
      <c r="AF2089" t="s">
        <v>52</v>
      </c>
      <c r="AH2089">
        <v>0</v>
      </c>
      <c r="AI2089">
        <v>0</v>
      </c>
      <c r="AJ2089" t="s">
        <v>52</v>
      </c>
      <c r="AK2089">
        <v>0</v>
      </c>
      <c r="AL2089" t="s">
        <v>52</v>
      </c>
      <c r="AM2089" t="s">
        <v>52</v>
      </c>
      <c r="AN2089">
        <v>0</v>
      </c>
      <c r="AO2089">
        <v>0</v>
      </c>
      <c r="AP2089" t="s">
        <v>52</v>
      </c>
      <c r="AQ2089" t="s">
        <v>52</v>
      </c>
      <c r="AR2089" t="s">
        <v>62</v>
      </c>
      <c r="AS2089" t="s">
        <v>52</v>
      </c>
      <c r="AT2089" t="s">
        <v>52</v>
      </c>
      <c r="AU2089" t="s">
        <v>64</v>
      </c>
      <c r="AV2089" t="s">
        <v>62</v>
      </c>
      <c r="AW2089" t="s">
        <v>65</v>
      </c>
      <c r="AX2089" t="s">
        <v>66</v>
      </c>
      <c r="AY2089" t="s">
        <v>67</v>
      </c>
    </row>
    <row r="2090" spans="1:51" hidden="1" x14ac:dyDescent="0.25">
      <c r="A2090">
        <v>203939</v>
      </c>
      <c r="B2090" t="s">
        <v>7723</v>
      </c>
      <c r="C2090" t="str">
        <f>VLOOKUP(A2090,[1]Customer_payment_journal_line!$AL:$BO,30,0)</f>
        <v>CPay-000000133</v>
      </c>
      <c r="D2090" t="s">
        <v>53</v>
      </c>
      <c r="E2090" t="s">
        <v>7721</v>
      </c>
      <c r="F2090" t="s">
        <v>7722</v>
      </c>
      <c r="G2090" t="s">
        <v>7579</v>
      </c>
      <c r="H2090" t="s">
        <v>69</v>
      </c>
      <c r="I2090" t="s">
        <v>1893</v>
      </c>
      <c r="J2090" t="s">
        <v>4218</v>
      </c>
      <c r="K2090" t="s">
        <v>7716</v>
      </c>
      <c r="L2090">
        <f>VLOOKUP(A2090,[1]Customer_payment_journal_line!$B:$L,11,0)</f>
        <v>487.69</v>
      </c>
      <c r="M2090" s="1">
        <v>0</v>
      </c>
      <c r="N2090">
        <v>487.69</v>
      </c>
      <c r="O2090" t="s">
        <v>61</v>
      </c>
      <c r="P2090">
        <v>100</v>
      </c>
      <c r="Q2090" t="s">
        <v>52</v>
      </c>
      <c r="R2090" t="s">
        <v>52</v>
      </c>
      <c r="S2090" t="s">
        <v>52</v>
      </c>
      <c r="T2090" t="s">
        <v>52</v>
      </c>
      <c r="U2090" t="s">
        <v>52</v>
      </c>
      <c r="V2090" t="s">
        <v>62</v>
      </c>
      <c r="W2090" t="s">
        <v>52</v>
      </c>
      <c r="Y2090" t="s">
        <v>1894</v>
      </c>
      <c r="Z2090" t="s">
        <v>62</v>
      </c>
      <c r="AB2090" t="s">
        <v>7724</v>
      </c>
      <c r="AE2090" t="s">
        <v>7725</v>
      </c>
      <c r="AF2090" t="s">
        <v>52</v>
      </c>
      <c r="AH2090">
        <v>0</v>
      </c>
      <c r="AI2090">
        <v>0</v>
      </c>
      <c r="AJ2090" t="s">
        <v>52</v>
      </c>
      <c r="AK2090">
        <v>0</v>
      </c>
      <c r="AL2090" t="s">
        <v>52</v>
      </c>
      <c r="AM2090" t="s">
        <v>52</v>
      </c>
      <c r="AN2090">
        <v>0</v>
      </c>
      <c r="AO2090">
        <v>0</v>
      </c>
      <c r="AP2090" t="s">
        <v>52</v>
      </c>
      <c r="AQ2090" t="s">
        <v>52</v>
      </c>
      <c r="AR2090" t="s">
        <v>62</v>
      </c>
      <c r="AS2090" t="s">
        <v>52</v>
      </c>
      <c r="AT2090" t="s">
        <v>74</v>
      </c>
      <c r="AU2090" t="s">
        <v>64</v>
      </c>
      <c r="AV2090" t="s">
        <v>62</v>
      </c>
      <c r="AW2090" t="s">
        <v>65</v>
      </c>
      <c r="AX2090" t="s">
        <v>66</v>
      </c>
      <c r="AY2090" t="s">
        <v>67</v>
      </c>
    </row>
    <row r="2091" spans="1:51" hidden="1" x14ac:dyDescent="0.25">
      <c r="A2091">
        <v>203956</v>
      </c>
      <c r="B2091" t="s">
        <v>7726</v>
      </c>
      <c r="C2091" t="str">
        <f>VLOOKUP(A2091,[1]Customer_payment_journal_line!$AL:$BO,30,0)</f>
        <v>CPay-000000134</v>
      </c>
      <c r="D2091" t="s">
        <v>53</v>
      </c>
      <c r="E2091" t="s">
        <v>7727</v>
      </c>
      <c r="F2091" t="s">
        <v>7728</v>
      </c>
      <c r="G2091" t="s">
        <v>7579</v>
      </c>
      <c r="H2091" t="s">
        <v>57</v>
      </c>
      <c r="I2091" t="s">
        <v>95</v>
      </c>
      <c r="J2091" t="s">
        <v>7729</v>
      </c>
      <c r="K2091" t="s">
        <v>7730</v>
      </c>
      <c r="L2091">
        <f>VLOOKUP(A2091,[1]Customer_payment_journal_line!$B:$L,11,0)</f>
        <v>1653</v>
      </c>
      <c r="M2091" s="1">
        <v>1653</v>
      </c>
      <c r="N2091" s="2">
        <f>L2091-M2091</f>
        <v>0</v>
      </c>
      <c r="O2091" t="s">
        <v>61</v>
      </c>
      <c r="P2091">
        <v>100</v>
      </c>
      <c r="Q2091" t="s">
        <v>52</v>
      </c>
      <c r="R2091" t="s">
        <v>52</v>
      </c>
      <c r="S2091" t="s">
        <v>52</v>
      </c>
      <c r="T2091" t="s">
        <v>52</v>
      </c>
      <c r="U2091" t="s">
        <v>52</v>
      </c>
      <c r="V2091" t="s">
        <v>62</v>
      </c>
      <c r="W2091" t="s">
        <v>63</v>
      </c>
      <c r="Y2091" t="s">
        <v>52</v>
      </c>
      <c r="AB2091" t="s">
        <v>52</v>
      </c>
      <c r="AE2091" t="s">
        <v>52</v>
      </c>
      <c r="AF2091" t="s">
        <v>52</v>
      </c>
      <c r="AH2091">
        <v>0</v>
      </c>
      <c r="AI2091">
        <v>0</v>
      </c>
      <c r="AJ2091" t="s">
        <v>52</v>
      </c>
      <c r="AK2091">
        <v>0</v>
      </c>
      <c r="AL2091" t="s">
        <v>52</v>
      </c>
      <c r="AM2091" t="s">
        <v>52</v>
      </c>
      <c r="AN2091">
        <v>0</v>
      </c>
      <c r="AO2091">
        <v>0</v>
      </c>
      <c r="AP2091" t="s">
        <v>52</v>
      </c>
      <c r="AQ2091" t="s">
        <v>52</v>
      </c>
      <c r="AR2091" t="s">
        <v>62</v>
      </c>
      <c r="AS2091" t="s">
        <v>52</v>
      </c>
      <c r="AT2091" t="s">
        <v>52</v>
      </c>
      <c r="AU2091" t="s">
        <v>64</v>
      </c>
      <c r="AV2091" t="s">
        <v>62</v>
      </c>
      <c r="AW2091" t="s">
        <v>65</v>
      </c>
      <c r="AX2091" t="s">
        <v>66</v>
      </c>
      <c r="AY2091" t="s">
        <v>67</v>
      </c>
    </row>
    <row r="2092" spans="1:51" hidden="1" x14ac:dyDescent="0.25">
      <c r="A2092">
        <v>203956</v>
      </c>
      <c r="B2092" t="s">
        <v>7731</v>
      </c>
      <c r="C2092" t="str">
        <f>VLOOKUP(A2092,[1]Customer_payment_journal_line!$AL:$BO,30,0)</f>
        <v>CPay-000000134</v>
      </c>
      <c r="D2092" t="s">
        <v>53</v>
      </c>
      <c r="E2092" t="s">
        <v>7727</v>
      </c>
      <c r="F2092" t="s">
        <v>7728</v>
      </c>
      <c r="G2092" t="s">
        <v>7579</v>
      </c>
      <c r="H2092" t="s">
        <v>69</v>
      </c>
      <c r="I2092" t="s">
        <v>737</v>
      </c>
      <c r="J2092" t="s">
        <v>7729</v>
      </c>
      <c r="K2092" t="s">
        <v>7730</v>
      </c>
      <c r="L2092">
        <f>VLOOKUP(A2092,[1]Customer_payment_journal_line!$B:$L,11,0)</f>
        <v>1653</v>
      </c>
      <c r="M2092" s="1">
        <v>0</v>
      </c>
      <c r="N2092">
        <v>1653</v>
      </c>
      <c r="O2092" t="s">
        <v>61</v>
      </c>
      <c r="P2092">
        <v>100</v>
      </c>
      <c r="Q2092" t="s">
        <v>52</v>
      </c>
      <c r="R2092" t="s">
        <v>52</v>
      </c>
      <c r="S2092" t="s">
        <v>52</v>
      </c>
      <c r="T2092" t="s">
        <v>52</v>
      </c>
      <c r="U2092" t="s">
        <v>52</v>
      </c>
      <c r="V2092" t="s">
        <v>62</v>
      </c>
      <c r="W2092" t="s">
        <v>52</v>
      </c>
      <c r="Y2092" t="s">
        <v>738</v>
      </c>
      <c r="Z2092" t="s">
        <v>62</v>
      </c>
      <c r="AB2092" t="s">
        <v>7732</v>
      </c>
      <c r="AE2092" t="s">
        <v>7733</v>
      </c>
      <c r="AF2092" t="s">
        <v>52</v>
      </c>
      <c r="AH2092">
        <v>0</v>
      </c>
      <c r="AI2092">
        <v>0</v>
      </c>
      <c r="AJ2092" t="s">
        <v>52</v>
      </c>
      <c r="AK2092">
        <v>0</v>
      </c>
      <c r="AL2092" t="s">
        <v>52</v>
      </c>
      <c r="AM2092" t="s">
        <v>52</v>
      </c>
      <c r="AN2092">
        <v>0</v>
      </c>
      <c r="AO2092">
        <v>0</v>
      </c>
      <c r="AP2092" t="s">
        <v>52</v>
      </c>
      <c r="AQ2092" t="s">
        <v>52</v>
      </c>
      <c r="AR2092" t="s">
        <v>62</v>
      </c>
      <c r="AS2092" t="s">
        <v>52</v>
      </c>
      <c r="AT2092" t="s">
        <v>74</v>
      </c>
      <c r="AU2092" t="s">
        <v>64</v>
      </c>
      <c r="AV2092" t="s">
        <v>62</v>
      </c>
      <c r="AW2092" t="s">
        <v>65</v>
      </c>
      <c r="AX2092" t="s">
        <v>66</v>
      </c>
      <c r="AY2092" t="s">
        <v>67</v>
      </c>
    </row>
    <row r="2093" spans="1:51" hidden="1" x14ac:dyDescent="0.25">
      <c r="A2093">
        <v>203957</v>
      </c>
      <c r="B2093" t="s">
        <v>7734</v>
      </c>
      <c r="C2093" t="str">
        <f>VLOOKUP(A2093,[1]Customer_payment_journal_line!$AL:$BO,30,0)</f>
        <v>CPay-000000135</v>
      </c>
      <c r="D2093" t="s">
        <v>53</v>
      </c>
      <c r="E2093" t="s">
        <v>7735</v>
      </c>
      <c r="F2093" t="s">
        <v>7736</v>
      </c>
      <c r="G2093" t="s">
        <v>7579</v>
      </c>
      <c r="H2093" t="s">
        <v>57</v>
      </c>
      <c r="I2093" t="s">
        <v>95</v>
      </c>
      <c r="J2093" t="s">
        <v>7729</v>
      </c>
      <c r="K2093" t="s">
        <v>7730</v>
      </c>
      <c r="L2093">
        <f>VLOOKUP(A2093,[1]Customer_payment_journal_line!$B:$L,11,0)</f>
        <v>351.35</v>
      </c>
      <c r="M2093" s="1">
        <v>351.35</v>
      </c>
      <c r="N2093" s="2">
        <f>L2093-M2093</f>
        <v>0</v>
      </c>
      <c r="O2093" t="s">
        <v>61</v>
      </c>
      <c r="P2093">
        <v>100</v>
      </c>
      <c r="Q2093" t="s">
        <v>52</v>
      </c>
      <c r="R2093" t="s">
        <v>52</v>
      </c>
      <c r="S2093" t="s">
        <v>52</v>
      </c>
      <c r="T2093" t="s">
        <v>52</v>
      </c>
      <c r="U2093" t="s">
        <v>52</v>
      </c>
      <c r="V2093" t="s">
        <v>62</v>
      </c>
      <c r="W2093" t="s">
        <v>63</v>
      </c>
      <c r="Y2093" t="s">
        <v>52</v>
      </c>
      <c r="AB2093" t="s">
        <v>52</v>
      </c>
      <c r="AE2093" t="s">
        <v>52</v>
      </c>
      <c r="AF2093" t="s">
        <v>52</v>
      </c>
      <c r="AH2093">
        <v>0</v>
      </c>
      <c r="AI2093">
        <v>0</v>
      </c>
      <c r="AJ2093" t="s">
        <v>52</v>
      </c>
      <c r="AK2093">
        <v>0</v>
      </c>
      <c r="AL2093" t="s">
        <v>52</v>
      </c>
      <c r="AM2093" t="s">
        <v>52</v>
      </c>
      <c r="AN2093">
        <v>0</v>
      </c>
      <c r="AO2093">
        <v>0</v>
      </c>
      <c r="AP2093" t="s">
        <v>52</v>
      </c>
      <c r="AQ2093" t="s">
        <v>52</v>
      </c>
      <c r="AR2093" t="s">
        <v>62</v>
      </c>
      <c r="AS2093" t="s">
        <v>52</v>
      </c>
      <c r="AT2093" t="s">
        <v>52</v>
      </c>
      <c r="AU2093" t="s">
        <v>64</v>
      </c>
      <c r="AV2093" t="s">
        <v>62</v>
      </c>
      <c r="AW2093" t="s">
        <v>65</v>
      </c>
      <c r="AX2093" t="s">
        <v>66</v>
      </c>
      <c r="AY2093" t="s">
        <v>67</v>
      </c>
    </row>
    <row r="2094" spans="1:51" hidden="1" x14ac:dyDescent="0.25">
      <c r="A2094">
        <v>203957</v>
      </c>
      <c r="B2094" t="s">
        <v>7737</v>
      </c>
      <c r="C2094" t="str">
        <f>VLOOKUP(A2094,[1]Customer_payment_journal_line!$AL:$BO,30,0)</f>
        <v>CPay-000000135</v>
      </c>
      <c r="D2094" t="s">
        <v>53</v>
      </c>
      <c r="E2094" t="s">
        <v>7735</v>
      </c>
      <c r="F2094" t="s">
        <v>7736</v>
      </c>
      <c r="G2094" t="s">
        <v>7579</v>
      </c>
      <c r="H2094" t="s">
        <v>69</v>
      </c>
      <c r="I2094" t="s">
        <v>737</v>
      </c>
      <c r="J2094" t="s">
        <v>7729</v>
      </c>
      <c r="K2094" t="s">
        <v>7730</v>
      </c>
      <c r="L2094">
        <f>VLOOKUP(A2094,[1]Customer_payment_journal_line!$B:$L,11,0)</f>
        <v>351.35</v>
      </c>
      <c r="M2094" s="1">
        <v>0</v>
      </c>
      <c r="N2094">
        <v>351.35</v>
      </c>
      <c r="O2094" t="s">
        <v>61</v>
      </c>
      <c r="P2094">
        <v>100</v>
      </c>
      <c r="Q2094" t="s">
        <v>52</v>
      </c>
      <c r="R2094" t="s">
        <v>52</v>
      </c>
      <c r="S2094" t="s">
        <v>52</v>
      </c>
      <c r="T2094" t="s">
        <v>52</v>
      </c>
      <c r="U2094" t="s">
        <v>52</v>
      </c>
      <c r="V2094" t="s">
        <v>62</v>
      </c>
      <c r="W2094" t="s">
        <v>52</v>
      </c>
      <c r="Y2094" t="s">
        <v>738</v>
      </c>
      <c r="Z2094" t="s">
        <v>62</v>
      </c>
      <c r="AB2094" t="s">
        <v>7738</v>
      </c>
      <c r="AE2094" t="s">
        <v>7739</v>
      </c>
      <c r="AF2094" t="s">
        <v>52</v>
      </c>
      <c r="AH2094">
        <v>0</v>
      </c>
      <c r="AI2094">
        <v>0</v>
      </c>
      <c r="AJ2094" t="s">
        <v>52</v>
      </c>
      <c r="AK2094">
        <v>0</v>
      </c>
      <c r="AL2094" t="s">
        <v>52</v>
      </c>
      <c r="AM2094" t="s">
        <v>52</v>
      </c>
      <c r="AN2094">
        <v>0</v>
      </c>
      <c r="AO2094">
        <v>0</v>
      </c>
      <c r="AP2094" t="s">
        <v>52</v>
      </c>
      <c r="AQ2094" t="s">
        <v>52</v>
      </c>
      <c r="AR2094" t="s">
        <v>62</v>
      </c>
      <c r="AS2094" t="s">
        <v>52</v>
      </c>
      <c r="AT2094" t="s">
        <v>74</v>
      </c>
      <c r="AU2094" t="s">
        <v>64</v>
      </c>
      <c r="AV2094" t="s">
        <v>62</v>
      </c>
      <c r="AW2094" t="s">
        <v>65</v>
      </c>
      <c r="AX2094" t="s">
        <v>66</v>
      </c>
      <c r="AY2094" t="s">
        <v>67</v>
      </c>
    </row>
    <row r="2095" spans="1:51" hidden="1" x14ac:dyDescent="0.25">
      <c r="A2095">
        <v>203987</v>
      </c>
      <c r="B2095" t="s">
        <v>7740</v>
      </c>
      <c r="C2095" t="e">
        <f>VLOOKUP(A2095,[1]Customer_payment_journal_line!$AL:$BO,30,0)</f>
        <v>#N/A</v>
      </c>
      <c r="D2095" t="s">
        <v>76</v>
      </c>
      <c r="E2095" t="s">
        <v>7741</v>
      </c>
      <c r="F2095" t="s">
        <v>7742</v>
      </c>
      <c r="G2095" t="s">
        <v>7579</v>
      </c>
      <c r="H2095" t="s">
        <v>80</v>
      </c>
      <c r="I2095" t="s">
        <v>81</v>
      </c>
      <c r="J2095" t="s">
        <v>7743</v>
      </c>
      <c r="K2095" t="s">
        <v>7744</v>
      </c>
      <c r="L2095" t="s">
        <v>52</v>
      </c>
      <c r="M2095">
        <v>7125</v>
      </c>
      <c r="N2095">
        <v>0</v>
      </c>
      <c r="O2095" t="s">
        <v>61</v>
      </c>
      <c r="P2095">
        <v>100</v>
      </c>
      <c r="Q2095" t="s">
        <v>52</v>
      </c>
      <c r="R2095" t="s">
        <v>52</v>
      </c>
      <c r="S2095" t="s">
        <v>52</v>
      </c>
      <c r="T2095" t="s">
        <v>52</v>
      </c>
      <c r="U2095" t="s">
        <v>52</v>
      </c>
      <c r="V2095" t="s">
        <v>62</v>
      </c>
      <c r="W2095" t="s">
        <v>52</v>
      </c>
      <c r="Y2095" t="s">
        <v>52</v>
      </c>
      <c r="AB2095" t="s">
        <v>52</v>
      </c>
      <c r="AE2095" t="s">
        <v>52</v>
      </c>
      <c r="AF2095" t="s">
        <v>52</v>
      </c>
      <c r="AH2095">
        <v>0</v>
      </c>
      <c r="AI2095">
        <v>0</v>
      </c>
      <c r="AJ2095" t="s">
        <v>52</v>
      </c>
      <c r="AK2095">
        <v>0</v>
      </c>
      <c r="AL2095" t="s">
        <v>52</v>
      </c>
      <c r="AM2095" t="s">
        <v>52</v>
      </c>
      <c r="AN2095">
        <v>0</v>
      </c>
      <c r="AO2095">
        <v>0</v>
      </c>
      <c r="AP2095" t="s">
        <v>52</v>
      </c>
      <c r="AQ2095" t="s">
        <v>52</v>
      </c>
      <c r="AR2095" t="s">
        <v>62</v>
      </c>
      <c r="AS2095" t="s">
        <v>52</v>
      </c>
      <c r="AT2095" t="s">
        <v>52</v>
      </c>
      <c r="AU2095" t="s">
        <v>64</v>
      </c>
      <c r="AV2095" t="s">
        <v>62</v>
      </c>
      <c r="AW2095" t="s">
        <v>65</v>
      </c>
      <c r="AX2095" t="s">
        <v>66</v>
      </c>
      <c r="AY2095" t="s">
        <v>76</v>
      </c>
    </row>
    <row r="2096" spans="1:51" hidden="1" x14ac:dyDescent="0.25">
      <c r="A2096">
        <v>203987</v>
      </c>
      <c r="B2096" t="s">
        <v>7745</v>
      </c>
      <c r="C2096" t="e">
        <f>VLOOKUP(A2096,[1]Customer_payment_journal_line!$AL:$BO,30,0)</f>
        <v>#N/A</v>
      </c>
      <c r="D2096" t="s">
        <v>76</v>
      </c>
      <c r="E2096" t="s">
        <v>7741</v>
      </c>
      <c r="F2096" t="s">
        <v>7742</v>
      </c>
      <c r="G2096" t="s">
        <v>7579</v>
      </c>
      <c r="H2096" t="s">
        <v>69</v>
      </c>
      <c r="I2096" t="s">
        <v>737</v>
      </c>
      <c r="J2096" t="s">
        <v>7743</v>
      </c>
      <c r="K2096" t="s">
        <v>7744</v>
      </c>
      <c r="L2096" t="s">
        <v>52</v>
      </c>
      <c r="M2096">
        <v>0</v>
      </c>
      <c r="N2096">
        <v>6270</v>
      </c>
      <c r="O2096" t="s">
        <v>61</v>
      </c>
      <c r="P2096">
        <v>100</v>
      </c>
      <c r="Q2096" t="s">
        <v>52</v>
      </c>
      <c r="R2096" t="s">
        <v>52</v>
      </c>
      <c r="S2096" t="s">
        <v>52</v>
      </c>
      <c r="T2096" t="s">
        <v>52</v>
      </c>
      <c r="U2096" t="s">
        <v>52</v>
      </c>
      <c r="V2096" t="s">
        <v>62</v>
      </c>
      <c r="W2096" t="s">
        <v>52</v>
      </c>
      <c r="Y2096" t="s">
        <v>738</v>
      </c>
      <c r="Z2096" t="s">
        <v>62</v>
      </c>
      <c r="AB2096" t="s">
        <v>7746</v>
      </c>
      <c r="AE2096" t="s">
        <v>7747</v>
      </c>
      <c r="AF2096" t="s">
        <v>52</v>
      </c>
      <c r="AH2096">
        <v>0</v>
      </c>
      <c r="AI2096">
        <v>0</v>
      </c>
      <c r="AJ2096" t="s">
        <v>52</v>
      </c>
      <c r="AK2096">
        <v>0</v>
      </c>
      <c r="AL2096" t="s">
        <v>52</v>
      </c>
      <c r="AM2096" t="s">
        <v>52</v>
      </c>
      <c r="AN2096">
        <v>0</v>
      </c>
      <c r="AO2096">
        <v>0</v>
      </c>
      <c r="AP2096" t="s">
        <v>52</v>
      </c>
      <c r="AQ2096" t="s">
        <v>52</v>
      </c>
      <c r="AR2096" t="s">
        <v>62</v>
      </c>
      <c r="AS2096" t="s">
        <v>52</v>
      </c>
      <c r="AT2096" t="s">
        <v>74</v>
      </c>
      <c r="AU2096" t="s">
        <v>64</v>
      </c>
      <c r="AV2096" t="s">
        <v>62</v>
      </c>
      <c r="AW2096" t="s">
        <v>65</v>
      </c>
      <c r="AX2096" t="s">
        <v>66</v>
      </c>
      <c r="AY2096" t="s">
        <v>76</v>
      </c>
    </row>
    <row r="2097" spans="1:51" hidden="1" x14ac:dyDescent="0.25">
      <c r="A2097">
        <v>203987</v>
      </c>
      <c r="B2097" t="s">
        <v>7748</v>
      </c>
      <c r="C2097" t="e">
        <f>VLOOKUP(A2097,[1]Customer_payment_journal_line!$AL:$BO,30,0)</f>
        <v>#N/A</v>
      </c>
      <c r="D2097" t="s">
        <v>76</v>
      </c>
      <c r="E2097" t="s">
        <v>7741</v>
      </c>
      <c r="F2097" t="s">
        <v>7742</v>
      </c>
      <c r="G2097" t="s">
        <v>7579</v>
      </c>
      <c r="H2097" t="s">
        <v>69</v>
      </c>
      <c r="I2097" t="s">
        <v>737</v>
      </c>
      <c r="J2097" t="s">
        <v>7743</v>
      </c>
      <c r="K2097" t="s">
        <v>7744</v>
      </c>
      <c r="L2097" t="s">
        <v>52</v>
      </c>
      <c r="M2097">
        <v>0</v>
      </c>
      <c r="N2097">
        <v>855</v>
      </c>
      <c r="O2097" t="s">
        <v>61</v>
      </c>
      <c r="P2097">
        <v>100</v>
      </c>
      <c r="Q2097" t="s">
        <v>52</v>
      </c>
      <c r="R2097" t="s">
        <v>52</v>
      </c>
      <c r="S2097" t="s">
        <v>52</v>
      </c>
      <c r="T2097" t="s">
        <v>52</v>
      </c>
      <c r="U2097" t="s">
        <v>52</v>
      </c>
      <c r="V2097" t="s">
        <v>62</v>
      </c>
      <c r="W2097" t="s">
        <v>52</v>
      </c>
      <c r="Y2097" t="s">
        <v>738</v>
      </c>
      <c r="Z2097" t="s">
        <v>62</v>
      </c>
      <c r="AB2097" t="s">
        <v>7749</v>
      </c>
      <c r="AE2097" t="s">
        <v>7750</v>
      </c>
      <c r="AF2097" t="s">
        <v>52</v>
      </c>
      <c r="AH2097">
        <v>0</v>
      </c>
      <c r="AI2097">
        <v>0</v>
      </c>
      <c r="AJ2097" t="s">
        <v>52</v>
      </c>
      <c r="AK2097">
        <v>0</v>
      </c>
      <c r="AL2097" t="s">
        <v>52</v>
      </c>
      <c r="AM2097" t="s">
        <v>52</v>
      </c>
      <c r="AN2097">
        <v>0</v>
      </c>
      <c r="AO2097">
        <v>0</v>
      </c>
      <c r="AP2097" t="s">
        <v>52</v>
      </c>
      <c r="AQ2097" t="s">
        <v>52</v>
      </c>
      <c r="AR2097" t="s">
        <v>62</v>
      </c>
      <c r="AS2097" t="s">
        <v>52</v>
      </c>
      <c r="AT2097" t="s">
        <v>74</v>
      </c>
      <c r="AU2097" t="s">
        <v>64</v>
      </c>
      <c r="AV2097" t="s">
        <v>62</v>
      </c>
      <c r="AW2097" t="s">
        <v>65</v>
      </c>
      <c r="AX2097" t="s">
        <v>66</v>
      </c>
      <c r="AY2097" t="s">
        <v>76</v>
      </c>
    </row>
    <row r="2098" spans="1:51" hidden="1" x14ac:dyDescent="0.25">
      <c r="A2098">
        <v>203988</v>
      </c>
      <c r="B2098" t="s">
        <v>7751</v>
      </c>
      <c r="C2098" t="e">
        <f>VLOOKUP(A2098,[1]Customer_payment_journal_line!$AL:$BO,30,0)</f>
        <v>#N/A</v>
      </c>
      <c r="D2098" t="s">
        <v>76</v>
      </c>
      <c r="E2098" t="s">
        <v>7752</v>
      </c>
      <c r="F2098" t="s">
        <v>7753</v>
      </c>
      <c r="G2098" t="s">
        <v>7579</v>
      </c>
      <c r="H2098" t="s">
        <v>80</v>
      </c>
      <c r="I2098" t="s">
        <v>81</v>
      </c>
      <c r="J2098" t="s">
        <v>5463</v>
      </c>
      <c r="K2098" t="s">
        <v>7754</v>
      </c>
      <c r="L2098" t="s">
        <v>52</v>
      </c>
      <c r="M2098">
        <v>10260</v>
      </c>
      <c r="N2098">
        <v>0</v>
      </c>
      <c r="O2098" t="s">
        <v>61</v>
      </c>
      <c r="P2098">
        <v>100</v>
      </c>
      <c r="Q2098" t="s">
        <v>52</v>
      </c>
      <c r="R2098" t="s">
        <v>52</v>
      </c>
      <c r="S2098" t="s">
        <v>52</v>
      </c>
      <c r="T2098" t="s">
        <v>52</v>
      </c>
      <c r="U2098" t="s">
        <v>52</v>
      </c>
      <c r="V2098" t="s">
        <v>62</v>
      </c>
      <c r="W2098" t="s">
        <v>52</v>
      </c>
      <c r="Y2098" t="s">
        <v>52</v>
      </c>
      <c r="AB2098" t="s">
        <v>52</v>
      </c>
      <c r="AE2098" t="s">
        <v>52</v>
      </c>
      <c r="AF2098" t="s">
        <v>52</v>
      </c>
      <c r="AH2098">
        <v>0</v>
      </c>
      <c r="AI2098">
        <v>0</v>
      </c>
      <c r="AJ2098" t="s">
        <v>52</v>
      </c>
      <c r="AK2098">
        <v>0</v>
      </c>
      <c r="AL2098" t="s">
        <v>52</v>
      </c>
      <c r="AM2098" t="s">
        <v>52</v>
      </c>
      <c r="AN2098">
        <v>0</v>
      </c>
      <c r="AO2098">
        <v>0</v>
      </c>
      <c r="AP2098" t="s">
        <v>52</v>
      </c>
      <c r="AQ2098" t="s">
        <v>52</v>
      </c>
      <c r="AR2098" t="s">
        <v>62</v>
      </c>
      <c r="AS2098" t="s">
        <v>52</v>
      </c>
      <c r="AT2098" t="s">
        <v>52</v>
      </c>
      <c r="AU2098" t="s">
        <v>64</v>
      </c>
      <c r="AV2098" t="s">
        <v>62</v>
      </c>
      <c r="AW2098" t="s">
        <v>65</v>
      </c>
      <c r="AX2098" t="s">
        <v>66</v>
      </c>
      <c r="AY2098" t="s">
        <v>76</v>
      </c>
    </row>
    <row r="2099" spans="1:51" hidden="1" x14ac:dyDescent="0.25">
      <c r="A2099">
        <v>203988</v>
      </c>
      <c r="B2099" t="s">
        <v>7755</v>
      </c>
      <c r="C2099" t="e">
        <f>VLOOKUP(A2099,[1]Customer_payment_journal_line!$AL:$BO,30,0)</f>
        <v>#N/A</v>
      </c>
      <c r="D2099" t="s">
        <v>76</v>
      </c>
      <c r="E2099" t="s">
        <v>7752</v>
      </c>
      <c r="F2099" t="s">
        <v>7753</v>
      </c>
      <c r="G2099" t="s">
        <v>7579</v>
      </c>
      <c r="H2099" t="s">
        <v>69</v>
      </c>
      <c r="I2099" t="s">
        <v>737</v>
      </c>
      <c r="J2099" t="s">
        <v>5463</v>
      </c>
      <c r="K2099" t="s">
        <v>7754</v>
      </c>
      <c r="L2099" t="s">
        <v>52</v>
      </c>
      <c r="M2099">
        <v>0</v>
      </c>
      <c r="N2099">
        <v>9405</v>
      </c>
      <c r="O2099" t="s">
        <v>61</v>
      </c>
      <c r="P2099">
        <v>100</v>
      </c>
      <c r="Q2099" t="s">
        <v>52</v>
      </c>
      <c r="R2099" t="s">
        <v>52</v>
      </c>
      <c r="S2099" t="s">
        <v>52</v>
      </c>
      <c r="T2099" t="s">
        <v>52</v>
      </c>
      <c r="U2099" t="s">
        <v>52</v>
      </c>
      <c r="V2099" t="s">
        <v>62</v>
      </c>
      <c r="W2099" t="s">
        <v>52</v>
      </c>
      <c r="Y2099" t="s">
        <v>738</v>
      </c>
      <c r="Z2099" t="s">
        <v>62</v>
      </c>
      <c r="AB2099" t="s">
        <v>7756</v>
      </c>
      <c r="AE2099" t="s">
        <v>7757</v>
      </c>
      <c r="AF2099" t="s">
        <v>52</v>
      </c>
      <c r="AH2099">
        <v>0</v>
      </c>
      <c r="AI2099">
        <v>0</v>
      </c>
      <c r="AJ2099" t="s">
        <v>52</v>
      </c>
      <c r="AK2099">
        <v>0</v>
      </c>
      <c r="AL2099" t="s">
        <v>52</v>
      </c>
      <c r="AM2099" t="s">
        <v>52</v>
      </c>
      <c r="AN2099">
        <v>0</v>
      </c>
      <c r="AO2099">
        <v>0</v>
      </c>
      <c r="AP2099" t="s">
        <v>52</v>
      </c>
      <c r="AQ2099" t="s">
        <v>52</v>
      </c>
      <c r="AR2099" t="s">
        <v>62</v>
      </c>
      <c r="AS2099" t="s">
        <v>52</v>
      </c>
      <c r="AT2099" t="s">
        <v>74</v>
      </c>
      <c r="AU2099" t="s">
        <v>64</v>
      </c>
      <c r="AV2099" t="s">
        <v>62</v>
      </c>
      <c r="AW2099" t="s">
        <v>65</v>
      </c>
      <c r="AX2099" t="s">
        <v>66</v>
      </c>
      <c r="AY2099" t="s">
        <v>76</v>
      </c>
    </row>
    <row r="2100" spans="1:51" hidden="1" x14ac:dyDescent="0.25">
      <c r="A2100">
        <v>203988</v>
      </c>
      <c r="B2100" t="s">
        <v>7758</v>
      </c>
      <c r="C2100" t="e">
        <f>VLOOKUP(A2100,[1]Customer_payment_journal_line!$AL:$BO,30,0)</f>
        <v>#N/A</v>
      </c>
      <c r="D2100" t="s">
        <v>76</v>
      </c>
      <c r="E2100" t="s">
        <v>7752</v>
      </c>
      <c r="F2100" t="s">
        <v>7753</v>
      </c>
      <c r="G2100" t="s">
        <v>7579</v>
      </c>
      <c r="H2100" t="s">
        <v>69</v>
      </c>
      <c r="I2100" t="s">
        <v>737</v>
      </c>
      <c r="J2100" t="s">
        <v>5463</v>
      </c>
      <c r="K2100" t="s">
        <v>7754</v>
      </c>
      <c r="L2100" t="s">
        <v>52</v>
      </c>
      <c r="M2100">
        <v>0</v>
      </c>
      <c r="N2100">
        <v>855</v>
      </c>
      <c r="O2100" t="s">
        <v>61</v>
      </c>
      <c r="P2100">
        <v>100</v>
      </c>
      <c r="Q2100" t="s">
        <v>52</v>
      </c>
      <c r="R2100" t="s">
        <v>52</v>
      </c>
      <c r="S2100" t="s">
        <v>52</v>
      </c>
      <c r="T2100" t="s">
        <v>52</v>
      </c>
      <c r="U2100" t="s">
        <v>52</v>
      </c>
      <c r="V2100" t="s">
        <v>62</v>
      </c>
      <c r="W2100" t="s">
        <v>52</v>
      </c>
      <c r="Y2100" t="s">
        <v>738</v>
      </c>
      <c r="Z2100" t="s">
        <v>62</v>
      </c>
      <c r="AB2100" t="s">
        <v>7759</v>
      </c>
      <c r="AE2100" t="s">
        <v>7760</v>
      </c>
      <c r="AF2100" t="s">
        <v>52</v>
      </c>
      <c r="AH2100">
        <v>0</v>
      </c>
      <c r="AI2100">
        <v>0</v>
      </c>
      <c r="AJ2100" t="s">
        <v>52</v>
      </c>
      <c r="AK2100">
        <v>0</v>
      </c>
      <c r="AL2100" t="s">
        <v>52</v>
      </c>
      <c r="AM2100" t="s">
        <v>52</v>
      </c>
      <c r="AN2100">
        <v>0</v>
      </c>
      <c r="AO2100">
        <v>0</v>
      </c>
      <c r="AP2100" t="s">
        <v>52</v>
      </c>
      <c r="AQ2100" t="s">
        <v>52</v>
      </c>
      <c r="AR2100" t="s">
        <v>62</v>
      </c>
      <c r="AS2100" t="s">
        <v>52</v>
      </c>
      <c r="AT2100" t="s">
        <v>74</v>
      </c>
      <c r="AU2100" t="s">
        <v>64</v>
      </c>
      <c r="AV2100" t="s">
        <v>62</v>
      </c>
      <c r="AW2100" t="s">
        <v>65</v>
      </c>
      <c r="AX2100" t="s">
        <v>66</v>
      </c>
      <c r="AY2100" t="s">
        <v>76</v>
      </c>
    </row>
    <row r="2101" spans="1:51" hidden="1" x14ac:dyDescent="0.25">
      <c r="A2101">
        <v>203990</v>
      </c>
      <c r="B2101" t="s">
        <v>7761</v>
      </c>
      <c r="C2101" t="e">
        <f>VLOOKUP(A2101,[1]Customer_payment_journal_line!$AL:$BO,30,0)</f>
        <v>#N/A</v>
      </c>
      <c r="D2101" t="s">
        <v>644</v>
      </c>
      <c r="E2101" t="s">
        <v>7762</v>
      </c>
      <c r="F2101" t="s">
        <v>7763</v>
      </c>
      <c r="G2101" t="s">
        <v>7579</v>
      </c>
      <c r="H2101" t="s">
        <v>69</v>
      </c>
      <c r="I2101" t="s">
        <v>7764</v>
      </c>
      <c r="J2101" t="s">
        <v>7765</v>
      </c>
      <c r="K2101" t="s">
        <v>3158</v>
      </c>
      <c r="L2101" t="s">
        <v>52</v>
      </c>
      <c r="M2101">
        <v>0</v>
      </c>
      <c r="N2101">
        <v>855</v>
      </c>
      <c r="O2101" t="s">
        <v>61</v>
      </c>
      <c r="P2101">
        <v>100</v>
      </c>
      <c r="Q2101" t="s">
        <v>52</v>
      </c>
      <c r="R2101" t="s">
        <v>52</v>
      </c>
      <c r="S2101" t="s">
        <v>52</v>
      </c>
      <c r="T2101" t="s">
        <v>52</v>
      </c>
      <c r="U2101" t="s">
        <v>52</v>
      </c>
      <c r="V2101" t="s">
        <v>62</v>
      </c>
      <c r="W2101" t="s">
        <v>52</v>
      </c>
      <c r="Y2101" t="s">
        <v>7766</v>
      </c>
      <c r="Z2101" t="s">
        <v>62</v>
      </c>
      <c r="AB2101" t="s">
        <v>7767</v>
      </c>
      <c r="AE2101" t="s">
        <v>7768</v>
      </c>
      <c r="AF2101" t="s">
        <v>162</v>
      </c>
      <c r="AG2101" t="s">
        <v>7769</v>
      </c>
      <c r="AH2101">
        <v>0</v>
      </c>
      <c r="AI2101">
        <v>0</v>
      </c>
      <c r="AJ2101" t="s">
        <v>52</v>
      </c>
      <c r="AK2101">
        <v>0</v>
      </c>
      <c r="AL2101" t="s">
        <v>52</v>
      </c>
      <c r="AM2101" t="s">
        <v>52</v>
      </c>
      <c r="AN2101">
        <v>0</v>
      </c>
      <c r="AO2101">
        <v>0</v>
      </c>
      <c r="AP2101" t="s">
        <v>52</v>
      </c>
      <c r="AQ2101" t="s">
        <v>52</v>
      </c>
      <c r="AR2101" t="s">
        <v>62</v>
      </c>
      <c r="AS2101" t="s">
        <v>52</v>
      </c>
      <c r="AT2101" t="s">
        <v>74</v>
      </c>
      <c r="AU2101" t="s">
        <v>64</v>
      </c>
      <c r="AV2101" t="s">
        <v>62</v>
      </c>
      <c r="AW2101" t="s">
        <v>65</v>
      </c>
      <c r="AX2101" t="s">
        <v>66</v>
      </c>
      <c r="AY2101" t="s">
        <v>654</v>
      </c>
    </row>
    <row r="2102" spans="1:51" hidden="1" x14ac:dyDescent="0.25">
      <c r="A2102">
        <v>203990</v>
      </c>
      <c r="B2102" t="s">
        <v>7770</v>
      </c>
      <c r="C2102" t="e">
        <f>VLOOKUP(A2102,[1]Customer_payment_journal_line!$AL:$BO,30,0)</f>
        <v>#N/A</v>
      </c>
      <c r="D2102" t="s">
        <v>644</v>
      </c>
      <c r="E2102" t="s">
        <v>7762</v>
      </c>
      <c r="F2102" t="s">
        <v>7763</v>
      </c>
      <c r="G2102" t="s">
        <v>7579</v>
      </c>
      <c r="H2102" t="s">
        <v>210</v>
      </c>
      <c r="I2102" t="s">
        <v>7771</v>
      </c>
      <c r="K2102" t="s">
        <v>3158</v>
      </c>
      <c r="L2102" t="s">
        <v>52</v>
      </c>
      <c r="M2102">
        <v>43848.5</v>
      </c>
      <c r="N2102">
        <v>0</v>
      </c>
      <c r="O2102" t="s">
        <v>61</v>
      </c>
      <c r="P2102">
        <v>100</v>
      </c>
      <c r="Q2102" t="s">
        <v>52</v>
      </c>
      <c r="R2102" t="s">
        <v>52</v>
      </c>
      <c r="S2102" t="s">
        <v>52</v>
      </c>
      <c r="T2102" t="s">
        <v>52</v>
      </c>
      <c r="U2102" t="s">
        <v>52</v>
      </c>
      <c r="V2102" t="s">
        <v>62</v>
      </c>
      <c r="W2102" t="s">
        <v>63</v>
      </c>
      <c r="Y2102" t="s">
        <v>52</v>
      </c>
      <c r="AB2102" t="s">
        <v>7772</v>
      </c>
      <c r="AE2102" t="s">
        <v>7773</v>
      </c>
      <c r="AF2102" t="s">
        <v>162</v>
      </c>
      <c r="AG2102" t="s">
        <v>7769</v>
      </c>
      <c r="AH2102">
        <v>0</v>
      </c>
      <c r="AI2102">
        <v>0</v>
      </c>
      <c r="AJ2102" t="s">
        <v>52</v>
      </c>
      <c r="AK2102">
        <v>0</v>
      </c>
      <c r="AL2102" t="s">
        <v>52</v>
      </c>
      <c r="AM2102" t="s">
        <v>52</v>
      </c>
      <c r="AN2102">
        <v>0</v>
      </c>
      <c r="AO2102">
        <v>0</v>
      </c>
      <c r="AP2102" t="s">
        <v>52</v>
      </c>
      <c r="AQ2102" t="s">
        <v>52</v>
      </c>
      <c r="AR2102" t="s">
        <v>62</v>
      </c>
      <c r="AS2102" t="s">
        <v>52</v>
      </c>
      <c r="AT2102" t="s">
        <v>52</v>
      </c>
      <c r="AU2102" t="s">
        <v>64</v>
      </c>
      <c r="AV2102" t="s">
        <v>62</v>
      </c>
      <c r="AW2102" t="s">
        <v>65</v>
      </c>
      <c r="AX2102" t="s">
        <v>66</v>
      </c>
      <c r="AY2102" t="s">
        <v>654</v>
      </c>
    </row>
    <row r="2103" spans="1:51" hidden="1" x14ac:dyDescent="0.25">
      <c r="A2103">
        <v>203990</v>
      </c>
      <c r="B2103" t="s">
        <v>7774</v>
      </c>
      <c r="C2103" t="e">
        <f>VLOOKUP(A2103,[1]Customer_payment_journal_line!$AL:$BO,30,0)</f>
        <v>#N/A</v>
      </c>
      <c r="D2103" t="s">
        <v>644</v>
      </c>
      <c r="E2103" t="s">
        <v>7762</v>
      </c>
      <c r="F2103" t="s">
        <v>7763</v>
      </c>
      <c r="G2103" t="s">
        <v>7579</v>
      </c>
      <c r="H2103" t="s">
        <v>69</v>
      </c>
      <c r="I2103" t="s">
        <v>7764</v>
      </c>
      <c r="J2103" t="s">
        <v>7765</v>
      </c>
      <c r="K2103" t="s">
        <v>3158</v>
      </c>
      <c r="L2103" t="s">
        <v>52</v>
      </c>
      <c r="M2103">
        <v>0</v>
      </c>
      <c r="N2103">
        <v>42993.5</v>
      </c>
      <c r="O2103" t="s">
        <v>61</v>
      </c>
      <c r="P2103">
        <v>100</v>
      </c>
      <c r="Q2103" t="s">
        <v>52</v>
      </c>
      <c r="R2103" t="s">
        <v>52</v>
      </c>
      <c r="S2103" t="s">
        <v>52</v>
      </c>
      <c r="T2103" t="s">
        <v>52</v>
      </c>
      <c r="U2103" t="s">
        <v>52</v>
      </c>
      <c r="V2103" t="s">
        <v>62</v>
      </c>
      <c r="W2103" t="s">
        <v>52</v>
      </c>
      <c r="Y2103" t="s">
        <v>7766</v>
      </c>
      <c r="Z2103" t="s">
        <v>62</v>
      </c>
      <c r="AB2103" t="s">
        <v>7772</v>
      </c>
      <c r="AE2103" t="s">
        <v>7773</v>
      </c>
      <c r="AF2103" t="s">
        <v>162</v>
      </c>
      <c r="AG2103" t="s">
        <v>7769</v>
      </c>
      <c r="AH2103">
        <v>0</v>
      </c>
      <c r="AI2103">
        <v>0</v>
      </c>
      <c r="AJ2103" t="s">
        <v>52</v>
      </c>
      <c r="AK2103">
        <v>0</v>
      </c>
      <c r="AL2103" t="s">
        <v>52</v>
      </c>
      <c r="AM2103" t="s">
        <v>52</v>
      </c>
      <c r="AN2103">
        <v>0</v>
      </c>
      <c r="AO2103">
        <v>0</v>
      </c>
      <c r="AP2103" t="s">
        <v>52</v>
      </c>
      <c r="AQ2103" t="s">
        <v>52</v>
      </c>
      <c r="AR2103" t="s">
        <v>62</v>
      </c>
      <c r="AS2103" t="s">
        <v>52</v>
      </c>
      <c r="AT2103" t="s">
        <v>74</v>
      </c>
      <c r="AU2103" t="s">
        <v>64</v>
      </c>
      <c r="AV2103" t="s">
        <v>62</v>
      </c>
      <c r="AW2103" t="s">
        <v>65</v>
      </c>
      <c r="AX2103" t="s">
        <v>66</v>
      </c>
      <c r="AY2103" t="s">
        <v>654</v>
      </c>
    </row>
    <row r="2104" spans="1:51" hidden="1" x14ac:dyDescent="0.25">
      <c r="A2104">
        <v>204001</v>
      </c>
      <c r="B2104" t="s">
        <v>7775</v>
      </c>
      <c r="C2104" t="e">
        <f>VLOOKUP(A2104,[1]Customer_payment_journal_line!$AL:$BO,30,0)</f>
        <v>#N/A</v>
      </c>
      <c r="D2104" t="s">
        <v>159</v>
      </c>
      <c r="E2104" t="s">
        <v>7776</v>
      </c>
      <c r="F2104" t="s">
        <v>7777</v>
      </c>
      <c r="G2104" t="s">
        <v>7579</v>
      </c>
      <c r="H2104" t="s">
        <v>80</v>
      </c>
      <c r="I2104" t="s">
        <v>766</v>
      </c>
      <c r="J2104" t="s">
        <v>7778</v>
      </c>
      <c r="K2104" t="s">
        <v>7779</v>
      </c>
      <c r="L2104" t="s">
        <v>52</v>
      </c>
      <c r="M2104">
        <v>875.56</v>
      </c>
      <c r="N2104">
        <v>0</v>
      </c>
      <c r="O2104" t="s">
        <v>126</v>
      </c>
      <c r="P2104">
        <v>5285</v>
      </c>
      <c r="Q2104" t="s">
        <v>52</v>
      </c>
      <c r="R2104" t="s">
        <v>52</v>
      </c>
      <c r="S2104" t="s">
        <v>52</v>
      </c>
      <c r="T2104" t="s">
        <v>52</v>
      </c>
      <c r="U2104" t="s">
        <v>52</v>
      </c>
      <c r="V2104" t="s">
        <v>62</v>
      </c>
      <c r="W2104" t="s">
        <v>52</v>
      </c>
      <c r="Y2104" t="s">
        <v>52</v>
      </c>
      <c r="AB2104" t="s">
        <v>52</v>
      </c>
      <c r="AE2104" t="s">
        <v>52</v>
      </c>
      <c r="AF2104" t="s">
        <v>52</v>
      </c>
      <c r="AG2104" t="s">
        <v>5213</v>
      </c>
      <c r="AH2104">
        <v>0</v>
      </c>
      <c r="AI2104">
        <v>0</v>
      </c>
      <c r="AJ2104" t="s">
        <v>52</v>
      </c>
      <c r="AK2104">
        <v>0</v>
      </c>
      <c r="AL2104" t="s">
        <v>52</v>
      </c>
      <c r="AM2104" t="s">
        <v>52</v>
      </c>
      <c r="AN2104">
        <v>0</v>
      </c>
      <c r="AO2104">
        <v>0</v>
      </c>
      <c r="AP2104" t="s">
        <v>52</v>
      </c>
      <c r="AQ2104" t="s">
        <v>52</v>
      </c>
      <c r="AR2104" t="s">
        <v>62</v>
      </c>
      <c r="AS2104" t="s">
        <v>52</v>
      </c>
      <c r="AT2104" t="s">
        <v>52</v>
      </c>
      <c r="AU2104" t="s">
        <v>64</v>
      </c>
      <c r="AV2104" t="s">
        <v>62</v>
      </c>
      <c r="AW2104" t="s">
        <v>65</v>
      </c>
      <c r="AX2104" t="s">
        <v>66</v>
      </c>
      <c r="AY2104" t="s">
        <v>165</v>
      </c>
    </row>
    <row r="2105" spans="1:51" hidden="1" x14ac:dyDescent="0.25">
      <c r="A2105">
        <v>204001</v>
      </c>
      <c r="B2105" t="s">
        <v>7780</v>
      </c>
      <c r="C2105" t="e">
        <f>VLOOKUP(A2105,[1]Customer_payment_journal_line!$AL:$BO,30,0)</f>
        <v>#N/A</v>
      </c>
      <c r="D2105" t="s">
        <v>159</v>
      </c>
      <c r="E2105" t="s">
        <v>7776</v>
      </c>
      <c r="F2105" t="s">
        <v>7777</v>
      </c>
      <c r="G2105" t="s">
        <v>7579</v>
      </c>
      <c r="H2105" t="s">
        <v>69</v>
      </c>
      <c r="I2105" t="s">
        <v>7781</v>
      </c>
      <c r="J2105" t="s">
        <v>7778</v>
      </c>
      <c r="K2105" t="s">
        <v>7779</v>
      </c>
      <c r="L2105" t="s">
        <v>52</v>
      </c>
      <c r="M2105">
        <v>0</v>
      </c>
      <c r="N2105">
        <v>875.56</v>
      </c>
      <c r="O2105" t="s">
        <v>126</v>
      </c>
      <c r="P2105">
        <v>5285</v>
      </c>
      <c r="Q2105" t="s">
        <v>52</v>
      </c>
      <c r="R2105" t="s">
        <v>52</v>
      </c>
      <c r="S2105" t="s">
        <v>52</v>
      </c>
      <c r="T2105" t="s">
        <v>52</v>
      </c>
      <c r="U2105" t="s">
        <v>52</v>
      </c>
      <c r="V2105" t="s">
        <v>62</v>
      </c>
      <c r="W2105" t="s">
        <v>52</v>
      </c>
      <c r="Y2105" t="s">
        <v>7782</v>
      </c>
      <c r="Z2105" t="s">
        <v>62</v>
      </c>
      <c r="AB2105" t="s">
        <v>7783</v>
      </c>
      <c r="AE2105" t="s">
        <v>7784</v>
      </c>
      <c r="AF2105" t="s">
        <v>52</v>
      </c>
      <c r="AG2105" t="s">
        <v>5213</v>
      </c>
      <c r="AH2105">
        <v>0</v>
      </c>
      <c r="AI2105">
        <v>0</v>
      </c>
      <c r="AJ2105" t="s">
        <v>52</v>
      </c>
      <c r="AK2105">
        <v>0</v>
      </c>
      <c r="AL2105" t="s">
        <v>52</v>
      </c>
      <c r="AM2105" t="s">
        <v>52</v>
      </c>
      <c r="AN2105">
        <v>0</v>
      </c>
      <c r="AO2105">
        <v>0</v>
      </c>
      <c r="AP2105" t="s">
        <v>52</v>
      </c>
      <c r="AQ2105" t="s">
        <v>52</v>
      </c>
      <c r="AR2105" t="s">
        <v>62</v>
      </c>
      <c r="AS2105" t="s">
        <v>52</v>
      </c>
      <c r="AT2105" t="s">
        <v>74</v>
      </c>
      <c r="AU2105" t="s">
        <v>64</v>
      </c>
      <c r="AV2105" t="s">
        <v>62</v>
      </c>
      <c r="AW2105" t="s">
        <v>65</v>
      </c>
      <c r="AX2105" t="s">
        <v>66</v>
      </c>
      <c r="AY2105" t="s">
        <v>165</v>
      </c>
    </row>
    <row r="2106" spans="1:51" hidden="1" x14ac:dyDescent="0.25">
      <c r="A2106">
        <v>204004</v>
      </c>
      <c r="B2106" t="s">
        <v>7785</v>
      </c>
      <c r="C2106" t="str">
        <f>VLOOKUP(A2106,[1]Customer_payment_journal_line!$AL:$BO,30,0)</f>
        <v>CPay-000000136</v>
      </c>
      <c r="D2106" t="s">
        <v>53</v>
      </c>
      <c r="E2106" t="s">
        <v>7786</v>
      </c>
      <c r="F2106" t="s">
        <v>7787</v>
      </c>
      <c r="G2106" t="s">
        <v>7579</v>
      </c>
      <c r="H2106" t="s">
        <v>57</v>
      </c>
      <c r="I2106" t="s">
        <v>95</v>
      </c>
      <c r="J2106" t="s">
        <v>7778</v>
      </c>
      <c r="K2106" t="s">
        <v>7779</v>
      </c>
      <c r="L2106">
        <f>VLOOKUP(A2106,[1]Customer_payment_journal_line!$B:$L,11,0)</f>
        <v>1653</v>
      </c>
      <c r="M2106" s="1">
        <v>1653</v>
      </c>
      <c r="N2106" s="2">
        <f>L2106-M2106</f>
        <v>0</v>
      </c>
      <c r="O2106" t="s">
        <v>61</v>
      </c>
      <c r="P2106">
        <v>100</v>
      </c>
      <c r="Q2106" t="s">
        <v>52</v>
      </c>
      <c r="R2106" t="s">
        <v>52</v>
      </c>
      <c r="S2106" t="s">
        <v>52</v>
      </c>
      <c r="T2106" t="s">
        <v>52</v>
      </c>
      <c r="U2106" t="s">
        <v>52</v>
      </c>
      <c r="V2106" t="s">
        <v>62</v>
      </c>
      <c r="W2106" t="s">
        <v>63</v>
      </c>
      <c r="Y2106" t="s">
        <v>52</v>
      </c>
      <c r="AB2106" t="s">
        <v>52</v>
      </c>
      <c r="AE2106" t="s">
        <v>52</v>
      </c>
      <c r="AF2106" t="s">
        <v>52</v>
      </c>
      <c r="AH2106">
        <v>0</v>
      </c>
      <c r="AI2106">
        <v>0</v>
      </c>
      <c r="AJ2106" t="s">
        <v>52</v>
      </c>
      <c r="AK2106">
        <v>0</v>
      </c>
      <c r="AL2106" t="s">
        <v>52</v>
      </c>
      <c r="AM2106" t="s">
        <v>52</v>
      </c>
      <c r="AN2106">
        <v>0</v>
      </c>
      <c r="AO2106">
        <v>0</v>
      </c>
      <c r="AP2106" t="s">
        <v>52</v>
      </c>
      <c r="AQ2106" t="s">
        <v>52</v>
      </c>
      <c r="AR2106" t="s">
        <v>62</v>
      </c>
      <c r="AS2106" t="s">
        <v>52</v>
      </c>
      <c r="AT2106" t="s">
        <v>52</v>
      </c>
      <c r="AU2106" t="s">
        <v>64</v>
      </c>
      <c r="AV2106" t="s">
        <v>62</v>
      </c>
      <c r="AW2106" t="s">
        <v>65</v>
      </c>
      <c r="AX2106" t="s">
        <v>66</v>
      </c>
      <c r="AY2106" t="s">
        <v>67</v>
      </c>
    </row>
    <row r="2107" spans="1:51" hidden="1" x14ac:dyDescent="0.25">
      <c r="A2107">
        <v>204004</v>
      </c>
      <c r="B2107" t="s">
        <v>7788</v>
      </c>
      <c r="C2107" t="str">
        <f>VLOOKUP(A2107,[1]Customer_payment_journal_line!$AL:$BO,30,0)</f>
        <v>CPay-000000136</v>
      </c>
      <c r="D2107" t="s">
        <v>53</v>
      </c>
      <c r="E2107" t="s">
        <v>7786</v>
      </c>
      <c r="F2107" t="s">
        <v>7787</v>
      </c>
      <c r="G2107" t="s">
        <v>7579</v>
      </c>
      <c r="H2107" t="s">
        <v>69</v>
      </c>
      <c r="I2107" t="s">
        <v>7781</v>
      </c>
      <c r="J2107" t="s">
        <v>7778</v>
      </c>
      <c r="K2107" t="s">
        <v>7779</v>
      </c>
      <c r="L2107">
        <f>VLOOKUP(A2107,[1]Customer_payment_journal_line!$B:$L,11,0)</f>
        <v>1653</v>
      </c>
      <c r="M2107" s="1">
        <v>0</v>
      </c>
      <c r="N2107">
        <v>1653</v>
      </c>
      <c r="O2107" t="s">
        <v>61</v>
      </c>
      <c r="P2107">
        <v>100</v>
      </c>
      <c r="Q2107" t="s">
        <v>52</v>
      </c>
      <c r="R2107" t="s">
        <v>52</v>
      </c>
      <c r="S2107" t="s">
        <v>52</v>
      </c>
      <c r="T2107" t="s">
        <v>52</v>
      </c>
      <c r="U2107" t="s">
        <v>52</v>
      </c>
      <c r="V2107" t="s">
        <v>62</v>
      </c>
      <c r="W2107" t="s">
        <v>52</v>
      </c>
      <c r="Y2107" t="s">
        <v>7782</v>
      </c>
      <c r="Z2107" t="s">
        <v>62</v>
      </c>
      <c r="AB2107" t="s">
        <v>7789</v>
      </c>
      <c r="AE2107" t="s">
        <v>7790</v>
      </c>
      <c r="AF2107" t="s">
        <v>52</v>
      </c>
      <c r="AH2107">
        <v>0</v>
      </c>
      <c r="AI2107">
        <v>0</v>
      </c>
      <c r="AJ2107" t="s">
        <v>52</v>
      </c>
      <c r="AK2107">
        <v>0</v>
      </c>
      <c r="AL2107" t="s">
        <v>52</v>
      </c>
      <c r="AM2107" t="s">
        <v>52</v>
      </c>
      <c r="AN2107">
        <v>0</v>
      </c>
      <c r="AO2107">
        <v>0</v>
      </c>
      <c r="AP2107" t="s">
        <v>52</v>
      </c>
      <c r="AQ2107" t="s">
        <v>52</v>
      </c>
      <c r="AR2107" t="s">
        <v>62</v>
      </c>
      <c r="AS2107" t="s">
        <v>52</v>
      </c>
      <c r="AT2107" t="s">
        <v>74</v>
      </c>
      <c r="AU2107" t="s">
        <v>64</v>
      </c>
      <c r="AV2107" t="s">
        <v>62</v>
      </c>
      <c r="AW2107" t="s">
        <v>65</v>
      </c>
      <c r="AX2107" t="s">
        <v>66</v>
      </c>
      <c r="AY2107" t="s">
        <v>67</v>
      </c>
    </row>
    <row r="2108" spans="1:51" hidden="1" x14ac:dyDescent="0.25">
      <c r="A2108">
        <v>204006</v>
      </c>
      <c r="B2108" t="s">
        <v>7791</v>
      </c>
      <c r="C2108" t="str">
        <f>VLOOKUP(A2108,[1]Customer_payment_journal_line!$AL:$BO,30,0)</f>
        <v>CPay-000000137</v>
      </c>
      <c r="D2108" t="s">
        <v>53</v>
      </c>
      <c r="E2108" t="s">
        <v>7792</v>
      </c>
      <c r="F2108" t="s">
        <v>7793</v>
      </c>
      <c r="G2108" t="s">
        <v>7579</v>
      </c>
      <c r="H2108" t="s">
        <v>57</v>
      </c>
      <c r="I2108" t="s">
        <v>95</v>
      </c>
      <c r="J2108" t="s">
        <v>7778</v>
      </c>
      <c r="K2108" t="s">
        <v>7779</v>
      </c>
      <c r="L2108">
        <f>VLOOKUP(A2108,[1]Customer_payment_journal_line!$B:$L,11,0)</f>
        <v>199.5</v>
      </c>
      <c r="M2108" s="1">
        <v>199.5</v>
      </c>
      <c r="N2108" s="2">
        <f>L2108-M2108</f>
        <v>0</v>
      </c>
      <c r="O2108" t="s">
        <v>61</v>
      </c>
      <c r="P2108">
        <v>100</v>
      </c>
      <c r="Q2108" t="s">
        <v>52</v>
      </c>
      <c r="R2108" t="s">
        <v>52</v>
      </c>
      <c r="S2108" t="s">
        <v>52</v>
      </c>
      <c r="T2108" t="s">
        <v>52</v>
      </c>
      <c r="U2108" t="s">
        <v>52</v>
      </c>
      <c r="V2108" t="s">
        <v>62</v>
      </c>
      <c r="W2108" t="s">
        <v>63</v>
      </c>
      <c r="Y2108" t="s">
        <v>52</v>
      </c>
      <c r="AB2108" t="s">
        <v>52</v>
      </c>
      <c r="AE2108" t="s">
        <v>52</v>
      </c>
      <c r="AF2108" t="s">
        <v>52</v>
      </c>
      <c r="AH2108">
        <v>0</v>
      </c>
      <c r="AI2108">
        <v>0</v>
      </c>
      <c r="AJ2108" t="s">
        <v>52</v>
      </c>
      <c r="AK2108">
        <v>0</v>
      </c>
      <c r="AL2108" t="s">
        <v>52</v>
      </c>
      <c r="AM2108" t="s">
        <v>52</v>
      </c>
      <c r="AN2108">
        <v>0</v>
      </c>
      <c r="AO2108">
        <v>0</v>
      </c>
      <c r="AP2108" t="s">
        <v>52</v>
      </c>
      <c r="AQ2108" t="s">
        <v>52</v>
      </c>
      <c r="AR2108" t="s">
        <v>62</v>
      </c>
      <c r="AS2108" t="s">
        <v>52</v>
      </c>
      <c r="AT2108" t="s">
        <v>52</v>
      </c>
      <c r="AU2108" t="s">
        <v>64</v>
      </c>
      <c r="AV2108" t="s">
        <v>62</v>
      </c>
      <c r="AW2108" t="s">
        <v>65</v>
      </c>
      <c r="AX2108" t="s">
        <v>66</v>
      </c>
      <c r="AY2108" t="s">
        <v>67</v>
      </c>
    </row>
    <row r="2109" spans="1:51" hidden="1" x14ac:dyDescent="0.25">
      <c r="A2109">
        <v>204006</v>
      </c>
      <c r="B2109" t="s">
        <v>7794</v>
      </c>
      <c r="C2109" t="str">
        <f>VLOOKUP(A2109,[1]Customer_payment_journal_line!$AL:$BO,30,0)</f>
        <v>CPay-000000137</v>
      </c>
      <c r="D2109" t="s">
        <v>53</v>
      </c>
      <c r="E2109" t="s">
        <v>7792</v>
      </c>
      <c r="F2109" t="s">
        <v>7793</v>
      </c>
      <c r="G2109" t="s">
        <v>7579</v>
      </c>
      <c r="H2109" t="s">
        <v>69</v>
      </c>
      <c r="I2109" t="s">
        <v>7781</v>
      </c>
      <c r="J2109" t="s">
        <v>7778</v>
      </c>
      <c r="K2109" t="s">
        <v>7779</v>
      </c>
      <c r="L2109">
        <f>VLOOKUP(A2109,[1]Customer_payment_journal_line!$B:$L,11,0)</f>
        <v>199.5</v>
      </c>
      <c r="M2109" s="1">
        <v>0</v>
      </c>
      <c r="N2109">
        <v>199.5</v>
      </c>
      <c r="O2109" t="s">
        <v>61</v>
      </c>
      <c r="P2109">
        <v>100</v>
      </c>
      <c r="Q2109" t="s">
        <v>52</v>
      </c>
      <c r="R2109" t="s">
        <v>52</v>
      </c>
      <c r="S2109" t="s">
        <v>52</v>
      </c>
      <c r="T2109" t="s">
        <v>52</v>
      </c>
      <c r="U2109" t="s">
        <v>52</v>
      </c>
      <c r="V2109" t="s">
        <v>62</v>
      </c>
      <c r="W2109" t="s">
        <v>52</v>
      </c>
      <c r="Y2109" t="s">
        <v>7782</v>
      </c>
      <c r="Z2109" t="s">
        <v>62</v>
      </c>
      <c r="AB2109" t="s">
        <v>7795</v>
      </c>
      <c r="AE2109" t="s">
        <v>7796</v>
      </c>
      <c r="AF2109" t="s">
        <v>52</v>
      </c>
      <c r="AH2109">
        <v>0</v>
      </c>
      <c r="AI2109">
        <v>0</v>
      </c>
      <c r="AJ2109" t="s">
        <v>52</v>
      </c>
      <c r="AK2109">
        <v>0</v>
      </c>
      <c r="AL2109" t="s">
        <v>52</v>
      </c>
      <c r="AM2109" t="s">
        <v>52</v>
      </c>
      <c r="AN2109">
        <v>0</v>
      </c>
      <c r="AO2109">
        <v>0</v>
      </c>
      <c r="AP2109" t="s">
        <v>52</v>
      </c>
      <c r="AQ2109" t="s">
        <v>52</v>
      </c>
      <c r="AR2109" t="s">
        <v>62</v>
      </c>
      <c r="AS2109" t="s">
        <v>52</v>
      </c>
      <c r="AT2109" t="s">
        <v>74</v>
      </c>
      <c r="AU2109" t="s">
        <v>64</v>
      </c>
      <c r="AV2109" t="s">
        <v>62</v>
      </c>
      <c r="AW2109" t="s">
        <v>65</v>
      </c>
      <c r="AX2109" t="s">
        <v>66</v>
      </c>
      <c r="AY2109" t="s">
        <v>67</v>
      </c>
    </row>
    <row r="2110" spans="1:51" hidden="1" x14ac:dyDescent="0.25">
      <c r="A2110">
        <v>204007</v>
      </c>
      <c r="B2110" t="s">
        <v>7797</v>
      </c>
      <c r="C2110" t="e">
        <f>VLOOKUP(A2110,[1]Customer_payment_journal_line!$AL:$BO,30,0)</f>
        <v>#N/A</v>
      </c>
      <c r="D2110" t="s">
        <v>159</v>
      </c>
      <c r="E2110" t="s">
        <v>7798</v>
      </c>
      <c r="F2110" t="s">
        <v>7799</v>
      </c>
      <c r="G2110" t="s">
        <v>7579</v>
      </c>
      <c r="H2110" t="s">
        <v>80</v>
      </c>
      <c r="I2110" t="s">
        <v>3683</v>
      </c>
      <c r="J2110" t="s">
        <v>7800</v>
      </c>
      <c r="K2110" t="s">
        <v>7623</v>
      </c>
      <c r="L2110" t="s">
        <v>52</v>
      </c>
      <c r="M2110">
        <v>360</v>
      </c>
      <c r="N2110">
        <v>0</v>
      </c>
      <c r="O2110" t="s">
        <v>178</v>
      </c>
      <c r="P2110">
        <v>5085</v>
      </c>
      <c r="Q2110" t="s">
        <v>52</v>
      </c>
      <c r="R2110" t="s">
        <v>52</v>
      </c>
      <c r="S2110" t="s">
        <v>52</v>
      </c>
      <c r="T2110" t="s">
        <v>52</v>
      </c>
      <c r="U2110" t="s">
        <v>52</v>
      </c>
      <c r="V2110" t="s">
        <v>62</v>
      </c>
      <c r="W2110" t="s">
        <v>52</v>
      </c>
      <c r="Y2110" t="s">
        <v>52</v>
      </c>
      <c r="AB2110" t="s">
        <v>52</v>
      </c>
      <c r="AE2110" t="s">
        <v>52</v>
      </c>
      <c r="AF2110" t="s">
        <v>52</v>
      </c>
      <c r="AH2110">
        <v>0</v>
      </c>
      <c r="AI2110">
        <v>0</v>
      </c>
      <c r="AJ2110" t="s">
        <v>52</v>
      </c>
      <c r="AK2110">
        <v>0</v>
      </c>
      <c r="AL2110" t="s">
        <v>52</v>
      </c>
      <c r="AM2110" t="s">
        <v>52</v>
      </c>
      <c r="AN2110">
        <v>0</v>
      </c>
      <c r="AO2110">
        <v>0</v>
      </c>
      <c r="AP2110" t="s">
        <v>52</v>
      </c>
      <c r="AQ2110" t="s">
        <v>52</v>
      </c>
      <c r="AR2110" t="s">
        <v>62</v>
      </c>
      <c r="AS2110" t="s">
        <v>52</v>
      </c>
      <c r="AT2110" t="s">
        <v>52</v>
      </c>
      <c r="AU2110" t="s">
        <v>64</v>
      </c>
      <c r="AV2110" t="s">
        <v>62</v>
      </c>
      <c r="AW2110" t="s">
        <v>65</v>
      </c>
      <c r="AX2110" t="s">
        <v>66</v>
      </c>
      <c r="AY2110" t="s">
        <v>165</v>
      </c>
    </row>
    <row r="2111" spans="1:51" hidden="1" x14ac:dyDescent="0.25">
      <c r="A2111">
        <v>204007</v>
      </c>
      <c r="B2111" t="s">
        <v>7801</v>
      </c>
      <c r="C2111" t="e">
        <f>VLOOKUP(A2111,[1]Customer_payment_journal_line!$AL:$BO,30,0)</f>
        <v>#N/A</v>
      </c>
      <c r="D2111" t="s">
        <v>159</v>
      </c>
      <c r="E2111" t="s">
        <v>7798</v>
      </c>
      <c r="F2111" t="s">
        <v>7799</v>
      </c>
      <c r="G2111" t="s">
        <v>7579</v>
      </c>
      <c r="H2111" t="s">
        <v>69</v>
      </c>
      <c r="I2111" t="s">
        <v>3686</v>
      </c>
      <c r="J2111" t="s">
        <v>7800</v>
      </c>
      <c r="K2111" t="s">
        <v>7623</v>
      </c>
      <c r="L2111" t="s">
        <v>52</v>
      </c>
      <c r="M2111">
        <v>0</v>
      </c>
      <c r="N2111">
        <v>360</v>
      </c>
      <c r="O2111" t="s">
        <v>178</v>
      </c>
      <c r="P2111">
        <v>5085</v>
      </c>
      <c r="Q2111" t="s">
        <v>52</v>
      </c>
      <c r="R2111" t="s">
        <v>52</v>
      </c>
      <c r="S2111" t="s">
        <v>52</v>
      </c>
      <c r="T2111" t="s">
        <v>52</v>
      </c>
      <c r="U2111" t="s">
        <v>52</v>
      </c>
      <c r="V2111" t="s">
        <v>62</v>
      </c>
      <c r="W2111" t="s">
        <v>52</v>
      </c>
      <c r="Y2111" t="s">
        <v>3687</v>
      </c>
      <c r="Z2111" t="s">
        <v>62</v>
      </c>
      <c r="AB2111" t="s">
        <v>7802</v>
      </c>
      <c r="AE2111" t="s">
        <v>7803</v>
      </c>
      <c r="AF2111" t="s">
        <v>52</v>
      </c>
      <c r="AH2111">
        <v>0</v>
      </c>
      <c r="AI2111">
        <v>0</v>
      </c>
      <c r="AJ2111" t="s">
        <v>52</v>
      </c>
      <c r="AK2111">
        <v>0</v>
      </c>
      <c r="AL2111" t="s">
        <v>52</v>
      </c>
      <c r="AM2111" t="s">
        <v>52</v>
      </c>
      <c r="AN2111">
        <v>0</v>
      </c>
      <c r="AO2111">
        <v>0</v>
      </c>
      <c r="AP2111" t="s">
        <v>52</v>
      </c>
      <c r="AQ2111" t="s">
        <v>52</v>
      </c>
      <c r="AR2111" t="s">
        <v>62</v>
      </c>
      <c r="AS2111" t="s">
        <v>52</v>
      </c>
      <c r="AT2111" t="s">
        <v>74</v>
      </c>
      <c r="AU2111" t="s">
        <v>64</v>
      </c>
      <c r="AV2111" t="s">
        <v>62</v>
      </c>
      <c r="AW2111" t="s">
        <v>65</v>
      </c>
      <c r="AX2111" t="s">
        <v>66</v>
      </c>
      <c r="AY2111" t="s">
        <v>165</v>
      </c>
    </row>
    <row r="2112" spans="1:51" hidden="1" x14ac:dyDescent="0.25">
      <c r="A2112">
        <v>204010</v>
      </c>
      <c r="B2112" t="s">
        <v>7804</v>
      </c>
      <c r="C2112" t="e">
        <f>VLOOKUP(A2112,[1]Customer_payment_journal_line!$AL:$BO,30,0)</f>
        <v>#N/A</v>
      </c>
      <c r="D2112" t="s">
        <v>159</v>
      </c>
      <c r="E2112" t="s">
        <v>7805</v>
      </c>
      <c r="F2112" t="s">
        <v>7806</v>
      </c>
      <c r="G2112" t="s">
        <v>7579</v>
      </c>
      <c r="H2112" t="s">
        <v>80</v>
      </c>
      <c r="I2112" t="s">
        <v>162</v>
      </c>
      <c r="J2112" t="s">
        <v>7807</v>
      </c>
      <c r="K2112" t="s">
        <v>3158</v>
      </c>
      <c r="L2112" t="s">
        <v>52</v>
      </c>
      <c r="M2112">
        <v>53090.48</v>
      </c>
      <c r="N2112">
        <v>0</v>
      </c>
      <c r="O2112" t="s">
        <v>61</v>
      </c>
      <c r="P2112">
        <v>100</v>
      </c>
      <c r="Q2112" t="s">
        <v>52</v>
      </c>
      <c r="R2112" t="s">
        <v>52</v>
      </c>
      <c r="S2112" t="s">
        <v>52</v>
      </c>
      <c r="T2112" t="s">
        <v>52</v>
      </c>
      <c r="U2112" t="s">
        <v>52</v>
      </c>
      <c r="V2112" t="s">
        <v>62</v>
      </c>
      <c r="W2112" t="s">
        <v>52</v>
      </c>
      <c r="Y2112" t="s">
        <v>52</v>
      </c>
      <c r="AB2112" t="s">
        <v>52</v>
      </c>
      <c r="AE2112" t="s">
        <v>52</v>
      </c>
      <c r="AF2112" t="s">
        <v>52</v>
      </c>
      <c r="AH2112">
        <v>0</v>
      </c>
      <c r="AI2112">
        <v>0</v>
      </c>
      <c r="AJ2112" t="s">
        <v>52</v>
      </c>
      <c r="AK2112">
        <v>0</v>
      </c>
      <c r="AL2112" t="s">
        <v>52</v>
      </c>
      <c r="AM2112" t="s">
        <v>52</v>
      </c>
      <c r="AN2112">
        <v>0</v>
      </c>
      <c r="AO2112">
        <v>0</v>
      </c>
      <c r="AP2112" t="s">
        <v>52</v>
      </c>
      <c r="AQ2112" t="s">
        <v>52</v>
      </c>
      <c r="AR2112" t="s">
        <v>62</v>
      </c>
      <c r="AS2112" t="s">
        <v>52</v>
      </c>
      <c r="AT2112" t="s">
        <v>52</v>
      </c>
      <c r="AU2112" t="s">
        <v>64</v>
      </c>
      <c r="AV2112" t="s">
        <v>62</v>
      </c>
      <c r="AW2112" t="s">
        <v>65</v>
      </c>
      <c r="AX2112" t="s">
        <v>66</v>
      </c>
      <c r="AY2112" t="s">
        <v>165</v>
      </c>
    </row>
    <row r="2113" spans="1:51" hidden="1" x14ac:dyDescent="0.25">
      <c r="A2113">
        <v>204010</v>
      </c>
      <c r="B2113" t="s">
        <v>7808</v>
      </c>
      <c r="C2113" t="e">
        <f>VLOOKUP(A2113,[1]Customer_payment_journal_line!$AL:$BO,30,0)</f>
        <v>#N/A</v>
      </c>
      <c r="D2113" t="s">
        <v>159</v>
      </c>
      <c r="E2113" t="s">
        <v>7805</v>
      </c>
      <c r="F2113" t="s">
        <v>7806</v>
      </c>
      <c r="G2113" t="s">
        <v>7579</v>
      </c>
      <c r="H2113" t="s">
        <v>69</v>
      </c>
      <c r="I2113" t="s">
        <v>7809</v>
      </c>
      <c r="J2113" t="s">
        <v>7807</v>
      </c>
      <c r="K2113" t="s">
        <v>3158</v>
      </c>
      <c r="L2113" t="s">
        <v>52</v>
      </c>
      <c r="M2113">
        <v>0</v>
      </c>
      <c r="N2113">
        <v>855</v>
      </c>
      <c r="O2113" t="s">
        <v>61</v>
      </c>
      <c r="P2113">
        <v>100</v>
      </c>
      <c r="Q2113" t="s">
        <v>52</v>
      </c>
      <c r="R2113" t="s">
        <v>52</v>
      </c>
      <c r="S2113" t="s">
        <v>52</v>
      </c>
      <c r="T2113" t="s">
        <v>52</v>
      </c>
      <c r="U2113" t="s">
        <v>52</v>
      </c>
      <c r="V2113" t="s">
        <v>62</v>
      </c>
      <c r="W2113" t="s">
        <v>52</v>
      </c>
      <c r="Y2113" t="s">
        <v>7810</v>
      </c>
      <c r="Z2113" t="s">
        <v>62</v>
      </c>
      <c r="AB2113" t="s">
        <v>7811</v>
      </c>
      <c r="AE2113" t="s">
        <v>7812</v>
      </c>
      <c r="AF2113" t="s">
        <v>52</v>
      </c>
      <c r="AH2113">
        <v>0</v>
      </c>
      <c r="AI2113">
        <v>0</v>
      </c>
      <c r="AJ2113" t="s">
        <v>52</v>
      </c>
      <c r="AK2113">
        <v>0</v>
      </c>
      <c r="AL2113" t="s">
        <v>52</v>
      </c>
      <c r="AM2113" t="s">
        <v>52</v>
      </c>
      <c r="AN2113">
        <v>0</v>
      </c>
      <c r="AO2113">
        <v>0</v>
      </c>
      <c r="AP2113" t="s">
        <v>52</v>
      </c>
      <c r="AQ2113" t="s">
        <v>52</v>
      </c>
      <c r="AR2113" t="s">
        <v>62</v>
      </c>
      <c r="AS2113" t="s">
        <v>52</v>
      </c>
      <c r="AT2113" t="s">
        <v>74</v>
      </c>
      <c r="AU2113" t="s">
        <v>64</v>
      </c>
      <c r="AV2113" t="s">
        <v>62</v>
      </c>
      <c r="AW2113" t="s">
        <v>65</v>
      </c>
      <c r="AX2113" t="s">
        <v>66</v>
      </c>
      <c r="AY2113" t="s">
        <v>165</v>
      </c>
    </row>
    <row r="2114" spans="1:51" hidden="1" x14ac:dyDescent="0.25">
      <c r="A2114">
        <v>204010</v>
      </c>
      <c r="B2114" t="s">
        <v>7813</v>
      </c>
      <c r="C2114" t="e">
        <f>VLOOKUP(A2114,[1]Customer_payment_journal_line!$AL:$BO,30,0)</f>
        <v>#N/A</v>
      </c>
      <c r="D2114" t="s">
        <v>159</v>
      </c>
      <c r="E2114" t="s">
        <v>7805</v>
      </c>
      <c r="F2114" t="s">
        <v>7806</v>
      </c>
      <c r="G2114" t="s">
        <v>7579</v>
      </c>
      <c r="H2114" t="s">
        <v>69</v>
      </c>
      <c r="I2114" t="s">
        <v>7809</v>
      </c>
      <c r="J2114" t="s">
        <v>7807</v>
      </c>
      <c r="K2114" t="s">
        <v>3158</v>
      </c>
      <c r="L2114" t="s">
        <v>52</v>
      </c>
      <c r="M2114">
        <v>0</v>
      </c>
      <c r="N2114">
        <v>52235.48</v>
      </c>
      <c r="O2114" t="s">
        <v>61</v>
      </c>
      <c r="P2114">
        <v>100</v>
      </c>
      <c r="Q2114" t="s">
        <v>52</v>
      </c>
      <c r="R2114" t="s">
        <v>52</v>
      </c>
      <c r="S2114" t="s">
        <v>52</v>
      </c>
      <c r="T2114" t="s">
        <v>52</v>
      </c>
      <c r="U2114" t="s">
        <v>52</v>
      </c>
      <c r="V2114" t="s">
        <v>62</v>
      </c>
      <c r="W2114" t="s">
        <v>52</v>
      </c>
      <c r="Y2114" t="s">
        <v>7810</v>
      </c>
      <c r="Z2114" t="s">
        <v>62</v>
      </c>
      <c r="AB2114" t="s">
        <v>7814</v>
      </c>
      <c r="AE2114" t="s">
        <v>7815</v>
      </c>
      <c r="AF2114" t="s">
        <v>52</v>
      </c>
      <c r="AH2114">
        <v>0</v>
      </c>
      <c r="AI2114">
        <v>0</v>
      </c>
      <c r="AJ2114" t="s">
        <v>52</v>
      </c>
      <c r="AK2114">
        <v>0</v>
      </c>
      <c r="AL2114" t="s">
        <v>52</v>
      </c>
      <c r="AM2114" t="s">
        <v>52</v>
      </c>
      <c r="AN2114">
        <v>0</v>
      </c>
      <c r="AO2114">
        <v>0</v>
      </c>
      <c r="AP2114" t="s">
        <v>52</v>
      </c>
      <c r="AQ2114" t="s">
        <v>52</v>
      </c>
      <c r="AR2114" t="s">
        <v>62</v>
      </c>
      <c r="AS2114" t="s">
        <v>52</v>
      </c>
      <c r="AT2114" t="s">
        <v>74</v>
      </c>
      <c r="AU2114" t="s">
        <v>64</v>
      </c>
      <c r="AV2114" t="s">
        <v>62</v>
      </c>
      <c r="AW2114" t="s">
        <v>65</v>
      </c>
      <c r="AX2114" t="s">
        <v>66</v>
      </c>
      <c r="AY2114" t="s">
        <v>165</v>
      </c>
    </row>
    <row r="2115" spans="1:51" hidden="1" x14ac:dyDescent="0.25">
      <c r="A2115">
        <v>204012</v>
      </c>
      <c r="B2115" t="s">
        <v>7816</v>
      </c>
      <c r="C2115" t="e">
        <f>VLOOKUP(A2115,[1]Customer_payment_journal_line!$AL:$BO,30,0)</f>
        <v>#N/A</v>
      </c>
      <c r="D2115" t="s">
        <v>76</v>
      </c>
      <c r="E2115" t="s">
        <v>7817</v>
      </c>
      <c r="F2115" t="s">
        <v>7818</v>
      </c>
      <c r="G2115" t="s">
        <v>7579</v>
      </c>
      <c r="H2115" t="s">
        <v>80</v>
      </c>
      <c r="I2115" t="s">
        <v>81</v>
      </c>
      <c r="J2115" t="s">
        <v>6254</v>
      </c>
      <c r="K2115" t="s">
        <v>7819</v>
      </c>
      <c r="L2115" t="s">
        <v>52</v>
      </c>
      <c r="M2115">
        <v>2223</v>
      </c>
      <c r="N2115">
        <v>0</v>
      </c>
      <c r="O2115" t="s">
        <v>61</v>
      </c>
      <c r="P2115">
        <v>100</v>
      </c>
      <c r="Q2115" t="s">
        <v>52</v>
      </c>
      <c r="R2115" t="s">
        <v>52</v>
      </c>
      <c r="S2115" t="s">
        <v>52</v>
      </c>
      <c r="T2115" t="s">
        <v>52</v>
      </c>
      <c r="U2115" t="s">
        <v>52</v>
      </c>
      <c r="V2115" t="s">
        <v>62</v>
      </c>
      <c r="W2115" t="s">
        <v>52</v>
      </c>
      <c r="Y2115" t="s">
        <v>52</v>
      </c>
      <c r="AB2115" t="s">
        <v>52</v>
      </c>
      <c r="AE2115" t="s">
        <v>52</v>
      </c>
      <c r="AF2115" t="s">
        <v>52</v>
      </c>
      <c r="AH2115">
        <v>0</v>
      </c>
      <c r="AI2115">
        <v>0</v>
      </c>
      <c r="AJ2115" t="s">
        <v>52</v>
      </c>
      <c r="AK2115">
        <v>0</v>
      </c>
      <c r="AL2115" t="s">
        <v>52</v>
      </c>
      <c r="AM2115" t="s">
        <v>52</v>
      </c>
      <c r="AN2115">
        <v>0</v>
      </c>
      <c r="AO2115">
        <v>0</v>
      </c>
      <c r="AP2115" t="s">
        <v>52</v>
      </c>
      <c r="AQ2115" t="s">
        <v>52</v>
      </c>
      <c r="AR2115" t="s">
        <v>62</v>
      </c>
      <c r="AS2115" t="s">
        <v>52</v>
      </c>
      <c r="AT2115" t="s">
        <v>52</v>
      </c>
      <c r="AU2115" t="s">
        <v>64</v>
      </c>
      <c r="AV2115" t="s">
        <v>62</v>
      </c>
      <c r="AW2115" t="s">
        <v>65</v>
      </c>
      <c r="AX2115" t="s">
        <v>66</v>
      </c>
      <c r="AY2115" t="s">
        <v>76</v>
      </c>
    </row>
    <row r="2116" spans="1:51" hidden="1" x14ac:dyDescent="0.25">
      <c r="A2116">
        <v>204012</v>
      </c>
      <c r="B2116" t="s">
        <v>7820</v>
      </c>
      <c r="C2116" t="e">
        <f>VLOOKUP(A2116,[1]Customer_payment_journal_line!$AL:$BO,30,0)</f>
        <v>#N/A</v>
      </c>
      <c r="D2116" t="s">
        <v>76</v>
      </c>
      <c r="E2116" t="s">
        <v>7817</v>
      </c>
      <c r="F2116" t="s">
        <v>7818</v>
      </c>
      <c r="G2116" t="s">
        <v>7579</v>
      </c>
      <c r="H2116" t="s">
        <v>69</v>
      </c>
      <c r="I2116" t="s">
        <v>6257</v>
      </c>
      <c r="J2116" t="s">
        <v>6254</v>
      </c>
      <c r="K2116" t="s">
        <v>7819</v>
      </c>
      <c r="L2116" t="s">
        <v>52</v>
      </c>
      <c r="M2116">
        <v>0</v>
      </c>
      <c r="N2116">
        <v>1368</v>
      </c>
      <c r="O2116" t="s">
        <v>61</v>
      </c>
      <c r="P2116">
        <v>100</v>
      </c>
      <c r="Q2116" t="s">
        <v>52</v>
      </c>
      <c r="R2116" t="s">
        <v>52</v>
      </c>
      <c r="S2116" t="s">
        <v>52</v>
      </c>
      <c r="T2116" t="s">
        <v>52</v>
      </c>
      <c r="U2116" t="s">
        <v>52</v>
      </c>
      <c r="V2116" t="s">
        <v>62</v>
      </c>
      <c r="W2116" t="s">
        <v>52</v>
      </c>
      <c r="Y2116" t="s">
        <v>6258</v>
      </c>
      <c r="Z2116" t="s">
        <v>62</v>
      </c>
      <c r="AB2116" t="s">
        <v>7821</v>
      </c>
      <c r="AE2116" t="s">
        <v>7822</v>
      </c>
      <c r="AF2116" t="s">
        <v>52</v>
      </c>
      <c r="AH2116">
        <v>0</v>
      </c>
      <c r="AI2116">
        <v>0</v>
      </c>
      <c r="AJ2116" t="s">
        <v>52</v>
      </c>
      <c r="AK2116">
        <v>0</v>
      </c>
      <c r="AL2116" t="s">
        <v>52</v>
      </c>
      <c r="AM2116" t="s">
        <v>52</v>
      </c>
      <c r="AN2116">
        <v>0</v>
      </c>
      <c r="AO2116">
        <v>0</v>
      </c>
      <c r="AP2116" t="s">
        <v>52</v>
      </c>
      <c r="AQ2116" t="s">
        <v>52</v>
      </c>
      <c r="AR2116" t="s">
        <v>62</v>
      </c>
      <c r="AS2116" t="s">
        <v>52</v>
      </c>
      <c r="AT2116" t="s">
        <v>74</v>
      </c>
      <c r="AU2116" t="s">
        <v>64</v>
      </c>
      <c r="AV2116" t="s">
        <v>62</v>
      </c>
      <c r="AW2116" t="s">
        <v>65</v>
      </c>
      <c r="AX2116" t="s">
        <v>66</v>
      </c>
      <c r="AY2116" t="s">
        <v>76</v>
      </c>
    </row>
    <row r="2117" spans="1:51" hidden="1" x14ac:dyDescent="0.25">
      <c r="A2117">
        <v>204012</v>
      </c>
      <c r="B2117" t="s">
        <v>7823</v>
      </c>
      <c r="C2117" t="e">
        <f>VLOOKUP(A2117,[1]Customer_payment_journal_line!$AL:$BO,30,0)</f>
        <v>#N/A</v>
      </c>
      <c r="D2117" t="s">
        <v>76</v>
      </c>
      <c r="E2117" t="s">
        <v>7817</v>
      </c>
      <c r="F2117" t="s">
        <v>7818</v>
      </c>
      <c r="G2117" t="s">
        <v>7579</v>
      </c>
      <c r="H2117" t="s">
        <v>69</v>
      </c>
      <c r="I2117" t="s">
        <v>6257</v>
      </c>
      <c r="J2117" t="s">
        <v>6254</v>
      </c>
      <c r="K2117" t="s">
        <v>7819</v>
      </c>
      <c r="L2117" t="s">
        <v>52</v>
      </c>
      <c r="M2117">
        <v>0</v>
      </c>
      <c r="N2117">
        <v>855</v>
      </c>
      <c r="O2117" t="s">
        <v>61</v>
      </c>
      <c r="P2117">
        <v>100</v>
      </c>
      <c r="Q2117" t="s">
        <v>52</v>
      </c>
      <c r="R2117" t="s">
        <v>52</v>
      </c>
      <c r="S2117" t="s">
        <v>52</v>
      </c>
      <c r="T2117" t="s">
        <v>52</v>
      </c>
      <c r="U2117" t="s">
        <v>52</v>
      </c>
      <c r="V2117" t="s">
        <v>62</v>
      </c>
      <c r="W2117" t="s">
        <v>52</v>
      </c>
      <c r="Y2117" t="s">
        <v>6258</v>
      </c>
      <c r="Z2117" t="s">
        <v>62</v>
      </c>
      <c r="AB2117" t="s">
        <v>7824</v>
      </c>
      <c r="AE2117" t="s">
        <v>7825</v>
      </c>
      <c r="AF2117" t="s">
        <v>52</v>
      </c>
      <c r="AH2117">
        <v>0</v>
      </c>
      <c r="AI2117">
        <v>0</v>
      </c>
      <c r="AJ2117" t="s">
        <v>52</v>
      </c>
      <c r="AK2117">
        <v>0</v>
      </c>
      <c r="AL2117" t="s">
        <v>52</v>
      </c>
      <c r="AM2117" t="s">
        <v>52</v>
      </c>
      <c r="AN2117">
        <v>0</v>
      </c>
      <c r="AO2117">
        <v>0</v>
      </c>
      <c r="AP2117" t="s">
        <v>52</v>
      </c>
      <c r="AQ2117" t="s">
        <v>52</v>
      </c>
      <c r="AR2117" t="s">
        <v>62</v>
      </c>
      <c r="AS2117" t="s">
        <v>52</v>
      </c>
      <c r="AT2117" t="s">
        <v>74</v>
      </c>
      <c r="AU2117" t="s">
        <v>64</v>
      </c>
      <c r="AV2117" t="s">
        <v>62</v>
      </c>
      <c r="AW2117" t="s">
        <v>65</v>
      </c>
      <c r="AX2117" t="s">
        <v>66</v>
      </c>
      <c r="AY2117" t="s">
        <v>76</v>
      </c>
    </row>
    <row r="2118" spans="1:51" hidden="1" x14ac:dyDescent="0.25">
      <c r="A2118">
        <v>204015</v>
      </c>
      <c r="B2118" t="s">
        <v>7826</v>
      </c>
      <c r="C2118" t="e">
        <f>VLOOKUP(A2118,[1]Customer_payment_journal_line!$AL:$BO,30,0)</f>
        <v>#N/A</v>
      </c>
      <c r="D2118" t="s">
        <v>76</v>
      </c>
      <c r="E2118" t="s">
        <v>7827</v>
      </c>
      <c r="F2118" t="s">
        <v>7828</v>
      </c>
      <c r="G2118" t="s">
        <v>7579</v>
      </c>
      <c r="H2118" t="s">
        <v>80</v>
      </c>
      <c r="I2118" t="s">
        <v>81</v>
      </c>
      <c r="J2118" t="s">
        <v>7829</v>
      </c>
      <c r="K2118" t="s">
        <v>7830</v>
      </c>
      <c r="L2118" t="s">
        <v>52</v>
      </c>
      <c r="M2118">
        <v>3106.5</v>
      </c>
      <c r="N2118">
        <v>0</v>
      </c>
      <c r="O2118" t="s">
        <v>61</v>
      </c>
      <c r="P2118">
        <v>100</v>
      </c>
      <c r="Q2118" t="s">
        <v>52</v>
      </c>
      <c r="R2118" t="s">
        <v>52</v>
      </c>
      <c r="S2118" t="s">
        <v>52</v>
      </c>
      <c r="T2118" t="s">
        <v>52</v>
      </c>
      <c r="U2118" t="s">
        <v>52</v>
      </c>
      <c r="V2118" t="s">
        <v>62</v>
      </c>
      <c r="W2118" t="s">
        <v>52</v>
      </c>
      <c r="Y2118" t="s">
        <v>52</v>
      </c>
      <c r="AB2118" t="s">
        <v>52</v>
      </c>
      <c r="AE2118" t="s">
        <v>52</v>
      </c>
      <c r="AF2118" t="s">
        <v>52</v>
      </c>
      <c r="AH2118">
        <v>0</v>
      </c>
      <c r="AI2118">
        <v>0</v>
      </c>
      <c r="AJ2118" t="s">
        <v>52</v>
      </c>
      <c r="AK2118">
        <v>0</v>
      </c>
      <c r="AL2118" t="s">
        <v>52</v>
      </c>
      <c r="AM2118" t="s">
        <v>52</v>
      </c>
      <c r="AN2118">
        <v>0</v>
      </c>
      <c r="AO2118">
        <v>0</v>
      </c>
      <c r="AP2118" t="s">
        <v>52</v>
      </c>
      <c r="AQ2118" t="s">
        <v>52</v>
      </c>
      <c r="AR2118" t="s">
        <v>62</v>
      </c>
      <c r="AS2118" t="s">
        <v>52</v>
      </c>
      <c r="AT2118" t="s">
        <v>52</v>
      </c>
      <c r="AU2118" t="s">
        <v>64</v>
      </c>
      <c r="AV2118" t="s">
        <v>62</v>
      </c>
      <c r="AW2118" t="s">
        <v>65</v>
      </c>
      <c r="AX2118" t="s">
        <v>66</v>
      </c>
      <c r="AY2118" t="s">
        <v>76</v>
      </c>
    </row>
    <row r="2119" spans="1:51" hidden="1" x14ac:dyDescent="0.25">
      <c r="A2119">
        <v>204015</v>
      </c>
      <c r="B2119" t="s">
        <v>7831</v>
      </c>
      <c r="C2119" t="e">
        <f>VLOOKUP(A2119,[1]Customer_payment_journal_line!$AL:$BO,30,0)</f>
        <v>#N/A</v>
      </c>
      <c r="D2119" t="s">
        <v>76</v>
      </c>
      <c r="E2119" t="s">
        <v>7827</v>
      </c>
      <c r="F2119" t="s">
        <v>7828</v>
      </c>
      <c r="G2119" t="s">
        <v>7579</v>
      </c>
      <c r="H2119" t="s">
        <v>69</v>
      </c>
      <c r="I2119" t="s">
        <v>6257</v>
      </c>
      <c r="J2119" t="s">
        <v>7829</v>
      </c>
      <c r="K2119" t="s">
        <v>7830</v>
      </c>
      <c r="L2119" t="s">
        <v>52</v>
      </c>
      <c r="M2119">
        <v>0</v>
      </c>
      <c r="N2119">
        <v>2251.5</v>
      </c>
      <c r="O2119" t="s">
        <v>61</v>
      </c>
      <c r="P2119">
        <v>100</v>
      </c>
      <c r="Q2119" t="s">
        <v>52</v>
      </c>
      <c r="R2119" t="s">
        <v>52</v>
      </c>
      <c r="S2119" t="s">
        <v>52</v>
      </c>
      <c r="T2119" t="s">
        <v>52</v>
      </c>
      <c r="U2119" t="s">
        <v>52</v>
      </c>
      <c r="V2119" t="s">
        <v>62</v>
      </c>
      <c r="W2119" t="s">
        <v>52</v>
      </c>
      <c r="Y2119" t="s">
        <v>6258</v>
      </c>
      <c r="Z2119" t="s">
        <v>62</v>
      </c>
      <c r="AB2119" t="s">
        <v>7832</v>
      </c>
      <c r="AE2119" t="s">
        <v>7833</v>
      </c>
      <c r="AF2119" t="s">
        <v>52</v>
      </c>
      <c r="AH2119">
        <v>0</v>
      </c>
      <c r="AI2119">
        <v>0</v>
      </c>
      <c r="AJ2119" t="s">
        <v>52</v>
      </c>
      <c r="AK2119">
        <v>0</v>
      </c>
      <c r="AL2119" t="s">
        <v>52</v>
      </c>
      <c r="AM2119" t="s">
        <v>52</v>
      </c>
      <c r="AN2119">
        <v>0</v>
      </c>
      <c r="AO2119">
        <v>0</v>
      </c>
      <c r="AP2119" t="s">
        <v>52</v>
      </c>
      <c r="AQ2119" t="s">
        <v>52</v>
      </c>
      <c r="AR2119" t="s">
        <v>62</v>
      </c>
      <c r="AS2119" t="s">
        <v>52</v>
      </c>
      <c r="AT2119" t="s">
        <v>74</v>
      </c>
      <c r="AU2119" t="s">
        <v>64</v>
      </c>
      <c r="AV2119" t="s">
        <v>62</v>
      </c>
      <c r="AW2119" t="s">
        <v>65</v>
      </c>
      <c r="AX2119" t="s">
        <v>66</v>
      </c>
      <c r="AY2119" t="s">
        <v>76</v>
      </c>
    </row>
    <row r="2120" spans="1:51" hidden="1" x14ac:dyDescent="0.25">
      <c r="A2120">
        <v>204015</v>
      </c>
      <c r="B2120" t="s">
        <v>7834</v>
      </c>
      <c r="C2120" t="e">
        <f>VLOOKUP(A2120,[1]Customer_payment_journal_line!$AL:$BO,30,0)</f>
        <v>#N/A</v>
      </c>
      <c r="D2120" t="s">
        <v>76</v>
      </c>
      <c r="E2120" t="s">
        <v>7827</v>
      </c>
      <c r="F2120" t="s">
        <v>7828</v>
      </c>
      <c r="G2120" t="s">
        <v>7579</v>
      </c>
      <c r="H2120" t="s">
        <v>69</v>
      </c>
      <c r="I2120" t="s">
        <v>6257</v>
      </c>
      <c r="J2120" t="s">
        <v>7829</v>
      </c>
      <c r="K2120" t="s">
        <v>7830</v>
      </c>
      <c r="L2120" t="s">
        <v>52</v>
      </c>
      <c r="M2120">
        <v>0</v>
      </c>
      <c r="N2120">
        <v>855</v>
      </c>
      <c r="O2120" t="s">
        <v>61</v>
      </c>
      <c r="P2120">
        <v>100</v>
      </c>
      <c r="Q2120" t="s">
        <v>52</v>
      </c>
      <c r="R2120" t="s">
        <v>52</v>
      </c>
      <c r="S2120" t="s">
        <v>52</v>
      </c>
      <c r="T2120" t="s">
        <v>52</v>
      </c>
      <c r="U2120" t="s">
        <v>52</v>
      </c>
      <c r="V2120" t="s">
        <v>62</v>
      </c>
      <c r="W2120" t="s">
        <v>52</v>
      </c>
      <c r="Y2120" t="s">
        <v>6258</v>
      </c>
      <c r="Z2120" t="s">
        <v>62</v>
      </c>
      <c r="AB2120" t="s">
        <v>7835</v>
      </c>
      <c r="AE2120" t="s">
        <v>7836</v>
      </c>
      <c r="AF2120" t="s">
        <v>52</v>
      </c>
      <c r="AH2120">
        <v>0</v>
      </c>
      <c r="AI2120">
        <v>0</v>
      </c>
      <c r="AJ2120" t="s">
        <v>52</v>
      </c>
      <c r="AK2120">
        <v>0</v>
      </c>
      <c r="AL2120" t="s">
        <v>52</v>
      </c>
      <c r="AM2120" t="s">
        <v>52</v>
      </c>
      <c r="AN2120">
        <v>0</v>
      </c>
      <c r="AO2120">
        <v>0</v>
      </c>
      <c r="AP2120" t="s">
        <v>52</v>
      </c>
      <c r="AQ2120" t="s">
        <v>52</v>
      </c>
      <c r="AR2120" t="s">
        <v>62</v>
      </c>
      <c r="AS2120" t="s">
        <v>52</v>
      </c>
      <c r="AT2120" t="s">
        <v>74</v>
      </c>
      <c r="AU2120" t="s">
        <v>64</v>
      </c>
      <c r="AV2120" t="s">
        <v>62</v>
      </c>
      <c r="AW2120" t="s">
        <v>65</v>
      </c>
      <c r="AX2120" t="s">
        <v>66</v>
      </c>
      <c r="AY2120" t="s">
        <v>76</v>
      </c>
    </row>
    <row r="2121" spans="1:51" hidden="1" x14ac:dyDescent="0.25">
      <c r="A2121">
        <v>401801</v>
      </c>
      <c r="B2121" t="s">
        <v>7837</v>
      </c>
      <c r="C2121" t="e">
        <f>VLOOKUP(A2121,[1]Customer_payment_journal_line!$AL:$BO,30,0)</f>
        <v>#N/A</v>
      </c>
      <c r="D2121" t="s">
        <v>76</v>
      </c>
      <c r="E2121" t="s">
        <v>7838</v>
      </c>
      <c r="F2121" t="s">
        <v>7839</v>
      </c>
      <c r="G2121" t="s">
        <v>7579</v>
      </c>
      <c r="H2121" t="s">
        <v>80</v>
      </c>
      <c r="I2121" t="s">
        <v>81</v>
      </c>
      <c r="J2121" t="s">
        <v>7840</v>
      </c>
      <c r="K2121" t="s">
        <v>7841</v>
      </c>
      <c r="L2121" t="s">
        <v>52</v>
      </c>
      <c r="M2121">
        <v>4679.7</v>
      </c>
      <c r="N2121">
        <v>0</v>
      </c>
      <c r="O2121" t="s">
        <v>61</v>
      </c>
      <c r="P2121">
        <v>100</v>
      </c>
      <c r="Q2121" t="s">
        <v>52</v>
      </c>
      <c r="R2121" t="s">
        <v>52</v>
      </c>
      <c r="S2121" t="s">
        <v>52</v>
      </c>
      <c r="T2121" t="s">
        <v>52</v>
      </c>
      <c r="U2121" t="s">
        <v>52</v>
      </c>
      <c r="V2121" t="s">
        <v>62</v>
      </c>
      <c r="W2121" t="s">
        <v>52</v>
      </c>
      <c r="Y2121" t="s">
        <v>52</v>
      </c>
      <c r="AB2121" t="s">
        <v>52</v>
      </c>
      <c r="AE2121" t="s">
        <v>52</v>
      </c>
      <c r="AF2121" t="s">
        <v>52</v>
      </c>
      <c r="AH2121">
        <v>0</v>
      </c>
      <c r="AI2121">
        <v>0</v>
      </c>
      <c r="AJ2121" t="s">
        <v>52</v>
      </c>
      <c r="AK2121">
        <v>0</v>
      </c>
      <c r="AL2121" t="s">
        <v>52</v>
      </c>
      <c r="AM2121" t="s">
        <v>52</v>
      </c>
      <c r="AN2121">
        <v>0</v>
      </c>
      <c r="AO2121">
        <v>0</v>
      </c>
      <c r="AP2121" t="s">
        <v>52</v>
      </c>
      <c r="AQ2121" t="s">
        <v>52</v>
      </c>
      <c r="AR2121" t="s">
        <v>62</v>
      </c>
      <c r="AS2121" t="s">
        <v>52</v>
      </c>
      <c r="AT2121" t="s">
        <v>52</v>
      </c>
      <c r="AU2121" t="s">
        <v>64</v>
      </c>
      <c r="AV2121" t="s">
        <v>62</v>
      </c>
      <c r="AW2121" t="s">
        <v>65</v>
      </c>
      <c r="AX2121" t="s">
        <v>66</v>
      </c>
      <c r="AY2121" t="s">
        <v>76</v>
      </c>
    </row>
    <row r="2122" spans="1:51" hidden="1" x14ac:dyDescent="0.25">
      <c r="A2122">
        <v>401801</v>
      </c>
      <c r="B2122" t="s">
        <v>7842</v>
      </c>
      <c r="C2122" t="e">
        <f>VLOOKUP(A2122,[1]Customer_payment_journal_line!$AL:$BO,30,0)</f>
        <v>#N/A</v>
      </c>
      <c r="D2122" t="s">
        <v>76</v>
      </c>
      <c r="E2122" t="s">
        <v>7838</v>
      </c>
      <c r="F2122" t="s">
        <v>7839</v>
      </c>
      <c r="G2122" t="s">
        <v>7579</v>
      </c>
      <c r="H2122" t="s">
        <v>69</v>
      </c>
      <c r="I2122" t="s">
        <v>1893</v>
      </c>
      <c r="J2122" t="s">
        <v>7840</v>
      </c>
      <c r="K2122" t="s">
        <v>7841</v>
      </c>
      <c r="L2122" t="s">
        <v>52</v>
      </c>
      <c r="M2122">
        <v>0</v>
      </c>
      <c r="N2122">
        <v>3824.7</v>
      </c>
      <c r="O2122" t="s">
        <v>61</v>
      </c>
      <c r="P2122">
        <v>100</v>
      </c>
      <c r="Q2122" t="s">
        <v>52</v>
      </c>
      <c r="R2122" t="s">
        <v>52</v>
      </c>
      <c r="S2122" t="s">
        <v>52</v>
      </c>
      <c r="T2122" t="s">
        <v>52</v>
      </c>
      <c r="U2122" t="s">
        <v>52</v>
      </c>
      <c r="V2122" t="s">
        <v>62</v>
      </c>
      <c r="W2122" t="s">
        <v>52</v>
      </c>
      <c r="Y2122" t="s">
        <v>1894</v>
      </c>
      <c r="Z2122" t="s">
        <v>62</v>
      </c>
      <c r="AB2122" t="s">
        <v>7843</v>
      </c>
      <c r="AE2122" t="s">
        <v>7844</v>
      </c>
      <c r="AF2122" t="s">
        <v>52</v>
      </c>
      <c r="AH2122">
        <v>0</v>
      </c>
      <c r="AI2122">
        <v>0</v>
      </c>
      <c r="AJ2122" t="s">
        <v>52</v>
      </c>
      <c r="AK2122">
        <v>0</v>
      </c>
      <c r="AL2122" t="s">
        <v>52</v>
      </c>
      <c r="AM2122" t="s">
        <v>52</v>
      </c>
      <c r="AN2122">
        <v>0</v>
      </c>
      <c r="AO2122">
        <v>0</v>
      </c>
      <c r="AP2122" t="s">
        <v>52</v>
      </c>
      <c r="AQ2122" t="s">
        <v>52</v>
      </c>
      <c r="AR2122" t="s">
        <v>62</v>
      </c>
      <c r="AS2122" t="s">
        <v>52</v>
      </c>
      <c r="AT2122" t="s">
        <v>74</v>
      </c>
      <c r="AU2122" t="s">
        <v>64</v>
      </c>
      <c r="AV2122" t="s">
        <v>62</v>
      </c>
      <c r="AW2122" t="s">
        <v>65</v>
      </c>
      <c r="AX2122" t="s">
        <v>66</v>
      </c>
      <c r="AY2122" t="s">
        <v>76</v>
      </c>
    </row>
    <row r="2123" spans="1:51" hidden="1" x14ac:dyDescent="0.25">
      <c r="A2123">
        <v>401801</v>
      </c>
      <c r="B2123" t="s">
        <v>7845</v>
      </c>
      <c r="C2123" t="e">
        <f>VLOOKUP(A2123,[1]Customer_payment_journal_line!$AL:$BO,30,0)</f>
        <v>#N/A</v>
      </c>
      <c r="D2123" t="s">
        <v>76</v>
      </c>
      <c r="E2123" t="s">
        <v>7838</v>
      </c>
      <c r="F2123" t="s">
        <v>7839</v>
      </c>
      <c r="G2123" t="s">
        <v>7579</v>
      </c>
      <c r="H2123" t="s">
        <v>69</v>
      </c>
      <c r="I2123" t="s">
        <v>1893</v>
      </c>
      <c r="J2123" t="s">
        <v>7840</v>
      </c>
      <c r="K2123" t="s">
        <v>7841</v>
      </c>
      <c r="L2123" t="s">
        <v>52</v>
      </c>
      <c r="M2123">
        <v>0</v>
      </c>
      <c r="N2123">
        <v>855</v>
      </c>
      <c r="O2123" t="s">
        <v>61</v>
      </c>
      <c r="P2123">
        <v>100</v>
      </c>
      <c r="Q2123" t="s">
        <v>52</v>
      </c>
      <c r="R2123" t="s">
        <v>52</v>
      </c>
      <c r="S2123" t="s">
        <v>52</v>
      </c>
      <c r="T2123" t="s">
        <v>52</v>
      </c>
      <c r="U2123" t="s">
        <v>52</v>
      </c>
      <c r="V2123" t="s">
        <v>62</v>
      </c>
      <c r="W2123" t="s">
        <v>52</v>
      </c>
      <c r="Y2123" t="s">
        <v>1894</v>
      </c>
      <c r="Z2123" t="s">
        <v>62</v>
      </c>
      <c r="AB2123" t="s">
        <v>7846</v>
      </c>
      <c r="AE2123" t="s">
        <v>7847</v>
      </c>
      <c r="AF2123" t="s">
        <v>52</v>
      </c>
      <c r="AH2123">
        <v>0</v>
      </c>
      <c r="AI2123">
        <v>0</v>
      </c>
      <c r="AJ2123" t="s">
        <v>52</v>
      </c>
      <c r="AK2123">
        <v>0</v>
      </c>
      <c r="AL2123" t="s">
        <v>52</v>
      </c>
      <c r="AM2123" t="s">
        <v>52</v>
      </c>
      <c r="AN2123">
        <v>0</v>
      </c>
      <c r="AO2123">
        <v>0</v>
      </c>
      <c r="AP2123" t="s">
        <v>52</v>
      </c>
      <c r="AQ2123" t="s">
        <v>52</v>
      </c>
      <c r="AR2123" t="s">
        <v>62</v>
      </c>
      <c r="AS2123" t="s">
        <v>52</v>
      </c>
      <c r="AT2123" t="s">
        <v>74</v>
      </c>
      <c r="AU2123" t="s">
        <v>64</v>
      </c>
      <c r="AV2123" t="s">
        <v>62</v>
      </c>
      <c r="AW2123" t="s">
        <v>65</v>
      </c>
      <c r="AX2123" t="s">
        <v>66</v>
      </c>
      <c r="AY2123" t="s">
        <v>76</v>
      </c>
    </row>
    <row r="2124" spans="1:51" hidden="1" x14ac:dyDescent="0.25">
      <c r="A2124">
        <v>402738</v>
      </c>
      <c r="B2124" t="s">
        <v>7848</v>
      </c>
      <c r="C2124" t="e">
        <f>VLOOKUP(A2124,[1]Customer_payment_journal_line!$AL:$BO,30,0)</f>
        <v>#N/A</v>
      </c>
      <c r="D2124" t="s">
        <v>76</v>
      </c>
      <c r="E2124" t="s">
        <v>7849</v>
      </c>
      <c r="F2124" t="s">
        <v>7850</v>
      </c>
      <c r="G2124" t="s">
        <v>7579</v>
      </c>
      <c r="H2124" t="s">
        <v>80</v>
      </c>
      <c r="I2124" t="s">
        <v>81</v>
      </c>
      <c r="J2124" t="s">
        <v>7851</v>
      </c>
      <c r="K2124" t="s">
        <v>7852</v>
      </c>
      <c r="L2124" t="s">
        <v>52</v>
      </c>
      <c r="M2124">
        <v>1995</v>
      </c>
      <c r="N2124">
        <v>0</v>
      </c>
      <c r="O2124" t="s">
        <v>61</v>
      </c>
      <c r="P2124">
        <v>100</v>
      </c>
      <c r="Q2124" t="s">
        <v>52</v>
      </c>
      <c r="R2124" t="s">
        <v>52</v>
      </c>
      <c r="S2124" t="s">
        <v>52</v>
      </c>
      <c r="T2124" t="s">
        <v>52</v>
      </c>
      <c r="U2124" t="s">
        <v>52</v>
      </c>
      <c r="V2124" t="s">
        <v>62</v>
      </c>
      <c r="W2124" t="s">
        <v>52</v>
      </c>
      <c r="Y2124" t="s">
        <v>52</v>
      </c>
      <c r="AB2124" t="s">
        <v>52</v>
      </c>
      <c r="AE2124" t="s">
        <v>52</v>
      </c>
      <c r="AF2124" t="s">
        <v>52</v>
      </c>
      <c r="AH2124">
        <v>0</v>
      </c>
      <c r="AI2124">
        <v>0</v>
      </c>
      <c r="AJ2124" t="s">
        <v>52</v>
      </c>
      <c r="AK2124">
        <v>0</v>
      </c>
      <c r="AL2124" t="s">
        <v>52</v>
      </c>
      <c r="AM2124" t="s">
        <v>52</v>
      </c>
      <c r="AN2124">
        <v>0</v>
      </c>
      <c r="AO2124">
        <v>0</v>
      </c>
      <c r="AP2124" t="s">
        <v>52</v>
      </c>
      <c r="AQ2124" t="s">
        <v>52</v>
      </c>
      <c r="AR2124" t="s">
        <v>62</v>
      </c>
      <c r="AS2124" t="s">
        <v>52</v>
      </c>
      <c r="AT2124" t="s">
        <v>52</v>
      </c>
      <c r="AU2124" t="s">
        <v>64</v>
      </c>
      <c r="AV2124" t="s">
        <v>62</v>
      </c>
      <c r="AW2124" t="s">
        <v>65</v>
      </c>
      <c r="AX2124" t="s">
        <v>66</v>
      </c>
      <c r="AY2124" t="s">
        <v>76</v>
      </c>
    </row>
    <row r="2125" spans="1:51" hidden="1" x14ac:dyDescent="0.25">
      <c r="A2125">
        <v>402738</v>
      </c>
      <c r="B2125" t="s">
        <v>7853</v>
      </c>
      <c r="C2125" t="e">
        <f>VLOOKUP(A2125,[1]Customer_payment_journal_line!$AL:$BO,30,0)</f>
        <v>#N/A</v>
      </c>
      <c r="D2125" t="s">
        <v>76</v>
      </c>
      <c r="E2125" t="s">
        <v>7849</v>
      </c>
      <c r="F2125" t="s">
        <v>7850</v>
      </c>
      <c r="G2125" t="s">
        <v>7579</v>
      </c>
      <c r="H2125" t="s">
        <v>69</v>
      </c>
      <c r="I2125" t="s">
        <v>7854</v>
      </c>
      <c r="J2125" t="s">
        <v>7851</v>
      </c>
      <c r="K2125" t="s">
        <v>7852</v>
      </c>
      <c r="L2125" t="s">
        <v>52</v>
      </c>
      <c r="M2125">
        <v>0</v>
      </c>
      <c r="N2125">
        <v>1140</v>
      </c>
      <c r="O2125" t="s">
        <v>61</v>
      </c>
      <c r="P2125">
        <v>100</v>
      </c>
      <c r="Q2125" t="s">
        <v>52</v>
      </c>
      <c r="R2125" t="s">
        <v>52</v>
      </c>
      <c r="S2125" t="s">
        <v>52</v>
      </c>
      <c r="T2125" t="s">
        <v>52</v>
      </c>
      <c r="U2125" t="s">
        <v>52</v>
      </c>
      <c r="V2125" t="s">
        <v>62</v>
      </c>
      <c r="W2125" t="s">
        <v>52</v>
      </c>
      <c r="Y2125" t="s">
        <v>7855</v>
      </c>
      <c r="Z2125" t="s">
        <v>62</v>
      </c>
      <c r="AB2125" t="s">
        <v>7856</v>
      </c>
      <c r="AE2125" t="s">
        <v>7857</v>
      </c>
      <c r="AF2125" t="s">
        <v>52</v>
      </c>
      <c r="AH2125">
        <v>0</v>
      </c>
      <c r="AI2125">
        <v>0</v>
      </c>
      <c r="AJ2125" t="s">
        <v>52</v>
      </c>
      <c r="AK2125">
        <v>0</v>
      </c>
      <c r="AL2125" t="s">
        <v>52</v>
      </c>
      <c r="AM2125" t="s">
        <v>52</v>
      </c>
      <c r="AN2125">
        <v>0</v>
      </c>
      <c r="AO2125">
        <v>0</v>
      </c>
      <c r="AP2125" t="s">
        <v>52</v>
      </c>
      <c r="AQ2125" t="s">
        <v>52</v>
      </c>
      <c r="AR2125" t="s">
        <v>62</v>
      </c>
      <c r="AS2125" t="s">
        <v>52</v>
      </c>
      <c r="AT2125" t="s">
        <v>74</v>
      </c>
      <c r="AU2125" t="s">
        <v>64</v>
      </c>
      <c r="AV2125" t="s">
        <v>62</v>
      </c>
      <c r="AW2125" t="s">
        <v>65</v>
      </c>
      <c r="AX2125" t="s">
        <v>66</v>
      </c>
      <c r="AY2125" t="s">
        <v>76</v>
      </c>
    </row>
    <row r="2126" spans="1:51" hidden="1" x14ac:dyDescent="0.25">
      <c r="A2126">
        <v>402738</v>
      </c>
      <c r="B2126" t="s">
        <v>7858</v>
      </c>
      <c r="C2126" t="e">
        <f>VLOOKUP(A2126,[1]Customer_payment_journal_line!$AL:$BO,30,0)</f>
        <v>#N/A</v>
      </c>
      <c r="D2126" t="s">
        <v>76</v>
      </c>
      <c r="E2126" t="s">
        <v>7849</v>
      </c>
      <c r="F2126" t="s">
        <v>7850</v>
      </c>
      <c r="G2126" t="s">
        <v>7579</v>
      </c>
      <c r="H2126" t="s">
        <v>69</v>
      </c>
      <c r="I2126" t="s">
        <v>7854</v>
      </c>
      <c r="J2126" t="s">
        <v>7851</v>
      </c>
      <c r="K2126" t="s">
        <v>7852</v>
      </c>
      <c r="L2126" t="s">
        <v>52</v>
      </c>
      <c r="M2126">
        <v>0</v>
      </c>
      <c r="N2126">
        <v>855</v>
      </c>
      <c r="O2126" t="s">
        <v>61</v>
      </c>
      <c r="P2126">
        <v>100</v>
      </c>
      <c r="Q2126" t="s">
        <v>52</v>
      </c>
      <c r="R2126" t="s">
        <v>52</v>
      </c>
      <c r="S2126" t="s">
        <v>52</v>
      </c>
      <c r="T2126" t="s">
        <v>52</v>
      </c>
      <c r="U2126" t="s">
        <v>52</v>
      </c>
      <c r="V2126" t="s">
        <v>62</v>
      </c>
      <c r="W2126" t="s">
        <v>52</v>
      </c>
      <c r="Y2126" t="s">
        <v>7855</v>
      </c>
      <c r="Z2126" t="s">
        <v>62</v>
      </c>
      <c r="AB2126" t="s">
        <v>7859</v>
      </c>
      <c r="AE2126" t="s">
        <v>7860</v>
      </c>
      <c r="AF2126" t="s">
        <v>52</v>
      </c>
      <c r="AH2126">
        <v>0</v>
      </c>
      <c r="AI2126">
        <v>0</v>
      </c>
      <c r="AJ2126" t="s">
        <v>52</v>
      </c>
      <c r="AK2126">
        <v>0</v>
      </c>
      <c r="AL2126" t="s">
        <v>52</v>
      </c>
      <c r="AM2126" t="s">
        <v>52</v>
      </c>
      <c r="AN2126">
        <v>0</v>
      </c>
      <c r="AO2126">
        <v>0</v>
      </c>
      <c r="AP2126" t="s">
        <v>52</v>
      </c>
      <c r="AQ2126" t="s">
        <v>52</v>
      </c>
      <c r="AR2126" t="s">
        <v>62</v>
      </c>
      <c r="AS2126" t="s">
        <v>52</v>
      </c>
      <c r="AT2126" t="s">
        <v>74</v>
      </c>
      <c r="AU2126" t="s">
        <v>64</v>
      </c>
      <c r="AV2126" t="s">
        <v>62</v>
      </c>
      <c r="AW2126" t="s">
        <v>65</v>
      </c>
      <c r="AX2126" t="s">
        <v>66</v>
      </c>
      <c r="AY2126" t="s">
        <v>76</v>
      </c>
    </row>
    <row r="2127" spans="1:51" hidden="1" x14ac:dyDescent="0.25">
      <c r="A2127">
        <v>406239</v>
      </c>
      <c r="B2127" t="s">
        <v>7861</v>
      </c>
      <c r="C2127" t="e">
        <f>VLOOKUP(A2127,[1]Customer_payment_journal_line!$AL:$BO,30,0)</f>
        <v>#N/A</v>
      </c>
      <c r="D2127" t="s">
        <v>76</v>
      </c>
      <c r="E2127" t="s">
        <v>7862</v>
      </c>
      <c r="F2127" t="s">
        <v>7863</v>
      </c>
      <c r="G2127" t="s">
        <v>7579</v>
      </c>
      <c r="H2127" t="s">
        <v>80</v>
      </c>
      <c r="I2127" t="s">
        <v>81</v>
      </c>
      <c r="J2127" t="s">
        <v>7864</v>
      </c>
      <c r="K2127" t="s">
        <v>5077</v>
      </c>
      <c r="L2127" t="s">
        <v>52</v>
      </c>
      <c r="M2127">
        <v>1892.4</v>
      </c>
      <c r="N2127">
        <v>0</v>
      </c>
      <c r="O2127" t="s">
        <v>61</v>
      </c>
      <c r="P2127">
        <v>100</v>
      </c>
      <c r="Q2127" t="s">
        <v>52</v>
      </c>
      <c r="R2127" t="s">
        <v>52</v>
      </c>
      <c r="S2127" t="s">
        <v>52</v>
      </c>
      <c r="T2127" t="s">
        <v>52</v>
      </c>
      <c r="U2127" t="s">
        <v>52</v>
      </c>
      <c r="V2127" t="s">
        <v>62</v>
      </c>
      <c r="W2127" t="s">
        <v>52</v>
      </c>
      <c r="Y2127" t="s">
        <v>52</v>
      </c>
      <c r="AB2127" t="s">
        <v>52</v>
      </c>
      <c r="AE2127" t="s">
        <v>52</v>
      </c>
      <c r="AF2127" t="s">
        <v>52</v>
      </c>
      <c r="AH2127">
        <v>0</v>
      </c>
      <c r="AI2127">
        <v>0</v>
      </c>
      <c r="AJ2127" t="s">
        <v>52</v>
      </c>
      <c r="AK2127">
        <v>0</v>
      </c>
      <c r="AL2127" t="s">
        <v>52</v>
      </c>
      <c r="AM2127" t="s">
        <v>52</v>
      </c>
      <c r="AN2127">
        <v>0</v>
      </c>
      <c r="AO2127">
        <v>0</v>
      </c>
      <c r="AP2127" t="s">
        <v>52</v>
      </c>
      <c r="AQ2127" t="s">
        <v>52</v>
      </c>
      <c r="AR2127" t="s">
        <v>62</v>
      </c>
      <c r="AS2127" t="s">
        <v>52</v>
      </c>
      <c r="AT2127" t="s">
        <v>52</v>
      </c>
      <c r="AU2127" t="s">
        <v>64</v>
      </c>
      <c r="AV2127" t="s">
        <v>62</v>
      </c>
      <c r="AW2127" t="s">
        <v>65</v>
      </c>
      <c r="AX2127" t="s">
        <v>66</v>
      </c>
      <c r="AY2127" t="s">
        <v>76</v>
      </c>
    </row>
    <row r="2128" spans="1:51" hidden="1" x14ac:dyDescent="0.25">
      <c r="A2128">
        <v>406239</v>
      </c>
      <c r="B2128" t="s">
        <v>7865</v>
      </c>
      <c r="C2128" t="e">
        <f>VLOOKUP(A2128,[1]Customer_payment_journal_line!$AL:$BO,30,0)</f>
        <v>#N/A</v>
      </c>
      <c r="D2128" t="s">
        <v>76</v>
      </c>
      <c r="E2128" t="s">
        <v>7862</v>
      </c>
      <c r="F2128" t="s">
        <v>7863</v>
      </c>
      <c r="G2128" t="s">
        <v>7579</v>
      </c>
      <c r="H2128" t="s">
        <v>69</v>
      </c>
      <c r="I2128" t="s">
        <v>5079</v>
      </c>
      <c r="J2128" t="s">
        <v>7864</v>
      </c>
      <c r="K2128" t="s">
        <v>5077</v>
      </c>
      <c r="L2128" t="s">
        <v>52</v>
      </c>
      <c r="M2128">
        <v>0</v>
      </c>
      <c r="N2128">
        <v>1892.4</v>
      </c>
      <c r="O2128" t="s">
        <v>61</v>
      </c>
      <c r="P2128">
        <v>100</v>
      </c>
      <c r="Q2128" t="s">
        <v>52</v>
      </c>
      <c r="R2128" t="s">
        <v>52</v>
      </c>
      <c r="S2128" t="s">
        <v>52</v>
      </c>
      <c r="T2128" t="s">
        <v>52</v>
      </c>
      <c r="U2128" t="s">
        <v>52</v>
      </c>
      <c r="V2128" t="s">
        <v>62</v>
      </c>
      <c r="W2128" t="s">
        <v>52</v>
      </c>
      <c r="Y2128" t="s">
        <v>5080</v>
      </c>
      <c r="Z2128" t="s">
        <v>62</v>
      </c>
      <c r="AB2128" t="s">
        <v>7866</v>
      </c>
      <c r="AE2128" t="s">
        <v>7867</v>
      </c>
      <c r="AF2128" t="s">
        <v>52</v>
      </c>
      <c r="AH2128">
        <v>0</v>
      </c>
      <c r="AI2128">
        <v>0</v>
      </c>
      <c r="AJ2128" t="s">
        <v>52</v>
      </c>
      <c r="AK2128">
        <v>0</v>
      </c>
      <c r="AL2128" t="s">
        <v>52</v>
      </c>
      <c r="AM2128" t="s">
        <v>52</v>
      </c>
      <c r="AN2128">
        <v>0</v>
      </c>
      <c r="AO2128">
        <v>0</v>
      </c>
      <c r="AP2128" t="s">
        <v>52</v>
      </c>
      <c r="AQ2128" t="s">
        <v>52</v>
      </c>
      <c r="AR2128" t="s">
        <v>62</v>
      </c>
      <c r="AS2128" t="s">
        <v>52</v>
      </c>
      <c r="AT2128" t="s">
        <v>74</v>
      </c>
      <c r="AU2128" t="s">
        <v>64</v>
      </c>
      <c r="AV2128" t="s">
        <v>62</v>
      </c>
      <c r="AW2128" t="s">
        <v>65</v>
      </c>
      <c r="AX2128" t="s">
        <v>66</v>
      </c>
      <c r="AY2128" t="s">
        <v>76</v>
      </c>
    </row>
    <row r="2129" spans="1:51" hidden="1" x14ac:dyDescent="0.25">
      <c r="A2129">
        <v>406247</v>
      </c>
      <c r="B2129" t="s">
        <v>7868</v>
      </c>
      <c r="C2129" t="e">
        <f>VLOOKUP(A2129,[1]Customer_payment_journal_line!$AL:$BO,30,0)</f>
        <v>#N/A</v>
      </c>
      <c r="D2129" t="s">
        <v>76</v>
      </c>
      <c r="E2129" t="s">
        <v>7869</v>
      </c>
      <c r="F2129" t="s">
        <v>7870</v>
      </c>
      <c r="G2129" t="s">
        <v>7579</v>
      </c>
      <c r="H2129" t="s">
        <v>80</v>
      </c>
      <c r="I2129" t="s">
        <v>81</v>
      </c>
      <c r="J2129" t="s">
        <v>7871</v>
      </c>
      <c r="K2129" t="s">
        <v>7872</v>
      </c>
      <c r="L2129" t="s">
        <v>52</v>
      </c>
      <c r="M2129">
        <v>5130</v>
      </c>
      <c r="N2129">
        <v>0</v>
      </c>
      <c r="O2129" t="s">
        <v>61</v>
      </c>
      <c r="P2129">
        <v>100</v>
      </c>
      <c r="Q2129" t="s">
        <v>52</v>
      </c>
      <c r="R2129" t="s">
        <v>52</v>
      </c>
      <c r="S2129" t="s">
        <v>52</v>
      </c>
      <c r="T2129" t="s">
        <v>52</v>
      </c>
      <c r="U2129" t="s">
        <v>52</v>
      </c>
      <c r="V2129" t="s">
        <v>62</v>
      </c>
      <c r="W2129" t="s">
        <v>52</v>
      </c>
      <c r="Y2129" t="s">
        <v>52</v>
      </c>
      <c r="AB2129" t="s">
        <v>52</v>
      </c>
      <c r="AE2129" t="s">
        <v>52</v>
      </c>
      <c r="AF2129" t="s">
        <v>52</v>
      </c>
      <c r="AH2129">
        <v>0</v>
      </c>
      <c r="AI2129">
        <v>0</v>
      </c>
      <c r="AJ2129" t="s">
        <v>52</v>
      </c>
      <c r="AK2129">
        <v>0</v>
      </c>
      <c r="AL2129" t="s">
        <v>52</v>
      </c>
      <c r="AM2129" t="s">
        <v>52</v>
      </c>
      <c r="AN2129">
        <v>0</v>
      </c>
      <c r="AO2129">
        <v>0</v>
      </c>
      <c r="AP2129" t="s">
        <v>52</v>
      </c>
      <c r="AQ2129" t="s">
        <v>52</v>
      </c>
      <c r="AR2129" t="s">
        <v>62</v>
      </c>
      <c r="AS2129" t="s">
        <v>52</v>
      </c>
      <c r="AT2129" t="s">
        <v>52</v>
      </c>
      <c r="AU2129" t="s">
        <v>64</v>
      </c>
      <c r="AV2129" t="s">
        <v>62</v>
      </c>
      <c r="AW2129" t="s">
        <v>65</v>
      </c>
      <c r="AX2129" t="s">
        <v>66</v>
      </c>
      <c r="AY2129" t="s">
        <v>76</v>
      </c>
    </row>
    <row r="2130" spans="1:51" hidden="1" x14ac:dyDescent="0.25">
      <c r="A2130">
        <v>406247</v>
      </c>
      <c r="B2130" t="s">
        <v>7873</v>
      </c>
      <c r="C2130" t="e">
        <f>VLOOKUP(A2130,[1]Customer_payment_journal_line!$AL:$BO,30,0)</f>
        <v>#N/A</v>
      </c>
      <c r="D2130" t="s">
        <v>76</v>
      </c>
      <c r="E2130" t="s">
        <v>7869</v>
      </c>
      <c r="F2130" t="s">
        <v>7870</v>
      </c>
      <c r="G2130" t="s">
        <v>7579</v>
      </c>
      <c r="H2130" t="s">
        <v>69</v>
      </c>
      <c r="I2130" t="s">
        <v>7874</v>
      </c>
      <c r="J2130" t="s">
        <v>7871</v>
      </c>
      <c r="K2130" t="s">
        <v>7872</v>
      </c>
      <c r="L2130" t="s">
        <v>52</v>
      </c>
      <c r="M2130">
        <v>0</v>
      </c>
      <c r="N2130">
        <v>4275</v>
      </c>
      <c r="O2130" t="s">
        <v>61</v>
      </c>
      <c r="P2130">
        <v>100</v>
      </c>
      <c r="Q2130" t="s">
        <v>52</v>
      </c>
      <c r="R2130" t="s">
        <v>52</v>
      </c>
      <c r="S2130" t="s">
        <v>52</v>
      </c>
      <c r="T2130" t="s">
        <v>52</v>
      </c>
      <c r="U2130" t="s">
        <v>52</v>
      </c>
      <c r="V2130" t="s">
        <v>62</v>
      </c>
      <c r="W2130" t="s">
        <v>52</v>
      </c>
      <c r="Y2130" t="s">
        <v>7875</v>
      </c>
      <c r="Z2130" t="s">
        <v>62</v>
      </c>
      <c r="AB2130" t="s">
        <v>7876</v>
      </c>
      <c r="AE2130" t="s">
        <v>7877</v>
      </c>
      <c r="AF2130" t="s">
        <v>52</v>
      </c>
      <c r="AH2130">
        <v>0</v>
      </c>
      <c r="AI2130">
        <v>0</v>
      </c>
      <c r="AJ2130" t="s">
        <v>52</v>
      </c>
      <c r="AK2130">
        <v>0</v>
      </c>
      <c r="AL2130" t="s">
        <v>52</v>
      </c>
      <c r="AM2130" t="s">
        <v>52</v>
      </c>
      <c r="AN2130">
        <v>0</v>
      </c>
      <c r="AO2130">
        <v>0</v>
      </c>
      <c r="AP2130" t="s">
        <v>52</v>
      </c>
      <c r="AQ2130" t="s">
        <v>52</v>
      </c>
      <c r="AR2130" t="s">
        <v>62</v>
      </c>
      <c r="AS2130" t="s">
        <v>52</v>
      </c>
      <c r="AT2130" t="s">
        <v>74</v>
      </c>
      <c r="AU2130" t="s">
        <v>64</v>
      </c>
      <c r="AV2130" t="s">
        <v>62</v>
      </c>
      <c r="AW2130" t="s">
        <v>65</v>
      </c>
      <c r="AX2130" t="s">
        <v>66</v>
      </c>
      <c r="AY2130" t="s">
        <v>76</v>
      </c>
    </row>
    <row r="2131" spans="1:51" hidden="1" x14ac:dyDescent="0.25">
      <c r="A2131">
        <v>406247</v>
      </c>
      <c r="B2131" t="s">
        <v>7878</v>
      </c>
      <c r="C2131" t="e">
        <f>VLOOKUP(A2131,[1]Customer_payment_journal_line!$AL:$BO,30,0)</f>
        <v>#N/A</v>
      </c>
      <c r="D2131" t="s">
        <v>76</v>
      </c>
      <c r="E2131" t="s">
        <v>7869</v>
      </c>
      <c r="F2131" t="s">
        <v>7870</v>
      </c>
      <c r="G2131" t="s">
        <v>7579</v>
      </c>
      <c r="H2131" t="s">
        <v>69</v>
      </c>
      <c r="I2131" t="s">
        <v>7874</v>
      </c>
      <c r="J2131" t="s">
        <v>7871</v>
      </c>
      <c r="K2131" t="s">
        <v>7872</v>
      </c>
      <c r="L2131" t="s">
        <v>52</v>
      </c>
      <c r="M2131">
        <v>0</v>
      </c>
      <c r="N2131">
        <v>855</v>
      </c>
      <c r="O2131" t="s">
        <v>61</v>
      </c>
      <c r="P2131">
        <v>100</v>
      </c>
      <c r="Q2131" t="s">
        <v>52</v>
      </c>
      <c r="R2131" t="s">
        <v>52</v>
      </c>
      <c r="S2131" t="s">
        <v>52</v>
      </c>
      <c r="T2131" t="s">
        <v>52</v>
      </c>
      <c r="U2131" t="s">
        <v>52</v>
      </c>
      <c r="V2131" t="s">
        <v>62</v>
      </c>
      <c r="W2131" t="s">
        <v>52</v>
      </c>
      <c r="Y2131" t="s">
        <v>7875</v>
      </c>
      <c r="Z2131" t="s">
        <v>62</v>
      </c>
      <c r="AB2131" t="s">
        <v>7879</v>
      </c>
      <c r="AE2131" t="s">
        <v>7880</v>
      </c>
      <c r="AF2131" t="s">
        <v>52</v>
      </c>
      <c r="AH2131">
        <v>0</v>
      </c>
      <c r="AI2131">
        <v>0</v>
      </c>
      <c r="AJ2131" t="s">
        <v>52</v>
      </c>
      <c r="AK2131">
        <v>0</v>
      </c>
      <c r="AL2131" t="s">
        <v>52</v>
      </c>
      <c r="AM2131" t="s">
        <v>52</v>
      </c>
      <c r="AN2131">
        <v>0</v>
      </c>
      <c r="AO2131">
        <v>0</v>
      </c>
      <c r="AP2131" t="s">
        <v>52</v>
      </c>
      <c r="AQ2131" t="s">
        <v>52</v>
      </c>
      <c r="AR2131" t="s">
        <v>62</v>
      </c>
      <c r="AS2131" t="s">
        <v>52</v>
      </c>
      <c r="AT2131" t="s">
        <v>74</v>
      </c>
      <c r="AU2131" t="s">
        <v>64</v>
      </c>
      <c r="AV2131" t="s">
        <v>62</v>
      </c>
      <c r="AW2131" t="s">
        <v>65</v>
      </c>
      <c r="AX2131" t="s">
        <v>66</v>
      </c>
      <c r="AY2131" t="s">
        <v>76</v>
      </c>
    </row>
    <row r="2132" spans="1:51" hidden="1" x14ac:dyDescent="0.25">
      <c r="A2132">
        <v>406248</v>
      </c>
      <c r="B2132" t="s">
        <v>7881</v>
      </c>
      <c r="C2132" t="e">
        <f>VLOOKUP(A2132,[1]Customer_payment_journal_line!$AL:$BO,30,0)</f>
        <v>#N/A</v>
      </c>
      <c r="D2132" t="s">
        <v>76</v>
      </c>
      <c r="E2132" t="s">
        <v>7882</v>
      </c>
      <c r="F2132" t="s">
        <v>7883</v>
      </c>
      <c r="G2132" t="s">
        <v>7579</v>
      </c>
      <c r="H2132" t="s">
        <v>80</v>
      </c>
      <c r="I2132" t="s">
        <v>81</v>
      </c>
      <c r="J2132" t="s">
        <v>7884</v>
      </c>
      <c r="K2132" t="s">
        <v>1989</v>
      </c>
      <c r="L2132" t="s">
        <v>52</v>
      </c>
      <c r="M2132">
        <v>4047</v>
      </c>
      <c r="N2132">
        <v>0</v>
      </c>
      <c r="O2132" t="s">
        <v>61</v>
      </c>
      <c r="P2132">
        <v>100</v>
      </c>
      <c r="Q2132" t="s">
        <v>52</v>
      </c>
      <c r="R2132" t="s">
        <v>52</v>
      </c>
      <c r="S2132" t="s">
        <v>52</v>
      </c>
      <c r="T2132" t="s">
        <v>52</v>
      </c>
      <c r="U2132" t="s">
        <v>52</v>
      </c>
      <c r="V2132" t="s">
        <v>62</v>
      </c>
      <c r="W2132" t="s">
        <v>52</v>
      </c>
      <c r="Y2132" t="s">
        <v>52</v>
      </c>
      <c r="AB2132" t="s">
        <v>52</v>
      </c>
      <c r="AE2132" t="s">
        <v>52</v>
      </c>
      <c r="AF2132" t="s">
        <v>52</v>
      </c>
      <c r="AH2132">
        <v>0</v>
      </c>
      <c r="AI2132">
        <v>0</v>
      </c>
      <c r="AJ2132" t="s">
        <v>52</v>
      </c>
      <c r="AK2132">
        <v>0</v>
      </c>
      <c r="AL2132" t="s">
        <v>52</v>
      </c>
      <c r="AM2132" t="s">
        <v>52</v>
      </c>
      <c r="AN2132">
        <v>0</v>
      </c>
      <c r="AO2132">
        <v>0</v>
      </c>
      <c r="AP2132" t="s">
        <v>52</v>
      </c>
      <c r="AQ2132" t="s">
        <v>52</v>
      </c>
      <c r="AR2132" t="s">
        <v>62</v>
      </c>
      <c r="AS2132" t="s">
        <v>52</v>
      </c>
      <c r="AT2132" t="s">
        <v>52</v>
      </c>
      <c r="AU2132" t="s">
        <v>64</v>
      </c>
      <c r="AV2132" t="s">
        <v>62</v>
      </c>
      <c r="AW2132" t="s">
        <v>65</v>
      </c>
      <c r="AX2132" t="s">
        <v>66</v>
      </c>
      <c r="AY2132" t="s">
        <v>76</v>
      </c>
    </row>
    <row r="2133" spans="1:51" hidden="1" x14ac:dyDescent="0.25">
      <c r="A2133">
        <v>406248</v>
      </c>
      <c r="B2133" t="s">
        <v>7885</v>
      </c>
      <c r="C2133" t="e">
        <f>VLOOKUP(A2133,[1]Customer_payment_journal_line!$AL:$BO,30,0)</f>
        <v>#N/A</v>
      </c>
      <c r="D2133" t="s">
        <v>76</v>
      </c>
      <c r="E2133" t="s">
        <v>7882</v>
      </c>
      <c r="F2133" t="s">
        <v>7883</v>
      </c>
      <c r="G2133" t="s">
        <v>7579</v>
      </c>
      <c r="H2133" t="s">
        <v>69</v>
      </c>
      <c r="I2133" t="s">
        <v>1991</v>
      </c>
      <c r="J2133" t="s">
        <v>7884</v>
      </c>
      <c r="K2133" t="s">
        <v>1989</v>
      </c>
      <c r="L2133" t="s">
        <v>52</v>
      </c>
      <c r="M2133">
        <v>0</v>
      </c>
      <c r="N2133">
        <v>4047</v>
      </c>
      <c r="O2133" t="s">
        <v>61</v>
      </c>
      <c r="P2133">
        <v>100</v>
      </c>
      <c r="Q2133" t="s">
        <v>52</v>
      </c>
      <c r="R2133" t="s">
        <v>52</v>
      </c>
      <c r="S2133" t="s">
        <v>52</v>
      </c>
      <c r="T2133" t="s">
        <v>52</v>
      </c>
      <c r="U2133" t="s">
        <v>52</v>
      </c>
      <c r="V2133" t="s">
        <v>62</v>
      </c>
      <c r="W2133" t="s">
        <v>52</v>
      </c>
      <c r="Y2133" t="s">
        <v>1992</v>
      </c>
      <c r="Z2133" t="s">
        <v>62</v>
      </c>
      <c r="AB2133" t="s">
        <v>7886</v>
      </c>
      <c r="AE2133" t="s">
        <v>7887</v>
      </c>
      <c r="AF2133" t="s">
        <v>52</v>
      </c>
      <c r="AH2133">
        <v>0</v>
      </c>
      <c r="AI2133">
        <v>0</v>
      </c>
      <c r="AJ2133" t="s">
        <v>52</v>
      </c>
      <c r="AK2133">
        <v>0</v>
      </c>
      <c r="AL2133" t="s">
        <v>52</v>
      </c>
      <c r="AM2133" t="s">
        <v>52</v>
      </c>
      <c r="AN2133">
        <v>0</v>
      </c>
      <c r="AO2133">
        <v>0</v>
      </c>
      <c r="AP2133" t="s">
        <v>52</v>
      </c>
      <c r="AQ2133" t="s">
        <v>52</v>
      </c>
      <c r="AR2133" t="s">
        <v>62</v>
      </c>
      <c r="AS2133" t="s">
        <v>52</v>
      </c>
      <c r="AT2133" t="s">
        <v>74</v>
      </c>
      <c r="AU2133" t="s">
        <v>64</v>
      </c>
      <c r="AV2133" t="s">
        <v>62</v>
      </c>
      <c r="AW2133" t="s">
        <v>65</v>
      </c>
      <c r="AX2133" t="s">
        <v>66</v>
      </c>
      <c r="AY2133" t="s">
        <v>76</v>
      </c>
    </row>
    <row r="2134" spans="1:51" hidden="1" x14ac:dyDescent="0.25">
      <c r="A2134">
        <v>406249</v>
      </c>
      <c r="B2134" t="s">
        <v>7888</v>
      </c>
      <c r="C2134" t="e">
        <f>VLOOKUP(A2134,[1]Customer_payment_journal_line!$AL:$BO,30,0)</f>
        <v>#N/A</v>
      </c>
      <c r="D2134" t="s">
        <v>159</v>
      </c>
      <c r="E2134" t="s">
        <v>7889</v>
      </c>
      <c r="F2134" t="s">
        <v>7890</v>
      </c>
      <c r="G2134" t="s">
        <v>7579</v>
      </c>
      <c r="H2134" t="s">
        <v>80</v>
      </c>
      <c r="I2134" t="s">
        <v>162</v>
      </c>
      <c r="J2134" t="s">
        <v>2861</v>
      </c>
      <c r="K2134" t="s">
        <v>7891</v>
      </c>
      <c r="L2134" t="s">
        <v>52</v>
      </c>
      <c r="M2134">
        <v>7695</v>
      </c>
      <c r="N2134">
        <v>0</v>
      </c>
      <c r="O2134" t="s">
        <v>61</v>
      </c>
      <c r="P2134">
        <v>100</v>
      </c>
      <c r="Q2134" t="s">
        <v>52</v>
      </c>
      <c r="R2134" t="s">
        <v>52</v>
      </c>
      <c r="S2134" t="s">
        <v>52</v>
      </c>
      <c r="T2134" t="s">
        <v>52</v>
      </c>
      <c r="U2134" t="s">
        <v>52</v>
      </c>
      <c r="V2134" t="s">
        <v>62</v>
      </c>
      <c r="W2134" t="s">
        <v>52</v>
      </c>
      <c r="Y2134" t="s">
        <v>52</v>
      </c>
      <c r="AB2134" t="s">
        <v>52</v>
      </c>
      <c r="AE2134" t="s">
        <v>52</v>
      </c>
      <c r="AF2134" t="s">
        <v>52</v>
      </c>
      <c r="AH2134">
        <v>0</v>
      </c>
      <c r="AI2134">
        <v>0</v>
      </c>
      <c r="AJ2134" t="s">
        <v>52</v>
      </c>
      <c r="AK2134">
        <v>0</v>
      </c>
      <c r="AL2134" t="s">
        <v>52</v>
      </c>
      <c r="AM2134" t="s">
        <v>52</v>
      </c>
      <c r="AN2134">
        <v>0</v>
      </c>
      <c r="AO2134">
        <v>0</v>
      </c>
      <c r="AP2134" t="s">
        <v>52</v>
      </c>
      <c r="AQ2134" t="s">
        <v>52</v>
      </c>
      <c r="AR2134" t="s">
        <v>62</v>
      </c>
      <c r="AS2134" t="s">
        <v>52</v>
      </c>
      <c r="AT2134" t="s">
        <v>52</v>
      </c>
      <c r="AU2134" t="s">
        <v>64</v>
      </c>
      <c r="AV2134" t="s">
        <v>62</v>
      </c>
      <c r="AW2134" t="s">
        <v>65</v>
      </c>
      <c r="AX2134" t="s">
        <v>66</v>
      </c>
      <c r="AY2134" t="s">
        <v>165</v>
      </c>
    </row>
    <row r="2135" spans="1:51" hidden="1" x14ac:dyDescent="0.25">
      <c r="A2135">
        <v>406249</v>
      </c>
      <c r="B2135" t="s">
        <v>7892</v>
      </c>
      <c r="C2135" t="e">
        <f>VLOOKUP(A2135,[1]Customer_payment_journal_line!$AL:$BO,30,0)</f>
        <v>#N/A</v>
      </c>
      <c r="D2135" t="s">
        <v>159</v>
      </c>
      <c r="E2135" t="s">
        <v>7889</v>
      </c>
      <c r="F2135" t="s">
        <v>7890</v>
      </c>
      <c r="G2135" t="s">
        <v>7579</v>
      </c>
      <c r="H2135" t="s">
        <v>69</v>
      </c>
      <c r="I2135" t="s">
        <v>2864</v>
      </c>
      <c r="J2135" t="s">
        <v>2861</v>
      </c>
      <c r="K2135" t="s">
        <v>7891</v>
      </c>
      <c r="L2135" t="s">
        <v>52</v>
      </c>
      <c r="M2135">
        <v>0</v>
      </c>
      <c r="N2135">
        <v>6840</v>
      </c>
      <c r="O2135" t="s">
        <v>61</v>
      </c>
      <c r="P2135">
        <v>100</v>
      </c>
      <c r="Q2135" t="s">
        <v>52</v>
      </c>
      <c r="R2135" t="s">
        <v>52</v>
      </c>
      <c r="S2135" t="s">
        <v>52</v>
      </c>
      <c r="T2135" t="s">
        <v>52</v>
      </c>
      <c r="U2135" t="s">
        <v>52</v>
      </c>
      <c r="V2135" t="s">
        <v>62</v>
      </c>
      <c r="W2135" t="s">
        <v>52</v>
      </c>
      <c r="Y2135" t="s">
        <v>2865</v>
      </c>
      <c r="Z2135" t="s">
        <v>62</v>
      </c>
      <c r="AB2135" t="s">
        <v>7893</v>
      </c>
      <c r="AE2135" t="s">
        <v>7894</v>
      </c>
      <c r="AF2135" t="s">
        <v>52</v>
      </c>
      <c r="AH2135">
        <v>0</v>
      </c>
      <c r="AI2135">
        <v>0</v>
      </c>
      <c r="AJ2135" t="s">
        <v>52</v>
      </c>
      <c r="AK2135">
        <v>0</v>
      </c>
      <c r="AL2135" t="s">
        <v>52</v>
      </c>
      <c r="AM2135" t="s">
        <v>52</v>
      </c>
      <c r="AN2135">
        <v>0</v>
      </c>
      <c r="AO2135">
        <v>0</v>
      </c>
      <c r="AP2135" t="s">
        <v>52</v>
      </c>
      <c r="AQ2135" t="s">
        <v>52</v>
      </c>
      <c r="AR2135" t="s">
        <v>62</v>
      </c>
      <c r="AS2135" t="s">
        <v>52</v>
      </c>
      <c r="AT2135" t="s">
        <v>74</v>
      </c>
      <c r="AU2135" t="s">
        <v>64</v>
      </c>
      <c r="AV2135" t="s">
        <v>62</v>
      </c>
      <c r="AW2135" t="s">
        <v>65</v>
      </c>
      <c r="AX2135" t="s">
        <v>66</v>
      </c>
      <c r="AY2135" t="s">
        <v>165</v>
      </c>
    </row>
    <row r="2136" spans="1:51" hidden="1" x14ac:dyDescent="0.25">
      <c r="A2136">
        <v>406249</v>
      </c>
      <c r="B2136" t="s">
        <v>7895</v>
      </c>
      <c r="C2136" t="e">
        <f>VLOOKUP(A2136,[1]Customer_payment_journal_line!$AL:$BO,30,0)</f>
        <v>#N/A</v>
      </c>
      <c r="D2136" t="s">
        <v>159</v>
      </c>
      <c r="E2136" t="s">
        <v>7889</v>
      </c>
      <c r="F2136" t="s">
        <v>7890</v>
      </c>
      <c r="G2136" t="s">
        <v>7579</v>
      </c>
      <c r="H2136" t="s">
        <v>69</v>
      </c>
      <c r="I2136" t="s">
        <v>2864</v>
      </c>
      <c r="J2136" t="s">
        <v>2861</v>
      </c>
      <c r="K2136" t="s">
        <v>7891</v>
      </c>
      <c r="L2136" t="s">
        <v>52</v>
      </c>
      <c r="M2136">
        <v>0</v>
      </c>
      <c r="N2136">
        <v>855</v>
      </c>
      <c r="O2136" t="s">
        <v>61</v>
      </c>
      <c r="P2136">
        <v>100</v>
      </c>
      <c r="Q2136" t="s">
        <v>52</v>
      </c>
      <c r="R2136" t="s">
        <v>52</v>
      </c>
      <c r="S2136" t="s">
        <v>52</v>
      </c>
      <c r="T2136" t="s">
        <v>52</v>
      </c>
      <c r="U2136" t="s">
        <v>52</v>
      </c>
      <c r="V2136" t="s">
        <v>62</v>
      </c>
      <c r="W2136" t="s">
        <v>52</v>
      </c>
      <c r="Y2136" t="s">
        <v>2865</v>
      </c>
      <c r="Z2136" t="s">
        <v>62</v>
      </c>
      <c r="AB2136" t="s">
        <v>7896</v>
      </c>
      <c r="AE2136" t="s">
        <v>7897</v>
      </c>
      <c r="AF2136" t="s">
        <v>52</v>
      </c>
      <c r="AH2136">
        <v>0</v>
      </c>
      <c r="AI2136">
        <v>0</v>
      </c>
      <c r="AJ2136" t="s">
        <v>52</v>
      </c>
      <c r="AK2136">
        <v>0</v>
      </c>
      <c r="AL2136" t="s">
        <v>52</v>
      </c>
      <c r="AM2136" t="s">
        <v>52</v>
      </c>
      <c r="AN2136">
        <v>0</v>
      </c>
      <c r="AO2136">
        <v>0</v>
      </c>
      <c r="AP2136" t="s">
        <v>52</v>
      </c>
      <c r="AQ2136" t="s">
        <v>52</v>
      </c>
      <c r="AR2136" t="s">
        <v>62</v>
      </c>
      <c r="AS2136" t="s">
        <v>52</v>
      </c>
      <c r="AT2136" t="s">
        <v>74</v>
      </c>
      <c r="AU2136" t="s">
        <v>64</v>
      </c>
      <c r="AV2136" t="s">
        <v>62</v>
      </c>
      <c r="AW2136" t="s">
        <v>65</v>
      </c>
      <c r="AX2136" t="s">
        <v>66</v>
      </c>
      <c r="AY2136" t="s">
        <v>165</v>
      </c>
    </row>
    <row r="2137" spans="1:51" hidden="1" x14ac:dyDescent="0.25">
      <c r="A2137">
        <v>406252</v>
      </c>
      <c r="B2137" t="s">
        <v>7898</v>
      </c>
      <c r="C2137" t="e">
        <f>VLOOKUP(A2137,[1]Customer_payment_journal_line!$AL:$BO,30,0)</f>
        <v>#N/A</v>
      </c>
      <c r="D2137" t="s">
        <v>159</v>
      </c>
      <c r="E2137" t="s">
        <v>7899</v>
      </c>
      <c r="F2137" t="s">
        <v>7900</v>
      </c>
      <c r="G2137" t="s">
        <v>7579</v>
      </c>
      <c r="H2137" t="s">
        <v>80</v>
      </c>
      <c r="I2137" t="s">
        <v>3683</v>
      </c>
      <c r="J2137" t="s">
        <v>7901</v>
      </c>
      <c r="K2137" t="s">
        <v>7872</v>
      </c>
      <c r="L2137" t="s">
        <v>52</v>
      </c>
      <c r="M2137">
        <v>300</v>
      </c>
      <c r="N2137">
        <v>0</v>
      </c>
      <c r="O2137" t="s">
        <v>178</v>
      </c>
      <c r="P2137">
        <v>5085</v>
      </c>
      <c r="Q2137" t="s">
        <v>52</v>
      </c>
      <c r="R2137" t="s">
        <v>52</v>
      </c>
      <c r="S2137" t="s">
        <v>52</v>
      </c>
      <c r="T2137" t="s">
        <v>52</v>
      </c>
      <c r="U2137" t="s">
        <v>52</v>
      </c>
      <c r="V2137" t="s">
        <v>62</v>
      </c>
      <c r="W2137" t="s">
        <v>52</v>
      </c>
      <c r="Y2137" t="s">
        <v>52</v>
      </c>
      <c r="AB2137" t="s">
        <v>52</v>
      </c>
      <c r="AE2137" t="s">
        <v>52</v>
      </c>
      <c r="AF2137" t="s">
        <v>52</v>
      </c>
      <c r="AH2137">
        <v>0</v>
      </c>
      <c r="AI2137">
        <v>0</v>
      </c>
      <c r="AJ2137" t="s">
        <v>52</v>
      </c>
      <c r="AK2137">
        <v>0</v>
      </c>
      <c r="AL2137" t="s">
        <v>52</v>
      </c>
      <c r="AM2137" t="s">
        <v>52</v>
      </c>
      <c r="AN2137">
        <v>0</v>
      </c>
      <c r="AO2137">
        <v>0</v>
      </c>
      <c r="AP2137" t="s">
        <v>52</v>
      </c>
      <c r="AQ2137" t="s">
        <v>52</v>
      </c>
      <c r="AR2137" t="s">
        <v>62</v>
      </c>
      <c r="AS2137" t="s">
        <v>52</v>
      </c>
      <c r="AT2137" t="s">
        <v>52</v>
      </c>
      <c r="AU2137" t="s">
        <v>64</v>
      </c>
      <c r="AV2137" t="s">
        <v>62</v>
      </c>
      <c r="AW2137" t="s">
        <v>65</v>
      </c>
      <c r="AX2137" t="s">
        <v>66</v>
      </c>
      <c r="AY2137" t="s">
        <v>165</v>
      </c>
    </row>
    <row r="2138" spans="1:51" hidden="1" x14ac:dyDescent="0.25">
      <c r="A2138">
        <v>406252</v>
      </c>
      <c r="B2138" t="s">
        <v>7902</v>
      </c>
      <c r="C2138" t="e">
        <f>VLOOKUP(A2138,[1]Customer_payment_journal_line!$AL:$BO,30,0)</f>
        <v>#N/A</v>
      </c>
      <c r="D2138" t="s">
        <v>159</v>
      </c>
      <c r="E2138" t="s">
        <v>7899</v>
      </c>
      <c r="F2138" t="s">
        <v>7900</v>
      </c>
      <c r="G2138" t="s">
        <v>7579</v>
      </c>
      <c r="H2138" t="s">
        <v>69</v>
      </c>
      <c r="I2138" t="s">
        <v>3686</v>
      </c>
      <c r="J2138" t="s">
        <v>7901</v>
      </c>
      <c r="K2138" t="s">
        <v>7872</v>
      </c>
      <c r="L2138" t="s">
        <v>52</v>
      </c>
      <c r="M2138">
        <v>0</v>
      </c>
      <c r="N2138">
        <v>150</v>
      </c>
      <c r="O2138" t="s">
        <v>178</v>
      </c>
      <c r="P2138">
        <v>5085</v>
      </c>
      <c r="Q2138" t="s">
        <v>52</v>
      </c>
      <c r="R2138" t="s">
        <v>52</v>
      </c>
      <c r="S2138" t="s">
        <v>52</v>
      </c>
      <c r="T2138" t="s">
        <v>52</v>
      </c>
      <c r="U2138" t="s">
        <v>52</v>
      </c>
      <c r="V2138" t="s">
        <v>62</v>
      </c>
      <c r="W2138" t="s">
        <v>52</v>
      </c>
      <c r="Y2138" t="s">
        <v>3687</v>
      </c>
      <c r="Z2138" t="s">
        <v>62</v>
      </c>
      <c r="AB2138" t="s">
        <v>7903</v>
      </c>
      <c r="AE2138" t="s">
        <v>7904</v>
      </c>
      <c r="AF2138" t="s">
        <v>52</v>
      </c>
      <c r="AH2138">
        <v>0</v>
      </c>
      <c r="AI2138">
        <v>0</v>
      </c>
      <c r="AJ2138" t="s">
        <v>52</v>
      </c>
      <c r="AK2138">
        <v>0</v>
      </c>
      <c r="AL2138" t="s">
        <v>52</v>
      </c>
      <c r="AM2138" t="s">
        <v>52</v>
      </c>
      <c r="AN2138">
        <v>0</v>
      </c>
      <c r="AO2138">
        <v>0</v>
      </c>
      <c r="AP2138" t="s">
        <v>52</v>
      </c>
      <c r="AQ2138" t="s">
        <v>52</v>
      </c>
      <c r="AR2138" t="s">
        <v>62</v>
      </c>
      <c r="AS2138" t="s">
        <v>52</v>
      </c>
      <c r="AT2138" t="s">
        <v>74</v>
      </c>
      <c r="AU2138" t="s">
        <v>64</v>
      </c>
      <c r="AV2138" t="s">
        <v>62</v>
      </c>
      <c r="AW2138" t="s">
        <v>65</v>
      </c>
      <c r="AX2138" t="s">
        <v>66</v>
      </c>
      <c r="AY2138" t="s">
        <v>165</v>
      </c>
    </row>
    <row r="2139" spans="1:51" hidden="1" x14ac:dyDescent="0.25">
      <c r="A2139">
        <v>406252</v>
      </c>
      <c r="B2139" t="s">
        <v>7905</v>
      </c>
      <c r="C2139" t="e">
        <f>VLOOKUP(A2139,[1]Customer_payment_journal_line!$AL:$BO,30,0)</f>
        <v>#N/A</v>
      </c>
      <c r="D2139" t="s">
        <v>159</v>
      </c>
      <c r="E2139" t="s">
        <v>7899</v>
      </c>
      <c r="F2139" t="s">
        <v>7900</v>
      </c>
      <c r="G2139" t="s">
        <v>7579</v>
      </c>
      <c r="H2139" t="s">
        <v>69</v>
      </c>
      <c r="I2139" t="s">
        <v>3686</v>
      </c>
      <c r="J2139" t="s">
        <v>7901</v>
      </c>
      <c r="K2139" t="s">
        <v>7872</v>
      </c>
      <c r="L2139" t="s">
        <v>52</v>
      </c>
      <c r="M2139">
        <v>0</v>
      </c>
      <c r="N2139">
        <v>150</v>
      </c>
      <c r="O2139" t="s">
        <v>178</v>
      </c>
      <c r="P2139">
        <v>5085</v>
      </c>
      <c r="Q2139" t="s">
        <v>52</v>
      </c>
      <c r="R2139" t="s">
        <v>52</v>
      </c>
      <c r="S2139" t="s">
        <v>52</v>
      </c>
      <c r="T2139" t="s">
        <v>52</v>
      </c>
      <c r="U2139" t="s">
        <v>52</v>
      </c>
      <c r="V2139" t="s">
        <v>62</v>
      </c>
      <c r="W2139" t="s">
        <v>52</v>
      </c>
      <c r="Y2139" t="s">
        <v>3687</v>
      </c>
      <c r="Z2139" t="s">
        <v>62</v>
      </c>
      <c r="AB2139" t="s">
        <v>7903</v>
      </c>
      <c r="AE2139" t="s">
        <v>7904</v>
      </c>
      <c r="AF2139" t="s">
        <v>52</v>
      </c>
      <c r="AH2139">
        <v>0</v>
      </c>
      <c r="AI2139">
        <v>0</v>
      </c>
      <c r="AJ2139" t="s">
        <v>52</v>
      </c>
      <c r="AK2139">
        <v>0</v>
      </c>
      <c r="AL2139" t="s">
        <v>52</v>
      </c>
      <c r="AM2139" t="s">
        <v>52</v>
      </c>
      <c r="AN2139">
        <v>0</v>
      </c>
      <c r="AO2139">
        <v>0</v>
      </c>
      <c r="AP2139" t="s">
        <v>52</v>
      </c>
      <c r="AQ2139" t="s">
        <v>52</v>
      </c>
      <c r="AR2139" t="s">
        <v>62</v>
      </c>
      <c r="AS2139" t="s">
        <v>52</v>
      </c>
      <c r="AT2139" t="s">
        <v>74</v>
      </c>
      <c r="AU2139" t="s">
        <v>64</v>
      </c>
      <c r="AV2139" t="s">
        <v>62</v>
      </c>
      <c r="AW2139" t="s">
        <v>65</v>
      </c>
      <c r="AX2139" t="s">
        <v>66</v>
      </c>
      <c r="AY2139" t="s">
        <v>165</v>
      </c>
    </row>
    <row r="2140" spans="1:51" hidden="1" x14ac:dyDescent="0.25">
      <c r="A2140">
        <v>406253</v>
      </c>
      <c r="B2140" t="s">
        <v>7906</v>
      </c>
      <c r="C2140" t="e">
        <f>VLOOKUP(A2140,[1]Customer_payment_journal_line!$AL:$BO,30,0)</f>
        <v>#N/A</v>
      </c>
      <c r="D2140" t="s">
        <v>644</v>
      </c>
      <c r="E2140" t="s">
        <v>7907</v>
      </c>
      <c r="F2140" t="s">
        <v>7908</v>
      </c>
      <c r="G2140" t="s">
        <v>7579</v>
      </c>
      <c r="H2140" t="s">
        <v>69</v>
      </c>
      <c r="I2140" t="s">
        <v>6178</v>
      </c>
      <c r="J2140" t="s">
        <v>6231</v>
      </c>
      <c r="K2140" t="s">
        <v>7909</v>
      </c>
      <c r="L2140" t="s">
        <v>52</v>
      </c>
      <c r="M2140">
        <v>0</v>
      </c>
      <c r="N2140">
        <v>855</v>
      </c>
      <c r="O2140" t="s">
        <v>61</v>
      </c>
      <c r="P2140">
        <v>100</v>
      </c>
      <c r="Q2140" t="s">
        <v>52</v>
      </c>
      <c r="R2140" t="s">
        <v>52</v>
      </c>
      <c r="S2140" t="s">
        <v>52</v>
      </c>
      <c r="T2140" t="s">
        <v>52</v>
      </c>
      <c r="U2140" t="s">
        <v>52</v>
      </c>
      <c r="V2140" t="s">
        <v>62</v>
      </c>
      <c r="W2140" t="s">
        <v>52</v>
      </c>
      <c r="Y2140" t="s">
        <v>6180</v>
      </c>
      <c r="Z2140" t="s">
        <v>62</v>
      </c>
      <c r="AB2140" t="s">
        <v>7910</v>
      </c>
      <c r="AE2140" t="s">
        <v>7911</v>
      </c>
      <c r="AF2140" t="s">
        <v>4790</v>
      </c>
      <c r="AG2140" t="s">
        <v>7912</v>
      </c>
      <c r="AH2140">
        <v>0</v>
      </c>
      <c r="AI2140">
        <v>0</v>
      </c>
      <c r="AJ2140" t="s">
        <v>52</v>
      </c>
      <c r="AK2140">
        <v>0</v>
      </c>
      <c r="AL2140" t="s">
        <v>52</v>
      </c>
      <c r="AM2140" t="s">
        <v>52</v>
      </c>
      <c r="AN2140">
        <v>0</v>
      </c>
      <c r="AO2140">
        <v>0</v>
      </c>
      <c r="AP2140" t="s">
        <v>52</v>
      </c>
      <c r="AQ2140" t="s">
        <v>52</v>
      </c>
      <c r="AR2140" t="s">
        <v>62</v>
      </c>
      <c r="AS2140" t="s">
        <v>52</v>
      </c>
      <c r="AT2140" t="s">
        <v>74</v>
      </c>
      <c r="AU2140" t="s">
        <v>64</v>
      </c>
      <c r="AV2140" t="s">
        <v>62</v>
      </c>
      <c r="AW2140" t="s">
        <v>65</v>
      </c>
      <c r="AX2140" t="s">
        <v>66</v>
      </c>
      <c r="AY2140" t="s">
        <v>654</v>
      </c>
    </row>
    <row r="2141" spans="1:51" hidden="1" x14ac:dyDescent="0.25">
      <c r="A2141">
        <v>406253</v>
      </c>
      <c r="B2141" t="s">
        <v>7913</v>
      </c>
      <c r="C2141" t="e">
        <f>VLOOKUP(A2141,[1]Customer_payment_journal_line!$AL:$BO,30,0)</f>
        <v>#N/A</v>
      </c>
      <c r="D2141" t="s">
        <v>644</v>
      </c>
      <c r="E2141" t="s">
        <v>7907</v>
      </c>
      <c r="F2141" t="s">
        <v>7908</v>
      </c>
      <c r="G2141" t="s">
        <v>7579</v>
      </c>
      <c r="H2141" t="s">
        <v>210</v>
      </c>
      <c r="I2141" t="s">
        <v>6237</v>
      </c>
      <c r="K2141" t="s">
        <v>7909</v>
      </c>
      <c r="L2141" t="s">
        <v>52</v>
      </c>
      <c r="M2141">
        <v>1995</v>
      </c>
      <c r="N2141">
        <v>0</v>
      </c>
      <c r="O2141" t="s">
        <v>61</v>
      </c>
      <c r="P2141">
        <v>100</v>
      </c>
      <c r="Q2141" t="s">
        <v>52</v>
      </c>
      <c r="R2141" t="s">
        <v>52</v>
      </c>
      <c r="S2141" t="s">
        <v>52</v>
      </c>
      <c r="T2141" t="s">
        <v>52</v>
      </c>
      <c r="U2141" t="s">
        <v>52</v>
      </c>
      <c r="V2141" t="s">
        <v>62</v>
      </c>
      <c r="W2141" t="s">
        <v>63</v>
      </c>
      <c r="Y2141" t="s">
        <v>52</v>
      </c>
      <c r="AB2141" t="s">
        <v>7914</v>
      </c>
      <c r="AE2141" t="s">
        <v>7915</v>
      </c>
      <c r="AF2141" t="s">
        <v>4790</v>
      </c>
      <c r="AG2141" t="s">
        <v>7912</v>
      </c>
      <c r="AH2141">
        <v>0</v>
      </c>
      <c r="AI2141">
        <v>0</v>
      </c>
      <c r="AJ2141" t="s">
        <v>52</v>
      </c>
      <c r="AK2141">
        <v>0</v>
      </c>
      <c r="AL2141" t="s">
        <v>52</v>
      </c>
      <c r="AM2141" t="s">
        <v>52</v>
      </c>
      <c r="AN2141">
        <v>0</v>
      </c>
      <c r="AO2141">
        <v>0</v>
      </c>
      <c r="AP2141" t="s">
        <v>52</v>
      </c>
      <c r="AQ2141" t="s">
        <v>52</v>
      </c>
      <c r="AR2141" t="s">
        <v>62</v>
      </c>
      <c r="AS2141" t="s">
        <v>52</v>
      </c>
      <c r="AT2141" t="s">
        <v>52</v>
      </c>
      <c r="AU2141" t="s">
        <v>64</v>
      </c>
      <c r="AV2141" t="s">
        <v>62</v>
      </c>
      <c r="AW2141" t="s">
        <v>65</v>
      </c>
      <c r="AX2141" t="s">
        <v>66</v>
      </c>
      <c r="AY2141" t="s">
        <v>654</v>
      </c>
    </row>
    <row r="2142" spans="1:51" hidden="1" x14ac:dyDescent="0.25">
      <c r="A2142">
        <v>406253</v>
      </c>
      <c r="B2142" t="s">
        <v>7916</v>
      </c>
      <c r="C2142" t="e">
        <f>VLOOKUP(A2142,[1]Customer_payment_journal_line!$AL:$BO,30,0)</f>
        <v>#N/A</v>
      </c>
      <c r="D2142" t="s">
        <v>644</v>
      </c>
      <c r="E2142" t="s">
        <v>7907</v>
      </c>
      <c r="F2142" t="s">
        <v>7908</v>
      </c>
      <c r="G2142" t="s">
        <v>7579</v>
      </c>
      <c r="H2142" t="s">
        <v>69</v>
      </c>
      <c r="I2142" t="s">
        <v>6178</v>
      </c>
      <c r="J2142" t="s">
        <v>6231</v>
      </c>
      <c r="K2142" t="s">
        <v>7909</v>
      </c>
      <c r="L2142" t="s">
        <v>52</v>
      </c>
      <c r="M2142">
        <v>0</v>
      </c>
      <c r="N2142">
        <v>1140</v>
      </c>
      <c r="O2142" t="s">
        <v>61</v>
      </c>
      <c r="P2142">
        <v>100</v>
      </c>
      <c r="Q2142" t="s">
        <v>52</v>
      </c>
      <c r="R2142" t="s">
        <v>52</v>
      </c>
      <c r="S2142" t="s">
        <v>52</v>
      </c>
      <c r="T2142" t="s">
        <v>52</v>
      </c>
      <c r="U2142" t="s">
        <v>52</v>
      </c>
      <c r="V2142" t="s">
        <v>62</v>
      </c>
      <c r="W2142" t="s">
        <v>52</v>
      </c>
      <c r="Y2142" t="s">
        <v>6180</v>
      </c>
      <c r="Z2142" t="s">
        <v>62</v>
      </c>
      <c r="AB2142" t="s">
        <v>7914</v>
      </c>
      <c r="AE2142" t="s">
        <v>7915</v>
      </c>
      <c r="AF2142" t="s">
        <v>4790</v>
      </c>
      <c r="AG2142" t="s">
        <v>7912</v>
      </c>
      <c r="AH2142">
        <v>0</v>
      </c>
      <c r="AI2142">
        <v>0</v>
      </c>
      <c r="AJ2142" t="s">
        <v>52</v>
      </c>
      <c r="AK2142">
        <v>0</v>
      </c>
      <c r="AL2142" t="s">
        <v>52</v>
      </c>
      <c r="AM2142" t="s">
        <v>52</v>
      </c>
      <c r="AN2142">
        <v>0</v>
      </c>
      <c r="AO2142">
        <v>0</v>
      </c>
      <c r="AP2142" t="s">
        <v>52</v>
      </c>
      <c r="AQ2142" t="s">
        <v>52</v>
      </c>
      <c r="AR2142" t="s">
        <v>62</v>
      </c>
      <c r="AS2142" t="s">
        <v>52</v>
      </c>
      <c r="AT2142" t="s">
        <v>74</v>
      </c>
      <c r="AU2142" t="s">
        <v>64</v>
      </c>
      <c r="AV2142" t="s">
        <v>62</v>
      </c>
      <c r="AW2142" t="s">
        <v>65</v>
      </c>
      <c r="AX2142" t="s">
        <v>66</v>
      </c>
      <c r="AY2142" t="s">
        <v>654</v>
      </c>
    </row>
    <row r="2143" spans="1:51" hidden="1" x14ac:dyDescent="0.25">
      <c r="A2143">
        <v>406254</v>
      </c>
      <c r="B2143" t="s">
        <v>7917</v>
      </c>
      <c r="C2143" t="e">
        <f>VLOOKUP(A2143,[1]Customer_payment_journal_line!$AL:$BO,30,0)</f>
        <v>#N/A</v>
      </c>
      <c r="D2143" t="s">
        <v>76</v>
      </c>
      <c r="E2143" t="s">
        <v>7918</v>
      </c>
      <c r="F2143" t="s">
        <v>7919</v>
      </c>
      <c r="G2143" t="s">
        <v>7579</v>
      </c>
      <c r="H2143" t="s">
        <v>80</v>
      </c>
      <c r="I2143" t="s">
        <v>81</v>
      </c>
      <c r="J2143" t="s">
        <v>4340</v>
      </c>
      <c r="K2143" t="s">
        <v>7920</v>
      </c>
      <c r="L2143" t="s">
        <v>52</v>
      </c>
      <c r="M2143">
        <v>9781.2000000000007</v>
      </c>
      <c r="N2143">
        <v>0</v>
      </c>
      <c r="O2143" t="s">
        <v>61</v>
      </c>
      <c r="P2143">
        <v>100</v>
      </c>
      <c r="Q2143" t="s">
        <v>52</v>
      </c>
      <c r="R2143" t="s">
        <v>52</v>
      </c>
      <c r="S2143" t="s">
        <v>52</v>
      </c>
      <c r="T2143" t="s">
        <v>52</v>
      </c>
      <c r="U2143" t="s">
        <v>52</v>
      </c>
      <c r="V2143" t="s">
        <v>62</v>
      </c>
      <c r="W2143" t="s">
        <v>52</v>
      </c>
      <c r="Y2143" t="s">
        <v>52</v>
      </c>
      <c r="AB2143" t="s">
        <v>52</v>
      </c>
      <c r="AE2143" t="s">
        <v>52</v>
      </c>
      <c r="AF2143" t="s">
        <v>52</v>
      </c>
      <c r="AH2143">
        <v>0</v>
      </c>
      <c r="AI2143">
        <v>0</v>
      </c>
      <c r="AJ2143" t="s">
        <v>52</v>
      </c>
      <c r="AK2143">
        <v>0</v>
      </c>
      <c r="AL2143" t="s">
        <v>52</v>
      </c>
      <c r="AM2143" t="s">
        <v>52</v>
      </c>
      <c r="AN2143">
        <v>0</v>
      </c>
      <c r="AO2143">
        <v>0</v>
      </c>
      <c r="AP2143" t="s">
        <v>52</v>
      </c>
      <c r="AQ2143" t="s">
        <v>52</v>
      </c>
      <c r="AR2143" t="s">
        <v>62</v>
      </c>
      <c r="AS2143" t="s">
        <v>52</v>
      </c>
      <c r="AT2143" t="s">
        <v>52</v>
      </c>
      <c r="AU2143" t="s">
        <v>64</v>
      </c>
      <c r="AV2143" t="s">
        <v>62</v>
      </c>
      <c r="AW2143" t="s">
        <v>65</v>
      </c>
      <c r="AX2143" t="s">
        <v>66</v>
      </c>
      <c r="AY2143" t="s">
        <v>76</v>
      </c>
    </row>
    <row r="2144" spans="1:51" hidden="1" x14ac:dyDescent="0.25">
      <c r="A2144">
        <v>406254</v>
      </c>
      <c r="B2144" t="s">
        <v>7921</v>
      </c>
      <c r="C2144" t="e">
        <f>VLOOKUP(A2144,[1]Customer_payment_journal_line!$AL:$BO,30,0)</f>
        <v>#N/A</v>
      </c>
      <c r="D2144" t="s">
        <v>76</v>
      </c>
      <c r="E2144" t="s">
        <v>7918</v>
      </c>
      <c r="F2144" t="s">
        <v>7919</v>
      </c>
      <c r="G2144" t="s">
        <v>7579</v>
      </c>
      <c r="H2144" t="s">
        <v>69</v>
      </c>
      <c r="I2144" t="s">
        <v>395</v>
      </c>
      <c r="J2144" t="s">
        <v>4340</v>
      </c>
      <c r="K2144" t="s">
        <v>7920</v>
      </c>
      <c r="L2144" t="s">
        <v>52</v>
      </c>
      <c r="M2144">
        <v>0</v>
      </c>
      <c r="N2144">
        <v>8926.2000000000007</v>
      </c>
      <c r="O2144" t="s">
        <v>61</v>
      </c>
      <c r="P2144">
        <v>100</v>
      </c>
      <c r="Q2144" t="s">
        <v>52</v>
      </c>
      <c r="R2144" t="s">
        <v>52</v>
      </c>
      <c r="S2144" t="s">
        <v>52</v>
      </c>
      <c r="T2144" t="s">
        <v>52</v>
      </c>
      <c r="U2144" t="s">
        <v>52</v>
      </c>
      <c r="V2144" t="s">
        <v>62</v>
      </c>
      <c r="W2144" t="s">
        <v>52</v>
      </c>
      <c r="Y2144" t="s">
        <v>396</v>
      </c>
      <c r="Z2144" t="s">
        <v>62</v>
      </c>
      <c r="AB2144" t="s">
        <v>7922</v>
      </c>
      <c r="AE2144" t="s">
        <v>7923</v>
      </c>
      <c r="AF2144" t="s">
        <v>52</v>
      </c>
      <c r="AH2144">
        <v>0</v>
      </c>
      <c r="AI2144">
        <v>0</v>
      </c>
      <c r="AJ2144" t="s">
        <v>52</v>
      </c>
      <c r="AK2144">
        <v>0</v>
      </c>
      <c r="AL2144" t="s">
        <v>52</v>
      </c>
      <c r="AM2144" t="s">
        <v>52</v>
      </c>
      <c r="AN2144">
        <v>0</v>
      </c>
      <c r="AO2144">
        <v>0</v>
      </c>
      <c r="AP2144" t="s">
        <v>52</v>
      </c>
      <c r="AQ2144" t="s">
        <v>52</v>
      </c>
      <c r="AR2144" t="s">
        <v>62</v>
      </c>
      <c r="AS2144" t="s">
        <v>52</v>
      </c>
      <c r="AT2144" t="s">
        <v>74</v>
      </c>
      <c r="AU2144" t="s">
        <v>64</v>
      </c>
      <c r="AV2144" t="s">
        <v>62</v>
      </c>
      <c r="AW2144" t="s">
        <v>65</v>
      </c>
      <c r="AX2144" t="s">
        <v>66</v>
      </c>
      <c r="AY2144" t="s">
        <v>76</v>
      </c>
    </row>
    <row r="2145" spans="1:51" hidden="1" x14ac:dyDescent="0.25">
      <c r="A2145">
        <v>406254</v>
      </c>
      <c r="B2145" t="s">
        <v>7924</v>
      </c>
      <c r="C2145" t="e">
        <f>VLOOKUP(A2145,[1]Customer_payment_journal_line!$AL:$BO,30,0)</f>
        <v>#N/A</v>
      </c>
      <c r="D2145" t="s">
        <v>76</v>
      </c>
      <c r="E2145" t="s">
        <v>7918</v>
      </c>
      <c r="F2145" t="s">
        <v>7919</v>
      </c>
      <c r="G2145" t="s">
        <v>7579</v>
      </c>
      <c r="H2145" t="s">
        <v>69</v>
      </c>
      <c r="I2145" t="s">
        <v>395</v>
      </c>
      <c r="J2145" t="s">
        <v>4340</v>
      </c>
      <c r="K2145" t="s">
        <v>7920</v>
      </c>
      <c r="L2145" t="s">
        <v>52</v>
      </c>
      <c r="M2145">
        <v>0</v>
      </c>
      <c r="N2145">
        <v>855</v>
      </c>
      <c r="O2145" t="s">
        <v>61</v>
      </c>
      <c r="P2145">
        <v>100</v>
      </c>
      <c r="Q2145" t="s">
        <v>52</v>
      </c>
      <c r="R2145" t="s">
        <v>52</v>
      </c>
      <c r="S2145" t="s">
        <v>52</v>
      </c>
      <c r="T2145" t="s">
        <v>52</v>
      </c>
      <c r="U2145" t="s">
        <v>52</v>
      </c>
      <c r="V2145" t="s">
        <v>62</v>
      </c>
      <c r="W2145" t="s">
        <v>52</v>
      </c>
      <c r="Y2145" t="s">
        <v>396</v>
      </c>
      <c r="Z2145" t="s">
        <v>62</v>
      </c>
      <c r="AB2145" t="s">
        <v>7925</v>
      </c>
      <c r="AE2145" t="s">
        <v>7926</v>
      </c>
      <c r="AF2145" t="s">
        <v>52</v>
      </c>
      <c r="AH2145">
        <v>0</v>
      </c>
      <c r="AI2145">
        <v>0</v>
      </c>
      <c r="AJ2145" t="s">
        <v>52</v>
      </c>
      <c r="AK2145">
        <v>0</v>
      </c>
      <c r="AL2145" t="s">
        <v>52</v>
      </c>
      <c r="AM2145" t="s">
        <v>52</v>
      </c>
      <c r="AN2145">
        <v>0</v>
      </c>
      <c r="AO2145">
        <v>0</v>
      </c>
      <c r="AP2145" t="s">
        <v>52</v>
      </c>
      <c r="AQ2145" t="s">
        <v>52</v>
      </c>
      <c r="AR2145" t="s">
        <v>62</v>
      </c>
      <c r="AS2145" t="s">
        <v>52</v>
      </c>
      <c r="AT2145" t="s">
        <v>74</v>
      </c>
      <c r="AU2145" t="s">
        <v>64</v>
      </c>
      <c r="AV2145" t="s">
        <v>62</v>
      </c>
      <c r="AW2145" t="s">
        <v>65</v>
      </c>
      <c r="AX2145" t="s">
        <v>66</v>
      </c>
      <c r="AY2145" t="s">
        <v>76</v>
      </c>
    </row>
    <row r="2146" spans="1:51" hidden="1" x14ac:dyDescent="0.25">
      <c r="A2146">
        <v>406255</v>
      </c>
      <c r="B2146" t="s">
        <v>7927</v>
      </c>
      <c r="C2146" t="e">
        <f>VLOOKUP(A2146,[1]Customer_payment_journal_line!$AL:$BO,30,0)</f>
        <v>#N/A</v>
      </c>
      <c r="D2146" t="s">
        <v>76</v>
      </c>
      <c r="E2146" t="s">
        <v>7928</v>
      </c>
      <c r="F2146" t="s">
        <v>7929</v>
      </c>
      <c r="G2146" t="s">
        <v>7579</v>
      </c>
      <c r="H2146" t="s">
        <v>80</v>
      </c>
      <c r="I2146" t="s">
        <v>81</v>
      </c>
      <c r="J2146" t="s">
        <v>6254</v>
      </c>
      <c r="K2146" t="s">
        <v>7930</v>
      </c>
      <c r="L2146" t="s">
        <v>52</v>
      </c>
      <c r="M2146">
        <v>8778</v>
      </c>
      <c r="N2146">
        <v>0</v>
      </c>
      <c r="O2146" t="s">
        <v>61</v>
      </c>
      <c r="P2146">
        <v>100</v>
      </c>
      <c r="Q2146" t="s">
        <v>52</v>
      </c>
      <c r="R2146" t="s">
        <v>52</v>
      </c>
      <c r="S2146" t="s">
        <v>52</v>
      </c>
      <c r="T2146" t="s">
        <v>52</v>
      </c>
      <c r="U2146" t="s">
        <v>52</v>
      </c>
      <c r="V2146" t="s">
        <v>62</v>
      </c>
      <c r="W2146" t="s">
        <v>52</v>
      </c>
      <c r="Y2146" t="s">
        <v>52</v>
      </c>
      <c r="AB2146" t="s">
        <v>52</v>
      </c>
      <c r="AE2146" t="s">
        <v>52</v>
      </c>
      <c r="AF2146" t="s">
        <v>52</v>
      </c>
      <c r="AH2146">
        <v>0</v>
      </c>
      <c r="AI2146">
        <v>0</v>
      </c>
      <c r="AJ2146" t="s">
        <v>52</v>
      </c>
      <c r="AK2146">
        <v>0</v>
      </c>
      <c r="AL2146" t="s">
        <v>52</v>
      </c>
      <c r="AM2146" t="s">
        <v>52</v>
      </c>
      <c r="AN2146">
        <v>0</v>
      </c>
      <c r="AO2146">
        <v>0</v>
      </c>
      <c r="AP2146" t="s">
        <v>52</v>
      </c>
      <c r="AQ2146" t="s">
        <v>52</v>
      </c>
      <c r="AR2146" t="s">
        <v>62</v>
      </c>
      <c r="AS2146" t="s">
        <v>52</v>
      </c>
      <c r="AT2146" t="s">
        <v>52</v>
      </c>
      <c r="AU2146" t="s">
        <v>64</v>
      </c>
      <c r="AV2146" t="s">
        <v>62</v>
      </c>
      <c r="AW2146" t="s">
        <v>65</v>
      </c>
      <c r="AX2146" t="s">
        <v>66</v>
      </c>
      <c r="AY2146" t="s">
        <v>76</v>
      </c>
    </row>
    <row r="2147" spans="1:51" hidden="1" x14ac:dyDescent="0.25">
      <c r="A2147">
        <v>406255</v>
      </c>
      <c r="B2147" t="s">
        <v>7931</v>
      </c>
      <c r="C2147" t="e">
        <f>VLOOKUP(A2147,[1]Customer_payment_journal_line!$AL:$BO,30,0)</f>
        <v>#N/A</v>
      </c>
      <c r="D2147" t="s">
        <v>76</v>
      </c>
      <c r="E2147" t="s">
        <v>7928</v>
      </c>
      <c r="F2147" t="s">
        <v>7929</v>
      </c>
      <c r="G2147" t="s">
        <v>7579</v>
      </c>
      <c r="H2147" t="s">
        <v>69</v>
      </c>
      <c r="I2147" t="s">
        <v>6257</v>
      </c>
      <c r="J2147" t="s">
        <v>6254</v>
      </c>
      <c r="K2147" t="s">
        <v>7930</v>
      </c>
      <c r="L2147" t="s">
        <v>52</v>
      </c>
      <c r="M2147">
        <v>0</v>
      </c>
      <c r="N2147">
        <v>7923</v>
      </c>
      <c r="O2147" t="s">
        <v>61</v>
      </c>
      <c r="P2147">
        <v>100</v>
      </c>
      <c r="Q2147" t="s">
        <v>52</v>
      </c>
      <c r="R2147" t="s">
        <v>52</v>
      </c>
      <c r="S2147" t="s">
        <v>52</v>
      </c>
      <c r="T2147" t="s">
        <v>52</v>
      </c>
      <c r="U2147" t="s">
        <v>52</v>
      </c>
      <c r="V2147" t="s">
        <v>62</v>
      </c>
      <c r="W2147" t="s">
        <v>52</v>
      </c>
      <c r="Y2147" t="s">
        <v>6258</v>
      </c>
      <c r="Z2147" t="s">
        <v>62</v>
      </c>
      <c r="AB2147" t="s">
        <v>7932</v>
      </c>
      <c r="AE2147" t="s">
        <v>7933</v>
      </c>
      <c r="AF2147" t="s">
        <v>52</v>
      </c>
      <c r="AH2147">
        <v>0</v>
      </c>
      <c r="AI2147">
        <v>0</v>
      </c>
      <c r="AJ2147" t="s">
        <v>52</v>
      </c>
      <c r="AK2147">
        <v>0</v>
      </c>
      <c r="AL2147" t="s">
        <v>52</v>
      </c>
      <c r="AM2147" t="s">
        <v>52</v>
      </c>
      <c r="AN2147">
        <v>0</v>
      </c>
      <c r="AO2147">
        <v>0</v>
      </c>
      <c r="AP2147" t="s">
        <v>52</v>
      </c>
      <c r="AQ2147" t="s">
        <v>52</v>
      </c>
      <c r="AR2147" t="s">
        <v>62</v>
      </c>
      <c r="AS2147" t="s">
        <v>52</v>
      </c>
      <c r="AT2147" t="s">
        <v>74</v>
      </c>
      <c r="AU2147" t="s">
        <v>64</v>
      </c>
      <c r="AV2147" t="s">
        <v>62</v>
      </c>
      <c r="AW2147" t="s">
        <v>65</v>
      </c>
      <c r="AX2147" t="s">
        <v>66</v>
      </c>
      <c r="AY2147" t="s">
        <v>76</v>
      </c>
    </row>
    <row r="2148" spans="1:51" hidden="1" x14ac:dyDescent="0.25">
      <c r="A2148">
        <v>406255</v>
      </c>
      <c r="B2148" t="s">
        <v>7934</v>
      </c>
      <c r="C2148" t="e">
        <f>VLOOKUP(A2148,[1]Customer_payment_journal_line!$AL:$BO,30,0)</f>
        <v>#N/A</v>
      </c>
      <c r="D2148" t="s">
        <v>76</v>
      </c>
      <c r="E2148" t="s">
        <v>7928</v>
      </c>
      <c r="F2148" t="s">
        <v>7929</v>
      </c>
      <c r="G2148" t="s">
        <v>7579</v>
      </c>
      <c r="H2148" t="s">
        <v>69</v>
      </c>
      <c r="I2148" t="s">
        <v>6257</v>
      </c>
      <c r="J2148" t="s">
        <v>6254</v>
      </c>
      <c r="K2148" t="s">
        <v>7930</v>
      </c>
      <c r="L2148" t="s">
        <v>52</v>
      </c>
      <c r="M2148">
        <v>0</v>
      </c>
      <c r="N2148">
        <v>855</v>
      </c>
      <c r="O2148" t="s">
        <v>61</v>
      </c>
      <c r="P2148">
        <v>100</v>
      </c>
      <c r="Q2148" t="s">
        <v>52</v>
      </c>
      <c r="R2148" t="s">
        <v>52</v>
      </c>
      <c r="S2148" t="s">
        <v>52</v>
      </c>
      <c r="T2148" t="s">
        <v>52</v>
      </c>
      <c r="U2148" t="s">
        <v>52</v>
      </c>
      <c r="V2148" t="s">
        <v>62</v>
      </c>
      <c r="W2148" t="s">
        <v>52</v>
      </c>
      <c r="Y2148" t="s">
        <v>6258</v>
      </c>
      <c r="Z2148" t="s">
        <v>62</v>
      </c>
      <c r="AB2148" t="s">
        <v>7935</v>
      </c>
      <c r="AE2148" t="s">
        <v>7936</v>
      </c>
      <c r="AF2148" t="s">
        <v>52</v>
      </c>
      <c r="AH2148">
        <v>0</v>
      </c>
      <c r="AI2148">
        <v>0</v>
      </c>
      <c r="AJ2148" t="s">
        <v>52</v>
      </c>
      <c r="AK2148">
        <v>0</v>
      </c>
      <c r="AL2148" t="s">
        <v>52</v>
      </c>
      <c r="AM2148" t="s">
        <v>52</v>
      </c>
      <c r="AN2148">
        <v>0</v>
      </c>
      <c r="AO2148">
        <v>0</v>
      </c>
      <c r="AP2148" t="s">
        <v>52</v>
      </c>
      <c r="AQ2148" t="s">
        <v>52</v>
      </c>
      <c r="AR2148" t="s">
        <v>62</v>
      </c>
      <c r="AS2148" t="s">
        <v>52</v>
      </c>
      <c r="AT2148" t="s">
        <v>74</v>
      </c>
      <c r="AU2148" t="s">
        <v>64</v>
      </c>
      <c r="AV2148" t="s">
        <v>62</v>
      </c>
      <c r="AW2148" t="s">
        <v>65</v>
      </c>
      <c r="AX2148" t="s">
        <v>66</v>
      </c>
      <c r="AY2148" t="s">
        <v>76</v>
      </c>
    </row>
    <row r="2149" spans="1:51" hidden="1" x14ac:dyDescent="0.25">
      <c r="A2149">
        <v>203879</v>
      </c>
      <c r="B2149" t="s">
        <v>7937</v>
      </c>
      <c r="C2149" t="e">
        <f>VLOOKUP(A2149,[1]Customer_payment_journal_line!$AL:$BO,30,0)</f>
        <v>#N/A</v>
      </c>
      <c r="D2149" t="s">
        <v>53</v>
      </c>
      <c r="E2149" t="s">
        <v>7938</v>
      </c>
      <c r="F2149" t="s">
        <v>7939</v>
      </c>
      <c r="G2149" t="s">
        <v>7579</v>
      </c>
      <c r="H2149" t="s">
        <v>57</v>
      </c>
      <c r="I2149" t="s">
        <v>319</v>
      </c>
      <c r="J2149" t="s">
        <v>2060</v>
      </c>
      <c r="K2149" t="s">
        <v>7940</v>
      </c>
      <c r="L2149" t="s">
        <v>52</v>
      </c>
      <c r="M2149">
        <v>600</v>
      </c>
      <c r="N2149">
        <v>0</v>
      </c>
      <c r="O2149" t="s">
        <v>61</v>
      </c>
      <c r="P2149">
        <v>100</v>
      </c>
      <c r="Q2149" t="s">
        <v>52</v>
      </c>
      <c r="R2149" t="s">
        <v>52</v>
      </c>
      <c r="S2149" t="s">
        <v>52</v>
      </c>
      <c r="T2149" t="s">
        <v>52</v>
      </c>
      <c r="U2149" t="s">
        <v>52</v>
      </c>
      <c r="V2149" t="s">
        <v>62</v>
      </c>
      <c r="W2149" t="s">
        <v>63</v>
      </c>
      <c r="Y2149" t="s">
        <v>52</v>
      </c>
      <c r="AB2149" t="s">
        <v>52</v>
      </c>
      <c r="AE2149" t="s">
        <v>52</v>
      </c>
      <c r="AF2149" t="s">
        <v>52</v>
      </c>
      <c r="AH2149">
        <v>0</v>
      </c>
      <c r="AI2149">
        <v>0</v>
      </c>
      <c r="AJ2149" t="s">
        <v>52</v>
      </c>
      <c r="AK2149">
        <v>0</v>
      </c>
      <c r="AL2149" t="s">
        <v>52</v>
      </c>
      <c r="AM2149" t="s">
        <v>52</v>
      </c>
      <c r="AN2149">
        <v>0</v>
      </c>
      <c r="AO2149">
        <v>0</v>
      </c>
      <c r="AP2149" t="s">
        <v>52</v>
      </c>
      <c r="AQ2149" t="s">
        <v>52</v>
      </c>
      <c r="AR2149" t="s">
        <v>62</v>
      </c>
      <c r="AS2149" t="s">
        <v>52</v>
      </c>
      <c r="AT2149" t="s">
        <v>52</v>
      </c>
      <c r="AU2149" t="s">
        <v>64</v>
      </c>
      <c r="AV2149" t="s">
        <v>62</v>
      </c>
      <c r="AW2149" t="s">
        <v>65</v>
      </c>
      <c r="AX2149" t="s">
        <v>66</v>
      </c>
      <c r="AY2149" t="s">
        <v>67</v>
      </c>
    </row>
    <row r="2150" spans="1:51" hidden="1" x14ac:dyDescent="0.25">
      <c r="A2150">
        <v>203879</v>
      </c>
      <c r="B2150" t="s">
        <v>7941</v>
      </c>
      <c r="C2150" t="e">
        <f>VLOOKUP(A2150,[1]Customer_payment_journal_line!$AL:$BO,30,0)</f>
        <v>#N/A</v>
      </c>
      <c r="D2150" t="s">
        <v>53</v>
      </c>
      <c r="E2150" t="s">
        <v>7938</v>
      </c>
      <c r="F2150" t="s">
        <v>7939</v>
      </c>
      <c r="G2150" t="s">
        <v>7579</v>
      </c>
      <c r="H2150" t="s">
        <v>69</v>
      </c>
      <c r="I2150" t="s">
        <v>2063</v>
      </c>
      <c r="J2150" t="s">
        <v>2060</v>
      </c>
      <c r="K2150" t="s">
        <v>7940</v>
      </c>
      <c r="L2150" t="s">
        <v>52</v>
      </c>
      <c r="M2150">
        <v>0</v>
      </c>
      <c r="N2150">
        <v>600</v>
      </c>
      <c r="O2150" t="s">
        <v>61</v>
      </c>
      <c r="P2150">
        <v>100</v>
      </c>
      <c r="Q2150" t="s">
        <v>52</v>
      </c>
      <c r="R2150" t="s">
        <v>52</v>
      </c>
      <c r="S2150" t="s">
        <v>52</v>
      </c>
      <c r="T2150" t="s">
        <v>52</v>
      </c>
      <c r="U2150" t="s">
        <v>52</v>
      </c>
      <c r="V2150" t="s">
        <v>62</v>
      </c>
      <c r="W2150" t="s">
        <v>52</v>
      </c>
      <c r="Y2150" t="s">
        <v>2064</v>
      </c>
      <c r="Z2150" t="s">
        <v>62</v>
      </c>
      <c r="AB2150" t="s">
        <v>7942</v>
      </c>
      <c r="AE2150" t="s">
        <v>7943</v>
      </c>
      <c r="AF2150" t="s">
        <v>52</v>
      </c>
      <c r="AH2150">
        <v>0</v>
      </c>
      <c r="AI2150">
        <v>0</v>
      </c>
      <c r="AJ2150" t="s">
        <v>52</v>
      </c>
      <c r="AK2150">
        <v>0</v>
      </c>
      <c r="AL2150" t="s">
        <v>52</v>
      </c>
      <c r="AM2150" t="s">
        <v>52</v>
      </c>
      <c r="AN2150">
        <v>0</v>
      </c>
      <c r="AO2150">
        <v>0</v>
      </c>
      <c r="AP2150" t="s">
        <v>52</v>
      </c>
      <c r="AQ2150" t="s">
        <v>52</v>
      </c>
      <c r="AR2150" t="s">
        <v>62</v>
      </c>
      <c r="AS2150" t="s">
        <v>52</v>
      </c>
      <c r="AT2150" t="s">
        <v>74</v>
      </c>
      <c r="AU2150" t="s">
        <v>64</v>
      </c>
      <c r="AV2150" t="s">
        <v>62</v>
      </c>
      <c r="AW2150" t="s">
        <v>65</v>
      </c>
      <c r="AX2150" t="s">
        <v>66</v>
      </c>
      <c r="AY2150" t="s">
        <v>67</v>
      </c>
    </row>
    <row r="2151" spans="1:51" hidden="1" x14ac:dyDescent="0.25">
      <c r="A2151">
        <v>203881</v>
      </c>
      <c r="B2151" t="s">
        <v>7944</v>
      </c>
      <c r="C2151" t="e">
        <f>VLOOKUP(A2151,[1]Customer_payment_journal_line!$AL:$BO,30,0)</f>
        <v>#N/A</v>
      </c>
      <c r="D2151" t="s">
        <v>53</v>
      </c>
      <c r="E2151" t="s">
        <v>7945</v>
      </c>
      <c r="F2151" t="s">
        <v>7946</v>
      </c>
      <c r="G2151" t="s">
        <v>7579</v>
      </c>
      <c r="H2151" t="s">
        <v>57</v>
      </c>
      <c r="I2151" t="s">
        <v>319</v>
      </c>
      <c r="J2151" t="s">
        <v>2060</v>
      </c>
      <c r="K2151" t="s">
        <v>7940</v>
      </c>
      <c r="L2151" t="s">
        <v>52</v>
      </c>
      <c r="M2151">
        <v>750</v>
      </c>
      <c r="N2151">
        <v>0</v>
      </c>
      <c r="O2151" t="s">
        <v>61</v>
      </c>
      <c r="P2151">
        <v>100</v>
      </c>
      <c r="Q2151" t="s">
        <v>52</v>
      </c>
      <c r="R2151" t="s">
        <v>52</v>
      </c>
      <c r="S2151" t="s">
        <v>52</v>
      </c>
      <c r="T2151" t="s">
        <v>52</v>
      </c>
      <c r="U2151" t="s">
        <v>52</v>
      </c>
      <c r="V2151" t="s">
        <v>62</v>
      </c>
      <c r="W2151" t="s">
        <v>63</v>
      </c>
      <c r="Y2151" t="s">
        <v>52</v>
      </c>
      <c r="AB2151" t="s">
        <v>52</v>
      </c>
      <c r="AE2151" t="s">
        <v>52</v>
      </c>
      <c r="AF2151" t="s">
        <v>52</v>
      </c>
      <c r="AH2151">
        <v>0</v>
      </c>
      <c r="AI2151">
        <v>0</v>
      </c>
      <c r="AJ2151" t="s">
        <v>52</v>
      </c>
      <c r="AK2151">
        <v>0</v>
      </c>
      <c r="AL2151" t="s">
        <v>52</v>
      </c>
      <c r="AM2151" t="s">
        <v>52</v>
      </c>
      <c r="AN2151">
        <v>0</v>
      </c>
      <c r="AO2151">
        <v>0</v>
      </c>
      <c r="AP2151" t="s">
        <v>52</v>
      </c>
      <c r="AQ2151" t="s">
        <v>52</v>
      </c>
      <c r="AR2151" t="s">
        <v>62</v>
      </c>
      <c r="AS2151" t="s">
        <v>52</v>
      </c>
      <c r="AT2151" t="s">
        <v>52</v>
      </c>
      <c r="AU2151" t="s">
        <v>64</v>
      </c>
      <c r="AV2151" t="s">
        <v>62</v>
      </c>
      <c r="AW2151" t="s">
        <v>65</v>
      </c>
      <c r="AX2151" t="s">
        <v>66</v>
      </c>
      <c r="AY2151" t="s">
        <v>67</v>
      </c>
    </row>
    <row r="2152" spans="1:51" hidden="1" x14ac:dyDescent="0.25">
      <c r="A2152">
        <v>203881</v>
      </c>
      <c r="B2152" t="s">
        <v>7947</v>
      </c>
      <c r="C2152" t="e">
        <f>VLOOKUP(A2152,[1]Customer_payment_journal_line!$AL:$BO,30,0)</f>
        <v>#N/A</v>
      </c>
      <c r="D2152" t="s">
        <v>53</v>
      </c>
      <c r="E2152" t="s">
        <v>7945</v>
      </c>
      <c r="F2152" t="s">
        <v>7946</v>
      </c>
      <c r="G2152" t="s">
        <v>7579</v>
      </c>
      <c r="H2152" t="s">
        <v>69</v>
      </c>
      <c r="I2152" t="s">
        <v>2063</v>
      </c>
      <c r="J2152" t="s">
        <v>2060</v>
      </c>
      <c r="K2152" t="s">
        <v>7940</v>
      </c>
      <c r="L2152" t="s">
        <v>52</v>
      </c>
      <c r="M2152">
        <v>0</v>
      </c>
      <c r="N2152">
        <v>750</v>
      </c>
      <c r="O2152" t="s">
        <v>61</v>
      </c>
      <c r="P2152">
        <v>100</v>
      </c>
      <c r="Q2152" t="s">
        <v>52</v>
      </c>
      <c r="R2152" t="s">
        <v>52</v>
      </c>
      <c r="S2152" t="s">
        <v>52</v>
      </c>
      <c r="T2152" t="s">
        <v>52</v>
      </c>
      <c r="U2152" t="s">
        <v>52</v>
      </c>
      <c r="V2152" t="s">
        <v>62</v>
      </c>
      <c r="W2152" t="s">
        <v>52</v>
      </c>
      <c r="Y2152" t="s">
        <v>2064</v>
      </c>
      <c r="Z2152" t="s">
        <v>62</v>
      </c>
      <c r="AB2152" t="s">
        <v>7948</v>
      </c>
      <c r="AE2152" t="s">
        <v>7949</v>
      </c>
      <c r="AF2152" t="s">
        <v>52</v>
      </c>
      <c r="AH2152">
        <v>0</v>
      </c>
      <c r="AI2152">
        <v>0</v>
      </c>
      <c r="AJ2152" t="s">
        <v>52</v>
      </c>
      <c r="AK2152">
        <v>0</v>
      </c>
      <c r="AL2152" t="s">
        <v>52</v>
      </c>
      <c r="AM2152" t="s">
        <v>52</v>
      </c>
      <c r="AN2152">
        <v>0</v>
      </c>
      <c r="AO2152">
        <v>0</v>
      </c>
      <c r="AP2152" t="s">
        <v>52</v>
      </c>
      <c r="AQ2152" t="s">
        <v>52</v>
      </c>
      <c r="AR2152" t="s">
        <v>62</v>
      </c>
      <c r="AS2152" t="s">
        <v>52</v>
      </c>
      <c r="AT2152" t="s">
        <v>74</v>
      </c>
      <c r="AU2152" t="s">
        <v>64</v>
      </c>
      <c r="AV2152" t="s">
        <v>62</v>
      </c>
      <c r="AW2152" t="s">
        <v>65</v>
      </c>
      <c r="AX2152" t="s">
        <v>66</v>
      </c>
      <c r="AY2152" t="s">
        <v>67</v>
      </c>
    </row>
    <row r="2153" spans="1:51" hidden="1" x14ac:dyDescent="0.25">
      <c r="A2153">
        <v>203886</v>
      </c>
      <c r="B2153" t="s">
        <v>7950</v>
      </c>
      <c r="C2153" t="e">
        <f>VLOOKUP(A2153,[1]Customer_payment_journal_line!$AL:$BO,30,0)</f>
        <v>#N/A</v>
      </c>
      <c r="D2153" t="s">
        <v>53</v>
      </c>
      <c r="E2153" t="s">
        <v>7951</v>
      </c>
      <c r="F2153" t="s">
        <v>7952</v>
      </c>
      <c r="G2153" t="s">
        <v>7579</v>
      </c>
      <c r="H2153" t="s">
        <v>57</v>
      </c>
      <c r="I2153" t="s">
        <v>516</v>
      </c>
      <c r="J2153" t="s">
        <v>7953</v>
      </c>
      <c r="K2153" t="s">
        <v>7954</v>
      </c>
      <c r="L2153" t="s">
        <v>52</v>
      </c>
      <c r="M2153">
        <v>250</v>
      </c>
      <c r="N2153">
        <v>0</v>
      </c>
      <c r="O2153" t="s">
        <v>178</v>
      </c>
      <c r="P2153">
        <v>5085</v>
      </c>
      <c r="Q2153" t="s">
        <v>52</v>
      </c>
      <c r="R2153" t="s">
        <v>52</v>
      </c>
      <c r="S2153" t="s">
        <v>52</v>
      </c>
      <c r="T2153" t="s">
        <v>52</v>
      </c>
      <c r="U2153" t="s">
        <v>52</v>
      </c>
      <c r="V2153" t="s">
        <v>62</v>
      </c>
      <c r="W2153" t="s">
        <v>63</v>
      </c>
      <c r="Y2153" t="s">
        <v>52</v>
      </c>
      <c r="AB2153" t="s">
        <v>52</v>
      </c>
      <c r="AE2153" t="s">
        <v>52</v>
      </c>
      <c r="AF2153" t="s">
        <v>52</v>
      </c>
      <c r="AH2153">
        <v>0</v>
      </c>
      <c r="AI2153">
        <v>0</v>
      </c>
      <c r="AJ2153" t="s">
        <v>52</v>
      </c>
      <c r="AK2153">
        <v>0</v>
      </c>
      <c r="AL2153" t="s">
        <v>52</v>
      </c>
      <c r="AM2153" t="s">
        <v>52</v>
      </c>
      <c r="AN2153">
        <v>0</v>
      </c>
      <c r="AO2153">
        <v>0</v>
      </c>
      <c r="AP2153" t="s">
        <v>52</v>
      </c>
      <c r="AQ2153" t="s">
        <v>52</v>
      </c>
      <c r="AR2153" t="s">
        <v>62</v>
      </c>
      <c r="AS2153" t="s">
        <v>52</v>
      </c>
      <c r="AT2153" t="s">
        <v>52</v>
      </c>
      <c r="AU2153" t="s">
        <v>64</v>
      </c>
      <c r="AV2153" t="s">
        <v>62</v>
      </c>
      <c r="AW2153" t="s">
        <v>65</v>
      </c>
      <c r="AX2153" t="s">
        <v>66</v>
      </c>
      <c r="AY2153" t="s">
        <v>67</v>
      </c>
    </row>
    <row r="2154" spans="1:51" hidden="1" x14ac:dyDescent="0.25">
      <c r="A2154">
        <v>203886</v>
      </c>
      <c r="B2154" t="s">
        <v>7955</v>
      </c>
      <c r="C2154" t="e">
        <f>VLOOKUP(A2154,[1]Customer_payment_journal_line!$AL:$BO,30,0)</f>
        <v>#N/A</v>
      </c>
      <c r="D2154" t="s">
        <v>53</v>
      </c>
      <c r="E2154" t="s">
        <v>7951</v>
      </c>
      <c r="F2154" t="s">
        <v>7952</v>
      </c>
      <c r="G2154" t="s">
        <v>7579</v>
      </c>
      <c r="H2154" t="s">
        <v>69</v>
      </c>
      <c r="I2154" t="s">
        <v>7956</v>
      </c>
      <c r="J2154" t="s">
        <v>7953</v>
      </c>
      <c r="K2154" t="s">
        <v>7954</v>
      </c>
      <c r="L2154" t="s">
        <v>52</v>
      </c>
      <c r="M2154">
        <v>0</v>
      </c>
      <c r="N2154">
        <v>250</v>
      </c>
      <c r="O2154" t="s">
        <v>178</v>
      </c>
      <c r="P2154">
        <v>5085</v>
      </c>
      <c r="Q2154" t="s">
        <v>52</v>
      </c>
      <c r="R2154" t="s">
        <v>52</v>
      </c>
      <c r="S2154" t="s">
        <v>52</v>
      </c>
      <c r="T2154" t="s">
        <v>52</v>
      </c>
      <c r="U2154" t="s">
        <v>52</v>
      </c>
      <c r="V2154" t="s">
        <v>62</v>
      </c>
      <c r="W2154" t="s">
        <v>52</v>
      </c>
      <c r="Y2154" t="s">
        <v>7957</v>
      </c>
      <c r="Z2154" t="s">
        <v>62</v>
      </c>
      <c r="AB2154" t="s">
        <v>7958</v>
      </c>
      <c r="AE2154" t="s">
        <v>7959</v>
      </c>
      <c r="AF2154" t="s">
        <v>52</v>
      </c>
      <c r="AH2154">
        <v>0</v>
      </c>
      <c r="AI2154">
        <v>0</v>
      </c>
      <c r="AJ2154" t="s">
        <v>52</v>
      </c>
      <c r="AK2154">
        <v>0</v>
      </c>
      <c r="AL2154" t="s">
        <v>52</v>
      </c>
      <c r="AM2154" t="s">
        <v>52</v>
      </c>
      <c r="AN2154">
        <v>0</v>
      </c>
      <c r="AO2154">
        <v>0</v>
      </c>
      <c r="AP2154" t="s">
        <v>52</v>
      </c>
      <c r="AQ2154" t="s">
        <v>52</v>
      </c>
      <c r="AR2154" t="s">
        <v>62</v>
      </c>
      <c r="AS2154" t="s">
        <v>52</v>
      </c>
      <c r="AT2154" t="s">
        <v>74</v>
      </c>
      <c r="AU2154" t="s">
        <v>64</v>
      </c>
      <c r="AV2154" t="s">
        <v>62</v>
      </c>
      <c r="AW2154" t="s">
        <v>65</v>
      </c>
      <c r="AX2154" t="s">
        <v>66</v>
      </c>
      <c r="AY2154" t="s">
        <v>67</v>
      </c>
    </row>
    <row r="2155" spans="1:51" hidden="1" x14ac:dyDescent="0.25">
      <c r="A2155">
        <v>203887</v>
      </c>
      <c r="B2155" t="s">
        <v>7960</v>
      </c>
      <c r="C2155" t="e">
        <f>VLOOKUP(A2155,[1]Customer_payment_journal_line!$AL:$BO,30,0)</f>
        <v>#N/A</v>
      </c>
      <c r="D2155" t="s">
        <v>53</v>
      </c>
      <c r="E2155" t="s">
        <v>7961</v>
      </c>
      <c r="F2155" t="s">
        <v>7962</v>
      </c>
      <c r="G2155" t="s">
        <v>7579</v>
      </c>
      <c r="H2155" t="s">
        <v>57</v>
      </c>
      <c r="I2155" t="s">
        <v>58</v>
      </c>
      <c r="J2155" t="s">
        <v>7953</v>
      </c>
      <c r="K2155" t="s">
        <v>7954</v>
      </c>
      <c r="L2155" t="s">
        <v>52</v>
      </c>
      <c r="M2155">
        <v>5130</v>
      </c>
      <c r="N2155">
        <v>0</v>
      </c>
      <c r="O2155" t="s">
        <v>61</v>
      </c>
      <c r="P2155">
        <v>100</v>
      </c>
      <c r="Q2155" t="s">
        <v>52</v>
      </c>
      <c r="R2155" t="s">
        <v>52</v>
      </c>
      <c r="S2155" t="s">
        <v>52</v>
      </c>
      <c r="T2155" t="s">
        <v>52</v>
      </c>
      <c r="U2155" t="s">
        <v>52</v>
      </c>
      <c r="V2155" t="s">
        <v>62</v>
      </c>
      <c r="W2155" t="s">
        <v>63</v>
      </c>
      <c r="Y2155" t="s">
        <v>52</v>
      </c>
      <c r="AB2155" t="s">
        <v>52</v>
      </c>
      <c r="AE2155" t="s">
        <v>52</v>
      </c>
      <c r="AF2155" t="s">
        <v>52</v>
      </c>
      <c r="AH2155">
        <v>0</v>
      </c>
      <c r="AI2155">
        <v>0</v>
      </c>
      <c r="AJ2155" t="s">
        <v>52</v>
      </c>
      <c r="AK2155">
        <v>0</v>
      </c>
      <c r="AL2155" t="s">
        <v>52</v>
      </c>
      <c r="AM2155" t="s">
        <v>52</v>
      </c>
      <c r="AN2155">
        <v>0</v>
      </c>
      <c r="AO2155">
        <v>0</v>
      </c>
      <c r="AP2155" t="s">
        <v>52</v>
      </c>
      <c r="AQ2155" t="s">
        <v>52</v>
      </c>
      <c r="AR2155" t="s">
        <v>62</v>
      </c>
      <c r="AS2155" t="s">
        <v>52</v>
      </c>
      <c r="AT2155" t="s">
        <v>52</v>
      </c>
      <c r="AU2155" t="s">
        <v>64</v>
      </c>
      <c r="AV2155" t="s">
        <v>62</v>
      </c>
      <c r="AW2155" t="s">
        <v>65</v>
      </c>
      <c r="AX2155" t="s">
        <v>66</v>
      </c>
      <c r="AY2155" t="s">
        <v>67</v>
      </c>
    </row>
    <row r="2156" spans="1:51" hidden="1" x14ac:dyDescent="0.25">
      <c r="A2156">
        <v>203887</v>
      </c>
      <c r="B2156" t="s">
        <v>7963</v>
      </c>
      <c r="C2156" t="e">
        <f>VLOOKUP(A2156,[1]Customer_payment_journal_line!$AL:$BO,30,0)</f>
        <v>#N/A</v>
      </c>
      <c r="D2156" t="s">
        <v>53</v>
      </c>
      <c r="E2156" t="s">
        <v>7961</v>
      </c>
      <c r="F2156" t="s">
        <v>7962</v>
      </c>
      <c r="G2156" t="s">
        <v>7579</v>
      </c>
      <c r="H2156" t="s">
        <v>69</v>
      </c>
      <c r="I2156" t="s">
        <v>7956</v>
      </c>
      <c r="J2156" t="s">
        <v>7953</v>
      </c>
      <c r="K2156" t="s">
        <v>7954</v>
      </c>
      <c r="L2156" t="s">
        <v>52</v>
      </c>
      <c r="M2156">
        <v>0</v>
      </c>
      <c r="N2156">
        <v>5130</v>
      </c>
      <c r="O2156" t="s">
        <v>61</v>
      </c>
      <c r="P2156">
        <v>100</v>
      </c>
      <c r="Q2156" t="s">
        <v>52</v>
      </c>
      <c r="R2156" t="s">
        <v>52</v>
      </c>
      <c r="S2156" t="s">
        <v>52</v>
      </c>
      <c r="T2156" t="s">
        <v>52</v>
      </c>
      <c r="U2156" t="s">
        <v>52</v>
      </c>
      <c r="V2156" t="s">
        <v>62</v>
      </c>
      <c r="W2156" t="s">
        <v>52</v>
      </c>
      <c r="Y2156" t="s">
        <v>7957</v>
      </c>
      <c r="Z2156" t="s">
        <v>62</v>
      </c>
      <c r="AB2156" t="s">
        <v>7964</v>
      </c>
      <c r="AE2156" t="s">
        <v>7965</v>
      </c>
      <c r="AF2156" t="s">
        <v>52</v>
      </c>
      <c r="AH2156">
        <v>0</v>
      </c>
      <c r="AI2156">
        <v>0</v>
      </c>
      <c r="AJ2156" t="s">
        <v>52</v>
      </c>
      <c r="AK2156">
        <v>0</v>
      </c>
      <c r="AL2156" t="s">
        <v>52</v>
      </c>
      <c r="AM2156" t="s">
        <v>52</v>
      </c>
      <c r="AN2156">
        <v>0</v>
      </c>
      <c r="AO2156">
        <v>0</v>
      </c>
      <c r="AP2156" t="s">
        <v>52</v>
      </c>
      <c r="AQ2156" t="s">
        <v>52</v>
      </c>
      <c r="AR2156" t="s">
        <v>62</v>
      </c>
      <c r="AS2156" t="s">
        <v>52</v>
      </c>
      <c r="AT2156" t="s">
        <v>74</v>
      </c>
      <c r="AU2156" t="s">
        <v>64</v>
      </c>
      <c r="AV2156" t="s">
        <v>62</v>
      </c>
      <c r="AW2156" t="s">
        <v>65</v>
      </c>
      <c r="AX2156" t="s">
        <v>66</v>
      </c>
      <c r="AY2156" t="s">
        <v>67</v>
      </c>
    </row>
    <row r="2157" spans="1:51" hidden="1" x14ac:dyDescent="0.25">
      <c r="A2157">
        <v>203888</v>
      </c>
      <c r="B2157" t="s">
        <v>7966</v>
      </c>
      <c r="C2157" t="e">
        <f>VLOOKUP(A2157,[1]Customer_payment_journal_line!$AL:$BO,30,0)</f>
        <v>#N/A</v>
      </c>
      <c r="D2157" t="s">
        <v>53</v>
      </c>
      <c r="E2157" t="s">
        <v>7967</v>
      </c>
      <c r="F2157" t="s">
        <v>7968</v>
      </c>
      <c r="G2157" t="s">
        <v>7579</v>
      </c>
      <c r="H2157" t="s">
        <v>57</v>
      </c>
      <c r="I2157" t="s">
        <v>58</v>
      </c>
      <c r="J2157" t="s">
        <v>7953</v>
      </c>
      <c r="K2157" t="s">
        <v>7954</v>
      </c>
      <c r="L2157" t="s">
        <v>52</v>
      </c>
      <c r="M2157">
        <v>855</v>
      </c>
      <c r="N2157">
        <v>0</v>
      </c>
      <c r="O2157" t="s">
        <v>61</v>
      </c>
      <c r="P2157">
        <v>100</v>
      </c>
      <c r="Q2157" t="s">
        <v>52</v>
      </c>
      <c r="R2157" t="s">
        <v>52</v>
      </c>
      <c r="S2157" t="s">
        <v>52</v>
      </c>
      <c r="T2157" t="s">
        <v>52</v>
      </c>
      <c r="U2157" t="s">
        <v>52</v>
      </c>
      <c r="V2157" t="s">
        <v>62</v>
      </c>
      <c r="W2157" t="s">
        <v>63</v>
      </c>
      <c r="Y2157" t="s">
        <v>52</v>
      </c>
      <c r="AB2157" t="s">
        <v>52</v>
      </c>
      <c r="AE2157" t="s">
        <v>52</v>
      </c>
      <c r="AF2157" t="s">
        <v>52</v>
      </c>
      <c r="AH2157">
        <v>0</v>
      </c>
      <c r="AI2157">
        <v>0</v>
      </c>
      <c r="AJ2157" t="s">
        <v>52</v>
      </c>
      <c r="AK2157">
        <v>0</v>
      </c>
      <c r="AL2157" t="s">
        <v>52</v>
      </c>
      <c r="AM2157" t="s">
        <v>52</v>
      </c>
      <c r="AN2157">
        <v>0</v>
      </c>
      <c r="AO2157">
        <v>0</v>
      </c>
      <c r="AP2157" t="s">
        <v>52</v>
      </c>
      <c r="AQ2157" t="s">
        <v>52</v>
      </c>
      <c r="AR2157" t="s">
        <v>62</v>
      </c>
      <c r="AS2157" t="s">
        <v>52</v>
      </c>
      <c r="AT2157" t="s">
        <v>52</v>
      </c>
      <c r="AU2157" t="s">
        <v>64</v>
      </c>
      <c r="AV2157" t="s">
        <v>62</v>
      </c>
      <c r="AW2157" t="s">
        <v>65</v>
      </c>
      <c r="AX2157" t="s">
        <v>66</v>
      </c>
      <c r="AY2157" t="s">
        <v>67</v>
      </c>
    </row>
    <row r="2158" spans="1:51" hidden="1" x14ac:dyDescent="0.25">
      <c r="A2158">
        <v>203888</v>
      </c>
      <c r="B2158" t="s">
        <v>7969</v>
      </c>
      <c r="C2158" t="e">
        <f>VLOOKUP(A2158,[1]Customer_payment_journal_line!$AL:$BO,30,0)</f>
        <v>#N/A</v>
      </c>
      <c r="D2158" t="s">
        <v>53</v>
      </c>
      <c r="E2158" t="s">
        <v>7967</v>
      </c>
      <c r="F2158" t="s">
        <v>7968</v>
      </c>
      <c r="G2158" t="s">
        <v>7579</v>
      </c>
      <c r="H2158" t="s">
        <v>69</v>
      </c>
      <c r="I2158" t="s">
        <v>7956</v>
      </c>
      <c r="J2158" t="s">
        <v>7953</v>
      </c>
      <c r="K2158" t="s">
        <v>7954</v>
      </c>
      <c r="L2158" t="s">
        <v>52</v>
      </c>
      <c r="M2158">
        <v>0</v>
      </c>
      <c r="N2158">
        <v>855</v>
      </c>
      <c r="O2158" t="s">
        <v>61</v>
      </c>
      <c r="P2158">
        <v>100</v>
      </c>
      <c r="Q2158" t="s">
        <v>52</v>
      </c>
      <c r="R2158" t="s">
        <v>52</v>
      </c>
      <c r="S2158" t="s">
        <v>52</v>
      </c>
      <c r="T2158" t="s">
        <v>52</v>
      </c>
      <c r="U2158" t="s">
        <v>52</v>
      </c>
      <c r="V2158" t="s">
        <v>62</v>
      </c>
      <c r="W2158" t="s">
        <v>52</v>
      </c>
      <c r="Y2158" t="s">
        <v>7957</v>
      </c>
      <c r="Z2158" t="s">
        <v>62</v>
      </c>
      <c r="AB2158" t="s">
        <v>7970</v>
      </c>
      <c r="AE2158" t="s">
        <v>7971</v>
      </c>
      <c r="AF2158" t="s">
        <v>52</v>
      </c>
      <c r="AH2158">
        <v>0</v>
      </c>
      <c r="AI2158">
        <v>0</v>
      </c>
      <c r="AJ2158" t="s">
        <v>52</v>
      </c>
      <c r="AK2158">
        <v>0</v>
      </c>
      <c r="AL2158" t="s">
        <v>52</v>
      </c>
      <c r="AM2158" t="s">
        <v>52</v>
      </c>
      <c r="AN2158">
        <v>0</v>
      </c>
      <c r="AO2158">
        <v>0</v>
      </c>
      <c r="AP2158" t="s">
        <v>52</v>
      </c>
      <c r="AQ2158" t="s">
        <v>52</v>
      </c>
      <c r="AR2158" t="s">
        <v>62</v>
      </c>
      <c r="AS2158" t="s">
        <v>52</v>
      </c>
      <c r="AT2158" t="s">
        <v>74</v>
      </c>
      <c r="AU2158" t="s">
        <v>64</v>
      </c>
      <c r="AV2158" t="s">
        <v>62</v>
      </c>
      <c r="AW2158" t="s">
        <v>65</v>
      </c>
      <c r="AX2158" t="s">
        <v>66</v>
      </c>
      <c r="AY2158" t="s">
        <v>67</v>
      </c>
    </row>
    <row r="2159" spans="1:51" hidden="1" x14ac:dyDescent="0.25">
      <c r="A2159">
        <v>406240</v>
      </c>
      <c r="B2159" t="s">
        <v>7972</v>
      </c>
      <c r="C2159" t="e">
        <f>VLOOKUP(A2159,[1]Customer_payment_journal_line!$AL:$BO,30,0)</f>
        <v>#N/A</v>
      </c>
      <c r="D2159" t="s">
        <v>159</v>
      </c>
      <c r="E2159" t="s">
        <v>7973</v>
      </c>
      <c r="F2159" t="s">
        <v>7974</v>
      </c>
      <c r="G2159" t="s">
        <v>7579</v>
      </c>
      <c r="H2159" t="s">
        <v>210</v>
      </c>
      <c r="I2159" t="s">
        <v>7975</v>
      </c>
      <c r="J2159" t="s">
        <v>52</v>
      </c>
      <c r="K2159" t="s">
        <v>7976</v>
      </c>
      <c r="L2159" t="s">
        <v>52</v>
      </c>
      <c r="M2159">
        <v>998</v>
      </c>
      <c r="N2159">
        <v>0</v>
      </c>
      <c r="O2159" t="s">
        <v>178</v>
      </c>
      <c r="P2159">
        <v>5085</v>
      </c>
      <c r="Q2159" t="s">
        <v>52</v>
      </c>
      <c r="R2159" t="s">
        <v>52</v>
      </c>
      <c r="S2159" t="s">
        <v>52</v>
      </c>
      <c r="T2159" t="s">
        <v>52</v>
      </c>
      <c r="U2159" t="s">
        <v>52</v>
      </c>
      <c r="V2159" t="s">
        <v>62</v>
      </c>
      <c r="W2159" t="s">
        <v>63</v>
      </c>
      <c r="Y2159" t="s">
        <v>52</v>
      </c>
      <c r="AB2159" t="s">
        <v>7977</v>
      </c>
      <c r="AE2159" t="s">
        <v>7977</v>
      </c>
      <c r="AF2159" t="s">
        <v>52</v>
      </c>
      <c r="AH2159">
        <v>0</v>
      </c>
      <c r="AI2159">
        <v>0</v>
      </c>
      <c r="AJ2159" t="s">
        <v>52</v>
      </c>
      <c r="AK2159">
        <v>0</v>
      </c>
      <c r="AL2159" t="s">
        <v>52</v>
      </c>
      <c r="AM2159" t="s">
        <v>52</v>
      </c>
      <c r="AN2159">
        <v>0</v>
      </c>
      <c r="AO2159">
        <v>0</v>
      </c>
      <c r="AP2159" t="s">
        <v>52</v>
      </c>
      <c r="AQ2159" t="s">
        <v>52</v>
      </c>
      <c r="AR2159" t="s">
        <v>62</v>
      </c>
      <c r="AS2159" t="s">
        <v>52</v>
      </c>
      <c r="AT2159" t="s">
        <v>52</v>
      </c>
      <c r="AU2159" t="s">
        <v>64</v>
      </c>
      <c r="AV2159" t="s">
        <v>62</v>
      </c>
      <c r="AW2159" t="s">
        <v>65</v>
      </c>
      <c r="AX2159" t="s">
        <v>66</v>
      </c>
      <c r="AY2159" t="s">
        <v>165</v>
      </c>
    </row>
    <row r="2160" spans="1:51" hidden="1" x14ac:dyDescent="0.25">
      <c r="A2160">
        <v>406240</v>
      </c>
      <c r="B2160" t="s">
        <v>7978</v>
      </c>
      <c r="C2160" t="e">
        <f>VLOOKUP(A2160,[1]Customer_payment_journal_line!$AL:$BO,30,0)</f>
        <v>#N/A</v>
      </c>
      <c r="D2160" t="s">
        <v>159</v>
      </c>
      <c r="E2160" t="s">
        <v>7973</v>
      </c>
      <c r="F2160" t="s">
        <v>7974</v>
      </c>
      <c r="G2160" t="s">
        <v>7579</v>
      </c>
      <c r="H2160" t="s">
        <v>69</v>
      </c>
      <c r="I2160" t="s">
        <v>1406</v>
      </c>
      <c r="J2160" t="s">
        <v>1407</v>
      </c>
      <c r="K2160" t="s">
        <v>7976</v>
      </c>
      <c r="L2160" t="s">
        <v>52</v>
      </c>
      <c r="M2160">
        <v>0</v>
      </c>
      <c r="N2160">
        <v>960</v>
      </c>
      <c r="O2160" t="s">
        <v>126</v>
      </c>
      <c r="P2160">
        <v>5285</v>
      </c>
      <c r="Q2160" t="s">
        <v>52</v>
      </c>
      <c r="R2160" t="s">
        <v>52</v>
      </c>
      <c r="S2160" t="s">
        <v>52</v>
      </c>
      <c r="T2160" t="s">
        <v>52</v>
      </c>
      <c r="U2160" t="s">
        <v>52</v>
      </c>
      <c r="V2160" t="s">
        <v>62</v>
      </c>
      <c r="W2160" t="s">
        <v>52</v>
      </c>
      <c r="Y2160" t="s">
        <v>1408</v>
      </c>
      <c r="Z2160" t="s">
        <v>62</v>
      </c>
      <c r="AB2160" t="s">
        <v>7977</v>
      </c>
      <c r="AE2160" t="s">
        <v>7977</v>
      </c>
      <c r="AF2160" t="s">
        <v>52</v>
      </c>
      <c r="AH2160">
        <v>0</v>
      </c>
      <c r="AI2160">
        <v>0</v>
      </c>
      <c r="AJ2160" t="s">
        <v>52</v>
      </c>
      <c r="AK2160">
        <v>0</v>
      </c>
      <c r="AL2160" t="s">
        <v>52</v>
      </c>
      <c r="AM2160" t="s">
        <v>52</v>
      </c>
      <c r="AN2160">
        <v>0</v>
      </c>
      <c r="AO2160">
        <v>0</v>
      </c>
      <c r="AP2160" t="s">
        <v>52</v>
      </c>
      <c r="AQ2160" t="s">
        <v>52</v>
      </c>
      <c r="AR2160" t="s">
        <v>62</v>
      </c>
      <c r="AS2160" t="s">
        <v>52</v>
      </c>
      <c r="AT2160" t="s">
        <v>74</v>
      </c>
      <c r="AU2160" t="s">
        <v>64</v>
      </c>
      <c r="AV2160" t="s">
        <v>62</v>
      </c>
      <c r="AW2160" t="s">
        <v>65</v>
      </c>
      <c r="AX2160" t="s">
        <v>66</v>
      </c>
      <c r="AY2160" t="s">
        <v>165</v>
      </c>
    </row>
    <row r="2161" spans="1:51" hidden="1" x14ac:dyDescent="0.25">
      <c r="A2161">
        <v>406240</v>
      </c>
      <c r="B2161" t="s">
        <v>7979</v>
      </c>
      <c r="C2161" t="e">
        <f>VLOOKUP(A2161,[1]Customer_payment_journal_line!$AL:$BO,30,0)</f>
        <v>#N/A</v>
      </c>
      <c r="D2161" t="s">
        <v>159</v>
      </c>
      <c r="E2161" t="s">
        <v>7973</v>
      </c>
      <c r="F2161" t="s">
        <v>7974</v>
      </c>
      <c r="G2161" t="s">
        <v>7579</v>
      </c>
      <c r="H2161" t="s">
        <v>210</v>
      </c>
      <c r="I2161" t="s">
        <v>1410</v>
      </c>
      <c r="J2161" t="s">
        <v>52</v>
      </c>
      <c r="K2161" t="s">
        <v>7976</v>
      </c>
      <c r="L2161" t="s">
        <v>52</v>
      </c>
      <c r="M2161">
        <v>0</v>
      </c>
      <c r="N2161">
        <v>12.3</v>
      </c>
      <c r="O2161" t="s">
        <v>61</v>
      </c>
      <c r="P2161">
        <v>100</v>
      </c>
      <c r="Q2161" t="s">
        <v>52</v>
      </c>
      <c r="R2161" t="s">
        <v>52</v>
      </c>
      <c r="S2161" t="s">
        <v>52</v>
      </c>
      <c r="T2161" t="s">
        <v>52</v>
      </c>
      <c r="U2161" t="s">
        <v>52</v>
      </c>
      <c r="V2161" t="s">
        <v>62</v>
      </c>
      <c r="W2161" t="s">
        <v>63</v>
      </c>
      <c r="Y2161" t="s">
        <v>1408</v>
      </c>
      <c r="AB2161" t="s">
        <v>7977</v>
      </c>
      <c r="AE2161" t="s">
        <v>7977</v>
      </c>
      <c r="AF2161" t="s">
        <v>52</v>
      </c>
      <c r="AH2161">
        <v>0</v>
      </c>
      <c r="AI2161">
        <v>0</v>
      </c>
      <c r="AJ2161" t="s">
        <v>52</v>
      </c>
      <c r="AK2161">
        <v>0</v>
      </c>
      <c r="AL2161" t="s">
        <v>52</v>
      </c>
      <c r="AM2161" t="s">
        <v>52</v>
      </c>
      <c r="AN2161">
        <v>0</v>
      </c>
      <c r="AO2161">
        <v>0</v>
      </c>
      <c r="AP2161" t="s">
        <v>52</v>
      </c>
      <c r="AQ2161" t="s">
        <v>52</v>
      </c>
      <c r="AR2161" t="s">
        <v>62</v>
      </c>
      <c r="AS2161" t="s">
        <v>52</v>
      </c>
      <c r="AT2161" t="s">
        <v>52</v>
      </c>
      <c r="AU2161" t="s">
        <v>64</v>
      </c>
      <c r="AV2161" t="s">
        <v>62</v>
      </c>
      <c r="AW2161" t="s">
        <v>65</v>
      </c>
      <c r="AX2161" t="s">
        <v>66</v>
      </c>
      <c r="AY2161" t="s">
        <v>165</v>
      </c>
    </row>
    <row r="2162" spans="1:51" hidden="1" x14ac:dyDescent="0.25">
      <c r="A2162">
        <v>317169</v>
      </c>
      <c r="B2162" t="s">
        <v>7980</v>
      </c>
      <c r="C2162" t="e">
        <f>VLOOKUP(A2162,[1]Customer_payment_journal_line!$AL:$BO,30,0)</f>
        <v>#N/A</v>
      </c>
      <c r="D2162" t="s">
        <v>159</v>
      </c>
      <c r="E2162" t="s">
        <v>7981</v>
      </c>
      <c r="F2162" t="s">
        <v>7982</v>
      </c>
      <c r="G2162" t="s">
        <v>7579</v>
      </c>
      <c r="H2162" t="s">
        <v>210</v>
      </c>
      <c r="I2162" t="s">
        <v>7975</v>
      </c>
      <c r="J2162" t="s">
        <v>52</v>
      </c>
      <c r="K2162" t="s">
        <v>6908</v>
      </c>
      <c r="L2162" t="s">
        <v>52</v>
      </c>
      <c r="M2162">
        <v>740</v>
      </c>
      <c r="N2162">
        <v>0</v>
      </c>
      <c r="O2162" t="s">
        <v>178</v>
      </c>
      <c r="P2162">
        <v>5085</v>
      </c>
      <c r="Q2162" t="s">
        <v>52</v>
      </c>
      <c r="R2162" t="s">
        <v>52</v>
      </c>
      <c r="S2162" t="s">
        <v>52</v>
      </c>
      <c r="T2162" t="s">
        <v>52</v>
      </c>
      <c r="U2162" t="s">
        <v>52</v>
      </c>
      <c r="V2162" t="s">
        <v>62</v>
      </c>
      <c r="W2162" t="s">
        <v>63</v>
      </c>
      <c r="Y2162" t="s">
        <v>52</v>
      </c>
      <c r="AB2162" t="s">
        <v>7983</v>
      </c>
      <c r="AE2162" t="s">
        <v>7983</v>
      </c>
      <c r="AF2162" t="s">
        <v>52</v>
      </c>
      <c r="AH2162">
        <v>0</v>
      </c>
      <c r="AI2162">
        <v>0</v>
      </c>
      <c r="AJ2162" t="s">
        <v>52</v>
      </c>
      <c r="AK2162">
        <v>0</v>
      </c>
      <c r="AL2162" t="s">
        <v>52</v>
      </c>
      <c r="AM2162" t="s">
        <v>52</v>
      </c>
      <c r="AN2162">
        <v>0</v>
      </c>
      <c r="AO2162">
        <v>0</v>
      </c>
      <c r="AP2162" t="s">
        <v>52</v>
      </c>
      <c r="AQ2162" t="s">
        <v>52</v>
      </c>
      <c r="AR2162" t="s">
        <v>62</v>
      </c>
      <c r="AS2162" t="s">
        <v>52</v>
      </c>
      <c r="AT2162" t="s">
        <v>52</v>
      </c>
      <c r="AU2162" t="s">
        <v>64</v>
      </c>
      <c r="AV2162" t="s">
        <v>62</v>
      </c>
      <c r="AW2162" t="s">
        <v>65</v>
      </c>
      <c r="AX2162" t="s">
        <v>66</v>
      </c>
      <c r="AY2162" t="s">
        <v>165</v>
      </c>
    </row>
    <row r="2163" spans="1:51" hidden="1" x14ac:dyDescent="0.25">
      <c r="A2163">
        <v>317169</v>
      </c>
      <c r="B2163" t="s">
        <v>7984</v>
      </c>
      <c r="C2163" t="e">
        <f>VLOOKUP(A2163,[1]Customer_payment_journal_line!$AL:$BO,30,0)</f>
        <v>#N/A</v>
      </c>
      <c r="D2163" t="s">
        <v>159</v>
      </c>
      <c r="E2163" t="s">
        <v>7981</v>
      </c>
      <c r="F2163" t="s">
        <v>7982</v>
      </c>
      <c r="G2163" t="s">
        <v>7579</v>
      </c>
      <c r="H2163" t="s">
        <v>69</v>
      </c>
      <c r="I2163" t="s">
        <v>1406</v>
      </c>
      <c r="J2163" t="s">
        <v>1407</v>
      </c>
      <c r="K2163" t="s">
        <v>6908</v>
      </c>
      <c r="L2163" t="s">
        <v>52</v>
      </c>
      <c r="M2163">
        <v>0</v>
      </c>
      <c r="N2163">
        <v>660</v>
      </c>
      <c r="O2163" t="s">
        <v>126</v>
      </c>
      <c r="P2163">
        <v>5285</v>
      </c>
      <c r="Q2163" t="s">
        <v>52</v>
      </c>
      <c r="R2163" t="s">
        <v>52</v>
      </c>
      <c r="S2163" t="s">
        <v>52</v>
      </c>
      <c r="T2163" t="s">
        <v>52</v>
      </c>
      <c r="U2163" t="s">
        <v>52</v>
      </c>
      <c r="V2163" t="s">
        <v>62</v>
      </c>
      <c r="W2163" t="s">
        <v>52</v>
      </c>
      <c r="Y2163" t="s">
        <v>1408</v>
      </c>
      <c r="Z2163" t="s">
        <v>62</v>
      </c>
      <c r="AB2163" t="s">
        <v>7983</v>
      </c>
      <c r="AE2163" t="s">
        <v>7983</v>
      </c>
      <c r="AF2163" t="s">
        <v>52</v>
      </c>
      <c r="AH2163">
        <v>0</v>
      </c>
      <c r="AI2163">
        <v>0</v>
      </c>
      <c r="AJ2163" t="s">
        <v>52</v>
      </c>
      <c r="AK2163">
        <v>0</v>
      </c>
      <c r="AL2163" t="s">
        <v>52</v>
      </c>
      <c r="AM2163" t="s">
        <v>52</v>
      </c>
      <c r="AN2163">
        <v>0</v>
      </c>
      <c r="AO2163">
        <v>0</v>
      </c>
      <c r="AP2163" t="s">
        <v>52</v>
      </c>
      <c r="AQ2163" t="s">
        <v>52</v>
      </c>
      <c r="AR2163" t="s">
        <v>62</v>
      </c>
      <c r="AS2163" t="s">
        <v>52</v>
      </c>
      <c r="AT2163" t="s">
        <v>74</v>
      </c>
      <c r="AU2163" t="s">
        <v>64</v>
      </c>
      <c r="AV2163" t="s">
        <v>62</v>
      </c>
      <c r="AW2163" t="s">
        <v>65</v>
      </c>
      <c r="AX2163" t="s">
        <v>66</v>
      </c>
      <c r="AY2163" t="s">
        <v>165</v>
      </c>
    </row>
    <row r="2164" spans="1:51" hidden="1" x14ac:dyDescent="0.25">
      <c r="A2164">
        <v>317169</v>
      </c>
      <c r="B2164" t="s">
        <v>7985</v>
      </c>
      <c r="C2164" t="e">
        <f>VLOOKUP(A2164,[1]Customer_payment_journal_line!$AL:$BO,30,0)</f>
        <v>#N/A</v>
      </c>
      <c r="D2164" t="s">
        <v>159</v>
      </c>
      <c r="E2164" t="s">
        <v>7981</v>
      </c>
      <c r="F2164" t="s">
        <v>7982</v>
      </c>
      <c r="G2164" t="s">
        <v>7579</v>
      </c>
      <c r="H2164" t="s">
        <v>210</v>
      </c>
      <c r="I2164" t="s">
        <v>1410</v>
      </c>
      <c r="J2164" t="s">
        <v>52</v>
      </c>
      <c r="K2164" t="s">
        <v>6908</v>
      </c>
      <c r="L2164" t="s">
        <v>52</v>
      </c>
      <c r="M2164">
        <v>0</v>
      </c>
      <c r="N2164">
        <v>2748</v>
      </c>
      <c r="O2164" t="s">
        <v>61</v>
      </c>
      <c r="P2164">
        <v>100</v>
      </c>
      <c r="Q2164" t="s">
        <v>52</v>
      </c>
      <c r="R2164" t="s">
        <v>52</v>
      </c>
      <c r="S2164" t="s">
        <v>52</v>
      </c>
      <c r="T2164" t="s">
        <v>52</v>
      </c>
      <c r="U2164" t="s">
        <v>52</v>
      </c>
      <c r="V2164" t="s">
        <v>62</v>
      </c>
      <c r="W2164" t="s">
        <v>63</v>
      </c>
      <c r="Y2164" t="s">
        <v>1408</v>
      </c>
      <c r="AB2164" t="s">
        <v>7983</v>
      </c>
      <c r="AE2164" t="s">
        <v>7983</v>
      </c>
      <c r="AF2164" t="s">
        <v>52</v>
      </c>
      <c r="AH2164">
        <v>0</v>
      </c>
      <c r="AI2164">
        <v>0</v>
      </c>
      <c r="AJ2164" t="s">
        <v>52</v>
      </c>
      <c r="AK2164">
        <v>0</v>
      </c>
      <c r="AL2164" t="s">
        <v>52</v>
      </c>
      <c r="AM2164" t="s">
        <v>52</v>
      </c>
      <c r="AN2164">
        <v>0</v>
      </c>
      <c r="AO2164">
        <v>0</v>
      </c>
      <c r="AP2164" t="s">
        <v>52</v>
      </c>
      <c r="AQ2164" t="s">
        <v>52</v>
      </c>
      <c r="AR2164" t="s">
        <v>62</v>
      </c>
      <c r="AS2164" t="s">
        <v>52</v>
      </c>
      <c r="AT2164" t="s">
        <v>52</v>
      </c>
      <c r="AU2164" t="s">
        <v>64</v>
      </c>
      <c r="AV2164" t="s">
        <v>62</v>
      </c>
      <c r="AW2164" t="s">
        <v>65</v>
      </c>
      <c r="AX2164" t="s">
        <v>66</v>
      </c>
      <c r="AY2164" t="s">
        <v>165</v>
      </c>
    </row>
    <row r="2165" spans="1:51" hidden="1" x14ac:dyDescent="0.25">
      <c r="A2165">
        <v>406241</v>
      </c>
      <c r="B2165" t="s">
        <v>7986</v>
      </c>
      <c r="C2165" t="e">
        <f>VLOOKUP(A2165,[1]Customer_payment_journal_line!$AL:$BO,30,0)</f>
        <v>#N/A</v>
      </c>
      <c r="D2165" t="s">
        <v>53</v>
      </c>
      <c r="E2165" t="s">
        <v>7987</v>
      </c>
      <c r="F2165" t="s">
        <v>7988</v>
      </c>
      <c r="G2165" t="s">
        <v>7579</v>
      </c>
      <c r="H2165" t="s">
        <v>57</v>
      </c>
      <c r="I2165" t="s">
        <v>125</v>
      </c>
      <c r="J2165" t="s">
        <v>7989</v>
      </c>
      <c r="K2165" t="s">
        <v>5008</v>
      </c>
      <c r="L2165" t="s">
        <v>52</v>
      </c>
      <c r="M2165">
        <v>450</v>
      </c>
      <c r="N2165">
        <v>0</v>
      </c>
      <c r="O2165" t="s">
        <v>126</v>
      </c>
      <c r="P2165">
        <v>5285</v>
      </c>
      <c r="Q2165" t="s">
        <v>52</v>
      </c>
      <c r="R2165" t="s">
        <v>52</v>
      </c>
      <c r="S2165" t="s">
        <v>52</v>
      </c>
      <c r="T2165" t="s">
        <v>52</v>
      </c>
      <c r="U2165" t="s">
        <v>52</v>
      </c>
      <c r="V2165" t="s">
        <v>62</v>
      </c>
      <c r="W2165" t="s">
        <v>63</v>
      </c>
      <c r="Y2165" t="s">
        <v>52</v>
      </c>
      <c r="AB2165" t="s">
        <v>52</v>
      </c>
      <c r="AE2165" t="s">
        <v>52</v>
      </c>
      <c r="AF2165" t="s">
        <v>52</v>
      </c>
      <c r="AH2165">
        <v>0</v>
      </c>
      <c r="AI2165">
        <v>0</v>
      </c>
      <c r="AJ2165" t="s">
        <v>52</v>
      </c>
      <c r="AK2165">
        <v>0</v>
      </c>
      <c r="AL2165" t="s">
        <v>52</v>
      </c>
      <c r="AM2165" t="s">
        <v>52</v>
      </c>
      <c r="AN2165">
        <v>0</v>
      </c>
      <c r="AO2165">
        <v>0</v>
      </c>
      <c r="AP2165" t="s">
        <v>52</v>
      </c>
      <c r="AQ2165" t="s">
        <v>52</v>
      </c>
      <c r="AR2165" t="s">
        <v>62</v>
      </c>
      <c r="AS2165" t="s">
        <v>52</v>
      </c>
      <c r="AT2165" t="s">
        <v>52</v>
      </c>
      <c r="AU2165" t="s">
        <v>64</v>
      </c>
      <c r="AV2165" t="s">
        <v>62</v>
      </c>
      <c r="AW2165" t="s">
        <v>65</v>
      </c>
      <c r="AX2165" t="s">
        <v>66</v>
      </c>
      <c r="AY2165" t="s">
        <v>67</v>
      </c>
    </row>
    <row r="2166" spans="1:51" hidden="1" x14ac:dyDescent="0.25">
      <c r="A2166">
        <v>406241</v>
      </c>
      <c r="B2166" t="s">
        <v>7990</v>
      </c>
      <c r="C2166" t="e">
        <f>VLOOKUP(A2166,[1]Customer_payment_journal_line!$AL:$BO,30,0)</f>
        <v>#N/A</v>
      </c>
      <c r="D2166" t="s">
        <v>53</v>
      </c>
      <c r="E2166" t="s">
        <v>7987</v>
      </c>
      <c r="F2166" t="s">
        <v>7988</v>
      </c>
      <c r="G2166" t="s">
        <v>7579</v>
      </c>
      <c r="H2166" t="s">
        <v>69</v>
      </c>
      <c r="I2166" t="s">
        <v>5010</v>
      </c>
      <c r="J2166" t="s">
        <v>7989</v>
      </c>
      <c r="K2166" t="s">
        <v>5008</v>
      </c>
      <c r="L2166" t="s">
        <v>52</v>
      </c>
      <c r="M2166">
        <v>0</v>
      </c>
      <c r="N2166">
        <v>450</v>
      </c>
      <c r="O2166" t="s">
        <v>126</v>
      </c>
      <c r="P2166">
        <v>5285</v>
      </c>
      <c r="Q2166" t="s">
        <v>52</v>
      </c>
      <c r="R2166" t="s">
        <v>52</v>
      </c>
      <c r="S2166" t="s">
        <v>52</v>
      </c>
      <c r="T2166" t="s">
        <v>52</v>
      </c>
      <c r="U2166" t="s">
        <v>52</v>
      </c>
      <c r="V2166" t="s">
        <v>62</v>
      </c>
      <c r="W2166" t="s">
        <v>52</v>
      </c>
      <c r="Y2166" t="s">
        <v>5011</v>
      </c>
      <c r="Z2166" t="s">
        <v>62</v>
      </c>
      <c r="AB2166" t="s">
        <v>7991</v>
      </c>
      <c r="AE2166" t="s">
        <v>7992</v>
      </c>
      <c r="AF2166" t="s">
        <v>52</v>
      </c>
      <c r="AH2166">
        <v>0</v>
      </c>
      <c r="AI2166">
        <v>0</v>
      </c>
      <c r="AJ2166" t="s">
        <v>52</v>
      </c>
      <c r="AK2166">
        <v>0</v>
      </c>
      <c r="AL2166" t="s">
        <v>52</v>
      </c>
      <c r="AM2166" t="s">
        <v>52</v>
      </c>
      <c r="AN2166">
        <v>0</v>
      </c>
      <c r="AO2166">
        <v>0</v>
      </c>
      <c r="AP2166" t="s">
        <v>52</v>
      </c>
      <c r="AQ2166" t="s">
        <v>52</v>
      </c>
      <c r="AR2166" t="s">
        <v>62</v>
      </c>
      <c r="AS2166" t="s">
        <v>52</v>
      </c>
      <c r="AT2166" t="s">
        <v>74</v>
      </c>
      <c r="AU2166" t="s">
        <v>64</v>
      </c>
      <c r="AV2166" t="s">
        <v>62</v>
      </c>
      <c r="AW2166" t="s">
        <v>65</v>
      </c>
      <c r="AX2166" t="s">
        <v>66</v>
      </c>
      <c r="AY2166" t="s">
        <v>67</v>
      </c>
    </row>
    <row r="2167" spans="1:51" hidden="1" x14ac:dyDescent="0.25">
      <c r="A2167">
        <v>406242</v>
      </c>
      <c r="B2167" t="s">
        <v>7993</v>
      </c>
      <c r="C2167" t="e">
        <f>VLOOKUP(A2167,[1]Customer_payment_journal_line!$AL:$BO,30,0)</f>
        <v>#N/A</v>
      </c>
      <c r="D2167" t="s">
        <v>53</v>
      </c>
      <c r="E2167" t="s">
        <v>7994</v>
      </c>
      <c r="F2167" t="s">
        <v>7995</v>
      </c>
      <c r="G2167" t="s">
        <v>7579</v>
      </c>
      <c r="H2167" t="s">
        <v>57</v>
      </c>
      <c r="I2167" t="s">
        <v>58</v>
      </c>
      <c r="J2167" t="s">
        <v>7989</v>
      </c>
      <c r="K2167" t="s">
        <v>5008</v>
      </c>
      <c r="L2167" t="s">
        <v>52</v>
      </c>
      <c r="M2167">
        <v>11286</v>
      </c>
      <c r="N2167">
        <v>0</v>
      </c>
      <c r="O2167" t="s">
        <v>61</v>
      </c>
      <c r="P2167">
        <v>100</v>
      </c>
      <c r="Q2167" t="s">
        <v>52</v>
      </c>
      <c r="R2167" t="s">
        <v>52</v>
      </c>
      <c r="S2167" t="s">
        <v>52</v>
      </c>
      <c r="T2167" t="s">
        <v>52</v>
      </c>
      <c r="U2167" t="s">
        <v>52</v>
      </c>
      <c r="V2167" t="s">
        <v>62</v>
      </c>
      <c r="W2167" t="s">
        <v>63</v>
      </c>
      <c r="Y2167" t="s">
        <v>52</v>
      </c>
      <c r="AB2167" t="s">
        <v>52</v>
      </c>
      <c r="AE2167" t="s">
        <v>52</v>
      </c>
      <c r="AF2167" t="s">
        <v>52</v>
      </c>
      <c r="AH2167">
        <v>0</v>
      </c>
      <c r="AI2167">
        <v>0</v>
      </c>
      <c r="AJ2167" t="s">
        <v>52</v>
      </c>
      <c r="AK2167">
        <v>0</v>
      </c>
      <c r="AL2167" t="s">
        <v>52</v>
      </c>
      <c r="AM2167" t="s">
        <v>52</v>
      </c>
      <c r="AN2167">
        <v>0</v>
      </c>
      <c r="AO2167">
        <v>0</v>
      </c>
      <c r="AP2167" t="s">
        <v>52</v>
      </c>
      <c r="AQ2167" t="s">
        <v>52</v>
      </c>
      <c r="AR2167" t="s">
        <v>62</v>
      </c>
      <c r="AS2167" t="s">
        <v>52</v>
      </c>
      <c r="AT2167" t="s">
        <v>52</v>
      </c>
      <c r="AU2167" t="s">
        <v>64</v>
      </c>
      <c r="AV2167" t="s">
        <v>62</v>
      </c>
      <c r="AW2167" t="s">
        <v>65</v>
      </c>
      <c r="AX2167" t="s">
        <v>66</v>
      </c>
      <c r="AY2167" t="s">
        <v>67</v>
      </c>
    </row>
    <row r="2168" spans="1:51" hidden="1" x14ac:dyDescent="0.25">
      <c r="A2168">
        <v>406242</v>
      </c>
      <c r="B2168" t="s">
        <v>7996</v>
      </c>
      <c r="C2168" t="e">
        <f>VLOOKUP(A2168,[1]Customer_payment_journal_line!$AL:$BO,30,0)</f>
        <v>#N/A</v>
      </c>
      <c r="D2168" t="s">
        <v>53</v>
      </c>
      <c r="E2168" t="s">
        <v>7994</v>
      </c>
      <c r="F2168" t="s">
        <v>7995</v>
      </c>
      <c r="G2168" t="s">
        <v>7579</v>
      </c>
      <c r="H2168" t="s">
        <v>69</v>
      </c>
      <c r="I2168" t="s">
        <v>5010</v>
      </c>
      <c r="J2168" t="s">
        <v>7989</v>
      </c>
      <c r="K2168" t="s">
        <v>5008</v>
      </c>
      <c r="L2168" t="s">
        <v>52</v>
      </c>
      <c r="M2168">
        <v>0</v>
      </c>
      <c r="N2168">
        <v>11286</v>
      </c>
      <c r="O2168" t="s">
        <v>61</v>
      </c>
      <c r="P2168">
        <v>100</v>
      </c>
      <c r="Q2168" t="s">
        <v>52</v>
      </c>
      <c r="R2168" t="s">
        <v>52</v>
      </c>
      <c r="S2168" t="s">
        <v>52</v>
      </c>
      <c r="T2168" t="s">
        <v>52</v>
      </c>
      <c r="U2168" t="s">
        <v>52</v>
      </c>
      <c r="V2168" t="s">
        <v>62</v>
      </c>
      <c r="W2168" t="s">
        <v>52</v>
      </c>
      <c r="Y2168" t="s">
        <v>5011</v>
      </c>
      <c r="Z2168" t="s">
        <v>62</v>
      </c>
      <c r="AB2168" t="s">
        <v>7997</v>
      </c>
      <c r="AE2168" t="s">
        <v>7998</v>
      </c>
      <c r="AF2168" t="s">
        <v>52</v>
      </c>
      <c r="AH2168">
        <v>0</v>
      </c>
      <c r="AI2168">
        <v>0</v>
      </c>
      <c r="AJ2168" t="s">
        <v>52</v>
      </c>
      <c r="AK2168">
        <v>0</v>
      </c>
      <c r="AL2168" t="s">
        <v>52</v>
      </c>
      <c r="AM2168" t="s">
        <v>52</v>
      </c>
      <c r="AN2168">
        <v>0</v>
      </c>
      <c r="AO2168">
        <v>0</v>
      </c>
      <c r="AP2168" t="s">
        <v>52</v>
      </c>
      <c r="AQ2168" t="s">
        <v>52</v>
      </c>
      <c r="AR2168" t="s">
        <v>62</v>
      </c>
      <c r="AS2168" t="s">
        <v>52</v>
      </c>
      <c r="AT2168" t="s">
        <v>74</v>
      </c>
      <c r="AU2168" t="s">
        <v>64</v>
      </c>
      <c r="AV2168" t="s">
        <v>62</v>
      </c>
      <c r="AW2168" t="s">
        <v>65</v>
      </c>
      <c r="AX2168" t="s">
        <v>66</v>
      </c>
      <c r="AY2168" t="s">
        <v>67</v>
      </c>
    </row>
    <row r="2169" spans="1:51" hidden="1" x14ac:dyDescent="0.25">
      <c r="A2169">
        <v>406243</v>
      </c>
      <c r="B2169" t="s">
        <v>7999</v>
      </c>
      <c r="C2169" t="e">
        <f>VLOOKUP(A2169,[1]Customer_payment_journal_line!$AL:$BO,30,0)</f>
        <v>#N/A</v>
      </c>
      <c r="D2169" t="s">
        <v>53</v>
      </c>
      <c r="E2169" t="s">
        <v>8000</v>
      </c>
      <c r="F2169" t="s">
        <v>8001</v>
      </c>
      <c r="G2169" t="s">
        <v>7579</v>
      </c>
      <c r="H2169" t="s">
        <v>57</v>
      </c>
      <c r="I2169" t="s">
        <v>58</v>
      </c>
      <c r="J2169" t="s">
        <v>7989</v>
      </c>
      <c r="K2169" t="s">
        <v>5008</v>
      </c>
      <c r="L2169" t="s">
        <v>52</v>
      </c>
      <c r="M2169">
        <v>855</v>
      </c>
      <c r="N2169">
        <v>0</v>
      </c>
      <c r="O2169" t="s">
        <v>61</v>
      </c>
      <c r="P2169">
        <v>100</v>
      </c>
      <c r="Q2169" t="s">
        <v>52</v>
      </c>
      <c r="R2169" t="s">
        <v>52</v>
      </c>
      <c r="S2169" t="s">
        <v>52</v>
      </c>
      <c r="T2169" t="s">
        <v>52</v>
      </c>
      <c r="U2169" t="s">
        <v>52</v>
      </c>
      <c r="V2169" t="s">
        <v>62</v>
      </c>
      <c r="W2169" t="s">
        <v>63</v>
      </c>
      <c r="Y2169" t="s">
        <v>52</v>
      </c>
      <c r="AB2169" t="s">
        <v>52</v>
      </c>
      <c r="AE2169" t="s">
        <v>52</v>
      </c>
      <c r="AF2169" t="s">
        <v>52</v>
      </c>
      <c r="AH2169">
        <v>0</v>
      </c>
      <c r="AI2169">
        <v>0</v>
      </c>
      <c r="AJ2169" t="s">
        <v>52</v>
      </c>
      <c r="AK2169">
        <v>0</v>
      </c>
      <c r="AL2169" t="s">
        <v>52</v>
      </c>
      <c r="AM2169" t="s">
        <v>52</v>
      </c>
      <c r="AN2169">
        <v>0</v>
      </c>
      <c r="AO2169">
        <v>0</v>
      </c>
      <c r="AP2169" t="s">
        <v>52</v>
      </c>
      <c r="AQ2169" t="s">
        <v>52</v>
      </c>
      <c r="AR2169" t="s">
        <v>62</v>
      </c>
      <c r="AS2169" t="s">
        <v>52</v>
      </c>
      <c r="AT2169" t="s">
        <v>52</v>
      </c>
      <c r="AU2169" t="s">
        <v>64</v>
      </c>
      <c r="AV2169" t="s">
        <v>62</v>
      </c>
      <c r="AW2169" t="s">
        <v>65</v>
      </c>
      <c r="AX2169" t="s">
        <v>66</v>
      </c>
      <c r="AY2169" t="s">
        <v>67</v>
      </c>
    </row>
    <row r="2170" spans="1:51" hidden="1" x14ac:dyDescent="0.25">
      <c r="A2170">
        <v>406243</v>
      </c>
      <c r="B2170" t="s">
        <v>8002</v>
      </c>
      <c r="C2170" t="e">
        <f>VLOOKUP(A2170,[1]Customer_payment_journal_line!$AL:$BO,30,0)</f>
        <v>#N/A</v>
      </c>
      <c r="D2170" t="s">
        <v>53</v>
      </c>
      <c r="E2170" t="s">
        <v>8000</v>
      </c>
      <c r="F2170" t="s">
        <v>8001</v>
      </c>
      <c r="G2170" t="s">
        <v>7579</v>
      </c>
      <c r="H2170" t="s">
        <v>69</v>
      </c>
      <c r="I2170" t="s">
        <v>5010</v>
      </c>
      <c r="J2170" t="s">
        <v>7989</v>
      </c>
      <c r="K2170" t="s">
        <v>5008</v>
      </c>
      <c r="L2170" t="s">
        <v>52</v>
      </c>
      <c r="M2170">
        <v>0</v>
      </c>
      <c r="N2170">
        <v>855</v>
      </c>
      <c r="O2170" t="s">
        <v>61</v>
      </c>
      <c r="P2170">
        <v>100</v>
      </c>
      <c r="Q2170" t="s">
        <v>52</v>
      </c>
      <c r="R2170" t="s">
        <v>52</v>
      </c>
      <c r="S2170" t="s">
        <v>52</v>
      </c>
      <c r="T2170" t="s">
        <v>52</v>
      </c>
      <c r="U2170" t="s">
        <v>52</v>
      </c>
      <c r="V2170" t="s">
        <v>62</v>
      </c>
      <c r="W2170" t="s">
        <v>52</v>
      </c>
      <c r="Y2170" t="s">
        <v>5011</v>
      </c>
      <c r="Z2170" t="s">
        <v>62</v>
      </c>
      <c r="AB2170" t="s">
        <v>8003</v>
      </c>
      <c r="AE2170" t="s">
        <v>8004</v>
      </c>
      <c r="AF2170" t="s">
        <v>52</v>
      </c>
      <c r="AH2170">
        <v>0</v>
      </c>
      <c r="AI2170">
        <v>0</v>
      </c>
      <c r="AJ2170" t="s">
        <v>52</v>
      </c>
      <c r="AK2170">
        <v>0</v>
      </c>
      <c r="AL2170" t="s">
        <v>52</v>
      </c>
      <c r="AM2170" t="s">
        <v>52</v>
      </c>
      <c r="AN2170">
        <v>0</v>
      </c>
      <c r="AO2170">
        <v>0</v>
      </c>
      <c r="AP2170" t="s">
        <v>52</v>
      </c>
      <c r="AQ2170" t="s">
        <v>52</v>
      </c>
      <c r="AR2170" t="s">
        <v>62</v>
      </c>
      <c r="AS2170" t="s">
        <v>52</v>
      </c>
      <c r="AT2170" t="s">
        <v>74</v>
      </c>
      <c r="AU2170" t="s">
        <v>64</v>
      </c>
      <c r="AV2170" t="s">
        <v>62</v>
      </c>
      <c r="AW2170" t="s">
        <v>65</v>
      </c>
      <c r="AX2170" t="s">
        <v>66</v>
      </c>
      <c r="AY2170" t="s">
        <v>67</v>
      </c>
    </row>
    <row r="2171" spans="1:51" hidden="1" x14ac:dyDescent="0.25">
      <c r="A2171">
        <v>406244</v>
      </c>
      <c r="B2171" t="s">
        <v>8005</v>
      </c>
      <c r="C2171" t="e">
        <f>VLOOKUP(A2171,[1]Customer_payment_journal_line!$AL:$BO,30,0)</f>
        <v>#N/A</v>
      </c>
      <c r="D2171" t="s">
        <v>53</v>
      </c>
      <c r="E2171" t="s">
        <v>8006</v>
      </c>
      <c r="F2171" t="s">
        <v>8007</v>
      </c>
      <c r="G2171" t="s">
        <v>7579</v>
      </c>
      <c r="H2171" t="s">
        <v>57</v>
      </c>
      <c r="I2171" t="s">
        <v>1349</v>
      </c>
      <c r="J2171" t="s">
        <v>8008</v>
      </c>
      <c r="K2171" t="s">
        <v>6287</v>
      </c>
      <c r="L2171" t="s">
        <v>52</v>
      </c>
      <c r="M2171">
        <v>5472</v>
      </c>
      <c r="N2171">
        <v>0</v>
      </c>
      <c r="O2171" t="s">
        <v>61</v>
      </c>
      <c r="P2171">
        <v>100</v>
      </c>
      <c r="Q2171" t="s">
        <v>52</v>
      </c>
      <c r="R2171" t="s">
        <v>52</v>
      </c>
      <c r="S2171" t="s">
        <v>52</v>
      </c>
      <c r="T2171" t="s">
        <v>52</v>
      </c>
      <c r="U2171" t="s">
        <v>52</v>
      </c>
      <c r="V2171" t="s">
        <v>62</v>
      </c>
      <c r="W2171" t="s">
        <v>63</v>
      </c>
      <c r="Y2171" t="s">
        <v>52</v>
      </c>
      <c r="AB2171" t="s">
        <v>52</v>
      </c>
      <c r="AE2171" t="s">
        <v>52</v>
      </c>
      <c r="AF2171" t="s">
        <v>52</v>
      </c>
      <c r="AH2171">
        <v>0</v>
      </c>
      <c r="AI2171">
        <v>0</v>
      </c>
      <c r="AJ2171" t="s">
        <v>52</v>
      </c>
      <c r="AK2171">
        <v>0</v>
      </c>
      <c r="AL2171" t="s">
        <v>52</v>
      </c>
      <c r="AM2171" t="s">
        <v>52</v>
      </c>
      <c r="AN2171">
        <v>0</v>
      </c>
      <c r="AO2171">
        <v>0</v>
      </c>
      <c r="AP2171" t="s">
        <v>52</v>
      </c>
      <c r="AQ2171" t="s">
        <v>52</v>
      </c>
      <c r="AR2171" t="s">
        <v>62</v>
      </c>
      <c r="AS2171" t="s">
        <v>52</v>
      </c>
      <c r="AT2171" t="s">
        <v>52</v>
      </c>
      <c r="AU2171" t="s">
        <v>64</v>
      </c>
      <c r="AV2171" t="s">
        <v>62</v>
      </c>
      <c r="AW2171" t="s">
        <v>65</v>
      </c>
      <c r="AX2171" t="s">
        <v>66</v>
      </c>
      <c r="AY2171" t="s">
        <v>67</v>
      </c>
    </row>
    <row r="2172" spans="1:51" hidden="1" x14ac:dyDescent="0.25">
      <c r="A2172">
        <v>406244</v>
      </c>
      <c r="B2172" t="s">
        <v>8009</v>
      </c>
      <c r="C2172" t="e">
        <f>VLOOKUP(A2172,[1]Customer_payment_journal_line!$AL:$BO,30,0)</f>
        <v>#N/A</v>
      </c>
      <c r="D2172" t="s">
        <v>53</v>
      </c>
      <c r="E2172" t="s">
        <v>8006</v>
      </c>
      <c r="F2172" t="s">
        <v>8007</v>
      </c>
      <c r="G2172" t="s">
        <v>7579</v>
      </c>
      <c r="H2172" t="s">
        <v>69</v>
      </c>
      <c r="I2172" t="s">
        <v>6289</v>
      </c>
      <c r="J2172" t="s">
        <v>8008</v>
      </c>
      <c r="K2172" t="s">
        <v>6287</v>
      </c>
      <c r="L2172" t="s">
        <v>52</v>
      </c>
      <c r="M2172">
        <v>0</v>
      </c>
      <c r="N2172">
        <v>5472</v>
      </c>
      <c r="O2172" t="s">
        <v>61</v>
      </c>
      <c r="P2172">
        <v>100</v>
      </c>
      <c r="Q2172" t="s">
        <v>52</v>
      </c>
      <c r="R2172" t="s">
        <v>52</v>
      </c>
      <c r="S2172" t="s">
        <v>52</v>
      </c>
      <c r="T2172" t="s">
        <v>52</v>
      </c>
      <c r="U2172" t="s">
        <v>52</v>
      </c>
      <c r="V2172" t="s">
        <v>62</v>
      </c>
      <c r="W2172" t="s">
        <v>52</v>
      </c>
      <c r="Y2172" t="s">
        <v>6290</v>
      </c>
      <c r="Z2172" t="s">
        <v>62</v>
      </c>
      <c r="AB2172" t="s">
        <v>8010</v>
      </c>
      <c r="AE2172" t="s">
        <v>8011</v>
      </c>
      <c r="AF2172" t="s">
        <v>52</v>
      </c>
      <c r="AH2172">
        <v>0</v>
      </c>
      <c r="AI2172">
        <v>0</v>
      </c>
      <c r="AJ2172" t="s">
        <v>52</v>
      </c>
      <c r="AK2172">
        <v>0</v>
      </c>
      <c r="AL2172" t="s">
        <v>52</v>
      </c>
      <c r="AM2172" t="s">
        <v>52</v>
      </c>
      <c r="AN2172">
        <v>0</v>
      </c>
      <c r="AO2172">
        <v>0</v>
      </c>
      <c r="AP2172" t="s">
        <v>52</v>
      </c>
      <c r="AQ2172" t="s">
        <v>52</v>
      </c>
      <c r="AR2172" t="s">
        <v>62</v>
      </c>
      <c r="AS2172" t="s">
        <v>52</v>
      </c>
      <c r="AT2172" t="s">
        <v>74</v>
      </c>
      <c r="AU2172" t="s">
        <v>64</v>
      </c>
      <c r="AV2172" t="s">
        <v>62</v>
      </c>
      <c r="AW2172" t="s">
        <v>65</v>
      </c>
      <c r="AX2172" t="s">
        <v>66</v>
      </c>
      <c r="AY2172" t="s">
        <v>67</v>
      </c>
    </row>
    <row r="2173" spans="1:51" hidden="1" x14ac:dyDescent="0.25">
      <c r="A2173">
        <v>406245</v>
      </c>
      <c r="B2173" t="s">
        <v>8012</v>
      </c>
      <c r="C2173" t="e">
        <f>VLOOKUP(A2173,[1]Customer_payment_journal_line!$AL:$BO,30,0)</f>
        <v>#N/A</v>
      </c>
      <c r="D2173" t="s">
        <v>53</v>
      </c>
      <c r="E2173" t="s">
        <v>8013</v>
      </c>
      <c r="F2173" t="s">
        <v>8014</v>
      </c>
      <c r="G2173" t="s">
        <v>7579</v>
      </c>
      <c r="H2173" t="s">
        <v>57</v>
      </c>
      <c r="I2173" t="s">
        <v>58</v>
      </c>
      <c r="J2173" t="s">
        <v>8015</v>
      </c>
      <c r="K2173" t="s">
        <v>8016</v>
      </c>
      <c r="L2173" t="s">
        <v>52</v>
      </c>
      <c r="M2173">
        <v>1140</v>
      </c>
      <c r="N2173">
        <v>0</v>
      </c>
      <c r="O2173" t="s">
        <v>61</v>
      </c>
      <c r="P2173">
        <v>100</v>
      </c>
      <c r="Q2173" t="s">
        <v>52</v>
      </c>
      <c r="R2173" t="s">
        <v>52</v>
      </c>
      <c r="S2173" t="s">
        <v>52</v>
      </c>
      <c r="T2173" t="s">
        <v>52</v>
      </c>
      <c r="U2173" t="s">
        <v>52</v>
      </c>
      <c r="V2173" t="s">
        <v>62</v>
      </c>
      <c r="W2173" t="s">
        <v>63</v>
      </c>
      <c r="Y2173" t="s">
        <v>52</v>
      </c>
      <c r="AB2173" t="s">
        <v>52</v>
      </c>
      <c r="AE2173" t="s">
        <v>52</v>
      </c>
      <c r="AF2173" t="s">
        <v>52</v>
      </c>
      <c r="AH2173">
        <v>0</v>
      </c>
      <c r="AI2173">
        <v>0</v>
      </c>
      <c r="AJ2173" t="s">
        <v>52</v>
      </c>
      <c r="AK2173">
        <v>0</v>
      </c>
      <c r="AL2173" t="s">
        <v>52</v>
      </c>
      <c r="AM2173" t="s">
        <v>52</v>
      </c>
      <c r="AN2173">
        <v>0</v>
      </c>
      <c r="AO2173">
        <v>0</v>
      </c>
      <c r="AP2173" t="s">
        <v>52</v>
      </c>
      <c r="AQ2173" t="s">
        <v>52</v>
      </c>
      <c r="AR2173" t="s">
        <v>62</v>
      </c>
      <c r="AS2173" t="s">
        <v>52</v>
      </c>
      <c r="AT2173" t="s">
        <v>52</v>
      </c>
      <c r="AU2173" t="s">
        <v>64</v>
      </c>
      <c r="AV2173" t="s">
        <v>62</v>
      </c>
      <c r="AW2173" t="s">
        <v>65</v>
      </c>
      <c r="AX2173" t="s">
        <v>66</v>
      </c>
      <c r="AY2173" t="s">
        <v>67</v>
      </c>
    </row>
    <row r="2174" spans="1:51" hidden="1" x14ac:dyDescent="0.25">
      <c r="A2174">
        <v>406245</v>
      </c>
      <c r="B2174" t="s">
        <v>8017</v>
      </c>
      <c r="C2174" t="e">
        <f>VLOOKUP(A2174,[1]Customer_payment_journal_line!$AL:$BO,30,0)</f>
        <v>#N/A</v>
      </c>
      <c r="D2174" t="s">
        <v>53</v>
      </c>
      <c r="E2174" t="s">
        <v>8013</v>
      </c>
      <c r="F2174" t="s">
        <v>8014</v>
      </c>
      <c r="G2174" t="s">
        <v>7579</v>
      </c>
      <c r="H2174" t="s">
        <v>69</v>
      </c>
      <c r="I2174" t="s">
        <v>8018</v>
      </c>
      <c r="J2174" t="s">
        <v>8015</v>
      </c>
      <c r="K2174" t="s">
        <v>8016</v>
      </c>
      <c r="L2174" t="s">
        <v>52</v>
      </c>
      <c r="M2174">
        <v>0</v>
      </c>
      <c r="N2174">
        <v>1140</v>
      </c>
      <c r="O2174" t="s">
        <v>61</v>
      </c>
      <c r="P2174">
        <v>100</v>
      </c>
      <c r="Q2174" t="s">
        <v>52</v>
      </c>
      <c r="R2174" t="s">
        <v>52</v>
      </c>
      <c r="S2174" t="s">
        <v>52</v>
      </c>
      <c r="T2174" t="s">
        <v>52</v>
      </c>
      <c r="U2174" t="s">
        <v>52</v>
      </c>
      <c r="V2174" t="s">
        <v>62</v>
      </c>
      <c r="W2174" t="s">
        <v>52</v>
      </c>
      <c r="Y2174" t="s">
        <v>8019</v>
      </c>
      <c r="Z2174" t="s">
        <v>62</v>
      </c>
      <c r="AB2174" t="s">
        <v>8020</v>
      </c>
      <c r="AE2174" t="s">
        <v>8021</v>
      </c>
      <c r="AF2174" t="s">
        <v>52</v>
      </c>
      <c r="AH2174">
        <v>0</v>
      </c>
      <c r="AI2174">
        <v>0</v>
      </c>
      <c r="AJ2174" t="s">
        <v>52</v>
      </c>
      <c r="AK2174">
        <v>0</v>
      </c>
      <c r="AL2174" t="s">
        <v>52</v>
      </c>
      <c r="AM2174" t="s">
        <v>52</v>
      </c>
      <c r="AN2174">
        <v>0</v>
      </c>
      <c r="AO2174">
        <v>0</v>
      </c>
      <c r="AP2174" t="s">
        <v>52</v>
      </c>
      <c r="AQ2174" t="s">
        <v>52</v>
      </c>
      <c r="AR2174" t="s">
        <v>62</v>
      </c>
      <c r="AS2174" t="s">
        <v>52</v>
      </c>
      <c r="AT2174" t="s">
        <v>74</v>
      </c>
      <c r="AU2174" t="s">
        <v>64</v>
      </c>
      <c r="AV2174" t="s">
        <v>62</v>
      </c>
      <c r="AW2174" t="s">
        <v>65</v>
      </c>
      <c r="AX2174" t="s">
        <v>66</v>
      </c>
      <c r="AY2174" t="s">
        <v>67</v>
      </c>
    </row>
    <row r="2175" spans="1:51" hidden="1" x14ac:dyDescent="0.25">
      <c r="A2175">
        <v>406246</v>
      </c>
      <c r="B2175" t="s">
        <v>8022</v>
      </c>
      <c r="C2175" t="e">
        <f>VLOOKUP(A2175,[1]Customer_payment_journal_line!$AL:$BO,30,0)</f>
        <v>#N/A</v>
      </c>
      <c r="D2175" t="s">
        <v>53</v>
      </c>
      <c r="E2175" t="s">
        <v>8023</v>
      </c>
      <c r="F2175" t="s">
        <v>8024</v>
      </c>
      <c r="G2175" t="s">
        <v>7579</v>
      </c>
      <c r="H2175" t="s">
        <v>57</v>
      </c>
      <c r="I2175" t="s">
        <v>58</v>
      </c>
      <c r="J2175" t="s">
        <v>8015</v>
      </c>
      <c r="K2175" t="s">
        <v>8016</v>
      </c>
      <c r="L2175" t="s">
        <v>52</v>
      </c>
      <c r="M2175">
        <v>855</v>
      </c>
      <c r="N2175">
        <v>0</v>
      </c>
      <c r="O2175" t="s">
        <v>61</v>
      </c>
      <c r="P2175">
        <v>100</v>
      </c>
      <c r="Q2175" t="s">
        <v>52</v>
      </c>
      <c r="R2175" t="s">
        <v>52</v>
      </c>
      <c r="S2175" t="s">
        <v>52</v>
      </c>
      <c r="T2175" t="s">
        <v>52</v>
      </c>
      <c r="U2175" t="s">
        <v>52</v>
      </c>
      <c r="V2175" t="s">
        <v>62</v>
      </c>
      <c r="W2175" t="s">
        <v>63</v>
      </c>
      <c r="Y2175" t="s">
        <v>52</v>
      </c>
      <c r="AB2175" t="s">
        <v>52</v>
      </c>
      <c r="AE2175" t="s">
        <v>52</v>
      </c>
      <c r="AF2175" t="s">
        <v>52</v>
      </c>
      <c r="AH2175">
        <v>0</v>
      </c>
      <c r="AI2175">
        <v>0</v>
      </c>
      <c r="AJ2175" t="s">
        <v>52</v>
      </c>
      <c r="AK2175">
        <v>0</v>
      </c>
      <c r="AL2175" t="s">
        <v>52</v>
      </c>
      <c r="AM2175" t="s">
        <v>52</v>
      </c>
      <c r="AN2175">
        <v>0</v>
      </c>
      <c r="AO2175">
        <v>0</v>
      </c>
      <c r="AP2175" t="s">
        <v>52</v>
      </c>
      <c r="AQ2175" t="s">
        <v>52</v>
      </c>
      <c r="AR2175" t="s">
        <v>62</v>
      </c>
      <c r="AS2175" t="s">
        <v>52</v>
      </c>
      <c r="AT2175" t="s">
        <v>52</v>
      </c>
      <c r="AU2175" t="s">
        <v>64</v>
      </c>
      <c r="AV2175" t="s">
        <v>62</v>
      </c>
      <c r="AW2175" t="s">
        <v>65</v>
      </c>
      <c r="AX2175" t="s">
        <v>66</v>
      </c>
      <c r="AY2175" t="s">
        <v>67</v>
      </c>
    </row>
    <row r="2176" spans="1:51" hidden="1" x14ac:dyDescent="0.25">
      <c r="A2176">
        <v>406246</v>
      </c>
      <c r="B2176" t="s">
        <v>8025</v>
      </c>
      <c r="C2176" t="e">
        <f>VLOOKUP(A2176,[1]Customer_payment_journal_line!$AL:$BO,30,0)</f>
        <v>#N/A</v>
      </c>
      <c r="D2176" t="s">
        <v>53</v>
      </c>
      <c r="E2176" t="s">
        <v>8023</v>
      </c>
      <c r="F2176" t="s">
        <v>8024</v>
      </c>
      <c r="G2176" t="s">
        <v>7579</v>
      </c>
      <c r="H2176" t="s">
        <v>69</v>
      </c>
      <c r="I2176" t="s">
        <v>8018</v>
      </c>
      <c r="J2176" t="s">
        <v>8015</v>
      </c>
      <c r="K2176" t="s">
        <v>8016</v>
      </c>
      <c r="L2176" t="s">
        <v>52</v>
      </c>
      <c r="M2176">
        <v>0</v>
      </c>
      <c r="N2176">
        <v>855</v>
      </c>
      <c r="O2176" t="s">
        <v>61</v>
      </c>
      <c r="P2176">
        <v>100</v>
      </c>
      <c r="Q2176" t="s">
        <v>52</v>
      </c>
      <c r="R2176" t="s">
        <v>52</v>
      </c>
      <c r="S2176" t="s">
        <v>52</v>
      </c>
      <c r="T2176" t="s">
        <v>52</v>
      </c>
      <c r="U2176" t="s">
        <v>52</v>
      </c>
      <c r="V2176" t="s">
        <v>62</v>
      </c>
      <c r="W2176" t="s">
        <v>52</v>
      </c>
      <c r="Y2176" t="s">
        <v>8019</v>
      </c>
      <c r="Z2176" t="s">
        <v>62</v>
      </c>
      <c r="AB2176" t="s">
        <v>8026</v>
      </c>
      <c r="AE2176" t="s">
        <v>8027</v>
      </c>
      <c r="AF2176" t="s">
        <v>52</v>
      </c>
      <c r="AH2176">
        <v>0</v>
      </c>
      <c r="AI2176">
        <v>0</v>
      </c>
      <c r="AJ2176" t="s">
        <v>52</v>
      </c>
      <c r="AK2176">
        <v>0</v>
      </c>
      <c r="AL2176" t="s">
        <v>52</v>
      </c>
      <c r="AM2176" t="s">
        <v>52</v>
      </c>
      <c r="AN2176">
        <v>0</v>
      </c>
      <c r="AO2176">
        <v>0</v>
      </c>
      <c r="AP2176" t="s">
        <v>52</v>
      </c>
      <c r="AQ2176" t="s">
        <v>52</v>
      </c>
      <c r="AR2176" t="s">
        <v>62</v>
      </c>
      <c r="AS2176" t="s">
        <v>52</v>
      </c>
      <c r="AT2176" t="s">
        <v>74</v>
      </c>
      <c r="AU2176" t="s">
        <v>64</v>
      </c>
      <c r="AV2176" t="s">
        <v>62</v>
      </c>
      <c r="AW2176" t="s">
        <v>65</v>
      </c>
      <c r="AX2176" t="s">
        <v>66</v>
      </c>
      <c r="AY2176" t="s">
        <v>67</v>
      </c>
    </row>
    <row r="2177" spans="1:51" hidden="1" x14ac:dyDescent="0.25">
      <c r="A2177">
        <v>203931</v>
      </c>
      <c r="B2177" t="s">
        <v>8028</v>
      </c>
      <c r="C2177" t="e">
        <f>VLOOKUP(A2177,[1]Customer_payment_journal_line!$AL:$BO,30,0)</f>
        <v>#N/A</v>
      </c>
      <c r="D2177" t="s">
        <v>53</v>
      </c>
      <c r="E2177" t="s">
        <v>8029</v>
      </c>
      <c r="F2177" t="s">
        <v>8030</v>
      </c>
      <c r="G2177" t="s">
        <v>7579</v>
      </c>
      <c r="H2177" t="s">
        <v>57</v>
      </c>
      <c r="I2177" t="s">
        <v>319</v>
      </c>
      <c r="J2177" t="s">
        <v>8031</v>
      </c>
      <c r="K2177" t="s">
        <v>8032</v>
      </c>
      <c r="L2177" t="s">
        <v>52</v>
      </c>
      <c r="M2177">
        <v>32478.6</v>
      </c>
      <c r="N2177">
        <v>0</v>
      </c>
      <c r="O2177" t="s">
        <v>61</v>
      </c>
      <c r="P2177">
        <v>100</v>
      </c>
      <c r="Q2177" t="s">
        <v>52</v>
      </c>
      <c r="R2177" t="s">
        <v>52</v>
      </c>
      <c r="S2177" t="s">
        <v>52</v>
      </c>
      <c r="T2177" t="s">
        <v>52</v>
      </c>
      <c r="U2177" t="s">
        <v>52</v>
      </c>
      <c r="V2177" t="s">
        <v>62</v>
      </c>
      <c r="W2177" t="s">
        <v>63</v>
      </c>
      <c r="Y2177" t="s">
        <v>52</v>
      </c>
      <c r="AB2177" t="s">
        <v>52</v>
      </c>
      <c r="AE2177" t="s">
        <v>52</v>
      </c>
      <c r="AF2177" t="s">
        <v>52</v>
      </c>
      <c r="AH2177">
        <v>0</v>
      </c>
      <c r="AI2177">
        <v>0</v>
      </c>
      <c r="AJ2177" t="s">
        <v>52</v>
      </c>
      <c r="AK2177">
        <v>0</v>
      </c>
      <c r="AL2177" t="s">
        <v>52</v>
      </c>
      <c r="AM2177" t="s">
        <v>52</v>
      </c>
      <c r="AN2177">
        <v>0</v>
      </c>
      <c r="AO2177">
        <v>0</v>
      </c>
      <c r="AP2177" t="s">
        <v>52</v>
      </c>
      <c r="AQ2177" t="s">
        <v>52</v>
      </c>
      <c r="AR2177" t="s">
        <v>62</v>
      </c>
      <c r="AS2177" t="s">
        <v>52</v>
      </c>
      <c r="AT2177" t="s">
        <v>52</v>
      </c>
      <c r="AU2177" t="s">
        <v>64</v>
      </c>
      <c r="AV2177" t="s">
        <v>62</v>
      </c>
      <c r="AW2177" t="s">
        <v>65</v>
      </c>
      <c r="AX2177" t="s">
        <v>66</v>
      </c>
      <c r="AY2177" t="s">
        <v>67</v>
      </c>
    </row>
    <row r="2178" spans="1:51" hidden="1" x14ac:dyDescent="0.25">
      <c r="A2178">
        <v>203931</v>
      </c>
      <c r="B2178" t="s">
        <v>8033</v>
      </c>
      <c r="C2178" t="e">
        <f>VLOOKUP(A2178,[1]Customer_payment_journal_line!$AL:$BO,30,0)</f>
        <v>#N/A</v>
      </c>
      <c r="D2178" t="s">
        <v>53</v>
      </c>
      <c r="E2178" t="s">
        <v>8029</v>
      </c>
      <c r="F2178" t="s">
        <v>8030</v>
      </c>
      <c r="G2178" t="s">
        <v>7579</v>
      </c>
      <c r="H2178" t="s">
        <v>69</v>
      </c>
      <c r="I2178" t="s">
        <v>1602</v>
      </c>
      <c r="J2178" t="s">
        <v>8031</v>
      </c>
      <c r="K2178" t="s">
        <v>8032</v>
      </c>
      <c r="L2178" t="s">
        <v>52</v>
      </c>
      <c r="M2178">
        <v>0</v>
      </c>
      <c r="N2178">
        <v>32478.6</v>
      </c>
      <c r="O2178" t="s">
        <v>61</v>
      </c>
      <c r="P2178">
        <v>100</v>
      </c>
      <c r="Q2178" t="s">
        <v>52</v>
      </c>
      <c r="R2178" t="s">
        <v>52</v>
      </c>
      <c r="S2178" t="s">
        <v>52</v>
      </c>
      <c r="T2178" t="s">
        <v>52</v>
      </c>
      <c r="U2178" t="s">
        <v>52</v>
      </c>
      <c r="V2178" t="s">
        <v>62</v>
      </c>
      <c r="W2178" t="s">
        <v>52</v>
      </c>
      <c r="Y2178" t="s">
        <v>1603</v>
      </c>
      <c r="Z2178" t="s">
        <v>62</v>
      </c>
      <c r="AB2178" t="s">
        <v>8034</v>
      </c>
      <c r="AE2178" t="s">
        <v>8035</v>
      </c>
      <c r="AF2178" t="s">
        <v>52</v>
      </c>
      <c r="AH2178">
        <v>0</v>
      </c>
      <c r="AI2178">
        <v>0</v>
      </c>
      <c r="AJ2178" t="s">
        <v>52</v>
      </c>
      <c r="AK2178">
        <v>0</v>
      </c>
      <c r="AL2178" t="s">
        <v>52</v>
      </c>
      <c r="AM2178" t="s">
        <v>52</v>
      </c>
      <c r="AN2178">
        <v>0</v>
      </c>
      <c r="AO2178">
        <v>0</v>
      </c>
      <c r="AP2178" t="s">
        <v>52</v>
      </c>
      <c r="AQ2178" t="s">
        <v>52</v>
      </c>
      <c r="AR2178" t="s">
        <v>62</v>
      </c>
      <c r="AS2178" t="s">
        <v>52</v>
      </c>
      <c r="AT2178" t="s">
        <v>74</v>
      </c>
      <c r="AU2178" t="s">
        <v>64</v>
      </c>
      <c r="AV2178" t="s">
        <v>62</v>
      </c>
      <c r="AW2178" t="s">
        <v>65</v>
      </c>
      <c r="AX2178" t="s">
        <v>66</v>
      </c>
      <c r="AY2178" t="s">
        <v>67</v>
      </c>
    </row>
    <row r="2179" spans="1:51" hidden="1" x14ac:dyDescent="0.25">
      <c r="A2179">
        <v>203932</v>
      </c>
      <c r="B2179" t="s">
        <v>8036</v>
      </c>
      <c r="C2179" t="e">
        <f>VLOOKUP(A2179,[1]Customer_payment_journal_line!$AL:$BO,30,0)</f>
        <v>#N/A</v>
      </c>
      <c r="D2179" t="s">
        <v>53</v>
      </c>
      <c r="E2179" t="s">
        <v>8037</v>
      </c>
      <c r="F2179" t="s">
        <v>8038</v>
      </c>
      <c r="G2179" t="s">
        <v>7579</v>
      </c>
      <c r="H2179" t="s">
        <v>57</v>
      </c>
      <c r="I2179" t="s">
        <v>319</v>
      </c>
      <c r="J2179" t="s">
        <v>8031</v>
      </c>
      <c r="K2179" t="s">
        <v>8032</v>
      </c>
      <c r="L2179" t="s">
        <v>52</v>
      </c>
      <c r="M2179">
        <v>855</v>
      </c>
      <c r="N2179">
        <v>0</v>
      </c>
      <c r="O2179" t="s">
        <v>61</v>
      </c>
      <c r="P2179">
        <v>100</v>
      </c>
      <c r="Q2179" t="s">
        <v>52</v>
      </c>
      <c r="R2179" t="s">
        <v>52</v>
      </c>
      <c r="S2179" t="s">
        <v>52</v>
      </c>
      <c r="T2179" t="s">
        <v>52</v>
      </c>
      <c r="U2179" t="s">
        <v>52</v>
      </c>
      <c r="V2179" t="s">
        <v>62</v>
      </c>
      <c r="W2179" t="s">
        <v>63</v>
      </c>
      <c r="Y2179" t="s">
        <v>52</v>
      </c>
      <c r="AB2179" t="s">
        <v>52</v>
      </c>
      <c r="AE2179" t="s">
        <v>52</v>
      </c>
      <c r="AF2179" t="s">
        <v>52</v>
      </c>
      <c r="AH2179">
        <v>0</v>
      </c>
      <c r="AI2179">
        <v>0</v>
      </c>
      <c r="AJ2179" t="s">
        <v>52</v>
      </c>
      <c r="AK2179">
        <v>0</v>
      </c>
      <c r="AL2179" t="s">
        <v>52</v>
      </c>
      <c r="AM2179" t="s">
        <v>52</v>
      </c>
      <c r="AN2179">
        <v>0</v>
      </c>
      <c r="AO2179">
        <v>0</v>
      </c>
      <c r="AP2179" t="s">
        <v>52</v>
      </c>
      <c r="AQ2179" t="s">
        <v>52</v>
      </c>
      <c r="AR2179" t="s">
        <v>62</v>
      </c>
      <c r="AS2179" t="s">
        <v>52</v>
      </c>
      <c r="AT2179" t="s">
        <v>52</v>
      </c>
      <c r="AU2179" t="s">
        <v>64</v>
      </c>
      <c r="AV2179" t="s">
        <v>62</v>
      </c>
      <c r="AW2179" t="s">
        <v>65</v>
      </c>
      <c r="AX2179" t="s">
        <v>66</v>
      </c>
      <c r="AY2179" t="s">
        <v>67</v>
      </c>
    </row>
    <row r="2180" spans="1:51" hidden="1" x14ac:dyDescent="0.25">
      <c r="A2180">
        <v>203932</v>
      </c>
      <c r="B2180" t="s">
        <v>8039</v>
      </c>
      <c r="C2180" t="e">
        <f>VLOOKUP(A2180,[1]Customer_payment_journal_line!$AL:$BO,30,0)</f>
        <v>#N/A</v>
      </c>
      <c r="D2180" t="s">
        <v>53</v>
      </c>
      <c r="E2180" t="s">
        <v>8037</v>
      </c>
      <c r="F2180" t="s">
        <v>8038</v>
      </c>
      <c r="G2180" t="s">
        <v>7579</v>
      </c>
      <c r="H2180" t="s">
        <v>69</v>
      </c>
      <c r="I2180" t="s">
        <v>1602</v>
      </c>
      <c r="J2180" t="s">
        <v>8031</v>
      </c>
      <c r="K2180" t="s">
        <v>8032</v>
      </c>
      <c r="L2180" t="s">
        <v>52</v>
      </c>
      <c r="M2180">
        <v>0</v>
      </c>
      <c r="N2180">
        <v>855</v>
      </c>
      <c r="O2180" t="s">
        <v>61</v>
      </c>
      <c r="P2180">
        <v>100</v>
      </c>
      <c r="Q2180" t="s">
        <v>52</v>
      </c>
      <c r="R2180" t="s">
        <v>52</v>
      </c>
      <c r="S2180" t="s">
        <v>52</v>
      </c>
      <c r="T2180" t="s">
        <v>52</v>
      </c>
      <c r="U2180" t="s">
        <v>52</v>
      </c>
      <c r="V2180" t="s">
        <v>62</v>
      </c>
      <c r="W2180" t="s">
        <v>52</v>
      </c>
      <c r="Y2180" t="s">
        <v>1603</v>
      </c>
      <c r="Z2180" t="s">
        <v>62</v>
      </c>
      <c r="AB2180" t="s">
        <v>8040</v>
      </c>
      <c r="AE2180" t="s">
        <v>8041</v>
      </c>
      <c r="AF2180" t="s">
        <v>52</v>
      </c>
      <c r="AH2180">
        <v>0</v>
      </c>
      <c r="AI2180">
        <v>0</v>
      </c>
      <c r="AJ2180" t="s">
        <v>52</v>
      </c>
      <c r="AK2180">
        <v>0</v>
      </c>
      <c r="AL2180" t="s">
        <v>52</v>
      </c>
      <c r="AM2180" t="s">
        <v>52</v>
      </c>
      <c r="AN2180">
        <v>0</v>
      </c>
      <c r="AO2180">
        <v>0</v>
      </c>
      <c r="AP2180" t="s">
        <v>52</v>
      </c>
      <c r="AQ2180" t="s">
        <v>52</v>
      </c>
      <c r="AR2180" t="s">
        <v>62</v>
      </c>
      <c r="AS2180" t="s">
        <v>52</v>
      </c>
      <c r="AT2180" t="s">
        <v>74</v>
      </c>
      <c r="AU2180" t="s">
        <v>64</v>
      </c>
      <c r="AV2180" t="s">
        <v>62</v>
      </c>
      <c r="AW2180" t="s">
        <v>65</v>
      </c>
      <c r="AX2180" t="s">
        <v>66</v>
      </c>
      <c r="AY2180" t="s">
        <v>67</v>
      </c>
    </row>
    <row r="2181" spans="1:51" hidden="1" x14ac:dyDescent="0.25">
      <c r="A2181">
        <v>203934</v>
      </c>
      <c r="B2181" t="s">
        <v>8042</v>
      </c>
      <c r="C2181" t="e">
        <f>VLOOKUP(A2181,[1]Customer_payment_journal_line!$AL:$BO,30,0)</f>
        <v>#N/A</v>
      </c>
      <c r="D2181" t="s">
        <v>53</v>
      </c>
      <c r="E2181" t="s">
        <v>8043</v>
      </c>
      <c r="F2181" t="s">
        <v>8044</v>
      </c>
      <c r="G2181" t="s">
        <v>7579</v>
      </c>
      <c r="H2181" t="s">
        <v>57</v>
      </c>
      <c r="I2181" t="s">
        <v>319</v>
      </c>
      <c r="J2181" t="s">
        <v>8045</v>
      </c>
      <c r="K2181" t="s">
        <v>6857</v>
      </c>
      <c r="L2181" t="s">
        <v>52</v>
      </c>
      <c r="M2181">
        <v>7410</v>
      </c>
      <c r="N2181">
        <v>0</v>
      </c>
      <c r="O2181" t="s">
        <v>61</v>
      </c>
      <c r="P2181">
        <v>100</v>
      </c>
      <c r="Q2181" t="s">
        <v>52</v>
      </c>
      <c r="R2181" t="s">
        <v>52</v>
      </c>
      <c r="S2181" t="s">
        <v>52</v>
      </c>
      <c r="T2181" t="s">
        <v>52</v>
      </c>
      <c r="U2181" t="s">
        <v>52</v>
      </c>
      <c r="V2181" t="s">
        <v>62</v>
      </c>
      <c r="W2181" t="s">
        <v>63</v>
      </c>
      <c r="Y2181" t="s">
        <v>52</v>
      </c>
      <c r="AB2181" t="s">
        <v>52</v>
      </c>
      <c r="AE2181" t="s">
        <v>52</v>
      </c>
      <c r="AF2181" t="s">
        <v>52</v>
      </c>
      <c r="AH2181">
        <v>0</v>
      </c>
      <c r="AI2181">
        <v>0</v>
      </c>
      <c r="AJ2181" t="s">
        <v>52</v>
      </c>
      <c r="AK2181">
        <v>0</v>
      </c>
      <c r="AL2181" t="s">
        <v>52</v>
      </c>
      <c r="AM2181" t="s">
        <v>52</v>
      </c>
      <c r="AN2181">
        <v>0</v>
      </c>
      <c r="AO2181">
        <v>0</v>
      </c>
      <c r="AP2181" t="s">
        <v>52</v>
      </c>
      <c r="AQ2181" t="s">
        <v>52</v>
      </c>
      <c r="AR2181" t="s">
        <v>62</v>
      </c>
      <c r="AS2181" t="s">
        <v>52</v>
      </c>
      <c r="AT2181" t="s">
        <v>52</v>
      </c>
      <c r="AU2181" t="s">
        <v>64</v>
      </c>
      <c r="AV2181" t="s">
        <v>62</v>
      </c>
      <c r="AW2181" t="s">
        <v>65</v>
      </c>
      <c r="AX2181" t="s">
        <v>66</v>
      </c>
      <c r="AY2181" t="s">
        <v>67</v>
      </c>
    </row>
    <row r="2182" spans="1:51" hidden="1" x14ac:dyDescent="0.25">
      <c r="A2182">
        <v>203934</v>
      </c>
      <c r="B2182" t="s">
        <v>8046</v>
      </c>
      <c r="C2182" t="e">
        <f>VLOOKUP(A2182,[1]Customer_payment_journal_line!$AL:$BO,30,0)</f>
        <v>#N/A</v>
      </c>
      <c r="D2182" t="s">
        <v>53</v>
      </c>
      <c r="E2182" t="s">
        <v>8043</v>
      </c>
      <c r="F2182" t="s">
        <v>8044</v>
      </c>
      <c r="G2182" t="s">
        <v>7579</v>
      </c>
      <c r="H2182" t="s">
        <v>69</v>
      </c>
      <c r="I2182" t="s">
        <v>2212</v>
      </c>
      <c r="J2182" t="s">
        <v>8045</v>
      </c>
      <c r="K2182" t="s">
        <v>6857</v>
      </c>
      <c r="L2182" t="s">
        <v>52</v>
      </c>
      <c r="M2182">
        <v>0</v>
      </c>
      <c r="N2182">
        <v>7410</v>
      </c>
      <c r="O2182" t="s">
        <v>61</v>
      </c>
      <c r="P2182">
        <v>100</v>
      </c>
      <c r="Q2182" t="s">
        <v>52</v>
      </c>
      <c r="R2182" t="s">
        <v>52</v>
      </c>
      <c r="S2182" t="s">
        <v>52</v>
      </c>
      <c r="T2182" t="s">
        <v>52</v>
      </c>
      <c r="U2182" t="s">
        <v>52</v>
      </c>
      <c r="V2182" t="s">
        <v>62</v>
      </c>
      <c r="W2182" t="s">
        <v>52</v>
      </c>
      <c r="Y2182" t="s">
        <v>2213</v>
      </c>
      <c r="Z2182" t="s">
        <v>62</v>
      </c>
      <c r="AB2182" t="s">
        <v>8047</v>
      </c>
      <c r="AE2182" t="s">
        <v>8048</v>
      </c>
      <c r="AF2182" t="s">
        <v>52</v>
      </c>
      <c r="AH2182">
        <v>0</v>
      </c>
      <c r="AI2182">
        <v>0</v>
      </c>
      <c r="AJ2182" t="s">
        <v>52</v>
      </c>
      <c r="AK2182">
        <v>0</v>
      </c>
      <c r="AL2182" t="s">
        <v>52</v>
      </c>
      <c r="AM2182" t="s">
        <v>52</v>
      </c>
      <c r="AN2182">
        <v>0</v>
      </c>
      <c r="AO2182">
        <v>0</v>
      </c>
      <c r="AP2182" t="s">
        <v>52</v>
      </c>
      <c r="AQ2182" t="s">
        <v>52</v>
      </c>
      <c r="AR2182" t="s">
        <v>62</v>
      </c>
      <c r="AS2182" t="s">
        <v>52</v>
      </c>
      <c r="AT2182" t="s">
        <v>74</v>
      </c>
      <c r="AU2182" t="s">
        <v>64</v>
      </c>
      <c r="AV2182" t="s">
        <v>62</v>
      </c>
      <c r="AW2182" t="s">
        <v>65</v>
      </c>
      <c r="AX2182" t="s">
        <v>66</v>
      </c>
      <c r="AY2182" t="s">
        <v>67</v>
      </c>
    </row>
    <row r="2183" spans="1:51" hidden="1" x14ac:dyDescent="0.25">
      <c r="A2183">
        <v>203946</v>
      </c>
      <c r="B2183" t="s">
        <v>8049</v>
      </c>
      <c r="C2183" t="e">
        <f>VLOOKUP(A2183,[1]Customer_payment_journal_line!$AL:$BO,30,0)</f>
        <v>#N/A</v>
      </c>
      <c r="D2183" t="s">
        <v>53</v>
      </c>
      <c r="E2183" t="s">
        <v>8050</v>
      </c>
      <c r="F2183" t="s">
        <v>8051</v>
      </c>
      <c r="G2183" t="s">
        <v>7579</v>
      </c>
      <c r="H2183" t="s">
        <v>57</v>
      </c>
      <c r="I2183" t="s">
        <v>58</v>
      </c>
      <c r="J2183" t="s">
        <v>8052</v>
      </c>
      <c r="K2183" t="s">
        <v>8053</v>
      </c>
      <c r="L2183" t="s">
        <v>52</v>
      </c>
      <c r="M2183">
        <v>1482</v>
      </c>
      <c r="N2183">
        <v>0</v>
      </c>
      <c r="O2183" t="s">
        <v>61</v>
      </c>
      <c r="P2183">
        <v>100</v>
      </c>
      <c r="Q2183" t="s">
        <v>52</v>
      </c>
      <c r="R2183" t="s">
        <v>52</v>
      </c>
      <c r="S2183" t="s">
        <v>52</v>
      </c>
      <c r="T2183" t="s">
        <v>52</v>
      </c>
      <c r="U2183" t="s">
        <v>52</v>
      </c>
      <c r="V2183" t="s">
        <v>62</v>
      </c>
      <c r="W2183" t="s">
        <v>63</v>
      </c>
      <c r="Y2183" t="s">
        <v>52</v>
      </c>
      <c r="AB2183" t="s">
        <v>52</v>
      </c>
      <c r="AE2183" t="s">
        <v>52</v>
      </c>
      <c r="AF2183" t="s">
        <v>52</v>
      </c>
      <c r="AH2183">
        <v>0</v>
      </c>
      <c r="AI2183">
        <v>0</v>
      </c>
      <c r="AJ2183" t="s">
        <v>52</v>
      </c>
      <c r="AK2183">
        <v>0</v>
      </c>
      <c r="AL2183" t="s">
        <v>52</v>
      </c>
      <c r="AM2183" t="s">
        <v>52</v>
      </c>
      <c r="AN2183">
        <v>0</v>
      </c>
      <c r="AO2183">
        <v>0</v>
      </c>
      <c r="AP2183" t="s">
        <v>52</v>
      </c>
      <c r="AQ2183" t="s">
        <v>52</v>
      </c>
      <c r="AR2183" t="s">
        <v>62</v>
      </c>
      <c r="AS2183" t="s">
        <v>52</v>
      </c>
      <c r="AT2183" t="s">
        <v>52</v>
      </c>
      <c r="AU2183" t="s">
        <v>64</v>
      </c>
      <c r="AV2183" t="s">
        <v>62</v>
      </c>
      <c r="AW2183" t="s">
        <v>65</v>
      </c>
      <c r="AX2183" t="s">
        <v>66</v>
      </c>
      <c r="AY2183" t="s">
        <v>67</v>
      </c>
    </row>
    <row r="2184" spans="1:51" hidden="1" x14ac:dyDescent="0.25">
      <c r="A2184">
        <v>203946</v>
      </c>
      <c r="B2184" t="s">
        <v>8054</v>
      </c>
      <c r="C2184" t="e">
        <f>VLOOKUP(A2184,[1]Customer_payment_journal_line!$AL:$BO,30,0)</f>
        <v>#N/A</v>
      </c>
      <c r="D2184" t="s">
        <v>53</v>
      </c>
      <c r="E2184" t="s">
        <v>8050</v>
      </c>
      <c r="F2184" t="s">
        <v>8051</v>
      </c>
      <c r="G2184" t="s">
        <v>7579</v>
      </c>
      <c r="H2184" t="s">
        <v>69</v>
      </c>
      <c r="I2184" t="s">
        <v>8055</v>
      </c>
      <c r="J2184" t="s">
        <v>8052</v>
      </c>
      <c r="K2184" t="s">
        <v>8053</v>
      </c>
      <c r="L2184" t="s">
        <v>52</v>
      </c>
      <c r="M2184">
        <v>0</v>
      </c>
      <c r="N2184">
        <v>1482</v>
      </c>
      <c r="O2184" t="s">
        <v>61</v>
      </c>
      <c r="P2184">
        <v>100</v>
      </c>
      <c r="Q2184" t="s">
        <v>52</v>
      </c>
      <c r="R2184" t="s">
        <v>52</v>
      </c>
      <c r="S2184" t="s">
        <v>52</v>
      </c>
      <c r="T2184" t="s">
        <v>52</v>
      </c>
      <c r="U2184" t="s">
        <v>52</v>
      </c>
      <c r="V2184" t="s">
        <v>62</v>
      </c>
      <c r="W2184" t="s">
        <v>52</v>
      </c>
      <c r="Y2184" t="s">
        <v>8056</v>
      </c>
      <c r="Z2184" t="s">
        <v>62</v>
      </c>
      <c r="AB2184" t="s">
        <v>8057</v>
      </c>
      <c r="AE2184" t="s">
        <v>8058</v>
      </c>
      <c r="AF2184" t="s">
        <v>52</v>
      </c>
      <c r="AH2184">
        <v>0</v>
      </c>
      <c r="AI2184">
        <v>0</v>
      </c>
      <c r="AJ2184" t="s">
        <v>52</v>
      </c>
      <c r="AK2184">
        <v>0</v>
      </c>
      <c r="AL2184" t="s">
        <v>52</v>
      </c>
      <c r="AM2184" t="s">
        <v>52</v>
      </c>
      <c r="AN2184">
        <v>0</v>
      </c>
      <c r="AO2184">
        <v>0</v>
      </c>
      <c r="AP2184" t="s">
        <v>52</v>
      </c>
      <c r="AQ2184" t="s">
        <v>52</v>
      </c>
      <c r="AR2184" t="s">
        <v>62</v>
      </c>
      <c r="AS2184" t="s">
        <v>52</v>
      </c>
      <c r="AT2184" t="s">
        <v>74</v>
      </c>
      <c r="AU2184" t="s">
        <v>64</v>
      </c>
      <c r="AV2184" t="s">
        <v>62</v>
      </c>
      <c r="AW2184" t="s">
        <v>65</v>
      </c>
      <c r="AX2184" t="s">
        <v>66</v>
      </c>
      <c r="AY2184" t="s">
        <v>67</v>
      </c>
    </row>
    <row r="2185" spans="1:51" hidden="1" x14ac:dyDescent="0.25">
      <c r="A2185">
        <v>203947</v>
      </c>
      <c r="B2185" t="s">
        <v>8059</v>
      </c>
      <c r="C2185" t="e">
        <f>VLOOKUP(A2185,[1]Customer_payment_journal_line!$AL:$BO,30,0)</f>
        <v>#N/A</v>
      </c>
      <c r="D2185" t="s">
        <v>53</v>
      </c>
      <c r="E2185" t="s">
        <v>8060</v>
      </c>
      <c r="F2185" t="s">
        <v>8061</v>
      </c>
      <c r="G2185" t="s">
        <v>7579</v>
      </c>
      <c r="H2185" t="s">
        <v>57</v>
      </c>
      <c r="I2185" t="s">
        <v>58</v>
      </c>
      <c r="J2185" t="s">
        <v>8052</v>
      </c>
      <c r="K2185" t="s">
        <v>8053</v>
      </c>
      <c r="L2185" t="s">
        <v>52</v>
      </c>
      <c r="M2185">
        <v>855</v>
      </c>
      <c r="N2185">
        <v>0</v>
      </c>
      <c r="O2185" t="s">
        <v>61</v>
      </c>
      <c r="P2185">
        <v>100</v>
      </c>
      <c r="Q2185" t="s">
        <v>52</v>
      </c>
      <c r="R2185" t="s">
        <v>52</v>
      </c>
      <c r="S2185" t="s">
        <v>52</v>
      </c>
      <c r="T2185" t="s">
        <v>52</v>
      </c>
      <c r="U2185" t="s">
        <v>52</v>
      </c>
      <c r="V2185" t="s">
        <v>62</v>
      </c>
      <c r="W2185" t="s">
        <v>63</v>
      </c>
      <c r="Y2185" t="s">
        <v>52</v>
      </c>
      <c r="AB2185" t="s">
        <v>52</v>
      </c>
      <c r="AE2185" t="s">
        <v>52</v>
      </c>
      <c r="AF2185" t="s">
        <v>52</v>
      </c>
      <c r="AH2185">
        <v>0</v>
      </c>
      <c r="AI2185">
        <v>0</v>
      </c>
      <c r="AJ2185" t="s">
        <v>52</v>
      </c>
      <c r="AK2185">
        <v>0</v>
      </c>
      <c r="AL2185" t="s">
        <v>52</v>
      </c>
      <c r="AM2185" t="s">
        <v>52</v>
      </c>
      <c r="AN2185">
        <v>0</v>
      </c>
      <c r="AO2185">
        <v>0</v>
      </c>
      <c r="AP2185" t="s">
        <v>52</v>
      </c>
      <c r="AQ2185" t="s">
        <v>52</v>
      </c>
      <c r="AR2185" t="s">
        <v>62</v>
      </c>
      <c r="AS2185" t="s">
        <v>52</v>
      </c>
      <c r="AT2185" t="s">
        <v>52</v>
      </c>
      <c r="AU2185" t="s">
        <v>64</v>
      </c>
      <c r="AV2185" t="s">
        <v>62</v>
      </c>
      <c r="AW2185" t="s">
        <v>65</v>
      </c>
      <c r="AX2185" t="s">
        <v>66</v>
      </c>
      <c r="AY2185" t="s">
        <v>67</v>
      </c>
    </row>
    <row r="2186" spans="1:51" hidden="1" x14ac:dyDescent="0.25">
      <c r="A2186">
        <v>203947</v>
      </c>
      <c r="B2186" t="s">
        <v>8062</v>
      </c>
      <c r="C2186" t="e">
        <f>VLOOKUP(A2186,[1]Customer_payment_journal_line!$AL:$BO,30,0)</f>
        <v>#N/A</v>
      </c>
      <c r="D2186" t="s">
        <v>53</v>
      </c>
      <c r="E2186" t="s">
        <v>8060</v>
      </c>
      <c r="F2186" t="s">
        <v>8061</v>
      </c>
      <c r="G2186" t="s">
        <v>7579</v>
      </c>
      <c r="H2186" t="s">
        <v>69</v>
      </c>
      <c r="I2186" t="s">
        <v>8055</v>
      </c>
      <c r="J2186" t="s">
        <v>8052</v>
      </c>
      <c r="K2186" t="s">
        <v>8053</v>
      </c>
      <c r="L2186" t="s">
        <v>52</v>
      </c>
      <c r="M2186">
        <v>0</v>
      </c>
      <c r="N2186">
        <v>855</v>
      </c>
      <c r="O2186" t="s">
        <v>61</v>
      </c>
      <c r="P2186">
        <v>100</v>
      </c>
      <c r="Q2186" t="s">
        <v>52</v>
      </c>
      <c r="R2186" t="s">
        <v>52</v>
      </c>
      <c r="S2186" t="s">
        <v>52</v>
      </c>
      <c r="T2186" t="s">
        <v>52</v>
      </c>
      <c r="U2186" t="s">
        <v>52</v>
      </c>
      <c r="V2186" t="s">
        <v>62</v>
      </c>
      <c r="W2186" t="s">
        <v>52</v>
      </c>
      <c r="Y2186" t="s">
        <v>8056</v>
      </c>
      <c r="Z2186" t="s">
        <v>62</v>
      </c>
      <c r="AB2186" t="s">
        <v>8063</v>
      </c>
      <c r="AE2186" t="s">
        <v>8064</v>
      </c>
      <c r="AF2186" t="s">
        <v>52</v>
      </c>
      <c r="AH2186">
        <v>0</v>
      </c>
      <c r="AI2186">
        <v>0</v>
      </c>
      <c r="AJ2186" t="s">
        <v>52</v>
      </c>
      <c r="AK2186">
        <v>0</v>
      </c>
      <c r="AL2186" t="s">
        <v>52</v>
      </c>
      <c r="AM2186" t="s">
        <v>52</v>
      </c>
      <c r="AN2186">
        <v>0</v>
      </c>
      <c r="AO2186">
        <v>0</v>
      </c>
      <c r="AP2186" t="s">
        <v>52</v>
      </c>
      <c r="AQ2186" t="s">
        <v>52</v>
      </c>
      <c r="AR2186" t="s">
        <v>62</v>
      </c>
      <c r="AS2186" t="s">
        <v>52</v>
      </c>
      <c r="AT2186" t="s">
        <v>74</v>
      </c>
      <c r="AU2186" t="s">
        <v>64</v>
      </c>
      <c r="AV2186" t="s">
        <v>62</v>
      </c>
      <c r="AW2186" t="s">
        <v>65</v>
      </c>
      <c r="AX2186" t="s">
        <v>66</v>
      </c>
      <c r="AY2186" t="s">
        <v>67</v>
      </c>
    </row>
    <row r="2187" spans="1:51" hidden="1" x14ac:dyDescent="0.25">
      <c r="A2187">
        <v>203952</v>
      </c>
      <c r="B2187" t="s">
        <v>8065</v>
      </c>
      <c r="C2187" t="e">
        <f>VLOOKUP(A2187,[1]Customer_payment_journal_line!$AL:$BO,30,0)</f>
        <v>#N/A</v>
      </c>
      <c r="D2187" t="s">
        <v>53</v>
      </c>
      <c r="E2187" t="s">
        <v>8066</v>
      </c>
      <c r="F2187" t="s">
        <v>8067</v>
      </c>
      <c r="G2187" t="s">
        <v>7579</v>
      </c>
      <c r="H2187" t="s">
        <v>57</v>
      </c>
      <c r="I2187" t="s">
        <v>58</v>
      </c>
      <c r="J2187" t="s">
        <v>8068</v>
      </c>
      <c r="K2187" t="s">
        <v>8069</v>
      </c>
      <c r="L2187" t="s">
        <v>52</v>
      </c>
      <c r="M2187">
        <v>1026</v>
      </c>
      <c r="N2187">
        <v>0</v>
      </c>
      <c r="O2187" t="s">
        <v>61</v>
      </c>
      <c r="P2187">
        <v>100</v>
      </c>
      <c r="Q2187" t="s">
        <v>52</v>
      </c>
      <c r="R2187" t="s">
        <v>52</v>
      </c>
      <c r="S2187" t="s">
        <v>52</v>
      </c>
      <c r="T2187" t="s">
        <v>52</v>
      </c>
      <c r="U2187" t="s">
        <v>52</v>
      </c>
      <c r="V2187" t="s">
        <v>62</v>
      </c>
      <c r="W2187" t="s">
        <v>63</v>
      </c>
      <c r="Y2187" t="s">
        <v>52</v>
      </c>
      <c r="AB2187" t="s">
        <v>52</v>
      </c>
      <c r="AE2187" t="s">
        <v>52</v>
      </c>
      <c r="AF2187" t="s">
        <v>52</v>
      </c>
      <c r="AH2187">
        <v>0</v>
      </c>
      <c r="AI2187">
        <v>0</v>
      </c>
      <c r="AJ2187" t="s">
        <v>52</v>
      </c>
      <c r="AK2187">
        <v>0</v>
      </c>
      <c r="AL2187" t="s">
        <v>52</v>
      </c>
      <c r="AM2187" t="s">
        <v>52</v>
      </c>
      <c r="AN2187">
        <v>0</v>
      </c>
      <c r="AO2187">
        <v>0</v>
      </c>
      <c r="AP2187" t="s">
        <v>52</v>
      </c>
      <c r="AQ2187" t="s">
        <v>52</v>
      </c>
      <c r="AR2187" t="s">
        <v>62</v>
      </c>
      <c r="AS2187" t="s">
        <v>52</v>
      </c>
      <c r="AT2187" t="s">
        <v>52</v>
      </c>
      <c r="AU2187" t="s">
        <v>64</v>
      </c>
      <c r="AV2187" t="s">
        <v>62</v>
      </c>
      <c r="AW2187" t="s">
        <v>65</v>
      </c>
      <c r="AX2187" t="s">
        <v>66</v>
      </c>
      <c r="AY2187" t="s">
        <v>67</v>
      </c>
    </row>
    <row r="2188" spans="1:51" hidden="1" x14ac:dyDescent="0.25">
      <c r="A2188">
        <v>203952</v>
      </c>
      <c r="B2188" t="s">
        <v>8070</v>
      </c>
      <c r="C2188" t="e">
        <f>VLOOKUP(A2188,[1]Customer_payment_journal_line!$AL:$BO,30,0)</f>
        <v>#N/A</v>
      </c>
      <c r="D2188" t="s">
        <v>53</v>
      </c>
      <c r="E2188" t="s">
        <v>8066</v>
      </c>
      <c r="F2188" t="s">
        <v>8067</v>
      </c>
      <c r="G2188" t="s">
        <v>7579</v>
      </c>
      <c r="H2188" t="s">
        <v>69</v>
      </c>
      <c r="I2188" t="s">
        <v>8071</v>
      </c>
      <c r="J2188" t="s">
        <v>8068</v>
      </c>
      <c r="K2188" t="s">
        <v>8069</v>
      </c>
      <c r="L2188" t="s">
        <v>52</v>
      </c>
      <c r="M2188">
        <v>0</v>
      </c>
      <c r="N2188">
        <v>1026</v>
      </c>
      <c r="O2188" t="s">
        <v>61</v>
      </c>
      <c r="P2188">
        <v>100</v>
      </c>
      <c r="Q2188" t="s">
        <v>52</v>
      </c>
      <c r="R2188" t="s">
        <v>52</v>
      </c>
      <c r="S2188" t="s">
        <v>52</v>
      </c>
      <c r="T2188" t="s">
        <v>52</v>
      </c>
      <c r="U2188" t="s">
        <v>52</v>
      </c>
      <c r="V2188" t="s">
        <v>62</v>
      </c>
      <c r="W2188" t="s">
        <v>52</v>
      </c>
      <c r="Y2188" t="s">
        <v>8072</v>
      </c>
      <c r="Z2188" t="s">
        <v>62</v>
      </c>
      <c r="AB2188" t="s">
        <v>8073</v>
      </c>
      <c r="AE2188" t="s">
        <v>8074</v>
      </c>
      <c r="AF2188" t="s">
        <v>52</v>
      </c>
      <c r="AH2188">
        <v>0</v>
      </c>
      <c r="AI2188">
        <v>0</v>
      </c>
      <c r="AJ2188" t="s">
        <v>52</v>
      </c>
      <c r="AK2188">
        <v>0</v>
      </c>
      <c r="AL2188" t="s">
        <v>52</v>
      </c>
      <c r="AM2188" t="s">
        <v>52</v>
      </c>
      <c r="AN2188">
        <v>0</v>
      </c>
      <c r="AO2188">
        <v>0</v>
      </c>
      <c r="AP2188" t="s">
        <v>52</v>
      </c>
      <c r="AQ2188" t="s">
        <v>52</v>
      </c>
      <c r="AR2188" t="s">
        <v>62</v>
      </c>
      <c r="AS2188" t="s">
        <v>52</v>
      </c>
      <c r="AT2188" t="s">
        <v>74</v>
      </c>
      <c r="AU2188" t="s">
        <v>64</v>
      </c>
      <c r="AV2188" t="s">
        <v>62</v>
      </c>
      <c r="AW2188" t="s">
        <v>65</v>
      </c>
      <c r="AX2188" t="s">
        <v>66</v>
      </c>
      <c r="AY2188" t="s">
        <v>67</v>
      </c>
    </row>
    <row r="2189" spans="1:51" hidden="1" x14ac:dyDescent="0.25">
      <c r="A2189">
        <v>203953</v>
      </c>
      <c r="B2189" t="s">
        <v>8075</v>
      </c>
      <c r="C2189" t="e">
        <f>VLOOKUP(A2189,[1]Customer_payment_journal_line!$AL:$BO,30,0)</f>
        <v>#N/A</v>
      </c>
      <c r="D2189" t="s">
        <v>53</v>
      </c>
      <c r="E2189" t="s">
        <v>8076</v>
      </c>
      <c r="F2189" t="s">
        <v>8077</v>
      </c>
      <c r="G2189" t="s">
        <v>7579</v>
      </c>
      <c r="H2189" t="s">
        <v>57</v>
      </c>
      <c r="I2189" t="s">
        <v>58</v>
      </c>
      <c r="J2189" t="s">
        <v>8068</v>
      </c>
      <c r="K2189" t="s">
        <v>8069</v>
      </c>
      <c r="L2189" t="s">
        <v>52</v>
      </c>
      <c r="M2189">
        <v>855</v>
      </c>
      <c r="N2189">
        <v>0</v>
      </c>
      <c r="O2189" t="s">
        <v>61</v>
      </c>
      <c r="P2189">
        <v>100</v>
      </c>
      <c r="Q2189" t="s">
        <v>52</v>
      </c>
      <c r="R2189" t="s">
        <v>52</v>
      </c>
      <c r="S2189" t="s">
        <v>52</v>
      </c>
      <c r="T2189" t="s">
        <v>52</v>
      </c>
      <c r="U2189" t="s">
        <v>52</v>
      </c>
      <c r="V2189" t="s">
        <v>62</v>
      </c>
      <c r="W2189" t="s">
        <v>63</v>
      </c>
      <c r="Y2189" t="s">
        <v>52</v>
      </c>
      <c r="AB2189" t="s">
        <v>52</v>
      </c>
      <c r="AE2189" t="s">
        <v>52</v>
      </c>
      <c r="AF2189" t="s">
        <v>52</v>
      </c>
      <c r="AH2189">
        <v>0</v>
      </c>
      <c r="AI2189">
        <v>0</v>
      </c>
      <c r="AJ2189" t="s">
        <v>52</v>
      </c>
      <c r="AK2189">
        <v>0</v>
      </c>
      <c r="AL2189" t="s">
        <v>52</v>
      </c>
      <c r="AM2189" t="s">
        <v>52</v>
      </c>
      <c r="AN2189">
        <v>0</v>
      </c>
      <c r="AO2189">
        <v>0</v>
      </c>
      <c r="AP2189" t="s">
        <v>52</v>
      </c>
      <c r="AQ2189" t="s">
        <v>52</v>
      </c>
      <c r="AR2189" t="s">
        <v>62</v>
      </c>
      <c r="AS2189" t="s">
        <v>52</v>
      </c>
      <c r="AT2189" t="s">
        <v>52</v>
      </c>
      <c r="AU2189" t="s">
        <v>64</v>
      </c>
      <c r="AV2189" t="s">
        <v>62</v>
      </c>
      <c r="AW2189" t="s">
        <v>65</v>
      </c>
      <c r="AX2189" t="s">
        <v>66</v>
      </c>
      <c r="AY2189" t="s">
        <v>67</v>
      </c>
    </row>
    <row r="2190" spans="1:51" hidden="1" x14ac:dyDescent="0.25">
      <c r="A2190">
        <v>203953</v>
      </c>
      <c r="B2190" t="s">
        <v>8078</v>
      </c>
      <c r="C2190" t="e">
        <f>VLOOKUP(A2190,[1]Customer_payment_journal_line!$AL:$BO,30,0)</f>
        <v>#N/A</v>
      </c>
      <c r="D2190" t="s">
        <v>53</v>
      </c>
      <c r="E2190" t="s">
        <v>8076</v>
      </c>
      <c r="F2190" t="s">
        <v>8077</v>
      </c>
      <c r="G2190" t="s">
        <v>7579</v>
      </c>
      <c r="H2190" t="s">
        <v>69</v>
      </c>
      <c r="I2190" t="s">
        <v>8071</v>
      </c>
      <c r="J2190" t="s">
        <v>8068</v>
      </c>
      <c r="K2190" t="s">
        <v>8069</v>
      </c>
      <c r="L2190" t="s">
        <v>52</v>
      </c>
      <c r="M2190">
        <v>0</v>
      </c>
      <c r="N2190">
        <v>855</v>
      </c>
      <c r="O2190" t="s">
        <v>61</v>
      </c>
      <c r="P2190">
        <v>100</v>
      </c>
      <c r="Q2190" t="s">
        <v>52</v>
      </c>
      <c r="R2190" t="s">
        <v>52</v>
      </c>
      <c r="S2190" t="s">
        <v>52</v>
      </c>
      <c r="T2190" t="s">
        <v>52</v>
      </c>
      <c r="U2190" t="s">
        <v>52</v>
      </c>
      <c r="V2190" t="s">
        <v>62</v>
      </c>
      <c r="W2190" t="s">
        <v>52</v>
      </c>
      <c r="Y2190" t="s">
        <v>8072</v>
      </c>
      <c r="Z2190" t="s">
        <v>62</v>
      </c>
      <c r="AB2190" t="s">
        <v>8079</v>
      </c>
      <c r="AE2190" t="s">
        <v>8080</v>
      </c>
      <c r="AF2190" t="s">
        <v>52</v>
      </c>
      <c r="AH2190">
        <v>0</v>
      </c>
      <c r="AI2190">
        <v>0</v>
      </c>
      <c r="AJ2190" t="s">
        <v>52</v>
      </c>
      <c r="AK2190">
        <v>0</v>
      </c>
      <c r="AL2190" t="s">
        <v>52</v>
      </c>
      <c r="AM2190" t="s">
        <v>52</v>
      </c>
      <c r="AN2190">
        <v>0</v>
      </c>
      <c r="AO2190">
        <v>0</v>
      </c>
      <c r="AP2190" t="s">
        <v>52</v>
      </c>
      <c r="AQ2190" t="s">
        <v>52</v>
      </c>
      <c r="AR2190" t="s">
        <v>62</v>
      </c>
      <c r="AS2190" t="s">
        <v>52</v>
      </c>
      <c r="AT2190" t="s">
        <v>74</v>
      </c>
      <c r="AU2190" t="s">
        <v>64</v>
      </c>
      <c r="AV2190" t="s">
        <v>62</v>
      </c>
      <c r="AW2190" t="s">
        <v>65</v>
      </c>
      <c r="AX2190" t="s">
        <v>66</v>
      </c>
      <c r="AY2190" t="s">
        <v>67</v>
      </c>
    </row>
    <row r="2191" spans="1:51" hidden="1" x14ac:dyDescent="0.25">
      <c r="A2191">
        <v>203954</v>
      </c>
      <c r="B2191" t="s">
        <v>8081</v>
      </c>
      <c r="C2191" t="e">
        <f>VLOOKUP(A2191,[1]Customer_payment_journal_line!$AL:$BO,30,0)</f>
        <v>#N/A</v>
      </c>
      <c r="D2191" t="s">
        <v>53</v>
      </c>
      <c r="E2191" t="s">
        <v>8082</v>
      </c>
      <c r="F2191" t="s">
        <v>8083</v>
      </c>
      <c r="G2191" t="s">
        <v>7579</v>
      </c>
      <c r="H2191" t="s">
        <v>57</v>
      </c>
      <c r="I2191" t="s">
        <v>58</v>
      </c>
      <c r="J2191" t="s">
        <v>8068</v>
      </c>
      <c r="K2191" t="s">
        <v>8084</v>
      </c>
      <c r="L2191" t="s">
        <v>52</v>
      </c>
      <c r="M2191">
        <v>2052</v>
      </c>
      <c r="N2191">
        <v>0</v>
      </c>
      <c r="O2191" t="s">
        <v>61</v>
      </c>
      <c r="P2191">
        <v>100</v>
      </c>
      <c r="Q2191" t="s">
        <v>52</v>
      </c>
      <c r="R2191" t="s">
        <v>52</v>
      </c>
      <c r="S2191" t="s">
        <v>52</v>
      </c>
      <c r="T2191" t="s">
        <v>52</v>
      </c>
      <c r="U2191" t="s">
        <v>52</v>
      </c>
      <c r="V2191" t="s">
        <v>62</v>
      </c>
      <c r="W2191" t="s">
        <v>63</v>
      </c>
      <c r="Y2191" t="s">
        <v>52</v>
      </c>
      <c r="AB2191" t="s">
        <v>52</v>
      </c>
      <c r="AE2191" t="s">
        <v>52</v>
      </c>
      <c r="AF2191" t="s">
        <v>52</v>
      </c>
      <c r="AH2191">
        <v>0</v>
      </c>
      <c r="AI2191">
        <v>0</v>
      </c>
      <c r="AJ2191" t="s">
        <v>52</v>
      </c>
      <c r="AK2191">
        <v>0</v>
      </c>
      <c r="AL2191" t="s">
        <v>52</v>
      </c>
      <c r="AM2191" t="s">
        <v>52</v>
      </c>
      <c r="AN2191">
        <v>0</v>
      </c>
      <c r="AO2191">
        <v>0</v>
      </c>
      <c r="AP2191" t="s">
        <v>52</v>
      </c>
      <c r="AQ2191" t="s">
        <v>52</v>
      </c>
      <c r="AR2191" t="s">
        <v>62</v>
      </c>
      <c r="AS2191" t="s">
        <v>52</v>
      </c>
      <c r="AT2191" t="s">
        <v>52</v>
      </c>
      <c r="AU2191" t="s">
        <v>64</v>
      </c>
      <c r="AV2191" t="s">
        <v>62</v>
      </c>
      <c r="AW2191" t="s">
        <v>65</v>
      </c>
      <c r="AX2191" t="s">
        <v>66</v>
      </c>
      <c r="AY2191" t="s">
        <v>67</v>
      </c>
    </row>
    <row r="2192" spans="1:51" hidden="1" x14ac:dyDescent="0.25">
      <c r="A2192">
        <v>203954</v>
      </c>
      <c r="B2192" t="s">
        <v>8085</v>
      </c>
      <c r="C2192" t="e">
        <f>VLOOKUP(A2192,[1]Customer_payment_journal_line!$AL:$BO,30,0)</f>
        <v>#N/A</v>
      </c>
      <c r="D2192" t="s">
        <v>53</v>
      </c>
      <c r="E2192" t="s">
        <v>8082</v>
      </c>
      <c r="F2192" t="s">
        <v>8083</v>
      </c>
      <c r="G2192" t="s">
        <v>7579</v>
      </c>
      <c r="H2192" t="s">
        <v>69</v>
      </c>
      <c r="I2192" t="s">
        <v>8071</v>
      </c>
      <c r="J2192" t="s">
        <v>8068</v>
      </c>
      <c r="K2192" t="s">
        <v>8084</v>
      </c>
      <c r="L2192" t="s">
        <v>52</v>
      </c>
      <c r="M2192">
        <v>0</v>
      </c>
      <c r="N2192">
        <v>2052</v>
      </c>
      <c r="O2192" t="s">
        <v>61</v>
      </c>
      <c r="P2192">
        <v>100</v>
      </c>
      <c r="Q2192" t="s">
        <v>52</v>
      </c>
      <c r="R2192" t="s">
        <v>52</v>
      </c>
      <c r="S2192" t="s">
        <v>52</v>
      </c>
      <c r="T2192" t="s">
        <v>52</v>
      </c>
      <c r="U2192" t="s">
        <v>52</v>
      </c>
      <c r="V2192" t="s">
        <v>62</v>
      </c>
      <c r="W2192" t="s">
        <v>52</v>
      </c>
      <c r="Y2192" t="s">
        <v>8072</v>
      </c>
      <c r="Z2192" t="s">
        <v>62</v>
      </c>
      <c r="AB2192" t="s">
        <v>8086</v>
      </c>
      <c r="AE2192" t="s">
        <v>8087</v>
      </c>
      <c r="AF2192" t="s">
        <v>52</v>
      </c>
      <c r="AH2192">
        <v>0</v>
      </c>
      <c r="AI2192">
        <v>0</v>
      </c>
      <c r="AJ2192" t="s">
        <v>52</v>
      </c>
      <c r="AK2192">
        <v>0</v>
      </c>
      <c r="AL2192" t="s">
        <v>52</v>
      </c>
      <c r="AM2192" t="s">
        <v>52</v>
      </c>
      <c r="AN2192">
        <v>0</v>
      </c>
      <c r="AO2192">
        <v>0</v>
      </c>
      <c r="AP2192" t="s">
        <v>52</v>
      </c>
      <c r="AQ2192" t="s">
        <v>52</v>
      </c>
      <c r="AR2192" t="s">
        <v>62</v>
      </c>
      <c r="AS2192" t="s">
        <v>52</v>
      </c>
      <c r="AT2192" t="s">
        <v>74</v>
      </c>
      <c r="AU2192" t="s">
        <v>64</v>
      </c>
      <c r="AV2192" t="s">
        <v>62</v>
      </c>
      <c r="AW2192" t="s">
        <v>65</v>
      </c>
      <c r="AX2192" t="s">
        <v>66</v>
      </c>
      <c r="AY2192" t="s">
        <v>67</v>
      </c>
    </row>
    <row r="2193" spans="1:51" hidden="1" x14ac:dyDescent="0.25">
      <c r="A2193">
        <v>203955</v>
      </c>
      <c r="B2193" t="s">
        <v>8088</v>
      </c>
      <c r="C2193" t="e">
        <f>VLOOKUP(A2193,[1]Customer_payment_journal_line!$AL:$BO,30,0)</f>
        <v>#N/A</v>
      </c>
      <c r="D2193" t="s">
        <v>53</v>
      </c>
      <c r="E2193" t="s">
        <v>8089</v>
      </c>
      <c r="F2193" t="s">
        <v>8090</v>
      </c>
      <c r="G2193" t="s">
        <v>7579</v>
      </c>
      <c r="H2193" t="s">
        <v>57</v>
      </c>
      <c r="I2193" t="s">
        <v>58</v>
      </c>
      <c r="J2193" t="s">
        <v>8068</v>
      </c>
      <c r="K2193" t="s">
        <v>8084</v>
      </c>
      <c r="L2193" t="s">
        <v>52</v>
      </c>
      <c r="M2193">
        <v>855</v>
      </c>
      <c r="N2193">
        <v>0</v>
      </c>
      <c r="O2193" t="s">
        <v>61</v>
      </c>
      <c r="P2193">
        <v>100</v>
      </c>
      <c r="Q2193" t="s">
        <v>52</v>
      </c>
      <c r="R2193" t="s">
        <v>52</v>
      </c>
      <c r="S2193" t="s">
        <v>52</v>
      </c>
      <c r="T2193" t="s">
        <v>52</v>
      </c>
      <c r="U2193" t="s">
        <v>52</v>
      </c>
      <c r="V2193" t="s">
        <v>62</v>
      </c>
      <c r="W2193" t="s">
        <v>63</v>
      </c>
      <c r="Y2193" t="s">
        <v>52</v>
      </c>
      <c r="AB2193" t="s">
        <v>52</v>
      </c>
      <c r="AE2193" t="s">
        <v>52</v>
      </c>
      <c r="AF2193" t="s">
        <v>52</v>
      </c>
      <c r="AH2193">
        <v>0</v>
      </c>
      <c r="AI2193">
        <v>0</v>
      </c>
      <c r="AJ2193" t="s">
        <v>52</v>
      </c>
      <c r="AK2193">
        <v>0</v>
      </c>
      <c r="AL2193" t="s">
        <v>52</v>
      </c>
      <c r="AM2193" t="s">
        <v>52</v>
      </c>
      <c r="AN2193">
        <v>0</v>
      </c>
      <c r="AO2193">
        <v>0</v>
      </c>
      <c r="AP2193" t="s">
        <v>52</v>
      </c>
      <c r="AQ2193" t="s">
        <v>52</v>
      </c>
      <c r="AR2193" t="s">
        <v>62</v>
      </c>
      <c r="AS2193" t="s">
        <v>52</v>
      </c>
      <c r="AT2193" t="s">
        <v>52</v>
      </c>
      <c r="AU2193" t="s">
        <v>64</v>
      </c>
      <c r="AV2193" t="s">
        <v>62</v>
      </c>
      <c r="AW2193" t="s">
        <v>65</v>
      </c>
      <c r="AX2193" t="s">
        <v>66</v>
      </c>
      <c r="AY2193" t="s">
        <v>67</v>
      </c>
    </row>
    <row r="2194" spans="1:51" hidden="1" x14ac:dyDescent="0.25">
      <c r="A2194">
        <v>203955</v>
      </c>
      <c r="B2194" t="s">
        <v>8091</v>
      </c>
      <c r="C2194" t="e">
        <f>VLOOKUP(A2194,[1]Customer_payment_journal_line!$AL:$BO,30,0)</f>
        <v>#N/A</v>
      </c>
      <c r="D2194" t="s">
        <v>53</v>
      </c>
      <c r="E2194" t="s">
        <v>8089</v>
      </c>
      <c r="F2194" t="s">
        <v>8090</v>
      </c>
      <c r="G2194" t="s">
        <v>7579</v>
      </c>
      <c r="H2194" t="s">
        <v>69</v>
      </c>
      <c r="I2194" t="s">
        <v>8071</v>
      </c>
      <c r="J2194" t="s">
        <v>8068</v>
      </c>
      <c r="K2194" t="s">
        <v>8084</v>
      </c>
      <c r="L2194" t="s">
        <v>52</v>
      </c>
      <c r="M2194">
        <v>0</v>
      </c>
      <c r="N2194">
        <v>855</v>
      </c>
      <c r="O2194" t="s">
        <v>61</v>
      </c>
      <c r="P2194">
        <v>100</v>
      </c>
      <c r="Q2194" t="s">
        <v>52</v>
      </c>
      <c r="R2194" t="s">
        <v>52</v>
      </c>
      <c r="S2194" t="s">
        <v>52</v>
      </c>
      <c r="T2194" t="s">
        <v>52</v>
      </c>
      <c r="U2194" t="s">
        <v>52</v>
      </c>
      <c r="V2194" t="s">
        <v>62</v>
      </c>
      <c r="W2194" t="s">
        <v>52</v>
      </c>
      <c r="Y2194" t="s">
        <v>8072</v>
      </c>
      <c r="Z2194" t="s">
        <v>62</v>
      </c>
      <c r="AB2194" t="s">
        <v>8092</v>
      </c>
      <c r="AE2194" t="s">
        <v>8093</v>
      </c>
      <c r="AF2194" t="s">
        <v>52</v>
      </c>
      <c r="AH2194">
        <v>0</v>
      </c>
      <c r="AI2194">
        <v>0</v>
      </c>
      <c r="AJ2194" t="s">
        <v>52</v>
      </c>
      <c r="AK2194">
        <v>0</v>
      </c>
      <c r="AL2194" t="s">
        <v>52</v>
      </c>
      <c r="AM2194" t="s">
        <v>52</v>
      </c>
      <c r="AN2194">
        <v>0</v>
      </c>
      <c r="AO2194">
        <v>0</v>
      </c>
      <c r="AP2194" t="s">
        <v>52</v>
      </c>
      <c r="AQ2194" t="s">
        <v>52</v>
      </c>
      <c r="AR2194" t="s">
        <v>62</v>
      </c>
      <c r="AS2194" t="s">
        <v>52</v>
      </c>
      <c r="AT2194" t="s">
        <v>74</v>
      </c>
      <c r="AU2194" t="s">
        <v>64</v>
      </c>
      <c r="AV2194" t="s">
        <v>62</v>
      </c>
      <c r="AW2194" t="s">
        <v>65</v>
      </c>
      <c r="AX2194" t="s">
        <v>66</v>
      </c>
      <c r="AY2194" t="s">
        <v>67</v>
      </c>
    </row>
    <row r="2195" spans="1:51" hidden="1" x14ac:dyDescent="0.25">
      <c r="A2195">
        <v>203958</v>
      </c>
      <c r="B2195" t="s">
        <v>8094</v>
      </c>
      <c r="C2195" t="e">
        <f>VLOOKUP(A2195,[1]Customer_payment_journal_line!$AL:$BO,30,0)</f>
        <v>#N/A</v>
      </c>
      <c r="D2195" t="s">
        <v>53</v>
      </c>
      <c r="E2195" t="s">
        <v>8095</v>
      </c>
      <c r="F2195" t="s">
        <v>8096</v>
      </c>
      <c r="G2195" t="s">
        <v>7579</v>
      </c>
      <c r="H2195" t="s">
        <v>57</v>
      </c>
      <c r="I2195" t="s">
        <v>58</v>
      </c>
      <c r="J2195" t="s">
        <v>2706</v>
      </c>
      <c r="K2195" t="s">
        <v>8097</v>
      </c>
      <c r="L2195" t="s">
        <v>52</v>
      </c>
      <c r="M2195">
        <v>1140</v>
      </c>
      <c r="N2195">
        <v>0</v>
      </c>
      <c r="O2195" t="s">
        <v>61</v>
      </c>
      <c r="P2195">
        <v>100</v>
      </c>
      <c r="Q2195" t="s">
        <v>52</v>
      </c>
      <c r="R2195" t="s">
        <v>52</v>
      </c>
      <c r="S2195" t="s">
        <v>52</v>
      </c>
      <c r="T2195" t="s">
        <v>52</v>
      </c>
      <c r="U2195" t="s">
        <v>52</v>
      </c>
      <c r="V2195" t="s">
        <v>62</v>
      </c>
      <c r="W2195" t="s">
        <v>63</v>
      </c>
      <c r="Y2195" t="s">
        <v>52</v>
      </c>
      <c r="AB2195" t="s">
        <v>52</v>
      </c>
      <c r="AE2195" t="s">
        <v>52</v>
      </c>
      <c r="AF2195" t="s">
        <v>52</v>
      </c>
      <c r="AH2195">
        <v>0</v>
      </c>
      <c r="AI2195">
        <v>0</v>
      </c>
      <c r="AJ2195" t="s">
        <v>52</v>
      </c>
      <c r="AK2195">
        <v>0</v>
      </c>
      <c r="AL2195" t="s">
        <v>52</v>
      </c>
      <c r="AM2195" t="s">
        <v>52</v>
      </c>
      <c r="AN2195">
        <v>0</v>
      </c>
      <c r="AO2195">
        <v>0</v>
      </c>
      <c r="AP2195" t="s">
        <v>52</v>
      </c>
      <c r="AQ2195" t="s">
        <v>52</v>
      </c>
      <c r="AR2195" t="s">
        <v>62</v>
      </c>
      <c r="AS2195" t="s">
        <v>52</v>
      </c>
      <c r="AT2195" t="s">
        <v>52</v>
      </c>
      <c r="AU2195" t="s">
        <v>64</v>
      </c>
      <c r="AV2195" t="s">
        <v>62</v>
      </c>
      <c r="AW2195" t="s">
        <v>65</v>
      </c>
      <c r="AX2195" t="s">
        <v>66</v>
      </c>
      <c r="AY2195" t="s">
        <v>67</v>
      </c>
    </row>
    <row r="2196" spans="1:51" hidden="1" x14ac:dyDescent="0.25">
      <c r="A2196">
        <v>203958</v>
      </c>
      <c r="B2196" t="s">
        <v>8098</v>
      </c>
      <c r="C2196" t="e">
        <f>VLOOKUP(A2196,[1]Customer_payment_journal_line!$AL:$BO,30,0)</f>
        <v>#N/A</v>
      </c>
      <c r="D2196" t="s">
        <v>53</v>
      </c>
      <c r="E2196" t="s">
        <v>8095</v>
      </c>
      <c r="F2196" t="s">
        <v>8096</v>
      </c>
      <c r="G2196" t="s">
        <v>7579</v>
      </c>
      <c r="H2196" t="s">
        <v>69</v>
      </c>
      <c r="I2196" t="s">
        <v>2709</v>
      </c>
      <c r="J2196" t="s">
        <v>2706</v>
      </c>
      <c r="K2196" t="s">
        <v>8097</v>
      </c>
      <c r="L2196" t="s">
        <v>52</v>
      </c>
      <c r="M2196">
        <v>0</v>
      </c>
      <c r="N2196">
        <v>1140</v>
      </c>
      <c r="O2196" t="s">
        <v>61</v>
      </c>
      <c r="P2196">
        <v>100</v>
      </c>
      <c r="Q2196" t="s">
        <v>52</v>
      </c>
      <c r="R2196" t="s">
        <v>52</v>
      </c>
      <c r="S2196" t="s">
        <v>52</v>
      </c>
      <c r="T2196" t="s">
        <v>52</v>
      </c>
      <c r="U2196" t="s">
        <v>52</v>
      </c>
      <c r="V2196" t="s">
        <v>62</v>
      </c>
      <c r="W2196" t="s">
        <v>52</v>
      </c>
      <c r="Y2196" t="s">
        <v>2710</v>
      </c>
      <c r="Z2196" t="s">
        <v>62</v>
      </c>
      <c r="AB2196" t="s">
        <v>8099</v>
      </c>
      <c r="AE2196" t="s">
        <v>8100</v>
      </c>
      <c r="AF2196" t="s">
        <v>52</v>
      </c>
      <c r="AH2196">
        <v>0</v>
      </c>
      <c r="AI2196">
        <v>0</v>
      </c>
      <c r="AJ2196" t="s">
        <v>52</v>
      </c>
      <c r="AK2196">
        <v>0</v>
      </c>
      <c r="AL2196" t="s">
        <v>52</v>
      </c>
      <c r="AM2196" t="s">
        <v>52</v>
      </c>
      <c r="AN2196">
        <v>0</v>
      </c>
      <c r="AO2196">
        <v>0</v>
      </c>
      <c r="AP2196" t="s">
        <v>52</v>
      </c>
      <c r="AQ2196" t="s">
        <v>52</v>
      </c>
      <c r="AR2196" t="s">
        <v>62</v>
      </c>
      <c r="AS2196" t="s">
        <v>52</v>
      </c>
      <c r="AT2196" t="s">
        <v>74</v>
      </c>
      <c r="AU2196" t="s">
        <v>64</v>
      </c>
      <c r="AV2196" t="s">
        <v>62</v>
      </c>
      <c r="AW2196" t="s">
        <v>65</v>
      </c>
      <c r="AX2196" t="s">
        <v>66</v>
      </c>
      <c r="AY2196" t="s">
        <v>67</v>
      </c>
    </row>
    <row r="2197" spans="1:51" hidden="1" x14ac:dyDescent="0.25">
      <c r="A2197">
        <v>403337</v>
      </c>
      <c r="B2197" t="s">
        <v>8101</v>
      </c>
      <c r="C2197" t="e">
        <f>VLOOKUP(A2197,[1]Customer_payment_journal_line!$AL:$BO,30,0)</f>
        <v>#N/A</v>
      </c>
      <c r="D2197" t="s">
        <v>53</v>
      </c>
      <c r="E2197" t="s">
        <v>8102</v>
      </c>
      <c r="F2197" t="s">
        <v>8103</v>
      </c>
      <c r="G2197" t="s">
        <v>7579</v>
      </c>
      <c r="H2197" t="s">
        <v>57</v>
      </c>
      <c r="I2197" t="s">
        <v>58</v>
      </c>
      <c r="J2197" t="s">
        <v>6699</v>
      </c>
      <c r="K2197" t="s">
        <v>8104</v>
      </c>
      <c r="L2197" t="s">
        <v>52</v>
      </c>
      <c r="M2197">
        <v>912</v>
      </c>
      <c r="N2197">
        <v>0</v>
      </c>
      <c r="O2197" t="s">
        <v>61</v>
      </c>
      <c r="P2197">
        <v>100</v>
      </c>
      <c r="Q2197" t="s">
        <v>52</v>
      </c>
      <c r="R2197" t="s">
        <v>52</v>
      </c>
      <c r="S2197" t="s">
        <v>52</v>
      </c>
      <c r="T2197" t="s">
        <v>52</v>
      </c>
      <c r="U2197" t="s">
        <v>52</v>
      </c>
      <c r="V2197" t="s">
        <v>62</v>
      </c>
      <c r="W2197" t="s">
        <v>63</v>
      </c>
      <c r="Y2197" t="s">
        <v>52</v>
      </c>
      <c r="AB2197" t="s">
        <v>52</v>
      </c>
      <c r="AE2197" t="s">
        <v>52</v>
      </c>
      <c r="AF2197" t="s">
        <v>52</v>
      </c>
      <c r="AH2197">
        <v>0</v>
      </c>
      <c r="AI2197">
        <v>0</v>
      </c>
      <c r="AJ2197" t="s">
        <v>52</v>
      </c>
      <c r="AK2197">
        <v>0</v>
      </c>
      <c r="AL2197" t="s">
        <v>52</v>
      </c>
      <c r="AM2197" t="s">
        <v>52</v>
      </c>
      <c r="AN2197">
        <v>0</v>
      </c>
      <c r="AO2197">
        <v>0</v>
      </c>
      <c r="AP2197" t="s">
        <v>52</v>
      </c>
      <c r="AQ2197" t="s">
        <v>52</v>
      </c>
      <c r="AR2197" t="s">
        <v>62</v>
      </c>
      <c r="AS2197" t="s">
        <v>52</v>
      </c>
      <c r="AT2197" t="s">
        <v>52</v>
      </c>
      <c r="AU2197" t="s">
        <v>64</v>
      </c>
      <c r="AV2197" t="s">
        <v>62</v>
      </c>
      <c r="AW2197" t="s">
        <v>65</v>
      </c>
      <c r="AX2197" t="s">
        <v>66</v>
      </c>
      <c r="AY2197" t="s">
        <v>67</v>
      </c>
    </row>
    <row r="2198" spans="1:51" hidden="1" x14ac:dyDescent="0.25">
      <c r="A2198">
        <v>403337</v>
      </c>
      <c r="B2198" t="s">
        <v>8105</v>
      </c>
      <c r="C2198" t="e">
        <f>VLOOKUP(A2198,[1]Customer_payment_journal_line!$AL:$BO,30,0)</f>
        <v>#N/A</v>
      </c>
      <c r="D2198" t="s">
        <v>53</v>
      </c>
      <c r="E2198" t="s">
        <v>8102</v>
      </c>
      <c r="F2198" t="s">
        <v>8103</v>
      </c>
      <c r="G2198" t="s">
        <v>7579</v>
      </c>
      <c r="H2198" t="s">
        <v>69</v>
      </c>
      <c r="I2198" t="s">
        <v>6691</v>
      </c>
      <c r="J2198" t="s">
        <v>6699</v>
      </c>
      <c r="K2198" t="s">
        <v>8104</v>
      </c>
      <c r="L2198" t="s">
        <v>52</v>
      </c>
      <c r="M2198">
        <v>0</v>
      </c>
      <c r="N2198">
        <v>912</v>
      </c>
      <c r="O2198" t="s">
        <v>61</v>
      </c>
      <c r="P2198">
        <v>100</v>
      </c>
      <c r="Q2198" t="s">
        <v>52</v>
      </c>
      <c r="R2198" t="s">
        <v>52</v>
      </c>
      <c r="S2198" t="s">
        <v>52</v>
      </c>
      <c r="T2198" t="s">
        <v>52</v>
      </c>
      <c r="U2198" t="s">
        <v>52</v>
      </c>
      <c r="V2198" t="s">
        <v>62</v>
      </c>
      <c r="W2198" t="s">
        <v>52</v>
      </c>
      <c r="Y2198" t="s">
        <v>6693</v>
      </c>
      <c r="Z2198" t="s">
        <v>62</v>
      </c>
      <c r="AB2198" t="s">
        <v>8106</v>
      </c>
      <c r="AE2198" t="s">
        <v>8107</v>
      </c>
      <c r="AF2198" t="s">
        <v>52</v>
      </c>
      <c r="AH2198">
        <v>0</v>
      </c>
      <c r="AI2198">
        <v>0</v>
      </c>
      <c r="AJ2198" t="s">
        <v>52</v>
      </c>
      <c r="AK2198">
        <v>0</v>
      </c>
      <c r="AL2198" t="s">
        <v>52</v>
      </c>
      <c r="AM2198" t="s">
        <v>52</v>
      </c>
      <c r="AN2198">
        <v>0</v>
      </c>
      <c r="AO2198">
        <v>0</v>
      </c>
      <c r="AP2198" t="s">
        <v>52</v>
      </c>
      <c r="AQ2198" t="s">
        <v>52</v>
      </c>
      <c r="AR2198" t="s">
        <v>62</v>
      </c>
      <c r="AS2198" t="s">
        <v>52</v>
      </c>
      <c r="AT2198" t="s">
        <v>74</v>
      </c>
      <c r="AU2198" t="s">
        <v>64</v>
      </c>
      <c r="AV2198" t="s">
        <v>62</v>
      </c>
      <c r="AW2198" t="s">
        <v>65</v>
      </c>
      <c r="AX2198" t="s">
        <v>66</v>
      </c>
      <c r="AY2198" t="s">
        <v>67</v>
      </c>
    </row>
    <row r="2199" spans="1:51" hidden="1" x14ac:dyDescent="0.25">
      <c r="A2199">
        <v>402222</v>
      </c>
      <c r="B2199" t="s">
        <v>8108</v>
      </c>
      <c r="C2199" t="e">
        <f>VLOOKUP(A2199,[1]Customer_payment_journal_line!$AL:$BO,30,0)</f>
        <v>#N/A</v>
      </c>
      <c r="D2199" t="s">
        <v>53</v>
      </c>
      <c r="E2199" t="s">
        <v>8109</v>
      </c>
      <c r="F2199" t="s">
        <v>8110</v>
      </c>
      <c r="G2199" t="s">
        <v>7579</v>
      </c>
      <c r="H2199" t="s">
        <v>57</v>
      </c>
      <c r="I2199" t="s">
        <v>58</v>
      </c>
      <c r="J2199" t="s">
        <v>6699</v>
      </c>
      <c r="K2199" t="s">
        <v>8104</v>
      </c>
      <c r="L2199" t="s">
        <v>52</v>
      </c>
      <c r="M2199">
        <v>855</v>
      </c>
      <c r="N2199">
        <v>0</v>
      </c>
      <c r="O2199" t="s">
        <v>61</v>
      </c>
      <c r="P2199">
        <v>100</v>
      </c>
      <c r="Q2199" t="s">
        <v>52</v>
      </c>
      <c r="R2199" t="s">
        <v>52</v>
      </c>
      <c r="S2199" t="s">
        <v>52</v>
      </c>
      <c r="T2199" t="s">
        <v>52</v>
      </c>
      <c r="U2199" t="s">
        <v>52</v>
      </c>
      <c r="V2199" t="s">
        <v>62</v>
      </c>
      <c r="W2199" t="s">
        <v>63</v>
      </c>
      <c r="Y2199" t="s">
        <v>52</v>
      </c>
      <c r="AB2199" t="s">
        <v>52</v>
      </c>
      <c r="AE2199" t="s">
        <v>52</v>
      </c>
      <c r="AF2199" t="s">
        <v>52</v>
      </c>
      <c r="AH2199">
        <v>0</v>
      </c>
      <c r="AI2199">
        <v>0</v>
      </c>
      <c r="AJ2199" t="s">
        <v>52</v>
      </c>
      <c r="AK2199">
        <v>0</v>
      </c>
      <c r="AL2199" t="s">
        <v>52</v>
      </c>
      <c r="AM2199" t="s">
        <v>52</v>
      </c>
      <c r="AN2199">
        <v>0</v>
      </c>
      <c r="AO2199">
        <v>0</v>
      </c>
      <c r="AP2199" t="s">
        <v>52</v>
      </c>
      <c r="AQ2199" t="s">
        <v>52</v>
      </c>
      <c r="AR2199" t="s">
        <v>62</v>
      </c>
      <c r="AS2199" t="s">
        <v>52</v>
      </c>
      <c r="AT2199" t="s">
        <v>52</v>
      </c>
      <c r="AU2199" t="s">
        <v>64</v>
      </c>
      <c r="AV2199" t="s">
        <v>62</v>
      </c>
      <c r="AW2199" t="s">
        <v>65</v>
      </c>
      <c r="AX2199" t="s">
        <v>66</v>
      </c>
      <c r="AY2199" t="s">
        <v>67</v>
      </c>
    </row>
    <row r="2200" spans="1:51" hidden="1" x14ac:dyDescent="0.25">
      <c r="A2200">
        <v>402222</v>
      </c>
      <c r="B2200" t="s">
        <v>8111</v>
      </c>
      <c r="C2200" t="e">
        <f>VLOOKUP(A2200,[1]Customer_payment_journal_line!$AL:$BO,30,0)</f>
        <v>#N/A</v>
      </c>
      <c r="D2200" t="s">
        <v>53</v>
      </c>
      <c r="E2200" t="s">
        <v>8109</v>
      </c>
      <c r="F2200" t="s">
        <v>8110</v>
      </c>
      <c r="G2200" t="s">
        <v>7579</v>
      </c>
      <c r="H2200" t="s">
        <v>69</v>
      </c>
      <c r="I2200" t="s">
        <v>6691</v>
      </c>
      <c r="J2200" t="s">
        <v>6699</v>
      </c>
      <c r="K2200" t="s">
        <v>8104</v>
      </c>
      <c r="L2200" t="s">
        <v>52</v>
      </c>
      <c r="M2200">
        <v>0</v>
      </c>
      <c r="N2200">
        <v>855</v>
      </c>
      <c r="O2200" t="s">
        <v>61</v>
      </c>
      <c r="P2200">
        <v>100</v>
      </c>
      <c r="Q2200" t="s">
        <v>52</v>
      </c>
      <c r="R2200" t="s">
        <v>52</v>
      </c>
      <c r="S2200" t="s">
        <v>52</v>
      </c>
      <c r="T2200" t="s">
        <v>52</v>
      </c>
      <c r="U2200" t="s">
        <v>52</v>
      </c>
      <c r="V2200" t="s">
        <v>62</v>
      </c>
      <c r="W2200" t="s">
        <v>52</v>
      </c>
      <c r="Y2200" t="s">
        <v>6693</v>
      </c>
      <c r="Z2200" t="s">
        <v>62</v>
      </c>
      <c r="AB2200" t="s">
        <v>8112</v>
      </c>
      <c r="AE2200" t="s">
        <v>8113</v>
      </c>
      <c r="AF2200" t="s">
        <v>52</v>
      </c>
      <c r="AH2200">
        <v>0</v>
      </c>
      <c r="AI2200">
        <v>0</v>
      </c>
      <c r="AJ2200" t="s">
        <v>52</v>
      </c>
      <c r="AK2200">
        <v>0</v>
      </c>
      <c r="AL2200" t="s">
        <v>52</v>
      </c>
      <c r="AM2200" t="s">
        <v>52</v>
      </c>
      <c r="AN2200">
        <v>0</v>
      </c>
      <c r="AO2200">
        <v>0</v>
      </c>
      <c r="AP2200" t="s">
        <v>52</v>
      </c>
      <c r="AQ2200" t="s">
        <v>52</v>
      </c>
      <c r="AR2200" t="s">
        <v>62</v>
      </c>
      <c r="AS2200" t="s">
        <v>52</v>
      </c>
      <c r="AT2200" t="s">
        <v>74</v>
      </c>
      <c r="AU2200" t="s">
        <v>64</v>
      </c>
      <c r="AV2200" t="s">
        <v>62</v>
      </c>
      <c r="AW2200" t="s">
        <v>65</v>
      </c>
      <c r="AX2200" t="s">
        <v>66</v>
      </c>
      <c r="AY2200" t="s">
        <v>67</v>
      </c>
    </row>
    <row r="2201" spans="1:51" hidden="1" x14ac:dyDescent="0.25">
      <c r="A2201">
        <v>403197</v>
      </c>
      <c r="B2201" t="s">
        <v>8114</v>
      </c>
      <c r="C2201" t="e">
        <f>VLOOKUP(A2201,[1]Customer_payment_journal_line!$AL:$BO,30,0)</f>
        <v>#N/A</v>
      </c>
      <c r="D2201" t="s">
        <v>53</v>
      </c>
      <c r="E2201" t="s">
        <v>8115</v>
      </c>
      <c r="F2201" t="s">
        <v>8116</v>
      </c>
      <c r="G2201" t="s">
        <v>7579</v>
      </c>
      <c r="H2201" t="s">
        <v>57</v>
      </c>
      <c r="I2201" t="s">
        <v>125</v>
      </c>
      <c r="J2201" t="s">
        <v>6699</v>
      </c>
      <c r="K2201" t="s">
        <v>8104</v>
      </c>
      <c r="L2201" t="s">
        <v>52</v>
      </c>
      <c r="M2201">
        <v>5</v>
      </c>
      <c r="N2201">
        <v>0</v>
      </c>
      <c r="O2201" t="s">
        <v>126</v>
      </c>
      <c r="P2201">
        <v>5285</v>
      </c>
      <c r="Q2201" t="s">
        <v>52</v>
      </c>
      <c r="R2201" t="s">
        <v>52</v>
      </c>
      <c r="S2201" t="s">
        <v>52</v>
      </c>
      <c r="T2201" t="s">
        <v>52</v>
      </c>
      <c r="U2201" t="s">
        <v>52</v>
      </c>
      <c r="V2201" t="s">
        <v>62</v>
      </c>
      <c r="W2201" t="s">
        <v>63</v>
      </c>
      <c r="Y2201" t="s">
        <v>52</v>
      </c>
      <c r="AB2201" t="s">
        <v>52</v>
      </c>
      <c r="AE2201" t="s">
        <v>52</v>
      </c>
      <c r="AF2201" t="s">
        <v>52</v>
      </c>
      <c r="AH2201">
        <v>0</v>
      </c>
      <c r="AI2201">
        <v>0</v>
      </c>
      <c r="AJ2201" t="s">
        <v>52</v>
      </c>
      <c r="AK2201">
        <v>0</v>
      </c>
      <c r="AL2201" t="s">
        <v>52</v>
      </c>
      <c r="AM2201" t="s">
        <v>52</v>
      </c>
      <c r="AN2201">
        <v>0</v>
      </c>
      <c r="AO2201">
        <v>0</v>
      </c>
      <c r="AP2201" t="s">
        <v>52</v>
      </c>
      <c r="AQ2201" t="s">
        <v>52</v>
      </c>
      <c r="AR2201" t="s">
        <v>62</v>
      </c>
      <c r="AS2201" t="s">
        <v>52</v>
      </c>
      <c r="AT2201" t="s">
        <v>52</v>
      </c>
      <c r="AU2201" t="s">
        <v>64</v>
      </c>
      <c r="AV2201" t="s">
        <v>62</v>
      </c>
      <c r="AW2201" t="s">
        <v>65</v>
      </c>
      <c r="AX2201" t="s">
        <v>66</v>
      </c>
      <c r="AY2201" t="s">
        <v>67</v>
      </c>
    </row>
    <row r="2202" spans="1:51" hidden="1" x14ac:dyDescent="0.25">
      <c r="A2202">
        <v>403197</v>
      </c>
      <c r="B2202" t="s">
        <v>8117</v>
      </c>
      <c r="C2202" t="e">
        <f>VLOOKUP(A2202,[1]Customer_payment_journal_line!$AL:$BO,30,0)</f>
        <v>#N/A</v>
      </c>
      <c r="D2202" t="s">
        <v>53</v>
      </c>
      <c r="E2202" t="s">
        <v>8115</v>
      </c>
      <c r="F2202" t="s">
        <v>8116</v>
      </c>
      <c r="G2202" t="s">
        <v>7579</v>
      </c>
      <c r="H2202" t="s">
        <v>69</v>
      </c>
      <c r="I2202" t="s">
        <v>6691</v>
      </c>
      <c r="J2202" t="s">
        <v>6699</v>
      </c>
      <c r="K2202" t="s">
        <v>8104</v>
      </c>
      <c r="L2202" t="s">
        <v>52</v>
      </c>
      <c r="M2202">
        <v>0</v>
      </c>
      <c r="N2202">
        <v>5</v>
      </c>
      <c r="O2202" t="s">
        <v>126</v>
      </c>
      <c r="P2202">
        <v>5285</v>
      </c>
      <c r="Q2202" t="s">
        <v>52</v>
      </c>
      <c r="R2202" t="s">
        <v>52</v>
      </c>
      <c r="S2202" t="s">
        <v>52</v>
      </c>
      <c r="T2202" t="s">
        <v>52</v>
      </c>
      <c r="U2202" t="s">
        <v>52</v>
      </c>
      <c r="V2202" t="s">
        <v>62</v>
      </c>
      <c r="W2202" t="s">
        <v>52</v>
      </c>
      <c r="Y2202" t="s">
        <v>6693</v>
      </c>
      <c r="Z2202" t="s">
        <v>62</v>
      </c>
      <c r="AB2202" t="s">
        <v>8118</v>
      </c>
      <c r="AE2202" t="s">
        <v>8119</v>
      </c>
      <c r="AF2202" t="s">
        <v>52</v>
      </c>
      <c r="AH2202">
        <v>0</v>
      </c>
      <c r="AI2202">
        <v>0</v>
      </c>
      <c r="AJ2202" t="s">
        <v>52</v>
      </c>
      <c r="AK2202">
        <v>0</v>
      </c>
      <c r="AL2202" t="s">
        <v>52</v>
      </c>
      <c r="AM2202" t="s">
        <v>52</v>
      </c>
      <c r="AN2202">
        <v>0</v>
      </c>
      <c r="AO2202">
        <v>0</v>
      </c>
      <c r="AP2202" t="s">
        <v>52</v>
      </c>
      <c r="AQ2202" t="s">
        <v>52</v>
      </c>
      <c r="AR2202" t="s">
        <v>62</v>
      </c>
      <c r="AS2202" t="s">
        <v>52</v>
      </c>
      <c r="AT2202" t="s">
        <v>74</v>
      </c>
      <c r="AU2202" t="s">
        <v>64</v>
      </c>
      <c r="AV2202" t="s">
        <v>62</v>
      </c>
      <c r="AW2202" t="s">
        <v>65</v>
      </c>
      <c r="AX2202" t="s">
        <v>66</v>
      </c>
      <c r="AY2202" t="s">
        <v>67</v>
      </c>
    </row>
    <row r="2203" spans="1:51" hidden="1" x14ac:dyDescent="0.25">
      <c r="A2203">
        <v>203968</v>
      </c>
      <c r="B2203" t="s">
        <v>8120</v>
      </c>
      <c r="C2203" t="e">
        <f>VLOOKUP(A2203,[1]Customer_payment_journal_line!$AL:$BO,30,0)</f>
        <v>#N/A</v>
      </c>
      <c r="D2203" t="s">
        <v>53</v>
      </c>
      <c r="E2203" t="s">
        <v>8121</v>
      </c>
      <c r="F2203" t="s">
        <v>8122</v>
      </c>
      <c r="G2203" t="s">
        <v>7579</v>
      </c>
      <c r="H2203" t="s">
        <v>57</v>
      </c>
      <c r="I2203" t="s">
        <v>58</v>
      </c>
      <c r="J2203" t="s">
        <v>4245</v>
      </c>
      <c r="K2203" t="s">
        <v>4246</v>
      </c>
      <c r="L2203" t="s">
        <v>52</v>
      </c>
      <c r="M2203">
        <v>597.36</v>
      </c>
      <c r="N2203">
        <v>0</v>
      </c>
      <c r="O2203" t="s">
        <v>61</v>
      </c>
      <c r="P2203">
        <v>100</v>
      </c>
      <c r="Q2203" t="s">
        <v>52</v>
      </c>
      <c r="R2203" t="s">
        <v>52</v>
      </c>
      <c r="S2203" t="s">
        <v>52</v>
      </c>
      <c r="T2203" t="s">
        <v>52</v>
      </c>
      <c r="U2203" t="s">
        <v>52</v>
      </c>
      <c r="V2203" t="s">
        <v>62</v>
      </c>
      <c r="W2203" t="s">
        <v>63</v>
      </c>
      <c r="Y2203" t="s">
        <v>52</v>
      </c>
      <c r="AB2203" t="s">
        <v>52</v>
      </c>
      <c r="AE2203" t="s">
        <v>52</v>
      </c>
      <c r="AF2203" t="s">
        <v>52</v>
      </c>
      <c r="AH2203">
        <v>0</v>
      </c>
      <c r="AI2203">
        <v>0</v>
      </c>
      <c r="AJ2203" t="s">
        <v>52</v>
      </c>
      <c r="AK2203">
        <v>0</v>
      </c>
      <c r="AL2203" t="s">
        <v>52</v>
      </c>
      <c r="AM2203" t="s">
        <v>52</v>
      </c>
      <c r="AN2203">
        <v>0</v>
      </c>
      <c r="AO2203">
        <v>0</v>
      </c>
      <c r="AP2203" t="s">
        <v>52</v>
      </c>
      <c r="AQ2203" t="s">
        <v>52</v>
      </c>
      <c r="AR2203" t="s">
        <v>62</v>
      </c>
      <c r="AS2203" t="s">
        <v>52</v>
      </c>
      <c r="AT2203" t="s">
        <v>52</v>
      </c>
      <c r="AU2203" t="s">
        <v>64</v>
      </c>
      <c r="AV2203" t="s">
        <v>62</v>
      </c>
      <c r="AW2203" t="s">
        <v>65</v>
      </c>
      <c r="AX2203" t="s">
        <v>66</v>
      </c>
      <c r="AY2203" t="s">
        <v>67</v>
      </c>
    </row>
    <row r="2204" spans="1:51" hidden="1" x14ac:dyDescent="0.25">
      <c r="A2204">
        <v>203968</v>
      </c>
      <c r="B2204" t="s">
        <v>8123</v>
      </c>
      <c r="C2204" t="e">
        <f>VLOOKUP(A2204,[1]Customer_payment_journal_line!$AL:$BO,30,0)</f>
        <v>#N/A</v>
      </c>
      <c r="D2204" t="s">
        <v>53</v>
      </c>
      <c r="E2204" t="s">
        <v>8121</v>
      </c>
      <c r="F2204" t="s">
        <v>8122</v>
      </c>
      <c r="G2204" t="s">
        <v>7579</v>
      </c>
      <c r="H2204" t="s">
        <v>69</v>
      </c>
      <c r="I2204" t="s">
        <v>4248</v>
      </c>
      <c r="J2204" t="s">
        <v>4245</v>
      </c>
      <c r="K2204" t="s">
        <v>4246</v>
      </c>
      <c r="L2204" t="s">
        <v>52</v>
      </c>
      <c r="M2204">
        <v>0</v>
      </c>
      <c r="N2204">
        <v>597.36</v>
      </c>
      <c r="O2204" t="s">
        <v>61</v>
      </c>
      <c r="P2204">
        <v>100</v>
      </c>
      <c r="Q2204" t="s">
        <v>52</v>
      </c>
      <c r="R2204" t="s">
        <v>52</v>
      </c>
      <c r="S2204" t="s">
        <v>52</v>
      </c>
      <c r="T2204" t="s">
        <v>52</v>
      </c>
      <c r="U2204" t="s">
        <v>52</v>
      </c>
      <c r="V2204" t="s">
        <v>62</v>
      </c>
      <c r="W2204" t="s">
        <v>52</v>
      </c>
      <c r="Y2204" t="s">
        <v>4249</v>
      </c>
      <c r="Z2204" t="s">
        <v>62</v>
      </c>
      <c r="AB2204" t="s">
        <v>8124</v>
      </c>
      <c r="AE2204" t="s">
        <v>8125</v>
      </c>
      <c r="AF2204" t="s">
        <v>52</v>
      </c>
      <c r="AH2204">
        <v>0</v>
      </c>
      <c r="AI2204">
        <v>0</v>
      </c>
      <c r="AJ2204" t="s">
        <v>52</v>
      </c>
      <c r="AK2204">
        <v>0</v>
      </c>
      <c r="AL2204" t="s">
        <v>52</v>
      </c>
      <c r="AM2204" t="s">
        <v>52</v>
      </c>
      <c r="AN2204">
        <v>0</v>
      </c>
      <c r="AO2204">
        <v>0</v>
      </c>
      <c r="AP2204" t="s">
        <v>52</v>
      </c>
      <c r="AQ2204" t="s">
        <v>52</v>
      </c>
      <c r="AR2204" t="s">
        <v>62</v>
      </c>
      <c r="AS2204" t="s">
        <v>52</v>
      </c>
      <c r="AT2204" t="s">
        <v>74</v>
      </c>
      <c r="AU2204" t="s">
        <v>64</v>
      </c>
      <c r="AV2204" t="s">
        <v>62</v>
      </c>
      <c r="AW2204" t="s">
        <v>65</v>
      </c>
      <c r="AX2204" t="s">
        <v>66</v>
      </c>
      <c r="AY2204" t="s">
        <v>67</v>
      </c>
    </row>
    <row r="2205" spans="1:51" hidden="1" x14ac:dyDescent="0.25">
      <c r="A2205">
        <v>203969</v>
      </c>
      <c r="B2205" t="s">
        <v>8126</v>
      </c>
      <c r="C2205" t="e">
        <f>VLOOKUP(A2205,[1]Customer_payment_journal_line!$AL:$BO,30,0)</f>
        <v>#N/A</v>
      </c>
      <c r="D2205" t="s">
        <v>53</v>
      </c>
      <c r="E2205" t="s">
        <v>8127</v>
      </c>
      <c r="F2205" t="s">
        <v>8128</v>
      </c>
      <c r="G2205" t="s">
        <v>7579</v>
      </c>
      <c r="H2205" t="s">
        <v>57</v>
      </c>
      <c r="I2205" t="s">
        <v>58</v>
      </c>
      <c r="J2205" t="s">
        <v>8129</v>
      </c>
      <c r="K2205" t="s">
        <v>8130</v>
      </c>
      <c r="L2205" t="s">
        <v>52</v>
      </c>
      <c r="M2205">
        <v>86000</v>
      </c>
      <c r="N2205">
        <v>0</v>
      </c>
      <c r="O2205" t="s">
        <v>61</v>
      </c>
      <c r="P2205">
        <v>100</v>
      </c>
      <c r="Q2205" t="s">
        <v>52</v>
      </c>
      <c r="R2205" t="s">
        <v>52</v>
      </c>
      <c r="S2205" t="s">
        <v>52</v>
      </c>
      <c r="T2205" t="s">
        <v>52</v>
      </c>
      <c r="U2205" t="s">
        <v>52</v>
      </c>
      <c r="V2205" t="s">
        <v>62</v>
      </c>
      <c r="W2205" t="s">
        <v>63</v>
      </c>
      <c r="Y2205" t="s">
        <v>52</v>
      </c>
      <c r="AB2205" t="s">
        <v>52</v>
      </c>
      <c r="AE2205" t="s">
        <v>52</v>
      </c>
      <c r="AF2205" t="s">
        <v>52</v>
      </c>
      <c r="AH2205">
        <v>0</v>
      </c>
      <c r="AI2205">
        <v>0</v>
      </c>
      <c r="AJ2205" t="s">
        <v>52</v>
      </c>
      <c r="AK2205">
        <v>0</v>
      </c>
      <c r="AL2205" t="s">
        <v>52</v>
      </c>
      <c r="AM2205" t="s">
        <v>52</v>
      </c>
      <c r="AN2205">
        <v>0</v>
      </c>
      <c r="AO2205">
        <v>0</v>
      </c>
      <c r="AP2205" t="s">
        <v>52</v>
      </c>
      <c r="AQ2205" t="s">
        <v>52</v>
      </c>
      <c r="AR2205" t="s">
        <v>62</v>
      </c>
      <c r="AS2205" t="s">
        <v>52</v>
      </c>
      <c r="AT2205" t="s">
        <v>52</v>
      </c>
      <c r="AU2205" t="s">
        <v>64</v>
      </c>
      <c r="AV2205" t="s">
        <v>62</v>
      </c>
      <c r="AW2205" t="s">
        <v>65</v>
      </c>
      <c r="AX2205" t="s">
        <v>66</v>
      </c>
      <c r="AY2205" t="s">
        <v>67</v>
      </c>
    </row>
    <row r="2206" spans="1:51" hidden="1" x14ac:dyDescent="0.25">
      <c r="A2206">
        <v>203969</v>
      </c>
      <c r="B2206" t="s">
        <v>8131</v>
      </c>
      <c r="C2206" t="e">
        <f>VLOOKUP(A2206,[1]Customer_payment_journal_line!$AL:$BO,30,0)</f>
        <v>#N/A</v>
      </c>
      <c r="D2206" t="s">
        <v>53</v>
      </c>
      <c r="E2206" t="s">
        <v>8127</v>
      </c>
      <c r="F2206" t="s">
        <v>8128</v>
      </c>
      <c r="G2206" t="s">
        <v>7579</v>
      </c>
      <c r="H2206" t="s">
        <v>69</v>
      </c>
      <c r="I2206" t="s">
        <v>8132</v>
      </c>
      <c r="J2206" t="s">
        <v>8129</v>
      </c>
      <c r="K2206" t="s">
        <v>8130</v>
      </c>
      <c r="L2206" t="s">
        <v>52</v>
      </c>
      <c r="M2206">
        <v>0</v>
      </c>
      <c r="N2206">
        <v>86000</v>
      </c>
      <c r="O2206" t="s">
        <v>61</v>
      </c>
      <c r="P2206">
        <v>100</v>
      </c>
      <c r="Q2206" t="s">
        <v>52</v>
      </c>
      <c r="R2206" t="s">
        <v>52</v>
      </c>
      <c r="S2206" t="s">
        <v>52</v>
      </c>
      <c r="T2206" t="s">
        <v>52</v>
      </c>
      <c r="U2206" t="s">
        <v>52</v>
      </c>
      <c r="V2206" t="s">
        <v>62</v>
      </c>
      <c r="W2206" t="s">
        <v>52</v>
      </c>
      <c r="Y2206" t="s">
        <v>8133</v>
      </c>
      <c r="Z2206" t="s">
        <v>62</v>
      </c>
      <c r="AB2206" t="s">
        <v>8134</v>
      </c>
      <c r="AE2206" t="s">
        <v>8135</v>
      </c>
      <c r="AF2206" t="s">
        <v>52</v>
      </c>
      <c r="AH2206">
        <v>0</v>
      </c>
      <c r="AI2206">
        <v>0</v>
      </c>
      <c r="AJ2206" t="s">
        <v>52</v>
      </c>
      <c r="AK2206">
        <v>0</v>
      </c>
      <c r="AL2206" t="s">
        <v>52</v>
      </c>
      <c r="AM2206" t="s">
        <v>52</v>
      </c>
      <c r="AN2206">
        <v>0</v>
      </c>
      <c r="AO2206">
        <v>0</v>
      </c>
      <c r="AP2206" t="s">
        <v>52</v>
      </c>
      <c r="AQ2206" t="s">
        <v>52</v>
      </c>
      <c r="AR2206" t="s">
        <v>62</v>
      </c>
      <c r="AS2206" t="s">
        <v>52</v>
      </c>
      <c r="AT2206" t="s">
        <v>74</v>
      </c>
      <c r="AU2206" t="s">
        <v>64</v>
      </c>
      <c r="AV2206" t="s">
        <v>62</v>
      </c>
      <c r="AW2206" t="s">
        <v>65</v>
      </c>
      <c r="AX2206" t="s">
        <v>66</v>
      </c>
      <c r="AY2206" t="s">
        <v>67</v>
      </c>
    </row>
    <row r="2207" spans="1:51" hidden="1" x14ac:dyDescent="0.25">
      <c r="A2207">
        <v>203970</v>
      </c>
      <c r="B2207" t="s">
        <v>8136</v>
      </c>
      <c r="C2207" t="e">
        <f>VLOOKUP(A2207,[1]Customer_payment_journal_line!$AL:$BO,30,0)</f>
        <v>#N/A</v>
      </c>
      <c r="D2207" t="s">
        <v>53</v>
      </c>
      <c r="E2207" t="s">
        <v>8137</v>
      </c>
      <c r="F2207" t="s">
        <v>8138</v>
      </c>
      <c r="G2207" t="s">
        <v>7579</v>
      </c>
      <c r="H2207" t="s">
        <v>57</v>
      </c>
      <c r="I2207" t="s">
        <v>58</v>
      </c>
      <c r="J2207" t="s">
        <v>8129</v>
      </c>
      <c r="K2207" t="s">
        <v>8130</v>
      </c>
      <c r="L2207" t="s">
        <v>52</v>
      </c>
      <c r="M2207">
        <v>855</v>
      </c>
      <c r="N2207">
        <v>0</v>
      </c>
      <c r="O2207" t="s">
        <v>61</v>
      </c>
      <c r="P2207">
        <v>100</v>
      </c>
      <c r="Q2207" t="s">
        <v>52</v>
      </c>
      <c r="R2207" t="s">
        <v>52</v>
      </c>
      <c r="S2207" t="s">
        <v>52</v>
      </c>
      <c r="T2207" t="s">
        <v>52</v>
      </c>
      <c r="U2207" t="s">
        <v>52</v>
      </c>
      <c r="V2207" t="s">
        <v>62</v>
      </c>
      <c r="W2207" t="s">
        <v>63</v>
      </c>
      <c r="Y2207" t="s">
        <v>52</v>
      </c>
      <c r="AB2207" t="s">
        <v>52</v>
      </c>
      <c r="AE2207" t="s">
        <v>52</v>
      </c>
      <c r="AF2207" t="s">
        <v>52</v>
      </c>
      <c r="AH2207">
        <v>0</v>
      </c>
      <c r="AI2207">
        <v>0</v>
      </c>
      <c r="AJ2207" t="s">
        <v>52</v>
      </c>
      <c r="AK2207">
        <v>0</v>
      </c>
      <c r="AL2207" t="s">
        <v>52</v>
      </c>
      <c r="AM2207" t="s">
        <v>52</v>
      </c>
      <c r="AN2207">
        <v>0</v>
      </c>
      <c r="AO2207">
        <v>0</v>
      </c>
      <c r="AP2207" t="s">
        <v>52</v>
      </c>
      <c r="AQ2207" t="s">
        <v>52</v>
      </c>
      <c r="AR2207" t="s">
        <v>62</v>
      </c>
      <c r="AS2207" t="s">
        <v>52</v>
      </c>
      <c r="AT2207" t="s">
        <v>52</v>
      </c>
      <c r="AU2207" t="s">
        <v>64</v>
      </c>
      <c r="AV2207" t="s">
        <v>62</v>
      </c>
      <c r="AW2207" t="s">
        <v>65</v>
      </c>
      <c r="AX2207" t="s">
        <v>66</v>
      </c>
      <c r="AY2207" t="s">
        <v>67</v>
      </c>
    </row>
    <row r="2208" spans="1:51" hidden="1" x14ac:dyDescent="0.25">
      <c r="A2208">
        <v>203970</v>
      </c>
      <c r="B2208" t="s">
        <v>8139</v>
      </c>
      <c r="C2208" t="e">
        <f>VLOOKUP(A2208,[1]Customer_payment_journal_line!$AL:$BO,30,0)</f>
        <v>#N/A</v>
      </c>
      <c r="D2208" t="s">
        <v>53</v>
      </c>
      <c r="E2208" t="s">
        <v>8137</v>
      </c>
      <c r="F2208" t="s">
        <v>8138</v>
      </c>
      <c r="G2208" t="s">
        <v>7579</v>
      </c>
      <c r="H2208" t="s">
        <v>69</v>
      </c>
      <c r="I2208" t="s">
        <v>8132</v>
      </c>
      <c r="J2208" t="s">
        <v>8129</v>
      </c>
      <c r="K2208" t="s">
        <v>8130</v>
      </c>
      <c r="L2208" t="s">
        <v>52</v>
      </c>
      <c r="M2208">
        <v>0</v>
      </c>
      <c r="N2208">
        <v>855</v>
      </c>
      <c r="O2208" t="s">
        <v>61</v>
      </c>
      <c r="P2208">
        <v>100</v>
      </c>
      <c r="Q2208" t="s">
        <v>52</v>
      </c>
      <c r="R2208" t="s">
        <v>52</v>
      </c>
      <c r="S2208" t="s">
        <v>52</v>
      </c>
      <c r="T2208" t="s">
        <v>52</v>
      </c>
      <c r="U2208" t="s">
        <v>52</v>
      </c>
      <c r="V2208" t="s">
        <v>62</v>
      </c>
      <c r="W2208" t="s">
        <v>52</v>
      </c>
      <c r="Y2208" t="s">
        <v>8133</v>
      </c>
      <c r="Z2208" t="s">
        <v>62</v>
      </c>
      <c r="AB2208" t="s">
        <v>8140</v>
      </c>
      <c r="AE2208" t="s">
        <v>8141</v>
      </c>
      <c r="AF2208" t="s">
        <v>52</v>
      </c>
      <c r="AH2208">
        <v>0</v>
      </c>
      <c r="AI2208">
        <v>0</v>
      </c>
      <c r="AJ2208" t="s">
        <v>52</v>
      </c>
      <c r="AK2208">
        <v>0</v>
      </c>
      <c r="AL2208" t="s">
        <v>52</v>
      </c>
      <c r="AM2208" t="s">
        <v>52</v>
      </c>
      <c r="AN2208">
        <v>0</v>
      </c>
      <c r="AO2208">
        <v>0</v>
      </c>
      <c r="AP2208" t="s">
        <v>52</v>
      </c>
      <c r="AQ2208" t="s">
        <v>52</v>
      </c>
      <c r="AR2208" t="s">
        <v>62</v>
      </c>
      <c r="AS2208" t="s">
        <v>52</v>
      </c>
      <c r="AT2208" t="s">
        <v>74</v>
      </c>
      <c r="AU2208" t="s">
        <v>64</v>
      </c>
      <c r="AV2208" t="s">
        <v>62</v>
      </c>
      <c r="AW2208" t="s">
        <v>65</v>
      </c>
      <c r="AX2208" t="s">
        <v>66</v>
      </c>
      <c r="AY2208" t="s">
        <v>67</v>
      </c>
    </row>
    <row r="2209" spans="1:51" hidden="1" x14ac:dyDescent="0.25">
      <c r="A2209">
        <v>406250</v>
      </c>
      <c r="B2209" t="s">
        <v>8142</v>
      </c>
      <c r="C2209" t="e">
        <f>VLOOKUP(A2209,[1]Customer_payment_journal_line!$AL:$BO,30,0)</f>
        <v>#N/A</v>
      </c>
      <c r="D2209" t="s">
        <v>159</v>
      </c>
      <c r="E2209" t="s">
        <v>8143</v>
      </c>
      <c r="F2209" t="s">
        <v>8144</v>
      </c>
      <c r="G2209" t="s">
        <v>7579</v>
      </c>
      <c r="H2209" t="s">
        <v>210</v>
      </c>
      <c r="I2209" t="s">
        <v>8145</v>
      </c>
      <c r="K2209" t="s">
        <v>7891</v>
      </c>
      <c r="L2209" t="s">
        <v>52</v>
      </c>
      <c r="M2209">
        <v>225</v>
      </c>
      <c r="N2209">
        <v>0</v>
      </c>
      <c r="O2209" t="s">
        <v>178</v>
      </c>
      <c r="P2209">
        <v>5085</v>
      </c>
      <c r="Q2209" t="s">
        <v>52</v>
      </c>
      <c r="R2209" t="s">
        <v>52</v>
      </c>
      <c r="S2209" t="s">
        <v>52</v>
      </c>
      <c r="T2209" t="s">
        <v>52</v>
      </c>
      <c r="U2209" t="s">
        <v>52</v>
      </c>
      <c r="V2209" t="s">
        <v>62</v>
      </c>
      <c r="W2209" t="s">
        <v>63</v>
      </c>
      <c r="Y2209" t="s">
        <v>52</v>
      </c>
      <c r="AB2209" t="s">
        <v>8146</v>
      </c>
      <c r="AE2209" t="s">
        <v>8147</v>
      </c>
      <c r="AF2209" t="s">
        <v>52</v>
      </c>
      <c r="AG2209" t="s">
        <v>5213</v>
      </c>
      <c r="AH2209">
        <v>0</v>
      </c>
      <c r="AI2209">
        <v>0</v>
      </c>
      <c r="AJ2209" t="s">
        <v>52</v>
      </c>
      <c r="AK2209">
        <v>0</v>
      </c>
      <c r="AL2209" t="s">
        <v>52</v>
      </c>
      <c r="AM2209" t="s">
        <v>52</v>
      </c>
      <c r="AN2209">
        <v>0</v>
      </c>
      <c r="AO2209">
        <v>0</v>
      </c>
      <c r="AP2209" t="s">
        <v>52</v>
      </c>
      <c r="AQ2209" t="s">
        <v>52</v>
      </c>
      <c r="AR2209" t="s">
        <v>62</v>
      </c>
      <c r="AS2209" t="s">
        <v>52</v>
      </c>
      <c r="AT2209" t="s">
        <v>52</v>
      </c>
      <c r="AU2209" t="s">
        <v>64</v>
      </c>
      <c r="AV2209" t="s">
        <v>62</v>
      </c>
      <c r="AW2209" t="s">
        <v>65</v>
      </c>
      <c r="AX2209" t="s">
        <v>66</v>
      </c>
      <c r="AY2209" t="s">
        <v>165</v>
      </c>
    </row>
    <row r="2210" spans="1:51" hidden="1" x14ac:dyDescent="0.25">
      <c r="A2210">
        <v>406250</v>
      </c>
      <c r="B2210" t="s">
        <v>8148</v>
      </c>
      <c r="C2210" t="e">
        <f>VLOOKUP(A2210,[1]Customer_payment_journal_line!$AL:$BO,30,0)</f>
        <v>#N/A</v>
      </c>
      <c r="D2210" t="s">
        <v>159</v>
      </c>
      <c r="E2210" t="s">
        <v>8143</v>
      </c>
      <c r="F2210" t="s">
        <v>8144</v>
      </c>
      <c r="G2210" t="s">
        <v>7579</v>
      </c>
      <c r="H2210" t="s">
        <v>69</v>
      </c>
      <c r="I2210" t="s">
        <v>2864</v>
      </c>
      <c r="J2210" t="s">
        <v>2861</v>
      </c>
      <c r="K2210" t="s">
        <v>7891</v>
      </c>
      <c r="L2210" t="s">
        <v>52</v>
      </c>
      <c r="M2210">
        <v>0</v>
      </c>
      <c r="N2210">
        <v>225</v>
      </c>
      <c r="O2210" t="s">
        <v>178</v>
      </c>
      <c r="P2210">
        <v>5085</v>
      </c>
      <c r="Q2210" t="s">
        <v>52</v>
      </c>
      <c r="R2210" t="s">
        <v>52</v>
      </c>
      <c r="S2210" t="s">
        <v>52</v>
      </c>
      <c r="T2210" t="s">
        <v>52</v>
      </c>
      <c r="U2210" t="s">
        <v>52</v>
      </c>
      <c r="V2210" t="s">
        <v>62</v>
      </c>
      <c r="W2210" t="s">
        <v>52</v>
      </c>
      <c r="Y2210" t="s">
        <v>2865</v>
      </c>
      <c r="Z2210" t="s">
        <v>62</v>
      </c>
      <c r="AB2210" t="s">
        <v>8146</v>
      </c>
      <c r="AE2210" t="s">
        <v>8147</v>
      </c>
      <c r="AF2210" t="s">
        <v>52</v>
      </c>
      <c r="AG2210" t="s">
        <v>5213</v>
      </c>
      <c r="AH2210">
        <v>0</v>
      </c>
      <c r="AI2210">
        <v>0</v>
      </c>
      <c r="AJ2210" t="s">
        <v>52</v>
      </c>
      <c r="AK2210">
        <v>0</v>
      </c>
      <c r="AL2210" t="s">
        <v>52</v>
      </c>
      <c r="AM2210" t="s">
        <v>52</v>
      </c>
      <c r="AN2210">
        <v>0</v>
      </c>
      <c r="AO2210">
        <v>0</v>
      </c>
      <c r="AP2210" t="s">
        <v>52</v>
      </c>
      <c r="AQ2210" t="s">
        <v>52</v>
      </c>
      <c r="AR2210" t="s">
        <v>62</v>
      </c>
      <c r="AS2210" t="s">
        <v>52</v>
      </c>
      <c r="AT2210" t="s">
        <v>74</v>
      </c>
      <c r="AU2210" t="s">
        <v>64</v>
      </c>
      <c r="AV2210" t="s">
        <v>62</v>
      </c>
      <c r="AW2210" t="s">
        <v>65</v>
      </c>
      <c r="AX2210" t="s">
        <v>66</v>
      </c>
      <c r="AY2210" t="s">
        <v>165</v>
      </c>
    </row>
    <row r="2211" spans="1:51" hidden="1" x14ac:dyDescent="0.25">
      <c r="A2211">
        <v>317170</v>
      </c>
      <c r="B2211" t="s">
        <v>8149</v>
      </c>
      <c r="C2211" t="e">
        <f>VLOOKUP(A2211,[1]Customer_payment_journal_line!$AL:$BO,30,0)</f>
        <v>#N/A</v>
      </c>
      <c r="D2211" t="s">
        <v>76</v>
      </c>
      <c r="E2211" t="s">
        <v>8150</v>
      </c>
      <c r="F2211" t="s">
        <v>8151</v>
      </c>
      <c r="G2211" t="s">
        <v>7579</v>
      </c>
      <c r="H2211" t="s">
        <v>210</v>
      </c>
      <c r="I2211" t="s">
        <v>8152</v>
      </c>
      <c r="J2211" t="s">
        <v>52</v>
      </c>
      <c r="K2211" t="s">
        <v>7852</v>
      </c>
      <c r="L2211" t="s">
        <v>52</v>
      </c>
      <c r="M2211">
        <v>530</v>
      </c>
      <c r="N2211">
        <v>0</v>
      </c>
      <c r="O2211" t="s">
        <v>61</v>
      </c>
      <c r="P2211">
        <v>100</v>
      </c>
      <c r="Q2211" t="s">
        <v>52</v>
      </c>
      <c r="R2211" t="s">
        <v>52</v>
      </c>
      <c r="S2211" t="s">
        <v>52</v>
      </c>
      <c r="T2211" t="s">
        <v>52</v>
      </c>
      <c r="U2211" t="s">
        <v>52</v>
      </c>
      <c r="V2211" t="s">
        <v>62</v>
      </c>
      <c r="W2211" t="s">
        <v>63</v>
      </c>
      <c r="Y2211" t="s">
        <v>52</v>
      </c>
      <c r="AB2211" t="s">
        <v>8153</v>
      </c>
      <c r="AE2211" t="s">
        <v>8153</v>
      </c>
      <c r="AF2211" t="s">
        <v>52</v>
      </c>
      <c r="AH2211">
        <v>0</v>
      </c>
      <c r="AI2211">
        <v>0</v>
      </c>
      <c r="AJ2211" t="s">
        <v>52</v>
      </c>
      <c r="AK2211">
        <v>0</v>
      </c>
      <c r="AL2211" t="s">
        <v>52</v>
      </c>
      <c r="AM2211" t="s">
        <v>52</v>
      </c>
      <c r="AN2211">
        <v>0</v>
      </c>
      <c r="AO2211">
        <v>0</v>
      </c>
      <c r="AP2211" t="s">
        <v>52</v>
      </c>
      <c r="AQ2211" t="s">
        <v>52</v>
      </c>
      <c r="AR2211" t="s">
        <v>62</v>
      </c>
      <c r="AS2211" t="s">
        <v>52</v>
      </c>
      <c r="AT2211" t="s">
        <v>52</v>
      </c>
      <c r="AU2211" t="s">
        <v>64</v>
      </c>
      <c r="AV2211" t="s">
        <v>62</v>
      </c>
      <c r="AW2211" t="s">
        <v>65</v>
      </c>
      <c r="AX2211" t="s">
        <v>66</v>
      </c>
      <c r="AY2211" t="s">
        <v>76</v>
      </c>
    </row>
    <row r="2212" spans="1:51" hidden="1" x14ac:dyDescent="0.25">
      <c r="A2212">
        <v>317170</v>
      </c>
      <c r="B2212" t="s">
        <v>8154</v>
      </c>
      <c r="C2212" t="e">
        <f>VLOOKUP(A2212,[1]Customer_payment_journal_line!$AL:$BO,30,0)</f>
        <v>#N/A</v>
      </c>
      <c r="D2212" t="s">
        <v>76</v>
      </c>
      <c r="E2212" t="s">
        <v>8150</v>
      </c>
      <c r="F2212" t="s">
        <v>8151</v>
      </c>
      <c r="G2212" t="s">
        <v>7579</v>
      </c>
      <c r="H2212" t="s">
        <v>69</v>
      </c>
      <c r="I2212" t="s">
        <v>7854</v>
      </c>
      <c r="J2212" t="s">
        <v>8155</v>
      </c>
      <c r="K2212" t="s">
        <v>7852</v>
      </c>
      <c r="L2212" t="s">
        <v>52</v>
      </c>
      <c r="M2212">
        <v>0</v>
      </c>
      <c r="N2212">
        <v>10</v>
      </c>
      <c r="O2212" t="s">
        <v>178</v>
      </c>
      <c r="P2212">
        <v>5085</v>
      </c>
      <c r="Q2212" t="s">
        <v>52</v>
      </c>
      <c r="R2212" t="s">
        <v>52</v>
      </c>
      <c r="S2212" t="s">
        <v>52</v>
      </c>
      <c r="T2212" t="s">
        <v>52</v>
      </c>
      <c r="U2212" t="s">
        <v>52</v>
      </c>
      <c r="V2212" t="s">
        <v>62</v>
      </c>
      <c r="W2212" t="s">
        <v>52</v>
      </c>
      <c r="Y2212" t="s">
        <v>7855</v>
      </c>
      <c r="Z2212" t="s">
        <v>62</v>
      </c>
      <c r="AB2212" t="s">
        <v>8153</v>
      </c>
      <c r="AE2212" t="s">
        <v>8153</v>
      </c>
      <c r="AF2212" t="s">
        <v>52</v>
      </c>
      <c r="AH2212">
        <v>0</v>
      </c>
      <c r="AI2212">
        <v>0</v>
      </c>
      <c r="AJ2212" t="s">
        <v>52</v>
      </c>
      <c r="AK2212">
        <v>0</v>
      </c>
      <c r="AL2212" t="s">
        <v>52</v>
      </c>
      <c r="AM2212" t="s">
        <v>52</v>
      </c>
      <c r="AN2212">
        <v>0</v>
      </c>
      <c r="AO2212">
        <v>0</v>
      </c>
      <c r="AP2212" t="s">
        <v>52</v>
      </c>
      <c r="AQ2212" t="s">
        <v>52</v>
      </c>
      <c r="AR2212" t="s">
        <v>62</v>
      </c>
      <c r="AS2212" t="s">
        <v>52</v>
      </c>
      <c r="AT2212" t="s">
        <v>74</v>
      </c>
      <c r="AU2212" t="s">
        <v>64</v>
      </c>
      <c r="AV2212" t="s">
        <v>62</v>
      </c>
      <c r="AW2212" t="s">
        <v>65</v>
      </c>
      <c r="AX2212" t="s">
        <v>66</v>
      </c>
      <c r="AY2212" t="s">
        <v>76</v>
      </c>
    </row>
    <row r="2213" spans="1:51" hidden="1" x14ac:dyDescent="0.25">
      <c r="A2213">
        <v>317170</v>
      </c>
      <c r="B2213" t="s">
        <v>8156</v>
      </c>
      <c r="C2213" t="e">
        <f>VLOOKUP(A2213,[1]Customer_payment_journal_line!$AL:$BO,30,0)</f>
        <v>#N/A</v>
      </c>
      <c r="D2213" t="s">
        <v>76</v>
      </c>
      <c r="E2213" t="s">
        <v>8150</v>
      </c>
      <c r="F2213" t="s">
        <v>8151</v>
      </c>
      <c r="G2213" t="s">
        <v>7579</v>
      </c>
      <c r="H2213" t="s">
        <v>210</v>
      </c>
      <c r="I2213" t="s">
        <v>8157</v>
      </c>
      <c r="J2213" t="s">
        <v>52</v>
      </c>
      <c r="K2213" t="s">
        <v>7852</v>
      </c>
      <c r="L2213" t="s">
        <v>52</v>
      </c>
      <c r="M2213">
        <v>0</v>
      </c>
      <c r="N2213">
        <v>21.5</v>
      </c>
      <c r="O2213" t="s">
        <v>61</v>
      </c>
      <c r="P2213">
        <v>100</v>
      </c>
      <c r="Q2213" t="s">
        <v>52</v>
      </c>
      <c r="R2213" t="s">
        <v>52</v>
      </c>
      <c r="S2213" t="s">
        <v>52</v>
      </c>
      <c r="T2213" t="s">
        <v>52</v>
      </c>
      <c r="U2213" t="s">
        <v>52</v>
      </c>
      <c r="V2213" t="s">
        <v>62</v>
      </c>
      <c r="W2213" t="s">
        <v>63</v>
      </c>
      <c r="Y2213" t="s">
        <v>7855</v>
      </c>
      <c r="AB2213" t="s">
        <v>8153</v>
      </c>
      <c r="AE2213" t="s">
        <v>8153</v>
      </c>
      <c r="AF2213" t="s">
        <v>52</v>
      </c>
      <c r="AH2213">
        <v>0</v>
      </c>
      <c r="AI2213">
        <v>0</v>
      </c>
      <c r="AJ2213" t="s">
        <v>52</v>
      </c>
      <c r="AK2213">
        <v>0</v>
      </c>
      <c r="AL2213" t="s">
        <v>52</v>
      </c>
      <c r="AM2213" t="s">
        <v>52</v>
      </c>
      <c r="AN2213">
        <v>0</v>
      </c>
      <c r="AO2213">
        <v>0</v>
      </c>
      <c r="AP2213" t="s">
        <v>52</v>
      </c>
      <c r="AQ2213" t="s">
        <v>52</v>
      </c>
      <c r="AR2213" t="s">
        <v>62</v>
      </c>
      <c r="AS2213" t="s">
        <v>52</v>
      </c>
      <c r="AT2213" t="s">
        <v>52</v>
      </c>
      <c r="AU2213" t="s">
        <v>64</v>
      </c>
      <c r="AV2213" t="s">
        <v>62</v>
      </c>
      <c r="AW2213" t="s">
        <v>65</v>
      </c>
      <c r="AX2213" t="s">
        <v>66</v>
      </c>
      <c r="AY2213" t="s">
        <v>76</v>
      </c>
    </row>
    <row r="2214" spans="1:51" hidden="1" x14ac:dyDescent="0.25">
      <c r="A2214">
        <v>406251</v>
      </c>
      <c r="B2214" t="s">
        <v>8158</v>
      </c>
      <c r="C2214" t="e">
        <f>VLOOKUP(A2214,[1]Customer_payment_journal_line!$AL:$BO,30,0)</f>
        <v>#N/A</v>
      </c>
      <c r="D2214" t="s">
        <v>53</v>
      </c>
      <c r="E2214" t="s">
        <v>8159</v>
      </c>
      <c r="F2214" t="s">
        <v>8160</v>
      </c>
      <c r="G2214" t="s">
        <v>7579</v>
      </c>
      <c r="H2214" t="s">
        <v>57</v>
      </c>
      <c r="I2214" t="s">
        <v>1349</v>
      </c>
      <c r="J2214" t="s">
        <v>8161</v>
      </c>
      <c r="K2214" t="s">
        <v>1962</v>
      </c>
      <c r="L2214" t="s">
        <v>52</v>
      </c>
      <c r="M2214">
        <v>36844.800000000003</v>
      </c>
      <c r="N2214">
        <v>0</v>
      </c>
      <c r="O2214" t="s">
        <v>61</v>
      </c>
      <c r="P2214">
        <v>100</v>
      </c>
      <c r="Q2214" t="s">
        <v>52</v>
      </c>
      <c r="R2214" t="s">
        <v>52</v>
      </c>
      <c r="S2214" t="s">
        <v>52</v>
      </c>
      <c r="T2214" t="s">
        <v>52</v>
      </c>
      <c r="U2214" t="s">
        <v>52</v>
      </c>
      <c r="V2214" t="s">
        <v>62</v>
      </c>
      <c r="W2214" t="s">
        <v>63</v>
      </c>
      <c r="Y2214" t="s">
        <v>52</v>
      </c>
      <c r="AB2214" t="s">
        <v>52</v>
      </c>
      <c r="AE2214" t="s">
        <v>52</v>
      </c>
      <c r="AF2214" t="s">
        <v>52</v>
      </c>
      <c r="AH2214">
        <v>0</v>
      </c>
      <c r="AI2214">
        <v>0</v>
      </c>
      <c r="AJ2214" t="s">
        <v>52</v>
      </c>
      <c r="AK2214">
        <v>0</v>
      </c>
      <c r="AL2214" t="s">
        <v>52</v>
      </c>
      <c r="AM2214" t="s">
        <v>52</v>
      </c>
      <c r="AN2214">
        <v>0</v>
      </c>
      <c r="AO2214">
        <v>0</v>
      </c>
      <c r="AP2214" t="s">
        <v>52</v>
      </c>
      <c r="AQ2214" t="s">
        <v>52</v>
      </c>
      <c r="AR2214" t="s">
        <v>62</v>
      </c>
      <c r="AS2214" t="s">
        <v>52</v>
      </c>
      <c r="AT2214" t="s">
        <v>52</v>
      </c>
      <c r="AU2214" t="s">
        <v>64</v>
      </c>
      <c r="AV2214" t="s">
        <v>62</v>
      </c>
      <c r="AW2214" t="s">
        <v>65</v>
      </c>
      <c r="AX2214" t="s">
        <v>66</v>
      </c>
      <c r="AY2214" t="s">
        <v>67</v>
      </c>
    </row>
    <row r="2215" spans="1:51" hidden="1" x14ac:dyDescent="0.25">
      <c r="A2215">
        <v>406251</v>
      </c>
      <c r="B2215" t="s">
        <v>8162</v>
      </c>
      <c r="C2215" t="e">
        <f>VLOOKUP(A2215,[1]Customer_payment_journal_line!$AL:$BO,30,0)</f>
        <v>#N/A</v>
      </c>
      <c r="D2215" t="s">
        <v>53</v>
      </c>
      <c r="E2215" t="s">
        <v>8159</v>
      </c>
      <c r="F2215" t="s">
        <v>8160</v>
      </c>
      <c r="G2215" t="s">
        <v>7579</v>
      </c>
      <c r="H2215" t="s">
        <v>69</v>
      </c>
      <c r="I2215" t="s">
        <v>1960</v>
      </c>
      <c r="J2215" t="s">
        <v>8161</v>
      </c>
      <c r="K2215" t="s">
        <v>1962</v>
      </c>
      <c r="L2215" t="s">
        <v>52</v>
      </c>
      <c r="M2215">
        <v>0</v>
      </c>
      <c r="N2215">
        <v>36844.800000000003</v>
      </c>
      <c r="O2215" t="s">
        <v>61</v>
      </c>
      <c r="P2215">
        <v>100</v>
      </c>
      <c r="Q2215" t="s">
        <v>52</v>
      </c>
      <c r="R2215" t="s">
        <v>52</v>
      </c>
      <c r="S2215" t="s">
        <v>52</v>
      </c>
      <c r="T2215" t="s">
        <v>52</v>
      </c>
      <c r="U2215" t="s">
        <v>52</v>
      </c>
      <c r="V2215" t="s">
        <v>62</v>
      </c>
      <c r="W2215" t="s">
        <v>52</v>
      </c>
      <c r="Y2215" t="s">
        <v>1963</v>
      </c>
      <c r="Z2215" t="s">
        <v>62</v>
      </c>
      <c r="AB2215" t="s">
        <v>8163</v>
      </c>
      <c r="AE2215" t="s">
        <v>8164</v>
      </c>
      <c r="AF2215" t="s">
        <v>52</v>
      </c>
      <c r="AH2215">
        <v>0</v>
      </c>
      <c r="AI2215">
        <v>0</v>
      </c>
      <c r="AJ2215" t="s">
        <v>52</v>
      </c>
      <c r="AK2215">
        <v>0</v>
      </c>
      <c r="AL2215" t="s">
        <v>52</v>
      </c>
      <c r="AM2215" t="s">
        <v>52</v>
      </c>
      <c r="AN2215">
        <v>0</v>
      </c>
      <c r="AO2215">
        <v>0</v>
      </c>
      <c r="AP2215" t="s">
        <v>52</v>
      </c>
      <c r="AQ2215" t="s">
        <v>52</v>
      </c>
      <c r="AR2215" t="s">
        <v>62</v>
      </c>
      <c r="AS2215" t="s">
        <v>52</v>
      </c>
      <c r="AT2215" t="s">
        <v>74</v>
      </c>
      <c r="AU2215" t="s">
        <v>64</v>
      </c>
      <c r="AV2215" t="s">
        <v>62</v>
      </c>
      <c r="AW2215" t="s">
        <v>65</v>
      </c>
      <c r="AX2215" t="s">
        <v>66</v>
      </c>
      <c r="AY2215" t="s">
        <v>67</v>
      </c>
    </row>
    <row r="2216" spans="1:51" hidden="1" x14ac:dyDescent="0.25">
      <c r="A2216">
        <v>203991</v>
      </c>
      <c r="B2216" t="s">
        <v>8165</v>
      </c>
      <c r="C2216" t="e">
        <f>VLOOKUP(A2216,[1]Customer_payment_journal_line!$AL:$BO,30,0)</f>
        <v>#N/A</v>
      </c>
      <c r="D2216" t="s">
        <v>53</v>
      </c>
      <c r="E2216" t="s">
        <v>8166</v>
      </c>
      <c r="F2216" t="s">
        <v>8167</v>
      </c>
      <c r="G2216" t="s">
        <v>7579</v>
      </c>
      <c r="H2216" t="s">
        <v>57</v>
      </c>
      <c r="I2216" t="s">
        <v>58</v>
      </c>
      <c r="J2216" t="s">
        <v>8168</v>
      </c>
      <c r="K2216" t="s">
        <v>8169</v>
      </c>
      <c r="L2216" t="s">
        <v>52</v>
      </c>
      <c r="M2216">
        <v>2850</v>
      </c>
      <c r="N2216">
        <v>0</v>
      </c>
      <c r="O2216" t="s">
        <v>61</v>
      </c>
      <c r="P2216">
        <v>100</v>
      </c>
      <c r="Q2216" t="s">
        <v>52</v>
      </c>
      <c r="R2216" t="s">
        <v>52</v>
      </c>
      <c r="S2216" t="s">
        <v>52</v>
      </c>
      <c r="T2216" t="s">
        <v>52</v>
      </c>
      <c r="U2216" t="s">
        <v>52</v>
      </c>
      <c r="V2216" t="s">
        <v>62</v>
      </c>
      <c r="W2216" t="s">
        <v>63</v>
      </c>
      <c r="Y2216" t="s">
        <v>52</v>
      </c>
      <c r="AB2216" t="s">
        <v>52</v>
      </c>
      <c r="AE2216" t="s">
        <v>52</v>
      </c>
      <c r="AF2216" t="s">
        <v>52</v>
      </c>
      <c r="AH2216">
        <v>0</v>
      </c>
      <c r="AI2216">
        <v>0</v>
      </c>
      <c r="AJ2216" t="s">
        <v>52</v>
      </c>
      <c r="AK2216">
        <v>0</v>
      </c>
      <c r="AL2216" t="s">
        <v>52</v>
      </c>
      <c r="AM2216" t="s">
        <v>52</v>
      </c>
      <c r="AN2216">
        <v>0</v>
      </c>
      <c r="AO2216">
        <v>0</v>
      </c>
      <c r="AP2216" t="s">
        <v>52</v>
      </c>
      <c r="AQ2216" t="s">
        <v>52</v>
      </c>
      <c r="AR2216" t="s">
        <v>62</v>
      </c>
      <c r="AS2216" t="s">
        <v>52</v>
      </c>
      <c r="AT2216" t="s">
        <v>52</v>
      </c>
      <c r="AU2216" t="s">
        <v>64</v>
      </c>
      <c r="AV2216" t="s">
        <v>62</v>
      </c>
      <c r="AW2216" t="s">
        <v>65</v>
      </c>
      <c r="AX2216" t="s">
        <v>66</v>
      </c>
      <c r="AY2216" t="s">
        <v>67</v>
      </c>
    </row>
    <row r="2217" spans="1:51" hidden="1" x14ac:dyDescent="0.25">
      <c r="A2217">
        <v>203991</v>
      </c>
      <c r="B2217" t="s">
        <v>8170</v>
      </c>
      <c r="C2217" t="e">
        <f>VLOOKUP(A2217,[1]Customer_payment_journal_line!$AL:$BO,30,0)</f>
        <v>#N/A</v>
      </c>
      <c r="D2217" t="s">
        <v>53</v>
      </c>
      <c r="E2217" t="s">
        <v>8166</v>
      </c>
      <c r="F2217" t="s">
        <v>8167</v>
      </c>
      <c r="G2217" t="s">
        <v>7579</v>
      </c>
      <c r="H2217" t="s">
        <v>69</v>
      </c>
      <c r="I2217" t="s">
        <v>2475</v>
      </c>
      <c r="J2217" t="s">
        <v>8168</v>
      </c>
      <c r="K2217" t="s">
        <v>8169</v>
      </c>
      <c r="L2217" t="s">
        <v>52</v>
      </c>
      <c r="M2217">
        <v>0</v>
      </c>
      <c r="N2217">
        <v>2850</v>
      </c>
      <c r="O2217" t="s">
        <v>61</v>
      </c>
      <c r="P2217">
        <v>100</v>
      </c>
      <c r="Q2217" t="s">
        <v>52</v>
      </c>
      <c r="R2217" t="s">
        <v>52</v>
      </c>
      <c r="S2217" t="s">
        <v>52</v>
      </c>
      <c r="T2217" t="s">
        <v>52</v>
      </c>
      <c r="U2217" t="s">
        <v>52</v>
      </c>
      <c r="V2217" t="s">
        <v>62</v>
      </c>
      <c r="W2217" t="s">
        <v>52</v>
      </c>
      <c r="Y2217" t="s">
        <v>2476</v>
      </c>
      <c r="Z2217" t="s">
        <v>62</v>
      </c>
      <c r="AB2217" t="s">
        <v>8171</v>
      </c>
      <c r="AE2217" t="s">
        <v>8172</v>
      </c>
      <c r="AF2217" t="s">
        <v>52</v>
      </c>
      <c r="AH2217">
        <v>0</v>
      </c>
      <c r="AI2217">
        <v>0</v>
      </c>
      <c r="AJ2217" t="s">
        <v>52</v>
      </c>
      <c r="AK2217">
        <v>0</v>
      </c>
      <c r="AL2217" t="s">
        <v>52</v>
      </c>
      <c r="AM2217" t="s">
        <v>52</v>
      </c>
      <c r="AN2217">
        <v>0</v>
      </c>
      <c r="AO2217">
        <v>0</v>
      </c>
      <c r="AP2217" t="s">
        <v>52</v>
      </c>
      <c r="AQ2217" t="s">
        <v>52</v>
      </c>
      <c r="AR2217" t="s">
        <v>62</v>
      </c>
      <c r="AS2217" t="s">
        <v>52</v>
      </c>
      <c r="AT2217" t="s">
        <v>74</v>
      </c>
      <c r="AU2217" t="s">
        <v>64</v>
      </c>
      <c r="AV2217" t="s">
        <v>62</v>
      </c>
      <c r="AW2217" t="s">
        <v>65</v>
      </c>
      <c r="AX2217" t="s">
        <v>66</v>
      </c>
      <c r="AY2217" t="s">
        <v>67</v>
      </c>
    </row>
    <row r="2218" spans="1:51" hidden="1" x14ac:dyDescent="0.25">
      <c r="A2218">
        <v>203992</v>
      </c>
      <c r="B2218" t="s">
        <v>8173</v>
      </c>
      <c r="C2218" t="e">
        <f>VLOOKUP(A2218,[1]Customer_payment_journal_line!$AL:$BO,30,0)</f>
        <v>#N/A</v>
      </c>
      <c r="D2218" t="s">
        <v>53</v>
      </c>
      <c r="E2218" t="s">
        <v>8174</v>
      </c>
      <c r="F2218" t="s">
        <v>8175</v>
      </c>
      <c r="G2218" t="s">
        <v>7579</v>
      </c>
      <c r="H2218" t="s">
        <v>57</v>
      </c>
      <c r="I2218" t="s">
        <v>58</v>
      </c>
      <c r="J2218" t="s">
        <v>8168</v>
      </c>
      <c r="K2218" t="s">
        <v>8169</v>
      </c>
      <c r="L2218" t="s">
        <v>52</v>
      </c>
      <c r="M2218">
        <v>855</v>
      </c>
      <c r="N2218">
        <v>0</v>
      </c>
      <c r="O2218" t="s">
        <v>61</v>
      </c>
      <c r="P2218">
        <v>100</v>
      </c>
      <c r="Q2218" t="s">
        <v>52</v>
      </c>
      <c r="R2218" t="s">
        <v>52</v>
      </c>
      <c r="S2218" t="s">
        <v>52</v>
      </c>
      <c r="T2218" t="s">
        <v>52</v>
      </c>
      <c r="U2218" t="s">
        <v>52</v>
      </c>
      <c r="V2218" t="s">
        <v>62</v>
      </c>
      <c r="W2218" t="s">
        <v>63</v>
      </c>
      <c r="Y2218" t="s">
        <v>52</v>
      </c>
      <c r="AB2218" t="s">
        <v>52</v>
      </c>
      <c r="AE2218" t="s">
        <v>52</v>
      </c>
      <c r="AF2218" t="s">
        <v>52</v>
      </c>
      <c r="AH2218">
        <v>0</v>
      </c>
      <c r="AI2218">
        <v>0</v>
      </c>
      <c r="AJ2218" t="s">
        <v>52</v>
      </c>
      <c r="AK2218">
        <v>0</v>
      </c>
      <c r="AL2218" t="s">
        <v>52</v>
      </c>
      <c r="AM2218" t="s">
        <v>52</v>
      </c>
      <c r="AN2218">
        <v>0</v>
      </c>
      <c r="AO2218">
        <v>0</v>
      </c>
      <c r="AP2218" t="s">
        <v>52</v>
      </c>
      <c r="AQ2218" t="s">
        <v>52</v>
      </c>
      <c r="AR2218" t="s">
        <v>62</v>
      </c>
      <c r="AS2218" t="s">
        <v>52</v>
      </c>
      <c r="AT2218" t="s">
        <v>52</v>
      </c>
      <c r="AU2218" t="s">
        <v>64</v>
      </c>
      <c r="AV2218" t="s">
        <v>62</v>
      </c>
      <c r="AW2218" t="s">
        <v>65</v>
      </c>
      <c r="AX2218" t="s">
        <v>66</v>
      </c>
      <c r="AY2218" t="s">
        <v>67</v>
      </c>
    </row>
    <row r="2219" spans="1:51" hidden="1" x14ac:dyDescent="0.25">
      <c r="A2219">
        <v>203992</v>
      </c>
      <c r="B2219" t="s">
        <v>8176</v>
      </c>
      <c r="C2219" t="e">
        <f>VLOOKUP(A2219,[1]Customer_payment_journal_line!$AL:$BO,30,0)</f>
        <v>#N/A</v>
      </c>
      <c r="D2219" t="s">
        <v>53</v>
      </c>
      <c r="E2219" t="s">
        <v>8174</v>
      </c>
      <c r="F2219" t="s">
        <v>8175</v>
      </c>
      <c r="G2219" t="s">
        <v>7579</v>
      </c>
      <c r="H2219" t="s">
        <v>69</v>
      </c>
      <c r="I2219" t="s">
        <v>2475</v>
      </c>
      <c r="J2219" t="s">
        <v>8168</v>
      </c>
      <c r="K2219" t="s">
        <v>8169</v>
      </c>
      <c r="L2219" t="s">
        <v>52</v>
      </c>
      <c r="M2219">
        <v>0</v>
      </c>
      <c r="N2219">
        <v>855</v>
      </c>
      <c r="O2219" t="s">
        <v>61</v>
      </c>
      <c r="P2219">
        <v>100</v>
      </c>
      <c r="Q2219" t="s">
        <v>52</v>
      </c>
      <c r="R2219" t="s">
        <v>52</v>
      </c>
      <c r="S2219" t="s">
        <v>52</v>
      </c>
      <c r="T2219" t="s">
        <v>52</v>
      </c>
      <c r="U2219" t="s">
        <v>52</v>
      </c>
      <c r="V2219" t="s">
        <v>62</v>
      </c>
      <c r="W2219" t="s">
        <v>52</v>
      </c>
      <c r="Y2219" t="s">
        <v>2476</v>
      </c>
      <c r="Z2219" t="s">
        <v>62</v>
      </c>
      <c r="AB2219" t="s">
        <v>8177</v>
      </c>
      <c r="AE2219" t="s">
        <v>8178</v>
      </c>
      <c r="AF2219" t="s">
        <v>52</v>
      </c>
      <c r="AH2219">
        <v>0</v>
      </c>
      <c r="AI2219">
        <v>0</v>
      </c>
      <c r="AJ2219" t="s">
        <v>52</v>
      </c>
      <c r="AK2219">
        <v>0</v>
      </c>
      <c r="AL2219" t="s">
        <v>52</v>
      </c>
      <c r="AM2219" t="s">
        <v>52</v>
      </c>
      <c r="AN2219">
        <v>0</v>
      </c>
      <c r="AO2219">
        <v>0</v>
      </c>
      <c r="AP2219" t="s">
        <v>52</v>
      </c>
      <c r="AQ2219" t="s">
        <v>52</v>
      </c>
      <c r="AR2219" t="s">
        <v>62</v>
      </c>
      <c r="AS2219" t="s">
        <v>52</v>
      </c>
      <c r="AT2219" t="s">
        <v>74</v>
      </c>
      <c r="AU2219" t="s">
        <v>64</v>
      </c>
      <c r="AV2219" t="s">
        <v>62</v>
      </c>
      <c r="AW2219" t="s">
        <v>65</v>
      </c>
      <c r="AX2219" t="s">
        <v>66</v>
      </c>
      <c r="AY2219" t="s">
        <v>67</v>
      </c>
    </row>
    <row r="2220" spans="1:51" hidden="1" x14ac:dyDescent="0.25">
      <c r="A2220">
        <v>404579</v>
      </c>
      <c r="B2220" t="s">
        <v>8179</v>
      </c>
      <c r="C2220" t="e">
        <f>VLOOKUP(A2220,[1]Customer_payment_journal_line!$AL:$BO,30,0)</f>
        <v>#N/A</v>
      </c>
      <c r="D2220" t="s">
        <v>53</v>
      </c>
      <c r="E2220" t="s">
        <v>8180</v>
      </c>
      <c r="F2220" t="s">
        <v>8181</v>
      </c>
      <c r="G2220" t="s">
        <v>7579</v>
      </c>
      <c r="H2220" t="s">
        <v>57</v>
      </c>
      <c r="I2220" t="s">
        <v>58</v>
      </c>
      <c r="J2220" t="s">
        <v>1286</v>
      </c>
      <c r="K2220" t="s">
        <v>8182</v>
      </c>
      <c r="L2220" t="s">
        <v>52</v>
      </c>
      <c r="M2220">
        <v>3762</v>
      </c>
      <c r="N2220">
        <v>0</v>
      </c>
      <c r="O2220" t="s">
        <v>61</v>
      </c>
      <c r="P2220">
        <v>100</v>
      </c>
      <c r="Q2220" t="s">
        <v>52</v>
      </c>
      <c r="R2220" t="s">
        <v>52</v>
      </c>
      <c r="S2220" t="s">
        <v>52</v>
      </c>
      <c r="T2220" t="s">
        <v>52</v>
      </c>
      <c r="U2220" t="s">
        <v>52</v>
      </c>
      <c r="V2220" t="s">
        <v>62</v>
      </c>
      <c r="W2220" t="s">
        <v>63</v>
      </c>
      <c r="Y2220" t="s">
        <v>52</v>
      </c>
      <c r="AB2220" t="s">
        <v>52</v>
      </c>
      <c r="AE2220" t="s">
        <v>52</v>
      </c>
      <c r="AF2220" t="s">
        <v>52</v>
      </c>
      <c r="AH2220">
        <v>0</v>
      </c>
      <c r="AI2220">
        <v>0</v>
      </c>
      <c r="AJ2220" t="s">
        <v>52</v>
      </c>
      <c r="AK2220">
        <v>0</v>
      </c>
      <c r="AL2220" t="s">
        <v>52</v>
      </c>
      <c r="AM2220" t="s">
        <v>52</v>
      </c>
      <c r="AN2220">
        <v>0</v>
      </c>
      <c r="AO2220">
        <v>0</v>
      </c>
      <c r="AP2220" t="s">
        <v>52</v>
      </c>
      <c r="AQ2220" t="s">
        <v>52</v>
      </c>
      <c r="AR2220" t="s">
        <v>62</v>
      </c>
      <c r="AS2220" t="s">
        <v>52</v>
      </c>
      <c r="AT2220" t="s">
        <v>52</v>
      </c>
      <c r="AU2220" t="s">
        <v>64</v>
      </c>
      <c r="AV2220" t="s">
        <v>62</v>
      </c>
      <c r="AW2220" t="s">
        <v>65</v>
      </c>
      <c r="AX2220" t="s">
        <v>66</v>
      </c>
      <c r="AY2220" t="s">
        <v>67</v>
      </c>
    </row>
    <row r="2221" spans="1:51" hidden="1" x14ac:dyDescent="0.25">
      <c r="A2221">
        <v>404579</v>
      </c>
      <c r="B2221" t="s">
        <v>8183</v>
      </c>
      <c r="C2221" t="e">
        <f>VLOOKUP(A2221,[1]Customer_payment_journal_line!$AL:$BO,30,0)</f>
        <v>#N/A</v>
      </c>
      <c r="D2221" t="s">
        <v>53</v>
      </c>
      <c r="E2221" t="s">
        <v>8180</v>
      </c>
      <c r="F2221" t="s">
        <v>8181</v>
      </c>
      <c r="G2221" t="s">
        <v>7579</v>
      </c>
      <c r="H2221" t="s">
        <v>69</v>
      </c>
      <c r="I2221" t="s">
        <v>1289</v>
      </c>
      <c r="J2221" t="s">
        <v>1286</v>
      </c>
      <c r="K2221" t="s">
        <v>8182</v>
      </c>
      <c r="L2221" t="s">
        <v>52</v>
      </c>
      <c r="M2221">
        <v>0</v>
      </c>
      <c r="N2221">
        <v>3762</v>
      </c>
      <c r="O2221" t="s">
        <v>61</v>
      </c>
      <c r="P2221">
        <v>100</v>
      </c>
      <c r="Q2221" t="s">
        <v>52</v>
      </c>
      <c r="R2221" t="s">
        <v>52</v>
      </c>
      <c r="S2221" t="s">
        <v>52</v>
      </c>
      <c r="T2221" t="s">
        <v>52</v>
      </c>
      <c r="U2221" t="s">
        <v>52</v>
      </c>
      <c r="V2221" t="s">
        <v>62</v>
      </c>
      <c r="W2221" t="s">
        <v>52</v>
      </c>
      <c r="Y2221" t="s">
        <v>1290</v>
      </c>
      <c r="Z2221" t="s">
        <v>62</v>
      </c>
      <c r="AB2221" t="s">
        <v>8184</v>
      </c>
      <c r="AE2221" t="s">
        <v>8185</v>
      </c>
      <c r="AF2221" t="s">
        <v>52</v>
      </c>
      <c r="AH2221">
        <v>0</v>
      </c>
      <c r="AI2221">
        <v>0</v>
      </c>
      <c r="AJ2221" t="s">
        <v>52</v>
      </c>
      <c r="AK2221">
        <v>0</v>
      </c>
      <c r="AL2221" t="s">
        <v>52</v>
      </c>
      <c r="AM2221" t="s">
        <v>52</v>
      </c>
      <c r="AN2221">
        <v>0</v>
      </c>
      <c r="AO2221">
        <v>0</v>
      </c>
      <c r="AP2221" t="s">
        <v>52</v>
      </c>
      <c r="AQ2221" t="s">
        <v>52</v>
      </c>
      <c r="AR2221" t="s">
        <v>62</v>
      </c>
      <c r="AS2221" t="s">
        <v>52</v>
      </c>
      <c r="AT2221" t="s">
        <v>74</v>
      </c>
      <c r="AU2221" t="s">
        <v>64</v>
      </c>
      <c r="AV2221" t="s">
        <v>62</v>
      </c>
      <c r="AW2221" t="s">
        <v>65</v>
      </c>
      <c r="AX2221" t="s">
        <v>66</v>
      </c>
      <c r="AY2221" t="s">
        <v>67</v>
      </c>
    </row>
    <row r="2222" spans="1:51" hidden="1" x14ac:dyDescent="0.25">
      <c r="A2222">
        <v>402413</v>
      </c>
      <c r="B2222" t="s">
        <v>8186</v>
      </c>
      <c r="C2222" t="e">
        <f>VLOOKUP(A2222,[1]Customer_payment_journal_line!$AL:$BO,30,0)</f>
        <v>#N/A</v>
      </c>
      <c r="D2222" t="s">
        <v>53</v>
      </c>
      <c r="E2222" t="s">
        <v>8187</v>
      </c>
      <c r="F2222" t="s">
        <v>8188</v>
      </c>
      <c r="G2222" t="s">
        <v>7579</v>
      </c>
      <c r="H2222" t="s">
        <v>57</v>
      </c>
      <c r="I2222" t="s">
        <v>58</v>
      </c>
      <c r="J2222" t="s">
        <v>1286</v>
      </c>
      <c r="K2222" t="s">
        <v>8182</v>
      </c>
      <c r="L2222" t="s">
        <v>52</v>
      </c>
      <c r="M2222">
        <v>855</v>
      </c>
      <c r="N2222">
        <v>0</v>
      </c>
      <c r="O2222" t="s">
        <v>61</v>
      </c>
      <c r="P2222">
        <v>100</v>
      </c>
      <c r="Q2222" t="s">
        <v>52</v>
      </c>
      <c r="R2222" t="s">
        <v>52</v>
      </c>
      <c r="S2222" t="s">
        <v>52</v>
      </c>
      <c r="T2222" t="s">
        <v>52</v>
      </c>
      <c r="U2222" t="s">
        <v>52</v>
      </c>
      <c r="V2222" t="s">
        <v>62</v>
      </c>
      <c r="W2222" t="s">
        <v>63</v>
      </c>
      <c r="Y2222" t="s">
        <v>52</v>
      </c>
      <c r="AB2222" t="s">
        <v>52</v>
      </c>
      <c r="AE2222" t="s">
        <v>52</v>
      </c>
      <c r="AF2222" t="s">
        <v>52</v>
      </c>
      <c r="AH2222">
        <v>0</v>
      </c>
      <c r="AI2222">
        <v>0</v>
      </c>
      <c r="AJ2222" t="s">
        <v>52</v>
      </c>
      <c r="AK2222">
        <v>0</v>
      </c>
      <c r="AL2222" t="s">
        <v>52</v>
      </c>
      <c r="AM2222" t="s">
        <v>52</v>
      </c>
      <c r="AN2222">
        <v>0</v>
      </c>
      <c r="AO2222">
        <v>0</v>
      </c>
      <c r="AP2222" t="s">
        <v>52</v>
      </c>
      <c r="AQ2222" t="s">
        <v>52</v>
      </c>
      <c r="AR2222" t="s">
        <v>62</v>
      </c>
      <c r="AS2222" t="s">
        <v>52</v>
      </c>
      <c r="AT2222" t="s">
        <v>52</v>
      </c>
      <c r="AU2222" t="s">
        <v>64</v>
      </c>
      <c r="AV2222" t="s">
        <v>62</v>
      </c>
      <c r="AW2222" t="s">
        <v>65</v>
      </c>
      <c r="AX2222" t="s">
        <v>66</v>
      </c>
      <c r="AY2222" t="s">
        <v>67</v>
      </c>
    </row>
    <row r="2223" spans="1:51" hidden="1" x14ac:dyDescent="0.25">
      <c r="A2223">
        <v>402413</v>
      </c>
      <c r="B2223" t="s">
        <v>8189</v>
      </c>
      <c r="C2223" t="e">
        <f>VLOOKUP(A2223,[1]Customer_payment_journal_line!$AL:$BO,30,0)</f>
        <v>#N/A</v>
      </c>
      <c r="D2223" t="s">
        <v>53</v>
      </c>
      <c r="E2223" t="s">
        <v>8187</v>
      </c>
      <c r="F2223" t="s">
        <v>8188</v>
      </c>
      <c r="G2223" t="s">
        <v>7579</v>
      </c>
      <c r="H2223" t="s">
        <v>69</v>
      </c>
      <c r="I2223" t="s">
        <v>1289</v>
      </c>
      <c r="J2223" t="s">
        <v>1286</v>
      </c>
      <c r="K2223" t="s">
        <v>8182</v>
      </c>
      <c r="L2223" t="s">
        <v>52</v>
      </c>
      <c r="M2223">
        <v>0</v>
      </c>
      <c r="N2223">
        <v>855</v>
      </c>
      <c r="O2223" t="s">
        <v>61</v>
      </c>
      <c r="P2223">
        <v>100</v>
      </c>
      <c r="Q2223" t="s">
        <v>52</v>
      </c>
      <c r="R2223" t="s">
        <v>52</v>
      </c>
      <c r="S2223" t="s">
        <v>52</v>
      </c>
      <c r="T2223" t="s">
        <v>52</v>
      </c>
      <c r="U2223" t="s">
        <v>52</v>
      </c>
      <c r="V2223" t="s">
        <v>62</v>
      </c>
      <c r="W2223" t="s">
        <v>52</v>
      </c>
      <c r="Y2223" t="s">
        <v>1290</v>
      </c>
      <c r="Z2223" t="s">
        <v>62</v>
      </c>
      <c r="AB2223" t="s">
        <v>8190</v>
      </c>
      <c r="AE2223" t="s">
        <v>8191</v>
      </c>
      <c r="AF2223" t="s">
        <v>52</v>
      </c>
      <c r="AH2223">
        <v>0</v>
      </c>
      <c r="AI2223">
        <v>0</v>
      </c>
      <c r="AJ2223" t="s">
        <v>52</v>
      </c>
      <c r="AK2223">
        <v>0</v>
      </c>
      <c r="AL2223" t="s">
        <v>52</v>
      </c>
      <c r="AM2223" t="s">
        <v>52</v>
      </c>
      <c r="AN2223">
        <v>0</v>
      </c>
      <c r="AO2223">
        <v>0</v>
      </c>
      <c r="AP2223" t="s">
        <v>52</v>
      </c>
      <c r="AQ2223" t="s">
        <v>52</v>
      </c>
      <c r="AR2223" t="s">
        <v>62</v>
      </c>
      <c r="AS2223" t="s">
        <v>52</v>
      </c>
      <c r="AT2223" t="s">
        <v>74</v>
      </c>
      <c r="AU2223" t="s">
        <v>64</v>
      </c>
      <c r="AV2223" t="s">
        <v>62</v>
      </c>
      <c r="AW2223" t="s">
        <v>65</v>
      </c>
      <c r="AX2223" t="s">
        <v>66</v>
      </c>
      <c r="AY2223" t="s">
        <v>67</v>
      </c>
    </row>
    <row r="2224" spans="1:51" hidden="1" x14ac:dyDescent="0.25">
      <c r="A2224">
        <v>203995</v>
      </c>
      <c r="B2224" t="s">
        <v>8192</v>
      </c>
      <c r="C2224" t="e">
        <f>VLOOKUP(A2224,[1]Customer_payment_journal_line!$AL:$BO,30,0)</f>
        <v>#N/A</v>
      </c>
      <c r="D2224" t="s">
        <v>53</v>
      </c>
      <c r="E2224" t="s">
        <v>8193</v>
      </c>
      <c r="F2224" t="s">
        <v>8194</v>
      </c>
      <c r="G2224" t="s">
        <v>7579</v>
      </c>
      <c r="H2224" t="s">
        <v>57</v>
      </c>
      <c r="I2224" t="s">
        <v>58</v>
      </c>
      <c r="J2224" t="s">
        <v>8195</v>
      </c>
      <c r="K2224" t="s">
        <v>3158</v>
      </c>
      <c r="L2224" t="s">
        <v>52</v>
      </c>
      <c r="M2224">
        <v>33750.379999999997</v>
      </c>
      <c r="N2224">
        <v>0</v>
      </c>
      <c r="O2224" t="s">
        <v>61</v>
      </c>
      <c r="P2224">
        <v>100</v>
      </c>
      <c r="Q2224" t="s">
        <v>52</v>
      </c>
      <c r="R2224" t="s">
        <v>52</v>
      </c>
      <c r="S2224" t="s">
        <v>52</v>
      </c>
      <c r="T2224" t="s">
        <v>52</v>
      </c>
      <c r="U2224" t="s">
        <v>52</v>
      </c>
      <c r="V2224" t="s">
        <v>62</v>
      </c>
      <c r="W2224" t="s">
        <v>63</v>
      </c>
      <c r="Y2224" t="s">
        <v>52</v>
      </c>
      <c r="AB2224" t="s">
        <v>52</v>
      </c>
      <c r="AE2224" t="s">
        <v>52</v>
      </c>
      <c r="AF2224" t="s">
        <v>52</v>
      </c>
      <c r="AH2224">
        <v>0</v>
      </c>
      <c r="AI2224">
        <v>0</v>
      </c>
      <c r="AJ2224" t="s">
        <v>52</v>
      </c>
      <c r="AK2224">
        <v>0</v>
      </c>
      <c r="AL2224" t="s">
        <v>52</v>
      </c>
      <c r="AM2224" t="s">
        <v>52</v>
      </c>
      <c r="AN2224">
        <v>0</v>
      </c>
      <c r="AO2224">
        <v>0</v>
      </c>
      <c r="AP2224" t="s">
        <v>52</v>
      </c>
      <c r="AQ2224" t="s">
        <v>52</v>
      </c>
      <c r="AR2224" t="s">
        <v>62</v>
      </c>
      <c r="AS2224" t="s">
        <v>52</v>
      </c>
      <c r="AT2224" t="s">
        <v>52</v>
      </c>
      <c r="AU2224" t="s">
        <v>64</v>
      </c>
      <c r="AV2224" t="s">
        <v>62</v>
      </c>
      <c r="AW2224" t="s">
        <v>65</v>
      </c>
      <c r="AX2224" t="s">
        <v>66</v>
      </c>
      <c r="AY2224" t="s">
        <v>67</v>
      </c>
    </row>
    <row r="2225" spans="1:51" hidden="1" x14ac:dyDescent="0.25">
      <c r="A2225">
        <v>203995</v>
      </c>
      <c r="B2225" t="s">
        <v>8196</v>
      </c>
      <c r="C2225" t="e">
        <f>VLOOKUP(A2225,[1]Customer_payment_journal_line!$AL:$BO,30,0)</f>
        <v>#N/A</v>
      </c>
      <c r="D2225" t="s">
        <v>53</v>
      </c>
      <c r="E2225" t="s">
        <v>8193</v>
      </c>
      <c r="F2225" t="s">
        <v>8194</v>
      </c>
      <c r="G2225" t="s">
        <v>7579</v>
      </c>
      <c r="H2225" t="s">
        <v>69</v>
      </c>
      <c r="I2225" t="s">
        <v>8197</v>
      </c>
      <c r="J2225" t="s">
        <v>8195</v>
      </c>
      <c r="K2225" t="s">
        <v>3158</v>
      </c>
      <c r="L2225" t="s">
        <v>52</v>
      </c>
      <c r="M2225">
        <v>0</v>
      </c>
      <c r="N2225">
        <v>33750.379999999997</v>
      </c>
      <c r="O2225" t="s">
        <v>61</v>
      </c>
      <c r="P2225">
        <v>100</v>
      </c>
      <c r="Q2225" t="s">
        <v>52</v>
      </c>
      <c r="R2225" t="s">
        <v>52</v>
      </c>
      <c r="S2225" t="s">
        <v>52</v>
      </c>
      <c r="T2225" t="s">
        <v>52</v>
      </c>
      <c r="U2225" t="s">
        <v>52</v>
      </c>
      <c r="V2225" t="s">
        <v>62</v>
      </c>
      <c r="W2225" t="s">
        <v>52</v>
      </c>
      <c r="Y2225" t="s">
        <v>8198</v>
      </c>
      <c r="Z2225" t="s">
        <v>62</v>
      </c>
      <c r="AB2225" t="s">
        <v>8199</v>
      </c>
      <c r="AE2225" t="s">
        <v>8200</v>
      </c>
      <c r="AF2225" t="s">
        <v>52</v>
      </c>
      <c r="AH2225">
        <v>0</v>
      </c>
      <c r="AI2225">
        <v>0</v>
      </c>
      <c r="AJ2225" t="s">
        <v>52</v>
      </c>
      <c r="AK2225">
        <v>0</v>
      </c>
      <c r="AL2225" t="s">
        <v>52</v>
      </c>
      <c r="AM2225" t="s">
        <v>52</v>
      </c>
      <c r="AN2225">
        <v>0</v>
      </c>
      <c r="AO2225">
        <v>0</v>
      </c>
      <c r="AP2225" t="s">
        <v>52</v>
      </c>
      <c r="AQ2225" t="s">
        <v>52</v>
      </c>
      <c r="AR2225" t="s">
        <v>62</v>
      </c>
      <c r="AS2225" t="s">
        <v>52</v>
      </c>
      <c r="AT2225" t="s">
        <v>74</v>
      </c>
      <c r="AU2225" t="s">
        <v>64</v>
      </c>
      <c r="AV2225" t="s">
        <v>62</v>
      </c>
      <c r="AW2225" t="s">
        <v>65</v>
      </c>
      <c r="AX2225" t="s">
        <v>66</v>
      </c>
      <c r="AY2225" t="s">
        <v>67</v>
      </c>
    </row>
    <row r="2226" spans="1:51" hidden="1" x14ac:dyDescent="0.25">
      <c r="A2226">
        <v>203996</v>
      </c>
      <c r="B2226" t="s">
        <v>8201</v>
      </c>
      <c r="C2226" t="e">
        <f>VLOOKUP(A2226,[1]Customer_payment_journal_line!$AL:$BO,30,0)</f>
        <v>#N/A</v>
      </c>
      <c r="D2226" t="s">
        <v>53</v>
      </c>
      <c r="E2226" t="s">
        <v>8202</v>
      </c>
      <c r="F2226" t="s">
        <v>8203</v>
      </c>
      <c r="G2226" t="s">
        <v>7579</v>
      </c>
      <c r="H2226" t="s">
        <v>57</v>
      </c>
      <c r="I2226" t="s">
        <v>58</v>
      </c>
      <c r="J2226" t="s">
        <v>8195</v>
      </c>
      <c r="K2226" t="s">
        <v>3158</v>
      </c>
      <c r="L2226" t="s">
        <v>52</v>
      </c>
      <c r="M2226">
        <v>855</v>
      </c>
      <c r="N2226">
        <v>0</v>
      </c>
      <c r="O2226" t="s">
        <v>61</v>
      </c>
      <c r="P2226">
        <v>100</v>
      </c>
      <c r="Q2226" t="s">
        <v>52</v>
      </c>
      <c r="R2226" t="s">
        <v>52</v>
      </c>
      <c r="S2226" t="s">
        <v>52</v>
      </c>
      <c r="T2226" t="s">
        <v>52</v>
      </c>
      <c r="U2226" t="s">
        <v>52</v>
      </c>
      <c r="V2226" t="s">
        <v>62</v>
      </c>
      <c r="W2226" t="s">
        <v>63</v>
      </c>
      <c r="Y2226" t="s">
        <v>52</v>
      </c>
      <c r="AB2226" t="s">
        <v>52</v>
      </c>
      <c r="AE2226" t="s">
        <v>52</v>
      </c>
      <c r="AF2226" t="s">
        <v>52</v>
      </c>
      <c r="AH2226">
        <v>0</v>
      </c>
      <c r="AI2226">
        <v>0</v>
      </c>
      <c r="AJ2226" t="s">
        <v>52</v>
      </c>
      <c r="AK2226">
        <v>0</v>
      </c>
      <c r="AL2226" t="s">
        <v>52</v>
      </c>
      <c r="AM2226" t="s">
        <v>52</v>
      </c>
      <c r="AN2226">
        <v>0</v>
      </c>
      <c r="AO2226">
        <v>0</v>
      </c>
      <c r="AP2226" t="s">
        <v>52</v>
      </c>
      <c r="AQ2226" t="s">
        <v>52</v>
      </c>
      <c r="AR2226" t="s">
        <v>62</v>
      </c>
      <c r="AS2226" t="s">
        <v>52</v>
      </c>
      <c r="AT2226" t="s">
        <v>52</v>
      </c>
      <c r="AU2226" t="s">
        <v>64</v>
      </c>
      <c r="AV2226" t="s">
        <v>62</v>
      </c>
      <c r="AW2226" t="s">
        <v>65</v>
      </c>
      <c r="AX2226" t="s">
        <v>66</v>
      </c>
      <c r="AY2226" t="s">
        <v>67</v>
      </c>
    </row>
    <row r="2227" spans="1:51" hidden="1" x14ac:dyDescent="0.25">
      <c r="A2227">
        <v>203996</v>
      </c>
      <c r="B2227" t="s">
        <v>8204</v>
      </c>
      <c r="C2227" t="e">
        <f>VLOOKUP(A2227,[1]Customer_payment_journal_line!$AL:$BO,30,0)</f>
        <v>#N/A</v>
      </c>
      <c r="D2227" t="s">
        <v>53</v>
      </c>
      <c r="E2227" t="s">
        <v>8202</v>
      </c>
      <c r="F2227" t="s">
        <v>8203</v>
      </c>
      <c r="G2227" t="s">
        <v>7579</v>
      </c>
      <c r="H2227" t="s">
        <v>69</v>
      </c>
      <c r="I2227" t="s">
        <v>8197</v>
      </c>
      <c r="J2227" t="s">
        <v>8195</v>
      </c>
      <c r="K2227" t="s">
        <v>3158</v>
      </c>
      <c r="L2227" t="s">
        <v>52</v>
      </c>
      <c r="M2227">
        <v>0</v>
      </c>
      <c r="N2227">
        <v>855</v>
      </c>
      <c r="O2227" t="s">
        <v>61</v>
      </c>
      <c r="P2227">
        <v>100</v>
      </c>
      <c r="Q2227" t="s">
        <v>52</v>
      </c>
      <c r="R2227" t="s">
        <v>52</v>
      </c>
      <c r="S2227" t="s">
        <v>52</v>
      </c>
      <c r="T2227" t="s">
        <v>52</v>
      </c>
      <c r="U2227" t="s">
        <v>52</v>
      </c>
      <c r="V2227" t="s">
        <v>62</v>
      </c>
      <c r="W2227" t="s">
        <v>52</v>
      </c>
      <c r="Y2227" t="s">
        <v>8198</v>
      </c>
      <c r="Z2227" t="s">
        <v>62</v>
      </c>
      <c r="AB2227" t="s">
        <v>8205</v>
      </c>
      <c r="AE2227" t="s">
        <v>8206</v>
      </c>
      <c r="AF2227" t="s">
        <v>52</v>
      </c>
      <c r="AH2227">
        <v>0</v>
      </c>
      <c r="AI2227">
        <v>0</v>
      </c>
      <c r="AJ2227" t="s">
        <v>52</v>
      </c>
      <c r="AK2227">
        <v>0</v>
      </c>
      <c r="AL2227" t="s">
        <v>52</v>
      </c>
      <c r="AM2227" t="s">
        <v>52</v>
      </c>
      <c r="AN2227">
        <v>0</v>
      </c>
      <c r="AO2227">
        <v>0</v>
      </c>
      <c r="AP2227" t="s">
        <v>52</v>
      </c>
      <c r="AQ2227" t="s">
        <v>52</v>
      </c>
      <c r="AR2227" t="s">
        <v>62</v>
      </c>
      <c r="AS2227" t="s">
        <v>52</v>
      </c>
      <c r="AT2227" t="s">
        <v>74</v>
      </c>
      <c r="AU2227" t="s">
        <v>64</v>
      </c>
      <c r="AV2227" t="s">
        <v>62</v>
      </c>
      <c r="AW2227" t="s">
        <v>65</v>
      </c>
      <c r="AX2227" t="s">
        <v>66</v>
      </c>
      <c r="AY2227" t="s">
        <v>67</v>
      </c>
    </row>
    <row r="2228" spans="1:51" hidden="1" x14ac:dyDescent="0.25">
      <c r="A2228">
        <v>204003</v>
      </c>
      <c r="B2228" t="s">
        <v>8207</v>
      </c>
      <c r="C2228" t="e">
        <f>VLOOKUP(A2228,[1]Customer_payment_journal_line!$AL:$BO,30,0)</f>
        <v>#N/A</v>
      </c>
      <c r="D2228" t="s">
        <v>159</v>
      </c>
      <c r="E2228" t="s">
        <v>8208</v>
      </c>
      <c r="F2228" t="s">
        <v>8209</v>
      </c>
      <c r="G2228" t="s">
        <v>7579</v>
      </c>
      <c r="H2228" t="s">
        <v>80</v>
      </c>
      <c r="I2228" t="s">
        <v>632</v>
      </c>
      <c r="J2228" t="s">
        <v>8210</v>
      </c>
      <c r="K2228" t="s">
        <v>8211</v>
      </c>
      <c r="L2228" t="s">
        <v>52</v>
      </c>
      <c r="M2228">
        <v>6216</v>
      </c>
      <c r="N2228">
        <v>0</v>
      </c>
      <c r="O2228" t="s">
        <v>61</v>
      </c>
      <c r="P2228">
        <v>100</v>
      </c>
      <c r="Q2228" t="s">
        <v>52</v>
      </c>
      <c r="R2228" t="s">
        <v>52</v>
      </c>
      <c r="S2228" t="s">
        <v>52</v>
      </c>
      <c r="T2228" t="s">
        <v>52</v>
      </c>
      <c r="U2228" t="s">
        <v>52</v>
      </c>
      <c r="V2228" t="s">
        <v>62</v>
      </c>
      <c r="W2228" t="s">
        <v>52</v>
      </c>
      <c r="Y2228" t="s">
        <v>52</v>
      </c>
      <c r="AB2228" t="s">
        <v>52</v>
      </c>
      <c r="AE2228" t="s">
        <v>52</v>
      </c>
      <c r="AF2228" t="s">
        <v>52</v>
      </c>
      <c r="AH2228">
        <v>0</v>
      </c>
      <c r="AI2228">
        <v>0</v>
      </c>
      <c r="AJ2228" t="s">
        <v>52</v>
      </c>
      <c r="AK2228">
        <v>0</v>
      </c>
      <c r="AL2228" t="s">
        <v>52</v>
      </c>
      <c r="AM2228" t="s">
        <v>52</v>
      </c>
      <c r="AN2228">
        <v>0</v>
      </c>
      <c r="AO2228">
        <v>0</v>
      </c>
      <c r="AP2228" t="s">
        <v>52</v>
      </c>
      <c r="AQ2228" t="s">
        <v>52</v>
      </c>
      <c r="AR2228" t="s">
        <v>62</v>
      </c>
      <c r="AS2228" t="s">
        <v>52</v>
      </c>
      <c r="AT2228" t="s">
        <v>52</v>
      </c>
      <c r="AU2228" t="s">
        <v>64</v>
      </c>
      <c r="AV2228" t="s">
        <v>62</v>
      </c>
      <c r="AW2228" t="s">
        <v>65</v>
      </c>
      <c r="AX2228" t="s">
        <v>66</v>
      </c>
      <c r="AY2228" t="s">
        <v>165</v>
      </c>
    </row>
    <row r="2229" spans="1:51" hidden="1" x14ac:dyDescent="0.25">
      <c r="A2229">
        <v>204003</v>
      </c>
      <c r="B2229" t="s">
        <v>8212</v>
      </c>
      <c r="C2229" t="e">
        <f>VLOOKUP(A2229,[1]Customer_payment_journal_line!$AL:$BO,30,0)</f>
        <v>#N/A</v>
      </c>
      <c r="D2229" t="s">
        <v>159</v>
      </c>
      <c r="E2229" t="s">
        <v>8208</v>
      </c>
      <c r="F2229" t="s">
        <v>8209</v>
      </c>
      <c r="G2229" t="s">
        <v>7579</v>
      </c>
      <c r="H2229" t="s">
        <v>69</v>
      </c>
      <c r="I2229" t="s">
        <v>8213</v>
      </c>
      <c r="J2229" t="s">
        <v>8210</v>
      </c>
      <c r="K2229" t="s">
        <v>8211</v>
      </c>
      <c r="L2229" t="s">
        <v>52</v>
      </c>
      <c r="M2229">
        <v>0</v>
      </c>
      <c r="N2229">
        <v>6216</v>
      </c>
      <c r="O2229" t="s">
        <v>61</v>
      </c>
      <c r="P2229">
        <v>100</v>
      </c>
      <c r="Q2229" t="s">
        <v>52</v>
      </c>
      <c r="R2229" t="s">
        <v>52</v>
      </c>
      <c r="S2229" t="s">
        <v>52</v>
      </c>
      <c r="T2229" t="s">
        <v>52</v>
      </c>
      <c r="U2229" t="s">
        <v>52</v>
      </c>
      <c r="V2229" t="s">
        <v>62</v>
      </c>
      <c r="W2229" t="s">
        <v>52</v>
      </c>
      <c r="Y2229" t="s">
        <v>8214</v>
      </c>
      <c r="Z2229" t="s">
        <v>62</v>
      </c>
      <c r="AB2229" t="s">
        <v>8215</v>
      </c>
      <c r="AE2229" t="s">
        <v>8216</v>
      </c>
      <c r="AF2229" t="s">
        <v>52</v>
      </c>
      <c r="AH2229">
        <v>0</v>
      </c>
      <c r="AI2229">
        <v>0</v>
      </c>
      <c r="AJ2229" t="s">
        <v>52</v>
      </c>
      <c r="AK2229">
        <v>0</v>
      </c>
      <c r="AL2229" t="s">
        <v>52</v>
      </c>
      <c r="AM2229" t="s">
        <v>52</v>
      </c>
      <c r="AN2229">
        <v>0</v>
      </c>
      <c r="AO2229">
        <v>0</v>
      </c>
      <c r="AP2229" t="s">
        <v>52</v>
      </c>
      <c r="AQ2229" t="s">
        <v>52</v>
      </c>
      <c r="AR2229" t="s">
        <v>62</v>
      </c>
      <c r="AS2229" t="s">
        <v>52</v>
      </c>
      <c r="AT2229" t="s">
        <v>74</v>
      </c>
      <c r="AU2229" t="s">
        <v>64</v>
      </c>
      <c r="AV2229" t="s">
        <v>62</v>
      </c>
      <c r="AW2229" t="s">
        <v>65</v>
      </c>
      <c r="AX2229" t="s">
        <v>66</v>
      </c>
      <c r="AY2229" t="s">
        <v>165</v>
      </c>
    </row>
    <row r="2230" spans="1:51" hidden="1" x14ac:dyDescent="0.25">
      <c r="A2230">
        <v>204005</v>
      </c>
      <c r="B2230" t="s">
        <v>8217</v>
      </c>
      <c r="C2230" t="e">
        <f>VLOOKUP(A2230,[1]Customer_payment_journal_line!$AL:$BO,30,0)</f>
        <v>#N/A</v>
      </c>
      <c r="D2230" t="s">
        <v>159</v>
      </c>
      <c r="E2230" t="s">
        <v>8218</v>
      </c>
      <c r="F2230" t="s">
        <v>8219</v>
      </c>
      <c r="G2230" t="s">
        <v>7579</v>
      </c>
      <c r="H2230" t="s">
        <v>80</v>
      </c>
      <c r="I2230" t="s">
        <v>269</v>
      </c>
      <c r="J2230" t="s">
        <v>8210</v>
      </c>
      <c r="K2230" t="s">
        <v>8211</v>
      </c>
      <c r="L2230" t="s">
        <v>52</v>
      </c>
      <c r="M2230">
        <v>465</v>
      </c>
      <c r="N2230">
        <v>0</v>
      </c>
      <c r="O2230" t="s">
        <v>178</v>
      </c>
      <c r="P2230">
        <v>5085</v>
      </c>
      <c r="Q2230" t="s">
        <v>52</v>
      </c>
      <c r="R2230" t="s">
        <v>52</v>
      </c>
      <c r="S2230" t="s">
        <v>52</v>
      </c>
      <c r="T2230" t="s">
        <v>52</v>
      </c>
      <c r="U2230" t="s">
        <v>52</v>
      </c>
      <c r="V2230" t="s">
        <v>62</v>
      </c>
      <c r="W2230" t="s">
        <v>52</v>
      </c>
      <c r="Y2230" t="s">
        <v>52</v>
      </c>
      <c r="AB2230" t="s">
        <v>52</v>
      </c>
      <c r="AE2230" t="s">
        <v>52</v>
      </c>
      <c r="AF2230" t="s">
        <v>52</v>
      </c>
      <c r="AH2230">
        <v>0</v>
      </c>
      <c r="AI2230">
        <v>0</v>
      </c>
      <c r="AJ2230" t="s">
        <v>52</v>
      </c>
      <c r="AK2230">
        <v>0</v>
      </c>
      <c r="AL2230" t="s">
        <v>52</v>
      </c>
      <c r="AM2230" t="s">
        <v>52</v>
      </c>
      <c r="AN2230">
        <v>0</v>
      </c>
      <c r="AO2230">
        <v>0</v>
      </c>
      <c r="AP2230" t="s">
        <v>52</v>
      </c>
      <c r="AQ2230" t="s">
        <v>52</v>
      </c>
      <c r="AR2230" t="s">
        <v>62</v>
      </c>
      <c r="AS2230" t="s">
        <v>52</v>
      </c>
      <c r="AT2230" t="s">
        <v>52</v>
      </c>
      <c r="AU2230" t="s">
        <v>64</v>
      </c>
      <c r="AV2230" t="s">
        <v>62</v>
      </c>
      <c r="AW2230" t="s">
        <v>65</v>
      </c>
      <c r="AX2230" t="s">
        <v>66</v>
      </c>
      <c r="AY2230" t="s">
        <v>165</v>
      </c>
    </row>
    <row r="2231" spans="1:51" hidden="1" x14ac:dyDescent="0.25">
      <c r="A2231">
        <v>204005</v>
      </c>
      <c r="B2231" t="s">
        <v>8220</v>
      </c>
      <c r="C2231" t="e">
        <f>VLOOKUP(A2231,[1]Customer_payment_journal_line!$AL:$BO,30,0)</f>
        <v>#N/A</v>
      </c>
      <c r="D2231" t="s">
        <v>159</v>
      </c>
      <c r="E2231" t="s">
        <v>8218</v>
      </c>
      <c r="F2231" t="s">
        <v>8219</v>
      </c>
      <c r="G2231" t="s">
        <v>7579</v>
      </c>
      <c r="H2231" t="s">
        <v>69</v>
      </c>
      <c r="I2231" t="s">
        <v>8213</v>
      </c>
      <c r="J2231" t="s">
        <v>8210</v>
      </c>
      <c r="K2231" t="s">
        <v>8211</v>
      </c>
      <c r="L2231" t="s">
        <v>52</v>
      </c>
      <c r="M2231">
        <v>0</v>
      </c>
      <c r="N2231">
        <v>465</v>
      </c>
      <c r="O2231" t="s">
        <v>178</v>
      </c>
      <c r="P2231">
        <v>5085</v>
      </c>
      <c r="Q2231" t="s">
        <v>52</v>
      </c>
      <c r="R2231" t="s">
        <v>52</v>
      </c>
      <c r="S2231" t="s">
        <v>52</v>
      </c>
      <c r="T2231" t="s">
        <v>52</v>
      </c>
      <c r="U2231" t="s">
        <v>52</v>
      </c>
      <c r="V2231" t="s">
        <v>62</v>
      </c>
      <c r="W2231" t="s">
        <v>52</v>
      </c>
      <c r="Y2231" t="s">
        <v>8214</v>
      </c>
      <c r="Z2231" t="s">
        <v>62</v>
      </c>
      <c r="AB2231" t="s">
        <v>8221</v>
      </c>
      <c r="AE2231" t="s">
        <v>8222</v>
      </c>
      <c r="AF2231" t="s">
        <v>52</v>
      </c>
      <c r="AH2231">
        <v>0</v>
      </c>
      <c r="AI2231">
        <v>0</v>
      </c>
      <c r="AJ2231" t="s">
        <v>52</v>
      </c>
      <c r="AK2231">
        <v>0</v>
      </c>
      <c r="AL2231" t="s">
        <v>52</v>
      </c>
      <c r="AM2231" t="s">
        <v>52</v>
      </c>
      <c r="AN2231">
        <v>0</v>
      </c>
      <c r="AO2231">
        <v>0</v>
      </c>
      <c r="AP2231" t="s">
        <v>52</v>
      </c>
      <c r="AQ2231" t="s">
        <v>52</v>
      </c>
      <c r="AR2231" t="s">
        <v>62</v>
      </c>
      <c r="AS2231" t="s">
        <v>52</v>
      </c>
      <c r="AT2231" t="s">
        <v>74</v>
      </c>
      <c r="AU2231" t="s">
        <v>64</v>
      </c>
      <c r="AV2231" t="s">
        <v>62</v>
      </c>
      <c r="AW2231" t="s">
        <v>65</v>
      </c>
      <c r="AX2231" t="s">
        <v>66</v>
      </c>
      <c r="AY2231" t="s">
        <v>165</v>
      </c>
    </row>
    <row r="2232" spans="1:51" hidden="1" x14ac:dyDescent="0.25">
      <c r="A2232">
        <v>204008</v>
      </c>
      <c r="B2232" t="s">
        <v>8223</v>
      </c>
      <c r="C2232" t="e">
        <f>VLOOKUP(A2232,[1]Customer_payment_journal_line!$AL:$BO,30,0)</f>
        <v>#N/A</v>
      </c>
      <c r="D2232" t="s">
        <v>53</v>
      </c>
      <c r="E2232" t="s">
        <v>8224</v>
      </c>
      <c r="F2232" t="s">
        <v>8225</v>
      </c>
      <c r="G2232" t="s">
        <v>7579</v>
      </c>
      <c r="H2232" t="s">
        <v>57</v>
      </c>
      <c r="I2232" t="s">
        <v>319</v>
      </c>
      <c r="J2232" t="s">
        <v>8226</v>
      </c>
      <c r="K2232" t="s">
        <v>8227</v>
      </c>
      <c r="L2232" t="s">
        <v>52</v>
      </c>
      <c r="M2232">
        <v>6669</v>
      </c>
      <c r="N2232">
        <v>0</v>
      </c>
      <c r="O2232" t="s">
        <v>61</v>
      </c>
      <c r="P2232">
        <v>100</v>
      </c>
      <c r="Q2232" t="s">
        <v>52</v>
      </c>
      <c r="R2232" t="s">
        <v>52</v>
      </c>
      <c r="S2232" t="s">
        <v>52</v>
      </c>
      <c r="T2232" t="s">
        <v>52</v>
      </c>
      <c r="U2232" t="s">
        <v>52</v>
      </c>
      <c r="V2232" t="s">
        <v>62</v>
      </c>
      <c r="W2232" t="s">
        <v>63</v>
      </c>
      <c r="Y2232" t="s">
        <v>52</v>
      </c>
      <c r="AB2232" t="s">
        <v>52</v>
      </c>
      <c r="AE2232" t="s">
        <v>52</v>
      </c>
      <c r="AF2232" t="s">
        <v>52</v>
      </c>
      <c r="AH2232">
        <v>0</v>
      </c>
      <c r="AI2232">
        <v>0</v>
      </c>
      <c r="AJ2232" t="s">
        <v>52</v>
      </c>
      <c r="AK2232">
        <v>0</v>
      </c>
      <c r="AL2232" t="s">
        <v>52</v>
      </c>
      <c r="AM2232" t="s">
        <v>52</v>
      </c>
      <c r="AN2232">
        <v>0</v>
      </c>
      <c r="AO2232">
        <v>0</v>
      </c>
      <c r="AP2232" t="s">
        <v>52</v>
      </c>
      <c r="AQ2232" t="s">
        <v>52</v>
      </c>
      <c r="AR2232" t="s">
        <v>62</v>
      </c>
      <c r="AS2232" t="s">
        <v>52</v>
      </c>
      <c r="AT2232" t="s">
        <v>52</v>
      </c>
      <c r="AU2232" t="s">
        <v>64</v>
      </c>
      <c r="AV2232" t="s">
        <v>62</v>
      </c>
      <c r="AW2232" t="s">
        <v>65</v>
      </c>
      <c r="AX2232" t="s">
        <v>66</v>
      </c>
      <c r="AY2232" t="s">
        <v>67</v>
      </c>
    </row>
    <row r="2233" spans="1:51" hidden="1" x14ac:dyDescent="0.25">
      <c r="A2233">
        <v>204008</v>
      </c>
      <c r="B2233" t="s">
        <v>8228</v>
      </c>
      <c r="C2233" t="e">
        <f>VLOOKUP(A2233,[1]Customer_payment_journal_line!$AL:$BO,30,0)</f>
        <v>#N/A</v>
      </c>
      <c r="D2233" t="s">
        <v>53</v>
      </c>
      <c r="E2233" t="s">
        <v>8224</v>
      </c>
      <c r="F2233" t="s">
        <v>8225</v>
      </c>
      <c r="G2233" t="s">
        <v>7579</v>
      </c>
      <c r="H2233" t="s">
        <v>69</v>
      </c>
      <c r="I2233" t="s">
        <v>8229</v>
      </c>
      <c r="J2233" t="s">
        <v>8226</v>
      </c>
      <c r="K2233" t="s">
        <v>8227</v>
      </c>
      <c r="L2233" t="s">
        <v>52</v>
      </c>
      <c r="M2233">
        <v>0</v>
      </c>
      <c r="N2233">
        <v>6669</v>
      </c>
      <c r="O2233" t="s">
        <v>61</v>
      </c>
      <c r="P2233">
        <v>100</v>
      </c>
      <c r="Q2233" t="s">
        <v>52</v>
      </c>
      <c r="R2233" t="s">
        <v>52</v>
      </c>
      <c r="S2233" t="s">
        <v>52</v>
      </c>
      <c r="T2233" t="s">
        <v>52</v>
      </c>
      <c r="U2233" t="s">
        <v>52</v>
      </c>
      <c r="V2233" t="s">
        <v>62</v>
      </c>
      <c r="W2233" t="s">
        <v>52</v>
      </c>
      <c r="Y2233" t="s">
        <v>8230</v>
      </c>
      <c r="Z2233" t="s">
        <v>62</v>
      </c>
      <c r="AB2233" t="s">
        <v>8231</v>
      </c>
      <c r="AE2233" t="s">
        <v>8232</v>
      </c>
      <c r="AF2233" t="s">
        <v>52</v>
      </c>
      <c r="AH2233">
        <v>0</v>
      </c>
      <c r="AI2233">
        <v>0</v>
      </c>
      <c r="AJ2233" t="s">
        <v>52</v>
      </c>
      <c r="AK2233">
        <v>0</v>
      </c>
      <c r="AL2233" t="s">
        <v>52</v>
      </c>
      <c r="AM2233" t="s">
        <v>52</v>
      </c>
      <c r="AN2233">
        <v>0</v>
      </c>
      <c r="AO2233">
        <v>0</v>
      </c>
      <c r="AP2233" t="s">
        <v>52</v>
      </c>
      <c r="AQ2233" t="s">
        <v>52</v>
      </c>
      <c r="AR2233" t="s">
        <v>62</v>
      </c>
      <c r="AS2233" t="s">
        <v>52</v>
      </c>
      <c r="AT2233" t="s">
        <v>74</v>
      </c>
      <c r="AU2233" t="s">
        <v>64</v>
      </c>
      <c r="AV2233" t="s">
        <v>62</v>
      </c>
      <c r="AW2233" t="s">
        <v>65</v>
      </c>
      <c r="AX2233" t="s">
        <v>66</v>
      </c>
      <c r="AY2233" t="s">
        <v>67</v>
      </c>
    </row>
    <row r="2234" spans="1:51" hidden="1" x14ac:dyDescent="0.25">
      <c r="A2234">
        <v>204009</v>
      </c>
      <c r="B2234" t="s">
        <v>8233</v>
      </c>
      <c r="C2234" t="e">
        <f>VLOOKUP(A2234,[1]Customer_payment_journal_line!$AL:$BO,30,0)</f>
        <v>#N/A</v>
      </c>
      <c r="D2234" t="s">
        <v>53</v>
      </c>
      <c r="E2234" t="s">
        <v>8234</v>
      </c>
      <c r="F2234" t="s">
        <v>8235</v>
      </c>
      <c r="G2234" t="s">
        <v>7579</v>
      </c>
      <c r="H2234" t="s">
        <v>57</v>
      </c>
      <c r="I2234" t="s">
        <v>319</v>
      </c>
      <c r="J2234" t="s">
        <v>8226</v>
      </c>
      <c r="K2234" t="s">
        <v>8227</v>
      </c>
      <c r="L2234" t="s">
        <v>52</v>
      </c>
      <c r="M2234">
        <v>855</v>
      </c>
      <c r="N2234">
        <v>0</v>
      </c>
      <c r="O2234" t="s">
        <v>61</v>
      </c>
      <c r="P2234">
        <v>100</v>
      </c>
      <c r="Q2234" t="s">
        <v>52</v>
      </c>
      <c r="R2234" t="s">
        <v>52</v>
      </c>
      <c r="S2234" t="s">
        <v>52</v>
      </c>
      <c r="T2234" t="s">
        <v>52</v>
      </c>
      <c r="U2234" t="s">
        <v>52</v>
      </c>
      <c r="V2234" t="s">
        <v>62</v>
      </c>
      <c r="W2234" t="s">
        <v>63</v>
      </c>
      <c r="Y2234" t="s">
        <v>52</v>
      </c>
      <c r="AB2234" t="s">
        <v>52</v>
      </c>
      <c r="AE2234" t="s">
        <v>52</v>
      </c>
      <c r="AF2234" t="s">
        <v>52</v>
      </c>
      <c r="AH2234">
        <v>0</v>
      </c>
      <c r="AI2234">
        <v>0</v>
      </c>
      <c r="AJ2234" t="s">
        <v>52</v>
      </c>
      <c r="AK2234">
        <v>0</v>
      </c>
      <c r="AL2234" t="s">
        <v>52</v>
      </c>
      <c r="AM2234" t="s">
        <v>52</v>
      </c>
      <c r="AN2234">
        <v>0</v>
      </c>
      <c r="AO2234">
        <v>0</v>
      </c>
      <c r="AP2234" t="s">
        <v>52</v>
      </c>
      <c r="AQ2234" t="s">
        <v>52</v>
      </c>
      <c r="AR2234" t="s">
        <v>62</v>
      </c>
      <c r="AS2234" t="s">
        <v>52</v>
      </c>
      <c r="AT2234" t="s">
        <v>52</v>
      </c>
      <c r="AU2234" t="s">
        <v>64</v>
      </c>
      <c r="AV2234" t="s">
        <v>62</v>
      </c>
      <c r="AW2234" t="s">
        <v>65</v>
      </c>
      <c r="AX2234" t="s">
        <v>66</v>
      </c>
      <c r="AY2234" t="s">
        <v>67</v>
      </c>
    </row>
    <row r="2235" spans="1:51" hidden="1" x14ac:dyDescent="0.25">
      <c r="A2235">
        <v>204009</v>
      </c>
      <c r="B2235" t="s">
        <v>8236</v>
      </c>
      <c r="C2235" t="e">
        <f>VLOOKUP(A2235,[1]Customer_payment_journal_line!$AL:$BO,30,0)</f>
        <v>#N/A</v>
      </c>
      <c r="D2235" t="s">
        <v>53</v>
      </c>
      <c r="E2235" t="s">
        <v>8234</v>
      </c>
      <c r="F2235" t="s">
        <v>8235</v>
      </c>
      <c r="G2235" t="s">
        <v>7579</v>
      </c>
      <c r="H2235" t="s">
        <v>69</v>
      </c>
      <c r="I2235" t="s">
        <v>8229</v>
      </c>
      <c r="J2235" t="s">
        <v>8226</v>
      </c>
      <c r="K2235" t="s">
        <v>8227</v>
      </c>
      <c r="L2235" t="s">
        <v>52</v>
      </c>
      <c r="M2235">
        <v>0</v>
      </c>
      <c r="N2235">
        <v>855</v>
      </c>
      <c r="O2235" t="s">
        <v>61</v>
      </c>
      <c r="P2235">
        <v>100</v>
      </c>
      <c r="Q2235" t="s">
        <v>52</v>
      </c>
      <c r="R2235" t="s">
        <v>52</v>
      </c>
      <c r="S2235" t="s">
        <v>52</v>
      </c>
      <c r="T2235" t="s">
        <v>52</v>
      </c>
      <c r="U2235" t="s">
        <v>52</v>
      </c>
      <c r="V2235" t="s">
        <v>62</v>
      </c>
      <c r="W2235" t="s">
        <v>52</v>
      </c>
      <c r="Y2235" t="s">
        <v>8230</v>
      </c>
      <c r="Z2235" t="s">
        <v>62</v>
      </c>
      <c r="AB2235" t="s">
        <v>8237</v>
      </c>
      <c r="AE2235" t="s">
        <v>8238</v>
      </c>
      <c r="AF2235" t="s">
        <v>52</v>
      </c>
      <c r="AH2235">
        <v>0</v>
      </c>
      <c r="AI2235">
        <v>0</v>
      </c>
      <c r="AJ2235" t="s">
        <v>52</v>
      </c>
      <c r="AK2235">
        <v>0</v>
      </c>
      <c r="AL2235" t="s">
        <v>52</v>
      </c>
      <c r="AM2235" t="s">
        <v>52</v>
      </c>
      <c r="AN2235">
        <v>0</v>
      </c>
      <c r="AO2235">
        <v>0</v>
      </c>
      <c r="AP2235" t="s">
        <v>52</v>
      </c>
      <c r="AQ2235" t="s">
        <v>52</v>
      </c>
      <c r="AR2235" t="s">
        <v>62</v>
      </c>
      <c r="AS2235" t="s">
        <v>52</v>
      </c>
      <c r="AT2235" t="s">
        <v>74</v>
      </c>
      <c r="AU2235" t="s">
        <v>64</v>
      </c>
      <c r="AV2235" t="s">
        <v>62</v>
      </c>
      <c r="AW2235" t="s">
        <v>65</v>
      </c>
      <c r="AX2235" t="s">
        <v>66</v>
      </c>
      <c r="AY2235" t="s">
        <v>67</v>
      </c>
    </row>
    <row r="2236" spans="1:51" hidden="1" x14ac:dyDescent="0.25">
      <c r="A2236">
        <v>204016</v>
      </c>
      <c r="B2236" t="s">
        <v>8239</v>
      </c>
      <c r="C2236" t="e">
        <f>VLOOKUP(A2236,[1]Customer_payment_journal_line!$AL:$BO,30,0)</f>
        <v>#N/A</v>
      </c>
      <c r="D2236" t="s">
        <v>53</v>
      </c>
      <c r="E2236" t="s">
        <v>8240</v>
      </c>
      <c r="F2236" t="s">
        <v>8241</v>
      </c>
      <c r="G2236" t="s">
        <v>7579</v>
      </c>
      <c r="H2236" t="s">
        <v>57</v>
      </c>
      <c r="I2236" t="s">
        <v>58</v>
      </c>
      <c r="J2236" t="s">
        <v>8242</v>
      </c>
      <c r="K2236" t="s">
        <v>8243</v>
      </c>
      <c r="L2236" t="s">
        <v>52</v>
      </c>
      <c r="M2236">
        <v>1140</v>
      </c>
      <c r="N2236">
        <v>0</v>
      </c>
      <c r="O2236" t="s">
        <v>61</v>
      </c>
      <c r="P2236">
        <v>100</v>
      </c>
      <c r="Q2236" t="s">
        <v>52</v>
      </c>
      <c r="R2236" t="s">
        <v>52</v>
      </c>
      <c r="S2236" t="s">
        <v>52</v>
      </c>
      <c r="T2236" t="s">
        <v>52</v>
      </c>
      <c r="U2236" t="s">
        <v>52</v>
      </c>
      <c r="V2236" t="s">
        <v>62</v>
      </c>
      <c r="W2236" t="s">
        <v>63</v>
      </c>
      <c r="Y2236" t="s">
        <v>52</v>
      </c>
      <c r="AB2236" t="s">
        <v>52</v>
      </c>
      <c r="AE2236" t="s">
        <v>52</v>
      </c>
      <c r="AF2236" t="s">
        <v>52</v>
      </c>
      <c r="AH2236">
        <v>0</v>
      </c>
      <c r="AI2236">
        <v>0</v>
      </c>
      <c r="AJ2236" t="s">
        <v>52</v>
      </c>
      <c r="AK2236">
        <v>0</v>
      </c>
      <c r="AL2236" t="s">
        <v>52</v>
      </c>
      <c r="AM2236" t="s">
        <v>52</v>
      </c>
      <c r="AN2236">
        <v>0</v>
      </c>
      <c r="AO2236">
        <v>0</v>
      </c>
      <c r="AP2236" t="s">
        <v>52</v>
      </c>
      <c r="AQ2236" t="s">
        <v>52</v>
      </c>
      <c r="AR2236" t="s">
        <v>62</v>
      </c>
      <c r="AS2236" t="s">
        <v>52</v>
      </c>
      <c r="AT2236" t="s">
        <v>52</v>
      </c>
      <c r="AU2236" t="s">
        <v>64</v>
      </c>
      <c r="AV2236" t="s">
        <v>62</v>
      </c>
      <c r="AW2236" t="s">
        <v>65</v>
      </c>
      <c r="AX2236" t="s">
        <v>66</v>
      </c>
      <c r="AY2236" t="s">
        <v>67</v>
      </c>
    </row>
    <row r="2237" spans="1:51" hidden="1" x14ac:dyDescent="0.25">
      <c r="A2237">
        <v>204016</v>
      </c>
      <c r="B2237" t="s">
        <v>8244</v>
      </c>
      <c r="C2237" t="e">
        <f>VLOOKUP(A2237,[1]Customer_payment_journal_line!$AL:$BO,30,0)</f>
        <v>#N/A</v>
      </c>
      <c r="D2237" t="s">
        <v>53</v>
      </c>
      <c r="E2237" t="s">
        <v>8240</v>
      </c>
      <c r="F2237" t="s">
        <v>8241</v>
      </c>
      <c r="G2237" t="s">
        <v>7579</v>
      </c>
      <c r="H2237" t="s">
        <v>69</v>
      </c>
      <c r="I2237" t="s">
        <v>8245</v>
      </c>
      <c r="J2237" t="s">
        <v>8242</v>
      </c>
      <c r="K2237" t="s">
        <v>8243</v>
      </c>
      <c r="L2237" t="s">
        <v>52</v>
      </c>
      <c r="M2237">
        <v>0</v>
      </c>
      <c r="N2237">
        <v>1140</v>
      </c>
      <c r="O2237" t="s">
        <v>61</v>
      </c>
      <c r="P2237">
        <v>100</v>
      </c>
      <c r="Q2237" t="s">
        <v>52</v>
      </c>
      <c r="R2237" t="s">
        <v>52</v>
      </c>
      <c r="S2237" t="s">
        <v>52</v>
      </c>
      <c r="T2237" t="s">
        <v>52</v>
      </c>
      <c r="U2237" t="s">
        <v>52</v>
      </c>
      <c r="V2237" t="s">
        <v>62</v>
      </c>
      <c r="W2237" t="s">
        <v>52</v>
      </c>
      <c r="Y2237" t="s">
        <v>8246</v>
      </c>
      <c r="Z2237" t="s">
        <v>62</v>
      </c>
      <c r="AB2237" t="s">
        <v>8247</v>
      </c>
      <c r="AE2237" t="s">
        <v>8248</v>
      </c>
      <c r="AF2237" t="s">
        <v>52</v>
      </c>
      <c r="AH2237">
        <v>0</v>
      </c>
      <c r="AI2237">
        <v>0</v>
      </c>
      <c r="AJ2237" t="s">
        <v>52</v>
      </c>
      <c r="AK2237">
        <v>0</v>
      </c>
      <c r="AL2237" t="s">
        <v>52</v>
      </c>
      <c r="AM2237" t="s">
        <v>52</v>
      </c>
      <c r="AN2237">
        <v>0</v>
      </c>
      <c r="AO2237">
        <v>0</v>
      </c>
      <c r="AP2237" t="s">
        <v>52</v>
      </c>
      <c r="AQ2237" t="s">
        <v>52</v>
      </c>
      <c r="AR2237" t="s">
        <v>62</v>
      </c>
      <c r="AS2237" t="s">
        <v>52</v>
      </c>
      <c r="AT2237" t="s">
        <v>74</v>
      </c>
      <c r="AU2237" t="s">
        <v>64</v>
      </c>
      <c r="AV2237" t="s">
        <v>62</v>
      </c>
      <c r="AW2237" t="s">
        <v>65</v>
      </c>
      <c r="AX2237" t="s">
        <v>66</v>
      </c>
      <c r="AY2237" t="s">
        <v>67</v>
      </c>
    </row>
    <row r="2238" spans="1:51" hidden="1" x14ac:dyDescent="0.25">
      <c r="A2238">
        <v>204017</v>
      </c>
      <c r="B2238" t="s">
        <v>8249</v>
      </c>
      <c r="C2238" t="e">
        <f>VLOOKUP(A2238,[1]Customer_payment_journal_line!$AL:$BO,30,0)</f>
        <v>#N/A</v>
      </c>
      <c r="D2238" t="s">
        <v>53</v>
      </c>
      <c r="E2238" t="s">
        <v>8250</v>
      </c>
      <c r="F2238" t="s">
        <v>8251</v>
      </c>
      <c r="G2238" t="s">
        <v>7579</v>
      </c>
      <c r="H2238" t="s">
        <v>57</v>
      </c>
      <c r="I2238" t="s">
        <v>58</v>
      </c>
      <c r="J2238" t="s">
        <v>8242</v>
      </c>
      <c r="K2238" t="s">
        <v>8243</v>
      </c>
      <c r="L2238" t="s">
        <v>52</v>
      </c>
      <c r="M2238">
        <v>855</v>
      </c>
      <c r="N2238">
        <v>0</v>
      </c>
      <c r="O2238" t="s">
        <v>61</v>
      </c>
      <c r="P2238">
        <v>100</v>
      </c>
      <c r="Q2238" t="s">
        <v>52</v>
      </c>
      <c r="R2238" t="s">
        <v>52</v>
      </c>
      <c r="S2238" t="s">
        <v>52</v>
      </c>
      <c r="T2238" t="s">
        <v>52</v>
      </c>
      <c r="U2238" t="s">
        <v>52</v>
      </c>
      <c r="V2238" t="s">
        <v>62</v>
      </c>
      <c r="W2238" t="s">
        <v>63</v>
      </c>
      <c r="Y2238" t="s">
        <v>52</v>
      </c>
      <c r="AB2238" t="s">
        <v>52</v>
      </c>
      <c r="AE2238" t="s">
        <v>52</v>
      </c>
      <c r="AF2238" t="s">
        <v>52</v>
      </c>
      <c r="AH2238">
        <v>0</v>
      </c>
      <c r="AI2238">
        <v>0</v>
      </c>
      <c r="AJ2238" t="s">
        <v>52</v>
      </c>
      <c r="AK2238">
        <v>0</v>
      </c>
      <c r="AL2238" t="s">
        <v>52</v>
      </c>
      <c r="AM2238" t="s">
        <v>52</v>
      </c>
      <c r="AN2238">
        <v>0</v>
      </c>
      <c r="AO2238">
        <v>0</v>
      </c>
      <c r="AP2238" t="s">
        <v>52</v>
      </c>
      <c r="AQ2238" t="s">
        <v>52</v>
      </c>
      <c r="AR2238" t="s">
        <v>62</v>
      </c>
      <c r="AS2238" t="s">
        <v>52</v>
      </c>
      <c r="AT2238" t="s">
        <v>52</v>
      </c>
      <c r="AU2238" t="s">
        <v>64</v>
      </c>
      <c r="AV2238" t="s">
        <v>62</v>
      </c>
      <c r="AW2238" t="s">
        <v>65</v>
      </c>
      <c r="AX2238" t="s">
        <v>66</v>
      </c>
      <c r="AY2238" t="s">
        <v>67</v>
      </c>
    </row>
    <row r="2239" spans="1:51" hidden="1" x14ac:dyDescent="0.25">
      <c r="A2239">
        <v>204017</v>
      </c>
      <c r="B2239" t="s">
        <v>8252</v>
      </c>
      <c r="C2239" t="e">
        <f>VLOOKUP(A2239,[1]Customer_payment_journal_line!$AL:$BO,30,0)</f>
        <v>#N/A</v>
      </c>
      <c r="D2239" t="s">
        <v>53</v>
      </c>
      <c r="E2239" t="s">
        <v>8250</v>
      </c>
      <c r="F2239" t="s">
        <v>8251</v>
      </c>
      <c r="G2239" t="s">
        <v>7579</v>
      </c>
      <c r="H2239" t="s">
        <v>69</v>
      </c>
      <c r="I2239" t="s">
        <v>8245</v>
      </c>
      <c r="J2239" t="s">
        <v>8242</v>
      </c>
      <c r="K2239" t="s">
        <v>8243</v>
      </c>
      <c r="L2239" t="s">
        <v>52</v>
      </c>
      <c r="M2239">
        <v>0</v>
      </c>
      <c r="N2239">
        <v>855</v>
      </c>
      <c r="O2239" t="s">
        <v>61</v>
      </c>
      <c r="P2239">
        <v>100</v>
      </c>
      <c r="Q2239" t="s">
        <v>52</v>
      </c>
      <c r="R2239" t="s">
        <v>52</v>
      </c>
      <c r="S2239" t="s">
        <v>52</v>
      </c>
      <c r="T2239" t="s">
        <v>52</v>
      </c>
      <c r="U2239" t="s">
        <v>52</v>
      </c>
      <c r="V2239" t="s">
        <v>62</v>
      </c>
      <c r="W2239" t="s">
        <v>52</v>
      </c>
      <c r="Y2239" t="s">
        <v>8246</v>
      </c>
      <c r="Z2239" t="s">
        <v>62</v>
      </c>
      <c r="AB2239" t="s">
        <v>8253</v>
      </c>
      <c r="AE2239" t="s">
        <v>8254</v>
      </c>
      <c r="AF2239" t="s">
        <v>52</v>
      </c>
      <c r="AH2239">
        <v>0</v>
      </c>
      <c r="AI2239">
        <v>0</v>
      </c>
      <c r="AJ2239" t="s">
        <v>52</v>
      </c>
      <c r="AK2239">
        <v>0</v>
      </c>
      <c r="AL2239" t="s">
        <v>52</v>
      </c>
      <c r="AM2239" t="s">
        <v>52</v>
      </c>
      <c r="AN2239">
        <v>0</v>
      </c>
      <c r="AO2239">
        <v>0</v>
      </c>
      <c r="AP2239" t="s">
        <v>52</v>
      </c>
      <c r="AQ2239" t="s">
        <v>52</v>
      </c>
      <c r="AR2239" t="s">
        <v>62</v>
      </c>
      <c r="AS2239" t="s">
        <v>52</v>
      </c>
      <c r="AT2239" t="s">
        <v>74</v>
      </c>
      <c r="AU2239" t="s">
        <v>64</v>
      </c>
      <c r="AV2239" t="s">
        <v>62</v>
      </c>
      <c r="AW2239" t="s">
        <v>65</v>
      </c>
      <c r="AX2239" t="s">
        <v>66</v>
      </c>
      <c r="AY2239" t="s">
        <v>67</v>
      </c>
    </row>
    <row r="2240" spans="1:51" hidden="1" x14ac:dyDescent="0.25">
      <c r="A2240">
        <v>406256</v>
      </c>
      <c r="B2240" t="s">
        <v>8255</v>
      </c>
      <c r="C2240" t="e">
        <f>VLOOKUP(A2240,[1]Customer_payment_journal_line!$AL:$BO,30,0)</f>
        <v>#N/A</v>
      </c>
      <c r="D2240" t="s">
        <v>53</v>
      </c>
      <c r="E2240" t="s">
        <v>8256</v>
      </c>
      <c r="F2240" t="s">
        <v>8257</v>
      </c>
      <c r="G2240" t="s">
        <v>7579</v>
      </c>
      <c r="H2240" t="s">
        <v>57</v>
      </c>
      <c r="I2240" t="s">
        <v>1349</v>
      </c>
      <c r="J2240" t="s">
        <v>8258</v>
      </c>
      <c r="K2240" t="s">
        <v>6416</v>
      </c>
      <c r="L2240" t="s">
        <v>52</v>
      </c>
      <c r="M2240">
        <v>2270</v>
      </c>
      <c r="N2240">
        <v>0</v>
      </c>
      <c r="O2240" t="s">
        <v>61</v>
      </c>
      <c r="P2240">
        <v>100</v>
      </c>
      <c r="Q2240" t="s">
        <v>52</v>
      </c>
      <c r="R2240" t="s">
        <v>52</v>
      </c>
      <c r="S2240" t="s">
        <v>52</v>
      </c>
      <c r="T2240" t="s">
        <v>52</v>
      </c>
      <c r="U2240" t="s">
        <v>52</v>
      </c>
      <c r="V2240" t="s">
        <v>62</v>
      </c>
      <c r="W2240" t="s">
        <v>63</v>
      </c>
      <c r="Y2240" t="s">
        <v>52</v>
      </c>
      <c r="AB2240" t="s">
        <v>52</v>
      </c>
      <c r="AE2240" t="s">
        <v>52</v>
      </c>
      <c r="AF2240" t="s">
        <v>52</v>
      </c>
      <c r="AH2240">
        <v>0</v>
      </c>
      <c r="AI2240">
        <v>0</v>
      </c>
      <c r="AJ2240" t="s">
        <v>52</v>
      </c>
      <c r="AK2240">
        <v>0</v>
      </c>
      <c r="AL2240" t="s">
        <v>52</v>
      </c>
      <c r="AM2240" t="s">
        <v>52</v>
      </c>
      <c r="AN2240">
        <v>0</v>
      </c>
      <c r="AO2240">
        <v>0</v>
      </c>
      <c r="AP2240" t="s">
        <v>52</v>
      </c>
      <c r="AQ2240" t="s">
        <v>52</v>
      </c>
      <c r="AR2240" t="s">
        <v>62</v>
      </c>
      <c r="AS2240" t="s">
        <v>52</v>
      </c>
      <c r="AT2240" t="s">
        <v>52</v>
      </c>
      <c r="AU2240" t="s">
        <v>64</v>
      </c>
      <c r="AV2240" t="s">
        <v>62</v>
      </c>
      <c r="AW2240" t="s">
        <v>65</v>
      </c>
      <c r="AX2240" t="s">
        <v>66</v>
      </c>
      <c r="AY2240" t="s">
        <v>67</v>
      </c>
    </row>
    <row r="2241" spans="1:51" hidden="1" x14ac:dyDescent="0.25">
      <c r="A2241">
        <v>406256</v>
      </c>
      <c r="B2241" t="s">
        <v>8259</v>
      </c>
      <c r="C2241" t="e">
        <f>VLOOKUP(A2241,[1]Customer_payment_journal_line!$AL:$BO,30,0)</f>
        <v>#N/A</v>
      </c>
      <c r="D2241" t="s">
        <v>53</v>
      </c>
      <c r="E2241" t="s">
        <v>8256</v>
      </c>
      <c r="F2241" t="s">
        <v>8257</v>
      </c>
      <c r="G2241" t="s">
        <v>7579</v>
      </c>
      <c r="H2241" t="s">
        <v>69</v>
      </c>
      <c r="I2241" t="s">
        <v>339</v>
      </c>
      <c r="J2241" t="s">
        <v>8258</v>
      </c>
      <c r="K2241" t="s">
        <v>6416</v>
      </c>
      <c r="L2241" t="s">
        <v>52</v>
      </c>
      <c r="M2241">
        <v>0</v>
      </c>
      <c r="N2241">
        <v>2270</v>
      </c>
      <c r="O2241" t="s">
        <v>61</v>
      </c>
      <c r="P2241">
        <v>100</v>
      </c>
      <c r="Q2241" t="s">
        <v>52</v>
      </c>
      <c r="R2241" t="s">
        <v>52</v>
      </c>
      <c r="S2241" t="s">
        <v>52</v>
      </c>
      <c r="T2241" t="s">
        <v>52</v>
      </c>
      <c r="U2241" t="s">
        <v>52</v>
      </c>
      <c r="V2241" t="s">
        <v>62</v>
      </c>
      <c r="W2241" t="s">
        <v>52</v>
      </c>
      <c r="Y2241" t="s">
        <v>340</v>
      </c>
      <c r="Z2241" t="s">
        <v>62</v>
      </c>
      <c r="AB2241" t="s">
        <v>8260</v>
      </c>
      <c r="AE2241" t="s">
        <v>8261</v>
      </c>
      <c r="AF2241" t="s">
        <v>52</v>
      </c>
      <c r="AH2241">
        <v>0</v>
      </c>
      <c r="AI2241">
        <v>0</v>
      </c>
      <c r="AJ2241" t="s">
        <v>52</v>
      </c>
      <c r="AK2241">
        <v>0</v>
      </c>
      <c r="AL2241" t="s">
        <v>52</v>
      </c>
      <c r="AM2241" t="s">
        <v>52</v>
      </c>
      <c r="AN2241">
        <v>0</v>
      </c>
      <c r="AO2241">
        <v>0</v>
      </c>
      <c r="AP2241" t="s">
        <v>52</v>
      </c>
      <c r="AQ2241" t="s">
        <v>52</v>
      </c>
      <c r="AR2241" t="s">
        <v>62</v>
      </c>
      <c r="AS2241" t="s">
        <v>52</v>
      </c>
      <c r="AT2241" t="s">
        <v>74</v>
      </c>
      <c r="AU2241" t="s">
        <v>64</v>
      </c>
      <c r="AV2241" t="s">
        <v>62</v>
      </c>
      <c r="AW2241" t="s">
        <v>65</v>
      </c>
      <c r="AX2241" t="s">
        <v>66</v>
      </c>
      <c r="AY2241" t="s">
        <v>67</v>
      </c>
    </row>
    <row r="2242" spans="1:51" hidden="1" x14ac:dyDescent="0.25">
      <c r="A2242">
        <v>406257</v>
      </c>
      <c r="B2242" t="s">
        <v>8262</v>
      </c>
      <c r="C2242" t="e">
        <f>VLOOKUP(A2242,[1]Customer_payment_journal_line!$AL:$BO,30,0)</f>
        <v>#N/A</v>
      </c>
      <c r="D2242" t="s">
        <v>53</v>
      </c>
      <c r="E2242" t="s">
        <v>8263</v>
      </c>
      <c r="F2242" t="s">
        <v>8264</v>
      </c>
      <c r="G2242" t="s">
        <v>7579</v>
      </c>
      <c r="H2242" t="s">
        <v>57</v>
      </c>
      <c r="I2242" t="s">
        <v>1349</v>
      </c>
      <c r="J2242" t="s">
        <v>8265</v>
      </c>
      <c r="K2242" t="s">
        <v>3656</v>
      </c>
      <c r="L2242" t="s">
        <v>52</v>
      </c>
      <c r="M2242">
        <v>875</v>
      </c>
      <c r="N2242">
        <v>0</v>
      </c>
      <c r="O2242" t="s">
        <v>61</v>
      </c>
      <c r="P2242">
        <v>100</v>
      </c>
      <c r="Q2242" t="s">
        <v>52</v>
      </c>
      <c r="R2242" t="s">
        <v>52</v>
      </c>
      <c r="S2242" t="s">
        <v>52</v>
      </c>
      <c r="T2242" t="s">
        <v>52</v>
      </c>
      <c r="U2242" t="s">
        <v>52</v>
      </c>
      <c r="V2242" t="s">
        <v>62</v>
      </c>
      <c r="W2242" t="s">
        <v>63</v>
      </c>
      <c r="Y2242" t="s">
        <v>52</v>
      </c>
      <c r="AB2242" t="s">
        <v>52</v>
      </c>
      <c r="AE2242" t="s">
        <v>52</v>
      </c>
      <c r="AF2242" t="s">
        <v>52</v>
      </c>
      <c r="AH2242">
        <v>0</v>
      </c>
      <c r="AI2242">
        <v>0</v>
      </c>
      <c r="AJ2242" t="s">
        <v>52</v>
      </c>
      <c r="AK2242">
        <v>0</v>
      </c>
      <c r="AL2242" t="s">
        <v>52</v>
      </c>
      <c r="AM2242" t="s">
        <v>52</v>
      </c>
      <c r="AN2242">
        <v>0</v>
      </c>
      <c r="AO2242">
        <v>0</v>
      </c>
      <c r="AP2242" t="s">
        <v>52</v>
      </c>
      <c r="AQ2242" t="s">
        <v>52</v>
      </c>
      <c r="AR2242" t="s">
        <v>62</v>
      </c>
      <c r="AS2242" t="s">
        <v>52</v>
      </c>
      <c r="AT2242" t="s">
        <v>52</v>
      </c>
      <c r="AU2242" t="s">
        <v>64</v>
      </c>
      <c r="AV2242" t="s">
        <v>62</v>
      </c>
      <c r="AW2242" t="s">
        <v>65</v>
      </c>
      <c r="AX2242" t="s">
        <v>66</v>
      </c>
      <c r="AY2242" t="s">
        <v>67</v>
      </c>
    </row>
    <row r="2243" spans="1:51" hidden="1" x14ac:dyDescent="0.25">
      <c r="A2243">
        <v>406257</v>
      </c>
      <c r="B2243" t="s">
        <v>8266</v>
      </c>
      <c r="C2243" t="e">
        <f>VLOOKUP(A2243,[1]Customer_payment_journal_line!$AL:$BO,30,0)</f>
        <v>#N/A</v>
      </c>
      <c r="D2243" t="s">
        <v>53</v>
      </c>
      <c r="E2243" t="s">
        <v>8263</v>
      </c>
      <c r="F2243" t="s">
        <v>8264</v>
      </c>
      <c r="G2243" t="s">
        <v>7579</v>
      </c>
      <c r="H2243" t="s">
        <v>69</v>
      </c>
      <c r="I2243" t="s">
        <v>3609</v>
      </c>
      <c r="J2243" t="s">
        <v>8265</v>
      </c>
      <c r="K2243" t="s">
        <v>3656</v>
      </c>
      <c r="L2243" t="s">
        <v>52</v>
      </c>
      <c r="M2243">
        <v>0</v>
      </c>
      <c r="N2243">
        <v>875</v>
      </c>
      <c r="O2243" t="s">
        <v>61</v>
      </c>
      <c r="P2243">
        <v>100</v>
      </c>
      <c r="Q2243" t="s">
        <v>52</v>
      </c>
      <c r="R2243" t="s">
        <v>52</v>
      </c>
      <c r="S2243" t="s">
        <v>52</v>
      </c>
      <c r="T2243" t="s">
        <v>52</v>
      </c>
      <c r="U2243" t="s">
        <v>52</v>
      </c>
      <c r="V2243" t="s">
        <v>62</v>
      </c>
      <c r="W2243" t="s">
        <v>52</v>
      </c>
      <c r="Y2243" t="s">
        <v>3611</v>
      </c>
      <c r="Z2243" t="s">
        <v>62</v>
      </c>
      <c r="AB2243" t="s">
        <v>8267</v>
      </c>
      <c r="AE2243" t="s">
        <v>8268</v>
      </c>
      <c r="AF2243" t="s">
        <v>52</v>
      </c>
      <c r="AH2243">
        <v>0</v>
      </c>
      <c r="AI2243">
        <v>0</v>
      </c>
      <c r="AJ2243" t="s">
        <v>52</v>
      </c>
      <c r="AK2243">
        <v>0</v>
      </c>
      <c r="AL2243" t="s">
        <v>52</v>
      </c>
      <c r="AM2243" t="s">
        <v>52</v>
      </c>
      <c r="AN2243">
        <v>0</v>
      </c>
      <c r="AO2243">
        <v>0</v>
      </c>
      <c r="AP2243" t="s">
        <v>52</v>
      </c>
      <c r="AQ2243" t="s">
        <v>52</v>
      </c>
      <c r="AR2243" t="s">
        <v>62</v>
      </c>
      <c r="AS2243" t="s">
        <v>52</v>
      </c>
      <c r="AT2243" t="s">
        <v>74</v>
      </c>
      <c r="AU2243" t="s">
        <v>64</v>
      </c>
      <c r="AV2243" t="s">
        <v>62</v>
      </c>
      <c r="AW2243" t="s">
        <v>65</v>
      </c>
      <c r="AX2243" t="s">
        <v>66</v>
      </c>
      <c r="AY2243" t="s">
        <v>67</v>
      </c>
    </row>
    <row r="2244" spans="1:51" hidden="1" x14ac:dyDescent="0.25">
      <c r="A2244">
        <v>403039</v>
      </c>
      <c r="B2244" t="s">
        <v>8269</v>
      </c>
      <c r="C2244" t="e">
        <f>VLOOKUP(A2244,[1]Customer_payment_journal_line!$AL:$BO,30,0)</f>
        <v>#N/A</v>
      </c>
      <c r="D2244" t="s">
        <v>53</v>
      </c>
      <c r="E2244" t="s">
        <v>8270</v>
      </c>
      <c r="F2244" t="s">
        <v>8271</v>
      </c>
      <c r="G2244" t="s">
        <v>7579</v>
      </c>
      <c r="H2244" t="s">
        <v>57</v>
      </c>
      <c r="I2244" t="s">
        <v>1349</v>
      </c>
      <c r="J2244" t="s">
        <v>8265</v>
      </c>
      <c r="K2244" t="s">
        <v>3604</v>
      </c>
      <c r="L2244" t="s">
        <v>52</v>
      </c>
      <c r="M2244">
        <v>875</v>
      </c>
      <c r="N2244">
        <v>0</v>
      </c>
      <c r="O2244" t="s">
        <v>61</v>
      </c>
      <c r="P2244">
        <v>100</v>
      </c>
      <c r="Q2244" t="s">
        <v>52</v>
      </c>
      <c r="R2244" t="s">
        <v>52</v>
      </c>
      <c r="S2244" t="s">
        <v>52</v>
      </c>
      <c r="T2244" t="s">
        <v>52</v>
      </c>
      <c r="U2244" t="s">
        <v>52</v>
      </c>
      <c r="V2244" t="s">
        <v>62</v>
      </c>
      <c r="W2244" t="s">
        <v>63</v>
      </c>
      <c r="Y2244" t="s">
        <v>52</v>
      </c>
      <c r="AB2244" t="s">
        <v>52</v>
      </c>
      <c r="AE2244" t="s">
        <v>52</v>
      </c>
      <c r="AF2244" t="s">
        <v>52</v>
      </c>
      <c r="AH2244">
        <v>0</v>
      </c>
      <c r="AI2244">
        <v>0</v>
      </c>
      <c r="AJ2244" t="s">
        <v>52</v>
      </c>
      <c r="AK2244">
        <v>0</v>
      </c>
      <c r="AL2244" t="s">
        <v>52</v>
      </c>
      <c r="AM2244" t="s">
        <v>52</v>
      </c>
      <c r="AN2244">
        <v>0</v>
      </c>
      <c r="AO2244">
        <v>0</v>
      </c>
      <c r="AP2244" t="s">
        <v>52</v>
      </c>
      <c r="AQ2244" t="s">
        <v>52</v>
      </c>
      <c r="AR2244" t="s">
        <v>62</v>
      </c>
      <c r="AS2244" t="s">
        <v>52</v>
      </c>
      <c r="AT2244" t="s">
        <v>52</v>
      </c>
      <c r="AU2244" t="s">
        <v>64</v>
      </c>
      <c r="AV2244" t="s">
        <v>62</v>
      </c>
      <c r="AW2244" t="s">
        <v>65</v>
      </c>
      <c r="AX2244" t="s">
        <v>66</v>
      </c>
      <c r="AY2244" t="s">
        <v>67</v>
      </c>
    </row>
    <row r="2245" spans="1:51" hidden="1" x14ac:dyDescent="0.25">
      <c r="A2245">
        <v>403039</v>
      </c>
      <c r="B2245" t="s">
        <v>8272</v>
      </c>
      <c r="C2245" t="e">
        <f>VLOOKUP(A2245,[1]Customer_payment_journal_line!$AL:$BO,30,0)</f>
        <v>#N/A</v>
      </c>
      <c r="D2245" t="s">
        <v>53</v>
      </c>
      <c r="E2245" t="s">
        <v>8270</v>
      </c>
      <c r="F2245" t="s">
        <v>8271</v>
      </c>
      <c r="G2245" t="s">
        <v>7579</v>
      </c>
      <c r="H2245" t="s">
        <v>69</v>
      </c>
      <c r="I2245" t="s">
        <v>3609</v>
      </c>
      <c r="J2245" t="s">
        <v>8265</v>
      </c>
      <c r="K2245" t="s">
        <v>3604</v>
      </c>
      <c r="L2245" t="s">
        <v>52</v>
      </c>
      <c r="M2245">
        <v>0</v>
      </c>
      <c r="N2245">
        <v>875</v>
      </c>
      <c r="O2245" t="s">
        <v>61</v>
      </c>
      <c r="P2245">
        <v>100</v>
      </c>
      <c r="Q2245" t="s">
        <v>52</v>
      </c>
      <c r="R2245" t="s">
        <v>52</v>
      </c>
      <c r="S2245" t="s">
        <v>52</v>
      </c>
      <c r="T2245" t="s">
        <v>52</v>
      </c>
      <c r="U2245" t="s">
        <v>52</v>
      </c>
      <c r="V2245" t="s">
        <v>62</v>
      </c>
      <c r="W2245" t="s">
        <v>52</v>
      </c>
      <c r="Y2245" t="s">
        <v>3611</v>
      </c>
      <c r="Z2245" t="s">
        <v>62</v>
      </c>
      <c r="AB2245" t="s">
        <v>8273</v>
      </c>
      <c r="AE2245" t="s">
        <v>8274</v>
      </c>
      <c r="AF2245" t="s">
        <v>52</v>
      </c>
      <c r="AH2245">
        <v>0</v>
      </c>
      <c r="AI2245">
        <v>0</v>
      </c>
      <c r="AJ2245" t="s">
        <v>52</v>
      </c>
      <c r="AK2245">
        <v>0</v>
      </c>
      <c r="AL2245" t="s">
        <v>52</v>
      </c>
      <c r="AM2245" t="s">
        <v>52</v>
      </c>
      <c r="AN2245">
        <v>0</v>
      </c>
      <c r="AO2245">
        <v>0</v>
      </c>
      <c r="AP2245" t="s">
        <v>52</v>
      </c>
      <c r="AQ2245" t="s">
        <v>52</v>
      </c>
      <c r="AR2245" t="s">
        <v>62</v>
      </c>
      <c r="AS2245" t="s">
        <v>52</v>
      </c>
      <c r="AT2245" t="s">
        <v>74</v>
      </c>
      <c r="AU2245" t="s">
        <v>64</v>
      </c>
      <c r="AV2245" t="s">
        <v>62</v>
      </c>
      <c r="AW2245" t="s">
        <v>65</v>
      </c>
      <c r="AX2245" t="s">
        <v>66</v>
      </c>
      <c r="AY2245" t="s">
        <v>67</v>
      </c>
    </row>
    <row r="2246" spans="1:51" hidden="1" x14ac:dyDescent="0.25">
      <c r="A2246">
        <v>204021</v>
      </c>
      <c r="B2246" t="s">
        <v>8275</v>
      </c>
      <c r="C2246" t="e">
        <f>VLOOKUP(A2246,[1]Customer_payment_journal_line!$AL:$BO,30,0)</f>
        <v>#N/A</v>
      </c>
      <c r="D2246" t="s">
        <v>53</v>
      </c>
      <c r="E2246" t="s">
        <v>8276</v>
      </c>
      <c r="F2246" t="s">
        <v>8277</v>
      </c>
      <c r="G2246" t="s">
        <v>7579</v>
      </c>
      <c r="H2246" t="s">
        <v>57</v>
      </c>
      <c r="I2246" t="s">
        <v>58</v>
      </c>
      <c r="J2246" t="s">
        <v>8278</v>
      </c>
      <c r="K2246" t="s">
        <v>2150</v>
      </c>
      <c r="L2246" t="s">
        <v>52</v>
      </c>
      <c r="M2246">
        <v>6406.8</v>
      </c>
      <c r="N2246">
        <v>0</v>
      </c>
      <c r="O2246" t="s">
        <v>61</v>
      </c>
      <c r="P2246">
        <v>100</v>
      </c>
      <c r="Q2246" t="s">
        <v>52</v>
      </c>
      <c r="R2246" t="s">
        <v>52</v>
      </c>
      <c r="S2246" t="s">
        <v>52</v>
      </c>
      <c r="T2246" t="s">
        <v>52</v>
      </c>
      <c r="U2246" t="s">
        <v>52</v>
      </c>
      <c r="V2246" t="s">
        <v>62</v>
      </c>
      <c r="W2246" t="s">
        <v>63</v>
      </c>
      <c r="Y2246" t="s">
        <v>52</v>
      </c>
      <c r="AB2246" t="s">
        <v>52</v>
      </c>
      <c r="AE2246" t="s">
        <v>52</v>
      </c>
      <c r="AF2246" t="s">
        <v>52</v>
      </c>
      <c r="AH2246">
        <v>0</v>
      </c>
      <c r="AI2246">
        <v>0</v>
      </c>
      <c r="AJ2246" t="s">
        <v>52</v>
      </c>
      <c r="AK2246">
        <v>0</v>
      </c>
      <c r="AL2246" t="s">
        <v>52</v>
      </c>
      <c r="AM2246" t="s">
        <v>52</v>
      </c>
      <c r="AN2246">
        <v>0</v>
      </c>
      <c r="AO2246">
        <v>0</v>
      </c>
      <c r="AP2246" t="s">
        <v>52</v>
      </c>
      <c r="AQ2246" t="s">
        <v>52</v>
      </c>
      <c r="AR2246" t="s">
        <v>62</v>
      </c>
      <c r="AS2246" t="s">
        <v>52</v>
      </c>
      <c r="AT2246" t="s">
        <v>52</v>
      </c>
      <c r="AU2246" t="s">
        <v>64</v>
      </c>
      <c r="AV2246" t="s">
        <v>62</v>
      </c>
      <c r="AW2246" t="s">
        <v>65</v>
      </c>
      <c r="AX2246" t="s">
        <v>66</v>
      </c>
      <c r="AY2246" t="s">
        <v>67</v>
      </c>
    </row>
    <row r="2247" spans="1:51" hidden="1" x14ac:dyDescent="0.25">
      <c r="A2247">
        <v>204021</v>
      </c>
      <c r="B2247" t="s">
        <v>8279</v>
      </c>
      <c r="C2247" t="e">
        <f>VLOOKUP(A2247,[1]Customer_payment_journal_line!$AL:$BO,30,0)</f>
        <v>#N/A</v>
      </c>
      <c r="D2247" t="s">
        <v>53</v>
      </c>
      <c r="E2247" t="s">
        <v>8276</v>
      </c>
      <c r="F2247" t="s">
        <v>8277</v>
      </c>
      <c r="G2247" t="s">
        <v>7579</v>
      </c>
      <c r="H2247" t="s">
        <v>69</v>
      </c>
      <c r="I2247" t="s">
        <v>2153</v>
      </c>
      <c r="J2247" t="s">
        <v>8278</v>
      </c>
      <c r="K2247" t="s">
        <v>2150</v>
      </c>
      <c r="L2247" t="s">
        <v>52</v>
      </c>
      <c r="M2247">
        <v>0</v>
      </c>
      <c r="N2247">
        <v>6406.8</v>
      </c>
      <c r="O2247" t="s">
        <v>61</v>
      </c>
      <c r="P2247">
        <v>100</v>
      </c>
      <c r="Q2247" t="s">
        <v>52</v>
      </c>
      <c r="R2247" t="s">
        <v>52</v>
      </c>
      <c r="S2247" t="s">
        <v>52</v>
      </c>
      <c r="T2247" t="s">
        <v>52</v>
      </c>
      <c r="U2247" t="s">
        <v>52</v>
      </c>
      <c r="V2247" t="s">
        <v>62</v>
      </c>
      <c r="W2247" t="s">
        <v>52</v>
      </c>
      <c r="Y2247" t="s">
        <v>2155</v>
      </c>
      <c r="Z2247" t="s">
        <v>62</v>
      </c>
      <c r="AB2247" t="s">
        <v>8280</v>
      </c>
      <c r="AE2247" t="s">
        <v>8281</v>
      </c>
      <c r="AF2247" t="s">
        <v>52</v>
      </c>
      <c r="AH2247">
        <v>0</v>
      </c>
      <c r="AI2247">
        <v>0</v>
      </c>
      <c r="AJ2247" t="s">
        <v>52</v>
      </c>
      <c r="AK2247">
        <v>0</v>
      </c>
      <c r="AL2247" t="s">
        <v>52</v>
      </c>
      <c r="AM2247" t="s">
        <v>52</v>
      </c>
      <c r="AN2247">
        <v>0</v>
      </c>
      <c r="AO2247">
        <v>0</v>
      </c>
      <c r="AP2247" t="s">
        <v>52</v>
      </c>
      <c r="AQ2247" t="s">
        <v>52</v>
      </c>
      <c r="AR2247" t="s">
        <v>62</v>
      </c>
      <c r="AS2247" t="s">
        <v>52</v>
      </c>
      <c r="AT2247" t="s">
        <v>74</v>
      </c>
      <c r="AU2247" t="s">
        <v>64</v>
      </c>
      <c r="AV2247" t="s">
        <v>62</v>
      </c>
      <c r="AW2247" t="s">
        <v>65</v>
      </c>
      <c r="AX2247" t="s">
        <v>66</v>
      </c>
      <c r="AY2247" t="s">
        <v>67</v>
      </c>
    </row>
    <row r="2248" spans="1:51" hidden="1" x14ac:dyDescent="0.25">
      <c r="A2248">
        <v>406258</v>
      </c>
      <c r="B2248" t="s">
        <v>8282</v>
      </c>
      <c r="C2248" t="e">
        <f>VLOOKUP(A2248,[1]Customer_payment_journal_line!$AL:$BO,30,0)</f>
        <v>#N/A</v>
      </c>
      <c r="D2248" t="s">
        <v>53</v>
      </c>
      <c r="E2248" t="s">
        <v>8283</v>
      </c>
      <c r="F2248" t="s">
        <v>8284</v>
      </c>
      <c r="G2248" t="s">
        <v>7579</v>
      </c>
      <c r="H2248" t="s">
        <v>57</v>
      </c>
      <c r="I2248" t="s">
        <v>1349</v>
      </c>
      <c r="J2248" t="s">
        <v>8265</v>
      </c>
      <c r="K2248" t="s">
        <v>3649</v>
      </c>
      <c r="L2248" t="s">
        <v>52</v>
      </c>
      <c r="M2248">
        <v>875</v>
      </c>
      <c r="N2248">
        <v>0</v>
      </c>
      <c r="O2248" t="s">
        <v>61</v>
      </c>
      <c r="P2248">
        <v>100</v>
      </c>
      <c r="Q2248" t="s">
        <v>52</v>
      </c>
      <c r="R2248" t="s">
        <v>52</v>
      </c>
      <c r="S2248" t="s">
        <v>52</v>
      </c>
      <c r="T2248" t="s">
        <v>52</v>
      </c>
      <c r="U2248" t="s">
        <v>52</v>
      </c>
      <c r="V2248" t="s">
        <v>62</v>
      </c>
      <c r="W2248" t="s">
        <v>63</v>
      </c>
      <c r="Y2248" t="s">
        <v>52</v>
      </c>
      <c r="AB2248" t="s">
        <v>52</v>
      </c>
      <c r="AE2248" t="s">
        <v>52</v>
      </c>
      <c r="AF2248" t="s">
        <v>52</v>
      </c>
      <c r="AH2248">
        <v>0</v>
      </c>
      <c r="AI2248">
        <v>0</v>
      </c>
      <c r="AJ2248" t="s">
        <v>52</v>
      </c>
      <c r="AK2248">
        <v>0</v>
      </c>
      <c r="AL2248" t="s">
        <v>52</v>
      </c>
      <c r="AM2248" t="s">
        <v>52</v>
      </c>
      <c r="AN2248">
        <v>0</v>
      </c>
      <c r="AO2248">
        <v>0</v>
      </c>
      <c r="AP2248" t="s">
        <v>52</v>
      </c>
      <c r="AQ2248" t="s">
        <v>52</v>
      </c>
      <c r="AR2248" t="s">
        <v>62</v>
      </c>
      <c r="AS2248" t="s">
        <v>52</v>
      </c>
      <c r="AT2248" t="s">
        <v>52</v>
      </c>
      <c r="AU2248" t="s">
        <v>64</v>
      </c>
      <c r="AV2248" t="s">
        <v>62</v>
      </c>
      <c r="AW2248" t="s">
        <v>65</v>
      </c>
      <c r="AX2248" t="s">
        <v>66</v>
      </c>
      <c r="AY2248" t="s">
        <v>67</v>
      </c>
    </row>
    <row r="2249" spans="1:51" hidden="1" x14ac:dyDescent="0.25">
      <c r="A2249">
        <v>406258</v>
      </c>
      <c r="B2249" t="s">
        <v>8285</v>
      </c>
      <c r="C2249" t="e">
        <f>VLOOKUP(A2249,[1]Customer_payment_journal_line!$AL:$BO,30,0)</f>
        <v>#N/A</v>
      </c>
      <c r="D2249" t="s">
        <v>53</v>
      </c>
      <c r="E2249" t="s">
        <v>8283</v>
      </c>
      <c r="F2249" t="s">
        <v>8284</v>
      </c>
      <c r="G2249" t="s">
        <v>7579</v>
      </c>
      <c r="H2249" t="s">
        <v>69</v>
      </c>
      <c r="I2249" t="s">
        <v>3609</v>
      </c>
      <c r="J2249" t="s">
        <v>8265</v>
      </c>
      <c r="K2249" t="s">
        <v>3649</v>
      </c>
      <c r="L2249" t="s">
        <v>52</v>
      </c>
      <c r="M2249">
        <v>0</v>
      </c>
      <c r="N2249">
        <v>875</v>
      </c>
      <c r="O2249" t="s">
        <v>61</v>
      </c>
      <c r="P2249">
        <v>100</v>
      </c>
      <c r="Q2249" t="s">
        <v>52</v>
      </c>
      <c r="R2249" t="s">
        <v>52</v>
      </c>
      <c r="S2249" t="s">
        <v>52</v>
      </c>
      <c r="T2249" t="s">
        <v>52</v>
      </c>
      <c r="U2249" t="s">
        <v>52</v>
      </c>
      <c r="V2249" t="s">
        <v>62</v>
      </c>
      <c r="W2249" t="s">
        <v>52</v>
      </c>
      <c r="Y2249" t="s">
        <v>3611</v>
      </c>
      <c r="Z2249" t="s">
        <v>62</v>
      </c>
      <c r="AB2249" t="s">
        <v>8286</v>
      </c>
      <c r="AE2249" t="s">
        <v>8287</v>
      </c>
      <c r="AF2249" t="s">
        <v>52</v>
      </c>
      <c r="AH2249">
        <v>0</v>
      </c>
      <c r="AI2249">
        <v>0</v>
      </c>
      <c r="AJ2249" t="s">
        <v>52</v>
      </c>
      <c r="AK2249">
        <v>0</v>
      </c>
      <c r="AL2249" t="s">
        <v>52</v>
      </c>
      <c r="AM2249" t="s">
        <v>52</v>
      </c>
      <c r="AN2249">
        <v>0</v>
      </c>
      <c r="AO2249">
        <v>0</v>
      </c>
      <c r="AP2249" t="s">
        <v>52</v>
      </c>
      <c r="AQ2249" t="s">
        <v>52</v>
      </c>
      <c r="AR2249" t="s">
        <v>62</v>
      </c>
      <c r="AS2249" t="s">
        <v>52</v>
      </c>
      <c r="AT2249" t="s">
        <v>74</v>
      </c>
      <c r="AU2249" t="s">
        <v>64</v>
      </c>
      <c r="AV2249" t="s">
        <v>62</v>
      </c>
      <c r="AW2249" t="s">
        <v>65</v>
      </c>
      <c r="AX2249" t="s">
        <v>66</v>
      </c>
      <c r="AY2249" t="s">
        <v>67</v>
      </c>
    </row>
    <row r="2250" spans="1:51" hidden="1" x14ac:dyDescent="0.25">
      <c r="A2250">
        <v>204041</v>
      </c>
      <c r="B2250" t="s">
        <v>8288</v>
      </c>
      <c r="C2250" t="e">
        <f>VLOOKUP(A2250,[1]Customer_payment_journal_line!$AL:$BO,30,0)</f>
        <v>#N/A</v>
      </c>
      <c r="D2250" t="s">
        <v>53</v>
      </c>
      <c r="E2250" t="s">
        <v>8289</v>
      </c>
      <c r="F2250" t="s">
        <v>8290</v>
      </c>
      <c r="G2250" t="s">
        <v>7579</v>
      </c>
      <c r="H2250" t="s">
        <v>57</v>
      </c>
      <c r="I2250" t="s">
        <v>319</v>
      </c>
      <c r="J2250" t="s">
        <v>8045</v>
      </c>
      <c r="K2250" t="s">
        <v>6857</v>
      </c>
      <c r="L2250" t="s">
        <v>52</v>
      </c>
      <c r="M2250">
        <v>855</v>
      </c>
      <c r="N2250">
        <v>0</v>
      </c>
      <c r="O2250" t="s">
        <v>61</v>
      </c>
      <c r="P2250">
        <v>100</v>
      </c>
      <c r="Q2250" t="s">
        <v>52</v>
      </c>
      <c r="R2250" t="s">
        <v>52</v>
      </c>
      <c r="S2250" t="s">
        <v>52</v>
      </c>
      <c r="T2250" t="s">
        <v>52</v>
      </c>
      <c r="U2250" t="s">
        <v>52</v>
      </c>
      <c r="V2250" t="s">
        <v>62</v>
      </c>
      <c r="W2250" t="s">
        <v>63</v>
      </c>
      <c r="Y2250" t="s">
        <v>52</v>
      </c>
      <c r="AB2250" t="s">
        <v>52</v>
      </c>
      <c r="AE2250" t="s">
        <v>52</v>
      </c>
      <c r="AF2250" t="s">
        <v>52</v>
      </c>
      <c r="AH2250">
        <v>0</v>
      </c>
      <c r="AI2250">
        <v>0</v>
      </c>
      <c r="AJ2250" t="s">
        <v>52</v>
      </c>
      <c r="AK2250">
        <v>0</v>
      </c>
      <c r="AL2250" t="s">
        <v>52</v>
      </c>
      <c r="AM2250" t="s">
        <v>52</v>
      </c>
      <c r="AN2250">
        <v>0</v>
      </c>
      <c r="AO2250">
        <v>0</v>
      </c>
      <c r="AP2250" t="s">
        <v>52</v>
      </c>
      <c r="AQ2250" t="s">
        <v>52</v>
      </c>
      <c r="AR2250" t="s">
        <v>62</v>
      </c>
      <c r="AS2250" t="s">
        <v>52</v>
      </c>
      <c r="AT2250" t="s">
        <v>52</v>
      </c>
      <c r="AU2250" t="s">
        <v>64</v>
      </c>
      <c r="AV2250" t="s">
        <v>62</v>
      </c>
      <c r="AW2250" t="s">
        <v>65</v>
      </c>
      <c r="AX2250" t="s">
        <v>66</v>
      </c>
      <c r="AY2250" t="s">
        <v>67</v>
      </c>
    </row>
    <row r="2251" spans="1:51" hidden="1" x14ac:dyDescent="0.25">
      <c r="A2251">
        <v>204041</v>
      </c>
      <c r="B2251" t="s">
        <v>8291</v>
      </c>
      <c r="C2251" t="e">
        <f>VLOOKUP(A2251,[1]Customer_payment_journal_line!$AL:$BO,30,0)</f>
        <v>#N/A</v>
      </c>
      <c r="D2251" t="s">
        <v>53</v>
      </c>
      <c r="E2251" t="s">
        <v>8289</v>
      </c>
      <c r="F2251" t="s">
        <v>8290</v>
      </c>
      <c r="G2251" t="s">
        <v>7579</v>
      </c>
      <c r="H2251" t="s">
        <v>69</v>
      </c>
      <c r="I2251" t="s">
        <v>2212</v>
      </c>
      <c r="J2251" t="s">
        <v>8045</v>
      </c>
      <c r="K2251" t="s">
        <v>6857</v>
      </c>
      <c r="L2251" t="s">
        <v>52</v>
      </c>
      <c r="M2251">
        <v>0</v>
      </c>
      <c r="N2251">
        <v>855</v>
      </c>
      <c r="O2251" t="s">
        <v>61</v>
      </c>
      <c r="P2251">
        <v>100</v>
      </c>
      <c r="Q2251" t="s">
        <v>52</v>
      </c>
      <c r="R2251" t="s">
        <v>52</v>
      </c>
      <c r="S2251" t="s">
        <v>52</v>
      </c>
      <c r="T2251" t="s">
        <v>52</v>
      </c>
      <c r="U2251" t="s">
        <v>52</v>
      </c>
      <c r="V2251" t="s">
        <v>62</v>
      </c>
      <c r="W2251" t="s">
        <v>52</v>
      </c>
      <c r="Y2251" t="s">
        <v>2213</v>
      </c>
      <c r="Z2251" t="s">
        <v>62</v>
      </c>
      <c r="AB2251" t="s">
        <v>8292</v>
      </c>
      <c r="AE2251" t="s">
        <v>8293</v>
      </c>
      <c r="AF2251" t="s">
        <v>52</v>
      </c>
      <c r="AH2251">
        <v>0</v>
      </c>
      <c r="AI2251">
        <v>0</v>
      </c>
      <c r="AJ2251" t="s">
        <v>52</v>
      </c>
      <c r="AK2251">
        <v>0</v>
      </c>
      <c r="AL2251" t="s">
        <v>52</v>
      </c>
      <c r="AM2251" t="s">
        <v>52</v>
      </c>
      <c r="AN2251">
        <v>0</v>
      </c>
      <c r="AO2251">
        <v>0</v>
      </c>
      <c r="AP2251" t="s">
        <v>52</v>
      </c>
      <c r="AQ2251" t="s">
        <v>52</v>
      </c>
      <c r="AR2251" t="s">
        <v>62</v>
      </c>
      <c r="AS2251" t="s">
        <v>52</v>
      </c>
      <c r="AT2251" t="s">
        <v>74</v>
      </c>
      <c r="AU2251" t="s">
        <v>64</v>
      </c>
      <c r="AV2251" t="s">
        <v>62</v>
      </c>
      <c r="AW2251" t="s">
        <v>65</v>
      </c>
      <c r="AX2251" t="s">
        <v>66</v>
      </c>
      <c r="AY2251" t="s">
        <v>67</v>
      </c>
    </row>
    <row r="2252" spans="1:51" hidden="1" x14ac:dyDescent="0.25">
      <c r="A2252">
        <v>204044</v>
      </c>
      <c r="B2252" t="s">
        <v>8294</v>
      </c>
      <c r="C2252" t="e">
        <f>VLOOKUP(A2252,[1]Customer_payment_journal_line!$AL:$BO,30,0)</f>
        <v>#N/A</v>
      </c>
      <c r="D2252" t="s">
        <v>53</v>
      </c>
      <c r="E2252" t="s">
        <v>8295</v>
      </c>
      <c r="F2252" t="s">
        <v>8296</v>
      </c>
      <c r="G2252" t="s">
        <v>8297</v>
      </c>
      <c r="H2252" t="s">
        <v>210</v>
      </c>
      <c r="I2252" t="s">
        <v>8298</v>
      </c>
      <c r="K2252" t="s">
        <v>8299</v>
      </c>
      <c r="L2252" t="s">
        <v>1450</v>
      </c>
      <c r="M2252" s="1">
        <v>850</v>
      </c>
      <c r="N2252">
        <v>0</v>
      </c>
      <c r="O2252" t="s">
        <v>61</v>
      </c>
      <c r="P2252">
        <v>100</v>
      </c>
      <c r="Q2252" t="s">
        <v>52</v>
      </c>
      <c r="R2252" t="s">
        <v>52</v>
      </c>
      <c r="S2252" t="s">
        <v>52</v>
      </c>
      <c r="T2252" t="s">
        <v>52</v>
      </c>
      <c r="U2252" t="s">
        <v>52</v>
      </c>
      <c r="V2252" t="s">
        <v>62</v>
      </c>
      <c r="W2252" t="s">
        <v>63</v>
      </c>
      <c r="Y2252" t="s">
        <v>52</v>
      </c>
      <c r="Z2252" t="s">
        <v>62</v>
      </c>
      <c r="AB2252" t="s">
        <v>8300</v>
      </c>
      <c r="AC2252" t="s">
        <v>1609</v>
      </c>
      <c r="AD2252" t="s">
        <v>1609</v>
      </c>
      <c r="AF2252" t="s">
        <v>52</v>
      </c>
      <c r="AH2252">
        <v>0</v>
      </c>
      <c r="AI2252">
        <v>0</v>
      </c>
      <c r="AJ2252" t="s">
        <v>52</v>
      </c>
      <c r="AK2252">
        <v>0</v>
      </c>
      <c r="AL2252" t="s">
        <v>52</v>
      </c>
      <c r="AM2252" t="s">
        <v>52</v>
      </c>
      <c r="AN2252">
        <v>0</v>
      </c>
      <c r="AO2252">
        <v>0</v>
      </c>
      <c r="AP2252" t="s">
        <v>52</v>
      </c>
      <c r="AQ2252" t="s">
        <v>52</v>
      </c>
      <c r="AR2252" t="s">
        <v>62</v>
      </c>
      <c r="AS2252" t="s">
        <v>52</v>
      </c>
      <c r="AT2252" t="s">
        <v>52</v>
      </c>
      <c r="AU2252" t="s">
        <v>64</v>
      </c>
      <c r="AV2252" t="s">
        <v>62</v>
      </c>
      <c r="AW2252" t="s">
        <v>65</v>
      </c>
      <c r="AX2252" t="s">
        <v>702</v>
      </c>
      <c r="AY2252" t="s">
        <v>67</v>
      </c>
    </row>
    <row r="2253" spans="1:51" hidden="1" x14ac:dyDescent="0.25">
      <c r="A2253">
        <v>204044</v>
      </c>
      <c r="B2253" t="s">
        <v>8301</v>
      </c>
      <c r="C2253" t="e">
        <f>VLOOKUP(A2253,[1]Customer_payment_journal_line!$AL:$BO,30,0)</f>
        <v>#N/A</v>
      </c>
      <c r="D2253" t="s">
        <v>53</v>
      </c>
      <c r="E2253" t="s">
        <v>8295</v>
      </c>
      <c r="F2253" t="s">
        <v>8296</v>
      </c>
      <c r="G2253" t="s">
        <v>8297</v>
      </c>
      <c r="H2253" t="s">
        <v>704</v>
      </c>
      <c r="I2253" t="s">
        <v>1463</v>
      </c>
      <c r="J2253" t="s">
        <v>8302</v>
      </c>
      <c r="K2253" t="s">
        <v>8299</v>
      </c>
      <c r="L2253" t="s">
        <v>1450</v>
      </c>
      <c r="M2253" s="1">
        <v>0</v>
      </c>
      <c r="N2253">
        <v>6000</v>
      </c>
      <c r="O2253" t="s">
        <v>61</v>
      </c>
      <c r="P2253">
        <v>100</v>
      </c>
      <c r="Q2253" t="s">
        <v>52</v>
      </c>
      <c r="R2253" t="s">
        <v>52</v>
      </c>
      <c r="S2253" t="s">
        <v>52</v>
      </c>
      <c r="T2253" t="s">
        <v>52</v>
      </c>
      <c r="U2253" t="s">
        <v>52</v>
      </c>
      <c r="V2253" t="s">
        <v>62</v>
      </c>
      <c r="W2253" t="s">
        <v>52</v>
      </c>
      <c r="Z2253" t="s">
        <v>62</v>
      </c>
      <c r="AB2253" t="s">
        <v>8300</v>
      </c>
      <c r="AC2253" t="s">
        <v>1609</v>
      </c>
      <c r="AD2253" t="s">
        <v>1609</v>
      </c>
      <c r="AF2253" t="s">
        <v>52</v>
      </c>
      <c r="AH2253">
        <v>0</v>
      </c>
      <c r="AI2253">
        <v>0</v>
      </c>
      <c r="AJ2253" t="s">
        <v>52</v>
      </c>
      <c r="AK2253">
        <v>0</v>
      </c>
      <c r="AL2253" t="s">
        <v>52</v>
      </c>
      <c r="AM2253" t="s">
        <v>52</v>
      </c>
      <c r="AN2253">
        <v>0</v>
      </c>
      <c r="AO2253">
        <v>0</v>
      </c>
      <c r="AP2253" t="s">
        <v>52</v>
      </c>
      <c r="AQ2253" t="s">
        <v>52</v>
      </c>
      <c r="AR2253" t="s">
        <v>62</v>
      </c>
      <c r="AS2253" t="s">
        <v>52</v>
      </c>
      <c r="AT2253" t="s">
        <v>710</v>
      </c>
      <c r="AU2253" t="s">
        <v>64</v>
      </c>
      <c r="AV2253" t="s">
        <v>62</v>
      </c>
      <c r="AW2253" t="s">
        <v>65</v>
      </c>
      <c r="AX2253" t="s">
        <v>702</v>
      </c>
      <c r="AY2253" t="s">
        <v>67</v>
      </c>
    </row>
    <row r="2254" spans="1:51" hidden="1" x14ac:dyDescent="0.25">
      <c r="A2254">
        <v>204044</v>
      </c>
      <c r="B2254" t="s">
        <v>8303</v>
      </c>
      <c r="C2254" t="e">
        <f>VLOOKUP(A2254,[1]Customer_payment_journal_line!$AL:$BO,30,0)</f>
        <v>#N/A</v>
      </c>
      <c r="D2254" t="s">
        <v>53</v>
      </c>
      <c r="E2254" t="s">
        <v>8295</v>
      </c>
      <c r="F2254" t="s">
        <v>8296</v>
      </c>
      <c r="G2254" t="s">
        <v>8297</v>
      </c>
      <c r="H2254" t="s">
        <v>201</v>
      </c>
      <c r="I2254" t="s">
        <v>95</v>
      </c>
      <c r="J2254" t="s">
        <v>8302</v>
      </c>
      <c r="K2254" t="s">
        <v>8299</v>
      </c>
      <c r="L2254" t="s">
        <v>52</v>
      </c>
      <c r="M2254" s="1">
        <v>5150</v>
      </c>
      <c r="N2254">
        <v>0</v>
      </c>
      <c r="O2254" t="s">
        <v>61</v>
      </c>
      <c r="P2254">
        <v>100</v>
      </c>
      <c r="Q2254" t="s">
        <v>52</v>
      </c>
      <c r="R2254" t="s">
        <v>52</v>
      </c>
      <c r="S2254" t="s">
        <v>52</v>
      </c>
      <c r="T2254" t="s">
        <v>52</v>
      </c>
      <c r="U2254" t="s">
        <v>52</v>
      </c>
      <c r="V2254" t="s">
        <v>62</v>
      </c>
      <c r="W2254" t="s">
        <v>63</v>
      </c>
      <c r="Y2254" t="s">
        <v>52</v>
      </c>
      <c r="AB2254" t="s">
        <v>8300</v>
      </c>
      <c r="AC2254" t="s">
        <v>1609</v>
      </c>
      <c r="AD2254" t="s">
        <v>1609</v>
      </c>
      <c r="AF2254" t="s">
        <v>52</v>
      </c>
      <c r="AH2254">
        <v>0</v>
      </c>
      <c r="AI2254">
        <v>0</v>
      </c>
      <c r="AJ2254" t="s">
        <v>52</v>
      </c>
      <c r="AK2254">
        <v>0</v>
      </c>
      <c r="AL2254" t="s">
        <v>52</v>
      </c>
      <c r="AM2254" t="s">
        <v>52</v>
      </c>
      <c r="AN2254">
        <v>0</v>
      </c>
      <c r="AO2254">
        <v>0</v>
      </c>
      <c r="AP2254" t="s">
        <v>52</v>
      </c>
      <c r="AQ2254" t="s">
        <v>52</v>
      </c>
      <c r="AR2254" t="s">
        <v>62</v>
      </c>
      <c r="AS2254" t="s">
        <v>52</v>
      </c>
      <c r="AT2254" t="s">
        <v>52</v>
      </c>
      <c r="AU2254" t="s">
        <v>64</v>
      </c>
      <c r="AV2254" t="s">
        <v>62</v>
      </c>
      <c r="AW2254" t="s">
        <v>65</v>
      </c>
      <c r="AX2254" t="s">
        <v>702</v>
      </c>
      <c r="AY2254" t="s">
        <v>67</v>
      </c>
    </row>
    <row r="2255" spans="1:51" hidden="1" x14ac:dyDescent="0.25">
      <c r="A2255">
        <v>204056</v>
      </c>
      <c r="B2255" t="s">
        <v>8304</v>
      </c>
      <c r="C2255" t="e">
        <f>VLOOKUP(A2255,[1]Customer_payment_journal_line!$AL:$BO,30,0)</f>
        <v>#N/A</v>
      </c>
      <c r="D2255" t="s">
        <v>159</v>
      </c>
      <c r="E2255" t="s">
        <v>8305</v>
      </c>
      <c r="F2255" t="s">
        <v>8306</v>
      </c>
      <c r="G2255" t="s">
        <v>8297</v>
      </c>
      <c r="H2255" t="s">
        <v>80</v>
      </c>
      <c r="I2255" t="s">
        <v>269</v>
      </c>
      <c r="J2255" t="s">
        <v>8031</v>
      </c>
      <c r="K2255" t="s">
        <v>8032</v>
      </c>
      <c r="L2255" t="s">
        <v>52</v>
      </c>
      <c r="M2255">
        <v>504</v>
      </c>
      <c r="N2255">
        <v>0</v>
      </c>
      <c r="O2255" t="s">
        <v>178</v>
      </c>
      <c r="P2255">
        <v>5085</v>
      </c>
      <c r="Q2255" t="s">
        <v>52</v>
      </c>
      <c r="R2255" t="s">
        <v>52</v>
      </c>
      <c r="S2255" t="s">
        <v>52</v>
      </c>
      <c r="T2255" t="s">
        <v>52</v>
      </c>
      <c r="U2255" t="s">
        <v>52</v>
      </c>
      <c r="V2255" t="s">
        <v>62</v>
      </c>
      <c r="W2255" t="s">
        <v>52</v>
      </c>
      <c r="Y2255" t="s">
        <v>52</v>
      </c>
      <c r="AB2255" t="s">
        <v>52</v>
      </c>
      <c r="AE2255" t="s">
        <v>52</v>
      </c>
      <c r="AF2255" t="s">
        <v>52</v>
      </c>
      <c r="AH2255">
        <v>0</v>
      </c>
      <c r="AI2255">
        <v>0</v>
      </c>
      <c r="AJ2255" t="s">
        <v>52</v>
      </c>
      <c r="AK2255">
        <v>0</v>
      </c>
      <c r="AL2255" t="s">
        <v>52</v>
      </c>
      <c r="AM2255" t="s">
        <v>52</v>
      </c>
      <c r="AN2255">
        <v>0</v>
      </c>
      <c r="AO2255">
        <v>0</v>
      </c>
      <c r="AP2255" t="s">
        <v>52</v>
      </c>
      <c r="AQ2255" t="s">
        <v>52</v>
      </c>
      <c r="AR2255" t="s">
        <v>62</v>
      </c>
      <c r="AS2255" t="s">
        <v>52</v>
      </c>
      <c r="AT2255" t="s">
        <v>52</v>
      </c>
      <c r="AU2255" t="s">
        <v>64</v>
      </c>
      <c r="AV2255" t="s">
        <v>62</v>
      </c>
      <c r="AW2255" t="s">
        <v>65</v>
      </c>
      <c r="AX2255" t="s">
        <v>66</v>
      </c>
      <c r="AY2255" t="s">
        <v>165</v>
      </c>
    </row>
    <row r="2256" spans="1:51" hidden="1" x14ac:dyDescent="0.25">
      <c r="A2256">
        <v>204056</v>
      </c>
      <c r="B2256" t="s">
        <v>8307</v>
      </c>
      <c r="C2256" t="e">
        <f>VLOOKUP(A2256,[1]Customer_payment_journal_line!$AL:$BO,30,0)</f>
        <v>#N/A</v>
      </c>
      <c r="D2256" t="s">
        <v>159</v>
      </c>
      <c r="E2256" t="s">
        <v>8305</v>
      </c>
      <c r="F2256" t="s">
        <v>8306</v>
      </c>
      <c r="G2256" t="s">
        <v>8297</v>
      </c>
      <c r="H2256" t="s">
        <v>69</v>
      </c>
      <c r="I2256" t="s">
        <v>1602</v>
      </c>
      <c r="J2256" t="s">
        <v>8031</v>
      </c>
      <c r="K2256" t="s">
        <v>8032</v>
      </c>
      <c r="L2256" t="s">
        <v>52</v>
      </c>
      <c r="M2256">
        <v>0</v>
      </c>
      <c r="N2256">
        <v>504</v>
      </c>
      <c r="O2256" t="s">
        <v>178</v>
      </c>
      <c r="P2256">
        <v>5085</v>
      </c>
      <c r="Q2256" t="s">
        <v>52</v>
      </c>
      <c r="R2256" t="s">
        <v>52</v>
      </c>
      <c r="S2256" t="s">
        <v>52</v>
      </c>
      <c r="T2256" t="s">
        <v>52</v>
      </c>
      <c r="U2256" t="s">
        <v>52</v>
      </c>
      <c r="V2256" t="s">
        <v>62</v>
      </c>
      <c r="W2256" t="s">
        <v>52</v>
      </c>
      <c r="Y2256" t="s">
        <v>1603</v>
      </c>
      <c r="Z2256" t="s">
        <v>62</v>
      </c>
      <c r="AB2256" t="s">
        <v>8308</v>
      </c>
      <c r="AE2256" t="s">
        <v>8309</v>
      </c>
      <c r="AF2256" t="s">
        <v>52</v>
      </c>
      <c r="AH2256">
        <v>0</v>
      </c>
      <c r="AI2256">
        <v>0</v>
      </c>
      <c r="AJ2256" t="s">
        <v>52</v>
      </c>
      <c r="AK2256">
        <v>0</v>
      </c>
      <c r="AL2256" t="s">
        <v>52</v>
      </c>
      <c r="AM2256" t="s">
        <v>52</v>
      </c>
      <c r="AN2256">
        <v>0</v>
      </c>
      <c r="AO2256">
        <v>0</v>
      </c>
      <c r="AP2256" t="s">
        <v>52</v>
      </c>
      <c r="AQ2256" t="s">
        <v>52</v>
      </c>
      <c r="AR2256" t="s">
        <v>62</v>
      </c>
      <c r="AS2256" t="s">
        <v>52</v>
      </c>
      <c r="AT2256" t="s">
        <v>74</v>
      </c>
      <c r="AU2256" t="s">
        <v>64</v>
      </c>
      <c r="AV2256" t="s">
        <v>62</v>
      </c>
      <c r="AW2256" t="s">
        <v>65</v>
      </c>
      <c r="AX2256" t="s">
        <v>66</v>
      </c>
      <c r="AY2256" t="s">
        <v>165</v>
      </c>
    </row>
    <row r="2257" spans="1:51" hidden="1" x14ac:dyDescent="0.25">
      <c r="A2257">
        <v>204071</v>
      </c>
      <c r="B2257" t="s">
        <v>8310</v>
      </c>
      <c r="C2257" t="e">
        <f>VLOOKUP(A2257,[1]Customer_payment_journal_line!$AL:$BO,30,0)</f>
        <v>#N/A</v>
      </c>
      <c r="D2257" t="s">
        <v>159</v>
      </c>
      <c r="E2257" t="s">
        <v>8311</v>
      </c>
      <c r="F2257" t="s">
        <v>8312</v>
      </c>
      <c r="G2257" t="s">
        <v>8297</v>
      </c>
      <c r="H2257" t="s">
        <v>80</v>
      </c>
      <c r="I2257" t="s">
        <v>3014</v>
      </c>
      <c r="J2257" t="s">
        <v>8313</v>
      </c>
      <c r="K2257" t="s">
        <v>8314</v>
      </c>
      <c r="L2257" t="s">
        <v>52</v>
      </c>
      <c r="M2257">
        <v>580</v>
      </c>
      <c r="N2257">
        <v>0</v>
      </c>
      <c r="O2257" t="s">
        <v>178</v>
      </c>
      <c r="P2257">
        <v>5085</v>
      </c>
      <c r="Q2257" t="s">
        <v>52</v>
      </c>
      <c r="R2257" t="s">
        <v>52</v>
      </c>
      <c r="S2257" t="s">
        <v>52</v>
      </c>
      <c r="T2257" t="s">
        <v>52</v>
      </c>
      <c r="U2257" t="s">
        <v>52</v>
      </c>
      <c r="V2257" t="s">
        <v>62</v>
      </c>
      <c r="W2257" t="s">
        <v>52</v>
      </c>
      <c r="Y2257" t="s">
        <v>52</v>
      </c>
      <c r="AB2257" t="s">
        <v>52</v>
      </c>
      <c r="AE2257" t="s">
        <v>52</v>
      </c>
      <c r="AF2257" t="s">
        <v>52</v>
      </c>
      <c r="AH2257">
        <v>0</v>
      </c>
      <c r="AI2257">
        <v>0</v>
      </c>
      <c r="AJ2257" t="s">
        <v>52</v>
      </c>
      <c r="AK2257">
        <v>0</v>
      </c>
      <c r="AL2257" t="s">
        <v>52</v>
      </c>
      <c r="AM2257" t="s">
        <v>52</v>
      </c>
      <c r="AN2257">
        <v>0</v>
      </c>
      <c r="AO2257">
        <v>0</v>
      </c>
      <c r="AP2257" t="s">
        <v>52</v>
      </c>
      <c r="AQ2257" t="s">
        <v>52</v>
      </c>
      <c r="AR2257" t="s">
        <v>62</v>
      </c>
      <c r="AS2257" t="s">
        <v>52</v>
      </c>
      <c r="AT2257" t="s">
        <v>52</v>
      </c>
      <c r="AU2257" t="s">
        <v>64</v>
      </c>
      <c r="AV2257" t="s">
        <v>62</v>
      </c>
      <c r="AW2257" t="s">
        <v>65</v>
      </c>
      <c r="AX2257" t="s">
        <v>66</v>
      </c>
      <c r="AY2257" t="s">
        <v>165</v>
      </c>
    </row>
    <row r="2258" spans="1:51" hidden="1" x14ac:dyDescent="0.25">
      <c r="A2258">
        <v>204071</v>
      </c>
      <c r="B2258" t="s">
        <v>8315</v>
      </c>
      <c r="C2258" t="e">
        <f>VLOOKUP(A2258,[1]Customer_payment_journal_line!$AL:$BO,30,0)</f>
        <v>#N/A</v>
      </c>
      <c r="D2258" t="s">
        <v>159</v>
      </c>
      <c r="E2258" t="s">
        <v>8311</v>
      </c>
      <c r="F2258" t="s">
        <v>8312</v>
      </c>
      <c r="G2258" t="s">
        <v>8297</v>
      </c>
      <c r="H2258" t="s">
        <v>69</v>
      </c>
      <c r="I2258" t="s">
        <v>5663</v>
      </c>
      <c r="J2258" t="s">
        <v>8313</v>
      </c>
      <c r="K2258" t="s">
        <v>8314</v>
      </c>
      <c r="L2258" t="s">
        <v>52</v>
      </c>
      <c r="M2258">
        <v>0</v>
      </c>
      <c r="N2258">
        <v>580</v>
      </c>
      <c r="O2258" t="s">
        <v>178</v>
      </c>
      <c r="P2258">
        <v>5085</v>
      </c>
      <c r="Q2258" t="s">
        <v>52</v>
      </c>
      <c r="R2258" t="s">
        <v>52</v>
      </c>
      <c r="S2258" t="s">
        <v>52</v>
      </c>
      <c r="T2258" t="s">
        <v>52</v>
      </c>
      <c r="U2258" t="s">
        <v>52</v>
      </c>
      <c r="V2258" t="s">
        <v>62</v>
      </c>
      <c r="W2258" t="s">
        <v>52</v>
      </c>
      <c r="Y2258" t="s">
        <v>5664</v>
      </c>
      <c r="Z2258" t="s">
        <v>62</v>
      </c>
      <c r="AB2258" t="s">
        <v>8316</v>
      </c>
      <c r="AE2258" t="s">
        <v>8317</v>
      </c>
      <c r="AF2258" t="s">
        <v>52</v>
      </c>
      <c r="AH2258">
        <v>0</v>
      </c>
      <c r="AI2258">
        <v>0</v>
      </c>
      <c r="AJ2258" t="s">
        <v>52</v>
      </c>
      <c r="AK2258">
        <v>0</v>
      </c>
      <c r="AL2258" t="s">
        <v>52</v>
      </c>
      <c r="AM2258" t="s">
        <v>52</v>
      </c>
      <c r="AN2258">
        <v>0</v>
      </c>
      <c r="AO2258">
        <v>0</v>
      </c>
      <c r="AP2258" t="s">
        <v>52</v>
      </c>
      <c r="AQ2258" t="s">
        <v>52</v>
      </c>
      <c r="AR2258" t="s">
        <v>62</v>
      </c>
      <c r="AS2258" t="s">
        <v>52</v>
      </c>
      <c r="AT2258" t="s">
        <v>74</v>
      </c>
      <c r="AU2258" t="s">
        <v>64</v>
      </c>
      <c r="AV2258" t="s">
        <v>62</v>
      </c>
      <c r="AW2258" t="s">
        <v>65</v>
      </c>
      <c r="AX2258" t="s">
        <v>66</v>
      </c>
      <c r="AY2258" t="s">
        <v>165</v>
      </c>
    </row>
    <row r="2259" spans="1:51" hidden="1" x14ac:dyDescent="0.25">
      <c r="A2259">
        <v>204072</v>
      </c>
      <c r="B2259" t="s">
        <v>8318</v>
      </c>
      <c r="C2259" t="e">
        <f>VLOOKUP(A2259,[1]Customer_payment_journal_line!$AL:$BO,30,0)</f>
        <v>#N/A</v>
      </c>
      <c r="D2259" t="s">
        <v>159</v>
      </c>
      <c r="E2259" t="s">
        <v>8319</v>
      </c>
      <c r="F2259" t="s">
        <v>8320</v>
      </c>
      <c r="G2259" t="s">
        <v>8297</v>
      </c>
      <c r="H2259" t="s">
        <v>80</v>
      </c>
      <c r="I2259" t="s">
        <v>1919</v>
      </c>
      <c r="J2259" t="s">
        <v>8313</v>
      </c>
      <c r="K2259" t="s">
        <v>8314</v>
      </c>
      <c r="L2259" t="s">
        <v>52</v>
      </c>
      <c r="M2259">
        <v>11685</v>
      </c>
      <c r="N2259">
        <v>0</v>
      </c>
      <c r="O2259" t="s">
        <v>61</v>
      </c>
      <c r="P2259">
        <v>100</v>
      </c>
      <c r="Q2259" t="s">
        <v>52</v>
      </c>
      <c r="R2259" t="s">
        <v>52</v>
      </c>
      <c r="S2259" t="s">
        <v>52</v>
      </c>
      <c r="T2259" t="s">
        <v>52</v>
      </c>
      <c r="U2259" t="s">
        <v>52</v>
      </c>
      <c r="V2259" t="s">
        <v>62</v>
      </c>
      <c r="W2259" t="s">
        <v>52</v>
      </c>
      <c r="Y2259" t="s">
        <v>52</v>
      </c>
      <c r="AB2259" t="s">
        <v>52</v>
      </c>
      <c r="AE2259" t="s">
        <v>52</v>
      </c>
      <c r="AF2259" t="s">
        <v>52</v>
      </c>
      <c r="AH2259">
        <v>0</v>
      </c>
      <c r="AI2259">
        <v>0</v>
      </c>
      <c r="AJ2259" t="s">
        <v>52</v>
      </c>
      <c r="AK2259">
        <v>0</v>
      </c>
      <c r="AL2259" t="s">
        <v>52</v>
      </c>
      <c r="AM2259" t="s">
        <v>52</v>
      </c>
      <c r="AN2259">
        <v>0</v>
      </c>
      <c r="AO2259">
        <v>0</v>
      </c>
      <c r="AP2259" t="s">
        <v>52</v>
      </c>
      <c r="AQ2259" t="s">
        <v>52</v>
      </c>
      <c r="AR2259" t="s">
        <v>62</v>
      </c>
      <c r="AS2259" t="s">
        <v>52</v>
      </c>
      <c r="AT2259" t="s">
        <v>52</v>
      </c>
      <c r="AU2259" t="s">
        <v>64</v>
      </c>
      <c r="AV2259" t="s">
        <v>62</v>
      </c>
      <c r="AW2259" t="s">
        <v>65</v>
      </c>
      <c r="AX2259" t="s">
        <v>66</v>
      </c>
      <c r="AY2259" t="s">
        <v>165</v>
      </c>
    </row>
    <row r="2260" spans="1:51" hidden="1" x14ac:dyDescent="0.25">
      <c r="A2260">
        <v>204072</v>
      </c>
      <c r="B2260" t="s">
        <v>8321</v>
      </c>
      <c r="C2260" t="e">
        <f>VLOOKUP(A2260,[1]Customer_payment_journal_line!$AL:$BO,30,0)</f>
        <v>#N/A</v>
      </c>
      <c r="D2260" t="s">
        <v>159</v>
      </c>
      <c r="E2260" t="s">
        <v>8319</v>
      </c>
      <c r="F2260" t="s">
        <v>8320</v>
      </c>
      <c r="G2260" t="s">
        <v>8297</v>
      </c>
      <c r="H2260" t="s">
        <v>69</v>
      </c>
      <c r="I2260" t="s">
        <v>5663</v>
      </c>
      <c r="J2260" t="s">
        <v>8313</v>
      </c>
      <c r="K2260" t="s">
        <v>8314</v>
      </c>
      <c r="L2260" t="s">
        <v>52</v>
      </c>
      <c r="M2260">
        <v>0</v>
      </c>
      <c r="N2260">
        <v>10830</v>
      </c>
      <c r="O2260" t="s">
        <v>61</v>
      </c>
      <c r="P2260">
        <v>100</v>
      </c>
      <c r="Q2260" t="s">
        <v>52</v>
      </c>
      <c r="R2260" t="s">
        <v>52</v>
      </c>
      <c r="S2260" t="s">
        <v>52</v>
      </c>
      <c r="T2260" t="s">
        <v>52</v>
      </c>
      <c r="U2260" t="s">
        <v>52</v>
      </c>
      <c r="V2260" t="s">
        <v>62</v>
      </c>
      <c r="W2260" t="s">
        <v>52</v>
      </c>
      <c r="Y2260" t="s">
        <v>5664</v>
      </c>
      <c r="Z2260" t="s">
        <v>62</v>
      </c>
      <c r="AB2260" t="s">
        <v>8322</v>
      </c>
      <c r="AE2260" t="s">
        <v>8323</v>
      </c>
      <c r="AF2260" t="s">
        <v>52</v>
      </c>
      <c r="AH2260">
        <v>0</v>
      </c>
      <c r="AI2260">
        <v>0</v>
      </c>
      <c r="AJ2260" t="s">
        <v>52</v>
      </c>
      <c r="AK2260">
        <v>0</v>
      </c>
      <c r="AL2260" t="s">
        <v>52</v>
      </c>
      <c r="AM2260" t="s">
        <v>52</v>
      </c>
      <c r="AN2260">
        <v>0</v>
      </c>
      <c r="AO2260">
        <v>0</v>
      </c>
      <c r="AP2260" t="s">
        <v>52</v>
      </c>
      <c r="AQ2260" t="s">
        <v>52</v>
      </c>
      <c r="AR2260" t="s">
        <v>62</v>
      </c>
      <c r="AS2260" t="s">
        <v>52</v>
      </c>
      <c r="AT2260" t="s">
        <v>74</v>
      </c>
      <c r="AU2260" t="s">
        <v>64</v>
      </c>
      <c r="AV2260" t="s">
        <v>62</v>
      </c>
      <c r="AW2260" t="s">
        <v>65</v>
      </c>
      <c r="AX2260" t="s">
        <v>66</v>
      </c>
      <c r="AY2260" t="s">
        <v>165</v>
      </c>
    </row>
    <row r="2261" spans="1:51" hidden="1" x14ac:dyDescent="0.25">
      <c r="A2261">
        <v>204072</v>
      </c>
      <c r="B2261" t="s">
        <v>8324</v>
      </c>
      <c r="C2261" t="e">
        <f>VLOOKUP(A2261,[1]Customer_payment_journal_line!$AL:$BO,30,0)</f>
        <v>#N/A</v>
      </c>
      <c r="D2261" t="s">
        <v>159</v>
      </c>
      <c r="E2261" t="s">
        <v>8319</v>
      </c>
      <c r="F2261" t="s">
        <v>8320</v>
      </c>
      <c r="G2261" t="s">
        <v>8297</v>
      </c>
      <c r="H2261" t="s">
        <v>69</v>
      </c>
      <c r="I2261" t="s">
        <v>5663</v>
      </c>
      <c r="J2261" t="s">
        <v>8313</v>
      </c>
      <c r="K2261" t="s">
        <v>8314</v>
      </c>
      <c r="L2261" t="s">
        <v>52</v>
      </c>
      <c r="M2261">
        <v>0</v>
      </c>
      <c r="N2261">
        <v>855</v>
      </c>
      <c r="O2261" t="s">
        <v>61</v>
      </c>
      <c r="P2261">
        <v>100</v>
      </c>
      <c r="Q2261" t="s">
        <v>52</v>
      </c>
      <c r="R2261" t="s">
        <v>52</v>
      </c>
      <c r="S2261" t="s">
        <v>52</v>
      </c>
      <c r="T2261" t="s">
        <v>52</v>
      </c>
      <c r="U2261" t="s">
        <v>52</v>
      </c>
      <c r="V2261" t="s">
        <v>62</v>
      </c>
      <c r="W2261" t="s">
        <v>52</v>
      </c>
      <c r="Y2261" t="s">
        <v>5664</v>
      </c>
      <c r="Z2261" t="s">
        <v>62</v>
      </c>
      <c r="AB2261" t="s">
        <v>8325</v>
      </c>
      <c r="AE2261" t="s">
        <v>8326</v>
      </c>
      <c r="AF2261" t="s">
        <v>52</v>
      </c>
      <c r="AH2261">
        <v>0</v>
      </c>
      <c r="AI2261">
        <v>0</v>
      </c>
      <c r="AJ2261" t="s">
        <v>52</v>
      </c>
      <c r="AK2261">
        <v>0</v>
      </c>
      <c r="AL2261" t="s">
        <v>52</v>
      </c>
      <c r="AM2261" t="s">
        <v>52</v>
      </c>
      <c r="AN2261">
        <v>0</v>
      </c>
      <c r="AO2261">
        <v>0</v>
      </c>
      <c r="AP2261" t="s">
        <v>52</v>
      </c>
      <c r="AQ2261" t="s">
        <v>52</v>
      </c>
      <c r="AR2261" t="s">
        <v>62</v>
      </c>
      <c r="AS2261" t="s">
        <v>52</v>
      </c>
      <c r="AT2261" t="s">
        <v>74</v>
      </c>
      <c r="AU2261" t="s">
        <v>64</v>
      </c>
      <c r="AV2261" t="s">
        <v>62</v>
      </c>
      <c r="AW2261" t="s">
        <v>65</v>
      </c>
      <c r="AX2261" t="s">
        <v>66</v>
      </c>
      <c r="AY2261" t="s">
        <v>165</v>
      </c>
    </row>
    <row r="2262" spans="1:51" hidden="1" x14ac:dyDescent="0.25">
      <c r="A2262">
        <v>204085</v>
      </c>
      <c r="B2262" t="s">
        <v>8327</v>
      </c>
      <c r="C2262" t="e">
        <f>VLOOKUP(A2262,[1]Customer_payment_journal_line!$AL:$BO,30,0)</f>
        <v>#N/A</v>
      </c>
      <c r="D2262" t="s">
        <v>159</v>
      </c>
      <c r="E2262" t="s">
        <v>8328</v>
      </c>
      <c r="F2262" t="s">
        <v>8329</v>
      </c>
      <c r="G2262" t="s">
        <v>8297</v>
      </c>
      <c r="H2262" t="s">
        <v>80</v>
      </c>
      <c r="I2262" t="s">
        <v>8330</v>
      </c>
      <c r="J2262" t="s">
        <v>8331</v>
      </c>
      <c r="K2262" t="s">
        <v>8332</v>
      </c>
      <c r="L2262" t="s">
        <v>52</v>
      </c>
      <c r="M2262">
        <v>800</v>
      </c>
      <c r="N2262">
        <v>0</v>
      </c>
      <c r="O2262" t="s">
        <v>126</v>
      </c>
      <c r="P2262">
        <v>5285</v>
      </c>
      <c r="Q2262" t="s">
        <v>52</v>
      </c>
      <c r="R2262" t="s">
        <v>52</v>
      </c>
      <c r="S2262" t="s">
        <v>52</v>
      </c>
      <c r="T2262" t="s">
        <v>52</v>
      </c>
      <c r="U2262" t="s">
        <v>52</v>
      </c>
      <c r="V2262" t="s">
        <v>62</v>
      </c>
      <c r="W2262" t="s">
        <v>52</v>
      </c>
      <c r="Y2262" t="s">
        <v>52</v>
      </c>
      <c r="AB2262" t="s">
        <v>52</v>
      </c>
      <c r="AE2262" t="s">
        <v>52</v>
      </c>
      <c r="AF2262" t="s">
        <v>52</v>
      </c>
      <c r="AH2262">
        <v>0</v>
      </c>
      <c r="AI2262">
        <v>0</v>
      </c>
      <c r="AJ2262" t="s">
        <v>52</v>
      </c>
      <c r="AK2262">
        <v>0</v>
      </c>
      <c r="AL2262" t="s">
        <v>52</v>
      </c>
      <c r="AM2262" t="s">
        <v>52</v>
      </c>
      <c r="AN2262">
        <v>0</v>
      </c>
      <c r="AO2262">
        <v>0</v>
      </c>
      <c r="AP2262" t="s">
        <v>52</v>
      </c>
      <c r="AQ2262" t="s">
        <v>52</v>
      </c>
      <c r="AR2262" t="s">
        <v>62</v>
      </c>
      <c r="AS2262" t="s">
        <v>52</v>
      </c>
      <c r="AT2262" t="s">
        <v>52</v>
      </c>
      <c r="AU2262" t="s">
        <v>64</v>
      </c>
      <c r="AV2262" t="s">
        <v>62</v>
      </c>
      <c r="AW2262" t="s">
        <v>65</v>
      </c>
      <c r="AX2262" t="s">
        <v>66</v>
      </c>
      <c r="AY2262" t="s">
        <v>165</v>
      </c>
    </row>
    <row r="2263" spans="1:51" hidden="1" x14ac:dyDescent="0.25">
      <c r="A2263">
        <v>204085</v>
      </c>
      <c r="B2263" t="s">
        <v>8333</v>
      </c>
      <c r="C2263" t="e">
        <f>VLOOKUP(A2263,[1]Customer_payment_journal_line!$AL:$BO,30,0)</f>
        <v>#N/A</v>
      </c>
      <c r="D2263" t="s">
        <v>159</v>
      </c>
      <c r="E2263" t="s">
        <v>8328</v>
      </c>
      <c r="F2263" t="s">
        <v>8329</v>
      </c>
      <c r="G2263" t="s">
        <v>8297</v>
      </c>
      <c r="H2263" t="s">
        <v>69</v>
      </c>
      <c r="I2263" t="s">
        <v>8334</v>
      </c>
      <c r="J2263" t="s">
        <v>8331</v>
      </c>
      <c r="K2263" t="s">
        <v>8332</v>
      </c>
      <c r="L2263" t="s">
        <v>52</v>
      </c>
      <c r="M2263">
        <v>0</v>
      </c>
      <c r="N2263">
        <v>800</v>
      </c>
      <c r="O2263" t="s">
        <v>126</v>
      </c>
      <c r="P2263">
        <v>5285</v>
      </c>
      <c r="Q2263" t="s">
        <v>52</v>
      </c>
      <c r="R2263" t="s">
        <v>52</v>
      </c>
      <c r="S2263" t="s">
        <v>52</v>
      </c>
      <c r="T2263" t="s">
        <v>52</v>
      </c>
      <c r="U2263" t="s">
        <v>52</v>
      </c>
      <c r="V2263" t="s">
        <v>62</v>
      </c>
      <c r="W2263" t="s">
        <v>52</v>
      </c>
      <c r="Y2263" t="s">
        <v>8335</v>
      </c>
      <c r="Z2263" t="s">
        <v>62</v>
      </c>
      <c r="AB2263" t="s">
        <v>8336</v>
      </c>
      <c r="AE2263" t="s">
        <v>8337</v>
      </c>
      <c r="AF2263" t="s">
        <v>52</v>
      </c>
      <c r="AH2263">
        <v>0</v>
      </c>
      <c r="AI2263">
        <v>0</v>
      </c>
      <c r="AJ2263" t="s">
        <v>52</v>
      </c>
      <c r="AK2263">
        <v>0</v>
      </c>
      <c r="AL2263" t="s">
        <v>52</v>
      </c>
      <c r="AM2263" t="s">
        <v>52</v>
      </c>
      <c r="AN2263">
        <v>0</v>
      </c>
      <c r="AO2263">
        <v>0</v>
      </c>
      <c r="AP2263" t="s">
        <v>52</v>
      </c>
      <c r="AQ2263" t="s">
        <v>52</v>
      </c>
      <c r="AR2263" t="s">
        <v>62</v>
      </c>
      <c r="AS2263" t="s">
        <v>52</v>
      </c>
      <c r="AT2263" t="s">
        <v>74</v>
      </c>
      <c r="AU2263" t="s">
        <v>64</v>
      </c>
      <c r="AV2263" t="s">
        <v>62</v>
      </c>
      <c r="AW2263" t="s">
        <v>65</v>
      </c>
      <c r="AX2263" t="s">
        <v>66</v>
      </c>
      <c r="AY2263" t="s">
        <v>165</v>
      </c>
    </row>
    <row r="2264" spans="1:51" hidden="1" x14ac:dyDescent="0.25">
      <c r="A2264">
        <v>204086</v>
      </c>
      <c r="B2264" t="s">
        <v>8338</v>
      </c>
      <c r="C2264" t="e">
        <f>VLOOKUP(A2264,[1]Customer_payment_journal_line!$AL:$BO,30,0)</f>
        <v>#N/A</v>
      </c>
      <c r="D2264" t="s">
        <v>159</v>
      </c>
      <c r="E2264" t="s">
        <v>8339</v>
      </c>
      <c r="F2264" t="s">
        <v>8340</v>
      </c>
      <c r="G2264" t="s">
        <v>8297</v>
      </c>
      <c r="H2264" t="s">
        <v>80</v>
      </c>
      <c r="I2264" t="s">
        <v>6190</v>
      </c>
      <c r="J2264" t="s">
        <v>8331</v>
      </c>
      <c r="K2264" t="s">
        <v>8332</v>
      </c>
      <c r="L2264" t="s">
        <v>52</v>
      </c>
      <c r="M2264">
        <v>11799</v>
      </c>
      <c r="N2264">
        <v>0</v>
      </c>
      <c r="O2264" t="s">
        <v>61</v>
      </c>
      <c r="P2264">
        <v>100</v>
      </c>
      <c r="Q2264" t="s">
        <v>52</v>
      </c>
      <c r="R2264" t="s">
        <v>52</v>
      </c>
      <c r="S2264" t="s">
        <v>52</v>
      </c>
      <c r="T2264" t="s">
        <v>52</v>
      </c>
      <c r="U2264" t="s">
        <v>52</v>
      </c>
      <c r="V2264" t="s">
        <v>62</v>
      </c>
      <c r="W2264" t="s">
        <v>52</v>
      </c>
      <c r="Y2264" t="s">
        <v>52</v>
      </c>
      <c r="AB2264" t="s">
        <v>52</v>
      </c>
      <c r="AE2264" t="s">
        <v>52</v>
      </c>
      <c r="AF2264" t="s">
        <v>52</v>
      </c>
      <c r="AH2264">
        <v>0</v>
      </c>
      <c r="AI2264">
        <v>0</v>
      </c>
      <c r="AJ2264" t="s">
        <v>52</v>
      </c>
      <c r="AK2264">
        <v>0</v>
      </c>
      <c r="AL2264" t="s">
        <v>52</v>
      </c>
      <c r="AM2264" t="s">
        <v>52</v>
      </c>
      <c r="AN2264">
        <v>0</v>
      </c>
      <c r="AO2264">
        <v>0</v>
      </c>
      <c r="AP2264" t="s">
        <v>52</v>
      </c>
      <c r="AQ2264" t="s">
        <v>52</v>
      </c>
      <c r="AR2264" t="s">
        <v>62</v>
      </c>
      <c r="AS2264" t="s">
        <v>52</v>
      </c>
      <c r="AT2264" t="s">
        <v>52</v>
      </c>
      <c r="AU2264" t="s">
        <v>64</v>
      </c>
      <c r="AV2264" t="s">
        <v>62</v>
      </c>
      <c r="AW2264" t="s">
        <v>65</v>
      </c>
      <c r="AX2264" t="s">
        <v>66</v>
      </c>
      <c r="AY2264" t="s">
        <v>165</v>
      </c>
    </row>
    <row r="2265" spans="1:51" hidden="1" x14ac:dyDescent="0.25">
      <c r="A2265">
        <v>204086</v>
      </c>
      <c r="B2265" t="s">
        <v>8341</v>
      </c>
      <c r="C2265" t="e">
        <f>VLOOKUP(A2265,[1]Customer_payment_journal_line!$AL:$BO,30,0)</f>
        <v>#N/A</v>
      </c>
      <c r="D2265" t="s">
        <v>159</v>
      </c>
      <c r="E2265" t="s">
        <v>8339</v>
      </c>
      <c r="F2265" t="s">
        <v>8340</v>
      </c>
      <c r="G2265" t="s">
        <v>8297</v>
      </c>
      <c r="H2265" t="s">
        <v>69</v>
      </c>
      <c r="I2265" t="s">
        <v>8334</v>
      </c>
      <c r="J2265" t="s">
        <v>8331</v>
      </c>
      <c r="K2265" t="s">
        <v>8332</v>
      </c>
      <c r="L2265" t="s">
        <v>52</v>
      </c>
      <c r="M2265">
        <v>0</v>
      </c>
      <c r="N2265">
        <v>10944</v>
      </c>
      <c r="O2265" t="s">
        <v>61</v>
      </c>
      <c r="P2265">
        <v>100</v>
      </c>
      <c r="Q2265" t="s">
        <v>52</v>
      </c>
      <c r="R2265" t="s">
        <v>52</v>
      </c>
      <c r="S2265" t="s">
        <v>52</v>
      </c>
      <c r="T2265" t="s">
        <v>52</v>
      </c>
      <c r="U2265" t="s">
        <v>52</v>
      </c>
      <c r="V2265" t="s">
        <v>62</v>
      </c>
      <c r="W2265" t="s">
        <v>52</v>
      </c>
      <c r="Y2265" t="s">
        <v>8335</v>
      </c>
      <c r="Z2265" t="s">
        <v>62</v>
      </c>
      <c r="AB2265" t="s">
        <v>8342</v>
      </c>
      <c r="AE2265" t="s">
        <v>8343</v>
      </c>
      <c r="AF2265" t="s">
        <v>52</v>
      </c>
      <c r="AH2265">
        <v>0</v>
      </c>
      <c r="AI2265">
        <v>0</v>
      </c>
      <c r="AJ2265" t="s">
        <v>52</v>
      </c>
      <c r="AK2265">
        <v>0</v>
      </c>
      <c r="AL2265" t="s">
        <v>52</v>
      </c>
      <c r="AM2265" t="s">
        <v>52</v>
      </c>
      <c r="AN2265">
        <v>0</v>
      </c>
      <c r="AO2265">
        <v>0</v>
      </c>
      <c r="AP2265" t="s">
        <v>52</v>
      </c>
      <c r="AQ2265" t="s">
        <v>52</v>
      </c>
      <c r="AR2265" t="s">
        <v>62</v>
      </c>
      <c r="AS2265" t="s">
        <v>52</v>
      </c>
      <c r="AT2265" t="s">
        <v>74</v>
      </c>
      <c r="AU2265" t="s">
        <v>64</v>
      </c>
      <c r="AV2265" t="s">
        <v>62</v>
      </c>
      <c r="AW2265" t="s">
        <v>65</v>
      </c>
      <c r="AX2265" t="s">
        <v>66</v>
      </c>
      <c r="AY2265" t="s">
        <v>165</v>
      </c>
    </row>
    <row r="2266" spans="1:51" hidden="1" x14ac:dyDescent="0.25">
      <c r="A2266">
        <v>204086</v>
      </c>
      <c r="B2266" t="s">
        <v>8344</v>
      </c>
      <c r="C2266" t="e">
        <f>VLOOKUP(A2266,[1]Customer_payment_journal_line!$AL:$BO,30,0)</f>
        <v>#N/A</v>
      </c>
      <c r="D2266" t="s">
        <v>159</v>
      </c>
      <c r="E2266" t="s">
        <v>8339</v>
      </c>
      <c r="F2266" t="s">
        <v>8340</v>
      </c>
      <c r="G2266" t="s">
        <v>8297</v>
      </c>
      <c r="H2266" t="s">
        <v>69</v>
      </c>
      <c r="I2266" t="s">
        <v>8334</v>
      </c>
      <c r="J2266" t="s">
        <v>8331</v>
      </c>
      <c r="K2266" t="s">
        <v>8332</v>
      </c>
      <c r="L2266" t="s">
        <v>52</v>
      </c>
      <c r="M2266">
        <v>0</v>
      </c>
      <c r="N2266">
        <v>855</v>
      </c>
      <c r="O2266" t="s">
        <v>61</v>
      </c>
      <c r="P2266">
        <v>100</v>
      </c>
      <c r="Q2266" t="s">
        <v>52</v>
      </c>
      <c r="R2266" t="s">
        <v>52</v>
      </c>
      <c r="S2266" t="s">
        <v>52</v>
      </c>
      <c r="T2266" t="s">
        <v>52</v>
      </c>
      <c r="U2266" t="s">
        <v>52</v>
      </c>
      <c r="V2266" t="s">
        <v>62</v>
      </c>
      <c r="W2266" t="s">
        <v>52</v>
      </c>
      <c r="Y2266" t="s">
        <v>8335</v>
      </c>
      <c r="Z2266" t="s">
        <v>62</v>
      </c>
      <c r="AB2266" t="s">
        <v>8345</v>
      </c>
      <c r="AE2266" t="s">
        <v>8346</v>
      </c>
      <c r="AF2266" t="s">
        <v>52</v>
      </c>
      <c r="AH2266">
        <v>0</v>
      </c>
      <c r="AI2266">
        <v>0</v>
      </c>
      <c r="AJ2266" t="s">
        <v>52</v>
      </c>
      <c r="AK2266">
        <v>0</v>
      </c>
      <c r="AL2266" t="s">
        <v>52</v>
      </c>
      <c r="AM2266" t="s">
        <v>52</v>
      </c>
      <c r="AN2266">
        <v>0</v>
      </c>
      <c r="AO2266">
        <v>0</v>
      </c>
      <c r="AP2266" t="s">
        <v>52</v>
      </c>
      <c r="AQ2266" t="s">
        <v>52</v>
      </c>
      <c r="AR2266" t="s">
        <v>62</v>
      </c>
      <c r="AS2266" t="s">
        <v>52</v>
      </c>
      <c r="AT2266" t="s">
        <v>74</v>
      </c>
      <c r="AU2266" t="s">
        <v>64</v>
      </c>
      <c r="AV2266" t="s">
        <v>62</v>
      </c>
      <c r="AW2266" t="s">
        <v>65</v>
      </c>
      <c r="AX2266" t="s">
        <v>66</v>
      </c>
      <c r="AY2266" t="s">
        <v>165</v>
      </c>
    </row>
    <row r="2267" spans="1:51" hidden="1" x14ac:dyDescent="0.25">
      <c r="A2267">
        <v>204112</v>
      </c>
      <c r="B2267" t="s">
        <v>8347</v>
      </c>
      <c r="C2267" t="e">
        <f>VLOOKUP(A2267,[1]Customer_payment_journal_line!$AL:$BO,30,0)</f>
        <v>#N/A</v>
      </c>
      <c r="D2267" t="s">
        <v>76</v>
      </c>
      <c r="E2267" t="s">
        <v>8348</v>
      </c>
      <c r="F2267" t="s">
        <v>8349</v>
      </c>
      <c r="G2267" t="s">
        <v>8297</v>
      </c>
      <c r="H2267" t="s">
        <v>80</v>
      </c>
      <c r="I2267" t="s">
        <v>81</v>
      </c>
      <c r="J2267" t="s">
        <v>4654</v>
      </c>
      <c r="K2267" t="s">
        <v>8350</v>
      </c>
      <c r="L2267" t="s">
        <v>52</v>
      </c>
      <c r="M2267">
        <v>2793</v>
      </c>
      <c r="N2267">
        <v>0</v>
      </c>
      <c r="O2267" t="s">
        <v>61</v>
      </c>
      <c r="P2267">
        <v>100</v>
      </c>
      <c r="Q2267" t="s">
        <v>52</v>
      </c>
      <c r="R2267" t="s">
        <v>52</v>
      </c>
      <c r="S2267" t="s">
        <v>52</v>
      </c>
      <c r="T2267" t="s">
        <v>52</v>
      </c>
      <c r="U2267" t="s">
        <v>52</v>
      </c>
      <c r="V2267" t="s">
        <v>62</v>
      </c>
      <c r="W2267" t="s">
        <v>52</v>
      </c>
      <c r="Y2267" t="s">
        <v>52</v>
      </c>
      <c r="AB2267" t="s">
        <v>52</v>
      </c>
      <c r="AE2267" t="s">
        <v>52</v>
      </c>
      <c r="AF2267" t="s">
        <v>52</v>
      </c>
      <c r="AH2267">
        <v>0</v>
      </c>
      <c r="AI2267">
        <v>0</v>
      </c>
      <c r="AJ2267" t="s">
        <v>52</v>
      </c>
      <c r="AK2267">
        <v>0</v>
      </c>
      <c r="AL2267" t="s">
        <v>52</v>
      </c>
      <c r="AM2267" t="s">
        <v>52</v>
      </c>
      <c r="AN2267">
        <v>0</v>
      </c>
      <c r="AO2267">
        <v>0</v>
      </c>
      <c r="AP2267" t="s">
        <v>52</v>
      </c>
      <c r="AQ2267" t="s">
        <v>52</v>
      </c>
      <c r="AR2267" t="s">
        <v>62</v>
      </c>
      <c r="AS2267" t="s">
        <v>52</v>
      </c>
      <c r="AT2267" t="s">
        <v>52</v>
      </c>
      <c r="AU2267" t="s">
        <v>64</v>
      </c>
      <c r="AV2267" t="s">
        <v>62</v>
      </c>
      <c r="AW2267" t="s">
        <v>65</v>
      </c>
      <c r="AX2267" t="s">
        <v>66</v>
      </c>
      <c r="AY2267" t="s">
        <v>76</v>
      </c>
    </row>
    <row r="2268" spans="1:51" hidden="1" x14ac:dyDescent="0.25">
      <c r="A2268">
        <v>204112</v>
      </c>
      <c r="B2268" t="s">
        <v>8351</v>
      </c>
      <c r="C2268" t="e">
        <f>VLOOKUP(A2268,[1]Customer_payment_journal_line!$AL:$BO,30,0)</f>
        <v>#N/A</v>
      </c>
      <c r="D2268" t="s">
        <v>76</v>
      </c>
      <c r="E2268" t="s">
        <v>8348</v>
      </c>
      <c r="F2268" t="s">
        <v>8349</v>
      </c>
      <c r="G2268" t="s">
        <v>8297</v>
      </c>
      <c r="H2268" t="s">
        <v>69</v>
      </c>
      <c r="I2268" t="s">
        <v>4657</v>
      </c>
      <c r="J2268" t="s">
        <v>4654</v>
      </c>
      <c r="K2268" t="s">
        <v>8350</v>
      </c>
      <c r="L2268" t="s">
        <v>52</v>
      </c>
      <c r="M2268">
        <v>0</v>
      </c>
      <c r="N2268">
        <v>1938</v>
      </c>
      <c r="O2268" t="s">
        <v>61</v>
      </c>
      <c r="P2268">
        <v>100</v>
      </c>
      <c r="Q2268" t="s">
        <v>52</v>
      </c>
      <c r="R2268" t="s">
        <v>52</v>
      </c>
      <c r="S2268" t="s">
        <v>52</v>
      </c>
      <c r="T2268" t="s">
        <v>52</v>
      </c>
      <c r="U2268" t="s">
        <v>52</v>
      </c>
      <c r="V2268" t="s">
        <v>62</v>
      </c>
      <c r="W2268" t="s">
        <v>52</v>
      </c>
      <c r="Y2268" t="s">
        <v>4658</v>
      </c>
      <c r="Z2268" t="s">
        <v>62</v>
      </c>
      <c r="AB2268" t="s">
        <v>8352</v>
      </c>
      <c r="AE2268" t="s">
        <v>8353</v>
      </c>
      <c r="AF2268" t="s">
        <v>52</v>
      </c>
      <c r="AH2268">
        <v>0</v>
      </c>
      <c r="AI2268">
        <v>0</v>
      </c>
      <c r="AJ2268" t="s">
        <v>52</v>
      </c>
      <c r="AK2268">
        <v>0</v>
      </c>
      <c r="AL2268" t="s">
        <v>52</v>
      </c>
      <c r="AM2268" t="s">
        <v>52</v>
      </c>
      <c r="AN2268">
        <v>0</v>
      </c>
      <c r="AO2268">
        <v>0</v>
      </c>
      <c r="AP2268" t="s">
        <v>52</v>
      </c>
      <c r="AQ2268" t="s">
        <v>52</v>
      </c>
      <c r="AR2268" t="s">
        <v>62</v>
      </c>
      <c r="AS2268" t="s">
        <v>52</v>
      </c>
      <c r="AT2268" t="s">
        <v>74</v>
      </c>
      <c r="AU2268" t="s">
        <v>64</v>
      </c>
      <c r="AV2268" t="s">
        <v>62</v>
      </c>
      <c r="AW2268" t="s">
        <v>65</v>
      </c>
      <c r="AX2268" t="s">
        <v>66</v>
      </c>
      <c r="AY2268" t="s">
        <v>76</v>
      </c>
    </row>
    <row r="2269" spans="1:51" hidden="1" x14ac:dyDescent="0.25">
      <c r="A2269">
        <v>204112</v>
      </c>
      <c r="B2269" t="s">
        <v>8354</v>
      </c>
      <c r="C2269" t="e">
        <f>VLOOKUP(A2269,[1]Customer_payment_journal_line!$AL:$BO,30,0)</f>
        <v>#N/A</v>
      </c>
      <c r="D2269" t="s">
        <v>76</v>
      </c>
      <c r="E2269" t="s">
        <v>8348</v>
      </c>
      <c r="F2269" t="s">
        <v>8349</v>
      </c>
      <c r="G2269" t="s">
        <v>8297</v>
      </c>
      <c r="H2269" t="s">
        <v>69</v>
      </c>
      <c r="I2269" t="s">
        <v>4657</v>
      </c>
      <c r="J2269" t="s">
        <v>4654</v>
      </c>
      <c r="K2269" t="s">
        <v>8350</v>
      </c>
      <c r="L2269" t="s">
        <v>52</v>
      </c>
      <c r="M2269">
        <v>0</v>
      </c>
      <c r="N2269">
        <v>855</v>
      </c>
      <c r="O2269" t="s">
        <v>61</v>
      </c>
      <c r="P2269">
        <v>100</v>
      </c>
      <c r="Q2269" t="s">
        <v>52</v>
      </c>
      <c r="R2269" t="s">
        <v>52</v>
      </c>
      <c r="S2269" t="s">
        <v>52</v>
      </c>
      <c r="T2269" t="s">
        <v>52</v>
      </c>
      <c r="U2269" t="s">
        <v>52</v>
      </c>
      <c r="V2269" t="s">
        <v>62</v>
      </c>
      <c r="W2269" t="s">
        <v>52</v>
      </c>
      <c r="Y2269" t="s">
        <v>4658</v>
      </c>
      <c r="Z2269" t="s">
        <v>62</v>
      </c>
      <c r="AB2269" t="s">
        <v>8355</v>
      </c>
      <c r="AE2269" t="s">
        <v>8356</v>
      </c>
      <c r="AF2269" t="s">
        <v>52</v>
      </c>
      <c r="AH2269">
        <v>0</v>
      </c>
      <c r="AI2269">
        <v>0</v>
      </c>
      <c r="AJ2269" t="s">
        <v>52</v>
      </c>
      <c r="AK2269">
        <v>0</v>
      </c>
      <c r="AL2269" t="s">
        <v>52</v>
      </c>
      <c r="AM2269" t="s">
        <v>52</v>
      </c>
      <c r="AN2269">
        <v>0</v>
      </c>
      <c r="AO2269">
        <v>0</v>
      </c>
      <c r="AP2269" t="s">
        <v>52</v>
      </c>
      <c r="AQ2269" t="s">
        <v>52</v>
      </c>
      <c r="AR2269" t="s">
        <v>62</v>
      </c>
      <c r="AS2269" t="s">
        <v>52</v>
      </c>
      <c r="AT2269" t="s">
        <v>74</v>
      </c>
      <c r="AU2269" t="s">
        <v>64</v>
      </c>
      <c r="AV2269" t="s">
        <v>62</v>
      </c>
      <c r="AW2269" t="s">
        <v>65</v>
      </c>
      <c r="AX2269" t="s">
        <v>66</v>
      </c>
      <c r="AY2269" t="s">
        <v>76</v>
      </c>
    </row>
    <row r="2270" spans="1:51" hidden="1" x14ac:dyDescent="0.25">
      <c r="A2270">
        <v>204113</v>
      </c>
      <c r="B2270" t="s">
        <v>8357</v>
      </c>
      <c r="C2270" t="str">
        <f>VLOOKUP(A2270,[1]Customer_payment_journal_line!$AL:$BO,30,0)</f>
        <v>CPay-000000138</v>
      </c>
      <c r="D2270" t="s">
        <v>53</v>
      </c>
      <c r="E2270" t="s">
        <v>8358</v>
      </c>
      <c r="F2270" t="s">
        <v>8359</v>
      </c>
      <c r="G2270" t="s">
        <v>8297</v>
      </c>
      <c r="H2270" t="s">
        <v>57</v>
      </c>
      <c r="I2270" t="s">
        <v>95</v>
      </c>
      <c r="J2270" t="s">
        <v>255</v>
      </c>
      <c r="K2270" t="s">
        <v>8360</v>
      </c>
      <c r="L2270">
        <f>VLOOKUP(A2270,[1]Customer_payment_journal_line!$B:$L,11,0)</f>
        <v>1653</v>
      </c>
      <c r="M2270" s="1">
        <v>1653</v>
      </c>
      <c r="N2270" s="2">
        <f>L2270-M2270</f>
        <v>0</v>
      </c>
      <c r="O2270" t="s">
        <v>61</v>
      </c>
      <c r="P2270">
        <v>100</v>
      </c>
      <c r="Q2270" t="s">
        <v>52</v>
      </c>
      <c r="R2270" t="s">
        <v>52</v>
      </c>
      <c r="S2270" t="s">
        <v>52</v>
      </c>
      <c r="T2270" t="s">
        <v>52</v>
      </c>
      <c r="U2270" t="s">
        <v>52</v>
      </c>
      <c r="V2270" t="s">
        <v>62</v>
      </c>
      <c r="W2270" t="s">
        <v>63</v>
      </c>
      <c r="Y2270" t="s">
        <v>52</v>
      </c>
      <c r="AB2270" t="s">
        <v>52</v>
      </c>
      <c r="AE2270" t="s">
        <v>52</v>
      </c>
      <c r="AF2270" t="s">
        <v>52</v>
      </c>
      <c r="AH2270">
        <v>0</v>
      </c>
      <c r="AI2270">
        <v>0</v>
      </c>
      <c r="AJ2270" t="s">
        <v>52</v>
      </c>
      <c r="AK2270">
        <v>0</v>
      </c>
      <c r="AL2270" t="s">
        <v>52</v>
      </c>
      <c r="AM2270" t="s">
        <v>52</v>
      </c>
      <c r="AN2270">
        <v>0</v>
      </c>
      <c r="AO2270">
        <v>0</v>
      </c>
      <c r="AP2270" t="s">
        <v>52</v>
      </c>
      <c r="AQ2270" t="s">
        <v>52</v>
      </c>
      <c r="AR2270" t="s">
        <v>62</v>
      </c>
      <c r="AS2270" t="s">
        <v>52</v>
      </c>
      <c r="AT2270" t="s">
        <v>52</v>
      </c>
      <c r="AU2270" t="s">
        <v>64</v>
      </c>
      <c r="AV2270" t="s">
        <v>62</v>
      </c>
      <c r="AW2270" t="s">
        <v>65</v>
      </c>
      <c r="AX2270" t="s">
        <v>66</v>
      </c>
      <c r="AY2270" t="s">
        <v>67</v>
      </c>
    </row>
    <row r="2271" spans="1:51" hidden="1" x14ac:dyDescent="0.25">
      <c r="A2271">
        <v>204113</v>
      </c>
      <c r="B2271" t="s">
        <v>8361</v>
      </c>
      <c r="C2271" t="str">
        <f>VLOOKUP(A2271,[1]Customer_payment_journal_line!$AL:$BO,30,0)</f>
        <v>CPay-000000138</v>
      </c>
      <c r="D2271" t="s">
        <v>53</v>
      </c>
      <c r="E2271" t="s">
        <v>8358</v>
      </c>
      <c r="F2271" t="s">
        <v>8359</v>
      </c>
      <c r="G2271" t="s">
        <v>8297</v>
      </c>
      <c r="H2271" t="s">
        <v>69</v>
      </c>
      <c r="I2271" t="s">
        <v>99</v>
      </c>
      <c r="J2271" t="s">
        <v>255</v>
      </c>
      <c r="K2271" t="s">
        <v>8360</v>
      </c>
      <c r="L2271">
        <f>VLOOKUP(A2271,[1]Customer_payment_journal_line!$B:$L,11,0)</f>
        <v>1653</v>
      </c>
      <c r="M2271" s="1">
        <v>0</v>
      </c>
      <c r="N2271">
        <v>1653</v>
      </c>
      <c r="O2271" t="s">
        <v>61</v>
      </c>
      <c r="P2271">
        <v>100</v>
      </c>
      <c r="Q2271" t="s">
        <v>52</v>
      </c>
      <c r="R2271" t="s">
        <v>52</v>
      </c>
      <c r="S2271" t="s">
        <v>52</v>
      </c>
      <c r="T2271" t="s">
        <v>52</v>
      </c>
      <c r="U2271" t="s">
        <v>52</v>
      </c>
      <c r="V2271" t="s">
        <v>62</v>
      </c>
      <c r="W2271" t="s">
        <v>52</v>
      </c>
      <c r="Y2271" t="s">
        <v>100</v>
      </c>
      <c r="Z2271" t="s">
        <v>62</v>
      </c>
      <c r="AB2271" t="s">
        <v>8362</v>
      </c>
      <c r="AE2271" t="s">
        <v>8363</v>
      </c>
      <c r="AF2271" t="s">
        <v>52</v>
      </c>
      <c r="AH2271">
        <v>0</v>
      </c>
      <c r="AI2271">
        <v>0</v>
      </c>
      <c r="AJ2271" t="s">
        <v>52</v>
      </c>
      <c r="AK2271">
        <v>0</v>
      </c>
      <c r="AL2271" t="s">
        <v>52</v>
      </c>
      <c r="AM2271" t="s">
        <v>52</v>
      </c>
      <c r="AN2271">
        <v>0</v>
      </c>
      <c r="AO2271">
        <v>0</v>
      </c>
      <c r="AP2271" t="s">
        <v>52</v>
      </c>
      <c r="AQ2271" t="s">
        <v>52</v>
      </c>
      <c r="AR2271" t="s">
        <v>62</v>
      </c>
      <c r="AS2271" t="s">
        <v>52</v>
      </c>
      <c r="AT2271" t="s">
        <v>74</v>
      </c>
      <c r="AU2271" t="s">
        <v>64</v>
      </c>
      <c r="AV2271" t="s">
        <v>62</v>
      </c>
      <c r="AW2271" t="s">
        <v>65</v>
      </c>
      <c r="AX2271" t="s">
        <v>66</v>
      </c>
      <c r="AY2271" t="s">
        <v>67</v>
      </c>
    </row>
    <row r="2272" spans="1:51" hidden="1" x14ac:dyDescent="0.25">
      <c r="A2272">
        <v>204114</v>
      </c>
      <c r="B2272" t="s">
        <v>8364</v>
      </c>
      <c r="C2272" t="str">
        <f>VLOOKUP(A2272,[1]Customer_payment_journal_line!$AL:$BO,30,0)</f>
        <v>CPay-000000139</v>
      </c>
      <c r="D2272" t="s">
        <v>53</v>
      </c>
      <c r="E2272" t="s">
        <v>8365</v>
      </c>
      <c r="F2272" t="s">
        <v>8366</v>
      </c>
      <c r="G2272" t="s">
        <v>8297</v>
      </c>
      <c r="H2272" t="s">
        <v>57</v>
      </c>
      <c r="I2272" t="s">
        <v>95</v>
      </c>
      <c r="J2272" t="s">
        <v>255</v>
      </c>
      <c r="K2272" t="s">
        <v>8360</v>
      </c>
      <c r="L2272">
        <f>VLOOKUP(A2272,[1]Customer_payment_journal_line!$B:$L,11,0)</f>
        <v>1026</v>
      </c>
      <c r="M2272" s="1">
        <v>1026</v>
      </c>
      <c r="N2272" s="2">
        <f>L2272-M2272</f>
        <v>0</v>
      </c>
      <c r="O2272" t="s">
        <v>61</v>
      </c>
      <c r="P2272">
        <v>100</v>
      </c>
      <c r="Q2272" t="s">
        <v>52</v>
      </c>
      <c r="R2272" t="s">
        <v>52</v>
      </c>
      <c r="S2272" t="s">
        <v>52</v>
      </c>
      <c r="T2272" t="s">
        <v>52</v>
      </c>
      <c r="U2272" t="s">
        <v>52</v>
      </c>
      <c r="V2272" t="s">
        <v>62</v>
      </c>
      <c r="W2272" t="s">
        <v>63</v>
      </c>
      <c r="Y2272" t="s">
        <v>52</v>
      </c>
      <c r="AB2272" t="s">
        <v>52</v>
      </c>
      <c r="AE2272" t="s">
        <v>52</v>
      </c>
      <c r="AF2272" t="s">
        <v>52</v>
      </c>
      <c r="AH2272">
        <v>0</v>
      </c>
      <c r="AI2272">
        <v>0</v>
      </c>
      <c r="AJ2272" t="s">
        <v>52</v>
      </c>
      <c r="AK2272">
        <v>0</v>
      </c>
      <c r="AL2272" t="s">
        <v>52</v>
      </c>
      <c r="AM2272" t="s">
        <v>52</v>
      </c>
      <c r="AN2272">
        <v>0</v>
      </c>
      <c r="AO2272">
        <v>0</v>
      </c>
      <c r="AP2272" t="s">
        <v>52</v>
      </c>
      <c r="AQ2272" t="s">
        <v>52</v>
      </c>
      <c r="AR2272" t="s">
        <v>62</v>
      </c>
      <c r="AS2272" t="s">
        <v>52</v>
      </c>
      <c r="AT2272" t="s">
        <v>52</v>
      </c>
      <c r="AU2272" t="s">
        <v>64</v>
      </c>
      <c r="AV2272" t="s">
        <v>62</v>
      </c>
      <c r="AW2272" t="s">
        <v>65</v>
      </c>
      <c r="AX2272" t="s">
        <v>66</v>
      </c>
      <c r="AY2272" t="s">
        <v>67</v>
      </c>
    </row>
    <row r="2273" spans="1:51" hidden="1" x14ac:dyDescent="0.25">
      <c r="A2273">
        <v>204114</v>
      </c>
      <c r="B2273" t="s">
        <v>8367</v>
      </c>
      <c r="C2273" t="str">
        <f>VLOOKUP(A2273,[1]Customer_payment_journal_line!$AL:$BO,30,0)</f>
        <v>CPay-000000139</v>
      </c>
      <c r="D2273" t="s">
        <v>53</v>
      </c>
      <c r="E2273" t="s">
        <v>8365</v>
      </c>
      <c r="F2273" t="s">
        <v>8366</v>
      </c>
      <c r="G2273" t="s">
        <v>8297</v>
      </c>
      <c r="H2273" t="s">
        <v>69</v>
      </c>
      <c r="I2273" t="s">
        <v>99</v>
      </c>
      <c r="J2273" t="s">
        <v>255</v>
      </c>
      <c r="K2273" t="s">
        <v>8360</v>
      </c>
      <c r="L2273">
        <f>VLOOKUP(A2273,[1]Customer_payment_journal_line!$B:$L,11,0)</f>
        <v>1026</v>
      </c>
      <c r="M2273" s="1">
        <v>0</v>
      </c>
      <c r="N2273">
        <v>1026</v>
      </c>
      <c r="O2273" t="s">
        <v>61</v>
      </c>
      <c r="P2273">
        <v>100</v>
      </c>
      <c r="Q2273" t="s">
        <v>52</v>
      </c>
      <c r="R2273" t="s">
        <v>52</v>
      </c>
      <c r="S2273" t="s">
        <v>52</v>
      </c>
      <c r="T2273" t="s">
        <v>52</v>
      </c>
      <c r="U2273" t="s">
        <v>52</v>
      </c>
      <c r="V2273" t="s">
        <v>62</v>
      </c>
      <c r="W2273" t="s">
        <v>52</v>
      </c>
      <c r="Y2273" t="s">
        <v>100</v>
      </c>
      <c r="Z2273" t="s">
        <v>62</v>
      </c>
      <c r="AB2273" t="s">
        <v>8368</v>
      </c>
      <c r="AE2273" t="s">
        <v>8369</v>
      </c>
      <c r="AF2273" t="s">
        <v>52</v>
      </c>
      <c r="AH2273">
        <v>0</v>
      </c>
      <c r="AI2273">
        <v>0</v>
      </c>
      <c r="AJ2273" t="s">
        <v>52</v>
      </c>
      <c r="AK2273">
        <v>0</v>
      </c>
      <c r="AL2273" t="s">
        <v>52</v>
      </c>
      <c r="AM2273" t="s">
        <v>52</v>
      </c>
      <c r="AN2273">
        <v>0</v>
      </c>
      <c r="AO2273">
        <v>0</v>
      </c>
      <c r="AP2273" t="s">
        <v>52</v>
      </c>
      <c r="AQ2273" t="s">
        <v>52</v>
      </c>
      <c r="AR2273" t="s">
        <v>62</v>
      </c>
      <c r="AS2273" t="s">
        <v>52</v>
      </c>
      <c r="AT2273" t="s">
        <v>74</v>
      </c>
      <c r="AU2273" t="s">
        <v>64</v>
      </c>
      <c r="AV2273" t="s">
        <v>62</v>
      </c>
      <c r="AW2273" t="s">
        <v>65</v>
      </c>
      <c r="AX2273" t="s">
        <v>66</v>
      </c>
      <c r="AY2273" t="s">
        <v>67</v>
      </c>
    </row>
    <row r="2274" spans="1:51" hidden="1" x14ac:dyDescent="0.25">
      <c r="A2274">
        <v>204134</v>
      </c>
      <c r="B2274" t="s">
        <v>8370</v>
      </c>
      <c r="C2274" t="e">
        <f>VLOOKUP(A2274,[1]Customer_payment_journal_line!$AL:$BO,30,0)</f>
        <v>#N/A</v>
      </c>
      <c r="D2274" t="s">
        <v>159</v>
      </c>
      <c r="E2274" t="s">
        <v>8371</v>
      </c>
      <c r="F2274" t="s">
        <v>8372</v>
      </c>
      <c r="G2274" t="s">
        <v>8297</v>
      </c>
      <c r="H2274" t="s">
        <v>80</v>
      </c>
      <c r="I2274" t="s">
        <v>1233</v>
      </c>
      <c r="J2274" t="s">
        <v>8373</v>
      </c>
      <c r="K2274" t="s">
        <v>8374</v>
      </c>
      <c r="L2274" t="s">
        <v>52</v>
      </c>
      <c r="M2274">
        <v>40</v>
      </c>
      <c r="N2274">
        <v>0</v>
      </c>
      <c r="O2274" t="s">
        <v>178</v>
      </c>
      <c r="P2274">
        <v>5085</v>
      </c>
      <c r="Q2274" t="s">
        <v>52</v>
      </c>
      <c r="R2274" t="s">
        <v>52</v>
      </c>
      <c r="S2274" t="s">
        <v>52</v>
      </c>
      <c r="T2274" t="s">
        <v>52</v>
      </c>
      <c r="U2274" t="s">
        <v>52</v>
      </c>
      <c r="V2274" t="s">
        <v>62</v>
      </c>
      <c r="W2274" t="s">
        <v>52</v>
      </c>
      <c r="Y2274" t="s">
        <v>52</v>
      </c>
      <c r="AB2274" t="s">
        <v>52</v>
      </c>
      <c r="AE2274" t="s">
        <v>52</v>
      </c>
      <c r="AF2274" t="s">
        <v>52</v>
      </c>
      <c r="AH2274">
        <v>0</v>
      </c>
      <c r="AI2274">
        <v>0</v>
      </c>
      <c r="AJ2274" t="s">
        <v>52</v>
      </c>
      <c r="AK2274">
        <v>0</v>
      </c>
      <c r="AL2274" t="s">
        <v>52</v>
      </c>
      <c r="AM2274" t="s">
        <v>52</v>
      </c>
      <c r="AN2274">
        <v>0</v>
      </c>
      <c r="AO2274">
        <v>0</v>
      </c>
      <c r="AP2274" t="s">
        <v>52</v>
      </c>
      <c r="AQ2274" t="s">
        <v>52</v>
      </c>
      <c r="AR2274" t="s">
        <v>62</v>
      </c>
      <c r="AS2274" t="s">
        <v>52</v>
      </c>
      <c r="AT2274" t="s">
        <v>52</v>
      </c>
      <c r="AU2274" t="s">
        <v>64</v>
      </c>
      <c r="AV2274" t="s">
        <v>62</v>
      </c>
      <c r="AW2274" t="s">
        <v>65</v>
      </c>
      <c r="AX2274" t="s">
        <v>66</v>
      </c>
      <c r="AY2274" t="s">
        <v>165</v>
      </c>
    </row>
    <row r="2275" spans="1:51" hidden="1" x14ac:dyDescent="0.25">
      <c r="A2275">
        <v>204134</v>
      </c>
      <c r="B2275" t="s">
        <v>8375</v>
      </c>
      <c r="C2275" t="e">
        <f>VLOOKUP(A2275,[1]Customer_payment_journal_line!$AL:$BO,30,0)</f>
        <v>#N/A</v>
      </c>
      <c r="D2275" t="s">
        <v>159</v>
      </c>
      <c r="E2275" t="s">
        <v>8371</v>
      </c>
      <c r="F2275" t="s">
        <v>8372</v>
      </c>
      <c r="G2275" t="s">
        <v>8297</v>
      </c>
      <c r="H2275" t="s">
        <v>69</v>
      </c>
      <c r="I2275" t="s">
        <v>8376</v>
      </c>
      <c r="J2275" t="s">
        <v>8373</v>
      </c>
      <c r="K2275" t="s">
        <v>8374</v>
      </c>
      <c r="L2275" t="s">
        <v>52</v>
      </c>
      <c r="M2275">
        <v>0</v>
      </c>
      <c r="N2275">
        <v>40</v>
      </c>
      <c r="O2275" t="s">
        <v>178</v>
      </c>
      <c r="P2275">
        <v>5085</v>
      </c>
      <c r="Q2275" t="s">
        <v>52</v>
      </c>
      <c r="R2275" t="s">
        <v>52</v>
      </c>
      <c r="S2275" t="s">
        <v>52</v>
      </c>
      <c r="T2275" t="s">
        <v>52</v>
      </c>
      <c r="U2275" t="s">
        <v>52</v>
      </c>
      <c r="V2275" t="s">
        <v>62</v>
      </c>
      <c r="W2275" t="s">
        <v>52</v>
      </c>
      <c r="Y2275" t="s">
        <v>8377</v>
      </c>
      <c r="Z2275" t="s">
        <v>62</v>
      </c>
      <c r="AB2275" t="s">
        <v>8378</v>
      </c>
      <c r="AE2275" t="s">
        <v>8379</v>
      </c>
      <c r="AF2275" t="s">
        <v>52</v>
      </c>
      <c r="AH2275">
        <v>0</v>
      </c>
      <c r="AI2275">
        <v>0</v>
      </c>
      <c r="AJ2275" t="s">
        <v>52</v>
      </c>
      <c r="AK2275">
        <v>0</v>
      </c>
      <c r="AL2275" t="s">
        <v>52</v>
      </c>
      <c r="AM2275" t="s">
        <v>52</v>
      </c>
      <c r="AN2275">
        <v>0</v>
      </c>
      <c r="AO2275">
        <v>0</v>
      </c>
      <c r="AP2275" t="s">
        <v>52</v>
      </c>
      <c r="AQ2275" t="s">
        <v>52</v>
      </c>
      <c r="AR2275" t="s">
        <v>62</v>
      </c>
      <c r="AS2275" t="s">
        <v>52</v>
      </c>
      <c r="AT2275" t="s">
        <v>74</v>
      </c>
      <c r="AU2275" t="s">
        <v>64</v>
      </c>
      <c r="AV2275" t="s">
        <v>62</v>
      </c>
      <c r="AW2275" t="s">
        <v>65</v>
      </c>
      <c r="AX2275" t="s">
        <v>66</v>
      </c>
      <c r="AY2275" t="s">
        <v>165</v>
      </c>
    </row>
    <row r="2276" spans="1:51" hidden="1" x14ac:dyDescent="0.25">
      <c r="A2276">
        <v>204135</v>
      </c>
      <c r="B2276" t="s">
        <v>8380</v>
      </c>
      <c r="C2276" t="e">
        <f>VLOOKUP(A2276,[1]Customer_payment_journal_line!$AL:$BO,30,0)</f>
        <v>#N/A</v>
      </c>
      <c r="D2276" t="s">
        <v>159</v>
      </c>
      <c r="E2276" t="s">
        <v>8381</v>
      </c>
      <c r="F2276" t="s">
        <v>8382</v>
      </c>
      <c r="G2276" t="s">
        <v>8297</v>
      </c>
      <c r="H2276" t="s">
        <v>80</v>
      </c>
      <c r="I2276" t="s">
        <v>4790</v>
      </c>
      <c r="J2276" t="s">
        <v>8373</v>
      </c>
      <c r="K2276" t="s">
        <v>8374</v>
      </c>
      <c r="L2276" t="s">
        <v>52</v>
      </c>
      <c r="M2276">
        <v>4425.4799999999996</v>
      </c>
      <c r="N2276">
        <v>0</v>
      </c>
      <c r="O2276" t="s">
        <v>61</v>
      </c>
      <c r="P2276">
        <v>100</v>
      </c>
      <c r="Q2276" t="s">
        <v>52</v>
      </c>
      <c r="R2276" t="s">
        <v>52</v>
      </c>
      <c r="S2276" t="s">
        <v>52</v>
      </c>
      <c r="T2276" t="s">
        <v>52</v>
      </c>
      <c r="U2276" t="s">
        <v>52</v>
      </c>
      <c r="V2276" t="s">
        <v>62</v>
      </c>
      <c r="W2276" t="s">
        <v>52</v>
      </c>
      <c r="Y2276" t="s">
        <v>52</v>
      </c>
      <c r="AB2276" t="s">
        <v>52</v>
      </c>
      <c r="AE2276" t="s">
        <v>52</v>
      </c>
      <c r="AF2276" t="s">
        <v>52</v>
      </c>
      <c r="AH2276">
        <v>0</v>
      </c>
      <c r="AI2276">
        <v>0</v>
      </c>
      <c r="AJ2276" t="s">
        <v>52</v>
      </c>
      <c r="AK2276">
        <v>0</v>
      </c>
      <c r="AL2276" t="s">
        <v>52</v>
      </c>
      <c r="AM2276" t="s">
        <v>52</v>
      </c>
      <c r="AN2276">
        <v>0</v>
      </c>
      <c r="AO2276">
        <v>0</v>
      </c>
      <c r="AP2276" t="s">
        <v>52</v>
      </c>
      <c r="AQ2276" t="s">
        <v>52</v>
      </c>
      <c r="AR2276" t="s">
        <v>62</v>
      </c>
      <c r="AS2276" t="s">
        <v>52</v>
      </c>
      <c r="AT2276" t="s">
        <v>52</v>
      </c>
      <c r="AU2276" t="s">
        <v>64</v>
      </c>
      <c r="AV2276" t="s">
        <v>62</v>
      </c>
      <c r="AW2276" t="s">
        <v>65</v>
      </c>
      <c r="AX2276" t="s">
        <v>66</v>
      </c>
      <c r="AY2276" t="s">
        <v>165</v>
      </c>
    </row>
    <row r="2277" spans="1:51" hidden="1" x14ac:dyDescent="0.25">
      <c r="A2277">
        <v>204135</v>
      </c>
      <c r="B2277" t="s">
        <v>8383</v>
      </c>
      <c r="C2277" t="e">
        <f>VLOOKUP(A2277,[1]Customer_payment_journal_line!$AL:$BO,30,0)</f>
        <v>#N/A</v>
      </c>
      <c r="D2277" t="s">
        <v>159</v>
      </c>
      <c r="E2277" t="s">
        <v>8381</v>
      </c>
      <c r="F2277" t="s">
        <v>8382</v>
      </c>
      <c r="G2277" t="s">
        <v>8297</v>
      </c>
      <c r="H2277" t="s">
        <v>69</v>
      </c>
      <c r="I2277" t="s">
        <v>8376</v>
      </c>
      <c r="J2277" t="s">
        <v>8373</v>
      </c>
      <c r="K2277" t="s">
        <v>8374</v>
      </c>
      <c r="L2277" t="s">
        <v>52</v>
      </c>
      <c r="M2277">
        <v>0</v>
      </c>
      <c r="N2277">
        <v>855</v>
      </c>
      <c r="O2277" t="s">
        <v>61</v>
      </c>
      <c r="P2277">
        <v>100</v>
      </c>
      <c r="Q2277" t="s">
        <v>52</v>
      </c>
      <c r="R2277" t="s">
        <v>52</v>
      </c>
      <c r="S2277" t="s">
        <v>52</v>
      </c>
      <c r="T2277" t="s">
        <v>52</v>
      </c>
      <c r="U2277" t="s">
        <v>52</v>
      </c>
      <c r="V2277" t="s">
        <v>62</v>
      </c>
      <c r="W2277" t="s">
        <v>52</v>
      </c>
      <c r="Y2277" t="s">
        <v>8377</v>
      </c>
      <c r="Z2277" t="s">
        <v>62</v>
      </c>
      <c r="AB2277" t="s">
        <v>8384</v>
      </c>
      <c r="AE2277" t="s">
        <v>8385</v>
      </c>
      <c r="AF2277" t="s">
        <v>52</v>
      </c>
      <c r="AH2277">
        <v>0</v>
      </c>
      <c r="AI2277">
        <v>0</v>
      </c>
      <c r="AJ2277" t="s">
        <v>52</v>
      </c>
      <c r="AK2277">
        <v>0</v>
      </c>
      <c r="AL2277" t="s">
        <v>52</v>
      </c>
      <c r="AM2277" t="s">
        <v>52</v>
      </c>
      <c r="AN2277">
        <v>0</v>
      </c>
      <c r="AO2277">
        <v>0</v>
      </c>
      <c r="AP2277" t="s">
        <v>52</v>
      </c>
      <c r="AQ2277" t="s">
        <v>52</v>
      </c>
      <c r="AR2277" t="s">
        <v>62</v>
      </c>
      <c r="AS2277" t="s">
        <v>52</v>
      </c>
      <c r="AT2277" t="s">
        <v>74</v>
      </c>
      <c r="AU2277" t="s">
        <v>64</v>
      </c>
      <c r="AV2277" t="s">
        <v>62</v>
      </c>
      <c r="AW2277" t="s">
        <v>65</v>
      </c>
      <c r="AX2277" t="s">
        <v>66</v>
      </c>
      <c r="AY2277" t="s">
        <v>165</v>
      </c>
    </row>
    <row r="2278" spans="1:51" hidden="1" x14ac:dyDescent="0.25">
      <c r="A2278">
        <v>204135</v>
      </c>
      <c r="B2278" t="s">
        <v>8386</v>
      </c>
      <c r="C2278" t="e">
        <f>VLOOKUP(A2278,[1]Customer_payment_journal_line!$AL:$BO,30,0)</f>
        <v>#N/A</v>
      </c>
      <c r="D2278" t="s">
        <v>159</v>
      </c>
      <c r="E2278" t="s">
        <v>8381</v>
      </c>
      <c r="F2278" t="s">
        <v>8382</v>
      </c>
      <c r="G2278" t="s">
        <v>8297</v>
      </c>
      <c r="H2278" t="s">
        <v>69</v>
      </c>
      <c r="I2278" t="s">
        <v>8376</v>
      </c>
      <c r="J2278" t="s">
        <v>8373</v>
      </c>
      <c r="K2278" t="s">
        <v>8374</v>
      </c>
      <c r="L2278" t="s">
        <v>52</v>
      </c>
      <c r="M2278">
        <v>0</v>
      </c>
      <c r="N2278">
        <v>3570.48</v>
      </c>
      <c r="O2278" t="s">
        <v>61</v>
      </c>
      <c r="P2278">
        <v>100</v>
      </c>
      <c r="Q2278" t="s">
        <v>52</v>
      </c>
      <c r="R2278" t="s">
        <v>52</v>
      </c>
      <c r="S2278" t="s">
        <v>52</v>
      </c>
      <c r="T2278" t="s">
        <v>52</v>
      </c>
      <c r="U2278" t="s">
        <v>52</v>
      </c>
      <c r="V2278" t="s">
        <v>62</v>
      </c>
      <c r="W2278" t="s">
        <v>52</v>
      </c>
      <c r="Y2278" t="s">
        <v>8377</v>
      </c>
      <c r="Z2278" t="s">
        <v>62</v>
      </c>
      <c r="AB2278" t="s">
        <v>8387</v>
      </c>
      <c r="AE2278" t="s">
        <v>8388</v>
      </c>
      <c r="AF2278" t="s">
        <v>52</v>
      </c>
      <c r="AH2278">
        <v>0</v>
      </c>
      <c r="AI2278">
        <v>0</v>
      </c>
      <c r="AJ2278" t="s">
        <v>52</v>
      </c>
      <c r="AK2278">
        <v>0</v>
      </c>
      <c r="AL2278" t="s">
        <v>52</v>
      </c>
      <c r="AM2278" t="s">
        <v>52</v>
      </c>
      <c r="AN2278">
        <v>0</v>
      </c>
      <c r="AO2278">
        <v>0</v>
      </c>
      <c r="AP2278" t="s">
        <v>52</v>
      </c>
      <c r="AQ2278" t="s">
        <v>52</v>
      </c>
      <c r="AR2278" t="s">
        <v>62</v>
      </c>
      <c r="AS2278" t="s">
        <v>52</v>
      </c>
      <c r="AT2278" t="s">
        <v>74</v>
      </c>
      <c r="AU2278" t="s">
        <v>64</v>
      </c>
      <c r="AV2278" t="s">
        <v>62</v>
      </c>
      <c r="AW2278" t="s">
        <v>65</v>
      </c>
      <c r="AX2278" t="s">
        <v>66</v>
      </c>
      <c r="AY2278" t="s">
        <v>165</v>
      </c>
    </row>
    <row r="2279" spans="1:51" hidden="1" x14ac:dyDescent="0.25">
      <c r="A2279">
        <v>204159</v>
      </c>
      <c r="B2279" t="s">
        <v>8389</v>
      </c>
      <c r="C2279" t="e">
        <f>VLOOKUP(A2279,[1]Customer_payment_journal_line!$AL:$BO,30,0)</f>
        <v>#N/A</v>
      </c>
      <c r="D2279" t="s">
        <v>76</v>
      </c>
      <c r="E2279" t="s">
        <v>8390</v>
      </c>
      <c r="F2279" t="s">
        <v>8391</v>
      </c>
      <c r="G2279" t="s">
        <v>8297</v>
      </c>
      <c r="H2279" t="s">
        <v>80</v>
      </c>
      <c r="I2279" t="s">
        <v>81</v>
      </c>
      <c r="J2279" t="s">
        <v>8392</v>
      </c>
      <c r="K2279" t="s">
        <v>8393</v>
      </c>
      <c r="L2279" t="s">
        <v>52</v>
      </c>
      <c r="M2279">
        <v>57096.44</v>
      </c>
      <c r="N2279">
        <v>0</v>
      </c>
      <c r="O2279" t="s">
        <v>61</v>
      </c>
      <c r="P2279">
        <v>100</v>
      </c>
      <c r="Q2279" t="s">
        <v>52</v>
      </c>
      <c r="R2279" t="s">
        <v>52</v>
      </c>
      <c r="S2279" t="s">
        <v>52</v>
      </c>
      <c r="T2279" t="s">
        <v>52</v>
      </c>
      <c r="U2279" t="s">
        <v>52</v>
      </c>
      <c r="V2279" t="s">
        <v>62</v>
      </c>
      <c r="W2279" t="s">
        <v>52</v>
      </c>
      <c r="Y2279" t="s">
        <v>52</v>
      </c>
      <c r="AB2279" t="s">
        <v>52</v>
      </c>
      <c r="AE2279" t="s">
        <v>52</v>
      </c>
      <c r="AF2279" t="s">
        <v>52</v>
      </c>
      <c r="AH2279">
        <v>0</v>
      </c>
      <c r="AI2279">
        <v>0</v>
      </c>
      <c r="AJ2279" t="s">
        <v>52</v>
      </c>
      <c r="AK2279">
        <v>0</v>
      </c>
      <c r="AL2279" t="s">
        <v>52</v>
      </c>
      <c r="AM2279" t="s">
        <v>52</v>
      </c>
      <c r="AN2279">
        <v>0</v>
      </c>
      <c r="AO2279">
        <v>0</v>
      </c>
      <c r="AP2279" t="s">
        <v>52</v>
      </c>
      <c r="AQ2279" t="s">
        <v>52</v>
      </c>
      <c r="AR2279" t="s">
        <v>62</v>
      </c>
      <c r="AS2279" t="s">
        <v>52</v>
      </c>
      <c r="AT2279" t="s">
        <v>52</v>
      </c>
      <c r="AU2279" t="s">
        <v>64</v>
      </c>
      <c r="AV2279" t="s">
        <v>62</v>
      </c>
      <c r="AW2279" t="s">
        <v>65</v>
      </c>
      <c r="AX2279" t="s">
        <v>66</v>
      </c>
      <c r="AY2279" t="s">
        <v>76</v>
      </c>
    </row>
    <row r="2280" spans="1:51" hidden="1" x14ac:dyDescent="0.25">
      <c r="A2280">
        <v>204159</v>
      </c>
      <c r="B2280" t="s">
        <v>8394</v>
      </c>
      <c r="C2280" t="e">
        <f>VLOOKUP(A2280,[1]Customer_payment_journal_line!$AL:$BO,30,0)</f>
        <v>#N/A</v>
      </c>
      <c r="D2280" t="s">
        <v>76</v>
      </c>
      <c r="E2280" t="s">
        <v>8390</v>
      </c>
      <c r="F2280" t="s">
        <v>8391</v>
      </c>
      <c r="G2280" t="s">
        <v>8297</v>
      </c>
      <c r="H2280" t="s">
        <v>69</v>
      </c>
      <c r="I2280" t="s">
        <v>6840</v>
      </c>
      <c r="J2280" t="s">
        <v>8392</v>
      </c>
      <c r="K2280" t="s">
        <v>8393</v>
      </c>
      <c r="L2280" t="s">
        <v>52</v>
      </c>
      <c r="M2280">
        <v>0</v>
      </c>
      <c r="N2280">
        <v>57096.44</v>
      </c>
      <c r="O2280" t="s">
        <v>61</v>
      </c>
      <c r="P2280">
        <v>100</v>
      </c>
      <c r="Q2280" t="s">
        <v>52</v>
      </c>
      <c r="R2280" t="s">
        <v>52</v>
      </c>
      <c r="S2280" t="s">
        <v>52</v>
      </c>
      <c r="T2280" t="s">
        <v>52</v>
      </c>
      <c r="U2280" t="s">
        <v>52</v>
      </c>
      <c r="V2280" t="s">
        <v>62</v>
      </c>
      <c r="W2280" t="s">
        <v>52</v>
      </c>
      <c r="Y2280" t="s">
        <v>6841</v>
      </c>
      <c r="Z2280" t="s">
        <v>62</v>
      </c>
      <c r="AB2280" t="s">
        <v>8395</v>
      </c>
      <c r="AE2280" t="s">
        <v>8396</v>
      </c>
      <c r="AF2280" t="s">
        <v>52</v>
      </c>
      <c r="AH2280">
        <v>0</v>
      </c>
      <c r="AI2280">
        <v>0</v>
      </c>
      <c r="AJ2280" t="s">
        <v>52</v>
      </c>
      <c r="AK2280">
        <v>0</v>
      </c>
      <c r="AL2280" t="s">
        <v>52</v>
      </c>
      <c r="AM2280" t="s">
        <v>52</v>
      </c>
      <c r="AN2280">
        <v>0</v>
      </c>
      <c r="AO2280">
        <v>0</v>
      </c>
      <c r="AP2280" t="s">
        <v>52</v>
      </c>
      <c r="AQ2280" t="s">
        <v>52</v>
      </c>
      <c r="AR2280" t="s">
        <v>62</v>
      </c>
      <c r="AS2280" t="s">
        <v>52</v>
      </c>
      <c r="AT2280" t="s">
        <v>74</v>
      </c>
      <c r="AU2280" t="s">
        <v>64</v>
      </c>
      <c r="AV2280" t="s">
        <v>62</v>
      </c>
      <c r="AW2280" t="s">
        <v>65</v>
      </c>
      <c r="AX2280" t="s">
        <v>66</v>
      </c>
      <c r="AY2280" t="s">
        <v>76</v>
      </c>
    </row>
    <row r="2281" spans="1:51" hidden="1" x14ac:dyDescent="0.25">
      <c r="A2281">
        <v>204160</v>
      </c>
      <c r="B2281" t="s">
        <v>8397</v>
      </c>
      <c r="C2281" t="e">
        <f>VLOOKUP(A2281,[1]Customer_payment_journal_line!$AL:$BO,30,0)</f>
        <v>#N/A</v>
      </c>
      <c r="D2281" t="s">
        <v>76</v>
      </c>
      <c r="E2281" t="s">
        <v>8398</v>
      </c>
      <c r="F2281" t="s">
        <v>8399</v>
      </c>
      <c r="G2281" t="s">
        <v>8297</v>
      </c>
      <c r="H2281" t="s">
        <v>80</v>
      </c>
      <c r="I2281" t="s">
        <v>81</v>
      </c>
      <c r="J2281" t="s">
        <v>8392</v>
      </c>
      <c r="K2281" t="s">
        <v>8393</v>
      </c>
      <c r="L2281" t="s">
        <v>52</v>
      </c>
      <c r="M2281">
        <v>855</v>
      </c>
      <c r="N2281">
        <v>0</v>
      </c>
      <c r="O2281" t="s">
        <v>61</v>
      </c>
      <c r="P2281">
        <v>100</v>
      </c>
      <c r="Q2281" t="s">
        <v>52</v>
      </c>
      <c r="R2281" t="s">
        <v>52</v>
      </c>
      <c r="S2281" t="s">
        <v>52</v>
      </c>
      <c r="T2281" t="s">
        <v>52</v>
      </c>
      <c r="U2281" t="s">
        <v>52</v>
      </c>
      <c r="V2281" t="s">
        <v>62</v>
      </c>
      <c r="W2281" t="s">
        <v>52</v>
      </c>
      <c r="Y2281" t="s">
        <v>52</v>
      </c>
      <c r="AB2281" t="s">
        <v>52</v>
      </c>
      <c r="AE2281" t="s">
        <v>52</v>
      </c>
      <c r="AF2281" t="s">
        <v>52</v>
      </c>
      <c r="AH2281">
        <v>0</v>
      </c>
      <c r="AI2281">
        <v>0</v>
      </c>
      <c r="AJ2281" t="s">
        <v>52</v>
      </c>
      <c r="AK2281">
        <v>0</v>
      </c>
      <c r="AL2281" t="s">
        <v>52</v>
      </c>
      <c r="AM2281" t="s">
        <v>52</v>
      </c>
      <c r="AN2281">
        <v>0</v>
      </c>
      <c r="AO2281">
        <v>0</v>
      </c>
      <c r="AP2281" t="s">
        <v>52</v>
      </c>
      <c r="AQ2281" t="s">
        <v>52</v>
      </c>
      <c r="AR2281" t="s">
        <v>62</v>
      </c>
      <c r="AS2281" t="s">
        <v>52</v>
      </c>
      <c r="AT2281" t="s">
        <v>52</v>
      </c>
      <c r="AU2281" t="s">
        <v>64</v>
      </c>
      <c r="AV2281" t="s">
        <v>62</v>
      </c>
      <c r="AW2281" t="s">
        <v>65</v>
      </c>
      <c r="AX2281" t="s">
        <v>66</v>
      </c>
      <c r="AY2281" t="s">
        <v>76</v>
      </c>
    </row>
    <row r="2282" spans="1:51" hidden="1" x14ac:dyDescent="0.25">
      <c r="A2282">
        <v>204160</v>
      </c>
      <c r="B2282" t="s">
        <v>8400</v>
      </c>
      <c r="C2282" t="e">
        <f>VLOOKUP(A2282,[1]Customer_payment_journal_line!$AL:$BO,30,0)</f>
        <v>#N/A</v>
      </c>
      <c r="D2282" t="s">
        <v>76</v>
      </c>
      <c r="E2282" t="s">
        <v>8398</v>
      </c>
      <c r="F2282" t="s">
        <v>8399</v>
      </c>
      <c r="G2282" t="s">
        <v>8297</v>
      </c>
      <c r="H2282" t="s">
        <v>69</v>
      </c>
      <c r="I2282" t="s">
        <v>6840</v>
      </c>
      <c r="J2282" t="s">
        <v>8392</v>
      </c>
      <c r="K2282" t="s">
        <v>8393</v>
      </c>
      <c r="L2282" t="s">
        <v>52</v>
      </c>
      <c r="M2282">
        <v>0</v>
      </c>
      <c r="N2282">
        <v>855</v>
      </c>
      <c r="O2282" t="s">
        <v>61</v>
      </c>
      <c r="P2282">
        <v>100</v>
      </c>
      <c r="Q2282" t="s">
        <v>52</v>
      </c>
      <c r="R2282" t="s">
        <v>52</v>
      </c>
      <c r="S2282" t="s">
        <v>52</v>
      </c>
      <c r="T2282" t="s">
        <v>52</v>
      </c>
      <c r="U2282" t="s">
        <v>52</v>
      </c>
      <c r="V2282" t="s">
        <v>62</v>
      </c>
      <c r="W2282" t="s">
        <v>52</v>
      </c>
      <c r="Y2282" t="s">
        <v>6841</v>
      </c>
      <c r="Z2282" t="s">
        <v>62</v>
      </c>
      <c r="AB2282" t="s">
        <v>8401</v>
      </c>
      <c r="AE2282" t="s">
        <v>8402</v>
      </c>
      <c r="AF2282" t="s">
        <v>52</v>
      </c>
      <c r="AH2282">
        <v>0</v>
      </c>
      <c r="AI2282">
        <v>0</v>
      </c>
      <c r="AJ2282" t="s">
        <v>52</v>
      </c>
      <c r="AK2282">
        <v>0</v>
      </c>
      <c r="AL2282" t="s">
        <v>52</v>
      </c>
      <c r="AM2282" t="s">
        <v>52</v>
      </c>
      <c r="AN2282">
        <v>0</v>
      </c>
      <c r="AO2282">
        <v>0</v>
      </c>
      <c r="AP2282" t="s">
        <v>52</v>
      </c>
      <c r="AQ2282" t="s">
        <v>52</v>
      </c>
      <c r="AR2282" t="s">
        <v>62</v>
      </c>
      <c r="AS2282" t="s">
        <v>52</v>
      </c>
      <c r="AT2282" t="s">
        <v>74</v>
      </c>
      <c r="AU2282" t="s">
        <v>64</v>
      </c>
      <c r="AV2282" t="s">
        <v>62</v>
      </c>
      <c r="AW2282" t="s">
        <v>65</v>
      </c>
      <c r="AX2282" t="s">
        <v>66</v>
      </c>
      <c r="AY2282" t="s">
        <v>76</v>
      </c>
    </row>
    <row r="2283" spans="1:51" hidden="1" x14ac:dyDescent="0.25">
      <c r="A2283">
        <v>204161</v>
      </c>
      <c r="B2283" t="s">
        <v>8403</v>
      </c>
      <c r="C2283" t="e">
        <f>VLOOKUP(A2283,[1]Customer_payment_journal_line!$AL:$BO,30,0)</f>
        <v>#N/A</v>
      </c>
      <c r="D2283" t="s">
        <v>159</v>
      </c>
      <c r="E2283" t="s">
        <v>8404</v>
      </c>
      <c r="F2283" t="s">
        <v>8405</v>
      </c>
      <c r="G2283" t="s">
        <v>8297</v>
      </c>
      <c r="H2283" t="s">
        <v>80</v>
      </c>
      <c r="I2283" t="s">
        <v>3014</v>
      </c>
      <c r="J2283" t="s">
        <v>8406</v>
      </c>
      <c r="K2283" t="s">
        <v>8407</v>
      </c>
      <c r="L2283" t="s">
        <v>52</v>
      </c>
      <c r="M2283">
        <v>180</v>
      </c>
      <c r="N2283">
        <v>0</v>
      </c>
      <c r="O2283" t="s">
        <v>178</v>
      </c>
      <c r="P2283">
        <v>5085</v>
      </c>
      <c r="Q2283" t="s">
        <v>52</v>
      </c>
      <c r="R2283" t="s">
        <v>52</v>
      </c>
      <c r="S2283" t="s">
        <v>52</v>
      </c>
      <c r="T2283" t="s">
        <v>52</v>
      </c>
      <c r="U2283" t="s">
        <v>52</v>
      </c>
      <c r="V2283" t="s">
        <v>62</v>
      </c>
      <c r="W2283" t="s">
        <v>52</v>
      </c>
      <c r="Y2283" t="s">
        <v>52</v>
      </c>
      <c r="AB2283" t="s">
        <v>52</v>
      </c>
      <c r="AE2283" t="s">
        <v>52</v>
      </c>
      <c r="AF2283" t="s">
        <v>52</v>
      </c>
      <c r="AH2283">
        <v>0</v>
      </c>
      <c r="AI2283">
        <v>0</v>
      </c>
      <c r="AJ2283" t="s">
        <v>52</v>
      </c>
      <c r="AK2283">
        <v>0</v>
      </c>
      <c r="AL2283" t="s">
        <v>52</v>
      </c>
      <c r="AM2283" t="s">
        <v>52</v>
      </c>
      <c r="AN2283">
        <v>0</v>
      </c>
      <c r="AO2283">
        <v>0</v>
      </c>
      <c r="AP2283" t="s">
        <v>52</v>
      </c>
      <c r="AQ2283" t="s">
        <v>52</v>
      </c>
      <c r="AR2283" t="s">
        <v>62</v>
      </c>
      <c r="AS2283" t="s">
        <v>52</v>
      </c>
      <c r="AT2283" t="s">
        <v>52</v>
      </c>
      <c r="AU2283" t="s">
        <v>64</v>
      </c>
      <c r="AV2283" t="s">
        <v>62</v>
      </c>
      <c r="AW2283" t="s">
        <v>65</v>
      </c>
      <c r="AX2283" t="s">
        <v>66</v>
      </c>
      <c r="AY2283" t="s">
        <v>165</v>
      </c>
    </row>
    <row r="2284" spans="1:51" hidden="1" x14ac:dyDescent="0.25">
      <c r="A2284">
        <v>204161</v>
      </c>
      <c r="B2284" t="s">
        <v>8408</v>
      </c>
      <c r="C2284" t="e">
        <f>VLOOKUP(A2284,[1]Customer_payment_journal_line!$AL:$BO,30,0)</f>
        <v>#N/A</v>
      </c>
      <c r="D2284" t="s">
        <v>159</v>
      </c>
      <c r="E2284" t="s">
        <v>8404</v>
      </c>
      <c r="F2284" t="s">
        <v>8405</v>
      </c>
      <c r="G2284" t="s">
        <v>8297</v>
      </c>
      <c r="H2284" t="s">
        <v>69</v>
      </c>
      <c r="I2284" t="s">
        <v>8409</v>
      </c>
      <c r="J2284" t="s">
        <v>8406</v>
      </c>
      <c r="K2284" t="s">
        <v>8407</v>
      </c>
      <c r="L2284" t="s">
        <v>52</v>
      </c>
      <c r="M2284">
        <v>0</v>
      </c>
      <c r="N2284">
        <v>180</v>
      </c>
      <c r="O2284" t="s">
        <v>178</v>
      </c>
      <c r="P2284">
        <v>5085</v>
      </c>
      <c r="Q2284" t="s">
        <v>52</v>
      </c>
      <c r="R2284" t="s">
        <v>52</v>
      </c>
      <c r="S2284" t="s">
        <v>52</v>
      </c>
      <c r="T2284" t="s">
        <v>52</v>
      </c>
      <c r="U2284" t="s">
        <v>52</v>
      </c>
      <c r="V2284" t="s">
        <v>62</v>
      </c>
      <c r="W2284" t="s">
        <v>52</v>
      </c>
      <c r="Y2284" t="s">
        <v>8410</v>
      </c>
      <c r="Z2284" t="s">
        <v>62</v>
      </c>
      <c r="AB2284" t="s">
        <v>8411</v>
      </c>
      <c r="AE2284" t="s">
        <v>8412</v>
      </c>
      <c r="AF2284" t="s">
        <v>52</v>
      </c>
      <c r="AH2284">
        <v>0</v>
      </c>
      <c r="AI2284">
        <v>0</v>
      </c>
      <c r="AJ2284" t="s">
        <v>52</v>
      </c>
      <c r="AK2284">
        <v>0</v>
      </c>
      <c r="AL2284" t="s">
        <v>52</v>
      </c>
      <c r="AM2284" t="s">
        <v>52</v>
      </c>
      <c r="AN2284">
        <v>0</v>
      </c>
      <c r="AO2284">
        <v>0</v>
      </c>
      <c r="AP2284" t="s">
        <v>52</v>
      </c>
      <c r="AQ2284" t="s">
        <v>52</v>
      </c>
      <c r="AR2284" t="s">
        <v>62</v>
      </c>
      <c r="AS2284" t="s">
        <v>52</v>
      </c>
      <c r="AT2284" t="s">
        <v>74</v>
      </c>
      <c r="AU2284" t="s">
        <v>64</v>
      </c>
      <c r="AV2284" t="s">
        <v>62</v>
      </c>
      <c r="AW2284" t="s">
        <v>65</v>
      </c>
      <c r="AX2284" t="s">
        <v>66</v>
      </c>
      <c r="AY2284" t="s">
        <v>165</v>
      </c>
    </row>
    <row r="2285" spans="1:51" hidden="1" x14ac:dyDescent="0.25">
      <c r="A2285">
        <v>204162</v>
      </c>
      <c r="B2285" t="s">
        <v>8413</v>
      </c>
      <c r="C2285" t="str">
        <f>VLOOKUP(A2285,[1]Customer_payment_journal_line!$AL:$BO,30,0)</f>
        <v>CPay-000000140</v>
      </c>
      <c r="D2285" t="s">
        <v>53</v>
      </c>
      <c r="E2285" t="s">
        <v>8414</v>
      </c>
      <c r="F2285" t="s">
        <v>8415</v>
      </c>
      <c r="G2285" t="s">
        <v>8297</v>
      </c>
      <c r="H2285" t="s">
        <v>57</v>
      </c>
      <c r="I2285" t="s">
        <v>95</v>
      </c>
      <c r="J2285" t="s">
        <v>8416</v>
      </c>
      <c r="K2285" t="s">
        <v>8417</v>
      </c>
      <c r="L2285">
        <f>VLOOKUP(A2285,[1]Customer_payment_journal_line!$B:$L,11,0)</f>
        <v>1653</v>
      </c>
      <c r="M2285" s="1">
        <v>1653</v>
      </c>
      <c r="N2285" s="2">
        <f>L2285-M2285</f>
        <v>0</v>
      </c>
      <c r="O2285" t="s">
        <v>61</v>
      </c>
      <c r="P2285">
        <v>100</v>
      </c>
      <c r="Q2285" t="s">
        <v>52</v>
      </c>
      <c r="R2285" t="s">
        <v>52</v>
      </c>
      <c r="S2285" t="s">
        <v>52</v>
      </c>
      <c r="T2285" t="s">
        <v>52</v>
      </c>
      <c r="U2285" t="s">
        <v>52</v>
      </c>
      <c r="V2285" t="s">
        <v>62</v>
      </c>
      <c r="W2285" t="s">
        <v>63</v>
      </c>
      <c r="Y2285" t="s">
        <v>52</v>
      </c>
      <c r="AB2285" t="s">
        <v>52</v>
      </c>
      <c r="AE2285" t="s">
        <v>52</v>
      </c>
      <c r="AF2285" t="s">
        <v>52</v>
      </c>
      <c r="AH2285">
        <v>0</v>
      </c>
      <c r="AI2285">
        <v>0</v>
      </c>
      <c r="AJ2285" t="s">
        <v>52</v>
      </c>
      <c r="AK2285">
        <v>0</v>
      </c>
      <c r="AL2285" t="s">
        <v>52</v>
      </c>
      <c r="AM2285" t="s">
        <v>52</v>
      </c>
      <c r="AN2285">
        <v>0</v>
      </c>
      <c r="AO2285">
        <v>0</v>
      </c>
      <c r="AP2285" t="s">
        <v>52</v>
      </c>
      <c r="AQ2285" t="s">
        <v>52</v>
      </c>
      <c r="AR2285" t="s">
        <v>62</v>
      </c>
      <c r="AS2285" t="s">
        <v>52</v>
      </c>
      <c r="AT2285" t="s">
        <v>52</v>
      </c>
      <c r="AU2285" t="s">
        <v>64</v>
      </c>
      <c r="AV2285" t="s">
        <v>62</v>
      </c>
      <c r="AW2285" t="s">
        <v>65</v>
      </c>
      <c r="AX2285" t="s">
        <v>66</v>
      </c>
      <c r="AY2285" t="s">
        <v>67</v>
      </c>
    </row>
    <row r="2286" spans="1:51" hidden="1" x14ac:dyDescent="0.25">
      <c r="A2286">
        <v>204162</v>
      </c>
      <c r="B2286" t="s">
        <v>8418</v>
      </c>
      <c r="C2286" t="str">
        <f>VLOOKUP(A2286,[1]Customer_payment_journal_line!$AL:$BO,30,0)</f>
        <v>CPay-000000140</v>
      </c>
      <c r="D2286" t="s">
        <v>53</v>
      </c>
      <c r="E2286" t="s">
        <v>8414</v>
      </c>
      <c r="F2286" t="s">
        <v>8415</v>
      </c>
      <c r="G2286" t="s">
        <v>8297</v>
      </c>
      <c r="H2286" t="s">
        <v>69</v>
      </c>
      <c r="I2286" t="s">
        <v>8419</v>
      </c>
      <c r="J2286" t="s">
        <v>8416</v>
      </c>
      <c r="K2286" t="s">
        <v>8417</v>
      </c>
      <c r="L2286">
        <f>VLOOKUP(A2286,[1]Customer_payment_journal_line!$B:$L,11,0)</f>
        <v>1653</v>
      </c>
      <c r="M2286" s="1">
        <v>0</v>
      </c>
      <c r="N2286">
        <v>1653</v>
      </c>
      <c r="O2286" t="s">
        <v>61</v>
      </c>
      <c r="P2286">
        <v>100</v>
      </c>
      <c r="Q2286" t="s">
        <v>52</v>
      </c>
      <c r="R2286" t="s">
        <v>52</v>
      </c>
      <c r="S2286" t="s">
        <v>52</v>
      </c>
      <c r="T2286" t="s">
        <v>52</v>
      </c>
      <c r="U2286" t="s">
        <v>52</v>
      </c>
      <c r="V2286" t="s">
        <v>62</v>
      </c>
      <c r="W2286" t="s">
        <v>52</v>
      </c>
      <c r="Y2286" t="s">
        <v>8420</v>
      </c>
      <c r="Z2286" t="s">
        <v>62</v>
      </c>
      <c r="AB2286" t="s">
        <v>8421</v>
      </c>
      <c r="AE2286" t="s">
        <v>8422</v>
      </c>
      <c r="AF2286" t="s">
        <v>52</v>
      </c>
      <c r="AH2286">
        <v>0</v>
      </c>
      <c r="AI2286">
        <v>0</v>
      </c>
      <c r="AJ2286" t="s">
        <v>52</v>
      </c>
      <c r="AK2286">
        <v>0</v>
      </c>
      <c r="AL2286" t="s">
        <v>52</v>
      </c>
      <c r="AM2286" t="s">
        <v>52</v>
      </c>
      <c r="AN2286">
        <v>0</v>
      </c>
      <c r="AO2286">
        <v>0</v>
      </c>
      <c r="AP2286" t="s">
        <v>52</v>
      </c>
      <c r="AQ2286" t="s">
        <v>52</v>
      </c>
      <c r="AR2286" t="s">
        <v>62</v>
      </c>
      <c r="AS2286" t="s">
        <v>52</v>
      </c>
      <c r="AT2286" t="s">
        <v>74</v>
      </c>
      <c r="AU2286" t="s">
        <v>64</v>
      </c>
      <c r="AV2286" t="s">
        <v>62</v>
      </c>
      <c r="AW2286" t="s">
        <v>65</v>
      </c>
      <c r="AX2286" t="s">
        <v>66</v>
      </c>
      <c r="AY2286" t="s">
        <v>67</v>
      </c>
    </row>
    <row r="2287" spans="1:51" hidden="1" x14ac:dyDescent="0.25">
      <c r="A2287">
        <v>204164</v>
      </c>
      <c r="B2287" t="s">
        <v>8423</v>
      </c>
      <c r="C2287" t="str">
        <f>VLOOKUP(A2287,[1]Customer_payment_journal_line!$AL:$BO,30,0)</f>
        <v>CPay-000000141</v>
      </c>
      <c r="D2287" t="s">
        <v>53</v>
      </c>
      <c r="E2287" t="s">
        <v>8424</v>
      </c>
      <c r="F2287" t="s">
        <v>8425</v>
      </c>
      <c r="G2287" t="s">
        <v>8297</v>
      </c>
      <c r="H2287" t="s">
        <v>57</v>
      </c>
      <c r="I2287" t="s">
        <v>95</v>
      </c>
      <c r="J2287" t="s">
        <v>8416</v>
      </c>
      <c r="K2287" t="s">
        <v>8417</v>
      </c>
      <c r="L2287">
        <f>VLOOKUP(A2287,[1]Customer_payment_journal_line!$B:$L,11,0)</f>
        <v>285</v>
      </c>
      <c r="M2287" s="1">
        <v>285</v>
      </c>
      <c r="N2287" s="2">
        <f>L2287-M2287</f>
        <v>0</v>
      </c>
      <c r="O2287" t="s">
        <v>61</v>
      </c>
      <c r="P2287">
        <v>100</v>
      </c>
      <c r="Q2287" t="s">
        <v>52</v>
      </c>
      <c r="R2287" t="s">
        <v>52</v>
      </c>
      <c r="S2287" t="s">
        <v>52</v>
      </c>
      <c r="T2287" t="s">
        <v>52</v>
      </c>
      <c r="U2287" t="s">
        <v>52</v>
      </c>
      <c r="V2287" t="s">
        <v>62</v>
      </c>
      <c r="W2287" t="s">
        <v>63</v>
      </c>
      <c r="Y2287" t="s">
        <v>52</v>
      </c>
      <c r="AB2287" t="s">
        <v>52</v>
      </c>
      <c r="AE2287" t="s">
        <v>52</v>
      </c>
      <c r="AF2287" t="s">
        <v>52</v>
      </c>
      <c r="AH2287">
        <v>0</v>
      </c>
      <c r="AI2287">
        <v>0</v>
      </c>
      <c r="AJ2287" t="s">
        <v>52</v>
      </c>
      <c r="AK2287">
        <v>0</v>
      </c>
      <c r="AL2287" t="s">
        <v>52</v>
      </c>
      <c r="AM2287" t="s">
        <v>52</v>
      </c>
      <c r="AN2287">
        <v>0</v>
      </c>
      <c r="AO2287">
        <v>0</v>
      </c>
      <c r="AP2287" t="s">
        <v>52</v>
      </c>
      <c r="AQ2287" t="s">
        <v>52</v>
      </c>
      <c r="AR2287" t="s">
        <v>62</v>
      </c>
      <c r="AS2287" t="s">
        <v>52</v>
      </c>
      <c r="AT2287" t="s">
        <v>52</v>
      </c>
      <c r="AU2287" t="s">
        <v>64</v>
      </c>
      <c r="AV2287" t="s">
        <v>62</v>
      </c>
      <c r="AW2287" t="s">
        <v>65</v>
      </c>
      <c r="AX2287" t="s">
        <v>66</v>
      </c>
      <c r="AY2287" t="s">
        <v>67</v>
      </c>
    </row>
    <row r="2288" spans="1:51" hidden="1" x14ac:dyDescent="0.25">
      <c r="A2288">
        <v>204164</v>
      </c>
      <c r="B2288" t="s">
        <v>8426</v>
      </c>
      <c r="C2288" t="str">
        <f>VLOOKUP(A2288,[1]Customer_payment_journal_line!$AL:$BO,30,0)</f>
        <v>CPay-000000141</v>
      </c>
      <c r="D2288" t="s">
        <v>53</v>
      </c>
      <c r="E2288" t="s">
        <v>8424</v>
      </c>
      <c r="F2288" t="s">
        <v>8425</v>
      </c>
      <c r="G2288" t="s">
        <v>8297</v>
      </c>
      <c r="H2288" t="s">
        <v>69</v>
      </c>
      <c r="I2288" t="s">
        <v>8419</v>
      </c>
      <c r="J2288" t="s">
        <v>8416</v>
      </c>
      <c r="K2288" t="s">
        <v>8417</v>
      </c>
      <c r="L2288">
        <f>VLOOKUP(A2288,[1]Customer_payment_journal_line!$B:$L,11,0)</f>
        <v>285</v>
      </c>
      <c r="M2288" s="1">
        <v>0</v>
      </c>
      <c r="N2288">
        <v>285</v>
      </c>
      <c r="O2288" t="s">
        <v>61</v>
      </c>
      <c r="P2288">
        <v>100</v>
      </c>
      <c r="Q2288" t="s">
        <v>52</v>
      </c>
      <c r="R2288" t="s">
        <v>52</v>
      </c>
      <c r="S2288" t="s">
        <v>52</v>
      </c>
      <c r="T2288" t="s">
        <v>52</v>
      </c>
      <c r="U2288" t="s">
        <v>52</v>
      </c>
      <c r="V2288" t="s">
        <v>62</v>
      </c>
      <c r="W2288" t="s">
        <v>52</v>
      </c>
      <c r="Y2288" t="s">
        <v>8420</v>
      </c>
      <c r="Z2288" t="s">
        <v>62</v>
      </c>
      <c r="AB2288" t="s">
        <v>8427</v>
      </c>
      <c r="AE2288" t="s">
        <v>8428</v>
      </c>
      <c r="AF2288" t="s">
        <v>52</v>
      </c>
      <c r="AH2288">
        <v>0</v>
      </c>
      <c r="AI2288">
        <v>0</v>
      </c>
      <c r="AJ2288" t="s">
        <v>52</v>
      </c>
      <c r="AK2288">
        <v>0</v>
      </c>
      <c r="AL2288" t="s">
        <v>52</v>
      </c>
      <c r="AM2288" t="s">
        <v>52</v>
      </c>
      <c r="AN2288">
        <v>0</v>
      </c>
      <c r="AO2288">
        <v>0</v>
      </c>
      <c r="AP2288" t="s">
        <v>52</v>
      </c>
      <c r="AQ2288" t="s">
        <v>52</v>
      </c>
      <c r="AR2288" t="s">
        <v>62</v>
      </c>
      <c r="AS2288" t="s">
        <v>52</v>
      </c>
      <c r="AT2288" t="s">
        <v>74</v>
      </c>
      <c r="AU2288" t="s">
        <v>64</v>
      </c>
      <c r="AV2288" t="s">
        <v>62</v>
      </c>
      <c r="AW2288" t="s">
        <v>65</v>
      </c>
      <c r="AX2288" t="s">
        <v>66</v>
      </c>
      <c r="AY2288" t="s">
        <v>67</v>
      </c>
    </row>
    <row r="2289" spans="1:51" hidden="1" x14ac:dyDescent="0.25">
      <c r="A2289">
        <v>204171</v>
      </c>
      <c r="B2289" t="s">
        <v>8429</v>
      </c>
      <c r="C2289" t="str">
        <f>VLOOKUP(A2289,[1]Customer_payment_journal_line!$AL:$BO,30,0)</f>
        <v>CPay-000000142</v>
      </c>
      <c r="D2289" t="s">
        <v>53</v>
      </c>
      <c r="E2289" t="s">
        <v>8430</v>
      </c>
      <c r="F2289" t="s">
        <v>8431</v>
      </c>
      <c r="G2289" t="s">
        <v>8297</v>
      </c>
      <c r="H2289" t="s">
        <v>57</v>
      </c>
      <c r="I2289" t="s">
        <v>95</v>
      </c>
      <c r="J2289" t="s">
        <v>8432</v>
      </c>
      <c r="K2289" t="s">
        <v>8433</v>
      </c>
      <c r="L2289">
        <f>VLOOKUP(A2289,[1]Customer_payment_journal_line!$B:$L,11,0)</f>
        <v>1653</v>
      </c>
      <c r="M2289" s="1">
        <v>1653</v>
      </c>
      <c r="N2289" s="2">
        <f>L2289-M2289</f>
        <v>0</v>
      </c>
      <c r="O2289" t="s">
        <v>61</v>
      </c>
      <c r="P2289">
        <v>100</v>
      </c>
      <c r="Q2289" t="s">
        <v>52</v>
      </c>
      <c r="R2289" t="s">
        <v>52</v>
      </c>
      <c r="S2289" t="s">
        <v>52</v>
      </c>
      <c r="T2289" t="s">
        <v>52</v>
      </c>
      <c r="U2289" t="s">
        <v>52</v>
      </c>
      <c r="V2289" t="s">
        <v>62</v>
      </c>
      <c r="W2289" t="s">
        <v>63</v>
      </c>
      <c r="Y2289" t="s">
        <v>52</v>
      </c>
      <c r="AB2289" t="s">
        <v>52</v>
      </c>
      <c r="AE2289" t="s">
        <v>52</v>
      </c>
      <c r="AF2289" t="s">
        <v>52</v>
      </c>
      <c r="AH2289">
        <v>0</v>
      </c>
      <c r="AI2289">
        <v>0</v>
      </c>
      <c r="AJ2289" t="s">
        <v>52</v>
      </c>
      <c r="AK2289">
        <v>0</v>
      </c>
      <c r="AL2289" t="s">
        <v>52</v>
      </c>
      <c r="AM2289" t="s">
        <v>52</v>
      </c>
      <c r="AN2289">
        <v>0</v>
      </c>
      <c r="AO2289">
        <v>0</v>
      </c>
      <c r="AP2289" t="s">
        <v>52</v>
      </c>
      <c r="AQ2289" t="s">
        <v>52</v>
      </c>
      <c r="AR2289" t="s">
        <v>62</v>
      </c>
      <c r="AS2289" t="s">
        <v>52</v>
      </c>
      <c r="AT2289" t="s">
        <v>52</v>
      </c>
      <c r="AU2289" t="s">
        <v>64</v>
      </c>
      <c r="AV2289" t="s">
        <v>62</v>
      </c>
      <c r="AW2289" t="s">
        <v>65</v>
      </c>
      <c r="AX2289" t="s">
        <v>66</v>
      </c>
      <c r="AY2289" t="s">
        <v>67</v>
      </c>
    </row>
    <row r="2290" spans="1:51" hidden="1" x14ac:dyDescent="0.25">
      <c r="A2290">
        <v>204171</v>
      </c>
      <c r="B2290" t="s">
        <v>8434</v>
      </c>
      <c r="C2290" t="str">
        <f>VLOOKUP(A2290,[1]Customer_payment_journal_line!$AL:$BO,30,0)</f>
        <v>CPay-000000142</v>
      </c>
      <c r="D2290" t="s">
        <v>53</v>
      </c>
      <c r="E2290" t="s">
        <v>8430</v>
      </c>
      <c r="F2290" t="s">
        <v>8431</v>
      </c>
      <c r="G2290" t="s">
        <v>8297</v>
      </c>
      <c r="H2290" t="s">
        <v>69</v>
      </c>
      <c r="I2290" t="s">
        <v>8435</v>
      </c>
      <c r="J2290" t="s">
        <v>8432</v>
      </c>
      <c r="K2290" t="s">
        <v>8433</v>
      </c>
      <c r="L2290">
        <f>VLOOKUP(A2290,[1]Customer_payment_journal_line!$B:$L,11,0)</f>
        <v>1653</v>
      </c>
      <c r="M2290" s="1">
        <v>0</v>
      </c>
      <c r="N2290">
        <v>1653</v>
      </c>
      <c r="O2290" t="s">
        <v>61</v>
      </c>
      <c r="P2290">
        <v>100</v>
      </c>
      <c r="Q2290" t="s">
        <v>52</v>
      </c>
      <c r="R2290" t="s">
        <v>52</v>
      </c>
      <c r="S2290" t="s">
        <v>52</v>
      </c>
      <c r="T2290" t="s">
        <v>52</v>
      </c>
      <c r="U2290" t="s">
        <v>52</v>
      </c>
      <c r="V2290" t="s">
        <v>62</v>
      </c>
      <c r="W2290" t="s">
        <v>52</v>
      </c>
      <c r="Y2290" t="s">
        <v>8436</v>
      </c>
      <c r="Z2290" t="s">
        <v>62</v>
      </c>
      <c r="AB2290" t="s">
        <v>8437</v>
      </c>
      <c r="AE2290" t="s">
        <v>8438</v>
      </c>
      <c r="AF2290" t="s">
        <v>52</v>
      </c>
      <c r="AH2290">
        <v>0</v>
      </c>
      <c r="AI2290">
        <v>0</v>
      </c>
      <c r="AJ2290" t="s">
        <v>52</v>
      </c>
      <c r="AK2290">
        <v>0</v>
      </c>
      <c r="AL2290" t="s">
        <v>52</v>
      </c>
      <c r="AM2290" t="s">
        <v>52</v>
      </c>
      <c r="AN2290">
        <v>0</v>
      </c>
      <c r="AO2290">
        <v>0</v>
      </c>
      <c r="AP2290" t="s">
        <v>52</v>
      </c>
      <c r="AQ2290" t="s">
        <v>52</v>
      </c>
      <c r="AR2290" t="s">
        <v>62</v>
      </c>
      <c r="AS2290" t="s">
        <v>52</v>
      </c>
      <c r="AT2290" t="s">
        <v>74</v>
      </c>
      <c r="AU2290" t="s">
        <v>64</v>
      </c>
      <c r="AV2290" t="s">
        <v>62</v>
      </c>
      <c r="AW2290" t="s">
        <v>65</v>
      </c>
      <c r="AX2290" t="s">
        <v>66</v>
      </c>
      <c r="AY2290" t="s">
        <v>67</v>
      </c>
    </row>
    <row r="2291" spans="1:51" hidden="1" x14ac:dyDescent="0.25">
      <c r="A2291">
        <v>204173</v>
      </c>
      <c r="B2291" t="s">
        <v>8439</v>
      </c>
      <c r="C2291" t="str">
        <f>VLOOKUP(A2291,[1]Customer_payment_journal_line!$AL:$BO,30,0)</f>
        <v>CPay-000000143</v>
      </c>
      <c r="D2291" t="s">
        <v>53</v>
      </c>
      <c r="E2291" t="s">
        <v>8440</v>
      </c>
      <c r="F2291" t="s">
        <v>8441</v>
      </c>
      <c r="G2291" t="s">
        <v>8297</v>
      </c>
      <c r="H2291" t="s">
        <v>57</v>
      </c>
      <c r="I2291" t="s">
        <v>95</v>
      </c>
      <c r="J2291" t="s">
        <v>8432</v>
      </c>
      <c r="K2291" t="s">
        <v>8433</v>
      </c>
      <c r="L2291">
        <f>VLOOKUP(A2291,[1]Customer_payment_journal_line!$B:$L,11,0)</f>
        <v>270.07</v>
      </c>
      <c r="M2291" s="1">
        <v>270.07</v>
      </c>
      <c r="N2291" s="2">
        <f>L2291-M2291</f>
        <v>0</v>
      </c>
      <c r="O2291" t="s">
        <v>61</v>
      </c>
      <c r="P2291">
        <v>100</v>
      </c>
      <c r="Q2291" t="s">
        <v>52</v>
      </c>
      <c r="R2291" t="s">
        <v>52</v>
      </c>
      <c r="S2291" t="s">
        <v>52</v>
      </c>
      <c r="T2291" t="s">
        <v>52</v>
      </c>
      <c r="U2291" t="s">
        <v>52</v>
      </c>
      <c r="V2291" t="s">
        <v>62</v>
      </c>
      <c r="W2291" t="s">
        <v>63</v>
      </c>
      <c r="Y2291" t="s">
        <v>52</v>
      </c>
      <c r="AB2291" t="s">
        <v>52</v>
      </c>
      <c r="AE2291" t="s">
        <v>52</v>
      </c>
      <c r="AF2291" t="s">
        <v>52</v>
      </c>
      <c r="AH2291">
        <v>0</v>
      </c>
      <c r="AI2291">
        <v>0</v>
      </c>
      <c r="AJ2291" t="s">
        <v>52</v>
      </c>
      <c r="AK2291">
        <v>0</v>
      </c>
      <c r="AL2291" t="s">
        <v>52</v>
      </c>
      <c r="AM2291" t="s">
        <v>52</v>
      </c>
      <c r="AN2291">
        <v>0</v>
      </c>
      <c r="AO2291">
        <v>0</v>
      </c>
      <c r="AP2291" t="s">
        <v>52</v>
      </c>
      <c r="AQ2291" t="s">
        <v>52</v>
      </c>
      <c r="AR2291" t="s">
        <v>62</v>
      </c>
      <c r="AS2291" t="s">
        <v>52</v>
      </c>
      <c r="AT2291" t="s">
        <v>52</v>
      </c>
      <c r="AU2291" t="s">
        <v>64</v>
      </c>
      <c r="AV2291" t="s">
        <v>62</v>
      </c>
      <c r="AW2291" t="s">
        <v>65</v>
      </c>
      <c r="AX2291" t="s">
        <v>66</v>
      </c>
      <c r="AY2291" t="s">
        <v>67</v>
      </c>
    </row>
    <row r="2292" spans="1:51" hidden="1" x14ac:dyDescent="0.25">
      <c r="A2292">
        <v>204173</v>
      </c>
      <c r="B2292" t="s">
        <v>8442</v>
      </c>
      <c r="C2292" t="str">
        <f>VLOOKUP(A2292,[1]Customer_payment_journal_line!$AL:$BO,30,0)</f>
        <v>CPay-000000143</v>
      </c>
      <c r="D2292" t="s">
        <v>53</v>
      </c>
      <c r="E2292" t="s">
        <v>8440</v>
      </c>
      <c r="F2292" t="s">
        <v>8441</v>
      </c>
      <c r="G2292" t="s">
        <v>8297</v>
      </c>
      <c r="H2292" t="s">
        <v>69</v>
      </c>
      <c r="I2292" t="s">
        <v>8435</v>
      </c>
      <c r="J2292" t="s">
        <v>8432</v>
      </c>
      <c r="K2292" t="s">
        <v>8433</v>
      </c>
      <c r="L2292">
        <f>VLOOKUP(A2292,[1]Customer_payment_journal_line!$B:$L,11,0)</f>
        <v>270.07</v>
      </c>
      <c r="M2292" s="1">
        <v>0</v>
      </c>
      <c r="N2292">
        <v>270.07</v>
      </c>
      <c r="O2292" t="s">
        <v>61</v>
      </c>
      <c r="P2292">
        <v>100</v>
      </c>
      <c r="Q2292" t="s">
        <v>52</v>
      </c>
      <c r="R2292" t="s">
        <v>52</v>
      </c>
      <c r="S2292" t="s">
        <v>52</v>
      </c>
      <c r="T2292" t="s">
        <v>52</v>
      </c>
      <c r="U2292" t="s">
        <v>52</v>
      </c>
      <c r="V2292" t="s">
        <v>62</v>
      </c>
      <c r="W2292" t="s">
        <v>52</v>
      </c>
      <c r="Y2292" t="s">
        <v>8436</v>
      </c>
      <c r="Z2292" t="s">
        <v>62</v>
      </c>
      <c r="AB2292" t="s">
        <v>8443</v>
      </c>
      <c r="AE2292" t="s">
        <v>8444</v>
      </c>
      <c r="AF2292" t="s">
        <v>52</v>
      </c>
      <c r="AH2292">
        <v>0</v>
      </c>
      <c r="AI2292">
        <v>0</v>
      </c>
      <c r="AJ2292" t="s">
        <v>52</v>
      </c>
      <c r="AK2292">
        <v>0</v>
      </c>
      <c r="AL2292" t="s">
        <v>52</v>
      </c>
      <c r="AM2292" t="s">
        <v>52</v>
      </c>
      <c r="AN2292">
        <v>0</v>
      </c>
      <c r="AO2292">
        <v>0</v>
      </c>
      <c r="AP2292" t="s">
        <v>52</v>
      </c>
      <c r="AQ2292" t="s">
        <v>52</v>
      </c>
      <c r="AR2292" t="s">
        <v>62</v>
      </c>
      <c r="AS2292" t="s">
        <v>52</v>
      </c>
      <c r="AT2292" t="s">
        <v>74</v>
      </c>
      <c r="AU2292" t="s">
        <v>64</v>
      </c>
      <c r="AV2292" t="s">
        <v>62</v>
      </c>
      <c r="AW2292" t="s">
        <v>65</v>
      </c>
      <c r="AX2292" t="s">
        <v>66</v>
      </c>
      <c r="AY2292" t="s">
        <v>67</v>
      </c>
    </row>
    <row r="2293" spans="1:51" hidden="1" x14ac:dyDescent="0.25">
      <c r="A2293">
        <v>401574</v>
      </c>
      <c r="B2293" t="s">
        <v>8445</v>
      </c>
      <c r="C2293" t="e">
        <f>VLOOKUP(A2293,[1]Customer_payment_journal_line!$AL:$BO,30,0)</f>
        <v>#N/A</v>
      </c>
      <c r="D2293" t="s">
        <v>76</v>
      </c>
      <c r="E2293" t="s">
        <v>8446</v>
      </c>
      <c r="F2293" t="s">
        <v>8447</v>
      </c>
      <c r="G2293" t="s">
        <v>8297</v>
      </c>
      <c r="H2293" t="s">
        <v>80</v>
      </c>
      <c r="I2293" t="s">
        <v>81</v>
      </c>
      <c r="J2293" t="s">
        <v>8448</v>
      </c>
      <c r="K2293" t="s">
        <v>8449</v>
      </c>
      <c r="L2293" t="s">
        <v>52</v>
      </c>
      <c r="M2293">
        <v>3285</v>
      </c>
      <c r="N2293">
        <v>0</v>
      </c>
      <c r="O2293" t="s">
        <v>61</v>
      </c>
      <c r="P2293">
        <v>100</v>
      </c>
      <c r="Q2293" t="s">
        <v>52</v>
      </c>
      <c r="R2293" t="s">
        <v>52</v>
      </c>
      <c r="S2293" t="s">
        <v>52</v>
      </c>
      <c r="T2293" t="s">
        <v>52</v>
      </c>
      <c r="U2293" t="s">
        <v>52</v>
      </c>
      <c r="V2293" t="s">
        <v>62</v>
      </c>
      <c r="W2293" t="s">
        <v>52</v>
      </c>
      <c r="Y2293" t="s">
        <v>52</v>
      </c>
      <c r="AB2293" t="s">
        <v>52</v>
      </c>
      <c r="AE2293" t="s">
        <v>52</v>
      </c>
      <c r="AF2293" t="s">
        <v>52</v>
      </c>
      <c r="AH2293">
        <v>0</v>
      </c>
      <c r="AI2293">
        <v>0</v>
      </c>
      <c r="AJ2293" t="s">
        <v>52</v>
      </c>
      <c r="AK2293">
        <v>0</v>
      </c>
      <c r="AL2293" t="s">
        <v>52</v>
      </c>
      <c r="AM2293" t="s">
        <v>52</v>
      </c>
      <c r="AN2293">
        <v>0</v>
      </c>
      <c r="AO2293">
        <v>0</v>
      </c>
      <c r="AP2293" t="s">
        <v>52</v>
      </c>
      <c r="AQ2293" t="s">
        <v>52</v>
      </c>
      <c r="AR2293" t="s">
        <v>62</v>
      </c>
      <c r="AS2293" t="s">
        <v>52</v>
      </c>
      <c r="AT2293" t="s">
        <v>52</v>
      </c>
      <c r="AU2293" t="s">
        <v>64</v>
      </c>
      <c r="AV2293" t="s">
        <v>62</v>
      </c>
      <c r="AW2293" t="s">
        <v>65</v>
      </c>
      <c r="AX2293" t="s">
        <v>66</v>
      </c>
      <c r="AY2293" t="s">
        <v>76</v>
      </c>
    </row>
    <row r="2294" spans="1:51" hidden="1" x14ac:dyDescent="0.25">
      <c r="A2294">
        <v>401574</v>
      </c>
      <c r="B2294" t="s">
        <v>8450</v>
      </c>
      <c r="C2294" t="e">
        <f>VLOOKUP(A2294,[1]Customer_payment_journal_line!$AL:$BO,30,0)</f>
        <v>#N/A</v>
      </c>
      <c r="D2294" t="s">
        <v>76</v>
      </c>
      <c r="E2294" t="s">
        <v>8446</v>
      </c>
      <c r="F2294" t="s">
        <v>8447</v>
      </c>
      <c r="G2294" t="s">
        <v>8297</v>
      </c>
      <c r="H2294" t="s">
        <v>69</v>
      </c>
      <c r="I2294" t="s">
        <v>99</v>
      </c>
      <c r="J2294" t="s">
        <v>8448</v>
      </c>
      <c r="K2294" t="s">
        <v>8449</v>
      </c>
      <c r="L2294" t="s">
        <v>52</v>
      </c>
      <c r="M2294">
        <v>0</v>
      </c>
      <c r="N2294">
        <v>855</v>
      </c>
      <c r="O2294" t="s">
        <v>61</v>
      </c>
      <c r="P2294">
        <v>100</v>
      </c>
      <c r="Q2294" t="s">
        <v>52</v>
      </c>
      <c r="R2294" t="s">
        <v>52</v>
      </c>
      <c r="S2294" t="s">
        <v>52</v>
      </c>
      <c r="T2294" t="s">
        <v>52</v>
      </c>
      <c r="U2294" t="s">
        <v>52</v>
      </c>
      <c r="V2294" t="s">
        <v>62</v>
      </c>
      <c r="W2294" t="s">
        <v>52</v>
      </c>
      <c r="Y2294" t="s">
        <v>100</v>
      </c>
      <c r="Z2294" t="s">
        <v>62</v>
      </c>
      <c r="AB2294" t="s">
        <v>8451</v>
      </c>
      <c r="AE2294" t="s">
        <v>8452</v>
      </c>
      <c r="AF2294" t="s">
        <v>52</v>
      </c>
      <c r="AH2294">
        <v>0</v>
      </c>
      <c r="AI2294">
        <v>0</v>
      </c>
      <c r="AJ2294" t="s">
        <v>52</v>
      </c>
      <c r="AK2294">
        <v>0</v>
      </c>
      <c r="AL2294" t="s">
        <v>52</v>
      </c>
      <c r="AM2294" t="s">
        <v>52</v>
      </c>
      <c r="AN2294">
        <v>0</v>
      </c>
      <c r="AO2294">
        <v>0</v>
      </c>
      <c r="AP2294" t="s">
        <v>52</v>
      </c>
      <c r="AQ2294" t="s">
        <v>52</v>
      </c>
      <c r="AR2294" t="s">
        <v>62</v>
      </c>
      <c r="AS2294" t="s">
        <v>52</v>
      </c>
      <c r="AT2294" t="s">
        <v>74</v>
      </c>
      <c r="AU2294" t="s">
        <v>64</v>
      </c>
      <c r="AV2294" t="s">
        <v>62</v>
      </c>
      <c r="AW2294" t="s">
        <v>65</v>
      </c>
      <c r="AX2294" t="s">
        <v>66</v>
      </c>
      <c r="AY2294" t="s">
        <v>76</v>
      </c>
    </row>
    <row r="2295" spans="1:51" hidden="1" x14ac:dyDescent="0.25">
      <c r="A2295">
        <v>401574</v>
      </c>
      <c r="B2295" t="s">
        <v>8453</v>
      </c>
      <c r="C2295" t="e">
        <f>VLOOKUP(A2295,[1]Customer_payment_journal_line!$AL:$BO,30,0)</f>
        <v>#N/A</v>
      </c>
      <c r="D2295" t="s">
        <v>76</v>
      </c>
      <c r="E2295" t="s">
        <v>8446</v>
      </c>
      <c r="F2295" t="s">
        <v>8447</v>
      </c>
      <c r="G2295" t="s">
        <v>8297</v>
      </c>
      <c r="H2295" t="s">
        <v>69</v>
      </c>
      <c r="I2295" t="s">
        <v>99</v>
      </c>
      <c r="J2295" t="s">
        <v>8448</v>
      </c>
      <c r="K2295" t="s">
        <v>8449</v>
      </c>
      <c r="L2295" t="s">
        <v>52</v>
      </c>
      <c r="M2295">
        <v>0</v>
      </c>
      <c r="N2295">
        <v>2430</v>
      </c>
      <c r="O2295" t="s">
        <v>61</v>
      </c>
      <c r="P2295">
        <v>100</v>
      </c>
      <c r="Q2295" t="s">
        <v>52</v>
      </c>
      <c r="R2295" t="s">
        <v>52</v>
      </c>
      <c r="S2295" t="s">
        <v>52</v>
      </c>
      <c r="T2295" t="s">
        <v>52</v>
      </c>
      <c r="U2295" t="s">
        <v>52</v>
      </c>
      <c r="V2295" t="s">
        <v>62</v>
      </c>
      <c r="W2295" t="s">
        <v>52</v>
      </c>
      <c r="Y2295" t="s">
        <v>100</v>
      </c>
      <c r="Z2295" t="s">
        <v>62</v>
      </c>
      <c r="AB2295" t="s">
        <v>8454</v>
      </c>
      <c r="AE2295" t="s">
        <v>8455</v>
      </c>
      <c r="AF2295" t="s">
        <v>52</v>
      </c>
      <c r="AH2295">
        <v>0</v>
      </c>
      <c r="AI2295">
        <v>0</v>
      </c>
      <c r="AJ2295" t="s">
        <v>52</v>
      </c>
      <c r="AK2295">
        <v>0</v>
      </c>
      <c r="AL2295" t="s">
        <v>52</v>
      </c>
      <c r="AM2295" t="s">
        <v>52</v>
      </c>
      <c r="AN2295">
        <v>0</v>
      </c>
      <c r="AO2295">
        <v>0</v>
      </c>
      <c r="AP2295" t="s">
        <v>52</v>
      </c>
      <c r="AQ2295" t="s">
        <v>52</v>
      </c>
      <c r="AR2295" t="s">
        <v>62</v>
      </c>
      <c r="AS2295" t="s">
        <v>52</v>
      </c>
      <c r="AT2295" t="s">
        <v>74</v>
      </c>
      <c r="AU2295" t="s">
        <v>64</v>
      </c>
      <c r="AV2295" t="s">
        <v>62</v>
      </c>
      <c r="AW2295" t="s">
        <v>65</v>
      </c>
      <c r="AX2295" t="s">
        <v>66</v>
      </c>
      <c r="AY2295" t="s">
        <v>76</v>
      </c>
    </row>
    <row r="2296" spans="1:51" hidden="1" x14ac:dyDescent="0.25">
      <c r="A2296">
        <v>401965</v>
      </c>
      <c r="B2296" t="s">
        <v>8456</v>
      </c>
      <c r="C2296" t="e">
        <f>VLOOKUP(A2296,[1]Customer_payment_journal_line!$AL:$BO,30,0)</f>
        <v>#N/A</v>
      </c>
      <c r="D2296" t="s">
        <v>159</v>
      </c>
      <c r="E2296" t="s">
        <v>8457</v>
      </c>
      <c r="F2296" t="s">
        <v>8458</v>
      </c>
      <c r="G2296" t="s">
        <v>8297</v>
      </c>
      <c r="H2296" t="s">
        <v>80</v>
      </c>
      <c r="I2296" t="s">
        <v>3014</v>
      </c>
      <c r="J2296" t="s">
        <v>5660</v>
      </c>
      <c r="K2296" t="s">
        <v>8459</v>
      </c>
      <c r="L2296" t="s">
        <v>52</v>
      </c>
      <c r="M2296">
        <v>75</v>
      </c>
      <c r="N2296">
        <v>0</v>
      </c>
      <c r="O2296" t="s">
        <v>178</v>
      </c>
      <c r="P2296">
        <v>5085</v>
      </c>
      <c r="Q2296" t="s">
        <v>52</v>
      </c>
      <c r="R2296" t="s">
        <v>52</v>
      </c>
      <c r="S2296" t="s">
        <v>52</v>
      </c>
      <c r="T2296" t="s">
        <v>52</v>
      </c>
      <c r="U2296" t="s">
        <v>52</v>
      </c>
      <c r="V2296" t="s">
        <v>62</v>
      </c>
      <c r="W2296" t="s">
        <v>52</v>
      </c>
      <c r="Y2296" t="s">
        <v>52</v>
      </c>
      <c r="AB2296" t="s">
        <v>52</v>
      </c>
      <c r="AE2296" t="s">
        <v>52</v>
      </c>
      <c r="AF2296" t="s">
        <v>52</v>
      </c>
      <c r="AH2296">
        <v>0</v>
      </c>
      <c r="AI2296">
        <v>0</v>
      </c>
      <c r="AJ2296" t="s">
        <v>52</v>
      </c>
      <c r="AK2296">
        <v>0</v>
      </c>
      <c r="AL2296" t="s">
        <v>52</v>
      </c>
      <c r="AM2296" t="s">
        <v>52</v>
      </c>
      <c r="AN2296">
        <v>0</v>
      </c>
      <c r="AO2296">
        <v>0</v>
      </c>
      <c r="AP2296" t="s">
        <v>52</v>
      </c>
      <c r="AQ2296" t="s">
        <v>52</v>
      </c>
      <c r="AR2296" t="s">
        <v>62</v>
      </c>
      <c r="AS2296" t="s">
        <v>52</v>
      </c>
      <c r="AT2296" t="s">
        <v>52</v>
      </c>
      <c r="AU2296" t="s">
        <v>64</v>
      </c>
      <c r="AV2296" t="s">
        <v>62</v>
      </c>
      <c r="AW2296" t="s">
        <v>65</v>
      </c>
      <c r="AX2296" t="s">
        <v>66</v>
      </c>
      <c r="AY2296" t="s">
        <v>165</v>
      </c>
    </row>
    <row r="2297" spans="1:51" hidden="1" x14ac:dyDescent="0.25">
      <c r="A2297">
        <v>401965</v>
      </c>
      <c r="B2297" t="s">
        <v>8460</v>
      </c>
      <c r="C2297" t="e">
        <f>VLOOKUP(A2297,[1]Customer_payment_journal_line!$AL:$BO,30,0)</f>
        <v>#N/A</v>
      </c>
      <c r="D2297" t="s">
        <v>159</v>
      </c>
      <c r="E2297" t="s">
        <v>8457</v>
      </c>
      <c r="F2297" t="s">
        <v>8458</v>
      </c>
      <c r="G2297" t="s">
        <v>8297</v>
      </c>
      <c r="H2297" t="s">
        <v>69</v>
      </c>
      <c r="I2297" t="s">
        <v>5663</v>
      </c>
      <c r="J2297" t="s">
        <v>5660</v>
      </c>
      <c r="K2297" t="s">
        <v>8459</v>
      </c>
      <c r="L2297" t="s">
        <v>52</v>
      </c>
      <c r="M2297">
        <v>0</v>
      </c>
      <c r="N2297">
        <v>75</v>
      </c>
      <c r="O2297" t="s">
        <v>178</v>
      </c>
      <c r="P2297">
        <v>5085</v>
      </c>
      <c r="Q2297" t="s">
        <v>52</v>
      </c>
      <c r="R2297" t="s">
        <v>52</v>
      </c>
      <c r="S2297" t="s">
        <v>52</v>
      </c>
      <c r="T2297" t="s">
        <v>52</v>
      </c>
      <c r="U2297" t="s">
        <v>52</v>
      </c>
      <c r="V2297" t="s">
        <v>62</v>
      </c>
      <c r="W2297" t="s">
        <v>52</v>
      </c>
      <c r="Y2297" t="s">
        <v>5664</v>
      </c>
      <c r="Z2297" t="s">
        <v>62</v>
      </c>
      <c r="AB2297" t="s">
        <v>8461</v>
      </c>
      <c r="AE2297" t="s">
        <v>8462</v>
      </c>
      <c r="AF2297" t="s">
        <v>52</v>
      </c>
      <c r="AH2297">
        <v>0</v>
      </c>
      <c r="AI2297">
        <v>0</v>
      </c>
      <c r="AJ2297" t="s">
        <v>52</v>
      </c>
      <c r="AK2297">
        <v>0</v>
      </c>
      <c r="AL2297" t="s">
        <v>52</v>
      </c>
      <c r="AM2297" t="s">
        <v>52</v>
      </c>
      <c r="AN2297">
        <v>0</v>
      </c>
      <c r="AO2297">
        <v>0</v>
      </c>
      <c r="AP2297" t="s">
        <v>52</v>
      </c>
      <c r="AQ2297" t="s">
        <v>52</v>
      </c>
      <c r="AR2297" t="s">
        <v>62</v>
      </c>
      <c r="AS2297" t="s">
        <v>52</v>
      </c>
      <c r="AT2297" t="s">
        <v>74</v>
      </c>
      <c r="AU2297" t="s">
        <v>64</v>
      </c>
      <c r="AV2297" t="s">
        <v>62</v>
      </c>
      <c r="AW2297" t="s">
        <v>65</v>
      </c>
      <c r="AX2297" t="s">
        <v>66</v>
      </c>
      <c r="AY2297" t="s">
        <v>165</v>
      </c>
    </row>
    <row r="2298" spans="1:51" hidden="1" x14ac:dyDescent="0.25">
      <c r="A2298">
        <v>402482</v>
      </c>
      <c r="B2298" t="s">
        <v>8463</v>
      </c>
      <c r="C2298" t="e">
        <f>VLOOKUP(A2298,[1]Customer_payment_journal_line!$AL:$BO,30,0)</f>
        <v>#N/A</v>
      </c>
      <c r="D2298" t="s">
        <v>159</v>
      </c>
      <c r="E2298" t="s">
        <v>8464</v>
      </c>
      <c r="F2298" t="s">
        <v>8465</v>
      </c>
      <c r="G2298" t="s">
        <v>8297</v>
      </c>
      <c r="H2298" t="s">
        <v>80</v>
      </c>
      <c r="I2298" t="s">
        <v>1919</v>
      </c>
      <c r="J2298" t="s">
        <v>5660</v>
      </c>
      <c r="K2298" t="s">
        <v>8459</v>
      </c>
      <c r="L2298" t="s">
        <v>52</v>
      </c>
      <c r="M2298">
        <v>2565</v>
      </c>
      <c r="N2298">
        <v>0</v>
      </c>
      <c r="O2298" t="s">
        <v>61</v>
      </c>
      <c r="P2298">
        <v>100</v>
      </c>
      <c r="Q2298" t="s">
        <v>52</v>
      </c>
      <c r="R2298" t="s">
        <v>52</v>
      </c>
      <c r="S2298" t="s">
        <v>52</v>
      </c>
      <c r="T2298" t="s">
        <v>52</v>
      </c>
      <c r="U2298" t="s">
        <v>52</v>
      </c>
      <c r="V2298" t="s">
        <v>62</v>
      </c>
      <c r="W2298" t="s">
        <v>52</v>
      </c>
      <c r="Y2298" t="s">
        <v>52</v>
      </c>
      <c r="AB2298" t="s">
        <v>52</v>
      </c>
      <c r="AE2298" t="s">
        <v>52</v>
      </c>
      <c r="AF2298" t="s">
        <v>52</v>
      </c>
      <c r="AH2298">
        <v>0</v>
      </c>
      <c r="AI2298">
        <v>0</v>
      </c>
      <c r="AJ2298" t="s">
        <v>52</v>
      </c>
      <c r="AK2298">
        <v>0</v>
      </c>
      <c r="AL2298" t="s">
        <v>52</v>
      </c>
      <c r="AM2298" t="s">
        <v>52</v>
      </c>
      <c r="AN2298">
        <v>0</v>
      </c>
      <c r="AO2298">
        <v>0</v>
      </c>
      <c r="AP2298" t="s">
        <v>52</v>
      </c>
      <c r="AQ2298" t="s">
        <v>52</v>
      </c>
      <c r="AR2298" t="s">
        <v>62</v>
      </c>
      <c r="AS2298" t="s">
        <v>52</v>
      </c>
      <c r="AT2298" t="s">
        <v>52</v>
      </c>
      <c r="AU2298" t="s">
        <v>64</v>
      </c>
      <c r="AV2298" t="s">
        <v>62</v>
      </c>
      <c r="AW2298" t="s">
        <v>65</v>
      </c>
      <c r="AX2298" t="s">
        <v>66</v>
      </c>
      <c r="AY2298" t="s">
        <v>165</v>
      </c>
    </row>
    <row r="2299" spans="1:51" hidden="1" x14ac:dyDescent="0.25">
      <c r="A2299">
        <v>402482</v>
      </c>
      <c r="B2299" t="s">
        <v>8466</v>
      </c>
      <c r="C2299" t="e">
        <f>VLOOKUP(A2299,[1]Customer_payment_journal_line!$AL:$BO,30,0)</f>
        <v>#N/A</v>
      </c>
      <c r="D2299" t="s">
        <v>159</v>
      </c>
      <c r="E2299" t="s">
        <v>8464</v>
      </c>
      <c r="F2299" t="s">
        <v>8465</v>
      </c>
      <c r="G2299" t="s">
        <v>8297</v>
      </c>
      <c r="H2299" t="s">
        <v>69</v>
      </c>
      <c r="I2299" t="s">
        <v>5663</v>
      </c>
      <c r="J2299" t="s">
        <v>5660</v>
      </c>
      <c r="K2299" t="s">
        <v>8459</v>
      </c>
      <c r="L2299" t="s">
        <v>52</v>
      </c>
      <c r="M2299">
        <v>0</v>
      </c>
      <c r="N2299">
        <v>855</v>
      </c>
      <c r="O2299" t="s">
        <v>61</v>
      </c>
      <c r="P2299">
        <v>100</v>
      </c>
      <c r="Q2299" t="s">
        <v>52</v>
      </c>
      <c r="R2299" t="s">
        <v>52</v>
      </c>
      <c r="S2299" t="s">
        <v>52</v>
      </c>
      <c r="T2299" t="s">
        <v>52</v>
      </c>
      <c r="U2299" t="s">
        <v>52</v>
      </c>
      <c r="V2299" t="s">
        <v>62</v>
      </c>
      <c r="W2299" t="s">
        <v>52</v>
      </c>
      <c r="Y2299" t="s">
        <v>5664</v>
      </c>
      <c r="Z2299" t="s">
        <v>62</v>
      </c>
      <c r="AB2299" t="s">
        <v>8467</v>
      </c>
      <c r="AE2299" t="s">
        <v>8468</v>
      </c>
      <c r="AF2299" t="s">
        <v>52</v>
      </c>
      <c r="AH2299">
        <v>0</v>
      </c>
      <c r="AI2299">
        <v>0</v>
      </c>
      <c r="AJ2299" t="s">
        <v>52</v>
      </c>
      <c r="AK2299">
        <v>0</v>
      </c>
      <c r="AL2299" t="s">
        <v>52</v>
      </c>
      <c r="AM2299" t="s">
        <v>52</v>
      </c>
      <c r="AN2299">
        <v>0</v>
      </c>
      <c r="AO2299">
        <v>0</v>
      </c>
      <c r="AP2299" t="s">
        <v>52</v>
      </c>
      <c r="AQ2299" t="s">
        <v>52</v>
      </c>
      <c r="AR2299" t="s">
        <v>62</v>
      </c>
      <c r="AS2299" t="s">
        <v>52</v>
      </c>
      <c r="AT2299" t="s">
        <v>74</v>
      </c>
      <c r="AU2299" t="s">
        <v>64</v>
      </c>
      <c r="AV2299" t="s">
        <v>62</v>
      </c>
      <c r="AW2299" t="s">
        <v>65</v>
      </c>
      <c r="AX2299" t="s">
        <v>66</v>
      </c>
      <c r="AY2299" t="s">
        <v>165</v>
      </c>
    </row>
    <row r="2300" spans="1:51" hidden="1" x14ac:dyDescent="0.25">
      <c r="A2300">
        <v>402482</v>
      </c>
      <c r="B2300" t="s">
        <v>8469</v>
      </c>
      <c r="C2300" t="e">
        <f>VLOOKUP(A2300,[1]Customer_payment_journal_line!$AL:$BO,30,0)</f>
        <v>#N/A</v>
      </c>
      <c r="D2300" t="s">
        <v>159</v>
      </c>
      <c r="E2300" t="s">
        <v>8464</v>
      </c>
      <c r="F2300" t="s">
        <v>8465</v>
      </c>
      <c r="G2300" t="s">
        <v>8297</v>
      </c>
      <c r="H2300" t="s">
        <v>69</v>
      </c>
      <c r="I2300" t="s">
        <v>5663</v>
      </c>
      <c r="J2300" t="s">
        <v>5660</v>
      </c>
      <c r="K2300" t="s">
        <v>8459</v>
      </c>
      <c r="L2300" t="s">
        <v>52</v>
      </c>
      <c r="M2300">
        <v>0</v>
      </c>
      <c r="N2300">
        <v>1710</v>
      </c>
      <c r="O2300" t="s">
        <v>61</v>
      </c>
      <c r="P2300">
        <v>100</v>
      </c>
      <c r="Q2300" t="s">
        <v>52</v>
      </c>
      <c r="R2300" t="s">
        <v>52</v>
      </c>
      <c r="S2300" t="s">
        <v>52</v>
      </c>
      <c r="T2300" t="s">
        <v>52</v>
      </c>
      <c r="U2300" t="s">
        <v>52</v>
      </c>
      <c r="V2300" t="s">
        <v>62</v>
      </c>
      <c r="W2300" t="s">
        <v>52</v>
      </c>
      <c r="Y2300" t="s">
        <v>5664</v>
      </c>
      <c r="Z2300" t="s">
        <v>62</v>
      </c>
      <c r="AB2300" t="s">
        <v>8470</v>
      </c>
      <c r="AE2300" t="s">
        <v>8471</v>
      </c>
      <c r="AF2300" t="s">
        <v>52</v>
      </c>
      <c r="AH2300">
        <v>0</v>
      </c>
      <c r="AI2300">
        <v>0</v>
      </c>
      <c r="AJ2300" t="s">
        <v>52</v>
      </c>
      <c r="AK2300">
        <v>0</v>
      </c>
      <c r="AL2300" t="s">
        <v>52</v>
      </c>
      <c r="AM2300" t="s">
        <v>52</v>
      </c>
      <c r="AN2300">
        <v>0</v>
      </c>
      <c r="AO2300">
        <v>0</v>
      </c>
      <c r="AP2300" t="s">
        <v>52</v>
      </c>
      <c r="AQ2300" t="s">
        <v>52</v>
      </c>
      <c r="AR2300" t="s">
        <v>62</v>
      </c>
      <c r="AS2300" t="s">
        <v>52</v>
      </c>
      <c r="AT2300" t="s">
        <v>74</v>
      </c>
      <c r="AU2300" t="s">
        <v>64</v>
      </c>
      <c r="AV2300" t="s">
        <v>62</v>
      </c>
      <c r="AW2300" t="s">
        <v>65</v>
      </c>
      <c r="AX2300" t="s">
        <v>66</v>
      </c>
      <c r="AY2300" t="s">
        <v>165</v>
      </c>
    </row>
    <row r="2301" spans="1:51" hidden="1" x14ac:dyDescent="0.25">
      <c r="A2301">
        <v>403736</v>
      </c>
      <c r="B2301" t="s">
        <v>8472</v>
      </c>
      <c r="C2301" t="e">
        <f>VLOOKUP(A2301,[1]Customer_payment_journal_line!$AL:$BO,30,0)</f>
        <v>#N/A</v>
      </c>
      <c r="D2301" t="s">
        <v>76</v>
      </c>
      <c r="E2301" t="s">
        <v>8473</v>
      </c>
      <c r="F2301" t="s">
        <v>8474</v>
      </c>
      <c r="G2301" t="s">
        <v>8297</v>
      </c>
      <c r="H2301" t="s">
        <v>80</v>
      </c>
      <c r="I2301" t="s">
        <v>81</v>
      </c>
      <c r="J2301" t="s">
        <v>8475</v>
      </c>
      <c r="K2301" t="s">
        <v>8476</v>
      </c>
      <c r="L2301" t="s">
        <v>52</v>
      </c>
      <c r="M2301">
        <v>5415</v>
      </c>
      <c r="N2301">
        <v>0</v>
      </c>
      <c r="O2301" t="s">
        <v>61</v>
      </c>
      <c r="P2301">
        <v>100</v>
      </c>
      <c r="Q2301" t="s">
        <v>52</v>
      </c>
      <c r="R2301" t="s">
        <v>52</v>
      </c>
      <c r="S2301" t="s">
        <v>52</v>
      </c>
      <c r="T2301" t="s">
        <v>52</v>
      </c>
      <c r="U2301" t="s">
        <v>52</v>
      </c>
      <c r="V2301" t="s">
        <v>62</v>
      </c>
      <c r="W2301" t="s">
        <v>52</v>
      </c>
      <c r="Y2301" t="s">
        <v>52</v>
      </c>
      <c r="AB2301" t="s">
        <v>52</v>
      </c>
      <c r="AE2301" t="s">
        <v>52</v>
      </c>
      <c r="AF2301" t="s">
        <v>52</v>
      </c>
      <c r="AH2301">
        <v>0</v>
      </c>
      <c r="AI2301">
        <v>0</v>
      </c>
      <c r="AJ2301" t="s">
        <v>52</v>
      </c>
      <c r="AK2301">
        <v>0</v>
      </c>
      <c r="AL2301" t="s">
        <v>52</v>
      </c>
      <c r="AM2301" t="s">
        <v>52</v>
      </c>
      <c r="AN2301">
        <v>0</v>
      </c>
      <c r="AO2301">
        <v>0</v>
      </c>
      <c r="AP2301" t="s">
        <v>52</v>
      </c>
      <c r="AQ2301" t="s">
        <v>52</v>
      </c>
      <c r="AR2301" t="s">
        <v>62</v>
      </c>
      <c r="AS2301" t="s">
        <v>52</v>
      </c>
      <c r="AT2301" t="s">
        <v>52</v>
      </c>
      <c r="AU2301" t="s">
        <v>64</v>
      </c>
      <c r="AV2301" t="s">
        <v>62</v>
      </c>
      <c r="AW2301" t="s">
        <v>65</v>
      </c>
      <c r="AX2301" t="s">
        <v>66</v>
      </c>
      <c r="AY2301" t="s">
        <v>76</v>
      </c>
    </row>
    <row r="2302" spans="1:51" hidden="1" x14ac:dyDescent="0.25">
      <c r="A2302">
        <v>403736</v>
      </c>
      <c r="B2302" t="s">
        <v>8477</v>
      </c>
      <c r="C2302" t="e">
        <f>VLOOKUP(A2302,[1]Customer_payment_journal_line!$AL:$BO,30,0)</f>
        <v>#N/A</v>
      </c>
      <c r="D2302" t="s">
        <v>76</v>
      </c>
      <c r="E2302" t="s">
        <v>8473</v>
      </c>
      <c r="F2302" t="s">
        <v>8474</v>
      </c>
      <c r="G2302" t="s">
        <v>8297</v>
      </c>
      <c r="H2302" t="s">
        <v>69</v>
      </c>
      <c r="I2302" t="s">
        <v>8478</v>
      </c>
      <c r="J2302" t="s">
        <v>8475</v>
      </c>
      <c r="K2302" t="s">
        <v>8476</v>
      </c>
      <c r="L2302" t="s">
        <v>52</v>
      </c>
      <c r="M2302">
        <v>0</v>
      </c>
      <c r="N2302">
        <v>855</v>
      </c>
      <c r="O2302" t="s">
        <v>61</v>
      </c>
      <c r="P2302">
        <v>100</v>
      </c>
      <c r="Q2302" t="s">
        <v>52</v>
      </c>
      <c r="R2302" t="s">
        <v>52</v>
      </c>
      <c r="S2302" t="s">
        <v>52</v>
      </c>
      <c r="T2302" t="s">
        <v>52</v>
      </c>
      <c r="U2302" t="s">
        <v>52</v>
      </c>
      <c r="V2302" t="s">
        <v>62</v>
      </c>
      <c r="W2302" t="s">
        <v>52</v>
      </c>
      <c r="Y2302" t="s">
        <v>8479</v>
      </c>
      <c r="Z2302" t="s">
        <v>62</v>
      </c>
      <c r="AB2302" t="s">
        <v>8480</v>
      </c>
      <c r="AE2302" t="s">
        <v>8481</v>
      </c>
      <c r="AF2302" t="s">
        <v>52</v>
      </c>
      <c r="AH2302">
        <v>0</v>
      </c>
      <c r="AI2302">
        <v>0</v>
      </c>
      <c r="AJ2302" t="s">
        <v>52</v>
      </c>
      <c r="AK2302">
        <v>0</v>
      </c>
      <c r="AL2302" t="s">
        <v>52</v>
      </c>
      <c r="AM2302" t="s">
        <v>52</v>
      </c>
      <c r="AN2302">
        <v>0</v>
      </c>
      <c r="AO2302">
        <v>0</v>
      </c>
      <c r="AP2302" t="s">
        <v>52</v>
      </c>
      <c r="AQ2302" t="s">
        <v>52</v>
      </c>
      <c r="AR2302" t="s">
        <v>62</v>
      </c>
      <c r="AS2302" t="s">
        <v>52</v>
      </c>
      <c r="AT2302" t="s">
        <v>74</v>
      </c>
      <c r="AU2302" t="s">
        <v>64</v>
      </c>
      <c r="AV2302" t="s">
        <v>62</v>
      </c>
      <c r="AW2302" t="s">
        <v>65</v>
      </c>
      <c r="AX2302" t="s">
        <v>66</v>
      </c>
      <c r="AY2302" t="s">
        <v>76</v>
      </c>
    </row>
    <row r="2303" spans="1:51" hidden="1" x14ac:dyDescent="0.25">
      <c r="A2303">
        <v>403736</v>
      </c>
      <c r="B2303" t="s">
        <v>8482</v>
      </c>
      <c r="C2303" t="e">
        <f>VLOOKUP(A2303,[1]Customer_payment_journal_line!$AL:$BO,30,0)</f>
        <v>#N/A</v>
      </c>
      <c r="D2303" t="s">
        <v>76</v>
      </c>
      <c r="E2303" t="s">
        <v>8473</v>
      </c>
      <c r="F2303" t="s">
        <v>8474</v>
      </c>
      <c r="G2303" t="s">
        <v>8297</v>
      </c>
      <c r="H2303" t="s">
        <v>69</v>
      </c>
      <c r="I2303" t="s">
        <v>8478</v>
      </c>
      <c r="J2303" t="s">
        <v>8475</v>
      </c>
      <c r="K2303" t="s">
        <v>8476</v>
      </c>
      <c r="L2303" t="s">
        <v>52</v>
      </c>
      <c r="M2303">
        <v>0</v>
      </c>
      <c r="N2303">
        <v>4560</v>
      </c>
      <c r="O2303" t="s">
        <v>61</v>
      </c>
      <c r="P2303">
        <v>100</v>
      </c>
      <c r="Q2303" t="s">
        <v>52</v>
      </c>
      <c r="R2303" t="s">
        <v>52</v>
      </c>
      <c r="S2303" t="s">
        <v>52</v>
      </c>
      <c r="T2303" t="s">
        <v>52</v>
      </c>
      <c r="U2303" t="s">
        <v>52</v>
      </c>
      <c r="V2303" t="s">
        <v>62</v>
      </c>
      <c r="W2303" t="s">
        <v>52</v>
      </c>
      <c r="Y2303" t="s">
        <v>8479</v>
      </c>
      <c r="Z2303" t="s">
        <v>62</v>
      </c>
      <c r="AB2303" t="s">
        <v>8483</v>
      </c>
      <c r="AE2303" t="s">
        <v>8484</v>
      </c>
      <c r="AF2303" t="s">
        <v>52</v>
      </c>
      <c r="AH2303">
        <v>0</v>
      </c>
      <c r="AI2303">
        <v>0</v>
      </c>
      <c r="AJ2303" t="s">
        <v>52</v>
      </c>
      <c r="AK2303">
        <v>0</v>
      </c>
      <c r="AL2303" t="s">
        <v>52</v>
      </c>
      <c r="AM2303" t="s">
        <v>52</v>
      </c>
      <c r="AN2303">
        <v>0</v>
      </c>
      <c r="AO2303">
        <v>0</v>
      </c>
      <c r="AP2303" t="s">
        <v>52</v>
      </c>
      <c r="AQ2303" t="s">
        <v>52</v>
      </c>
      <c r="AR2303" t="s">
        <v>62</v>
      </c>
      <c r="AS2303" t="s">
        <v>52</v>
      </c>
      <c r="AT2303" t="s">
        <v>74</v>
      </c>
      <c r="AU2303" t="s">
        <v>64</v>
      </c>
      <c r="AV2303" t="s">
        <v>62</v>
      </c>
      <c r="AW2303" t="s">
        <v>65</v>
      </c>
      <c r="AX2303" t="s">
        <v>66</v>
      </c>
      <c r="AY2303" t="s">
        <v>76</v>
      </c>
    </row>
    <row r="2304" spans="1:51" hidden="1" x14ac:dyDescent="0.25">
      <c r="A2304">
        <v>406262</v>
      </c>
      <c r="B2304" t="s">
        <v>8485</v>
      </c>
      <c r="C2304" t="e">
        <f>VLOOKUP(A2304,[1]Customer_payment_journal_line!$AL:$BO,30,0)</f>
        <v>#N/A</v>
      </c>
      <c r="D2304" t="s">
        <v>76</v>
      </c>
      <c r="E2304" t="s">
        <v>8486</v>
      </c>
      <c r="F2304" t="s">
        <v>8487</v>
      </c>
      <c r="G2304" t="s">
        <v>8297</v>
      </c>
      <c r="H2304" t="s">
        <v>80</v>
      </c>
      <c r="I2304" t="s">
        <v>81</v>
      </c>
      <c r="J2304" t="s">
        <v>8488</v>
      </c>
      <c r="K2304" t="s">
        <v>3671</v>
      </c>
      <c r="L2304" t="s">
        <v>52</v>
      </c>
      <c r="M2304">
        <v>1260.8399999999999</v>
      </c>
      <c r="N2304">
        <v>0</v>
      </c>
      <c r="O2304" t="s">
        <v>61</v>
      </c>
      <c r="P2304">
        <v>100</v>
      </c>
      <c r="Q2304" t="s">
        <v>52</v>
      </c>
      <c r="R2304" t="s">
        <v>52</v>
      </c>
      <c r="S2304" t="s">
        <v>52</v>
      </c>
      <c r="T2304" t="s">
        <v>52</v>
      </c>
      <c r="U2304" t="s">
        <v>52</v>
      </c>
      <c r="V2304" t="s">
        <v>62</v>
      </c>
      <c r="W2304" t="s">
        <v>52</v>
      </c>
      <c r="Y2304" t="s">
        <v>52</v>
      </c>
      <c r="AB2304" t="s">
        <v>52</v>
      </c>
      <c r="AE2304" t="s">
        <v>52</v>
      </c>
      <c r="AF2304" t="s">
        <v>52</v>
      </c>
      <c r="AH2304">
        <v>0</v>
      </c>
      <c r="AI2304">
        <v>0</v>
      </c>
      <c r="AJ2304" t="s">
        <v>52</v>
      </c>
      <c r="AK2304">
        <v>0</v>
      </c>
      <c r="AL2304" t="s">
        <v>52</v>
      </c>
      <c r="AM2304" t="s">
        <v>52</v>
      </c>
      <c r="AN2304">
        <v>0</v>
      </c>
      <c r="AO2304">
        <v>0</v>
      </c>
      <c r="AP2304" t="s">
        <v>52</v>
      </c>
      <c r="AQ2304" t="s">
        <v>52</v>
      </c>
      <c r="AR2304" t="s">
        <v>62</v>
      </c>
      <c r="AS2304" t="s">
        <v>52</v>
      </c>
      <c r="AT2304" t="s">
        <v>52</v>
      </c>
      <c r="AU2304" t="s">
        <v>64</v>
      </c>
      <c r="AV2304" t="s">
        <v>62</v>
      </c>
      <c r="AW2304" t="s">
        <v>65</v>
      </c>
      <c r="AX2304" t="s">
        <v>66</v>
      </c>
      <c r="AY2304" t="s">
        <v>76</v>
      </c>
    </row>
    <row r="2305" spans="1:51" hidden="1" x14ac:dyDescent="0.25">
      <c r="A2305">
        <v>406262</v>
      </c>
      <c r="B2305" t="s">
        <v>8489</v>
      </c>
      <c r="C2305" t="e">
        <f>VLOOKUP(A2305,[1]Customer_payment_journal_line!$AL:$BO,30,0)</f>
        <v>#N/A</v>
      </c>
      <c r="D2305" t="s">
        <v>76</v>
      </c>
      <c r="E2305" t="s">
        <v>8486</v>
      </c>
      <c r="F2305" t="s">
        <v>8487</v>
      </c>
      <c r="G2305" t="s">
        <v>8297</v>
      </c>
      <c r="H2305" t="s">
        <v>69</v>
      </c>
      <c r="I2305" t="s">
        <v>3673</v>
      </c>
      <c r="J2305" t="s">
        <v>8488</v>
      </c>
      <c r="K2305" t="s">
        <v>3671</v>
      </c>
      <c r="L2305" t="s">
        <v>52</v>
      </c>
      <c r="M2305">
        <v>0</v>
      </c>
      <c r="N2305">
        <v>1260.8399999999999</v>
      </c>
      <c r="O2305" t="s">
        <v>61</v>
      </c>
      <c r="P2305">
        <v>100</v>
      </c>
      <c r="Q2305" t="s">
        <v>52</v>
      </c>
      <c r="R2305" t="s">
        <v>52</v>
      </c>
      <c r="S2305" t="s">
        <v>52</v>
      </c>
      <c r="T2305" t="s">
        <v>52</v>
      </c>
      <c r="U2305" t="s">
        <v>52</v>
      </c>
      <c r="V2305" t="s">
        <v>62</v>
      </c>
      <c r="W2305" t="s">
        <v>52</v>
      </c>
      <c r="Y2305" t="s">
        <v>3674</v>
      </c>
      <c r="Z2305" t="s">
        <v>62</v>
      </c>
      <c r="AB2305" t="s">
        <v>8490</v>
      </c>
      <c r="AE2305" t="s">
        <v>8491</v>
      </c>
      <c r="AF2305" t="s">
        <v>52</v>
      </c>
      <c r="AH2305">
        <v>0</v>
      </c>
      <c r="AI2305">
        <v>0</v>
      </c>
      <c r="AJ2305" t="s">
        <v>52</v>
      </c>
      <c r="AK2305">
        <v>0</v>
      </c>
      <c r="AL2305" t="s">
        <v>52</v>
      </c>
      <c r="AM2305" t="s">
        <v>52</v>
      </c>
      <c r="AN2305">
        <v>0</v>
      </c>
      <c r="AO2305">
        <v>0</v>
      </c>
      <c r="AP2305" t="s">
        <v>52</v>
      </c>
      <c r="AQ2305" t="s">
        <v>52</v>
      </c>
      <c r="AR2305" t="s">
        <v>62</v>
      </c>
      <c r="AS2305" t="s">
        <v>52</v>
      </c>
      <c r="AT2305" t="s">
        <v>74</v>
      </c>
      <c r="AU2305" t="s">
        <v>64</v>
      </c>
      <c r="AV2305" t="s">
        <v>62</v>
      </c>
      <c r="AW2305" t="s">
        <v>65</v>
      </c>
      <c r="AX2305" t="s">
        <v>66</v>
      </c>
      <c r="AY2305" t="s">
        <v>76</v>
      </c>
    </row>
    <row r="2306" spans="1:51" hidden="1" x14ac:dyDescent="0.25">
      <c r="A2306">
        <v>406266</v>
      </c>
      <c r="B2306" t="s">
        <v>8492</v>
      </c>
      <c r="C2306" t="e">
        <f>VLOOKUP(A2306,[1]Customer_payment_journal_line!$AL:$BO,30,0)</f>
        <v>#N/A</v>
      </c>
      <c r="D2306" t="s">
        <v>76</v>
      </c>
      <c r="E2306" t="s">
        <v>8493</v>
      </c>
      <c r="F2306" t="s">
        <v>8494</v>
      </c>
      <c r="G2306" t="s">
        <v>8297</v>
      </c>
      <c r="H2306" t="s">
        <v>80</v>
      </c>
      <c r="I2306" t="s">
        <v>81</v>
      </c>
      <c r="J2306" t="s">
        <v>8488</v>
      </c>
      <c r="K2306" t="s">
        <v>4955</v>
      </c>
      <c r="L2306" t="s">
        <v>52</v>
      </c>
      <c r="M2306">
        <v>4137.8999999999996</v>
      </c>
      <c r="N2306">
        <v>0</v>
      </c>
      <c r="O2306" t="s">
        <v>61</v>
      </c>
      <c r="P2306">
        <v>100</v>
      </c>
      <c r="Q2306" t="s">
        <v>52</v>
      </c>
      <c r="R2306" t="s">
        <v>52</v>
      </c>
      <c r="S2306" t="s">
        <v>52</v>
      </c>
      <c r="T2306" t="s">
        <v>52</v>
      </c>
      <c r="U2306" t="s">
        <v>52</v>
      </c>
      <c r="V2306" t="s">
        <v>62</v>
      </c>
      <c r="W2306" t="s">
        <v>52</v>
      </c>
      <c r="Y2306" t="s">
        <v>52</v>
      </c>
      <c r="AB2306" t="s">
        <v>52</v>
      </c>
      <c r="AE2306" t="s">
        <v>52</v>
      </c>
      <c r="AF2306" t="s">
        <v>52</v>
      </c>
      <c r="AH2306">
        <v>0</v>
      </c>
      <c r="AI2306">
        <v>0</v>
      </c>
      <c r="AJ2306" t="s">
        <v>52</v>
      </c>
      <c r="AK2306">
        <v>0</v>
      </c>
      <c r="AL2306" t="s">
        <v>52</v>
      </c>
      <c r="AM2306" t="s">
        <v>52</v>
      </c>
      <c r="AN2306">
        <v>0</v>
      </c>
      <c r="AO2306">
        <v>0</v>
      </c>
      <c r="AP2306" t="s">
        <v>52</v>
      </c>
      <c r="AQ2306" t="s">
        <v>52</v>
      </c>
      <c r="AR2306" t="s">
        <v>62</v>
      </c>
      <c r="AS2306" t="s">
        <v>52</v>
      </c>
      <c r="AT2306" t="s">
        <v>52</v>
      </c>
      <c r="AU2306" t="s">
        <v>64</v>
      </c>
      <c r="AV2306" t="s">
        <v>62</v>
      </c>
      <c r="AW2306" t="s">
        <v>65</v>
      </c>
      <c r="AX2306" t="s">
        <v>66</v>
      </c>
      <c r="AY2306" t="s">
        <v>76</v>
      </c>
    </row>
    <row r="2307" spans="1:51" hidden="1" x14ac:dyDescent="0.25">
      <c r="A2307">
        <v>406266</v>
      </c>
      <c r="B2307" t="s">
        <v>8495</v>
      </c>
      <c r="C2307" t="e">
        <f>VLOOKUP(A2307,[1]Customer_payment_journal_line!$AL:$BO,30,0)</f>
        <v>#N/A</v>
      </c>
      <c r="D2307" t="s">
        <v>76</v>
      </c>
      <c r="E2307" t="s">
        <v>8493</v>
      </c>
      <c r="F2307" t="s">
        <v>8494</v>
      </c>
      <c r="G2307" t="s">
        <v>8297</v>
      </c>
      <c r="H2307" t="s">
        <v>69</v>
      </c>
      <c r="I2307" t="s">
        <v>3673</v>
      </c>
      <c r="J2307" t="s">
        <v>8488</v>
      </c>
      <c r="K2307" t="s">
        <v>4955</v>
      </c>
      <c r="L2307" t="s">
        <v>52</v>
      </c>
      <c r="M2307">
        <v>0</v>
      </c>
      <c r="N2307">
        <v>3488.4</v>
      </c>
      <c r="O2307" t="s">
        <v>61</v>
      </c>
      <c r="P2307">
        <v>100</v>
      </c>
      <c r="Q2307" t="s">
        <v>52</v>
      </c>
      <c r="R2307" t="s">
        <v>52</v>
      </c>
      <c r="S2307" t="s">
        <v>52</v>
      </c>
      <c r="T2307" t="s">
        <v>52</v>
      </c>
      <c r="U2307" t="s">
        <v>52</v>
      </c>
      <c r="V2307" t="s">
        <v>62</v>
      </c>
      <c r="W2307" t="s">
        <v>52</v>
      </c>
      <c r="Y2307" t="s">
        <v>3674</v>
      </c>
      <c r="Z2307" t="s">
        <v>62</v>
      </c>
      <c r="AB2307" t="s">
        <v>8496</v>
      </c>
      <c r="AE2307" t="s">
        <v>8497</v>
      </c>
      <c r="AF2307" t="s">
        <v>52</v>
      </c>
      <c r="AH2307">
        <v>0</v>
      </c>
      <c r="AI2307">
        <v>0</v>
      </c>
      <c r="AJ2307" t="s">
        <v>52</v>
      </c>
      <c r="AK2307">
        <v>0</v>
      </c>
      <c r="AL2307" t="s">
        <v>52</v>
      </c>
      <c r="AM2307" t="s">
        <v>52</v>
      </c>
      <c r="AN2307">
        <v>0</v>
      </c>
      <c r="AO2307">
        <v>0</v>
      </c>
      <c r="AP2307" t="s">
        <v>52</v>
      </c>
      <c r="AQ2307" t="s">
        <v>52</v>
      </c>
      <c r="AR2307" t="s">
        <v>62</v>
      </c>
      <c r="AS2307" t="s">
        <v>52</v>
      </c>
      <c r="AT2307" t="s">
        <v>74</v>
      </c>
      <c r="AU2307" t="s">
        <v>64</v>
      </c>
      <c r="AV2307" t="s">
        <v>62</v>
      </c>
      <c r="AW2307" t="s">
        <v>65</v>
      </c>
      <c r="AX2307" t="s">
        <v>66</v>
      </c>
      <c r="AY2307" t="s">
        <v>76</v>
      </c>
    </row>
    <row r="2308" spans="1:51" hidden="1" x14ac:dyDescent="0.25">
      <c r="A2308">
        <v>406266</v>
      </c>
      <c r="B2308" t="s">
        <v>8498</v>
      </c>
      <c r="C2308" t="e">
        <f>VLOOKUP(A2308,[1]Customer_payment_journal_line!$AL:$BO,30,0)</f>
        <v>#N/A</v>
      </c>
      <c r="D2308" t="s">
        <v>76</v>
      </c>
      <c r="E2308" t="s">
        <v>8493</v>
      </c>
      <c r="F2308" t="s">
        <v>8494</v>
      </c>
      <c r="G2308" t="s">
        <v>8297</v>
      </c>
      <c r="H2308" t="s">
        <v>69</v>
      </c>
      <c r="I2308" t="s">
        <v>3673</v>
      </c>
      <c r="J2308" t="s">
        <v>8488</v>
      </c>
      <c r="K2308" t="s">
        <v>4955</v>
      </c>
      <c r="L2308" t="s">
        <v>52</v>
      </c>
      <c r="M2308">
        <v>0</v>
      </c>
      <c r="N2308">
        <v>649.5</v>
      </c>
      <c r="O2308" t="s">
        <v>61</v>
      </c>
      <c r="P2308">
        <v>100</v>
      </c>
      <c r="Q2308" t="s">
        <v>52</v>
      </c>
      <c r="R2308" t="s">
        <v>52</v>
      </c>
      <c r="S2308" t="s">
        <v>52</v>
      </c>
      <c r="T2308" t="s">
        <v>52</v>
      </c>
      <c r="U2308" t="s">
        <v>52</v>
      </c>
      <c r="V2308" t="s">
        <v>62</v>
      </c>
      <c r="W2308" t="s">
        <v>52</v>
      </c>
      <c r="Y2308" t="s">
        <v>3674</v>
      </c>
      <c r="Z2308" t="s">
        <v>62</v>
      </c>
      <c r="AB2308" t="s">
        <v>8499</v>
      </c>
      <c r="AE2308" t="s">
        <v>8500</v>
      </c>
      <c r="AF2308" t="s">
        <v>52</v>
      </c>
      <c r="AH2308">
        <v>0</v>
      </c>
      <c r="AI2308">
        <v>0</v>
      </c>
      <c r="AJ2308" t="s">
        <v>52</v>
      </c>
      <c r="AK2308">
        <v>0</v>
      </c>
      <c r="AL2308" t="s">
        <v>52</v>
      </c>
      <c r="AM2308" t="s">
        <v>52</v>
      </c>
      <c r="AN2308">
        <v>0</v>
      </c>
      <c r="AO2308">
        <v>0</v>
      </c>
      <c r="AP2308" t="s">
        <v>52</v>
      </c>
      <c r="AQ2308" t="s">
        <v>52</v>
      </c>
      <c r="AR2308" t="s">
        <v>62</v>
      </c>
      <c r="AS2308" t="s">
        <v>52</v>
      </c>
      <c r="AT2308" t="s">
        <v>74</v>
      </c>
      <c r="AU2308" t="s">
        <v>64</v>
      </c>
      <c r="AV2308" t="s">
        <v>62</v>
      </c>
      <c r="AW2308" t="s">
        <v>65</v>
      </c>
      <c r="AX2308" t="s">
        <v>66</v>
      </c>
      <c r="AY2308" t="s">
        <v>76</v>
      </c>
    </row>
    <row r="2309" spans="1:51" hidden="1" x14ac:dyDescent="0.25">
      <c r="A2309">
        <v>406275</v>
      </c>
      <c r="B2309" t="s">
        <v>8501</v>
      </c>
      <c r="C2309" t="e">
        <f>VLOOKUP(A2309,[1]Customer_payment_journal_line!$AL:$BO,30,0)</f>
        <v>#N/A</v>
      </c>
      <c r="D2309" t="s">
        <v>76</v>
      </c>
      <c r="E2309" t="s">
        <v>8502</v>
      </c>
      <c r="F2309" t="s">
        <v>8503</v>
      </c>
      <c r="G2309" t="s">
        <v>8297</v>
      </c>
      <c r="H2309" t="s">
        <v>80</v>
      </c>
      <c r="I2309" t="s">
        <v>81</v>
      </c>
      <c r="J2309" t="s">
        <v>8504</v>
      </c>
      <c r="K2309" t="s">
        <v>6359</v>
      </c>
      <c r="L2309" t="s">
        <v>52</v>
      </c>
      <c r="M2309">
        <v>1208.4000000000001</v>
      </c>
      <c r="N2309">
        <v>0</v>
      </c>
      <c r="O2309" t="s">
        <v>61</v>
      </c>
      <c r="P2309">
        <v>100</v>
      </c>
      <c r="Q2309" t="s">
        <v>52</v>
      </c>
      <c r="R2309" t="s">
        <v>52</v>
      </c>
      <c r="S2309" t="s">
        <v>52</v>
      </c>
      <c r="T2309" t="s">
        <v>52</v>
      </c>
      <c r="U2309" t="s">
        <v>52</v>
      </c>
      <c r="V2309" t="s">
        <v>62</v>
      </c>
      <c r="W2309" t="s">
        <v>52</v>
      </c>
      <c r="Y2309" t="s">
        <v>52</v>
      </c>
      <c r="AB2309" t="s">
        <v>52</v>
      </c>
      <c r="AE2309" t="s">
        <v>52</v>
      </c>
      <c r="AF2309" t="s">
        <v>52</v>
      </c>
      <c r="AH2309">
        <v>0</v>
      </c>
      <c r="AI2309">
        <v>0</v>
      </c>
      <c r="AJ2309" t="s">
        <v>52</v>
      </c>
      <c r="AK2309">
        <v>0</v>
      </c>
      <c r="AL2309" t="s">
        <v>52</v>
      </c>
      <c r="AM2309" t="s">
        <v>52</v>
      </c>
      <c r="AN2309">
        <v>0</v>
      </c>
      <c r="AO2309">
        <v>0</v>
      </c>
      <c r="AP2309" t="s">
        <v>52</v>
      </c>
      <c r="AQ2309" t="s">
        <v>52</v>
      </c>
      <c r="AR2309" t="s">
        <v>62</v>
      </c>
      <c r="AS2309" t="s">
        <v>52</v>
      </c>
      <c r="AT2309" t="s">
        <v>52</v>
      </c>
      <c r="AU2309" t="s">
        <v>64</v>
      </c>
      <c r="AV2309" t="s">
        <v>62</v>
      </c>
      <c r="AW2309" t="s">
        <v>65</v>
      </c>
      <c r="AX2309" t="s">
        <v>66</v>
      </c>
      <c r="AY2309" t="s">
        <v>76</v>
      </c>
    </row>
    <row r="2310" spans="1:51" hidden="1" x14ac:dyDescent="0.25">
      <c r="A2310">
        <v>406275</v>
      </c>
      <c r="B2310" t="s">
        <v>8505</v>
      </c>
      <c r="C2310" t="e">
        <f>VLOOKUP(A2310,[1]Customer_payment_journal_line!$AL:$BO,30,0)</f>
        <v>#N/A</v>
      </c>
      <c r="D2310" t="s">
        <v>76</v>
      </c>
      <c r="E2310" t="s">
        <v>8502</v>
      </c>
      <c r="F2310" t="s">
        <v>8503</v>
      </c>
      <c r="G2310" t="s">
        <v>8297</v>
      </c>
      <c r="H2310" t="s">
        <v>69</v>
      </c>
      <c r="I2310" t="s">
        <v>6361</v>
      </c>
      <c r="J2310" t="s">
        <v>8504</v>
      </c>
      <c r="K2310" t="s">
        <v>6359</v>
      </c>
      <c r="L2310" t="s">
        <v>52</v>
      </c>
      <c r="M2310">
        <v>0</v>
      </c>
      <c r="N2310">
        <v>1208.4000000000001</v>
      </c>
      <c r="O2310" t="s">
        <v>61</v>
      </c>
      <c r="P2310">
        <v>100</v>
      </c>
      <c r="Q2310" t="s">
        <v>52</v>
      </c>
      <c r="R2310" t="s">
        <v>52</v>
      </c>
      <c r="S2310" t="s">
        <v>52</v>
      </c>
      <c r="T2310" t="s">
        <v>52</v>
      </c>
      <c r="U2310" t="s">
        <v>52</v>
      </c>
      <c r="V2310" t="s">
        <v>62</v>
      </c>
      <c r="W2310" t="s">
        <v>52</v>
      </c>
      <c r="Y2310" t="s">
        <v>6362</v>
      </c>
      <c r="Z2310" t="s">
        <v>62</v>
      </c>
      <c r="AB2310" t="s">
        <v>8506</v>
      </c>
      <c r="AE2310" t="s">
        <v>8507</v>
      </c>
      <c r="AF2310" t="s">
        <v>52</v>
      </c>
      <c r="AH2310">
        <v>0</v>
      </c>
      <c r="AI2310">
        <v>0</v>
      </c>
      <c r="AJ2310" t="s">
        <v>52</v>
      </c>
      <c r="AK2310">
        <v>0</v>
      </c>
      <c r="AL2310" t="s">
        <v>52</v>
      </c>
      <c r="AM2310" t="s">
        <v>52</v>
      </c>
      <c r="AN2310">
        <v>0</v>
      </c>
      <c r="AO2310">
        <v>0</v>
      </c>
      <c r="AP2310" t="s">
        <v>52</v>
      </c>
      <c r="AQ2310" t="s">
        <v>52</v>
      </c>
      <c r="AR2310" t="s">
        <v>62</v>
      </c>
      <c r="AS2310" t="s">
        <v>52</v>
      </c>
      <c r="AT2310" t="s">
        <v>74</v>
      </c>
      <c r="AU2310" t="s">
        <v>64</v>
      </c>
      <c r="AV2310" t="s">
        <v>62</v>
      </c>
      <c r="AW2310" t="s">
        <v>65</v>
      </c>
      <c r="AX2310" t="s">
        <v>66</v>
      </c>
      <c r="AY2310" t="s">
        <v>76</v>
      </c>
    </row>
    <row r="2311" spans="1:51" hidden="1" x14ac:dyDescent="0.25">
      <c r="A2311">
        <v>406276</v>
      </c>
      <c r="B2311" t="s">
        <v>8508</v>
      </c>
      <c r="C2311" t="e">
        <f>VLOOKUP(A2311,[1]Customer_payment_journal_line!$AL:$BO,30,0)</f>
        <v>#N/A</v>
      </c>
      <c r="D2311" t="s">
        <v>159</v>
      </c>
      <c r="E2311" t="s">
        <v>8509</v>
      </c>
      <c r="F2311" t="s">
        <v>8510</v>
      </c>
      <c r="G2311" t="s">
        <v>8297</v>
      </c>
      <c r="H2311" t="s">
        <v>80</v>
      </c>
      <c r="I2311" t="s">
        <v>162</v>
      </c>
      <c r="J2311" t="s">
        <v>8511</v>
      </c>
      <c r="K2311" t="s">
        <v>8512</v>
      </c>
      <c r="L2311" t="s">
        <v>52</v>
      </c>
      <c r="M2311">
        <v>1710</v>
      </c>
      <c r="N2311">
        <v>0</v>
      </c>
      <c r="O2311" t="s">
        <v>61</v>
      </c>
      <c r="P2311">
        <v>100</v>
      </c>
      <c r="Q2311" t="s">
        <v>52</v>
      </c>
      <c r="R2311" t="s">
        <v>52</v>
      </c>
      <c r="S2311" t="s">
        <v>52</v>
      </c>
      <c r="T2311" t="s">
        <v>52</v>
      </c>
      <c r="U2311" t="s">
        <v>52</v>
      </c>
      <c r="V2311" t="s">
        <v>62</v>
      </c>
      <c r="W2311" t="s">
        <v>52</v>
      </c>
      <c r="Y2311" t="s">
        <v>52</v>
      </c>
      <c r="AB2311" t="s">
        <v>52</v>
      </c>
      <c r="AE2311" t="s">
        <v>52</v>
      </c>
      <c r="AF2311" t="s">
        <v>52</v>
      </c>
      <c r="AG2311" t="s">
        <v>5213</v>
      </c>
      <c r="AH2311">
        <v>0</v>
      </c>
      <c r="AI2311">
        <v>0</v>
      </c>
      <c r="AJ2311" t="s">
        <v>52</v>
      </c>
      <c r="AK2311">
        <v>0</v>
      </c>
      <c r="AL2311" t="s">
        <v>52</v>
      </c>
      <c r="AM2311" t="s">
        <v>52</v>
      </c>
      <c r="AN2311">
        <v>0</v>
      </c>
      <c r="AO2311">
        <v>0</v>
      </c>
      <c r="AP2311" t="s">
        <v>52</v>
      </c>
      <c r="AQ2311" t="s">
        <v>52</v>
      </c>
      <c r="AR2311" t="s">
        <v>62</v>
      </c>
      <c r="AS2311" t="s">
        <v>52</v>
      </c>
      <c r="AT2311" t="s">
        <v>52</v>
      </c>
      <c r="AU2311" t="s">
        <v>64</v>
      </c>
      <c r="AV2311" t="s">
        <v>62</v>
      </c>
      <c r="AW2311" t="s">
        <v>65</v>
      </c>
      <c r="AX2311" t="s">
        <v>66</v>
      </c>
      <c r="AY2311" t="s">
        <v>165</v>
      </c>
    </row>
    <row r="2312" spans="1:51" hidden="1" x14ac:dyDescent="0.25">
      <c r="A2312">
        <v>406276</v>
      </c>
      <c r="B2312" t="s">
        <v>8513</v>
      </c>
      <c r="C2312" t="e">
        <f>VLOOKUP(A2312,[1]Customer_payment_journal_line!$AL:$BO,30,0)</f>
        <v>#N/A</v>
      </c>
      <c r="D2312" t="s">
        <v>159</v>
      </c>
      <c r="E2312" t="s">
        <v>8509</v>
      </c>
      <c r="F2312" t="s">
        <v>8510</v>
      </c>
      <c r="G2312" t="s">
        <v>8297</v>
      </c>
      <c r="H2312" t="s">
        <v>69</v>
      </c>
      <c r="I2312" t="s">
        <v>8514</v>
      </c>
      <c r="J2312" t="s">
        <v>8511</v>
      </c>
      <c r="K2312" t="s">
        <v>8512</v>
      </c>
      <c r="L2312" t="s">
        <v>52</v>
      </c>
      <c r="M2312">
        <v>0</v>
      </c>
      <c r="N2312">
        <v>1710</v>
      </c>
      <c r="O2312" t="s">
        <v>61</v>
      </c>
      <c r="P2312">
        <v>100</v>
      </c>
      <c r="Q2312" t="s">
        <v>52</v>
      </c>
      <c r="R2312" t="s">
        <v>52</v>
      </c>
      <c r="S2312" t="s">
        <v>52</v>
      </c>
      <c r="T2312" t="s">
        <v>52</v>
      </c>
      <c r="U2312" t="s">
        <v>52</v>
      </c>
      <c r="V2312" t="s">
        <v>62</v>
      </c>
      <c r="W2312" t="s">
        <v>52</v>
      </c>
      <c r="Y2312" t="s">
        <v>8515</v>
      </c>
      <c r="Z2312" t="s">
        <v>62</v>
      </c>
      <c r="AB2312" t="s">
        <v>8516</v>
      </c>
      <c r="AE2312" t="s">
        <v>8517</v>
      </c>
      <c r="AF2312" t="s">
        <v>52</v>
      </c>
      <c r="AG2312" t="s">
        <v>5213</v>
      </c>
      <c r="AH2312">
        <v>0</v>
      </c>
      <c r="AI2312">
        <v>0</v>
      </c>
      <c r="AJ2312" t="s">
        <v>52</v>
      </c>
      <c r="AK2312">
        <v>0</v>
      </c>
      <c r="AL2312" t="s">
        <v>52</v>
      </c>
      <c r="AM2312" t="s">
        <v>52</v>
      </c>
      <c r="AN2312">
        <v>0</v>
      </c>
      <c r="AO2312">
        <v>0</v>
      </c>
      <c r="AP2312" t="s">
        <v>52</v>
      </c>
      <c r="AQ2312" t="s">
        <v>52</v>
      </c>
      <c r="AR2312" t="s">
        <v>62</v>
      </c>
      <c r="AS2312" t="s">
        <v>52</v>
      </c>
      <c r="AT2312" t="s">
        <v>74</v>
      </c>
      <c r="AU2312" t="s">
        <v>64</v>
      </c>
      <c r="AV2312" t="s">
        <v>62</v>
      </c>
      <c r="AW2312" t="s">
        <v>65</v>
      </c>
      <c r="AX2312" t="s">
        <v>66</v>
      </c>
      <c r="AY2312" t="s">
        <v>165</v>
      </c>
    </row>
    <row r="2313" spans="1:51" hidden="1" x14ac:dyDescent="0.25">
      <c r="A2313">
        <v>406277</v>
      </c>
      <c r="B2313" t="s">
        <v>8518</v>
      </c>
      <c r="C2313" t="e">
        <f>VLOOKUP(A2313,[1]Customer_payment_journal_line!$AL:$BO,30,0)</f>
        <v>#N/A</v>
      </c>
      <c r="D2313" t="s">
        <v>159</v>
      </c>
      <c r="E2313" t="s">
        <v>8519</v>
      </c>
      <c r="F2313" t="s">
        <v>8520</v>
      </c>
      <c r="G2313" t="s">
        <v>8297</v>
      </c>
      <c r="H2313" t="s">
        <v>80</v>
      </c>
      <c r="I2313" t="s">
        <v>162</v>
      </c>
      <c r="J2313" t="s">
        <v>8511</v>
      </c>
      <c r="K2313" t="s">
        <v>8512</v>
      </c>
      <c r="L2313" t="s">
        <v>52</v>
      </c>
      <c r="M2313">
        <v>855</v>
      </c>
      <c r="N2313">
        <v>0</v>
      </c>
      <c r="O2313" t="s">
        <v>61</v>
      </c>
      <c r="P2313">
        <v>100</v>
      </c>
      <c r="Q2313" t="s">
        <v>52</v>
      </c>
      <c r="R2313" t="s">
        <v>52</v>
      </c>
      <c r="S2313" t="s">
        <v>52</v>
      </c>
      <c r="T2313" t="s">
        <v>52</v>
      </c>
      <c r="U2313" t="s">
        <v>52</v>
      </c>
      <c r="V2313" t="s">
        <v>62</v>
      </c>
      <c r="W2313" t="s">
        <v>52</v>
      </c>
      <c r="Y2313" t="s">
        <v>52</v>
      </c>
      <c r="AB2313" t="s">
        <v>52</v>
      </c>
      <c r="AE2313" t="s">
        <v>52</v>
      </c>
      <c r="AF2313" t="s">
        <v>52</v>
      </c>
      <c r="AG2313" t="s">
        <v>5213</v>
      </c>
      <c r="AH2313">
        <v>0</v>
      </c>
      <c r="AI2313">
        <v>0</v>
      </c>
      <c r="AJ2313" t="s">
        <v>52</v>
      </c>
      <c r="AK2313">
        <v>0</v>
      </c>
      <c r="AL2313" t="s">
        <v>52</v>
      </c>
      <c r="AM2313" t="s">
        <v>52</v>
      </c>
      <c r="AN2313">
        <v>0</v>
      </c>
      <c r="AO2313">
        <v>0</v>
      </c>
      <c r="AP2313" t="s">
        <v>52</v>
      </c>
      <c r="AQ2313" t="s">
        <v>52</v>
      </c>
      <c r="AR2313" t="s">
        <v>62</v>
      </c>
      <c r="AS2313" t="s">
        <v>52</v>
      </c>
      <c r="AT2313" t="s">
        <v>52</v>
      </c>
      <c r="AU2313" t="s">
        <v>64</v>
      </c>
      <c r="AV2313" t="s">
        <v>62</v>
      </c>
      <c r="AW2313" t="s">
        <v>65</v>
      </c>
      <c r="AX2313" t="s">
        <v>66</v>
      </c>
      <c r="AY2313" t="s">
        <v>165</v>
      </c>
    </row>
    <row r="2314" spans="1:51" hidden="1" x14ac:dyDescent="0.25">
      <c r="A2314">
        <v>406277</v>
      </c>
      <c r="B2314" t="s">
        <v>8521</v>
      </c>
      <c r="C2314" t="e">
        <f>VLOOKUP(A2314,[1]Customer_payment_journal_line!$AL:$BO,30,0)</f>
        <v>#N/A</v>
      </c>
      <c r="D2314" t="s">
        <v>159</v>
      </c>
      <c r="E2314" t="s">
        <v>8519</v>
      </c>
      <c r="F2314" t="s">
        <v>8520</v>
      </c>
      <c r="G2314" t="s">
        <v>8297</v>
      </c>
      <c r="H2314" t="s">
        <v>69</v>
      </c>
      <c r="I2314" t="s">
        <v>8514</v>
      </c>
      <c r="J2314" t="s">
        <v>8511</v>
      </c>
      <c r="K2314" t="s">
        <v>8512</v>
      </c>
      <c r="L2314" t="s">
        <v>52</v>
      </c>
      <c r="M2314">
        <v>0</v>
      </c>
      <c r="N2314">
        <v>855</v>
      </c>
      <c r="O2314" t="s">
        <v>61</v>
      </c>
      <c r="P2314">
        <v>100</v>
      </c>
      <c r="Q2314" t="s">
        <v>52</v>
      </c>
      <c r="R2314" t="s">
        <v>52</v>
      </c>
      <c r="S2314" t="s">
        <v>52</v>
      </c>
      <c r="T2314" t="s">
        <v>52</v>
      </c>
      <c r="U2314" t="s">
        <v>52</v>
      </c>
      <c r="V2314" t="s">
        <v>62</v>
      </c>
      <c r="W2314" t="s">
        <v>52</v>
      </c>
      <c r="Y2314" t="s">
        <v>8515</v>
      </c>
      <c r="Z2314" t="s">
        <v>62</v>
      </c>
      <c r="AB2314" t="s">
        <v>8522</v>
      </c>
      <c r="AE2314" t="s">
        <v>8523</v>
      </c>
      <c r="AF2314" t="s">
        <v>52</v>
      </c>
      <c r="AG2314" t="s">
        <v>5213</v>
      </c>
      <c r="AH2314">
        <v>0</v>
      </c>
      <c r="AI2314">
        <v>0</v>
      </c>
      <c r="AJ2314" t="s">
        <v>52</v>
      </c>
      <c r="AK2314">
        <v>0</v>
      </c>
      <c r="AL2314" t="s">
        <v>52</v>
      </c>
      <c r="AM2314" t="s">
        <v>52</v>
      </c>
      <c r="AN2314">
        <v>0</v>
      </c>
      <c r="AO2314">
        <v>0</v>
      </c>
      <c r="AP2314" t="s">
        <v>52</v>
      </c>
      <c r="AQ2314" t="s">
        <v>52</v>
      </c>
      <c r="AR2314" t="s">
        <v>62</v>
      </c>
      <c r="AS2314" t="s">
        <v>52</v>
      </c>
      <c r="AT2314" t="s">
        <v>74</v>
      </c>
      <c r="AU2314" t="s">
        <v>64</v>
      </c>
      <c r="AV2314" t="s">
        <v>62</v>
      </c>
      <c r="AW2314" t="s">
        <v>65</v>
      </c>
      <c r="AX2314" t="s">
        <v>66</v>
      </c>
      <c r="AY2314" t="s">
        <v>165</v>
      </c>
    </row>
    <row r="2315" spans="1:51" hidden="1" x14ac:dyDescent="0.25">
      <c r="A2315">
        <v>406278</v>
      </c>
      <c r="B2315" t="s">
        <v>8524</v>
      </c>
      <c r="C2315" t="e">
        <f>VLOOKUP(A2315,[1]Customer_payment_journal_line!$AL:$BO,30,0)</f>
        <v>#N/A</v>
      </c>
      <c r="D2315" t="s">
        <v>159</v>
      </c>
      <c r="E2315" t="s">
        <v>8525</v>
      </c>
      <c r="F2315" t="s">
        <v>8526</v>
      </c>
      <c r="G2315" t="s">
        <v>8297</v>
      </c>
      <c r="H2315" t="s">
        <v>80</v>
      </c>
      <c r="I2315" t="s">
        <v>766</v>
      </c>
      <c r="J2315" t="s">
        <v>8511</v>
      </c>
      <c r="K2315" t="s">
        <v>8512</v>
      </c>
      <c r="L2315" t="s">
        <v>52</v>
      </c>
      <c r="M2315">
        <v>25</v>
      </c>
      <c r="N2315">
        <v>0</v>
      </c>
      <c r="O2315" t="s">
        <v>126</v>
      </c>
      <c r="P2315">
        <v>5285</v>
      </c>
      <c r="Q2315" t="s">
        <v>52</v>
      </c>
      <c r="R2315" t="s">
        <v>52</v>
      </c>
      <c r="S2315" t="s">
        <v>52</v>
      </c>
      <c r="T2315" t="s">
        <v>52</v>
      </c>
      <c r="U2315" t="s">
        <v>52</v>
      </c>
      <c r="V2315" t="s">
        <v>62</v>
      </c>
      <c r="W2315" t="s">
        <v>52</v>
      </c>
      <c r="Y2315" t="s">
        <v>52</v>
      </c>
      <c r="AB2315" t="s">
        <v>52</v>
      </c>
      <c r="AE2315" t="s">
        <v>52</v>
      </c>
      <c r="AF2315" t="s">
        <v>52</v>
      </c>
      <c r="AG2315" t="s">
        <v>5213</v>
      </c>
      <c r="AH2315">
        <v>0</v>
      </c>
      <c r="AI2315">
        <v>0</v>
      </c>
      <c r="AJ2315" t="s">
        <v>52</v>
      </c>
      <c r="AK2315">
        <v>0</v>
      </c>
      <c r="AL2315" t="s">
        <v>52</v>
      </c>
      <c r="AM2315" t="s">
        <v>52</v>
      </c>
      <c r="AN2315">
        <v>0</v>
      </c>
      <c r="AO2315">
        <v>0</v>
      </c>
      <c r="AP2315" t="s">
        <v>52</v>
      </c>
      <c r="AQ2315" t="s">
        <v>52</v>
      </c>
      <c r="AR2315" t="s">
        <v>62</v>
      </c>
      <c r="AS2315" t="s">
        <v>52</v>
      </c>
      <c r="AT2315" t="s">
        <v>52</v>
      </c>
      <c r="AU2315" t="s">
        <v>64</v>
      </c>
      <c r="AV2315" t="s">
        <v>62</v>
      </c>
      <c r="AW2315" t="s">
        <v>65</v>
      </c>
      <c r="AX2315" t="s">
        <v>66</v>
      </c>
      <c r="AY2315" t="s">
        <v>165</v>
      </c>
    </row>
    <row r="2316" spans="1:51" hidden="1" x14ac:dyDescent="0.25">
      <c r="A2316">
        <v>406278</v>
      </c>
      <c r="B2316" t="s">
        <v>8527</v>
      </c>
      <c r="C2316" t="e">
        <f>VLOOKUP(A2316,[1]Customer_payment_journal_line!$AL:$BO,30,0)</f>
        <v>#N/A</v>
      </c>
      <c r="D2316" t="s">
        <v>159</v>
      </c>
      <c r="E2316" t="s">
        <v>8525</v>
      </c>
      <c r="F2316" t="s">
        <v>8526</v>
      </c>
      <c r="G2316" t="s">
        <v>8297</v>
      </c>
      <c r="H2316" t="s">
        <v>69</v>
      </c>
      <c r="I2316" t="s">
        <v>8514</v>
      </c>
      <c r="J2316" t="s">
        <v>8511</v>
      </c>
      <c r="K2316" t="s">
        <v>8512</v>
      </c>
      <c r="L2316" t="s">
        <v>52</v>
      </c>
      <c r="M2316">
        <v>0</v>
      </c>
      <c r="N2316">
        <v>25</v>
      </c>
      <c r="O2316" t="s">
        <v>126</v>
      </c>
      <c r="P2316">
        <v>5285</v>
      </c>
      <c r="Q2316" t="s">
        <v>52</v>
      </c>
      <c r="R2316" t="s">
        <v>52</v>
      </c>
      <c r="S2316" t="s">
        <v>52</v>
      </c>
      <c r="T2316" t="s">
        <v>52</v>
      </c>
      <c r="U2316" t="s">
        <v>52</v>
      </c>
      <c r="V2316" t="s">
        <v>62</v>
      </c>
      <c r="W2316" t="s">
        <v>52</v>
      </c>
      <c r="Y2316" t="s">
        <v>8515</v>
      </c>
      <c r="Z2316" t="s">
        <v>62</v>
      </c>
      <c r="AB2316" t="s">
        <v>8528</v>
      </c>
      <c r="AE2316" t="s">
        <v>8529</v>
      </c>
      <c r="AF2316" t="s">
        <v>52</v>
      </c>
      <c r="AG2316" t="s">
        <v>5213</v>
      </c>
      <c r="AH2316">
        <v>0</v>
      </c>
      <c r="AI2316">
        <v>0</v>
      </c>
      <c r="AJ2316" t="s">
        <v>52</v>
      </c>
      <c r="AK2316">
        <v>0</v>
      </c>
      <c r="AL2316" t="s">
        <v>52</v>
      </c>
      <c r="AM2316" t="s">
        <v>52</v>
      </c>
      <c r="AN2316">
        <v>0</v>
      </c>
      <c r="AO2316">
        <v>0</v>
      </c>
      <c r="AP2316" t="s">
        <v>52</v>
      </c>
      <c r="AQ2316" t="s">
        <v>52</v>
      </c>
      <c r="AR2316" t="s">
        <v>62</v>
      </c>
      <c r="AS2316" t="s">
        <v>52</v>
      </c>
      <c r="AT2316" t="s">
        <v>74</v>
      </c>
      <c r="AU2316" t="s">
        <v>64</v>
      </c>
      <c r="AV2316" t="s">
        <v>62</v>
      </c>
      <c r="AW2316" t="s">
        <v>65</v>
      </c>
      <c r="AX2316" t="s">
        <v>66</v>
      </c>
      <c r="AY2316" t="s">
        <v>165</v>
      </c>
    </row>
    <row r="2317" spans="1:51" hidden="1" x14ac:dyDescent="0.25">
      <c r="A2317">
        <v>406283</v>
      </c>
      <c r="B2317" t="s">
        <v>8530</v>
      </c>
      <c r="C2317" t="e">
        <f>VLOOKUP(A2317,[1]Customer_payment_journal_line!$AL:$BO,30,0)</f>
        <v>#N/A</v>
      </c>
      <c r="D2317" t="s">
        <v>76</v>
      </c>
      <c r="E2317" t="s">
        <v>8531</v>
      </c>
      <c r="F2317" t="s">
        <v>8532</v>
      </c>
      <c r="G2317" t="s">
        <v>8297</v>
      </c>
      <c r="H2317" t="s">
        <v>80</v>
      </c>
      <c r="I2317" t="s">
        <v>81</v>
      </c>
      <c r="J2317" t="s">
        <v>7215</v>
      </c>
      <c r="K2317" t="s">
        <v>4369</v>
      </c>
      <c r="L2317" t="s">
        <v>52</v>
      </c>
      <c r="M2317">
        <v>4250</v>
      </c>
      <c r="N2317">
        <v>0</v>
      </c>
      <c r="O2317" t="s">
        <v>61</v>
      </c>
      <c r="P2317">
        <v>100</v>
      </c>
      <c r="Q2317" t="s">
        <v>52</v>
      </c>
      <c r="R2317" t="s">
        <v>52</v>
      </c>
      <c r="S2317" t="s">
        <v>52</v>
      </c>
      <c r="T2317" t="s">
        <v>52</v>
      </c>
      <c r="U2317" t="s">
        <v>52</v>
      </c>
      <c r="V2317" t="s">
        <v>62</v>
      </c>
      <c r="W2317" t="s">
        <v>52</v>
      </c>
      <c r="Y2317" t="s">
        <v>52</v>
      </c>
      <c r="AB2317" t="s">
        <v>52</v>
      </c>
      <c r="AE2317" t="s">
        <v>52</v>
      </c>
      <c r="AF2317" t="s">
        <v>52</v>
      </c>
      <c r="AH2317">
        <v>0</v>
      </c>
      <c r="AI2317">
        <v>0</v>
      </c>
      <c r="AJ2317" t="s">
        <v>52</v>
      </c>
      <c r="AK2317">
        <v>0</v>
      </c>
      <c r="AL2317" t="s">
        <v>52</v>
      </c>
      <c r="AM2317" t="s">
        <v>52</v>
      </c>
      <c r="AN2317">
        <v>0</v>
      </c>
      <c r="AO2317">
        <v>0</v>
      </c>
      <c r="AP2317" t="s">
        <v>52</v>
      </c>
      <c r="AQ2317" t="s">
        <v>52</v>
      </c>
      <c r="AR2317" t="s">
        <v>62</v>
      </c>
      <c r="AS2317" t="s">
        <v>52</v>
      </c>
      <c r="AT2317" t="s">
        <v>52</v>
      </c>
      <c r="AU2317" t="s">
        <v>64</v>
      </c>
      <c r="AV2317" t="s">
        <v>62</v>
      </c>
      <c r="AW2317" t="s">
        <v>65</v>
      </c>
      <c r="AX2317" t="s">
        <v>66</v>
      </c>
      <c r="AY2317" t="s">
        <v>76</v>
      </c>
    </row>
    <row r="2318" spans="1:51" hidden="1" x14ac:dyDescent="0.25">
      <c r="A2318">
        <v>406283</v>
      </c>
      <c r="B2318" t="s">
        <v>8533</v>
      </c>
      <c r="C2318" t="e">
        <f>VLOOKUP(A2318,[1]Customer_payment_journal_line!$AL:$BO,30,0)</f>
        <v>#N/A</v>
      </c>
      <c r="D2318" t="s">
        <v>76</v>
      </c>
      <c r="E2318" t="s">
        <v>8531</v>
      </c>
      <c r="F2318" t="s">
        <v>8532</v>
      </c>
      <c r="G2318" t="s">
        <v>8297</v>
      </c>
      <c r="H2318" t="s">
        <v>69</v>
      </c>
      <c r="I2318" t="s">
        <v>2013</v>
      </c>
      <c r="J2318" t="s">
        <v>8534</v>
      </c>
      <c r="K2318" t="s">
        <v>4369</v>
      </c>
      <c r="L2318" t="s">
        <v>52</v>
      </c>
      <c r="M2318">
        <v>0</v>
      </c>
      <c r="N2318">
        <v>625</v>
      </c>
      <c r="O2318" t="s">
        <v>61</v>
      </c>
      <c r="P2318">
        <v>100</v>
      </c>
      <c r="Q2318" t="s">
        <v>52</v>
      </c>
      <c r="R2318" t="s">
        <v>52</v>
      </c>
      <c r="S2318" t="s">
        <v>52</v>
      </c>
      <c r="T2318" t="s">
        <v>52</v>
      </c>
      <c r="U2318" t="s">
        <v>52</v>
      </c>
      <c r="V2318" t="s">
        <v>62</v>
      </c>
      <c r="W2318" t="s">
        <v>52</v>
      </c>
      <c r="Y2318" t="s">
        <v>2014</v>
      </c>
      <c r="Z2318" t="s">
        <v>62</v>
      </c>
      <c r="AB2318" t="s">
        <v>8535</v>
      </c>
      <c r="AE2318" t="s">
        <v>8536</v>
      </c>
      <c r="AF2318" t="s">
        <v>52</v>
      </c>
      <c r="AH2318">
        <v>0</v>
      </c>
      <c r="AI2318">
        <v>0</v>
      </c>
      <c r="AJ2318" t="s">
        <v>52</v>
      </c>
      <c r="AK2318">
        <v>0</v>
      </c>
      <c r="AL2318" t="s">
        <v>52</v>
      </c>
      <c r="AM2318" t="s">
        <v>52</v>
      </c>
      <c r="AN2318">
        <v>0</v>
      </c>
      <c r="AO2318">
        <v>0</v>
      </c>
      <c r="AP2318" t="s">
        <v>52</v>
      </c>
      <c r="AQ2318" t="s">
        <v>52</v>
      </c>
      <c r="AR2318" t="s">
        <v>62</v>
      </c>
      <c r="AS2318" t="s">
        <v>52</v>
      </c>
      <c r="AT2318" t="s">
        <v>74</v>
      </c>
      <c r="AU2318" t="s">
        <v>64</v>
      </c>
      <c r="AV2318" t="s">
        <v>62</v>
      </c>
      <c r="AW2318" t="s">
        <v>65</v>
      </c>
      <c r="AX2318" t="s">
        <v>66</v>
      </c>
      <c r="AY2318" t="s">
        <v>76</v>
      </c>
    </row>
    <row r="2319" spans="1:51" hidden="1" x14ac:dyDescent="0.25">
      <c r="A2319">
        <v>406283</v>
      </c>
      <c r="B2319" t="s">
        <v>8537</v>
      </c>
      <c r="C2319" t="e">
        <f>VLOOKUP(A2319,[1]Customer_payment_journal_line!$AL:$BO,30,0)</f>
        <v>#N/A</v>
      </c>
      <c r="D2319" t="s">
        <v>76</v>
      </c>
      <c r="E2319" t="s">
        <v>8531</v>
      </c>
      <c r="F2319" t="s">
        <v>8532</v>
      </c>
      <c r="G2319" t="s">
        <v>8297</v>
      </c>
      <c r="H2319" t="s">
        <v>69</v>
      </c>
      <c r="I2319" t="s">
        <v>2013</v>
      </c>
      <c r="J2319" t="s">
        <v>8534</v>
      </c>
      <c r="K2319" t="s">
        <v>4369</v>
      </c>
      <c r="L2319" t="s">
        <v>52</v>
      </c>
      <c r="M2319">
        <v>0</v>
      </c>
      <c r="N2319">
        <v>1500</v>
      </c>
      <c r="O2319" t="s">
        <v>61</v>
      </c>
      <c r="P2319">
        <v>100</v>
      </c>
      <c r="Q2319" t="s">
        <v>52</v>
      </c>
      <c r="R2319" t="s">
        <v>52</v>
      </c>
      <c r="S2319" t="s">
        <v>52</v>
      </c>
      <c r="T2319" t="s">
        <v>52</v>
      </c>
      <c r="U2319" t="s">
        <v>52</v>
      </c>
      <c r="V2319" t="s">
        <v>62</v>
      </c>
      <c r="W2319" t="s">
        <v>52</v>
      </c>
      <c r="Y2319" t="s">
        <v>2014</v>
      </c>
      <c r="Z2319" t="s">
        <v>62</v>
      </c>
      <c r="AB2319" t="s">
        <v>8538</v>
      </c>
      <c r="AE2319" t="s">
        <v>8539</v>
      </c>
      <c r="AF2319" t="s">
        <v>52</v>
      </c>
      <c r="AH2319">
        <v>0</v>
      </c>
      <c r="AI2319">
        <v>0</v>
      </c>
      <c r="AJ2319" t="s">
        <v>52</v>
      </c>
      <c r="AK2319">
        <v>0</v>
      </c>
      <c r="AL2319" t="s">
        <v>52</v>
      </c>
      <c r="AM2319" t="s">
        <v>52</v>
      </c>
      <c r="AN2319">
        <v>0</v>
      </c>
      <c r="AO2319">
        <v>0</v>
      </c>
      <c r="AP2319" t="s">
        <v>52</v>
      </c>
      <c r="AQ2319" t="s">
        <v>52</v>
      </c>
      <c r="AR2319" t="s">
        <v>62</v>
      </c>
      <c r="AS2319" t="s">
        <v>52</v>
      </c>
      <c r="AT2319" t="s">
        <v>74</v>
      </c>
      <c r="AU2319" t="s">
        <v>64</v>
      </c>
      <c r="AV2319" t="s">
        <v>62</v>
      </c>
      <c r="AW2319" t="s">
        <v>65</v>
      </c>
      <c r="AX2319" t="s">
        <v>66</v>
      </c>
      <c r="AY2319" t="s">
        <v>76</v>
      </c>
    </row>
    <row r="2320" spans="1:51" hidden="1" x14ac:dyDescent="0.25">
      <c r="A2320">
        <v>406283</v>
      </c>
      <c r="B2320" t="s">
        <v>8540</v>
      </c>
      <c r="C2320" t="e">
        <f>VLOOKUP(A2320,[1]Customer_payment_journal_line!$AL:$BO,30,0)</f>
        <v>#N/A</v>
      </c>
      <c r="D2320" t="s">
        <v>76</v>
      </c>
      <c r="E2320" t="s">
        <v>8531</v>
      </c>
      <c r="F2320" t="s">
        <v>8532</v>
      </c>
      <c r="G2320" t="s">
        <v>8297</v>
      </c>
      <c r="H2320" t="s">
        <v>69</v>
      </c>
      <c r="I2320" t="s">
        <v>2013</v>
      </c>
      <c r="J2320" t="s">
        <v>7215</v>
      </c>
      <c r="K2320" t="s">
        <v>4369</v>
      </c>
      <c r="L2320" t="s">
        <v>52</v>
      </c>
      <c r="M2320">
        <v>0</v>
      </c>
      <c r="N2320">
        <v>625</v>
      </c>
      <c r="O2320" t="s">
        <v>61</v>
      </c>
      <c r="P2320">
        <v>100</v>
      </c>
      <c r="Q2320" t="s">
        <v>52</v>
      </c>
      <c r="R2320" t="s">
        <v>52</v>
      </c>
      <c r="S2320" t="s">
        <v>52</v>
      </c>
      <c r="T2320" t="s">
        <v>52</v>
      </c>
      <c r="U2320" t="s">
        <v>52</v>
      </c>
      <c r="V2320" t="s">
        <v>62</v>
      </c>
      <c r="W2320" t="s">
        <v>52</v>
      </c>
      <c r="Y2320" t="s">
        <v>2014</v>
      </c>
      <c r="Z2320" t="s">
        <v>62</v>
      </c>
      <c r="AB2320" t="s">
        <v>8541</v>
      </c>
      <c r="AE2320" t="s">
        <v>8542</v>
      </c>
      <c r="AF2320" t="s">
        <v>52</v>
      </c>
      <c r="AH2320">
        <v>0</v>
      </c>
      <c r="AI2320">
        <v>0</v>
      </c>
      <c r="AJ2320" t="s">
        <v>52</v>
      </c>
      <c r="AK2320">
        <v>0</v>
      </c>
      <c r="AL2320" t="s">
        <v>52</v>
      </c>
      <c r="AM2320" t="s">
        <v>52</v>
      </c>
      <c r="AN2320">
        <v>0</v>
      </c>
      <c r="AO2320">
        <v>0</v>
      </c>
      <c r="AP2320" t="s">
        <v>52</v>
      </c>
      <c r="AQ2320" t="s">
        <v>52</v>
      </c>
      <c r="AR2320" t="s">
        <v>62</v>
      </c>
      <c r="AS2320" t="s">
        <v>52</v>
      </c>
      <c r="AT2320" t="s">
        <v>74</v>
      </c>
      <c r="AU2320" t="s">
        <v>64</v>
      </c>
      <c r="AV2320" t="s">
        <v>62</v>
      </c>
      <c r="AW2320" t="s">
        <v>65</v>
      </c>
      <c r="AX2320" t="s">
        <v>66</v>
      </c>
      <c r="AY2320" t="s">
        <v>76</v>
      </c>
    </row>
    <row r="2321" spans="1:51" hidden="1" x14ac:dyDescent="0.25">
      <c r="A2321">
        <v>406283</v>
      </c>
      <c r="B2321" t="s">
        <v>8543</v>
      </c>
      <c r="C2321" t="e">
        <f>VLOOKUP(A2321,[1]Customer_payment_journal_line!$AL:$BO,30,0)</f>
        <v>#N/A</v>
      </c>
      <c r="D2321" t="s">
        <v>76</v>
      </c>
      <c r="E2321" t="s">
        <v>8531</v>
      </c>
      <c r="F2321" t="s">
        <v>8532</v>
      </c>
      <c r="G2321" t="s">
        <v>8297</v>
      </c>
      <c r="H2321" t="s">
        <v>69</v>
      </c>
      <c r="I2321" t="s">
        <v>2013</v>
      </c>
      <c r="J2321" t="s">
        <v>7215</v>
      </c>
      <c r="K2321" t="s">
        <v>4369</v>
      </c>
      <c r="L2321" t="s">
        <v>52</v>
      </c>
      <c r="M2321">
        <v>0</v>
      </c>
      <c r="N2321">
        <v>1500</v>
      </c>
      <c r="O2321" t="s">
        <v>61</v>
      </c>
      <c r="P2321">
        <v>100</v>
      </c>
      <c r="Q2321" t="s">
        <v>52</v>
      </c>
      <c r="R2321" t="s">
        <v>52</v>
      </c>
      <c r="S2321" t="s">
        <v>52</v>
      </c>
      <c r="T2321" t="s">
        <v>52</v>
      </c>
      <c r="U2321" t="s">
        <v>52</v>
      </c>
      <c r="V2321" t="s">
        <v>62</v>
      </c>
      <c r="W2321" t="s">
        <v>52</v>
      </c>
      <c r="Y2321" t="s">
        <v>2014</v>
      </c>
      <c r="Z2321" t="s">
        <v>62</v>
      </c>
      <c r="AB2321" t="s">
        <v>8544</v>
      </c>
      <c r="AE2321" t="s">
        <v>8545</v>
      </c>
      <c r="AF2321" t="s">
        <v>52</v>
      </c>
      <c r="AH2321">
        <v>0</v>
      </c>
      <c r="AI2321">
        <v>0</v>
      </c>
      <c r="AJ2321" t="s">
        <v>52</v>
      </c>
      <c r="AK2321">
        <v>0</v>
      </c>
      <c r="AL2321" t="s">
        <v>52</v>
      </c>
      <c r="AM2321" t="s">
        <v>52</v>
      </c>
      <c r="AN2321">
        <v>0</v>
      </c>
      <c r="AO2321">
        <v>0</v>
      </c>
      <c r="AP2321" t="s">
        <v>52</v>
      </c>
      <c r="AQ2321" t="s">
        <v>52</v>
      </c>
      <c r="AR2321" t="s">
        <v>62</v>
      </c>
      <c r="AS2321" t="s">
        <v>52</v>
      </c>
      <c r="AT2321" t="s">
        <v>74</v>
      </c>
      <c r="AU2321" t="s">
        <v>64</v>
      </c>
      <c r="AV2321" t="s">
        <v>62</v>
      </c>
      <c r="AW2321" t="s">
        <v>65</v>
      </c>
      <c r="AX2321" t="s">
        <v>66</v>
      </c>
      <c r="AY2321" t="s">
        <v>76</v>
      </c>
    </row>
    <row r="2322" spans="1:51" hidden="1" x14ac:dyDescent="0.25">
      <c r="A2322">
        <v>406285</v>
      </c>
      <c r="B2322" t="s">
        <v>8546</v>
      </c>
      <c r="C2322" t="e">
        <f>VLOOKUP(A2322,[1]Customer_payment_journal_line!$AL:$BO,30,0)</f>
        <v>#N/A</v>
      </c>
      <c r="D2322" t="s">
        <v>76</v>
      </c>
      <c r="E2322" t="s">
        <v>8547</v>
      </c>
      <c r="F2322" t="s">
        <v>8548</v>
      </c>
      <c r="G2322" t="s">
        <v>8297</v>
      </c>
      <c r="H2322" t="s">
        <v>80</v>
      </c>
      <c r="I2322" t="s">
        <v>81</v>
      </c>
      <c r="J2322" t="s">
        <v>8549</v>
      </c>
      <c r="K2322" t="s">
        <v>3780</v>
      </c>
      <c r="L2322" t="s">
        <v>52</v>
      </c>
      <c r="M2322">
        <v>4275</v>
      </c>
      <c r="N2322">
        <v>0</v>
      </c>
      <c r="O2322" t="s">
        <v>61</v>
      </c>
      <c r="P2322">
        <v>100</v>
      </c>
      <c r="Q2322" t="s">
        <v>52</v>
      </c>
      <c r="R2322" t="s">
        <v>52</v>
      </c>
      <c r="S2322" t="s">
        <v>52</v>
      </c>
      <c r="T2322" t="s">
        <v>52</v>
      </c>
      <c r="U2322" t="s">
        <v>52</v>
      </c>
      <c r="V2322" t="s">
        <v>62</v>
      </c>
      <c r="W2322" t="s">
        <v>52</v>
      </c>
      <c r="Y2322" t="s">
        <v>52</v>
      </c>
      <c r="AB2322" t="s">
        <v>52</v>
      </c>
      <c r="AE2322" t="s">
        <v>52</v>
      </c>
      <c r="AF2322" t="s">
        <v>52</v>
      </c>
      <c r="AH2322">
        <v>0</v>
      </c>
      <c r="AI2322">
        <v>0</v>
      </c>
      <c r="AJ2322" t="s">
        <v>52</v>
      </c>
      <c r="AK2322">
        <v>0</v>
      </c>
      <c r="AL2322" t="s">
        <v>52</v>
      </c>
      <c r="AM2322" t="s">
        <v>52</v>
      </c>
      <c r="AN2322">
        <v>0</v>
      </c>
      <c r="AO2322">
        <v>0</v>
      </c>
      <c r="AP2322" t="s">
        <v>52</v>
      </c>
      <c r="AQ2322" t="s">
        <v>52</v>
      </c>
      <c r="AR2322" t="s">
        <v>62</v>
      </c>
      <c r="AS2322" t="s">
        <v>52</v>
      </c>
      <c r="AT2322" t="s">
        <v>52</v>
      </c>
      <c r="AU2322" t="s">
        <v>64</v>
      </c>
      <c r="AV2322" t="s">
        <v>62</v>
      </c>
      <c r="AW2322" t="s">
        <v>65</v>
      </c>
      <c r="AX2322" t="s">
        <v>66</v>
      </c>
      <c r="AY2322" t="s">
        <v>76</v>
      </c>
    </row>
    <row r="2323" spans="1:51" hidden="1" x14ac:dyDescent="0.25">
      <c r="A2323">
        <v>406285</v>
      </c>
      <c r="B2323" t="s">
        <v>8550</v>
      </c>
      <c r="C2323" t="e">
        <f>VLOOKUP(A2323,[1]Customer_payment_journal_line!$AL:$BO,30,0)</f>
        <v>#N/A</v>
      </c>
      <c r="D2323" t="s">
        <v>76</v>
      </c>
      <c r="E2323" t="s">
        <v>8547</v>
      </c>
      <c r="F2323" t="s">
        <v>8548</v>
      </c>
      <c r="G2323" t="s">
        <v>8297</v>
      </c>
      <c r="H2323" t="s">
        <v>69</v>
      </c>
      <c r="I2323" t="s">
        <v>3782</v>
      </c>
      <c r="J2323" t="s">
        <v>8549</v>
      </c>
      <c r="K2323" t="s">
        <v>3780</v>
      </c>
      <c r="L2323" t="s">
        <v>52</v>
      </c>
      <c r="M2323">
        <v>0</v>
      </c>
      <c r="N2323">
        <v>4275</v>
      </c>
      <c r="O2323" t="s">
        <v>61</v>
      </c>
      <c r="P2323">
        <v>100</v>
      </c>
      <c r="Q2323" t="s">
        <v>52</v>
      </c>
      <c r="R2323" t="s">
        <v>52</v>
      </c>
      <c r="S2323" t="s">
        <v>52</v>
      </c>
      <c r="T2323" t="s">
        <v>52</v>
      </c>
      <c r="U2323" t="s">
        <v>52</v>
      </c>
      <c r="V2323" t="s">
        <v>62</v>
      </c>
      <c r="W2323" t="s">
        <v>52</v>
      </c>
      <c r="Y2323" t="s">
        <v>3783</v>
      </c>
      <c r="Z2323" t="s">
        <v>62</v>
      </c>
      <c r="AB2323" t="s">
        <v>8551</v>
      </c>
      <c r="AE2323" t="s">
        <v>8552</v>
      </c>
      <c r="AF2323" t="s">
        <v>52</v>
      </c>
      <c r="AH2323">
        <v>0</v>
      </c>
      <c r="AI2323">
        <v>0</v>
      </c>
      <c r="AJ2323" t="s">
        <v>52</v>
      </c>
      <c r="AK2323">
        <v>0</v>
      </c>
      <c r="AL2323" t="s">
        <v>52</v>
      </c>
      <c r="AM2323" t="s">
        <v>52</v>
      </c>
      <c r="AN2323">
        <v>0</v>
      </c>
      <c r="AO2323">
        <v>0</v>
      </c>
      <c r="AP2323" t="s">
        <v>52</v>
      </c>
      <c r="AQ2323" t="s">
        <v>52</v>
      </c>
      <c r="AR2323" t="s">
        <v>62</v>
      </c>
      <c r="AS2323" t="s">
        <v>52</v>
      </c>
      <c r="AT2323" t="s">
        <v>74</v>
      </c>
      <c r="AU2323" t="s">
        <v>64</v>
      </c>
      <c r="AV2323" t="s">
        <v>62</v>
      </c>
      <c r="AW2323" t="s">
        <v>65</v>
      </c>
      <c r="AX2323" t="s">
        <v>66</v>
      </c>
      <c r="AY2323" t="s">
        <v>76</v>
      </c>
    </row>
    <row r="2324" spans="1:51" hidden="1" x14ac:dyDescent="0.25">
      <c r="A2324">
        <v>406287</v>
      </c>
      <c r="B2324" t="s">
        <v>8553</v>
      </c>
      <c r="C2324" t="e">
        <f>VLOOKUP(A2324,[1]Customer_payment_journal_line!$AL:$BO,30,0)</f>
        <v>#N/A</v>
      </c>
      <c r="D2324" t="s">
        <v>76</v>
      </c>
      <c r="E2324" t="s">
        <v>8554</v>
      </c>
      <c r="F2324" t="s">
        <v>8555</v>
      </c>
      <c r="G2324" t="s">
        <v>8297</v>
      </c>
      <c r="H2324" t="s">
        <v>80</v>
      </c>
      <c r="I2324" t="s">
        <v>81</v>
      </c>
      <c r="J2324" t="s">
        <v>8556</v>
      </c>
      <c r="K2324" t="s">
        <v>3767</v>
      </c>
      <c r="L2324" t="s">
        <v>52</v>
      </c>
      <c r="M2324">
        <v>2667.6</v>
      </c>
      <c r="N2324">
        <v>0</v>
      </c>
      <c r="O2324" t="s">
        <v>61</v>
      </c>
      <c r="P2324">
        <v>100</v>
      </c>
      <c r="Q2324" t="s">
        <v>52</v>
      </c>
      <c r="R2324" t="s">
        <v>52</v>
      </c>
      <c r="S2324" t="s">
        <v>52</v>
      </c>
      <c r="T2324" t="s">
        <v>52</v>
      </c>
      <c r="U2324" t="s">
        <v>52</v>
      </c>
      <c r="V2324" t="s">
        <v>62</v>
      </c>
      <c r="W2324" t="s">
        <v>52</v>
      </c>
      <c r="Y2324" t="s">
        <v>52</v>
      </c>
      <c r="AB2324" t="s">
        <v>52</v>
      </c>
      <c r="AE2324" t="s">
        <v>52</v>
      </c>
      <c r="AF2324" t="s">
        <v>52</v>
      </c>
      <c r="AH2324">
        <v>0</v>
      </c>
      <c r="AI2324">
        <v>0</v>
      </c>
      <c r="AJ2324" t="s">
        <v>52</v>
      </c>
      <c r="AK2324">
        <v>0</v>
      </c>
      <c r="AL2324" t="s">
        <v>52</v>
      </c>
      <c r="AM2324" t="s">
        <v>52</v>
      </c>
      <c r="AN2324">
        <v>0</v>
      </c>
      <c r="AO2324">
        <v>0</v>
      </c>
      <c r="AP2324" t="s">
        <v>52</v>
      </c>
      <c r="AQ2324" t="s">
        <v>52</v>
      </c>
      <c r="AR2324" t="s">
        <v>62</v>
      </c>
      <c r="AS2324" t="s">
        <v>52</v>
      </c>
      <c r="AT2324" t="s">
        <v>52</v>
      </c>
      <c r="AU2324" t="s">
        <v>64</v>
      </c>
      <c r="AV2324" t="s">
        <v>62</v>
      </c>
      <c r="AW2324" t="s">
        <v>65</v>
      </c>
      <c r="AX2324" t="s">
        <v>66</v>
      </c>
      <c r="AY2324" t="s">
        <v>76</v>
      </c>
    </row>
    <row r="2325" spans="1:51" hidden="1" x14ac:dyDescent="0.25">
      <c r="A2325">
        <v>406287</v>
      </c>
      <c r="B2325" t="s">
        <v>8557</v>
      </c>
      <c r="C2325" t="e">
        <f>VLOOKUP(A2325,[1]Customer_payment_journal_line!$AL:$BO,30,0)</f>
        <v>#N/A</v>
      </c>
      <c r="D2325" t="s">
        <v>76</v>
      </c>
      <c r="E2325" t="s">
        <v>8554</v>
      </c>
      <c r="F2325" t="s">
        <v>8555</v>
      </c>
      <c r="G2325" t="s">
        <v>8297</v>
      </c>
      <c r="H2325" t="s">
        <v>69</v>
      </c>
      <c r="I2325" t="s">
        <v>3769</v>
      </c>
      <c r="J2325" t="s">
        <v>8556</v>
      </c>
      <c r="K2325" t="s">
        <v>3767</v>
      </c>
      <c r="L2325" t="s">
        <v>52</v>
      </c>
      <c r="M2325">
        <v>0</v>
      </c>
      <c r="N2325">
        <v>2667.6</v>
      </c>
      <c r="O2325" t="s">
        <v>61</v>
      </c>
      <c r="P2325">
        <v>100</v>
      </c>
      <c r="Q2325" t="s">
        <v>52</v>
      </c>
      <c r="R2325" t="s">
        <v>52</v>
      </c>
      <c r="S2325" t="s">
        <v>52</v>
      </c>
      <c r="T2325" t="s">
        <v>52</v>
      </c>
      <c r="U2325" t="s">
        <v>52</v>
      </c>
      <c r="V2325" t="s">
        <v>62</v>
      </c>
      <c r="W2325" t="s">
        <v>52</v>
      </c>
      <c r="Y2325" t="s">
        <v>3770</v>
      </c>
      <c r="Z2325" t="s">
        <v>62</v>
      </c>
      <c r="AB2325" t="s">
        <v>8558</v>
      </c>
      <c r="AE2325" t="s">
        <v>8559</v>
      </c>
      <c r="AF2325" t="s">
        <v>52</v>
      </c>
      <c r="AH2325">
        <v>0</v>
      </c>
      <c r="AI2325">
        <v>0</v>
      </c>
      <c r="AJ2325" t="s">
        <v>52</v>
      </c>
      <c r="AK2325">
        <v>0</v>
      </c>
      <c r="AL2325" t="s">
        <v>52</v>
      </c>
      <c r="AM2325" t="s">
        <v>52</v>
      </c>
      <c r="AN2325">
        <v>0</v>
      </c>
      <c r="AO2325">
        <v>0</v>
      </c>
      <c r="AP2325" t="s">
        <v>52</v>
      </c>
      <c r="AQ2325" t="s">
        <v>52</v>
      </c>
      <c r="AR2325" t="s">
        <v>62</v>
      </c>
      <c r="AS2325" t="s">
        <v>52</v>
      </c>
      <c r="AT2325" t="s">
        <v>74</v>
      </c>
      <c r="AU2325" t="s">
        <v>64</v>
      </c>
      <c r="AV2325" t="s">
        <v>62</v>
      </c>
      <c r="AW2325" t="s">
        <v>65</v>
      </c>
      <c r="AX2325" t="s">
        <v>66</v>
      </c>
      <c r="AY2325" t="s">
        <v>76</v>
      </c>
    </row>
    <row r="2326" spans="1:51" hidden="1" x14ac:dyDescent="0.25">
      <c r="A2326">
        <v>406288</v>
      </c>
      <c r="B2326" t="s">
        <v>8560</v>
      </c>
      <c r="C2326" t="e">
        <f>VLOOKUP(A2326,[1]Customer_payment_journal_line!$AL:$BO,30,0)</f>
        <v>#N/A</v>
      </c>
      <c r="D2326" t="s">
        <v>76</v>
      </c>
      <c r="E2326" t="s">
        <v>8561</v>
      </c>
      <c r="F2326" t="s">
        <v>8562</v>
      </c>
      <c r="G2326" t="s">
        <v>8297</v>
      </c>
      <c r="H2326" t="s">
        <v>80</v>
      </c>
      <c r="I2326" t="s">
        <v>81</v>
      </c>
      <c r="J2326" t="s">
        <v>8563</v>
      </c>
      <c r="K2326" t="s">
        <v>3756</v>
      </c>
      <c r="L2326" t="s">
        <v>52</v>
      </c>
      <c r="M2326">
        <v>14295.6</v>
      </c>
      <c r="N2326">
        <v>0</v>
      </c>
      <c r="O2326" t="s">
        <v>61</v>
      </c>
      <c r="P2326">
        <v>100</v>
      </c>
      <c r="Q2326" t="s">
        <v>52</v>
      </c>
      <c r="R2326" t="s">
        <v>52</v>
      </c>
      <c r="S2326" t="s">
        <v>52</v>
      </c>
      <c r="T2326" t="s">
        <v>52</v>
      </c>
      <c r="U2326" t="s">
        <v>52</v>
      </c>
      <c r="V2326" t="s">
        <v>62</v>
      </c>
      <c r="W2326" t="s">
        <v>52</v>
      </c>
      <c r="Y2326" t="s">
        <v>52</v>
      </c>
      <c r="AB2326" t="s">
        <v>52</v>
      </c>
      <c r="AE2326" t="s">
        <v>52</v>
      </c>
      <c r="AF2326" t="s">
        <v>52</v>
      </c>
      <c r="AH2326">
        <v>0</v>
      </c>
      <c r="AI2326">
        <v>0</v>
      </c>
      <c r="AJ2326" t="s">
        <v>52</v>
      </c>
      <c r="AK2326">
        <v>0</v>
      </c>
      <c r="AL2326" t="s">
        <v>52</v>
      </c>
      <c r="AM2326" t="s">
        <v>52</v>
      </c>
      <c r="AN2326">
        <v>0</v>
      </c>
      <c r="AO2326">
        <v>0</v>
      </c>
      <c r="AP2326" t="s">
        <v>52</v>
      </c>
      <c r="AQ2326" t="s">
        <v>52</v>
      </c>
      <c r="AR2326" t="s">
        <v>62</v>
      </c>
      <c r="AS2326" t="s">
        <v>52</v>
      </c>
      <c r="AT2326" t="s">
        <v>52</v>
      </c>
      <c r="AU2326" t="s">
        <v>64</v>
      </c>
      <c r="AV2326" t="s">
        <v>62</v>
      </c>
      <c r="AW2326" t="s">
        <v>65</v>
      </c>
      <c r="AX2326" t="s">
        <v>66</v>
      </c>
      <c r="AY2326" t="s">
        <v>76</v>
      </c>
    </row>
    <row r="2327" spans="1:51" hidden="1" x14ac:dyDescent="0.25">
      <c r="A2327">
        <v>406288</v>
      </c>
      <c r="B2327" t="s">
        <v>8564</v>
      </c>
      <c r="C2327" t="e">
        <f>VLOOKUP(A2327,[1]Customer_payment_journal_line!$AL:$BO,30,0)</f>
        <v>#N/A</v>
      </c>
      <c r="D2327" t="s">
        <v>76</v>
      </c>
      <c r="E2327" t="s">
        <v>8561</v>
      </c>
      <c r="F2327" t="s">
        <v>8562</v>
      </c>
      <c r="G2327" t="s">
        <v>8297</v>
      </c>
      <c r="H2327" t="s">
        <v>69</v>
      </c>
      <c r="I2327" t="s">
        <v>3132</v>
      </c>
      <c r="J2327" t="s">
        <v>8563</v>
      </c>
      <c r="K2327" t="s">
        <v>3756</v>
      </c>
      <c r="L2327" t="s">
        <v>52</v>
      </c>
      <c r="M2327">
        <v>0</v>
      </c>
      <c r="N2327">
        <v>13041.6</v>
      </c>
      <c r="O2327" t="s">
        <v>61</v>
      </c>
      <c r="P2327">
        <v>100</v>
      </c>
      <c r="Q2327" t="s">
        <v>52</v>
      </c>
      <c r="R2327" t="s">
        <v>52</v>
      </c>
      <c r="S2327" t="s">
        <v>52</v>
      </c>
      <c r="T2327" t="s">
        <v>52</v>
      </c>
      <c r="U2327" t="s">
        <v>52</v>
      </c>
      <c r="V2327" t="s">
        <v>62</v>
      </c>
      <c r="W2327" t="s">
        <v>52</v>
      </c>
      <c r="Y2327" t="s">
        <v>3133</v>
      </c>
      <c r="Z2327" t="s">
        <v>62</v>
      </c>
      <c r="AB2327" t="s">
        <v>8565</v>
      </c>
      <c r="AE2327" t="s">
        <v>8566</v>
      </c>
      <c r="AF2327" t="s">
        <v>52</v>
      </c>
      <c r="AH2327">
        <v>0</v>
      </c>
      <c r="AI2327">
        <v>0</v>
      </c>
      <c r="AJ2327" t="s">
        <v>52</v>
      </c>
      <c r="AK2327">
        <v>0</v>
      </c>
      <c r="AL2327" t="s">
        <v>52</v>
      </c>
      <c r="AM2327" t="s">
        <v>52</v>
      </c>
      <c r="AN2327">
        <v>0</v>
      </c>
      <c r="AO2327">
        <v>0</v>
      </c>
      <c r="AP2327" t="s">
        <v>52</v>
      </c>
      <c r="AQ2327" t="s">
        <v>52</v>
      </c>
      <c r="AR2327" t="s">
        <v>62</v>
      </c>
      <c r="AS2327" t="s">
        <v>52</v>
      </c>
      <c r="AT2327" t="s">
        <v>74</v>
      </c>
      <c r="AU2327" t="s">
        <v>64</v>
      </c>
      <c r="AV2327" t="s">
        <v>62</v>
      </c>
      <c r="AW2327" t="s">
        <v>65</v>
      </c>
      <c r="AX2327" t="s">
        <v>66</v>
      </c>
      <c r="AY2327" t="s">
        <v>76</v>
      </c>
    </row>
    <row r="2328" spans="1:51" hidden="1" x14ac:dyDescent="0.25">
      <c r="A2328">
        <v>406288</v>
      </c>
      <c r="B2328" t="s">
        <v>8567</v>
      </c>
      <c r="C2328" t="e">
        <f>VLOOKUP(A2328,[1]Customer_payment_journal_line!$AL:$BO,30,0)</f>
        <v>#N/A</v>
      </c>
      <c r="D2328" t="s">
        <v>76</v>
      </c>
      <c r="E2328" t="s">
        <v>8561</v>
      </c>
      <c r="F2328" t="s">
        <v>8562</v>
      </c>
      <c r="G2328" t="s">
        <v>8297</v>
      </c>
      <c r="H2328" t="s">
        <v>69</v>
      </c>
      <c r="I2328" t="s">
        <v>3132</v>
      </c>
      <c r="J2328" t="s">
        <v>8563</v>
      </c>
      <c r="K2328" t="s">
        <v>3756</v>
      </c>
      <c r="L2328" t="s">
        <v>52</v>
      </c>
      <c r="M2328">
        <v>0</v>
      </c>
      <c r="N2328">
        <v>1254</v>
      </c>
      <c r="O2328" t="s">
        <v>61</v>
      </c>
      <c r="P2328">
        <v>100</v>
      </c>
      <c r="Q2328" t="s">
        <v>52</v>
      </c>
      <c r="R2328" t="s">
        <v>52</v>
      </c>
      <c r="S2328" t="s">
        <v>52</v>
      </c>
      <c r="T2328" t="s">
        <v>52</v>
      </c>
      <c r="U2328" t="s">
        <v>52</v>
      </c>
      <c r="V2328" t="s">
        <v>62</v>
      </c>
      <c r="W2328" t="s">
        <v>52</v>
      </c>
      <c r="Y2328" t="s">
        <v>3133</v>
      </c>
      <c r="Z2328" t="s">
        <v>62</v>
      </c>
      <c r="AB2328" t="s">
        <v>8568</v>
      </c>
      <c r="AE2328" t="s">
        <v>8569</v>
      </c>
      <c r="AF2328" t="s">
        <v>52</v>
      </c>
      <c r="AH2328">
        <v>0</v>
      </c>
      <c r="AI2328">
        <v>0</v>
      </c>
      <c r="AJ2328" t="s">
        <v>52</v>
      </c>
      <c r="AK2328">
        <v>0</v>
      </c>
      <c r="AL2328" t="s">
        <v>52</v>
      </c>
      <c r="AM2328" t="s">
        <v>52</v>
      </c>
      <c r="AN2328">
        <v>0</v>
      </c>
      <c r="AO2328">
        <v>0</v>
      </c>
      <c r="AP2328" t="s">
        <v>52</v>
      </c>
      <c r="AQ2328" t="s">
        <v>52</v>
      </c>
      <c r="AR2328" t="s">
        <v>62</v>
      </c>
      <c r="AS2328" t="s">
        <v>52</v>
      </c>
      <c r="AT2328" t="s">
        <v>74</v>
      </c>
      <c r="AU2328" t="s">
        <v>64</v>
      </c>
      <c r="AV2328" t="s">
        <v>62</v>
      </c>
      <c r="AW2328" t="s">
        <v>65</v>
      </c>
      <c r="AX2328" t="s">
        <v>66</v>
      </c>
      <c r="AY2328" t="s">
        <v>76</v>
      </c>
    </row>
    <row r="2329" spans="1:51" hidden="1" x14ac:dyDescent="0.25">
      <c r="A2329">
        <v>406289</v>
      </c>
      <c r="B2329" t="s">
        <v>8570</v>
      </c>
      <c r="C2329" t="e">
        <f>VLOOKUP(A2329,[1]Customer_payment_journal_line!$AL:$BO,30,0)</f>
        <v>#N/A</v>
      </c>
      <c r="D2329" t="s">
        <v>76</v>
      </c>
      <c r="E2329" t="s">
        <v>8571</v>
      </c>
      <c r="F2329" t="s">
        <v>8572</v>
      </c>
      <c r="G2329" t="s">
        <v>8297</v>
      </c>
      <c r="H2329" t="s">
        <v>80</v>
      </c>
      <c r="I2329" t="s">
        <v>81</v>
      </c>
      <c r="J2329" t="s">
        <v>8556</v>
      </c>
      <c r="K2329" t="s">
        <v>3767</v>
      </c>
      <c r="L2329" t="s">
        <v>52</v>
      </c>
      <c r="M2329">
        <v>570</v>
      </c>
      <c r="N2329">
        <v>0</v>
      </c>
      <c r="O2329" t="s">
        <v>61</v>
      </c>
      <c r="P2329">
        <v>100</v>
      </c>
      <c r="Q2329" t="s">
        <v>52</v>
      </c>
      <c r="R2329" t="s">
        <v>52</v>
      </c>
      <c r="S2329" t="s">
        <v>52</v>
      </c>
      <c r="T2329" t="s">
        <v>52</v>
      </c>
      <c r="U2329" t="s">
        <v>52</v>
      </c>
      <c r="V2329" t="s">
        <v>62</v>
      </c>
      <c r="W2329" t="s">
        <v>52</v>
      </c>
      <c r="Y2329" t="s">
        <v>52</v>
      </c>
      <c r="AB2329" t="s">
        <v>52</v>
      </c>
      <c r="AE2329" t="s">
        <v>52</v>
      </c>
      <c r="AF2329" t="s">
        <v>52</v>
      </c>
      <c r="AH2329">
        <v>0</v>
      </c>
      <c r="AI2329">
        <v>0</v>
      </c>
      <c r="AJ2329" t="s">
        <v>52</v>
      </c>
      <c r="AK2329">
        <v>0</v>
      </c>
      <c r="AL2329" t="s">
        <v>52</v>
      </c>
      <c r="AM2329" t="s">
        <v>52</v>
      </c>
      <c r="AN2329">
        <v>0</v>
      </c>
      <c r="AO2329">
        <v>0</v>
      </c>
      <c r="AP2329" t="s">
        <v>52</v>
      </c>
      <c r="AQ2329" t="s">
        <v>52</v>
      </c>
      <c r="AR2329" t="s">
        <v>62</v>
      </c>
      <c r="AS2329" t="s">
        <v>52</v>
      </c>
      <c r="AT2329" t="s">
        <v>52</v>
      </c>
      <c r="AU2329" t="s">
        <v>64</v>
      </c>
      <c r="AV2329" t="s">
        <v>62</v>
      </c>
      <c r="AW2329" t="s">
        <v>65</v>
      </c>
      <c r="AX2329" t="s">
        <v>66</v>
      </c>
      <c r="AY2329" t="s">
        <v>76</v>
      </c>
    </row>
    <row r="2330" spans="1:51" hidden="1" x14ac:dyDescent="0.25">
      <c r="A2330">
        <v>406289</v>
      </c>
      <c r="B2330" t="s">
        <v>8573</v>
      </c>
      <c r="C2330" t="e">
        <f>VLOOKUP(A2330,[1]Customer_payment_journal_line!$AL:$BO,30,0)</f>
        <v>#N/A</v>
      </c>
      <c r="D2330" t="s">
        <v>76</v>
      </c>
      <c r="E2330" t="s">
        <v>8571</v>
      </c>
      <c r="F2330" t="s">
        <v>8572</v>
      </c>
      <c r="G2330" t="s">
        <v>8297</v>
      </c>
      <c r="H2330" t="s">
        <v>69</v>
      </c>
      <c r="I2330" t="s">
        <v>3769</v>
      </c>
      <c r="J2330" t="s">
        <v>8556</v>
      </c>
      <c r="K2330" t="s">
        <v>3767</v>
      </c>
      <c r="L2330" t="s">
        <v>52</v>
      </c>
      <c r="M2330">
        <v>0</v>
      </c>
      <c r="N2330">
        <v>570</v>
      </c>
      <c r="O2330" t="s">
        <v>61</v>
      </c>
      <c r="P2330">
        <v>100</v>
      </c>
      <c r="Q2330" t="s">
        <v>52</v>
      </c>
      <c r="R2330" t="s">
        <v>52</v>
      </c>
      <c r="S2330" t="s">
        <v>52</v>
      </c>
      <c r="T2330" t="s">
        <v>52</v>
      </c>
      <c r="U2330" t="s">
        <v>52</v>
      </c>
      <c r="V2330" t="s">
        <v>62</v>
      </c>
      <c r="W2330" t="s">
        <v>52</v>
      </c>
      <c r="Y2330" t="s">
        <v>3770</v>
      </c>
      <c r="Z2330" t="s">
        <v>62</v>
      </c>
      <c r="AB2330" t="s">
        <v>8574</v>
      </c>
      <c r="AE2330" t="s">
        <v>8575</v>
      </c>
      <c r="AF2330" t="s">
        <v>52</v>
      </c>
      <c r="AH2330">
        <v>0</v>
      </c>
      <c r="AI2330">
        <v>0</v>
      </c>
      <c r="AJ2330" t="s">
        <v>52</v>
      </c>
      <c r="AK2330">
        <v>0</v>
      </c>
      <c r="AL2330" t="s">
        <v>52</v>
      </c>
      <c r="AM2330" t="s">
        <v>52</v>
      </c>
      <c r="AN2330">
        <v>0</v>
      </c>
      <c r="AO2330">
        <v>0</v>
      </c>
      <c r="AP2330" t="s">
        <v>52</v>
      </c>
      <c r="AQ2330" t="s">
        <v>52</v>
      </c>
      <c r="AR2330" t="s">
        <v>62</v>
      </c>
      <c r="AS2330" t="s">
        <v>52</v>
      </c>
      <c r="AT2330" t="s">
        <v>74</v>
      </c>
      <c r="AU2330" t="s">
        <v>64</v>
      </c>
      <c r="AV2330" t="s">
        <v>62</v>
      </c>
      <c r="AW2330" t="s">
        <v>65</v>
      </c>
      <c r="AX2330" t="s">
        <v>66</v>
      </c>
      <c r="AY2330" t="s">
        <v>76</v>
      </c>
    </row>
    <row r="2331" spans="1:51" hidden="1" x14ac:dyDescent="0.25">
      <c r="A2331">
        <v>404524</v>
      </c>
      <c r="B2331" t="s">
        <v>8576</v>
      </c>
      <c r="C2331" t="e">
        <f>VLOOKUP(A2331,[1]Customer_payment_journal_line!$AL:$BO,30,0)</f>
        <v>#N/A</v>
      </c>
      <c r="D2331" t="s">
        <v>53</v>
      </c>
      <c r="E2331" t="s">
        <v>8577</v>
      </c>
      <c r="F2331" t="s">
        <v>8578</v>
      </c>
      <c r="G2331" t="s">
        <v>8297</v>
      </c>
      <c r="H2331" t="s">
        <v>57</v>
      </c>
      <c r="I2331" t="s">
        <v>58</v>
      </c>
      <c r="J2331" t="s">
        <v>8579</v>
      </c>
      <c r="K2331" t="s">
        <v>8580</v>
      </c>
      <c r="L2331" t="s">
        <v>52</v>
      </c>
      <c r="M2331">
        <v>5700</v>
      </c>
      <c r="N2331">
        <v>0</v>
      </c>
      <c r="O2331" t="s">
        <v>61</v>
      </c>
      <c r="P2331">
        <v>100</v>
      </c>
      <c r="Q2331" t="s">
        <v>52</v>
      </c>
      <c r="R2331" t="s">
        <v>52</v>
      </c>
      <c r="S2331" t="s">
        <v>52</v>
      </c>
      <c r="T2331" t="s">
        <v>52</v>
      </c>
      <c r="U2331" t="s">
        <v>52</v>
      </c>
      <c r="V2331" t="s">
        <v>62</v>
      </c>
      <c r="W2331" t="s">
        <v>63</v>
      </c>
      <c r="Y2331" t="s">
        <v>52</v>
      </c>
      <c r="AB2331" t="s">
        <v>52</v>
      </c>
      <c r="AE2331" t="s">
        <v>52</v>
      </c>
      <c r="AF2331" t="s">
        <v>52</v>
      </c>
      <c r="AH2331">
        <v>0</v>
      </c>
      <c r="AI2331">
        <v>0</v>
      </c>
      <c r="AJ2331" t="s">
        <v>52</v>
      </c>
      <c r="AK2331">
        <v>0</v>
      </c>
      <c r="AL2331" t="s">
        <v>52</v>
      </c>
      <c r="AM2331" t="s">
        <v>52</v>
      </c>
      <c r="AN2331">
        <v>0</v>
      </c>
      <c r="AO2331">
        <v>0</v>
      </c>
      <c r="AP2331" t="s">
        <v>52</v>
      </c>
      <c r="AQ2331" t="s">
        <v>52</v>
      </c>
      <c r="AR2331" t="s">
        <v>62</v>
      </c>
      <c r="AS2331" t="s">
        <v>52</v>
      </c>
      <c r="AT2331" t="s">
        <v>52</v>
      </c>
      <c r="AU2331" t="s">
        <v>64</v>
      </c>
      <c r="AV2331" t="s">
        <v>62</v>
      </c>
      <c r="AW2331" t="s">
        <v>65</v>
      </c>
      <c r="AX2331" t="s">
        <v>66</v>
      </c>
      <c r="AY2331" t="s">
        <v>67</v>
      </c>
    </row>
    <row r="2332" spans="1:51" hidden="1" x14ac:dyDescent="0.25">
      <c r="A2332">
        <v>404524</v>
      </c>
      <c r="B2332" t="s">
        <v>8581</v>
      </c>
      <c r="C2332" t="e">
        <f>VLOOKUP(A2332,[1]Customer_payment_journal_line!$AL:$BO,30,0)</f>
        <v>#N/A</v>
      </c>
      <c r="D2332" t="s">
        <v>53</v>
      </c>
      <c r="E2332" t="s">
        <v>8577</v>
      </c>
      <c r="F2332" t="s">
        <v>8578</v>
      </c>
      <c r="G2332" t="s">
        <v>8297</v>
      </c>
      <c r="H2332" t="s">
        <v>69</v>
      </c>
      <c r="I2332" t="s">
        <v>8582</v>
      </c>
      <c r="J2332" t="s">
        <v>8579</v>
      </c>
      <c r="K2332" t="s">
        <v>8580</v>
      </c>
      <c r="L2332" t="s">
        <v>52</v>
      </c>
      <c r="M2332">
        <v>0</v>
      </c>
      <c r="N2332">
        <v>5700</v>
      </c>
      <c r="O2332" t="s">
        <v>61</v>
      </c>
      <c r="P2332">
        <v>100</v>
      </c>
      <c r="Q2332" t="s">
        <v>52</v>
      </c>
      <c r="R2332" t="s">
        <v>52</v>
      </c>
      <c r="S2332" t="s">
        <v>52</v>
      </c>
      <c r="T2332" t="s">
        <v>52</v>
      </c>
      <c r="U2332" t="s">
        <v>52</v>
      </c>
      <c r="V2332" t="s">
        <v>62</v>
      </c>
      <c r="W2332" t="s">
        <v>52</v>
      </c>
      <c r="Y2332" t="s">
        <v>8583</v>
      </c>
      <c r="Z2332" t="s">
        <v>62</v>
      </c>
      <c r="AB2332" t="s">
        <v>8584</v>
      </c>
      <c r="AE2332" t="s">
        <v>8585</v>
      </c>
      <c r="AF2332" t="s">
        <v>52</v>
      </c>
      <c r="AH2332">
        <v>0</v>
      </c>
      <c r="AI2332">
        <v>0</v>
      </c>
      <c r="AJ2332" t="s">
        <v>52</v>
      </c>
      <c r="AK2332">
        <v>0</v>
      </c>
      <c r="AL2332" t="s">
        <v>52</v>
      </c>
      <c r="AM2332" t="s">
        <v>52</v>
      </c>
      <c r="AN2332">
        <v>0</v>
      </c>
      <c r="AO2332">
        <v>0</v>
      </c>
      <c r="AP2332" t="s">
        <v>52</v>
      </c>
      <c r="AQ2332" t="s">
        <v>52</v>
      </c>
      <c r="AR2332" t="s">
        <v>62</v>
      </c>
      <c r="AS2332" t="s">
        <v>52</v>
      </c>
      <c r="AT2332" t="s">
        <v>74</v>
      </c>
      <c r="AU2332" t="s">
        <v>64</v>
      </c>
      <c r="AV2332" t="s">
        <v>62</v>
      </c>
      <c r="AW2332" t="s">
        <v>65</v>
      </c>
      <c r="AX2332" t="s">
        <v>66</v>
      </c>
      <c r="AY2332" t="s">
        <v>67</v>
      </c>
    </row>
    <row r="2333" spans="1:51" hidden="1" x14ac:dyDescent="0.25">
      <c r="A2333">
        <v>402372</v>
      </c>
      <c r="B2333" t="s">
        <v>8586</v>
      </c>
      <c r="C2333" t="e">
        <f>VLOOKUP(A2333,[1]Customer_payment_journal_line!$AL:$BO,30,0)</f>
        <v>#N/A</v>
      </c>
      <c r="D2333" t="s">
        <v>159</v>
      </c>
      <c r="E2333" t="s">
        <v>8587</v>
      </c>
      <c r="F2333" t="s">
        <v>8588</v>
      </c>
      <c r="G2333" t="s">
        <v>8297</v>
      </c>
      <c r="H2333" t="s">
        <v>210</v>
      </c>
      <c r="I2333" t="s">
        <v>8589</v>
      </c>
      <c r="K2333" t="s">
        <v>8580</v>
      </c>
      <c r="L2333" t="s">
        <v>52</v>
      </c>
      <c r="M2333">
        <v>855</v>
      </c>
      <c r="N2333">
        <v>0</v>
      </c>
      <c r="O2333" t="s">
        <v>61</v>
      </c>
      <c r="P2333">
        <v>100</v>
      </c>
      <c r="Q2333" t="s">
        <v>52</v>
      </c>
      <c r="R2333" t="s">
        <v>52</v>
      </c>
      <c r="S2333" t="s">
        <v>52</v>
      </c>
      <c r="T2333" t="s">
        <v>52</v>
      </c>
      <c r="U2333" t="s">
        <v>52</v>
      </c>
      <c r="V2333" t="s">
        <v>62</v>
      </c>
      <c r="W2333" t="s">
        <v>63</v>
      </c>
      <c r="Y2333" t="s">
        <v>52</v>
      </c>
      <c r="AB2333" t="s">
        <v>8590</v>
      </c>
      <c r="AE2333" t="s">
        <v>8591</v>
      </c>
      <c r="AF2333" t="s">
        <v>52</v>
      </c>
      <c r="AG2333" t="s">
        <v>52</v>
      </c>
      <c r="AH2333">
        <v>0</v>
      </c>
      <c r="AI2333">
        <v>0</v>
      </c>
      <c r="AJ2333" t="s">
        <v>52</v>
      </c>
      <c r="AK2333">
        <v>0</v>
      </c>
      <c r="AL2333" t="s">
        <v>52</v>
      </c>
      <c r="AM2333" t="s">
        <v>52</v>
      </c>
      <c r="AN2333">
        <v>0</v>
      </c>
      <c r="AO2333">
        <v>0</v>
      </c>
      <c r="AP2333" t="s">
        <v>52</v>
      </c>
      <c r="AQ2333" t="s">
        <v>52</v>
      </c>
      <c r="AR2333" t="s">
        <v>62</v>
      </c>
      <c r="AS2333" t="s">
        <v>52</v>
      </c>
      <c r="AT2333" t="s">
        <v>52</v>
      </c>
      <c r="AU2333" t="s">
        <v>64</v>
      </c>
      <c r="AV2333" t="s">
        <v>62</v>
      </c>
      <c r="AW2333" t="s">
        <v>65</v>
      </c>
      <c r="AX2333" t="s">
        <v>66</v>
      </c>
      <c r="AY2333" t="s">
        <v>165</v>
      </c>
    </row>
    <row r="2334" spans="1:51" hidden="1" x14ac:dyDescent="0.25">
      <c r="A2334">
        <v>402372</v>
      </c>
      <c r="B2334" t="s">
        <v>8592</v>
      </c>
      <c r="C2334" t="e">
        <f>VLOOKUP(A2334,[1]Customer_payment_journal_line!$AL:$BO,30,0)</f>
        <v>#N/A</v>
      </c>
      <c r="D2334" t="s">
        <v>159</v>
      </c>
      <c r="E2334" t="s">
        <v>8587</v>
      </c>
      <c r="F2334" t="s">
        <v>8588</v>
      </c>
      <c r="G2334" t="s">
        <v>8297</v>
      </c>
      <c r="H2334" t="s">
        <v>69</v>
      </c>
      <c r="I2334" t="s">
        <v>8582</v>
      </c>
      <c r="J2334" t="s">
        <v>8579</v>
      </c>
      <c r="K2334" t="s">
        <v>8580</v>
      </c>
      <c r="L2334" t="s">
        <v>52</v>
      </c>
      <c r="M2334">
        <v>0</v>
      </c>
      <c r="N2334">
        <v>855</v>
      </c>
      <c r="O2334" t="s">
        <v>61</v>
      </c>
      <c r="P2334">
        <v>100</v>
      </c>
      <c r="Q2334" t="s">
        <v>52</v>
      </c>
      <c r="R2334" t="s">
        <v>52</v>
      </c>
      <c r="S2334" t="s">
        <v>52</v>
      </c>
      <c r="T2334" t="s">
        <v>52</v>
      </c>
      <c r="U2334" t="s">
        <v>52</v>
      </c>
      <c r="V2334" t="s">
        <v>62</v>
      </c>
      <c r="W2334" t="s">
        <v>52</v>
      </c>
      <c r="Y2334" t="s">
        <v>8583</v>
      </c>
      <c r="Z2334" t="s">
        <v>62</v>
      </c>
      <c r="AB2334" t="s">
        <v>8590</v>
      </c>
      <c r="AE2334" t="s">
        <v>8591</v>
      </c>
      <c r="AF2334" t="s">
        <v>52</v>
      </c>
      <c r="AG2334" t="s">
        <v>52</v>
      </c>
      <c r="AH2334">
        <v>0</v>
      </c>
      <c r="AI2334">
        <v>0</v>
      </c>
      <c r="AJ2334" t="s">
        <v>52</v>
      </c>
      <c r="AK2334">
        <v>0</v>
      </c>
      <c r="AL2334" t="s">
        <v>52</v>
      </c>
      <c r="AM2334" t="s">
        <v>52</v>
      </c>
      <c r="AN2334">
        <v>0</v>
      </c>
      <c r="AO2334">
        <v>0</v>
      </c>
      <c r="AP2334" t="s">
        <v>52</v>
      </c>
      <c r="AQ2334" t="s">
        <v>52</v>
      </c>
      <c r="AR2334" t="s">
        <v>62</v>
      </c>
      <c r="AS2334" t="s">
        <v>52</v>
      </c>
      <c r="AT2334" t="s">
        <v>74</v>
      </c>
      <c r="AU2334" t="s">
        <v>64</v>
      </c>
      <c r="AV2334" t="s">
        <v>62</v>
      </c>
      <c r="AW2334" t="s">
        <v>65</v>
      </c>
      <c r="AX2334" t="s">
        <v>66</v>
      </c>
      <c r="AY2334" t="s">
        <v>165</v>
      </c>
    </row>
    <row r="2335" spans="1:51" hidden="1" x14ac:dyDescent="0.25">
      <c r="A2335">
        <v>317171</v>
      </c>
      <c r="B2335" t="s">
        <v>8593</v>
      </c>
      <c r="C2335" t="e">
        <f>VLOOKUP(A2335,[1]Customer_payment_journal_line!$AL:$BO,30,0)</f>
        <v>#N/A</v>
      </c>
      <c r="D2335" t="s">
        <v>159</v>
      </c>
      <c r="E2335" t="s">
        <v>8594</v>
      </c>
      <c r="F2335" t="s">
        <v>8595</v>
      </c>
      <c r="G2335" t="s">
        <v>8297</v>
      </c>
      <c r="H2335" t="s">
        <v>210</v>
      </c>
      <c r="I2335" t="s">
        <v>7975</v>
      </c>
      <c r="J2335" t="s">
        <v>52</v>
      </c>
      <c r="K2335" t="s">
        <v>8580</v>
      </c>
      <c r="L2335" t="s">
        <v>52</v>
      </c>
      <c r="M2335">
        <v>52</v>
      </c>
      <c r="N2335">
        <v>0</v>
      </c>
      <c r="O2335" t="s">
        <v>178</v>
      </c>
      <c r="P2335">
        <v>5085</v>
      </c>
      <c r="Q2335" t="s">
        <v>52</v>
      </c>
      <c r="R2335" t="s">
        <v>52</v>
      </c>
      <c r="S2335" t="s">
        <v>52</v>
      </c>
      <c r="T2335" t="s">
        <v>52</v>
      </c>
      <c r="U2335" t="s">
        <v>52</v>
      </c>
      <c r="V2335" t="s">
        <v>62</v>
      </c>
      <c r="W2335" t="s">
        <v>63</v>
      </c>
      <c r="Y2335" t="s">
        <v>52</v>
      </c>
      <c r="AB2335" t="s">
        <v>8596</v>
      </c>
      <c r="AE2335" t="s">
        <v>8596</v>
      </c>
      <c r="AF2335" t="s">
        <v>52</v>
      </c>
      <c r="AH2335">
        <v>0</v>
      </c>
      <c r="AI2335">
        <v>0</v>
      </c>
      <c r="AJ2335" t="s">
        <v>52</v>
      </c>
      <c r="AK2335">
        <v>0</v>
      </c>
      <c r="AL2335" t="s">
        <v>52</v>
      </c>
      <c r="AM2335" t="s">
        <v>52</v>
      </c>
      <c r="AN2335">
        <v>0</v>
      </c>
      <c r="AO2335">
        <v>0</v>
      </c>
      <c r="AP2335" t="s">
        <v>52</v>
      </c>
      <c r="AQ2335" t="s">
        <v>52</v>
      </c>
      <c r="AR2335" t="s">
        <v>62</v>
      </c>
      <c r="AS2335" t="s">
        <v>52</v>
      </c>
      <c r="AT2335" t="s">
        <v>52</v>
      </c>
      <c r="AU2335" t="s">
        <v>64</v>
      </c>
      <c r="AV2335" t="s">
        <v>62</v>
      </c>
      <c r="AW2335" t="s">
        <v>65</v>
      </c>
      <c r="AX2335" t="s">
        <v>66</v>
      </c>
      <c r="AY2335" t="s">
        <v>165</v>
      </c>
    </row>
    <row r="2336" spans="1:51" hidden="1" x14ac:dyDescent="0.25">
      <c r="A2336">
        <v>317171</v>
      </c>
      <c r="B2336" t="s">
        <v>8597</v>
      </c>
      <c r="C2336" t="e">
        <f>VLOOKUP(A2336,[1]Customer_payment_journal_line!$AL:$BO,30,0)</f>
        <v>#N/A</v>
      </c>
      <c r="D2336" t="s">
        <v>159</v>
      </c>
      <c r="E2336" t="s">
        <v>8594</v>
      </c>
      <c r="F2336" t="s">
        <v>8595</v>
      </c>
      <c r="G2336" t="s">
        <v>8297</v>
      </c>
      <c r="H2336" t="s">
        <v>69</v>
      </c>
      <c r="I2336" t="s">
        <v>8582</v>
      </c>
      <c r="J2336" t="s">
        <v>8598</v>
      </c>
      <c r="K2336" t="s">
        <v>8580</v>
      </c>
      <c r="L2336" t="s">
        <v>52</v>
      </c>
      <c r="M2336">
        <v>0</v>
      </c>
      <c r="N2336">
        <v>50</v>
      </c>
      <c r="O2336" t="s">
        <v>126</v>
      </c>
      <c r="P2336">
        <v>5285</v>
      </c>
      <c r="Q2336" t="s">
        <v>52</v>
      </c>
      <c r="R2336" t="s">
        <v>52</v>
      </c>
      <c r="S2336" t="s">
        <v>52</v>
      </c>
      <c r="T2336" t="s">
        <v>52</v>
      </c>
      <c r="U2336" t="s">
        <v>52</v>
      </c>
      <c r="V2336" t="s">
        <v>62</v>
      </c>
      <c r="W2336" t="s">
        <v>52</v>
      </c>
      <c r="Y2336" t="s">
        <v>8583</v>
      </c>
      <c r="Z2336" t="s">
        <v>62</v>
      </c>
      <c r="AB2336" t="s">
        <v>8596</v>
      </c>
      <c r="AE2336" t="s">
        <v>8596</v>
      </c>
      <c r="AF2336" t="s">
        <v>52</v>
      </c>
      <c r="AH2336">
        <v>0</v>
      </c>
      <c r="AI2336">
        <v>0</v>
      </c>
      <c r="AJ2336" t="s">
        <v>52</v>
      </c>
      <c r="AK2336">
        <v>0</v>
      </c>
      <c r="AL2336" t="s">
        <v>52</v>
      </c>
      <c r="AM2336" t="s">
        <v>52</v>
      </c>
      <c r="AN2336">
        <v>0</v>
      </c>
      <c r="AO2336">
        <v>0</v>
      </c>
      <c r="AP2336" t="s">
        <v>52</v>
      </c>
      <c r="AQ2336" t="s">
        <v>52</v>
      </c>
      <c r="AR2336" t="s">
        <v>62</v>
      </c>
      <c r="AS2336" t="s">
        <v>52</v>
      </c>
      <c r="AT2336" t="s">
        <v>74</v>
      </c>
      <c r="AU2336" t="s">
        <v>64</v>
      </c>
      <c r="AV2336" t="s">
        <v>62</v>
      </c>
      <c r="AW2336" t="s">
        <v>65</v>
      </c>
      <c r="AX2336" t="s">
        <v>66</v>
      </c>
      <c r="AY2336" t="s">
        <v>165</v>
      </c>
    </row>
    <row r="2337" spans="1:51" hidden="1" x14ac:dyDescent="0.25">
      <c r="A2337">
        <v>317171</v>
      </c>
      <c r="B2337" t="s">
        <v>8599</v>
      </c>
      <c r="C2337" t="e">
        <f>VLOOKUP(A2337,[1]Customer_payment_journal_line!$AL:$BO,30,0)</f>
        <v>#N/A</v>
      </c>
      <c r="D2337" t="s">
        <v>159</v>
      </c>
      <c r="E2337" t="s">
        <v>8594</v>
      </c>
      <c r="F2337" t="s">
        <v>8595</v>
      </c>
      <c r="G2337" t="s">
        <v>8297</v>
      </c>
      <c r="H2337" t="s">
        <v>210</v>
      </c>
      <c r="I2337" t="s">
        <v>8600</v>
      </c>
      <c r="J2337" t="s">
        <v>52</v>
      </c>
      <c r="K2337" t="s">
        <v>8580</v>
      </c>
      <c r="L2337" t="s">
        <v>52</v>
      </c>
      <c r="M2337">
        <v>0</v>
      </c>
      <c r="N2337">
        <v>1.7</v>
      </c>
      <c r="O2337" t="s">
        <v>61</v>
      </c>
      <c r="P2337">
        <v>100</v>
      </c>
      <c r="Q2337" t="s">
        <v>52</v>
      </c>
      <c r="R2337" t="s">
        <v>52</v>
      </c>
      <c r="S2337" t="s">
        <v>52</v>
      </c>
      <c r="T2337" t="s">
        <v>52</v>
      </c>
      <c r="U2337" t="s">
        <v>52</v>
      </c>
      <c r="V2337" t="s">
        <v>62</v>
      </c>
      <c r="W2337" t="s">
        <v>63</v>
      </c>
      <c r="Y2337" t="s">
        <v>8583</v>
      </c>
      <c r="AB2337" t="s">
        <v>8596</v>
      </c>
      <c r="AE2337" t="s">
        <v>8596</v>
      </c>
      <c r="AF2337" t="s">
        <v>52</v>
      </c>
      <c r="AH2337">
        <v>0</v>
      </c>
      <c r="AI2337">
        <v>0</v>
      </c>
      <c r="AJ2337" t="s">
        <v>52</v>
      </c>
      <c r="AK2337">
        <v>0</v>
      </c>
      <c r="AL2337" t="s">
        <v>52</v>
      </c>
      <c r="AM2337" t="s">
        <v>52</v>
      </c>
      <c r="AN2337">
        <v>0</v>
      </c>
      <c r="AO2337">
        <v>0</v>
      </c>
      <c r="AP2337" t="s">
        <v>52</v>
      </c>
      <c r="AQ2337" t="s">
        <v>52</v>
      </c>
      <c r="AR2337" t="s">
        <v>62</v>
      </c>
      <c r="AS2337" t="s">
        <v>52</v>
      </c>
      <c r="AT2337" t="s">
        <v>52</v>
      </c>
      <c r="AU2337" t="s">
        <v>64</v>
      </c>
      <c r="AV2337" t="s">
        <v>62</v>
      </c>
      <c r="AW2337" t="s">
        <v>65</v>
      </c>
      <c r="AX2337" t="s">
        <v>66</v>
      </c>
      <c r="AY2337" t="s">
        <v>165</v>
      </c>
    </row>
    <row r="2338" spans="1:51" hidden="1" x14ac:dyDescent="0.25">
      <c r="A2338">
        <v>406259</v>
      </c>
      <c r="B2338" t="s">
        <v>8601</v>
      </c>
      <c r="C2338" t="e">
        <f>VLOOKUP(A2338,[1]Customer_payment_journal_line!$AL:$BO,30,0)</f>
        <v>#N/A</v>
      </c>
      <c r="D2338" t="s">
        <v>53</v>
      </c>
      <c r="E2338" t="s">
        <v>8602</v>
      </c>
      <c r="F2338" t="s">
        <v>8603</v>
      </c>
      <c r="G2338" t="s">
        <v>8297</v>
      </c>
      <c r="H2338" t="s">
        <v>57</v>
      </c>
      <c r="I2338" t="s">
        <v>1349</v>
      </c>
      <c r="J2338" t="s">
        <v>8604</v>
      </c>
      <c r="K2338" t="s">
        <v>5593</v>
      </c>
      <c r="L2338" t="s">
        <v>52</v>
      </c>
      <c r="M2338">
        <v>2314.1999999999998</v>
      </c>
      <c r="N2338">
        <v>0</v>
      </c>
      <c r="O2338" t="s">
        <v>61</v>
      </c>
      <c r="P2338">
        <v>100</v>
      </c>
      <c r="Q2338" t="s">
        <v>52</v>
      </c>
      <c r="R2338" t="s">
        <v>52</v>
      </c>
      <c r="S2338" t="s">
        <v>52</v>
      </c>
      <c r="T2338" t="s">
        <v>52</v>
      </c>
      <c r="U2338" t="s">
        <v>52</v>
      </c>
      <c r="V2338" t="s">
        <v>62</v>
      </c>
      <c r="W2338" t="s">
        <v>63</v>
      </c>
      <c r="Y2338" t="s">
        <v>52</v>
      </c>
      <c r="AB2338" t="s">
        <v>52</v>
      </c>
      <c r="AE2338" t="s">
        <v>52</v>
      </c>
      <c r="AF2338" t="s">
        <v>52</v>
      </c>
      <c r="AH2338">
        <v>0</v>
      </c>
      <c r="AI2338">
        <v>0</v>
      </c>
      <c r="AJ2338" t="s">
        <v>52</v>
      </c>
      <c r="AK2338">
        <v>0</v>
      </c>
      <c r="AL2338" t="s">
        <v>52</v>
      </c>
      <c r="AM2338" t="s">
        <v>52</v>
      </c>
      <c r="AN2338">
        <v>0</v>
      </c>
      <c r="AO2338">
        <v>0</v>
      </c>
      <c r="AP2338" t="s">
        <v>52</v>
      </c>
      <c r="AQ2338" t="s">
        <v>52</v>
      </c>
      <c r="AR2338" t="s">
        <v>62</v>
      </c>
      <c r="AS2338" t="s">
        <v>52</v>
      </c>
      <c r="AT2338" t="s">
        <v>52</v>
      </c>
      <c r="AU2338" t="s">
        <v>64</v>
      </c>
      <c r="AV2338" t="s">
        <v>62</v>
      </c>
      <c r="AW2338" t="s">
        <v>65</v>
      </c>
      <c r="AX2338" t="s">
        <v>66</v>
      </c>
      <c r="AY2338" t="s">
        <v>67</v>
      </c>
    </row>
    <row r="2339" spans="1:51" hidden="1" x14ac:dyDescent="0.25">
      <c r="A2339">
        <v>406259</v>
      </c>
      <c r="B2339" t="s">
        <v>8605</v>
      </c>
      <c r="C2339" t="e">
        <f>VLOOKUP(A2339,[1]Customer_payment_journal_line!$AL:$BO,30,0)</f>
        <v>#N/A</v>
      </c>
      <c r="D2339" t="s">
        <v>53</v>
      </c>
      <c r="E2339" t="s">
        <v>8602</v>
      </c>
      <c r="F2339" t="s">
        <v>8603</v>
      </c>
      <c r="G2339" t="s">
        <v>8297</v>
      </c>
      <c r="H2339" t="s">
        <v>69</v>
      </c>
      <c r="I2339" t="s">
        <v>5596</v>
      </c>
      <c r="J2339" t="s">
        <v>8604</v>
      </c>
      <c r="K2339" t="s">
        <v>5593</v>
      </c>
      <c r="L2339" t="s">
        <v>52</v>
      </c>
      <c r="M2339">
        <v>0</v>
      </c>
      <c r="N2339">
        <v>2314.1999999999998</v>
      </c>
      <c r="O2339" t="s">
        <v>61</v>
      </c>
      <c r="P2339">
        <v>100</v>
      </c>
      <c r="Q2339" t="s">
        <v>52</v>
      </c>
      <c r="R2339" t="s">
        <v>52</v>
      </c>
      <c r="S2339" t="s">
        <v>52</v>
      </c>
      <c r="T2339" t="s">
        <v>52</v>
      </c>
      <c r="U2339" t="s">
        <v>52</v>
      </c>
      <c r="V2339" t="s">
        <v>62</v>
      </c>
      <c r="W2339" t="s">
        <v>52</v>
      </c>
      <c r="Y2339" t="s">
        <v>5598</v>
      </c>
      <c r="Z2339" t="s">
        <v>62</v>
      </c>
      <c r="AB2339" t="s">
        <v>8606</v>
      </c>
      <c r="AE2339" t="s">
        <v>8607</v>
      </c>
      <c r="AF2339" t="s">
        <v>52</v>
      </c>
      <c r="AH2339">
        <v>0</v>
      </c>
      <c r="AI2339">
        <v>0</v>
      </c>
      <c r="AJ2339" t="s">
        <v>52</v>
      </c>
      <c r="AK2339">
        <v>0</v>
      </c>
      <c r="AL2339" t="s">
        <v>52</v>
      </c>
      <c r="AM2339" t="s">
        <v>52</v>
      </c>
      <c r="AN2339">
        <v>0</v>
      </c>
      <c r="AO2339">
        <v>0</v>
      </c>
      <c r="AP2339" t="s">
        <v>52</v>
      </c>
      <c r="AQ2339" t="s">
        <v>52</v>
      </c>
      <c r="AR2339" t="s">
        <v>62</v>
      </c>
      <c r="AS2339" t="s">
        <v>52</v>
      </c>
      <c r="AT2339" t="s">
        <v>74</v>
      </c>
      <c r="AU2339" t="s">
        <v>64</v>
      </c>
      <c r="AV2339" t="s">
        <v>62</v>
      </c>
      <c r="AW2339" t="s">
        <v>65</v>
      </c>
      <c r="AX2339" t="s">
        <v>66</v>
      </c>
      <c r="AY2339" t="s">
        <v>67</v>
      </c>
    </row>
    <row r="2340" spans="1:51" hidden="1" x14ac:dyDescent="0.25">
      <c r="A2340">
        <v>404176</v>
      </c>
      <c r="B2340" t="s">
        <v>8608</v>
      </c>
      <c r="C2340" t="e">
        <f>VLOOKUP(A2340,[1]Customer_payment_journal_line!$AL:$BO,30,0)</f>
        <v>#N/A</v>
      </c>
      <c r="D2340" t="s">
        <v>53</v>
      </c>
      <c r="E2340" t="s">
        <v>8609</v>
      </c>
      <c r="F2340" t="s">
        <v>8610</v>
      </c>
      <c r="G2340" t="s">
        <v>8297</v>
      </c>
      <c r="H2340" t="s">
        <v>57</v>
      </c>
      <c r="I2340" t="s">
        <v>58</v>
      </c>
      <c r="J2340" t="s">
        <v>2525</v>
      </c>
      <c r="K2340" t="s">
        <v>8611</v>
      </c>
      <c r="L2340" t="s">
        <v>52</v>
      </c>
      <c r="M2340">
        <v>3306</v>
      </c>
      <c r="N2340">
        <v>0</v>
      </c>
      <c r="O2340" t="s">
        <v>61</v>
      </c>
      <c r="P2340">
        <v>100</v>
      </c>
      <c r="Q2340" t="s">
        <v>52</v>
      </c>
      <c r="R2340" t="s">
        <v>52</v>
      </c>
      <c r="S2340" t="s">
        <v>52</v>
      </c>
      <c r="T2340" t="s">
        <v>52</v>
      </c>
      <c r="U2340" t="s">
        <v>52</v>
      </c>
      <c r="V2340" t="s">
        <v>62</v>
      </c>
      <c r="W2340" t="s">
        <v>63</v>
      </c>
      <c r="Y2340" t="s">
        <v>52</v>
      </c>
      <c r="AB2340" t="s">
        <v>52</v>
      </c>
      <c r="AE2340" t="s">
        <v>52</v>
      </c>
      <c r="AF2340" t="s">
        <v>52</v>
      </c>
      <c r="AH2340">
        <v>0</v>
      </c>
      <c r="AI2340">
        <v>0</v>
      </c>
      <c r="AJ2340" t="s">
        <v>52</v>
      </c>
      <c r="AK2340">
        <v>0</v>
      </c>
      <c r="AL2340" t="s">
        <v>52</v>
      </c>
      <c r="AM2340" t="s">
        <v>52</v>
      </c>
      <c r="AN2340">
        <v>0</v>
      </c>
      <c r="AO2340">
        <v>0</v>
      </c>
      <c r="AP2340" t="s">
        <v>52</v>
      </c>
      <c r="AQ2340" t="s">
        <v>52</v>
      </c>
      <c r="AR2340" t="s">
        <v>62</v>
      </c>
      <c r="AS2340" t="s">
        <v>52</v>
      </c>
      <c r="AT2340" t="s">
        <v>52</v>
      </c>
      <c r="AU2340" t="s">
        <v>64</v>
      </c>
      <c r="AV2340" t="s">
        <v>62</v>
      </c>
      <c r="AW2340" t="s">
        <v>65</v>
      </c>
      <c r="AX2340" t="s">
        <v>66</v>
      </c>
      <c r="AY2340" t="s">
        <v>67</v>
      </c>
    </row>
    <row r="2341" spans="1:51" hidden="1" x14ac:dyDescent="0.25">
      <c r="A2341">
        <v>404176</v>
      </c>
      <c r="B2341" t="s">
        <v>8612</v>
      </c>
      <c r="C2341" t="e">
        <f>VLOOKUP(A2341,[1]Customer_payment_journal_line!$AL:$BO,30,0)</f>
        <v>#N/A</v>
      </c>
      <c r="D2341" t="s">
        <v>53</v>
      </c>
      <c r="E2341" t="s">
        <v>8609</v>
      </c>
      <c r="F2341" t="s">
        <v>8610</v>
      </c>
      <c r="G2341" t="s">
        <v>8297</v>
      </c>
      <c r="H2341" t="s">
        <v>69</v>
      </c>
      <c r="I2341" t="s">
        <v>339</v>
      </c>
      <c r="J2341" t="s">
        <v>2525</v>
      </c>
      <c r="K2341" t="s">
        <v>8611</v>
      </c>
      <c r="L2341" t="s">
        <v>52</v>
      </c>
      <c r="M2341">
        <v>0</v>
      </c>
      <c r="N2341">
        <v>3306</v>
      </c>
      <c r="O2341" t="s">
        <v>61</v>
      </c>
      <c r="P2341">
        <v>100</v>
      </c>
      <c r="Q2341" t="s">
        <v>52</v>
      </c>
      <c r="R2341" t="s">
        <v>52</v>
      </c>
      <c r="S2341" t="s">
        <v>52</v>
      </c>
      <c r="T2341" t="s">
        <v>52</v>
      </c>
      <c r="U2341" t="s">
        <v>52</v>
      </c>
      <c r="V2341" t="s">
        <v>62</v>
      </c>
      <c r="W2341" t="s">
        <v>52</v>
      </c>
      <c r="Y2341" t="s">
        <v>340</v>
      </c>
      <c r="Z2341" t="s">
        <v>62</v>
      </c>
      <c r="AB2341" t="s">
        <v>8613</v>
      </c>
      <c r="AE2341" t="s">
        <v>8614</v>
      </c>
      <c r="AF2341" t="s">
        <v>52</v>
      </c>
      <c r="AH2341">
        <v>0</v>
      </c>
      <c r="AI2341">
        <v>0</v>
      </c>
      <c r="AJ2341" t="s">
        <v>52</v>
      </c>
      <c r="AK2341">
        <v>0</v>
      </c>
      <c r="AL2341" t="s">
        <v>52</v>
      </c>
      <c r="AM2341" t="s">
        <v>52</v>
      </c>
      <c r="AN2341">
        <v>0</v>
      </c>
      <c r="AO2341">
        <v>0</v>
      </c>
      <c r="AP2341" t="s">
        <v>52</v>
      </c>
      <c r="AQ2341" t="s">
        <v>52</v>
      </c>
      <c r="AR2341" t="s">
        <v>62</v>
      </c>
      <c r="AS2341" t="s">
        <v>52</v>
      </c>
      <c r="AT2341" t="s">
        <v>74</v>
      </c>
      <c r="AU2341" t="s">
        <v>64</v>
      </c>
      <c r="AV2341" t="s">
        <v>62</v>
      </c>
      <c r="AW2341" t="s">
        <v>65</v>
      </c>
      <c r="AX2341" t="s">
        <v>66</v>
      </c>
      <c r="AY2341" t="s">
        <v>67</v>
      </c>
    </row>
    <row r="2342" spans="1:51" hidden="1" x14ac:dyDescent="0.25">
      <c r="A2342">
        <v>401633</v>
      </c>
      <c r="B2342" t="s">
        <v>8615</v>
      </c>
      <c r="C2342" t="e">
        <f>VLOOKUP(A2342,[1]Customer_payment_journal_line!$AL:$BO,30,0)</f>
        <v>#N/A</v>
      </c>
      <c r="D2342" t="s">
        <v>53</v>
      </c>
      <c r="E2342" t="s">
        <v>8616</v>
      </c>
      <c r="F2342" t="s">
        <v>8617</v>
      </c>
      <c r="G2342" t="s">
        <v>8297</v>
      </c>
      <c r="H2342" t="s">
        <v>57</v>
      </c>
      <c r="I2342" t="s">
        <v>58</v>
      </c>
      <c r="J2342" t="s">
        <v>2525</v>
      </c>
      <c r="K2342" t="s">
        <v>8611</v>
      </c>
      <c r="L2342" t="s">
        <v>52</v>
      </c>
      <c r="M2342">
        <v>855</v>
      </c>
      <c r="N2342">
        <v>0</v>
      </c>
      <c r="O2342" t="s">
        <v>61</v>
      </c>
      <c r="P2342">
        <v>100</v>
      </c>
      <c r="Q2342" t="s">
        <v>52</v>
      </c>
      <c r="R2342" t="s">
        <v>52</v>
      </c>
      <c r="S2342" t="s">
        <v>52</v>
      </c>
      <c r="T2342" t="s">
        <v>52</v>
      </c>
      <c r="U2342" t="s">
        <v>52</v>
      </c>
      <c r="V2342" t="s">
        <v>62</v>
      </c>
      <c r="W2342" t="s">
        <v>63</v>
      </c>
      <c r="Y2342" t="s">
        <v>52</v>
      </c>
      <c r="AB2342" t="s">
        <v>52</v>
      </c>
      <c r="AE2342" t="s">
        <v>52</v>
      </c>
      <c r="AF2342" t="s">
        <v>52</v>
      </c>
      <c r="AH2342">
        <v>0</v>
      </c>
      <c r="AI2342">
        <v>0</v>
      </c>
      <c r="AJ2342" t="s">
        <v>52</v>
      </c>
      <c r="AK2342">
        <v>0</v>
      </c>
      <c r="AL2342" t="s">
        <v>52</v>
      </c>
      <c r="AM2342" t="s">
        <v>52</v>
      </c>
      <c r="AN2342">
        <v>0</v>
      </c>
      <c r="AO2342">
        <v>0</v>
      </c>
      <c r="AP2342" t="s">
        <v>52</v>
      </c>
      <c r="AQ2342" t="s">
        <v>52</v>
      </c>
      <c r="AR2342" t="s">
        <v>62</v>
      </c>
      <c r="AS2342" t="s">
        <v>52</v>
      </c>
      <c r="AT2342" t="s">
        <v>52</v>
      </c>
      <c r="AU2342" t="s">
        <v>64</v>
      </c>
      <c r="AV2342" t="s">
        <v>62</v>
      </c>
      <c r="AW2342" t="s">
        <v>65</v>
      </c>
      <c r="AX2342" t="s">
        <v>66</v>
      </c>
      <c r="AY2342" t="s">
        <v>67</v>
      </c>
    </row>
    <row r="2343" spans="1:51" hidden="1" x14ac:dyDescent="0.25">
      <c r="A2343">
        <v>401633</v>
      </c>
      <c r="B2343" t="s">
        <v>8618</v>
      </c>
      <c r="C2343" t="e">
        <f>VLOOKUP(A2343,[1]Customer_payment_journal_line!$AL:$BO,30,0)</f>
        <v>#N/A</v>
      </c>
      <c r="D2343" t="s">
        <v>53</v>
      </c>
      <c r="E2343" t="s">
        <v>8616</v>
      </c>
      <c r="F2343" t="s">
        <v>8617</v>
      </c>
      <c r="G2343" t="s">
        <v>8297</v>
      </c>
      <c r="H2343" t="s">
        <v>69</v>
      </c>
      <c r="I2343" t="s">
        <v>339</v>
      </c>
      <c r="J2343" t="s">
        <v>2525</v>
      </c>
      <c r="K2343" t="s">
        <v>8611</v>
      </c>
      <c r="L2343" t="s">
        <v>52</v>
      </c>
      <c r="M2343">
        <v>0</v>
      </c>
      <c r="N2343">
        <v>855</v>
      </c>
      <c r="O2343" t="s">
        <v>61</v>
      </c>
      <c r="P2343">
        <v>100</v>
      </c>
      <c r="Q2343" t="s">
        <v>52</v>
      </c>
      <c r="R2343" t="s">
        <v>52</v>
      </c>
      <c r="S2343" t="s">
        <v>52</v>
      </c>
      <c r="T2343" t="s">
        <v>52</v>
      </c>
      <c r="U2343" t="s">
        <v>52</v>
      </c>
      <c r="V2343" t="s">
        <v>62</v>
      </c>
      <c r="W2343" t="s">
        <v>52</v>
      </c>
      <c r="Y2343" t="s">
        <v>340</v>
      </c>
      <c r="Z2343" t="s">
        <v>62</v>
      </c>
      <c r="AB2343" t="s">
        <v>8619</v>
      </c>
      <c r="AE2343" t="s">
        <v>8620</v>
      </c>
      <c r="AF2343" t="s">
        <v>52</v>
      </c>
      <c r="AH2343">
        <v>0</v>
      </c>
      <c r="AI2343">
        <v>0</v>
      </c>
      <c r="AJ2343" t="s">
        <v>52</v>
      </c>
      <c r="AK2343">
        <v>0</v>
      </c>
      <c r="AL2343" t="s">
        <v>52</v>
      </c>
      <c r="AM2343" t="s">
        <v>52</v>
      </c>
      <c r="AN2343">
        <v>0</v>
      </c>
      <c r="AO2343">
        <v>0</v>
      </c>
      <c r="AP2343" t="s">
        <v>52</v>
      </c>
      <c r="AQ2343" t="s">
        <v>52</v>
      </c>
      <c r="AR2343" t="s">
        <v>62</v>
      </c>
      <c r="AS2343" t="s">
        <v>52</v>
      </c>
      <c r="AT2343" t="s">
        <v>74</v>
      </c>
      <c r="AU2343" t="s">
        <v>64</v>
      </c>
      <c r="AV2343" t="s">
        <v>62</v>
      </c>
      <c r="AW2343" t="s">
        <v>65</v>
      </c>
      <c r="AX2343" t="s">
        <v>66</v>
      </c>
      <c r="AY2343" t="s">
        <v>67</v>
      </c>
    </row>
    <row r="2344" spans="1:51" hidden="1" x14ac:dyDescent="0.25">
      <c r="A2344">
        <v>403005</v>
      </c>
      <c r="B2344" t="s">
        <v>8621</v>
      </c>
      <c r="C2344" t="e">
        <f>VLOOKUP(A2344,[1]Customer_payment_journal_line!$AL:$BO,30,0)</f>
        <v>#N/A</v>
      </c>
      <c r="D2344" t="s">
        <v>53</v>
      </c>
      <c r="E2344" t="s">
        <v>8622</v>
      </c>
      <c r="F2344" t="s">
        <v>8623</v>
      </c>
      <c r="G2344" t="s">
        <v>8297</v>
      </c>
      <c r="H2344" t="s">
        <v>57</v>
      </c>
      <c r="I2344" t="s">
        <v>58</v>
      </c>
      <c r="J2344" t="s">
        <v>2525</v>
      </c>
      <c r="K2344" t="s">
        <v>8624</v>
      </c>
      <c r="L2344" t="s">
        <v>52</v>
      </c>
      <c r="M2344">
        <v>5358</v>
      </c>
      <c r="N2344">
        <v>0</v>
      </c>
      <c r="O2344" t="s">
        <v>61</v>
      </c>
      <c r="P2344">
        <v>100</v>
      </c>
      <c r="Q2344" t="s">
        <v>52</v>
      </c>
      <c r="R2344" t="s">
        <v>52</v>
      </c>
      <c r="S2344" t="s">
        <v>52</v>
      </c>
      <c r="T2344" t="s">
        <v>52</v>
      </c>
      <c r="U2344" t="s">
        <v>52</v>
      </c>
      <c r="V2344" t="s">
        <v>62</v>
      </c>
      <c r="W2344" t="s">
        <v>63</v>
      </c>
      <c r="Y2344" t="s">
        <v>52</v>
      </c>
      <c r="AB2344" t="s">
        <v>52</v>
      </c>
      <c r="AE2344" t="s">
        <v>52</v>
      </c>
      <c r="AF2344" t="s">
        <v>52</v>
      </c>
      <c r="AH2344">
        <v>0</v>
      </c>
      <c r="AI2344">
        <v>0</v>
      </c>
      <c r="AJ2344" t="s">
        <v>52</v>
      </c>
      <c r="AK2344">
        <v>0</v>
      </c>
      <c r="AL2344" t="s">
        <v>52</v>
      </c>
      <c r="AM2344" t="s">
        <v>52</v>
      </c>
      <c r="AN2344">
        <v>0</v>
      </c>
      <c r="AO2344">
        <v>0</v>
      </c>
      <c r="AP2344" t="s">
        <v>52</v>
      </c>
      <c r="AQ2344" t="s">
        <v>52</v>
      </c>
      <c r="AR2344" t="s">
        <v>62</v>
      </c>
      <c r="AS2344" t="s">
        <v>52</v>
      </c>
      <c r="AT2344" t="s">
        <v>52</v>
      </c>
      <c r="AU2344" t="s">
        <v>64</v>
      </c>
      <c r="AV2344" t="s">
        <v>62</v>
      </c>
      <c r="AW2344" t="s">
        <v>65</v>
      </c>
      <c r="AX2344" t="s">
        <v>66</v>
      </c>
      <c r="AY2344" t="s">
        <v>67</v>
      </c>
    </row>
    <row r="2345" spans="1:51" hidden="1" x14ac:dyDescent="0.25">
      <c r="A2345">
        <v>403005</v>
      </c>
      <c r="B2345" t="s">
        <v>8625</v>
      </c>
      <c r="C2345" t="e">
        <f>VLOOKUP(A2345,[1]Customer_payment_journal_line!$AL:$BO,30,0)</f>
        <v>#N/A</v>
      </c>
      <c r="D2345" t="s">
        <v>53</v>
      </c>
      <c r="E2345" t="s">
        <v>8622</v>
      </c>
      <c r="F2345" t="s">
        <v>8623</v>
      </c>
      <c r="G2345" t="s">
        <v>8297</v>
      </c>
      <c r="H2345" t="s">
        <v>69</v>
      </c>
      <c r="I2345" t="s">
        <v>339</v>
      </c>
      <c r="J2345" t="s">
        <v>2525</v>
      </c>
      <c r="K2345" t="s">
        <v>8624</v>
      </c>
      <c r="L2345" t="s">
        <v>52</v>
      </c>
      <c r="M2345">
        <v>0</v>
      </c>
      <c r="N2345">
        <v>5358</v>
      </c>
      <c r="O2345" t="s">
        <v>61</v>
      </c>
      <c r="P2345">
        <v>100</v>
      </c>
      <c r="Q2345" t="s">
        <v>52</v>
      </c>
      <c r="R2345" t="s">
        <v>52</v>
      </c>
      <c r="S2345" t="s">
        <v>52</v>
      </c>
      <c r="T2345" t="s">
        <v>52</v>
      </c>
      <c r="U2345" t="s">
        <v>52</v>
      </c>
      <c r="V2345" t="s">
        <v>62</v>
      </c>
      <c r="W2345" t="s">
        <v>52</v>
      </c>
      <c r="Y2345" t="s">
        <v>340</v>
      </c>
      <c r="Z2345" t="s">
        <v>62</v>
      </c>
      <c r="AB2345" t="s">
        <v>8626</v>
      </c>
      <c r="AE2345" t="s">
        <v>8627</v>
      </c>
      <c r="AF2345" t="s">
        <v>52</v>
      </c>
      <c r="AH2345">
        <v>0</v>
      </c>
      <c r="AI2345">
        <v>0</v>
      </c>
      <c r="AJ2345" t="s">
        <v>52</v>
      </c>
      <c r="AK2345">
        <v>0</v>
      </c>
      <c r="AL2345" t="s">
        <v>52</v>
      </c>
      <c r="AM2345" t="s">
        <v>52</v>
      </c>
      <c r="AN2345">
        <v>0</v>
      </c>
      <c r="AO2345">
        <v>0</v>
      </c>
      <c r="AP2345" t="s">
        <v>52</v>
      </c>
      <c r="AQ2345" t="s">
        <v>52</v>
      </c>
      <c r="AR2345" t="s">
        <v>62</v>
      </c>
      <c r="AS2345" t="s">
        <v>52</v>
      </c>
      <c r="AT2345" t="s">
        <v>74</v>
      </c>
      <c r="AU2345" t="s">
        <v>64</v>
      </c>
      <c r="AV2345" t="s">
        <v>62</v>
      </c>
      <c r="AW2345" t="s">
        <v>65</v>
      </c>
      <c r="AX2345" t="s">
        <v>66</v>
      </c>
      <c r="AY2345" t="s">
        <v>67</v>
      </c>
    </row>
    <row r="2346" spans="1:51" hidden="1" x14ac:dyDescent="0.25">
      <c r="A2346">
        <v>403965</v>
      </c>
      <c r="B2346" t="s">
        <v>8628</v>
      </c>
      <c r="C2346" t="e">
        <f>VLOOKUP(A2346,[1]Customer_payment_journal_line!$AL:$BO,30,0)</f>
        <v>#N/A</v>
      </c>
      <c r="D2346" t="s">
        <v>53</v>
      </c>
      <c r="E2346" t="s">
        <v>8629</v>
      </c>
      <c r="F2346" t="s">
        <v>8630</v>
      </c>
      <c r="G2346" t="s">
        <v>8297</v>
      </c>
      <c r="H2346" t="s">
        <v>57</v>
      </c>
      <c r="I2346" t="s">
        <v>58</v>
      </c>
      <c r="J2346" t="s">
        <v>2525</v>
      </c>
      <c r="K2346" t="s">
        <v>8624</v>
      </c>
      <c r="L2346" t="s">
        <v>52</v>
      </c>
      <c r="M2346">
        <v>855</v>
      </c>
      <c r="N2346">
        <v>0</v>
      </c>
      <c r="O2346" t="s">
        <v>61</v>
      </c>
      <c r="P2346">
        <v>100</v>
      </c>
      <c r="Q2346" t="s">
        <v>52</v>
      </c>
      <c r="R2346" t="s">
        <v>52</v>
      </c>
      <c r="S2346" t="s">
        <v>52</v>
      </c>
      <c r="T2346" t="s">
        <v>52</v>
      </c>
      <c r="U2346" t="s">
        <v>52</v>
      </c>
      <c r="V2346" t="s">
        <v>62</v>
      </c>
      <c r="W2346" t="s">
        <v>63</v>
      </c>
      <c r="Y2346" t="s">
        <v>52</v>
      </c>
      <c r="AB2346" t="s">
        <v>52</v>
      </c>
      <c r="AE2346" t="s">
        <v>52</v>
      </c>
      <c r="AF2346" t="s">
        <v>52</v>
      </c>
      <c r="AH2346">
        <v>0</v>
      </c>
      <c r="AI2346">
        <v>0</v>
      </c>
      <c r="AJ2346" t="s">
        <v>52</v>
      </c>
      <c r="AK2346">
        <v>0</v>
      </c>
      <c r="AL2346" t="s">
        <v>52</v>
      </c>
      <c r="AM2346" t="s">
        <v>52</v>
      </c>
      <c r="AN2346">
        <v>0</v>
      </c>
      <c r="AO2346">
        <v>0</v>
      </c>
      <c r="AP2346" t="s">
        <v>52</v>
      </c>
      <c r="AQ2346" t="s">
        <v>52</v>
      </c>
      <c r="AR2346" t="s">
        <v>62</v>
      </c>
      <c r="AS2346" t="s">
        <v>52</v>
      </c>
      <c r="AT2346" t="s">
        <v>52</v>
      </c>
      <c r="AU2346" t="s">
        <v>64</v>
      </c>
      <c r="AV2346" t="s">
        <v>62</v>
      </c>
      <c r="AW2346" t="s">
        <v>65</v>
      </c>
      <c r="AX2346" t="s">
        <v>66</v>
      </c>
      <c r="AY2346" t="s">
        <v>67</v>
      </c>
    </row>
    <row r="2347" spans="1:51" hidden="1" x14ac:dyDescent="0.25">
      <c r="A2347">
        <v>403965</v>
      </c>
      <c r="B2347" t="s">
        <v>8631</v>
      </c>
      <c r="C2347" t="e">
        <f>VLOOKUP(A2347,[1]Customer_payment_journal_line!$AL:$BO,30,0)</f>
        <v>#N/A</v>
      </c>
      <c r="D2347" t="s">
        <v>53</v>
      </c>
      <c r="E2347" t="s">
        <v>8629</v>
      </c>
      <c r="F2347" t="s">
        <v>8630</v>
      </c>
      <c r="G2347" t="s">
        <v>8297</v>
      </c>
      <c r="H2347" t="s">
        <v>69</v>
      </c>
      <c r="I2347" t="s">
        <v>339</v>
      </c>
      <c r="J2347" t="s">
        <v>2525</v>
      </c>
      <c r="K2347" t="s">
        <v>8624</v>
      </c>
      <c r="L2347" t="s">
        <v>52</v>
      </c>
      <c r="M2347">
        <v>0</v>
      </c>
      <c r="N2347">
        <v>855</v>
      </c>
      <c r="O2347" t="s">
        <v>61</v>
      </c>
      <c r="P2347">
        <v>100</v>
      </c>
      <c r="Q2347" t="s">
        <v>52</v>
      </c>
      <c r="R2347" t="s">
        <v>52</v>
      </c>
      <c r="S2347" t="s">
        <v>52</v>
      </c>
      <c r="T2347" t="s">
        <v>52</v>
      </c>
      <c r="U2347" t="s">
        <v>52</v>
      </c>
      <c r="V2347" t="s">
        <v>62</v>
      </c>
      <c r="W2347" t="s">
        <v>52</v>
      </c>
      <c r="Y2347" t="s">
        <v>340</v>
      </c>
      <c r="Z2347" t="s">
        <v>62</v>
      </c>
      <c r="AB2347" t="s">
        <v>8632</v>
      </c>
      <c r="AE2347" t="s">
        <v>8633</v>
      </c>
      <c r="AF2347" t="s">
        <v>52</v>
      </c>
      <c r="AH2347">
        <v>0</v>
      </c>
      <c r="AI2347">
        <v>0</v>
      </c>
      <c r="AJ2347" t="s">
        <v>52</v>
      </c>
      <c r="AK2347">
        <v>0</v>
      </c>
      <c r="AL2347" t="s">
        <v>52</v>
      </c>
      <c r="AM2347" t="s">
        <v>52</v>
      </c>
      <c r="AN2347">
        <v>0</v>
      </c>
      <c r="AO2347">
        <v>0</v>
      </c>
      <c r="AP2347" t="s">
        <v>52</v>
      </c>
      <c r="AQ2347" t="s">
        <v>52</v>
      </c>
      <c r="AR2347" t="s">
        <v>62</v>
      </c>
      <c r="AS2347" t="s">
        <v>52</v>
      </c>
      <c r="AT2347" t="s">
        <v>74</v>
      </c>
      <c r="AU2347" t="s">
        <v>64</v>
      </c>
      <c r="AV2347" t="s">
        <v>62</v>
      </c>
      <c r="AW2347" t="s">
        <v>65</v>
      </c>
      <c r="AX2347" t="s">
        <v>66</v>
      </c>
      <c r="AY2347" t="s">
        <v>67</v>
      </c>
    </row>
    <row r="2348" spans="1:51" hidden="1" x14ac:dyDescent="0.25">
      <c r="A2348">
        <v>402229</v>
      </c>
      <c r="B2348" t="s">
        <v>8634</v>
      </c>
      <c r="C2348" t="e">
        <f>VLOOKUP(A2348,[1]Customer_payment_journal_line!$AL:$BO,30,0)</f>
        <v>#N/A</v>
      </c>
      <c r="D2348" t="s">
        <v>53</v>
      </c>
      <c r="E2348" t="s">
        <v>8635</v>
      </c>
      <c r="F2348" t="s">
        <v>8636</v>
      </c>
      <c r="G2348" t="s">
        <v>8297</v>
      </c>
      <c r="H2348" t="s">
        <v>57</v>
      </c>
      <c r="I2348" t="s">
        <v>58</v>
      </c>
      <c r="J2348" t="s">
        <v>2525</v>
      </c>
      <c r="K2348" t="s">
        <v>8637</v>
      </c>
      <c r="L2348" t="s">
        <v>52</v>
      </c>
      <c r="M2348">
        <v>1482</v>
      </c>
      <c r="N2348">
        <v>0</v>
      </c>
      <c r="O2348" t="s">
        <v>61</v>
      </c>
      <c r="P2348">
        <v>100</v>
      </c>
      <c r="Q2348" t="s">
        <v>52</v>
      </c>
      <c r="R2348" t="s">
        <v>52</v>
      </c>
      <c r="S2348" t="s">
        <v>52</v>
      </c>
      <c r="T2348" t="s">
        <v>52</v>
      </c>
      <c r="U2348" t="s">
        <v>52</v>
      </c>
      <c r="V2348" t="s">
        <v>62</v>
      </c>
      <c r="W2348" t="s">
        <v>63</v>
      </c>
      <c r="Y2348" t="s">
        <v>52</v>
      </c>
      <c r="AB2348" t="s">
        <v>52</v>
      </c>
      <c r="AE2348" t="s">
        <v>52</v>
      </c>
      <c r="AF2348" t="s">
        <v>52</v>
      </c>
      <c r="AH2348">
        <v>0</v>
      </c>
      <c r="AI2348">
        <v>0</v>
      </c>
      <c r="AJ2348" t="s">
        <v>52</v>
      </c>
      <c r="AK2348">
        <v>0</v>
      </c>
      <c r="AL2348" t="s">
        <v>52</v>
      </c>
      <c r="AM2348" t="s">
        <v>52</v>
      </c>
      <c r="AN2348">
        <v>0</v>
      </c>
      <c r="AO2348">
        <v>0</v>
      </c>
      <c r="AP2348" t="s">
        <v>52</v>
      </c>
      <c r="AQ2348" t="s">
        <v>52</v>
      </c>
      <c r="AR2348" t="s">
        <v>62</v>
      </c>
      <c r="AS2348" t="s">
        <v>52</v>
      </c>
      <c r="AT2348" t="s">
        <v>52</v>
      </c>
      <c r="AU2348" t="s">
        <v>64</v>
      </c>
      <c r="AV2348" t="s">
        <v>62</v>
      </c>
      <c r="AW2348" t="s">
        <v>65</v>
      </c>
      <c r="AX2348" t="s">
        <v>66</v>
      </c>
      <c r="AY2348" t="s">
        <v>67</v>
      </c>
    </row>
    <row r="2349" spans="1:51" hidden="1" x14ac:dyDescent="0.25">
      <c r="A2349">
        <v>402229</v>
      </c>
      <c r="B2349" t="s">
        <v>8638</v>
      </c>
      <c r="C2349" t="e">
        <f>VLOOKUP(A2349,[1]Customer_payment_journal_line!$AL:$BO,30,0)</f>
        <v>#N/A</v>
      </c>
      <c r="D2349" t="s">
        <v>53</v>
      </c>
      <c r="E2349" t="s">
        <v>8635</v>
      </c>
      <c r="F2349" t="s">
        <v>8636</v>
      </c>
      <c r="G2349" t="s">
        <v>8297</v>
      </c>
      <c r="H2349" t="s">
        <v>69</v>
      </c>
      <c r="I2349" t="s">
        <v>339</v>
      </c>
      <c r="J2349" t="s">
        <v>2525</v>
      </c>
      <c r="K2349" t="s">
        <v>8637</v>
      </c>
      <c r="L2349" t="s">
        <v>52</v>
      </c>
      <c r="M2349">
        <v>0</v>
      </c>
      <c r="N2349">
        <v>1482</v>
      </c>
      <c r="O2349" t="s">
        <v>61</v>
      </c>
      <c r="P2349">
        <v>100</v>
      </c>
      <c r="Q2349" t="s">
        <v>52</v>
      </c>
      <c r="R2349" t="s">
        <v>52</v>
      </c>
      <c r="S2349" t="s">
        <v>52</v>
      </c>
      <c r="T2349" t="s">
        <v>52</v>
      </c>
      <c r="U2349" t="s">
        <v>52</v>
      </c>
      <c r="V2349" t="s">
        <v>62</v>
      </c>
      <c r="W2349" t="s">
        <v>52</v>
      </c>
      <c r="Y2349" t="s">
        <v>340</v>
      </c>
      <c r="Z2349" t="s">
        <v>62</v>
      </c>
      <c r="AB2349" t="s">
        <v>8639</v>
      </c>
      <c r="AE2349" t="s">
        <v>8640</v>
      </c>
      <c r="AF2349" t="s">
        <v>52</v>
      </c>
      <c r="AH2349">
        <v>0</v>
      </c>
      <c r="AI2349">
        <v>0</v>
      </c>
      <c r="AJ2349" t="s">
        <v>52</v>
      </c>
      <c r="AK2349">
        <v>0</v>
      </c>
      <c r="AL2349" t="s">
        <v>52</v>
      </c>
      <c r="AM2349" t="s">
        <v>52</v>
      </c>
      <c r="AN2349">
        <v>0</v>
      </c>
      <c r="AO2349">
        <v>0</v>
      </c>
      <c r="AP2349" t="s">
        <v>52</v>
      </c>
      <c r="AQ2349" t="s">
        <v>52</v>
      </c>
      <c r="AR2349" t="s">
        <v>62</v>
      </c>
      <c r="AS2349" t="s">
        <v>52</v>
      </c>
      <c r="AT2349" t="s">
        <v>74</v>
      </c>
      <c r="AU2349" t="s">
        <v>64</v>
      </c>
      <c r="AV2349" t="s">
        <v>62</v>
      </c>
      <c r="AW2349" t="s">
        <v>65</v>
      </c>
      <c r="AX2349" t="s">
        <v>66</v>
      </c>
      <c r="AY2349" t="s">
        <v>67</v>
      </c>
    </row>
    <row r="2350" spans="1:51" hidden="1" x14ac:dyDescent="0.25">
      <c r="A2350">
        <v>403225</v>
      </c>
      <c r="B2350" t="s">
        <v>8641</v>
      </c>
      <c r="C2350" t="e">
        <f>VLOOKUP(A2350,[1]Customer_payment_journal_line!$AL:$BO,30,0)</f>
        <v>#N/A</v>
      </c>
      <c r="D2350" t="s">
        <v>53</v>
      </c>
      <c r="E2350" t="s">
        <v>8642</v>
      </c>
      <c r="F2350" t="s">
        <v>8643</v>
      </c>
      <c r="G2350" t="s">
        <v>8297</v>
      </c>
      <c r="H2350" t="s">
        <v>57</v>
      </c>
      <c r="I2350" t="s">
        <v>58</v>
      </c>
      <c r="J2350" t="s">
        <v>2525</v>
      </c>
      <c r="K2350" t="s">
        <v>8637</v>
      </c>
      <c r="L2350" t="s">
        <v>52</v>
      </c>
      <c r="M2350">
        <v>855</v>
      </c>
      <c r="N2350">
        <v>0</v>
      </c>
      <c r="O2350" t="s">
        <v>61</v>
      </c>
      <c r="P2350">
        <v>100</v>
      </c>
      <c r="Q2350" t="s">
        <v>52</v>
      </c>
      <c r="R2350" t="s">
        <v>52</v>
      </c>
      <c r="S2350" t="s">
        <v>52</v>
      </c>
      <c r="T2350" t="s">
        <v>52</v>
      </c>
      <c r="U2350" t="s">
        <v>52</v>
      </c>
      <c r="V2350" t="s">
        <v>62</v>
      </c>
      <c r="W2350" t="s">
        <v>63</v>
      </c>
      <c r="Y2350" t="s">
        <v>52</v>
      </c>
      <c r="AB2350" t="s">
        <v>52</v>
      </c>
      <c r="AE2350" t="s">
        <v>52</v>
      </c>
      <c r="AF2350" t="s">
        <v>52</v>
      </c>
      <c r="AH2350">
        <v>0</v>
      </c>
      <c r="AI2350">
        <v>0</v>
      </c>
      <c r="AJ2350" t="s">
        <v>52</v>
      </c>
      <c r="AK2350">
        <v>0</v>
      </c>
      <c r="AL2350" t="s">
        <v>52</v>
      </c>
      <c r="AM2350" t="s">
        <v>52</v>
      </c>
      <c r="AN2350">
        <v>0</v>
      </c>
      <c r="AO2350">
        <v>0</v>
      </c>
      <c r="AP2350" t="s">
        <v>52</v>
      </c>
      <c r="AQ2350" t="s">
        <v>52</v>
      </c>
      <c r="AR2350" t="s">
        <v>62</v>
      </c>
      <c r="AS2350" t="s">
        <v>52</v>
      </c>
      <c r="AT2350" t="s">
        <v>52</v>
      </c>
      <c r="AU2350" t="s">
        <v>64</v>
      </c>
      <c r="AV2350" t="s">
        <v>62</v>
      </c>
      <c r="AW2350" t="s">
        <v>65</v>
      </c>
      <c r="AX2350" t="s">
        <v>66</v>
      </c>
      <c r="AY2350" t="s">
        <v>67</v>
      </c>
    </row>
    <row r="2351" spans="1:51" hidden="1" x14ac:dyDescent="0.25">
      <c r="A2351">
        <v>403225</v>
      </c>
      <c r="B2351" t="s">
        <v>8644</v>
      </c>
      <c r="C2351" t="e">
        <f>VLOOKUP(A2351,[1]Customer_payment_journal_line!$AL:$BO,30,0)</f>
        <v>#N/A</v>
      </c>
      <c r="D2351" t="s">
        <v>53</v>
      </c>
      <c r="E2351" t="s">
        <v>8642</v>
      </c>
      <c r="F2351" t="s">
        <v>8643</v>
      </c>
      <c r="G2351" t="s">
        <v>8297</v>
      </c>
      <c r="H2351" t="s">
        <v>69</v>
      </c>
      <c r="I2351" t="s">
        <v>339</v>
      </c>
      <c r="J2351" t="s">
        <v>2525</v>
      </c>
      <c r="K2351" t="s">
        <v>8637</v>
      </c>
      <c r="L2351" t="s">
        <v>52</v>
      </c>
      <c r="M2351">
        <v>0</v>
      </c>
      <c r="N2351">
        <v>855</v>
      </c>
      <c r="O2351" t="s">
        <v>61</v>
      </c>
      <c r="P2351">
        <v>100</v>
      </c>
      <c r="Q2351" t="s">
        <v>52</v>
      </c>
      <c r="R2351" t="s">
        <v>52</v>
      </c>
      <c r="S2351" t="s">
        <v>52</v>
      </c>
      <c r="T2351" t="s">
        <v>52</v>
      </c>
      <c r="U2351" t="s">
        <v>52</v>
      </c>
      <c r="V2351" t="s">
        <v>62</v>
      </c>
      <c r="W2351" t="s">
        <v>52</v>
      </c>
      <c r="Y2351" t="s">
        <v>340</v>
      </c>
      <c r="Z2351" t="s">
        <v>62</v>
      </c>
      <c r="AB2351" t="s">
        <v>8645</v>
      </c>
      <c r="AE2351" t="s">
        <v>8646</v>
      </c>
      <c r="AF2351" t="s">
        <v>52</v>
      </c>
      <c r="AH2351">
        <v>0</v>
      </c>
      <c r="AI2351">
        <v>0</v>
      </c>
      <c r="AJ2351" t="s">
        <v>52</v>
      </c>
      <c r="AK2351">
        <v>0</v>
      </c>
      <c r="AL2351" t="s">
        <v>52</v>
      </c>
      <c r="AM2351" t="s">
        <v>52</v>
      </c>
      <c r="AN2351">
        <v>0</v>
      </c>
      <c r="AO2351">
        <v>0</v>
      </c>
      <c r="AP2351" t="s">
        <v>52</v>
      </c>
      <c r="AQ2351" t="s">
        <v>52</v>
      </c>
      <c r="AR2351" t="s">
        <v>62</v>
      </c>
      <c r="AS2351" t="s">
        <v>52</v>
      </c>
      <c r="AT2351" t="s">
        <v>74</v>
      </c>
      <c r="AU2351" t="s">
        <v>64</v>
      </c>
      <c r="AV2351" t="s">
        <v>62</v>
      </c>
      <c r="AW2351" t="s">
        <v>65</v>
      </c>
      <c r="AX2351" t="s">
        <v>66</v>
      </c>
      <c r="AY2351" t="s">
        <v>67</v>
      </c>
    </row>
    <row r="2352" spans="1:51" hidden="1" x14ac:dyDescent="0.25">
      <c r="A2352">
        <v>204066</v>
      </c>
      <c r="B2352" t="s">
        <v>8647</v>
      </c>
      <c r="C2352" t="e">
        <f>VLOOKUP(A2352,[1]Customer_payment_journal_line!$AL:$BO,30,0)</f>
        <v>#N/A</v>
      </c>
      <c r="D2352" t="s">
        <v>53</v>
      </c>
      <c r="E2352" t="s">
        <v>8648</v>
      </c>
      <c r="F2352" t="s">
        <v>8649</v>
      </c>
      <c r="G2352" t="s">
        <v>8297</v>
      </c>
      <c r="H2352" t="s">
        <v>57</v>
      </c>
      <c r="I2352" t="s">
        <v>58</v>
      </c>
      <c r="J2352" t="s">
        <v>2525</v>
      </c>
      <c r="K2352" t="s">
        <v>8650</v>
      </c>
      <c r="L2352" t="s">
        <v>52</v>
      </c>
      <c r="M2352">
        <v>798</v>
      </c>
      <c r="N2352">
        <v>0</v>
      </c>
      <c r="O2352" t="s">
        <v>61</v>
      </c>
      <c r="P2352">
        <v>100</v>
      </c>
      <c r="Q2352" t="s">
        <v>52</v>
      </c>
      <c r="R2352" t="s">
        <v>52</v>
      </c>
      <c r="S2352" t="s">
        <v>52</v>
      </c>
      <c r="T2352" t="s">
        <v>52</v>
      </c>
      <c r="U2352" t="s">
        <v>52</v>
      </c>
      <c r="V2352" t="s">
        <v>62</v>
      </c>
      <c r="W2352" t="s">
        <v>63</v>
      </c>
      <c r="Y2352" t="s">
        <v>52</v>
      </c>
      <c r="AB2352" t="s">
        <v>52</v>
      </c>
      <c r="AE2352" t="s">
        <v>52</v>
      </c>
      <c r="AF2352" t="s">
        <v>52</v>
      </c>
      <c r="AH2352">
        <v>0</v>
      </c>
      <c r="AI2352">
        <v>0</v>
      </c>
      <c r="AJ2352" t="s">
        <v>52</v>
      </c>
      <c r="AK2352">
        <v>0</v>
      </c>
      <c r="AL2352" t="s">
        <v>52</v>
      </c>
      <c r="AM2352" t="s">
        <v>52</v>
      </c>
      <c r="AN2352">
        <v>0</v>
      </c>
      <c r="AO2352">
        <v>0</v>
      </c>
      <c r="AP2352" t="s">
        <v>52</v>
      </c>
      <c r="AQ2352" t="s">
        <v>52</v>
      </c>
      <c r="AR2352" t="s">
        <v>62</v>
      </c>
      <c r="AS2352" t="s">
        <v>52</v>
      </c>
      <c r="AT2352" t="s">
        <v>52</v>
      </c>
      <c r="AU2352" t="s">
        <v>64</v>
      </c>
      <c r="AV2352" t="s">
        <v>62</v>
      </c>
      <c r="AW2352" t="s">
        <v>65</v>
      </c>
      <c r="AX2352" t="s">
        <v>66</v>
      </c>
      <c r="AY2352" t="s">
        <v>67</v>
      </c>
    </row>
    <row r="2353" spans="1:51" hidden="1" x14ac:dyDescent="0.25">
      <c r="A2353">
        <v>204066</v>
      </c>
      <c r="B2353" t="s">
        <v>8651</v>
      </c>
      <c r="C2353" t="e">
        <f>VLOOKUP(A2353,[1]Customer_payment_journal_line!$AL:$BO,30,0)</f>
        <v>#N/A</v>
      </c>
      <c r="D2353" t="s">
        <v>53</v>
      </c>
      <c r="E2353" t="s">
        <v>8648</v>
      </c>
      <c r="F2353" t="s">
        <v>8649</v>
      </c>
      <c r="G2353" t="s">
        <v>8297</v>
      </c>
      <c r="H2353" t="s">
        <v>69</v>
      </c>
      <c r="I2353" t="s">
        <v>339</v>
      </c>
      <c r="J2353" t="s">
        <v>2525</v>
      </c>
      <c r="K2353" t="s">
        <v>8650</v>
      </c>
      <c r="L2353" t="s">
        <v>52</v>
      </c>
      <c r="M2353">
        <v>0</v>
      </c>
      <c r="N2353">
        <v>798</v>
      </c>
      <c r="O2353" t="s">
        <v>61</v>
      </c>
      <c r="P2353">
        <v>100</v>
      </c>
      <c r="Q2353" t="s">
        <v>52</v>
      </c>
      <c r="R2353" t="s">
        <v>52</v>
      </c>
      <c r="S2353" t="s">
        <v>52</v>
      </c>
      <c r="T2353" t="s">
        <v>52</v>
      </c>
      <c r="U2353" t="s">
        <v>52</v>
      </c>
      <c r="V2353" t="s">
        <v>62</v>
      </c>
      <c r="W2353" t="s">
        <v>52</v>
      </c>
      <c r="Y2353" t="s">
        <v>340</v>
      </c>
      <c r="Z2353" t="s">
        <v>62</v>
      </c>
      <c r="AB2353" t="s">
        <v>8652</v>
      </c>
      <c r="AE2353" t="s">
        <v>8653</v>
      </c>
      <c r="AF2353" t="s">
        <v>52</v>
      </c>
      <c r="AH2353">
        <v>0</v>
      </c>
      <c r="AI2353">
        <v>0</v>
      </c>
      <c r="AJ2353" t="s">
        <v>52</v>
      </c>
      <c r="AK2353">
        <v>0</v>
      </c>
      <c r="AL2353" t="s">
        <v>52</v>
      </c>
      <c r="AM2353" t="s">
        <v>52</v>
      </c>
      <c r="AN2353">
        <v>0</v>
      </c>
      <c r="AO2353">
        <v>0</v>
      </c>
      <c r="AP2353" t="s">
        <v>52</v>
      </c>
      <c r="AQ2353" t="s">
        <v>52</v>
      </c>
      <c r="AR2353" t="s">
        <v>62</v>
      </c>
      <c r="AS2353" t="s">
        <v>52</v>
      </c>
      <c r="AT2353" t="s">
        <v>74</v>
      </c>
      <c r="AU2353" t="s">
        <v>64</v>
      </c>
      <c r="AV2353" t="s">
        <v>62</v>
      </c>
      <c r="AW2353" t="s">
        <v>65</v>
      </c>
      <c r="AX2353" t="s">
        <v>66</v>
      </c>
      <c r="AY2353" t="s">
        <v>67</v>
      </c>
    </row>
    <row r="2354" spans="1:51" hidden="1" x14ac:dyDescent="0.25">
      <c r="A2354">
        <v>204067</v>
      </c>
      <c r="B2354" t="s">
        <v>8654</v>
      </c>
      <c r="C2354" t="e">
        <f>VLOOKUP(A2354,[1]Customer_payment_journal_line!$AL:$BO,30,0)</f>
        <v>#N/A</v>
      </c>
      <c r="D2354" t="s">
        <v>53</v>
      </c>
      <c r="E2354" t="s">
        <v>8655</v>
      </c>
      <c r="F2354" t="s">
        <v>8656</v>
      </c>
      <c r="G2354" t="s">
        <v>8297</v>
      </c>
      <c r="H2354" t="s">
        <v>57</v>
      </c>
      <c r="I2354" t="s">
        <v>58</v>
      </c>
      <c r="J2354" t="s">
        <v>2525</v>
      </c>
      <c r="K2354" t="s">
        <v>8650</v>
      </c>
      <c r="L2354" t="s">
        <v>52</v>
      </c>
      <c r="M2354">
        <v>855</v>
      </c>
      <c r="N2354">
        <v>0</v>
      </c>
      <c r="O2354" t="s">
        <v>61</v>
      </c>
      <c r="P2354">
        <v>100</v>
      </c>
      <c r="Q2354" t="s">
        <v>52</v>
      </c>
      <c r="R2354" t="s">
        <v>52</v>
      </c>
      <c r="S2354" t="s">
        <v>52</v>
      </c>
      <c r="T2354" t="s">
        <v>52</v>
      </c>
      <c r="U2354" t="s">
        <v>52</v>
      </c>
      <c r="V2354" t="s">
        <v>62</v>
      </c>
      <c r="W2354" t="s">
        <v>63</v>
      </c>
      <c r="Y2354" t="s">
        <v>52</v>
      </c>
      <c r="AB2354" t="s">
        <v>52</v>
      </c>
      <c r="AE2354" t="s">
        <v>52</v>
      </c>
      <c r="AF2354" t="s">
        <v>52</v>
      </c>
      <c r="AH2354">
        <v>0</v>
      </c>
      <c r="AI2354">
        <v>0</v>
      </c>
      <c r="AJ2354" t="s">
        <v>52</v>
      </c>
      <c r="AK2354">
        <v>0</v>
      </c>
      <c r="AL2354" t="s">
        <v>52</v>
      </c>
      <c r="AM2354" t="s">
        <v>52</v>
      </c>
      <c r="AN2354">
        <v>0</v>
      </c>
      <c r="AO2354">
        <v>0</v>
      </c>
      <c r="AP2354" t="s">
        <v>52</v>
      </c>
      <c r="AQ2354" t="s">
        <v>52</v>
      </c>
      <c r="AR2354" t="s">
        <v>62</v>
      </c>
      <c r="AS2354" t="s">
        <v>52</v>
      </c>
      <c r="AT2354" t="s">
        <v>52</v>
      </c>
      <c r="AU2354" t="s">
        <v>64</v>
      </c>
      <c r="AV2354" t="s">
        <v>62</v>
      </c>
      <c r="AW2354" t="s">
        <v>65</v>
      </c>
      <c r="AX2354" t="s">
        <v>66</v>
      </c>
      <c r="AY2354" t="s">
        <v>67</v>
      </c>
    </row>
    <row r="2355" spans="1:51" hidden="1" x14ac:dyDescent="0.25">
      <c r="A2355">
        <v>204067</v>
      </c>
      <c r="B2355" t="s">
        <v>8657</v>
      </c>
      <c r="C2355" t="e">
        <f>VLOOKUP(A2355,[1]Customer_payment_journal_line!$AL:$BO,30,0)</f>
        <v>#N/A</v>
      </c>
      <c r="D2355" t="s">
        <v>53</v>
      </c>
      <c r="E2355" t="s">
        <v>8655</v>
      </c>
      <c r="F2355" t="s">
        <v>8656</v>
      </c>
      <c r="G2355" t="s">
        <v>8297</v>
      </c>
      <c r="H2355" t="s">
        <v>69</v>
      </c>
      <c r="I2355" t="s">
        <v>339</v>
      </c>
      <c r="J2355" t="s">
        <v>2525</v>
      </c>
      <c r="K2355" t="s">
        <v>8650</v>
      </c>
      <c r="L2355" t="s">
        <v>52</v>
      </c>
      <c r="M2355">
        <v>0</v>
      </c>
      <c r="N2355">
        <v>855</v>
      </c>
      <c r="O2355" t="s">
        <v>61</v>
      </c>
      <c r="P2355">
        <v>100</v>
      </c>
      <c r="Q2355" t="s">
        <v>52</v>
      </c>
      <c r="R2355" t="s">
        <v>52</v>
      </c>
      <c r="S2355" t="s">
        <v>52</v>
      </c>
      <c r="T2355" t="s">
        <v>52</v>
      </c>
      <c r="U2355" t="s">
        <v>52</v>
      </c>
      <c r="V2355" t="s">
        <v>62</v>
      </c>
      <c r="W2355" t="s">
        <v>52</v>
      </c>
      <c r="Y2355" t="s">
        <v>340</v>
      </c>
      <c r="Z2355" t="s">
        <v>62</v>
      </c>
      <c r="AB2355" t="s">
        <v>8658</v>
      </c>
      <c r="AE2355" t="s">
        <v>8659</v>
      </c>
      <c r="AF2355" t="s">
        <v>52</v>
      </c>
      <c r="AH2355">
        <v>0</v>
      </c>
      <c r="AI2355">
        <v>0</v>
      </c>
      <c r="AJ2355" t="s">
        <v>52</v>
      </c>
      <c r="AK2355">
        <v>0</v>
      </c>
      <c r="AL2355" t="s">
        <v>52</v>
      </c>
      <c r="AM2355" t="s">
        <v>52</v>
      </c>
      <c r="AN2355">
        <v>0</v>
      </c>
      <c r="AO2355">
        <v>0</v>
      </c>
      <c r="AP2355" t="s">
        <v>52</v>
      </c>
      <c r="AQ2355" t="s">
        <v>52</v>
      </c>
      <c r="AR2355" t="s">
        <v>62</v>
      </c>
      <c r="AS2355" t="s">
        <v>52</v>
      </c>
      <c r="AT2355" t="s">
        <v>74</v>
      </c>
      <c r="AU2355" t="s">
        <v>64</v>
      </c>
      <c r="AV2355" t="s">
        <v>62</v>
      </c>
      <c r="AW2355" t="s">
        <v>65</v>
      </c>
      <c r="AX2355" t="s">
        <v>66</v>
      </c>
      <c r="AY2355" t="s">
        <v>67</v>
      </c>
    </row>
    <row r="2356" spans="1:51" hidden="1" x14ac:dyDescent="0.25">
      <c r="A2356">
        <v>406260</v>
      </c>
      <c r="B2356" t="s">
        <v>8660</v>
      </c>
      <c r="C2356" t="e">
        <f>VLOOKUP(A2356,[1]Customer_payment_journal_line!$AL:$BO,30,0)</f>
        <v>#N/A</v>
      </c>
      <c r="D2356" t="s">
        <v>53</v>
      </c>
      <c r="E2356" t="s">
        <v>8661</v>
      </c>
      <c r="F2356" t="s">
        <v>8662</v>
      </c>
      <c r="G2356" t="s">
        <v>8297</v>
      </c>
      <c r="H2356" t="s">
        <v>57</v>
      </c>
      <c r="I2356" t="s">
        <v>1349</v>
      </c>
      <c r="J2356" t="s">
        <v>8663</v>
      </c>
      <c r="K2356" t="s">
        <v>5778</v>
      </c>
      <c r="L2356" t="s">
        <v>52</v>
      </c>
      <c r="M2356">
        <v>44822.239999999998</v>
      </c>
      <c r="N2356">
        <v>0</v>
      </c>
      <c r="O2356" t="s">
        <v>61</v>
      </c>
      <c r="P2356">
        <v>100</v>
      </c>
      <c r="Q2356" t="s">
        <v>52</v>
      </c>
      <c r="R2356" t="s">
        <v>52</v>
      </c>
      <c r="S2356" t="s">
        <v>52</v>
      </c>
      <c r="T2356" t="s">
        <v>52</v>
      </c>
      <c r="U2356" t="s">
        <v>52</v>
      </c>
      <c r="V2356" t="s">
        <v>62</v>
      </c>
      <c r="W2356" t="s">
        <v>63</v>
      </c>
      <c r="Y2356" t="s">
        <v>52</v>
      </c>
      <c r="AB2356" t="s">
        <v>52</v>
      </c>
      <c r="AE2356" t="s">
        <v>52</v>
      </c>
      <c r="AF2356" t="s">
        <v>52</v>
      </c>
      <c r="AH2356">
        <v>0</v>
      </c>
      <c r="AI2356">
        <v>0</v>
      </c>
      <c r="AJ2356" t="s">
        <v>52</v>
      </c>
      <c r="AK2356">
        <v>0</v>
      </c>
      <c r="AL2356" t="s">
        <v>52</v>
      </c>
      <c r="AM2356" t="s">
        <v>52</v>
      </c>
      <c r="AN2356">
        <v>0</v>
      </c>
      <c r="AO2356">
        <v>0</v>
      </c>
      <c r="AP2356" t="s">
        <v>52</v>
      </c>
      <c r="AQ2356" t="s">
        <v>52</v>
      </c>
      <c r="AR2356" t="s">
        <v>62</v>
      </c>
      <c r="AS2356" t="s">
        <v>52</v>
      </c>
      <c r="AT2356" t="s">
        <v>52</v>
      </c>
      <c r="AU2356" t="s">
        <v>64</v>
      </c>
      <c r="AV2356" t="s">
        <v>62</v>
      </c>
      <c r="AW2356" t="s">
        <v>65</v>
      </c>
      <c r="AX2356" t="s">
        <v>66</v>
      </c>
      <c r="AY2356" t="s">
        <v>67</v>
      </c>
    </row>
    <row r="2357" spans="1:51" hidden="1" x14ac:dyDescent="0.25">
      <c r="A2357">
        <v>406260</v>
      </c>
      <c r="B2357" t="s">
        <v>8664</v>
      </c>
      <c r="C2357" t="e">
        <f>VLOOKUP(A2357,[1]Customer_payment_journal_line!$AL:$BO,30,0)</f>
        <v>#N/A</v>
      </c>
      <c r="D2357" t="s">
        <v>53</v>
      </c>
      <c r="E2357" t="s">
        <v>8661</v>
      </c>
      <c r="F2357" t="s">
        <v>8662</v>
      </c>
      <c r="G2357" t="s">
        <v>8297</v>
      </c>
      <c r="H2357" t="s">
        <v>69</v>
      </c>
      <c r="I2357" t="s">
        <v>6609</v>
      </c>
      <c r="J2357" t="s">
        <v>8663</v>
      </c>
      <c r="K2357" t="s">
        <v>5778</v>
      </c>
      <c r="L2357" t="s">
        <v>52</v>
      </c>
      <c r="M2357">
        <v>0</v>
      </c>
      <c r="N2357">
        <v>44822.239999999998</v>
      </c>
      <c r="O2357" t="s">
        <v>61</v>
      </c>
      <c r="P2357">
        <v>100</v>
      </c>
      <c r="Q2357" t="s">
        <v>52</v>
      </c>
      <c r="R2357" t="s">
        <v>52</v>
      </c>
      <c r="S2357" t="s">
        <v>52</v>
      </c>
      <c r="T2357" t="s">
        <v>52</v>
      </c>
      <c r="U2357" t="s">
        <v>52</v>
      </c>
      <c r="V2357" t="s">
        <v>62</v>
      </c>
      <c r="W2357" t="s">
        <v>52</v>
      </c>
      <c r="Y2357" t="s">
        <v>6610</v>
      </c>
      <c r="Z2357" t="s">
        <v>62</v>
      </c>
      <c r="AB2357" t="s">
        <v>8665</v>
      </c>
      <c r="AE2357" t="s">
        <v>8666</v>
      </c>
      <c r="AF2357" t="s">
        <v>52</v>
      </c>
      <c r="AH2357">
        <v>0</v>
      </c>
      <c r="AI2357">
        <v>0</v>
      </c>
      <c r="AJ2357" t="s">
        <v>52</v>
      </c>
      <c r="AK2357">
        <v>0</v>
      </c>
      <c r="AL2357" t="s">
        <v>52</v>
      </c>
      <c r="AM2357" t="s">
        <v>52</v>
      </c>
      <c r="AN2357">
        <v>0</v>
      </c>
      <c r="AO2357">
        <v>0</v>
      </c>
      <c r="AP2357" t="s">
        <v>52</v>
      </c>
      <c r="AQ2357" t="s">
        <v>52</v>
      </c>
      <c r="AR2357" t="s">
        <v>62</v>
      </c>
      <c r="AS2357" t="s">
        <v>52</v>
      </c>
      <c r="AT2357" t="s">
        <v>74</v>
      </c>
      <c r="AU2357" t="s">
        <v>64</v>
      </c>
      <c r="AV2357" t="s">
        <v>62</v>
      </c>
      <c r="AW2357" t="s">
        <v>65</v>
      </c>
      <c r="AX2357" t="s">
        <v>66</v>
      </c>
      <c r="AY2357" t="s">
        <v>67</v>
      </c>
    </row>
    <row r="2358" spans="1:51" hidden="1" x14ac:dyDescent="0.25">
      <c r="A2358">
        <v>406261</v>
      </c>
      <c r="B2358" t="s">
        <v>8667</v>
      </c>
      <c r="C2358" t="e">
        <f>VLOOKUP(A2358,[1]Customer_payment_journal_line!$AL:$BO,30,0)</f>
        <v>#N/A</v>
      </c>
      <c r="D2358" t="s">
        <v>53</v>
      </c>
      <c r="E2358" t="s">
        <v>8668</v>
      </c>
      <c r="F2358" t="s">
        <v>8669</v>
      </c>
      <c r="G2358" t="s">
        <v>8297</v>
      </c>
      <c r="H2358" t="s">
        <v>57</v>
      </c>
      <c r="I2358" t="s">
        <v>1349</v>
      </c>
      <c r="J2358" t="s">
        <v>8663</v>
      </c>
      <c r="K2358" t="s">
        <v>5778</v>
      </c>
      <c r="L2358" t="s">
        <v>52</v>
      </c>
      <c r="M2358">
        <v>712.5</v>
      </c>
      <c r="N2358">
        <v>0</v>
      </c>
      <c r="O2358" t="s">
        <v>61</v>
      </c>
      <c r="P2358">
        <v>100</v>
      </c>
      <c r="Q2358" t="s">
        <v>52</v>
      </c>
      <c r="R2358" t="s">
        <v>52</v>
      </c>
      <c r="S2358" t="s">
        <v>52</v>
      </c>
      <c r="T2358" t="s">
        <v>52</v>
      </c>
      <c r="U2358" t="s">
        <v>52</v>
      </c>
      <c r="V2358" t="s">
        <v>62</v>
      </c>
      <c r="W2358" t="s">
        <v>63</v>
      </c>
      <c r="Y2358" t="s">
        <v>52</v>
      </c>
      <c r="AB2358" t="s">
        <v>52</v>
      </c>
      <c r="AE2358" t="s">
        <v>52</v>
      </c>
      <c r="AF2358" t="s">
        <v>52</v>
      </c>
      <c r="AH2358">
        <v>0</v>
      </c>
      <c r="AI2358">
        <v>0</v>
      </c>
      <c r="AJ2358" t="s">
        <v>52</v>
      </c>
      <c r="AK2358">
        <v>0</v>
      </c>
      <c r="AL2358" t="s">
        <v>52</v>
      </c>
      <c r="AM2358" t="s">
        <v>52</v>
      </c>
      <c r="AN2358">
        <v>0</v>
      </c>
      <c r="AO2358">
        <v>0</v>
      </c>
      <c r="AP2358" t="s">
        <v>52</v>
      </c>
      <c r="AQ2358" t="s">
        <v>52</v>
      </c>
      <c r="AR2358" t="s">
        <v>62</v>
      </c>
      <c r="AS2358" t="s">
        <v>52</v>
      </c>
      <c r="AT2358" t="s">
        <v>52</v>
      </c>
      <c r="AU2358" t="s">
        <v>64</v>
      </c>
      <c r="AV2358" t="s">
        <v>62</v>
      </c>
      <c r="AW2358" t="s">
        <v>65</v>
      </c>
      <c r="AX2358" t="s">
        <v>66</v>
      </c>
      <c r="AY2358" t="s">
        <v>67</v>
      </c>
    </row>
    <row r="2359" spans="1:51" hidden="1" x14ac:dyDescent="0.25">
      <c r="A2359">
        <v>406261</v>
      </c>
      <c r="B2359" t="s">
        <v>8670</v>
      </c>
      <c r="C2359" t="e">
        <f>VLOOKUP(A2359,[1]Customer_payment_journal_line!$AL:$BO,30,0)</f>
        <v>#N/A</v>
      </c>
      <c r="D2359" t="s">
        <v>53</v>
      </c>
      <c r="E2359" t="s">
        <v>8668</v>
      </c>
      <c r="F2359" t="s">
        <v>8669</v>
      </c>
      <c r="G2359" t="s">
        <v>8297</v>
      </c>
      <c r="H2359" t="s">
        <v>69</v>
      </c>
      <c r="I2359" t="s">
        <v>6609</v>
      </c>
      <c r="J2359" t="s">
        <v>8663</v>
      </c>
      <c r="K2359" t="s">
        <v>5778</v>
      </c>
      <c r="L2359" t="s">
        <v>52</v>
      </c>
      <c r="M2359">
        <v>0</v>
      </c>
      <c r="N2359">
        <v>712.5</v>
      </c>
      <c r="O2359" t="s">
        <v>61</v>
      </c>
      <c r="P2359">
        <v>100</v>
      </c>
      <c r="Q2359" t="s">
        <v>52</v>
      </c>
      <c r="R2359" t="s">
        <v>52</v>
      </c>
      <c r="S2359" t="s">
        <v>52</v>
      </c>
      <c r="T2359" t="s">
        <v>52</v>
      </c>
      <c r="U2359" t="s">
        <v>52</v>
      </c>
      <c r="V2359" t="s">
        <v>62</v>
      </c>
      <c r="W2359" t="s">
        <v>52</v>
      </c>
      <c r="Y2359" t="s">
        <v>6610</v>
      </c>
      <c r="Z2359" t="s">
        <v>62</v>
      </c>
      <c r="AB2359" t="s">
        <v>8671</v>
      </c>
      <c r="AE2359" t="s">
        <v>8672</v>
      </c>
      <c r="AF2359" t="s">
        <v>52</v>
      </c>
      <c r="AH2359">
        <v>0</v>
      </c>
      <c r="AI2359">
        <v>0</v>
      </c>
      <c r="AJ2359" t="s">
        <v>52</v>
      </c>
      <c r="AK2359">
        <v>0</v>
      </c>
      <c r="AL2359" t="s">
        <v>52</v>
      </c>
      <c r="AM2359" t="s">
        <v>52</v>
      </c>
      <c r="AN2359">
        <v>0</v>
      </c>
      <c r="AO2359">
        <v>0</v>
      </c>
      <c r="AP2359" t="s">
        <v>52</v>
      </c>
      <c r="AQ2359" t="s">
        <v>52</v>
      </c>
      <c r="AR2359" t="s">
        <v>62</v>
      </c>
      <c r="AS2359" t="s">
        <v>52</v>
      </c>
      <c r="AT2359" t="s">
        <v>74</v>
      </c>
      <c r="AU2359" t="s">
        <v>64</v>
      </c>
      <c r="AV2359" t="s">
        <v>62</v>
      </c>
      <c r="AW2359" t="s">
        <v>65</v>
      </c>
      <c r="AX2359" t="s">
        <v>66</v>
      </c>
      <c r="AY2359" t="s">
        <v>67</v>
      </c>
    </row>
    <row r="2360" spans="1:51" hidden="1" x14ac:dyDescent="0.25">
      <c r="A2360">
        <v>204074</v>
      </c>
      <c r="B2360" t="s">
        <v>8673</v>
      </c>
      <c r="C2360" t="e">
        <f>VLOOKUP(A2360,[1]Customer_payment_journal_line!$AL:$BO,30,0)</f>
        <v>#N/A</v>
      </c>
      <c r="D2360" t="s">
        <v>53</v>
      </c>
      <c r="E2360" t="s">
        <v>8674</v>
      </c>
      <c r="F2360" t="s">
        <v>8675</v>
      </c>
      <c r="G2360" t="s">
        <v>8297</v>
      </c>
      <c r="H2360" t="s">
        <v>57</v>
      </c>
      <c r="I2360" t="s">
        <v>698</v>
      </c>
      <c r="J2360" t="s">
        <v>8676</v>
      </c>
      <c r="K2360" t="s">
        <v>8032</v>
      </c>
      <c r="L2360" t="s">
        <v>52</v>
      </c>
      <c r="M2360">
        <v>99</v>
      </c>
      <c r="N2360">
        <v>0</v>
      </c>
      <c r="O2360" t="s">
        <v>178</v>
      </c>
      <c r="P2360">
        <v>5085</v>
      </c>
      <c r="Q2360" t="s">
        <v>52</v>
      </c>
      <c r="R2360" t="s">
        <v>52</v>
      </c>
      <c r="S2360" t="s">
        <v>52</v>
      </c>
      <c r="T2360" t="s">
        <v>52</v>
      </c>
      <c r="U2360" t="s">
        <v>52</v>
      </c>
      <c r="V2360" t="s">
        <v>62</v>
      </c>
      <c r="W2360" t="s">
        <v>63</v>
      </c>
      <c r="Y2360" t="s">
        <v>52</v>
      </c>
      <c r="AB2360" t="s">
        <v>52</v>
      </c>
      <c r="AE2360" t="s">
        <v>52</v>
      </c>
      <c r="AF2360" t="s">
        <v>52</v>
      </c>
      <c r="AH2360">
        <v>0</v>
      </c>
      <c r="AI2360">
        <v>0</v>
      </c>
      <c r="AJ2360" t="s">
        <v>52</v>
      </c>
      <c r="AK2360">
        <v>0</v>
      </c>
      <c r="AL2360" t="s">
        <v>52</v>
      </c>
      <c r="AM2360" t="s">
        <v>52</v>
      </c>
      <c r="AN2360">
        <v>0</v>
      </c>
      <c r="AO2360">
        <v>0</v>
      </c>
      <c r="AP2360" t="s">
        <v>52</v>
      </c>
      <c r="AQ2360" t="s">
        <v>52</v>
      </c>
      <c r="AR2360" t="s">
        <v>62</v>
      </c>
      <c r="AS2360" t="s">
        <v>52</v>
      </c>
      <c r="AT2360" t="s">
        <v>52</v>
      </c>
      <c r="AU2360" t="s">
        <v>64</v>
      </c>
      <c r="AV2360" t="s">
        <v>62</v>
      </c>
      <c r="AW2360" t="s">
        <v>65</v>
      </c>
      <c r="AX2360" t="s">
        <v>66</v>
      </c>
      <c r="AY2360" t="s">
        <v>67</v>
      </c>
    </row>
    <row r="2361" spans="1:51" hidden="1" x14ac:dyDescent="0.25">
      <c r="A2361">
        <v>204074</v>
      </c>
      <c r="B2361" t="s">
        <v>8677</v>
      </c>
      <c r="C2361" t="e">
        <f>VLOOKUP(A2361,[1]Customer_payment_journal_line!$AL:$BO,30,0)</f>
        <v>#N/A</v>
      </c>
      <c r="D2361" t="s">
        <v>53</v>
      </c>
      <c r="E2361" t="s">
        <v>8674</v>
      </c>
      <c r="F2361" t="s">
        <v>8675</v>
      </c>
      <c r="G2361" t="s">
        <v>8297</v>
      </c>
      <c r="H2361" t="s">
        <v>69</v>
      </c>
      <c r="I2361" t="s">
        <v>8678</v>
      </c>
      <c r="J2361" t="s">
        <v>8676</v>
      </c>
      <c r="K2361" t="s">
        <v>8032</v>
      </c>
      <c r="L2361" t="s">
        <v>52</v>
      </c>
      <c r="M2361">
        <v>0</v>
      </c>
      <c r="N2361">
        <v>99</v>
      </c>
      <c r="O2361" t="s">
        <v>178</v>
      </c>
      <c r="P2361">
        <v>5085</v>
      </c>
      <c r="Q2361" t="s">
        <v>52</v>
      </c>
      <c r="R2361" t="s">
        <v>52</v>
      </c>
      <c r="S2361" t="s">
        <v>52</v>
      </c>
      <c r="T2361" t="s">
        <v>52</v>
      </c>
      <c r="U2361" t="s">
        <v>52</v>
      </c>
      <c r="V2361" t="s">
        <v>62</v>
      </c>
      <c r="W2361" t="s">
        <v>52</v>
      </c>
      <c r="Y2361" t="s">
        <v>8679</v>
      </c>
      <c r="Z2361" t="s">
        <v>62</v>
      </c>
      <c r="AB2361" t="s">
        <v>8680</v>
      </c>
      <c r="AE2361" t="s">
        <v>8681</v>
      </c>
      <c r="AF2361" t="s">
        <v>52</v>
      </c>
      <c r="AH2361">
        <v>0</v>
      </c>
      <c r="AI2361">
        <v>0</v>
      </c>
      <c r="AJ2361" t="s">
        <v>52</v>
      </c>
      <c r="AK2361">
        <v>0</v>
      </c>
      <c r="AL2361" t="s">
        <v>52</v>
      </c>
      <c r="AM2361" t="s">
        <v>52</v>
      </c>
      <c r="AN2361">
        <v>0</v>
      </c>
      <c r="AO2361">
        <v>0</v>
      </c>
      <c r="AP2361" t="s">
        <v>52</v>
      </c>
      <c r="AQ2361" t="s">
        <v>52</v>
      </c>
      <c r="AR2361" t="s">
        <v>62</v>
      </c>
      <c r="AS2361" t="s">
        <v>52</v>
      </c>
      <c r="AT2361" t="s">
        <v>74</v>
      </c>
      <c r="AU2361" t="s">
        <v>64</v>
      </c>
      <c r="AV2361" t="s">
        <v>62</v>
      </c>
      <c r="AW2361" t="s">
        <v>65</v>
      </c>
      <c r="AX2361" t="s">
        <v>66</v>
      </c>
      <c r="AY2361" t="s">
        <v>67</v>
      </c>
    </row>
    <row r="2362" spans="1:51" hidden="1" x14ac:dyDescent="0.25">
      <c r="A2362">
        <v>204075</v>
      </c>
      <c r="B2362" t="s">
        <v>8682</v>
      </c>
      <c r="C2362" t="e">
        <f>VLOOKUP(A2362,[1]Customer_payment_journal_line!$AL:$BO,30,0)</f>
        <v>#N/A</v>
      </c>
      <c r="D2362" t="s">
        <v>53</v>
      </c>
      <c r="E2362" t="s">
        <v>8683</v>
      </c>
      <c r="F2362" t="s">
        <v>8684</v>
      </c>
      <c r="G2362" t="s">
        <v>8297</v>
      </c>
      <c r="H2362" t="s">
        <v>57</v>
      </c>
      <c r="I2362" t="s">
        <v>319</v>
      </c>
      <c r="J2362" t="s">
        <v>8676</v>
      </c>
      <c r="K2362" t="s">
        <v>8032</v>
      </c>
      <c r="L2362" t="s">
        <v>52</v>
      </c>
      <c r="M2362">
        <v>10909.8</v>
      </c>
      <c r="N2362">
        <v>0</v>
      </c>
      <c r="O2362" t="s">
        <v>61</v>
      </c>
      <c r="P2362">
        <v>100</v>
      </c>
      <c r="Q2362" t="s">
        <v>52</v>
      </c>
      <c r="R2362" t="s">
        <v>52</v>
      </c>
      <c r="S2362" t="s">
        <v>52</v>
      </c>
      <c r="T2362" t="s">
        <v>52</v>
      </c>
      <c r="U2362" t="s">
        <v>52</v>
      </c>
      <c r="V2362" t="s">
        <v>62</v>
      </c>
      <c r="W2362" t="s">
        <v>63</v>
      </c>
      <c r="Y2362" t="s">
        <v>52</v>
      </c>
      <c r="AB2362" t="s">
        <v>52</v>
      </c>
      <c r="AE2362" t="s">
        <v>52</v>
      </c>
      <c r="AF2362" t="s">
        <v>52</v>
      </c>
      <c r="AH2362">
        <v>0</v>
      </c>
      <c r="AI2362">
        <v>0</v>
      </c>
      <c r="AJ2362" t="s">
        <v>52</v>
      </c>
      <c r="AK2362">
        <v>0</v>
      </c>
      <c r="AL2362" t="s">
        <v>52</v>
      </c>
      <c r="AM2362" t="s">
        <v>52</v>
      </c>
      <c r="AN2362">
        <v>0</v>
      </c>
      <c r="AO2362">
        <v>0</v>
      </c>
      <c r="AP2362" t="s">
        <v>52</v>
      </c>
      <c r="AQ2362" t="s">
        <v>52</v>
      </c>
      <c r="AR2362" t="s">
        <v>62</v>
      </c>
      <c r="AS2362" t="s">
        <v>52</v>
      </c>
      <c r="AT2362" t="s">
        <v>52</v>
      </c>
      <c r="AU2362" t="s">
        <v>64</v>
      </c>
      <c r="AV2362" t="s">
        <v>62</v>
      </c>
      <c r="AW2362" t="s">
        <v>65</v>
      </c>
      <c r="AX2362" t="s">
        <v>66</v>
      </c>
      <c r="AY2362" t="s">
        <v>67</v>
      </c>
    </row>
    <row r="2363" spans="1:51" hidden="1" x14ac:dyDescent="0.25">
      <c r="A2363">
        <v>204075</v>
      </c>
      <c r="B2363" t="s">
        <v>8685</v>
      </c>
      <c r="C2363" t="e">
        <f>VLOOKUP(A2363,[1]Customer_payment_journal_line!$AL:$BO,30,0)</f>
        <v>#N/A</v>
      </c>
      <c r="D2363" t="s">
        <v>53</v>
      </c>
      <c r="E2363" t="s">
        <v>8683</v>
      </c>
      <c r="F2363" t="s">
        <v>8684</v>
      </c>
      <c r="G2363" t="s">
        <v>8297</v>
      </c>
      <c r="H2363" t="s">
        <v>69</v>
      </c>
      <c r="I2363" t="s">
        <v>8678</v>
      </c>
      <c r="J2363" t="s">
        <v>8676</v>
      </c>
      <c r="K2363" t="s">
        <v>8032</v>
      </c>
      <c r="L2363" t="s">
        <v>52</v>
      </c>
      <c r="M2363">
        <v>0</v>
      </c>
      <c r="N2363">
        <v>10909.8</v>
      </c>
      <c r="O2363" t="s">
        <v>61</v>
      </c>
      <c r="P2363">
        <v>100</v>
      </c>
      <c r="Q2363" t="s">
        <v>52</v>
      </c>
      <c r="R2363" t="s">
        <v>52</v>
      </c>
      <c r="S2363" t="s">
        <v>52</v>
      </c>
      <c r="T2363" t="s">
        <v>52</v>
      </c>
      <c r="U2363" t="s">
        <v>52</v>
      </c>
      <c r="V2363" t="s">
        <v>62</v>
      </c>
      <c r="W2363" t="s">
        <v>52</v>
      </c>
      <c r="Y2363" t="s">
        <v>8679</v>
      </c>
      <c r="Z2363" t="s">
        <v>62</v>
      </c>
      <c r="AB2363" t="s">
        <v>8686</v>
      </c>
      <c r="AE2363" t="s">
        <v>8687</v>
      </c>
      <c r="AF2363" t="s">
        <v>52</v>
      </c>
      <c r="AH2363">
        <v>0</v>
      </c>
      <c r="AI2363">
        <v>0</v>
      </c>
      <c r="AJ2363" t="s">
        <v>52</v>
      </c>
      <c r="AK2363">
        <v>0</v>
      </c>
      <c r="AL2363" t="s">
        <v>52</v>
      </c>
      <c r="AM2363" t="s">
        <v>52</v>
      </c>
      <c r="AN2363">
        <v>0</v>
      </c>
      <c r="AO2363">
        <v>0</v>
      </c>
      <c r="AP2363" t="s">
        <v>52</v>
      </c>
      <c r="AQ2363" t="s">
        <v>52</v>
      </c>
      <c r="AR2363" t="s">
        <v>62</v>
      </c>
      <c r="AS2363" t="s">
        <v>52</v>
      </c>
      <c r="AT2363" t="s">
        <v>74</v>
      </c>
      <c r="AU2363" t="s">
        <v>64</v>
      </c>
      <c r="AV2363" t="s">
        <v>62</v>
      </c>
      <c r="AW2363" t="s">
        <v>65</v>
      </c>
      <c r="AX2363" t="s">
        <v>66</v>
      </c>
      <c r="AY2363" t="s">
        <v>67</v>
      </c>
    </row>
    <row r="2364" spans="1:51" hidden="1" x14ac:dyDescent="0.25">
      <c r="A2364">
        <v>204076</v>
      </c>
      <c r="B2364" t="s">
        <v>8688</v>
      </c>
      <c r="C2364" t="e">
        <f>VLOOKUP(A2364,[1]Customer_payment_journal_line!$AL:$BO,30,0)</f>
        <v>#N/A</v>
      </c>
      <c r="D2364" t="s">
        <v>53</v>
      </c>
      <c r="E2364" t="s">
        <v>8689</v>
      </c>
      <c r="F2364" t="s">
        <v>8690</v>
      </c>
      <c r="G2364" t="s">
        <v>8297</v>
      </c>
      <c r="H2364" t="s">
        <v>57</v>
      </c>
      <c r="I2364" t="s">
        <v>319</v>
      </c>
      <c r="J2364" t="s">
        <v>8676</v>
      </c>
      <c r="K2364" t="s">
        <v>8032</v>
      </c>
      <c r="L2364" t="s">
        <v>52</v>
      </c>
      <c r="M2364">
        <v>855</v>
      </c>
      <c r="N2364">
        <v>0</v>
      </c>
      <c r="O2364" t="s">
        <v>61</v>
      </c>
      <c r="P2364">
        <v>100</v>
      </c>
      <c r="Q2364" t="s">
        <v>52</v>
      </c>
      <c r="R2364" t="s">
        <v>52</v>
      </c>
      <c r="S2364" t="s">
        <v>52</v>
      </c>
      <c r="T2364" t="s">
        <v>52</v>
      </c>
      <c r="U2364" t="s">
        <v>52</v>
      </c>
      <c r="V2364" t="s">
        <v>62</v>
      </c>
      <c r="W2364" t="s">
        <v>63</v>
      </c>
      <c r="Y2364" t="s">
        <v>52</v>
      </c>
      <c r="AB2364" t="s">
        <v>52</v>
      </c>
      <c r="AE2364" t="s">
        <v>52</v>
      </c>
      <c r="AF2364" t="s">
        <v>52</v>
      </c>
      <c r="AH2364">
        <v>0</v>
      </c>
      <c r="AI2364">
        <v>0</v>
      </c>
      <c r="AJ2364" t="s">
        <v>52</v>
      </c>
      <c r="AK2364">
        <v>0</v>
      </c>
      <c r="AL2364" t="s">
        <v>52</v>
      </c>
      <c r="AM2364" t="s">
        <v>52</v>
      </c>
      <c r="AN2364">
        <v>0</v>
      </c>
      <c r="AO2364">
        <v>0</v>
      </c>
      <c r="AP2364" t="s">
        <v>52</v>
      </c>
      <c r="AQ2364" t="s">
        <v>52</v>
      </c>
      <c r="AR2364" t="s">
        <v>62</v>
      </c>
      <c r="AS2364" t="s">
        <v>52</v>
      </c>
      <c r="AT2364" t="s">
        <v>52</v>
      </c>
      <c r="AU2364" t="s">
        <v>64</v>
      </c>
      <c r="AV2364" t="s">
        <v>62</v>
      </c>
      <c r="AW2364" t="s">
        <v>65</v>
      </c>
      <c r="AX2364" t="s">
        <v>66</v>
      </c>
      <c r="AY2364" t="s">
        <v>67</v>
      </c>
    </row>
    <row r="2365" spans="1:51" hidden="1" x14ac:dyDescent="0.25">
      <c r="A2365">
        <v>204076</v>
      </c>
      <c r="B2365" t="s">
        <v>8691</v>
      </c>
      <c r="C2365" t="e">
        <f>VLOOKUP(A2365,[1]Customer_payment_journal_line!$AL:$BO,30,0)</f>
        <v>#N/A</v>
      </c>
      <c r="D2365" t="s">
        <v>53</v>
      </c>
      <c r="E2365" t="s">
        <v>8689</v>
      </c>
      <c r="F2365" t="s">
        <v>8690</v>
      </c>
      <c r="G2365" t="s">
        <v>8297</v>
      </c>
      <c r="H2365" t="s">
        <v>69</v>
      </c>
      <c r="I2365" t="s">
        <v>8678</v>
      </c>
      <c r="J2365" t="s">
        <v>8676</v>
      </c>
      <c r="K2365" t="s">
        <v>8032</v>
      </c>
      <c r="L2365" t="s">
        <v>52</v>
      </c>
      <c r="M2365">
        <v>0</v>
      </c>
      <c r="N2365">
        <v>855</v>
      </c>
      <c r="O2365" t="s">
        <v>61</v>
      </c>
      <c r="P2365">
        <v>100</v>
      </c>
      <c r="Q2365" t="s">
        <v>52</v>
      </c>
      <c r="R2365" t="s">
        <v>52</v>
      </c>
      <c r="S2365" t="s">
        <v>52</v>
      </c>
      <c r="T2365" t="s">
        <v>52</v>
      </c>
      <c r="U2365" t="s">
        <v>52</v>
      </c>
      <c r="V2365" t="s">
        <v>62</v>
      </c>
      <c r="W2365" t="s">
        <v>52</v>
      </c>
      <c r="Y2365" t="s">
        <v>8679</v>
      </c>
      <c r="Z2365" t="s">
        <v>62</v>
      </c>
      <c r="AB2365" t="s">
        <v>8692</v>
      </c>
      <c r="AE2365" t="s">
        <v>8693</v>
      </c>
      <c r="AF2365" t="s">
        <v>52</v>
      </c>
      <c r="AH2365">
        <v>0</v>
      </c>
      <c r="AI2365">
        <v>0</v>
      </c>
      <c r="AJ2365" t="s">
        <v>52</v>
      </c>
      <c r="AK2365">
        <v>0</v>
      </c>
      <c r="AL2365" t="s">
        <v>52</v>
      </c>
      <c r="AM2365" t="s">
        <v>52</v>
      </c>
      <c r="AN2365">
        <v>0</v>
      </c>
      <c r="AO2365">
        <v>0</v>
      </c>
      <c r="AP2365" t="s">
        <v>52</v>
      </c>
      <c r="AQ2365" t="s">
        <v>52</v>
      </c>
      <c r="AR2365" t="s">
        <v>62</v>
      </c>
      <c r="AS2365" t="s">
        <v>52</v>
      </c>
      <c r="AT2365" t="s">
        <v>74</v>
      </c>
      <c r="AU2365" t="s">
        <v>64</v>
      </c>
      <c r="AV2365" t="s">
        <v>62</v>
      </c>
      <c r="AW2365" t="s">
        <v>65</v>
      </c>
      <c r="AX2365" t="s">
        <v>66</v>
      </c>
      <c r="AY2365" t="s">
        <v>67</v>
      </c>
    </row>
    <row r="2366" spans="1:51" hidden="1" x14ac:dyDescent="0.25">
      <c r="A2366">
        <v>204078</v>
      </c>
      <c r="B2366" t="s">
        <v>8694</v>
      </c>
      <c r="C2366" t="e">
        <f>VLOOKUP(A2366,[1]Customer_payment_journal_line!$AL:$BO,30,0)</f>
        <v>#N/A</v>
      </c>
      <c r="D2366" t="s">
        <v>53</v>
      </c>
      <c r="E2366" t="s">
        <v>8695</v>
      </c>
      <c r="F2366" t="s">
        <v>8696</v>
      </c>
      <c r="G2366" t="s">
        <v>8297</v>
      </c>
      <c r="H2366" t="s">
        <v>57</v>
      </c>
      <c r="I2366" t="s">
        <v>58</v>
      </c>
      <c r="J2366" t="s">
        <v>8697</v>
      </c>
      <c r="K2366" t="s">
        <v>8698</v>
      </c>
      <c r="L2366" t="s">
        <v>52</v>
      </c>
      <c r="M2366">
        <v>19492.7</v>
      </c>
      <c r="N2366">
        <v>0</v>
      </c>
      <c r="O2366" t="s">
        <v>61</v>
      </c>
      <c r="P2366">
        <v>100</v>
      </c>
      <c r="Q2366" t="s">
        <v>52</v>
      </c>
      <c r="R2366" t="s">
        <v>52</v>
      </c>
      <c r="S2366" t="s">
        <v>52</v>
      </c>
      <c r="T2366" t="s">
        <v>52</v>
      </c>
      <c r="U2366" t="s">
        <v>52</v>
      </c>
      <c r="V2366" t="s">
        <v>62</v>
      </c>
      <c r="W2366" t="s">
        <v>63</v>
      </c>
      <c r="Y2366" t="s">
        <v>52</v>
      </c>
      <c r="AB2366" t="s">
        <v>52</v>
      </c>
      <c r="AE2366" t="s">
        <v>52</v>
      </c>
      <c r="AF2366" t="s">
        <v>52</v>
      </c>
      <c r="AH2366">
        <v>0</v>
      </c>
      <c r="AI2366">
        <v>0</v>
      </c>
      <c r="AJ2366" t="s">
        <v>52</v>
      </c>
      <c r="AK2366">
        <v>0</v>
      </c>
      <c r="AL2366" t="s">
        <v>52</v>
      </c>
      <c r="AM2366" t="s">
        <v>52</v>
      </c>
      <c r="AN2366">
        <v>0</v>
      </c>
      <c r="AO2366">
        <v>0</v>
      </c>
      <c r="AP2366" t="s">
        <v>52</v>
      </c>
      <c r="AQ2366" t="s">
        <v>52</v>
      </c>
      <c r="AR2366" t="s">
        <v>62</v>
      </c>
      <c r="AS2366" t="s">
        <v>52</v>
      </c>
      <c r="AT2366" t="s">
        <v>52</v>
      </c>
      <c r="AU2366" t="s">
        <v>64</v>
      </c>
      <c r="AV2366" t="s">
        <v>62</v>
      </c>
      <c r="AW2366" t="s">
        <v>65</v>
      </c>
      <c r="AX2366" t="s">
        <v>66</v>
      </c>
      <c r="AY2366" t="s">
        <v>67</v>
      </c>
    </row>
    <row r="2367" spans="1:51" hidden="1" x14ac:dyDescent="0.25">
      <c r="A2367">
        <v>204078</v>
      </c>
      <c r="B2367" t="s">
        <v>8699</v>
      </c>
      <c r="C2367" t="e">
        <f>VLOOKUP(A2367,[1]Customer_payment_journal_line!$AL:$BO,30,0)</f>
        <v>#N/A</v>
      </c>
      <c r="D2367" t="s">
        <v>53</v>
      </c>
      <c r="E2367" t="s">
        <v>8695</v>
      </c>
      <c r="F2367" t="s">
        <v>8696</v>
      </c>
      <c r="G2367" t="s">
        <v>8297</v>
      </c>
      <c r="H2367" t="s">
        <v>69</v>
      </c>
      <c r="I2367" t="s">
        <v>8700</v>
      </c>
      <c r="J2367" t="s">
        <v>8697</v>
      </c>
      <c r="K2367" t="s">
        <v>8698</v>
      </c>
      <c r="L2367" t="s">
        <v>52</v>
      </c>
      <c r="M2367">
        <v>0</v>
      </c>
      <c r="N2367">
        <v>19492.7</v>
      </c>
      <c r="O2367" t="s">
        <v>61</v>
      </c>
      <c r="P2367">
        <v>100</v>
      </c>
      <c r="Q2367" t="s">
        <v>52</v>
      </c>
      <c r="R2367" t="s">
        <v>52</v>
      </c>
      <c r="S2367" t="s">
        <v>52</v>
      </c>
      <c r="T2367" t="s">
        <v>52</v>
      </c>
      <c r="U2367" t="s">
        <v>52</v>
      </c>
      <c r="V2367" t="s">
        <v>62</v>
      </c>
      <c r="W2367" t="s">
        <v>52</v>
      </c>
      <c r="Y2367" t="s">
        <v>8701</v>
      </c>
      <c r="Z2367" t="s">
        <v>62</v>
      </c>
      <c r="AB2367" t="s">
        <v>8702</v>
      </c>
      <c r="AE2367" t="s">
        <v>8703</v>
      </c>
      <c r="AF2367" t="s">
        <v>52</v>
      </c>
      <c r="AH2367">
        <v>0</v>
      </c>
      <c r="AI2367">
        <v>0</v>
      </c>
      <c r="AJ2367" t="s">
        <v>52</v>
      </c>
      <c r="AK2367">
        <v>0</v>
      </c>
      <c r="AL2367" t="s">
        <v>52</v>
      </c>
      <c r="AM2367" t="s">
        <v>52</v>
      </c>
      <c r="AN2367">
        <v>0</v>
      </c>
      <c r="AO2367">
        <v>0</v>
      </c>
      <c r="AP2367" t="s">
        <v>52</v>
      </c>
      <c r="AQ2367" t="s">
        <v>52</v>
      </c>
      <c r="AR2367" t="s">
        <v>62</v>
      </c>
      <c r="AS2367" t="s">
        <v>52</v>
      </c>
      <c r="AT2367" t="s">
        <v>74</v>
      </c>
      <c r="AU2367" t="s">
        <v>64</v>
      </c>
      <c r="AV2367" t="s">
        <v>62</v>
      </c>
      <c r="AW2367" t="s">
        <v>65</v>
      </c>
      <c r="AX2367" t="s">
        <v>66</v>
      </c>
      <c r="AY2367" t="s">
        <v>67</v>
      </c>
    </row>
    <row r="2368" spans="1:51" hidden="1" x14ac:dyDescent="0.25">
      <c r="A2368">
        <v>204079</v>
      </c>
      <c r="B2368" t="s">
        <v>8704</v>
      </c>
      <c r="C2368" t="e">
        <f>VLOOKUP(A2368,[1]Customer_payment_journal_line!$AL:$BO,30,0)</f>
        <v>#N/A</v>
      </c>
      <c r="D2368" t="s">
        <v>53</v>
      </c>
      <c r="E2368" t="s">
        <v>8705</v>
      </c>
      <c r="F2368" t="s">
        <v>8706</v>
      </c>
      <c r="G2368" t="s">
        <v>8297</v>
      </c>
      <c r="H2368" t="s">
        <v>57</v>
      </c>
      <c r="I2368" t="s">
        <v>58</v>
      </c>
      <c r="J2368" t="s">
        <v>8707</v>
      </c>
      <c r="K2368" t="s">
        <v>8708</v>
      </c>
      <c r="L2368" t="s">
        <v>52</v>
      </c>
      <c r="M2368">
        <v>6600</v>
      </c>
      <c r="N2368">
        <v>0</v>
      </c>
      <c r="O2368" t="s">
        <v>61</v>
      </c>
      <c r="P2368">
        <v>100</v>
      </c>
      <c r="Q2368" t="s">
        <v>52</v>
      </c>
      <c r="R2368" t="s">
        <v>52</v>
      </c>
      <c r="S2368" t="s">
        <v>52</v>
      </c>
      <c r="T2368" t="s">
        <v>52</v>
      </c>
      <c r="U2368" t="s">
        <v>52</v>
      </c>
      <c r="V2368" t="s">
        <v>62</v>
      </c>
      <c r="W2368" t="s">
        <v>63</v>
      </c>
      <c r="Y2368" t="s">
        <v>52</v>
      </c>
      <c r="AB2368" t="s">
        <v>52</v>
      </c>
      <c r="AE2368" t="s">
        <v>52</v>
      </c>
      <c r="AF2368" t="s">
        <v>52</v>
      </c>
      <c r="AH2368">
        <v>0</v>
      </c>
      <c r="AI2368">
        <v>0</v>
      </c>
      <c r="AJ2368" t="s">
        <v>52</v>
      </c>
      <c r="AK2368">
        <v>0</v>
      </c>
      <c r="AL2368" t="s">
        <v>52</v>
      </c>
      <c r="AM2368" t="s">
        <v>52</v>
      </c>
      <c r="AN2368">
        <v>0</v>
      </c>
      <c r="AO2368">
        <v>0</v>
      </c>
      <c r="AP2368" t="s">
        <v>52</v>
      </c>
      <c r="AQ2368" t="s">
        <v>52</v>
      </c>
      <c r="AR2368" t="s">
        <v>62</v>
      </c>
      <c r="AS2368" t="s">
        <v>52</v>
      </c>
      <c r="AT2368" t="s">
        <v>52</v>
      </c>
      <c r="AU2368" t="s">
        <v>64</v>
      </c>
      <c r="AV2368" t="s">
        <v>62</v>
      </c>
      <c r="AW2368" t="s">
        <v>65</v>
      </c>
      <c r="AX2368" t="s">
        <v>66</v>
      </c>
      <c r="AY2368" t="s">
        <v>67</v>
      </c>
    </row>
    <row r="2369" spans="1:51" hidden="1" x14ac:dyDescent="0.25">
      <c r="A2369">
        <v>204079</v>
      </c>
      <c r="B2369" t="s">
        <v>8709</v>
      </c>
      <c r="C2369" t="e">
        <f>VLOOKUP(A2369,[1]Customer_payment_journal_line!$AL:$BO,30,0)</f>
        <v>#N/A</v>
      </c>
      <c r="D2369" t="s">
        <v>53</v>
      </c>
      <c r="E2369" t="s">
        <v>8705</v>
      </c>
      <c r="F2369" t="s">
        <v>8706</v>
      </c>
      <c r="G2369" t="s">
        <v>8297</v>
      </c>
      <c r="H2369" t="s">
        <v>69</v>
      </c>
      <c r="I2369" t="s">
        <v>5010</v>
      </c>
      <c r="J2369" t="s">
        <v>8707</v>
      </c>
      <c r="K2369" t="s">
        <v>8708</v>
      </c>
      <c r="L2369" t="s">
        <v>52</v>
      </c>
      <c r="M2369">
        <v>0</v>
      </c>
      <c r="N2369">
        <v>6600</v>
      </c>
      <c r="O2369" t="s">
        <v>61</v>
      </c>
      <c r="P2369">
        <v>100</v>
      </c>
      <c r="Q2369" t="s">
        <v>52</v>
      </c>
      <c r="R2369" t="s">
        <v>52</v>
      </c>
      <c r="S2369" t="s">
        <v>52</v>
      </c>
      <c r="T2369" t="s">
        <v>52</v>
      </c>
      <c r="U2369" t="s">
        <v>52</v>
      </c>
      <c r="V2369" t="s">
        <v>62</v>
      </c>
      <c r="W2369" t="s">
        <v>52</v>
      </c>
      <c r="Y2369" t="s">
        <v>5011</v>
      </c>
      <c r="Z2369" t="s">
        <v>62</v>
      </c>
      <c r="AB2369" t="s">
        <v>8710</v>
      </c>
      <c r="AE2369" t="s">
        <v>8711</v>
      </c>
      <c r="AF2369" t="s">
        <v>52</v>
      </c>
      <c r="AH2369">
        <v>0</v>
      </c>
      <c r="AI2369">
        <v>0</v>
      </c>
      <c r="AJ2369" t="s">
        <v>52</v>
      </c>
      <c r="AK2369">
        <v>0</v>
      </c>
      <c r="AL2369" t="s">
        <v>52</v>
      </c>
      <c r="AM2369" t="s">
        <v>52</v>
      </c>
      <c r="AN2369">
        <v>0</v>
      </c>
      <c r="AO2369">
        <v>0</v>
      </c>
      <c r="AP2369" t="s">
        <v>52</v>
      </c>
      <c r="AQ2369" t="s">
        <v>52</v>
      </c>
      <c r="AR2369" t="s">
        <v>62</v>
      </c>
      <c r="AS2369" t="s">
        <v>52</v>
      </c>
      <c r="AT2369" t="s">
        <v>74</v>
      </c>
      <c r="AU2369" t="s">
        <v>64</v>
      </c>
      <c r="AV2369" t="s">
        <v>62</v>
      </c>
      <c r="AW2369" t="s">
        <v>65</v>
      </c>
      <c r="AX2369" t="s">
        <v>66</v>
      </c>
      <c r="AY2369" t="s">
        <v>67</v>
      </c>
    </row>
    <row r="2370" spans="1:51" hidden="1" x14ac:dyDescent="0.25">
      <c r="A2370">
        <v>204080</v>
      </c>
      <c r="B2370" t="s">
        <v>8712</v>
      </c>
      <c r="C2370" t="e">
        <f>VLOOKUP(A2370,[1]Customer_payment_journal_line!$AL:$BO,30,0)</f>
        <v>#N/A</v>
      </c>
      <c r="D2370" t="s">
        <v>53</v>
      </c>
      <c r="E2370" t="s">
        <v>8713</v>
      </c>
      <c r="F2370" t="s">
        <v>8714</v>
      </c>
      <c r="G2370" t="s">
        <v>8297</v>
      </c>
      <c r="H2370" t="s">
        <v>57</v>
      </c>
      <c r="I2370" t="s">
        <v>58</v>
      </c>
      <c r="J2370" t="s">
        <v>8715</v>
      </c>
      <c r="K2370" t="s">
        <v>8698</v>
      </c>
      <c r="L2370" t="s">
        <v>52</v>
      </c>
      <c r="M2370">
        <v>9900</v>
      </c>
      <c r="N2370">
        <v>0</v>
      </c>
      <c r="O2370" t="s">
        <v>61</v>
      </c>
      <c r="P2370">
        <v>100</v>
      </c>
      <c r="Q2370" t="s">
        <v>52</v>
      </c>
      <c r="R2370" t="s">
        <v>52</v>
      </c>
      <c r="S2370" t="s">
        <v>52</v>
      </c>
      <c r="T2370" t="s">
        <v>52</v>
      </c>
      <c r="U2370" t="s">
        <v>52</v>
      </c>
      <c r="V2370" t="s">
        <v>62</v>
      </c>
      <c r="W2370" t="s">
        <v>63</v>
      </c>
      <c r="Y2370" t="s">
        <v>52</v>
      </c>
      <c r="AB2370" t="s">
        <v>52</v>
      </c>
      <c r="AE2370" t="s">
        <v>52</v>
      </c>
      <c r="AF2370" t="s">
        <v>52</v>
      </c>
      <c r="AH2370">
        <v>0</v>
      </c>
      <c r="AI2370">
        <v>0</v>
      </c>
      <c r="AJ2370" t="s">
        <v>52</v>
      </c>
      <c r="AK2370">
        <v>0</v>
      </c>
      <c r="AL2370" t="s">
        <v>52</v>
      </c>
      <c r="AM2370" t="s">
        <v>52</v>
      </c>
      <c r="AN2370">
        <v>0</v>
      </c>
      <c r="AO2370">
        <v>0</v>
      </c>
      <c r="AP2370" t="s">
        <v>52</v>
      </c>
      <c r="AQ2370" t="s">
        <v>52</v>
      </c>
      <c r="AR2370" t="s">
        <v>62</v>
      </c>
      <c r="AS2370" t="s">
        <v>52</v>
      </c>
      <c r="AT2370" t="s">
        <v>52</v>
      </c>
      <c r="AU2370" t="s">
        <v>64</v>
      </c>
      <c r="AV2370" t="s">
        <v>62</v>
      </c>
      <c r="AW2370" t="s">
        <v>65</v>
      </c>
      <c r="AX2370" t="s">
        <v>66</v>
      </c>
      <c r="AY2370" t="s">
        <v>67</v>
      </c>
    </row>
    <row r="2371" spans="1:51" hidden="1" x14ac:dyDescent="0.25">
      <c r="A2371">
        <v>204080</v>
      </c>
      <c r="B2371" t="s">
        <v>8716</v>
      </c>
      <c r="C2371" t="e">
        <f>VLOOKUP(A2371,[1]Customer_payment_journal_line!$AL:$BO,30,0)</f>
        <v>#N/A</v>
      </c>
      <c r="D2371" t="s">
        <v>53</v>
      </c>
      <c r="E2371" t="s">
        <v>8713</v>
      </c>
      <c r="F2371" t="s">
        <v>8714</v>
      </c>
      <c r="G2371" t="s">
        <v>8297</v>
      </c>
      <c r="H2371" t="s">
        <v>69</v>
      </c>
      <c r="I2371" t="s">
        <v>8700</v>
      </c>
      <c r="J2371" t="s">
        <v>8715</v>
      </c>
      <c r="K2371" t="s">
        <v>8698</v>
      </c>
      <c r="L2371" t="s">
        <v>52</v>
      </c>
      <c r="M2371">
        <v>0</v>
      </c>
      <c r="N2371">
        <v>9900</v>
      </c>
      <c r="O2371" t="s">
        <v>61</v>
      </c>
      <c r="P2371">
        <v>100</v>
      </c>
      <c r="Q2371" t="s">
        <v>52</v>
      </c>
      <c r="R2371" t="s">
        <v>52</v>
      </c>
      <c r="S2371" t="s">
        <v>52</v>
      </c>
      <c r="T2371" t="s">
        <v>52</v>
      </c>
      <c r="U2371" t="s">
        <v>52</v>
      </c>
      <c r="V2371" t="s">
        <v>62</v>
      </c>
      <c r="W2371" t="s">
        <v>52</v>
      </c>
      <c r="Y2371" t="s">
        <v>8701</v>
      </c>
      <c r="Z2371" t="s">
        <v>62</v>
      </c>
      <c r="AB2371" t="s">
        <v>8717</v>
      </c>
      <c r="AE2371" t="s">
        <v>8718</v>
      </c>
      <c r="AF2371" t="s">
        <v>52</v>
      </c>
      <c r="AH2371">
        <v>0</v>
      </c>
      <c r="AI2371">
        <v>0</v>
      </c>
      <c r="AJ2371" t="s">
        <v>52</v>
      </c>
      <c r="AK2371">
        <v>0</v>
      </c>
      <c r="AL2371" t="s">
        <v>52</v>
      </c>
      <c r="AM2371" t="s">
        <v>52</v>
      </c>
      <c r="AN2371">
        <v>0</v>
      </c>
      <c r="AO2371">
        <v>0</v>
      </c>
      <c r="AP2371" t="s">
        <v>52</v>
      </c>
      <c r="AQ2371" t="s">
        <v>52</v>
      </c>
      <c r="AR2371" t="s">
        <v>62</v>
      </c>
      <c r="AS2371" t="s">
        <v>52</v>
      </c>
      <c r="AT2371" t="s">
        <v>74</v>
      </c>
      <c r="AU2371" t="s">
        <v>64</v>
      </c>
      <c r="AV2371" t="s">
        <v>62</v>
      </c>
      <c r="AW2371" t="s">
        <v>65</v>
      </c>
      <c r="AX2371" t="s">
        <v>66</v>
      </c>
      <c r="AY2371" t="s">
        <v>67</v>
      </c>
    </row>
    <row r="2372" spans="1:51" hidden="1" x14ac:dyDescent="0.25">
      <c r="A2372">
        <v>406263</v>
      </c>
      <c r="B2372" t="s">
        <v>8719</v>
      </c>
      <c r="C2372" t="e">
        <f>VLOOKUP(A2372,[1]Customer_payment_journal_line!$AL:$BO,30,0)</f>
        <v>#N/A</v>
      </c>
      <c r="D2372" t="s">
        <v>53</v>
      </c>
      <c r="E2372" t="s">
        <v>8720</v>
      </c>
      <c r="F2372" t="s">
        <v>8721</v>
      </c>
      <c r="G2372" t="s">
        <v>8297</v>
      </c>
      <c r="H2372" t="s">
        <v>57</v>
      </c>
      <c r="I2372" t="s">
        <v>1349</v>
      </c>
      <c r="J2372" t="s">
        <v>8722</v>
      </c>
      <c r="K2372" t="s">
        <v>1976</v>
      </c>
      <c r="L2372" t="s">
        <v>52</v>
      </c>
      <c r="M2372">
        <v>9576</v>
      </c>
      <c r="N2372">
        <v>0</v>
      </c>
      <c r="O2372" t="s">
        <v>61</v>
      </c>
      <c r="P2372">
        <v>100</v>
      </c>
      <c r="Q2372" t="s">
        <v>52</v>
      </c>
      <c r="R2372" t="s">
        <v>52</v>
      </c>
      <c r="S2372" t="s">
        <v>52</v>
      </c>
      <c r="T2372" t="s">
        <v>52</v>
      </c>
      <c r="U2372" t="s">
        <v>52</v>
      </c>
      <c r="V2372" t="s">
        <v>62</v>
      </c>
      <c r="W2372" t="s">
        <v>63</v>
      </c>
      <c r="Y2372" t="s">
        <v>52</v>
      </c>
      <c r="AB2372" t="s">
        <v>52</v>
      </c>
      <c r="AE2372" t="s">
        <v>52</v>
      </c>
      <c r="AF2372" t="s">
        <v>52</v>
      </c>
      <c r="AH2372">
        <v>0</v>
      </c>
      <c r="AI2372">
        <v>0</v>
      </c>
      <c r="AJ2372" t="s">
        <v>52</v>
      </c>
      <c r="AK2372">
        <v>0</v>
      </c>
      <c r="AL2372" t="s">
        <v>52</v>
      </c>
      <c r="AM2372" t="s">
        <v>52</v>
      </c>
      <c r="AN2372">
        <v>0</v>
      </c>
      <c r="AO2372">
        <v>0</v>
      </c>
      <c r="AP2372" t="s">
        <v>52</v>
      </c>
      <c r="AQ2372" t="s">
        <v>52</v>
      </c>
      <c r="AR2372" t="s">
        <v>62</v>
      </c>
      <c r="AS2372" t="s">
        <v>52</v>
      </c>
      <c r="AT2372" t="s">
        <v>52</v>
      </c>
      <c r="AU2372" t="s">
        <v>64</v>
      </c>
      <c r="AV2372" t="s">
        <v>62</v>
      </c>
      <c r="AW2372" t="s">
        <v>65</v>
      </c>
      <c r="AX2372" t="s">
        <v>66</v>
      </c>
      <c r="AY2372" t="s">
        <v>67</v>
      </c>
    </row>
    <row r="2373" spans="1:51" hidden="1" x14ac:dyDescent="0.25">
      <c r="A2373">
        <v>406263</v>
      </c>
      <c r="B2373" t="s">
        <v>8723</v>
      </c>
      <c r="C2373" t="e">
        <f>VLOOKUP(A2373,[1]Customer_payment_journal_line!$AL:$BO,30,0)</f>
        <v>#N/A</v>
      </c>
      <c r="D2373" t="s">
        <v>53</v>
      </c>
      <c r="E2373" t="s">
        <v>8720</v>
      </c>
      <c r="F2373" t="s">
        <v>8721</v>
      </c>
      <c r="G2373" t="s">
        <v>8297</v>
      </c>
      <c r="H2373" t="s">
        <v>69</v>
      </c>
      <c r="I2373" t="s">
        <v>1978</v>
      </c>
      <c r="J2373" t="s">
        <v>8722</v>
      </c>
      <c r="K2373" t="s">
        <v>1976</v>
      </c>
      <c r="L2373" t="s">
        <v>52</v>
      </c>
      <c r="M2373">
        <v>0</v>
      </c>
      <c r="N2373">
        <v>9576</v>
      </c>
      <c r="O2373" t="s">
        <v>61</v>
      </c>
      <c r="P2373">
        <v>100</v>
      </c>
      <c r="Q2373" t="s">
        <v>52</v>
      </c>
      <c r="R2373" t="s">
        <v>52</v>
      </c>
      <c r="S2373" t="s">
        <v>52</v>
      </c>
      <c r="T2373" t="s">
        <v>52</v>
      </c>
      <c r="U2373" t="s">
        <v>52</v>
      </c>
      <c r="V2373" t="s">
        <v>62</v>
      </c>
      <c r="W2373" t="s">
        <v>52</v>
      </c>
      <c r="Y2373" t="s">
        <v>1979</v>
      </c>
      <c r="Z2373" t="s">
        <v>62</v>
      </c>
      <c r="AB2373" t="s">
        <v>8724</v>
      </c>
      <c r="AE2373" t="s">
        <v>8725</v>
      </c>
      <c r="AF2373" t="s">
        <v>52</v>
      </c>
      <c r="AH2373">
        <v>0</v>
      </c>
      <c r="AI2373">
        <v>0</v>
      </c>
      <c r="AJ2373" t="s">
        <v>52</v>
      </c>
      <c r="AK2373">
        <v>0</v>
      </c>
      <c r="AL2373" t="s">
        <v>52</v>
      </c>
      <c r="AM2373" t="s">
        <v>52</v>
      </c>
      <c r="AN2373">
        <v>0</v>
      </c>
      <c r="AO2373">
        <v>0</v>
      </c>
      <c r="AP2373" t="s">
        <v>52</v>
      </c>
      <c r="AQ2373" t="s">
        <v>52</v>
      </c>
      <c r="AR2373" t="s">
        <v>62</v>
      </c>
      <c r="AS2373" t="s">
        <v>52</v>
      </c>
      <c r="AT2373" t="s">
        <v>74</v>
      </c>
      <c r="AU2373" t="s">
        <v>64</v>
      </c>
      <c r="AV2373" t="s">
        <v>62</v>
      </c>
      <c r="AW2373" t="s">
        <v>65</v>
      </c>
      <c r="AX2373" t="s">
        <v>66</v>
      </c>
      <c r="AY2373" t="s">
        <v>67</v>
      </c>
    </row>
    <row r="2374" spans="1:51" hidden="1" x14ac:dyDescent="0.25">
      <c r="A2374">
        <v>406264</v>
      </c>
      <c r="B2374" t="s">
        <v>8726</v>
      </c>
      <c r="C2374" t="e">
        <f>VLOOKUP(A2374,[1]Customer_payment_journal_line!$AL:$BO,30,0)</f>
        <v>#N/A</v>
      </c>
      <c r="D2374" t="s">
        <v>53</v>
      </c>
      <c r="E2374" t="s">
        <v>8727</v>
      </c>
      <c r="F2374" t="s">
        <v>8728</v>
      </c>
      <c r="G2374" t="s">
        <v>8297</v>
      </c>
      <c r="H2374" t="s">
        <v>57</v>
      </c>
      <c r="I2374" t="s">
        <v>1349</v>
      </c>
      <c r="J2374" t="s">
        <v>8722</v>
      </c>
      <c r="K2374" t="s">
        <v>1976</v>
      </c>
      <c r="L2374" t="s">
        <v>52</v>
      </c>
      <c r="M2374">
        <v>712.5</v>
      </c>
      <c r="N2374">
        <v>0</v>
      </c>
      <c r="O2374" t="s">
        <v>61</v>
      </c>
      <c r="P2374">
        <v>100</v>
      </c>
      <c r="Q2374" t="s">
        <v>52</v>
      </c>
      <c r="R2374" t="s">
        <v>52</v>
      </c>
      <c r="S2374" t="s">
        <v>52</v>
      </c>
      <c r="T2374" t="s">
        <v>52</v>
      </c>
      <c r="U2374" t="s">
        <v>52</v>
      </c>
      <c r="V2374" t="s">
        <v>62</v>
      </c>
      <c r="W2374" t="s">
        <v>63</v>
      </c>
      <c r="Y2374" t="s">
        <v>52</v>
      </c>
      <c r="AB2374" t="s">
        <v>52</v>
      </c>
      <c r="AE2374" t="s">
        <v>52</v>
      </c>
      <c r="AF2374" t="s">
        <v>52</v>
      </c>
      <c r="AH2374">
        <v>0</v>
      </c>
      <c r="AI2374">
        <v>0</v>
      </c>
      <c r="AJ2374" t="s">
        <v>52</v>
      </c>
      <c r="AK2374">
        <v>0</v>
      </c>
      <c r="AL2374" t="s">
        <v>52</v>
      </c>
      <c r="AM2374" t="s">
        <v>52</v>
      </c>
      <c r="AN2374">
        <v>0</v>
      </c>
      <c r="AO2374">
        <v>0</v>
      </c>
      <c r="AP2374" t="s">
        <v>52</v>
      </c>
      <c r="AQ2374" t="s">
        <v>52</v>
      </c>
      <c r="AR2374" t="s">
        <v>62</v>
      </c>
      <c r="AS2374" t="s">
        <v>52</v>
      </c>
      <c r="AT2374" t="s">
        <v>52</v>
      </c>
      <c r="AU2374" t="s">
        <v>64</v>
      </c>
      <c r="AV2374" t="s">
        <v>62</v>
      </c>
      <c r="AW2374" t="s">
        <v>65</v>
      </c>
      <c r="AX2374" t="s">
        <v>66</v>
      </c>
      <c r="AY2374" t="s">
        <v>67</v>
      </c>
    </row>
    <row r="2375" spans="1:51" hidden="1" x14ac:dyDescent="0.25">
      <c r="A2375">
        <v>406264</v>
      </c>
      <c r="B2375" t="s">
        <v>8729</v>
      </c>
      <c r="C2375" t="e">
        <f>VLOOKUP(A2375,[1]Customer_payment_journal_line!$AL:$BO,30,0)</f>
        <v>#N/A</v>
      </c>
      <c r="D2375" t="s">
        <v>53</v>
      </c>
      <c r="E2375" t="s">
        <v>8727</v>
      </c>
      <c r="F2375" t="s">
        <v>8728</v>
      </c>
      <c r="G2375" t="s">
        <v>8297</v>
      </c>
      <c r="H2375" t="s">
        <v>69</v>
      </c>
      <c r="I2375" t="s">
        <v>1978</v>
      </c>
      <c r="J2375" t="s">
        <v>8722</v>
      </c>
      <c r="K2375" t="s">
        <v>1976</v>
      </c>
      <c r="L2375" t="s">
        <v>52</v>
      </c>
      <c r="M2375">
        <v>0</v>
      </c>
      <c r="N2375">
        <v>712.5</v>
      </c>
      <c r="O2375" t="s">
        <v>61</v>
      </c>
      <c r="P2375">
        <v>100</v>
      </c>
      <c r="Q2375" t="s">
        <v>52</v>
      </c>
      <c r="R2375" t="s">
        <v>52</v>
      </c>
      <c r="S2375" t="s">
        <v>52</v>
      </c>
      <c r="T2375" t="s">
        <v>52</v>
      </c>
      <c r="U2375" t="s">
        <v>52</v>
      </c>
      <c r="V2375" t="s">
        <v>62</v>
      </c>
      <c r="W2375" t="s">
        <v>52</v>
      </c>
      <c r="Y2375" t="s">
        <v>1979</v>
      </c>
      <c r="Z2375" t="s">
        <v>62</v>
      </c>
      <c r="AB2375" t="s">
        <v>8730</v>
      </c>
      <c r="AE2375" t="s">
        <v>8731</v>
      </c>
      <c r="AF2375" t="s">
        <v>52</v>
      </c>
      <c r="AH2375">
        <v>0</v>
      </c>
      <c r="AI2375">
        <v>0</v>
      </c>
      <c r="AJ2375" t="s">
        <v>52</v>
      </c>
      <c r="AK2375">
        <v>0</v>
      </c>
      <c r="AL2375" t="s">
        <v>52</v>
      </c>
      <c r="AM2375" t="s">
        <v>52</v>
      </c>
      <c r="AN2375">
        <v>0</v>
      </c>
      <c r="AO2375">
        <v>0</v>
      </c>
      <c r="AP2375" t="s">
        <v>52</v>
      </c>
      <c r="AQ2375" t="s">
        <v>52</v>
      </c>
      <c r="AR2375" t="s">
        <v>62</v>
      </c>
      <c r="AS2375" t="s">
        <v>52</v>
      </c>
      <c r="AT2375" t="s">
        <v>74</v>
      </c>
      <c r="AU2375" t="s">
        <v>64</v>
      </c>
      <c r="AV2375" t="s">
        <v>62</v>
      </c>
      <c r="AW2375" t="s">
        <v>65</v>
      </c>
      <c r="AX2375" t="s">
        <v>66</v>
      </c>
      <c r="AY2375" t="s">
        <v>67</v>
      </c>
    </row>
    <row r="2376" spans="1:51" hidden="1" x14ac:dyDescent="0.25">
      <c r="A2376">
        <v>204093</v>
      </c>
      <c r="B2376" t="s">
        <v>8732</v>
      </c>
      <c r="C2376" t="e">
        <f>VLOOKUP(A2376,[1]Customer_payment_journal_line!$AL:$BO,30,0)</f>
        <v>#N/A</v>
      </c>
      <c r="D2376" t="s">
        <v>53</v>
      </c>
      <c r="E2376" t="s">
        <v>8733</v>
      </c>
      <c r="F2376" t="s">
        <v>8734</v>
      </c>
      <c r="G2376" t="s">
        <v>8297</v>
      </c>
      <c r="H2376" t="s">
        <v>57</v>
      </c>
      <c r="I2376" t="s">
        <v>58</v>
      </c>
      <c r="J2376" t="s">
        <v>8735</v>
      </c>
      <c r="K2376" t="s">
        <v>8736</v>
      </c>
      <c r="L2376" t="s">
        <v>52</v>
      </c>
      <c r="M2376">
        <v>2736</v>
      </c>
      <c r="N2376">
        <v>0</v>
      </c>
      <c r="O2376" t="s">
        <v>61</v>
      </c>
      <c r="P2376">
        <v>100</v>
      </c>
      <c r="Q2376" t="s">
        <v>52</v>
      </c>
      <c r="R2376" t="s">
        <v>52</v>
      </c>
      <c r="S2376" t="s">
        <v>52</v>
      </c>
      <c r="T2376" t="s">
        <v>52</v>
      </c>
      <c r="U2376" t="s">
        <v>52</v>
      </c>
      <c r="V2376" t="s">
        <v>62</v>
      </c>
      <c r="W2376" t="s">
        <v>63</v>
      </c>
      <c r="Y2376" t="s">
        <v>52</v>
      </c>
      <c r="AB2376" t="s">
        <v>52</v>
      </c>
      <c r="AE2376" t="s">
        <v>52</v>
      </c>
      <c r="AF2376" t="s">
        <v>52</v>
      </c>
      <c r="AH2376">
        <v>0</v>
      </c>
      <c r="AI2376">
        <v>0</v>
      </c>
      <c r="AJ2376" t="s">
        <v>52</v>
      </c>
      <c r="AK2376">
        <v>0</v>
      </c>
      <c r="AL2376" t="s">
        <v>52</v>
      </c>
      <c r="AM2376" t="s">
        <v>52</v>
      </c>
      <c r="AN2376">
        <v>0</v>
      </c>
      <c r="AO2376">
        <v>0</v>
      </c>
      <c r="AP2376" t="s">
        <v>52</v>
      </c>
      <c r="AQ2376" t="s">
        <v>52</v>
      </c>
      <c r="AR2376" t="s">
        <v>62</v>
      </c>
      <c r="AS2376" t="s">
        <v>52</v>
      </c>
      <c r="AT2376" t="s">
        <v>52</v>
      </c>
      <c r="AU2376" t="s">
        <v>64</v>
      </c>
      <c r="AV2376" t="s">
        <v>62</v>
      </c>
      <c r="AW2376" t="s">
        <v>65</v>
      </c>
      <c r="AX2376" t="s">
        <v>66</v>
      </c>
      <c r="AY2376" t="s">
        <v>67</v>
      </c>
    </row>
    <row r="2377" spans="1:51" hidden="1" x14ac:dyDescent="0.25">
      <c r="A2377">
        <v>204093</v>
      </c>
      <c r="B2377" t="s">
        <v>8737</v>
      </c>
      <c r="C2377" t="e">
        <f>VLOOKUP(A2377,[1]Customer_payment_journal_line!$AL:$BO,30,0)</f>
        <v>#N/A</v>
      </c>
      <c r="D2377" t="s">
        <v>53</v>
      </c>
      <c r="E2377" t="s">
        <v>8733</v>
      </c>
      <c r="F2377" t="s">
        <v>8734</v>
      </c>
      <c r="G2377" t="s">
        <v>8297</v>
      </c>
      <c r="H2377" t="s">
        <v>69</v>
      </c>
      <c r="I2377" t="s">
        <v>8738</v>
      </c>
      <c r="J2377" t="s">
        <v>8735</v>
      </c>
      <c r="K2377" t="s">
        <v>8736</v>
      </c>
      <c r="L2377" t="s">
        <v>52</v>
      </c>
      <c r="M2377">
        <v>0</v>
      </c>
      <c r="N2377">
        <v>2736</v>
      </c>
      <c r="O2377" t="s">
        <v>61</v>
      </c>
      <c r="P2377">
        <v>100</v>
      </c>
      <c r="Q2377" t="s">
        <v>52</v>
      </c>
      <c r="R2377" t="s">
        <v>52</v>
      </c>
      <c r="S2377" t="s">
        <v>52</v>
      </c>
      <c r="T2377" t="s">
        <v>52</v>
      </c>
      <c r="U2377" t="s">
        <v>52</v>
      </c>
      <c r="V2377" t="s">
        <v>62</v>
      </c>
      <c r="W2377" t="s">
        <v>52</v>
      </c>
      <c r="Y2377" t="s">
        <v>8739</v>
      </c>
      <c r="Z2377" t="s">
        <v>62</v>
      </c>
      <c r="AB2377" t="s">
        <v>8740</v>
      </c>
      <c r="AE2377" t="s">
        <v>8741</v>
      </c>
      <c r="AF2377" t="s">
        <v>52</v>
      </c>
      <c r="AH2377">
        <v>0</v>
      </c>
      <c r="AI2377">
        <v>0</v>
      </c>
      <c r="AJ2377" t="s">
        <v>52</v>
      </c>
      <c r="AK2377">
        <v>0</v>
      </c>
      <c r="AL2377" t="s">
        <v>52</v>
      </c>
      <c r="AM2377" t="s">
        <v>52</v>
      </c>
      <c r="AN2377">
        <v>0</v>
      </c>
      <c r="AO2377">
        <v>0</v>
      </c>
      <c r="AP2377" t="s">
        <v>52</v>
      </c>
      <c r="AQ2377" t="s">
        <v>52</v>
      </c>
      <c r="AR2377" t="s">
        <v>62</v>
      </c>
      <c r="AS2377" t="s">
        <v>52</v>
      </c>
      <c r="AT2377" t="s">
        <v>74</v>
      </c>
      <c r="AU2377" t="s">
        <v>64</v>
      </c>
      <c r="AV2377" t="s">
        <v>62</v>
      </c>
      <c r="AW2377" t="s">
        <v>65</v>
      </c>
      <c r="AX2377" t="s">
        <v>66</v>
      </c>
      <c r="AY2377" t="s">
        <v>67</v>
      </c>
    </row>
    <row r="2378" spans="1:51" hidden="1" x14ac:dyDescent="0.25">
      <c r="A2378">
        <v>406265</v>
      </c>
      <c r="B2378" t="s">
        <v>8742</v>
      </c>
      <c r="C2378" t="e">
        <f>VLOOKUP(A2378,[1]Customer_payment_journal_line!$AL:$BO,30,0)</f>
        <v>#N/A</v>
      </c>
      <c r="D2378" t="s">
        <v>53</v>
      </c>
      <c r="E2378" t="s">
        <v>8743</v>
      </c>
      <c r="F2378" t="s">
        <v>8744</v>
      </c>
      <c r="G2378" t="s">
        <v>8297</v>
      </c>
      <c r="H2378" t="s">
        <v>57</v>
      </c>
      <c r="I2378" t="s">
        <v>1349</v>
      </c>
      <c r="J2378" t="s">
        <v>8745</v>
      </c>
      <c r="K2378" t="s">
        <v>5955</v>
      </c>
      <c r="L2378" t="s">
        <v>52</v>
      </c>
      <c r="M2378">
        <v>1197</v>
      </c>
      <c r="N2378">
        <v>0</v>
      </c>
      <c r="O2378" t="s">
        <v>61</v>
      </c>
      <c r="P2378">
        <v>100</v>
      </c>
      <c r="Q2378" t="s">
        <v>52</v>
      </c>
      <c r="R2378" t="s">
        <v>52</v>
      </c>
      <c r="S2378" t="s">
        <v>52</v>
      </c>
      <c r="T2378" t="s">
        <v>52</v>
      </c>
      <c r="U2378" t="s">
        <v>52</v>
      </c>
      <c r="V2378" t="s">
        <v>62</v>
      </c>
      <c r="W2378" t="s">
        <v>63</v>
      </c>
      <c r="Y2378" t="s">
        <v>52</v>
      </c>
      <c r="AB2378" t="s">
        <v>52</v>
      </c>
      <c r="AE2378" t="s">
        <v>52</v>
      </c>
      <c r="AF2378" t="s">
        <v>52</v>
      </c>
      <c r="AH2378">
        <v>0</v>
      </c>
      <c r="AI2378">
        <v>0</v>
      </c>
      <c r="AJ2378" t="s">
        <v>52</v>
      </c>
      <c r="AK2378">
        <v>0</v>
      </c>
      <c r="AL2378" t="s">
        <v>52</v>
      </c>
      <c r="AM2378" t="s">
        <v>52</v>
      </c>
      <c r="AN2378">
        <v>0</v>
      </c>
      <c r="AO2378">
        <v>0</v>
      </c>
      <c r="AP2378" t="s">
        <v>52</v>
      </c>
      <c r="AQ2378" t="s">
        <v>52</v>
      </c>
      <c r="AR2378" t="s">
        <v>62</v>
      </c>
      <c r="AS2378" t="s">
        <v>52</v>
      </c>
      <c r="AT2378" t="s">
        <v>52</v>
      </c>
      <c r="AU2378" t="s">
        <v>64</v>
      </c>
      <c r="AV2378" t="s">
        <v>62</v>
      </c>
      <c r="AW2378" t="s">
        <v>65</v>
      </c>
      <c r="AX2378" t="s">
        <v>66</v>
      </c>
      <c r="AY2378" t="s">
        <v>67</v>
      </c>
    </row>
    <row r="2379" spans="1:51" hidden="1" x14ac:dyDescent="0.25">
      <c r="A2379">
        <v>406265</v>
      </c>
      <c r="B2379" t="s">
        <v>8746</v>
      </c>
      <c r="C2379" t="e">
        <f>VLOOKUP(A2379,[1]Customer_payment_journal_line!$AL:$BO,30,0)</f>
        <v>#N/A</v>
      </c>
      <c r="D2379" t="s">
        <v>53</v>
      </c>
      <c r="E2379" t="s">
        <v>8743</v>
      </c>
      <c r="F2379" t="s">
        <v>8744</v>
      </c>
      <c r="G2379" t="s">
        <v>8297</v>
      </c>
      <c r="H2379" t="s">
        <v>69</v>
      </c>
      <c r="I2379" t="s">
        <v>797</v>
      </c>
      <c r="J2379" t="s">
        <v>8745</v>
      </c>
      <c r="K2379" t="s">
        <v>5955</v>
      </c>
      <c r="L2379" t="s">
        <v>52</v>
      </c>
      <c r="M2379">
        <v>0</v>
      </c>
      <c r="N2379">
        <v>1197</v>
      </c>
      <c r="O2379" t="s">
        <v>61</v>
      </c>
      <c r="P2379">
        <v>100</v>
      </c>
      <c r="Q2379" t="s">
        <v>52</v>
      </c>
      <c r="R2379" t="s">
        <v>52</v>
      </c>
      <c r="S2379" t="s">
        <v>52</v>
      </c>
      <c r="T2379" t="s">
        <v>52</v>
      </c>
      <c r="U2379" t="s">
        <v>52</v>
      </c>
      <c r="V2379" t="s">
        <v>62</v>
      </c>
      <c r="W2379" t="s">
        <v>52</v>
      </c>
      <c r="Y2379" t="s">
        <v>798</v>
      </c>
      <c r="Z2379" t="s">
        <v>62</v>
      </c>
      <c r="AB2379" t="s">
        <v>8747</v>
      </c>
      <c r="AE2379" t="s">
        <v>8748</v>
      </c>
      <c r="AF2379" t="s">
        <v>52</v>
      </c>
      <c r="AH2379">
        <v>0</v>
      </c>
      <c r="AI2379">
        <v>0</v>
      </c>
      <c r="AJ2379" t="s">
        <v>52</v>
      </c>
      <c r="AK2379">
        <v>0</v>
      </c>
      <c r="AL2379" t="s">
        <v>52</v>
      </c>
      <c r="AM2379" t="s">
        <v>52</v>
      </c>
      <c r="AN2379">
        <v>0</v>
      </c>
      <c r="AO2379">
        <v>0</v>
      </c>
      <c r="AP2379" t="s">
        <v>52</v>
      </c>
      <c r="AQ2379" t="s">
        <v>52</v>
      </c>
      <c r="AR2379" t="s">
        <v>62</v>
      </c>
      <c r="AS2379" t="s">
        <v>52</v>
      </c>
      <c r="AT2379" t="s">
        <v>74</v>
      </c>
      <c r="AU2379" t="s">
        <v>64</v>
      </c>
      <c r="AV2379" t="s">
        <v>62</v>
      </c>
      <c r="AW2379" t="s">
        <v>65</v>
      </c>
      <c r="AX2379" t="s">
        <v>66</v>
      </c>
      <c r="AY2379" t="s">
        <v>67</v>
      </c>
    </row>
    <row r="2380" spans="1:51" hidden="1" x14ac:dyDescent="0.25">
      <c r="A2380">
        <v>204095</v>
      </c>
      <c r="B2380" t="s">
        <v>8749</v>
      </c>
      <c r="C2380" t="e">
        <f>VLOOKUP(A2380,[1]Customer_payment_journal_line!$AL:$BO,30,0)</f>
        <v>#N/A</v>
      </c>
      <c r="D2380" t="s">
        <v>53</v>
      </c>
      <c r="E2380" t="s">
        <v>8750</v>
      </c>
      <c r="F2380" t="s">
        <v>8751</v>
      </c>
      <c r="G2380" t="s">
        <v>8297</v>
      </c>
      <c r="H2380" t="s">
        <v>57</v>
      </c>
      <c r="I2380" t="s">
        <v>58</v>
      </c>
      <c r="J2380" t="s">
        <v>8735</v>
      </c>
      <c r="K2380" t="s">
        <v>8736</v>
      </c>
      <c r="L2380" t="s">
        <v>52</v>
      </c>
      <c r="M2380">
        <v>855</v>
      </c>
      <c r="N2380">
        <v>0</v>
      </c>
      <c r="O2380" t="s">
        <v>61</v>
      </c>
      <c r="P2380">
        <v>100</v>
      </c>
      <c r="Q2380" t="s">
        <v>52</v>
      </c>
      <c r="R2380" t="s">
        <v>52</v>
      </c>
      <c r="S2380" t="s">
        <v>52</v>
      </c>
      <c r="T2380" t="s">
        <v>52</v>
      </c>
      <c r="U2380" t="s">
        <v>52</v>
      </c>
      <c r="V2380" t="s">
        <v>62</v>
      </c>
      <c r="W2380" t="s">
        <v>63</v>
      </c>
      <c r="Y2380" t="s">
        <v>52</v>
      </c>
      <c r="AB2380" t="s">
        <v>52</v>
      </c>
      <c r="AE2380" t="s">
        <v>52</v>
      </c>
      <c r="AF2380" t="s">
        <v>52</v>
      </c>
      <c r="AH2380">
        <v>0</v>
      </c>
      <c r="AI2380">
        <v>0</v>
      </c>
      <c r="AJ2380" t="s">
        <v>52</v>
      </c>
      <c r="AK2380">
        <v>0</v>
      </c>
      <c r="AL2380" t="s">
        <v>52</v>
      </c>
      <c r="AM2380" t="s">
        <v>52</v>
      </c>
      <c r="AN2380">
        <v>0</v>
      </c>
      <c r="AO2380">
        <v>0</v>
      </c>
      <c r="AP2380" t="s">
        <v>52</v>
      </c>
      <c r="AQ2380" t="s">
        <v>52</v>
      </c>
      <c r="AR2380" t="s">
        <v>62</v>
      </c>
      <c r="AS2380" t="s">
        <v>52</v>
      </c>
      <c r="AT2380" t="s">
        <v>52</v>
      </c>
      <c r="AU2380" t="s">
        <v>64</v>
      </c>
      <c r="AV2380" t="s">
        <v>62</v>
      </c>
      <c r="AW2380" t="s">
        <v>65</v>
      </c>
      <c r="AX2380" t="s">
        <v>66</v>
      </c>
      <c r="AY2380" t="s">
        <v>67</v>
      </c>
    </row>
    <row r="2381" spans="1:51" hidden="1" x14ac:dyDescent="0.25">
      <c r="A2381">
        <v>204095</v>
      </c>
      <c r="B2381" t="s">
        <v>8752</v>
      </c>
      <c r="C2381" t="e">
        <f>VLOOKUP(A2381,[1]Customer_payment_journal_line!$AL:$BO,30,0)</f>
        <v>#N/A</v>
      </c>
      <c r="D2381" t="s">
        <v>53</v>
      </c>
      <c r="E2381" t="s">
        <v>8750</v>
      </c>
      <c r="F2381" t="s">
        <v>8751</v>
      </c>
      <c r="G2381" t="s">
        <v>8297</v>
      </c>
      <c r="H2381" t="s">
        <v>69</v>
      </c>
      <c r="I2381" t="s">
        <v>8738</v>
      </c>
      <c r="J2381" t="s">
        <v>8735</v>
      </c>
      <c r="K2381" t="s">
        <v>8736</v>
      </c>
      <c r="L2381" t="s">
        <v>52</v>
      </c>
      <c r="M2381">
        <v>0</v>
      </c>
      <c r="N2381">
        <v>855</v>
      </c>
      <c r="O2381" t="s">
        <v>61</v>
      </c>
      <c r="P2381">
        <v>100</v>
      </c>
      <c r="Q2381" t="s">
        <v>52</v>
      </c>
      <c r="R2381" t="s">
        <v>52</v>
      </c>
      <c r="S2381" t="s">
        <v>52</v>
      </c>
      <c r="T2381" t="s">
        <v>52</v>
      </c>
      <c r="U2381" t="s">
        <v>52</v>
      </c>
      <c r="V2381" t="s">
        <v>62</v>
      </c>
      <c r="W2381" t="s">
        <v>52</v>
      </c>
      <c r="Y2381" t="s">
        <v>8739</v>
      </c>
      <c r="Z2381" t="s">
        <v>62</v>
      </c>
      <c r="AB2381" t="s">
        <v>8753</v>
      </c>
      <c r="AE2381" t="s">
        <v>8754</v>
      </c>
      <c r="AF2381" t="s">
        <v>52</v>
      </c>
      <c r="AH2381">
        <v>0</v>
      </c>
      <c r="AI2381">
        <v>0</v>
      </c>
      <c r="AJ2381" t="s">
        <v>52</v>
      </c>
      <c r="AK2381">
        <v>0</v>
      </c>
      <c r="AL2381" t="s">
        <v>52</v>
      </c>
      <c r="AM2381" t="s">
        <v>52</v>
      </c>
      <c r="AN2381">
        <v>0</v>
      </c>
      <c r="AO2381">
        <v>0</v>
      </c>
      <c r="AP2381" t="s">
        <v>52</v>
      </c>
      <c r="AQ2381" t="s">
        <v>52</v>
      </c>
      <c r="AR2381" t="s">
        <v>62</v>
      </c>
      <c r="AS2381" t="s">
        <v>52</v>
      </c>
      <c r="AT2381" t="s">
        <v>74</v>
      </c>
      <c r="AU2381" t="s">
        <v>64</v>
      </c>
      <c r="AV2381" t="s">
        <v>62</v>
      </c>
      <c r="AW2381" t="s">
        <v>65</v>
      </c>
      <c r="AX2381" t="s">
        <v>66</v>
      </c>
      <c r="AY2381" t="s">
        <v>67</v>
      </c>
    </row>
    <row r="2382" spans="1:51" hidden="1" x14ac:dyDescent="0.25">
      <c r="A2382">
        <v>406267</v>
      </c>
      <c r="B2382" t="s">
        <v>8755</v>
      </c>
      <c r="C2382" t="e">
        <f>VLOOKUP(A2382,[1]Customer_payment_journal_line!$AL:$BO,30,0)</f>
        <v>#N/A</v>
      </c>
      <c r="D2382" t="s">
        <v>53</v>
      </c>
      <c r="E2382" t="s">
        <v>8756</v>
      </c>
      <c r="F2382" t="s">
        <v>8757</v>
      </c>
      <c r="G2382" t="s">
        <v>8297</v>
      </c>
      <c r="H2382" t="s">
        <v>57</v>
      </c>
      <c r="I2382" t="s">
        <v>58</v>
      </c>
      <c r="J2382" t="s">
        <v>3081</v>
      </c>
      <c r="K2382" t="s">
        <v>8758</v>
      </c>
      <c r="L2382" t="s">
        <v>52</v>
      </c>
      <c r="M2382">
        <v>3876</v>
      </c>
      <c r="N2382">
        <v>0</v>
      </c>
      <c r="O2382" t="s">
        <v>61</v>
      </c>
      <c r="P2382">
        <v>100</v>
      </c>
      <c r="Q2382" t="s">
        <v>52</v>
      </c>
      <c r="R2382" t="s">
        <v>52</v>
      </c>
      <c r="S2382" t="s">
        <v>52</v>
      </c>
      <c r="T2382" t="s">
        <v>52</v>
      </c>
      <c r="U2382" t="s">
        <v>52</v>
      </c>
      <c r="V2382" t="s">
        <v>62</v>
      </c>
      <c r="W2382" t="s">
        <v>63</v>
      </c>
      <c r="Y2382" t="s">
        <v>52</v>
      </c>
      <c r="AB2382" t="s">
        <v>52</v>
      </c>
      <c r="AE2382" t="s">
        <v>52</v>
      </c>
      <c r="AF2382" t="s">
        <v>52</v>
      </c>
      <c r="AH2382">
        <v>0</v>
      </c>
      <c r="AI2382">
        <v>0</v>
      </c>
      <c r="AJ2382" t="s">
        <v>52</v>
      </c>
      <c r="AK2382">
        <v>0</v>
      </c>
      <c r="AL2382" t="s">
        <v>52</v>
      </c>
      <c r="AM2382" t="s">
        <v>52</v>
      </c>
      <c r="AN2382">
        <v>0</v>
      </c>
      <c r="AO2382">
        <v>0</v>
      </c>
      <c r="AP2382" t="s">
        <v>52</v>
      </c>
      <c r="AQ2382" t="s">
        <v>52</v>
      </c>
      <c r="AR2382" t="s">
        <v>62</v>
      </c>
      <c r="AS2382" t="s">
        <v>52</v>
      </c>
      <c r="AT2382" t="s">
        <v>52</v>
      </c>
      <c r="AU2382" t="s">
        <v>64</v>
      </c>
      <c r="AV2382" t="s">
        <v>62</v>
      </c>
      <c r="AW2382" t="s">
        <v>65</v>
      </c>
      <c r="AX2382" t="s">
        <v>66</v>
      </c>
      <c r="AY2382" t="s">
        <v>67</v>
      </c>
    </row>
    <row r="2383" spans="1:51" hidden="1" x14ac:dyDescent="0.25">
      <c r="A2383">
        <v>406267</v>
      </c>
      <c r="B2383" t="s">
        <v>8759</v>
      </c>
      <c r="C2383" t="e">
        <f>VLOOKUP(A2383,[1]Customer_payment_journal_line!$AL:$BO,30,0)</f>
        <v>#N/A</v>
      </c>
      <c r="D2383" t="s">
        <v>53</v>
      </c>
      <c r="E2383" t="s">
        <v>8756</v>
      </c>
      <c r="F2383" t="s">
        <v>8757</v>
      </c>
      <c r="G2383" t="s">
        <v>8297</v>
      </c>
      <c r="H2383" t="s">
        <v>69</v>
      </c>
      <c r="I2383" t="s">
        <v>3084</v>
      </c>
      <c r="J2383" t="s">
        <v>3081</v>
      </c>
      <c r="K2383" t="s">
        <v>8758</v>
      </c>
      <c r="L2383" t="s">
        <v>52</v>
      </c>
      <c r="M2383">
        <v>0</v>
      </c>
      <c r="N2383">
        <v>3876</v>
      </c>
      <c r="O2383" t="s">
        <v>61</v>
      </c>
      <c r="P2383">
        <v>100</v>
      </c>
      <c r="Q2383" t="s">
        <v>52</v>
      </c>
      <c r="R2383" t="s">
        <v>52</v>
      </c>
      <c r="S2383" t="s">
        <v>52</v>
      </c>
      <c r="T2383" t="s">
        <v>52</v>
      </c>
      <c r="U2383" t="s">
        <v>52</v>
      </c>
      <c r="V2383" t="s">
        <v>62</v>
      </c>
      <c r="W2383" t="s">
        <v>52</v>
      </c>
      <c r="Y2383" t="s">
        <v>3085</v>
      </c>
      <c r="Z2383" t="s">
        <v>62</v>
      </c>
      <c r="AB2383" t="s">
        <v>8760</v>
      </c>
      <c r="AE2383" t="s">
        <v>8761</v>
      </c>
      <c r="AF2383" t="s">
        <v>52</v>
      </c>
      <c r="AH2383">
        <v>0</v>
      </c>
      <c r="AI2383">
        <v>0</v>
      </c>
      <c r="AJ2383" t="s">
        <v>52</v>
      </c>
      <c r="AK2383">
        <v>0</v>
      </c>
      <c r="AL2383" t="s">
        <v>52</v>
      </c>
      <c r="AM2383" t="s">
        <v>52</v>
      </c>
      <c r="AN2383">
        <v>0</v>
      </c>
      <c r="AO2383">
        <v>0</v>
      </c>
      <c r="AP2383" t="s">
        <v>52</v>
      </c>
      <c r="AQ2383" t="s">
        <v>52</v>
      </c>
      <c r="AR2383" t="s">
        <v>62</v>
      </c>
      <c r="AS2383" t="s">
        <v>52</v>
      </c>
      <c r="AT2383" t="s">
        <v>74</v>
      </c>
      <c r="AU2383" t="s">
        <v>64</v>
      </c>
      <c r="AV2383" t="s">
        <v>62</v>
      </c>
      <c r="AW2383" t="s">
        <v>65</v>
      </c>
      <c r="AX2383" t="s">
        <v>66</v>
      </c>
      <c r="AY2383" t="s">
        <v>67</v>
      </c>
    </row>
    <row r="2384" spans="1:51" hidden="1" x14ac:dyDescent="0.25">
      <c r="A2384">
        <v>406268</v>
      </c>
      <c r="B2384" t="s">
        <v>8762</v>
      </c>
      <c r="C2384" t="e">
        <f>VLOOKUP(A2384,[1]Customer_payment_journal_line!$AL:$BO,30,0)</f>
        <v>#N/A</v>
      </c>
      <c r="D2384" t="s">
        <v>53</v>
      </c>
      <c r="E2384" t="s">
        <v>8763</v>
      </c>
      <c r="F2384" t="s">
        <v>8764</v>
      </c>
      <c r="G2384" t="s">
        <v>8297</v>
      </c>
      <c r="H2384" t="s">
        <v>57</v>
      </c>
      <c r="I2384" t="s">
        <v>58</v>
      </c>
      <c r="J2384" t="s">
        <v>3081</v>
      </c>
      <c r="K2384" t="s">
        <v>8758</v>
      </c>
      <c r="L2384" t="s">
        <v>52</v>
      </c>
      <c r="M2384">
        <v>855</v>
      </c>
      <c r="N2384">
        <v>0</v>
      </c>
      <c r="O2384" t="s">
        <v>61</v>
      </c>
      <c r="P2384">
        <v>100</v>
      </c>
      <c r="Q2384" t="s">
        <v>52</v>
      </c>
      <c r="R2384" t="s">
        <v>52</v>
      </c>
      <c r="S2384" t="s">
        <v>52</v>
      </c>
      <c r="T2384" t="s">
        <v>52</v>
      </c>
      <c r="U2384" t="s">
        <v>52</v>
      </c>
      <c r="V2384" t="s">
        <v>62</v>
      </c>
      <c r="W2384" t="s">
        <v>63</v>
      </c>
      <c r="Y2384" t="s">
        <v>52</v>
      </c>
      <c r="AB2384" t="s">
        <v>52</v>
      </c>
      <c r="AE2384" t="s">
        <v>52</v>
      </c>
      <c r="AF2384" t="s">
        <v>52</v>
      </c>
      <c r="AH2384">
        <v>0</v>
      </c>
      <c r="AI2384">
        <v>0</v>
      </c>
      <c r="AJ2384" t="s">
        <v>52</v>
      </c>
      <c r="AK2384">
        <v>0</v>
      </c>
      <c r="AL2384" t="s">
        <v>52</v>
      </c>
      <c r="AM2384" t="s">
        <v>52</v>
      </c>
      <c r="AN2384">
        <v>0</v>
      </c>
      <c r="AO2384">
        <v>0</v>
      </c>
      <c r="AP2384" t="s">
        <v>52</v>
      </c>
      <c r="AQ2384" t="s">
        <v>52</v>
      </c>
      <c r="AR2384" t="s">
        <v>62</v>
      </c>
      <c r="AS2384" t="s">
        <v>52</v>
      </c>
      <c r="AT2384" t="s">
        <v>52</v>
      </c>
      <c r="AU2384" t="s">
        <v>64</v>
      </c>
      <c r="AV2384" t="s">
        <v>62</v>
      </c>
      <c r="AW2384" t="s">
        <v>65</v>
      </c>
      <c r="AX2384" t="s">
        <v>66</v>
      </c>
      <c r="AY2384" t="s">
        <v>67</v>
      </c>
    </row>
    <row r="2385" spans="1:51" hidden="1" x14ac:dyDescent="0.25">
      <c r="A2385">
        <v>406268</v>
      </c>
      <c r="B2385" t="s">
        <v>8765</v>
      </c>
      <c r="C2385" t="e">
        <f>VLOOKUP(A2385,[1]Customer_payment_journal_line!$AL:$BO,30,0)</f>
        <v>#N/A</v>
      </c>
      <c r="D2385" t="s">
        <v>53</v>
      </c>
      <c r="E2385" t="s">
        <v>8763</v>
      </c>
      <c r="F2385" t="s">
        <v>8764</v>
      </c>
      <c r="G2385" t="s">
        <v>8297</v>
      </c>
      <c r="H2385" t="s">
        <v>69</v>
      </c>
      <c r="I2385" t="s">
        <v>3084</v>
      </c>
      <c r="J2385" t="s">
        <v>3081</v>
      </c>
      <c r="K2385" t="s">
        <v>8758</v>
      </c>
      <c r="L2385" t="s">
        <v>52</v>
      </c>
      <c r="M2385">
        <v>0</v>
      </c>
      <c r="N2385">
        <v>855</v>
      </c>
      <c r="O2385" t="s">
        <v>61</v>
      </c>
      <c r="P2385">
        <v>100</v>
      </c>
      <c r="Q2385" t="s">
        <v>52</v>
      </c>
      <c r="R2385" t="s">
        <v>52</v>
      </c>
      <c r="S2385" t="s">
        <v>52</v>
      </c>
      <c r="T2385" t="s">
        <v>52</v>
      </c>
      <c r="U2385" t="s">
        <v>52</v>
      </c>
      <c r="V2385" t="s">
        <v>62</v>
      </c>
      <c r="W2385" t="s">
        <v>52</v>
      </c>
      <c r="Y2385" t="s">
        <v>3085</v>
      </c>
      <c r="Z2385" t="s">
        <v>62</v>
      </c>
      <c r="AB2385" t="s">
        <v>8766</v>
      </c>
      <c r="AE2385" t="s">
        <v>8767</v>
      </c>
      <c r="AF2385" t="s">
        <v>52</v>
      </c>
      <c r="AH2385">
        <v>0</v>
      </c>
      <c r="AI2385">
        <v>0</v>
      </c>
      <c r="AJ2385" t="s">
        <v>52</v>
      </c>
      <c r="AK2385">
        <v>0</v>
      </c>
      <c r="AL2385" t="s">
        <v>52</v>
      </c>
      <c r="AM2385" t="s">
        <v>52</v>
      </c>
      <c r="AN2385">
        <v>0</v>
      </c>
      <c r="AO2385">
        <v>0</v>
      </c>
      <c r="AP2385" t="s">
        <v>52</v>
      </c>
      <c r="AQ2385" t="s">
        <v>52</v>
      </c>
      <c r="AR2385" t="s">
        <v>62</v>
      </c>
      <c r="AS2385" t="s">
        <v>52</v>
      </c>
      <c r="AT2385" t="s">
        <v>74</v>
      </c>
      <c r="AU2385" t="s">
        <v>64</v>
      </c>
      <c r="AV2385" t="s">
        <v>62</v>
      </c>
      <c r="AW2385" t="s">
        <v>65</v>
      </c>
      <c r="AX2385" t="s">
        <v>66</v>
      </c>
      <c r="AY2385" t="s">
        <v>67</v>
      </c>
    </row>
    <row r="2386" spans="1:51" hidden="1" x14ac:dyDescent="0.25">
      <c r="A2386">
        <v>204099</v>
      </c>
      <c r="B2386" t="s">
        <v>8768</v>
      </c>
      <c r="C2386" t="e">
        <f>VLOOKUP(A2386,[1]Customer_payment_journal_line!$AL:$BO,30,0)</f>
        <v>#N/A</v>
      </c>
      <c r="D2386" t="s">
        <v>53</v>
      </c>
      <c r="E2386" t="s">
        <v>8769</v>
      </c>
      <c r="F2386" t="s">
        <v>8770</v>
      </c>
      <c r="G2386" t="s">
        <v>8297</v>
      </c>
      <c r="H2386" t="s">
        <v>57</v>
      </c>
      <c r="I2386" t="s">
        <v>58</v>
      </c>
      <c r="J2386" t="s">
        <v>8771</v>
      </c>
      <c r="K2386" t="s">
        <v>8772</v>
      </c>
      <c r="L2386" t="s">
        <v>52</v>
      </c>
      <c r="M2386">
        <v>3420</v>
      </c>
      <c r="N2386">
        <v>0</v>
      </c>
      <c r="O2386" t="s">
        <v>61</v>
      </c>
      <c r="P2386">
        <v>100</v>
      </c>
      <c r="Q2386" t="s">
        <v>52</v>
      </c>
      <c r="R2386" t="s">
        <v>52</v>
      </c>
      <c r="S2386" t="s">
        <v>52</v>
      </c>
      <c r="T2386" t="s">
        <v>52</v>
      </c>
      <c r="U2386" t="s">
        <v>52</v>
      </c>
      <c r="V2386" t="s">
        <v>62</v>
      </c>
      <c r="W2386" t="s">
        <v>63</v>
      </c>
      <c r="Y2386" t="s">
        <v>52</v>
      </c>
      <c r="AB2386" t="s">
        <v>52</v>
      </c>
      <c r="AE2386" t="s">
        <v>52</v>
      </c>
      <c r="AF2386" t="s">
        <v>52</v>
      </c>
      <c r="AH2386">
        <v>0</v>
      </c>
      <c r="AI2386">
        <v>0</v>
      </c>
      <c r="AJ2386" t="s">
        <v>52</v>
      </c>
      <c r="AK2386">
        <v>0</v>
      </c>
      <c r="AL2386" t="s">
        <v>52</v>
      </c>
      <c r="AM2386" t="s">
        <v>52</v>
      </c>
      <c r="AN2386">
        <v>0</v>
      </c>
      <c r="AO2386">
        <v>0</v>
      </c>
      <c r="AP2386" t="s">
        <v>52</v>
      </c>
      <c r="AQ2386" t="s">
        <v>52</v>
      </c>
      <c r="AR2386" t="s">
        <v>62</v>
      </c>
      <c r="AS2386" t="s">
        <v>52</v>
      </c>
      <c r="AT2386" t="s">
        <v>52</v>
      </c>
      <c r="AU2386" t="s">
        <v>64</v>
      </c>
      <c r="AV2386" t="s">
        <v>62</v>
      </c>
      <c r="AW2386" t="s">
        <v>65</v>
      </c>
      <c r="AX2386" t="s">
        <v>66</v>
      </c>
      <c r="AY2386" t="s">
        <v>67</v>
      </c>
    </row>
    <row r="2387" spans="1:51" hidden="1" x14ac:dyDescent="0.25">
      <c r="A2387">
        <v>204099</v>
      </c>
      <c r="B2387" t="s">
        <v>8773</v>
      </c>
      <c r="C2387" t="e">
        <f>VLOOKUP(A2387,[1]Customer_payment_journal_line!$AL:$BO,30,0)</f>
        <v>#N/A</v>
      </c>
      <c r="D2387" t="s">
        <v>53</v>
      </c>
      <c r="E2387" t="s">
        <v>8769</v>
      </c>
      <c r="F2387" t="s">
        <v>8770</v>
      </c>
      <c r="G2387" t="s">
        <v>8297</v>
      </c>
      <c r="H2387" t="s">
        <v>69</v>
      </c>
      <c r="I2387" t="s">
        <v>6124</v>
      </c>
      <c r="J2387" t="s">
        <v>8771</v>
      </c>
      <c r="K2387" t="s">
        <v>8772</v>
      </c>
      <c r="L2387" t="s">
        <v>52</v>
      </c>
      <c r="M2387">
        <v>0</v>
      </c>
      <c r="N2387">
        <v>3420</v>
      </c>
      <c r="O2387" t="s">
        <v>61</v>
      </c>
      <c r="P2387">
        <v>100</v>
      </c>
      <c r="Q2387" t="s">
        <v>52</v>
      </c>
      <c r="R2387" t="s">
        <v>52</v>
      </c>
      <c r="S2387" t="s">
        <v>52</v>
      </c>
      <c r="T2387" t="s">
        <v>52</v>
      </c>
      <c r="U2387" t="s">
        <v>52</v>
      </c>
      <c r="V2387" t="s">
        <v>62</v>
      </c>
      <c r="W2387" t="s">
        <v>52</v>
      </c>
      <c r="Y2387" t="s">
        <v>6125</v>
      </c>
      <c r="Z2387" t="s">
        <v>62</v>
      </c>
      <c r="AB2387" t="s">
        <v>8774</v>
      </c>
      <c r="AE2387" t="s">
        <v>8775</v>
      </c>
      <c r="AF2387" t="s">
        <v>52</v>
      </c>
      <c r="AH2387">
        <v>0</v>
      </c>
      <c r="AI2387">
        <v>0</v>
      </c>
      <c r="AJ2387" t="s">
        <v>52</v>
      </c>
      <c r="AK2387">
        <v>0</v>
      </c>
      <c r="AL2387" t="s">
        <v>52</v>
      </c>
      <c r="AM2387" t="s">
        <v>52</v>
      </c>
      <c r="AN2387">
        <v>0</v>
      </c>
      <c r="AO2387">
        <v>0</v>
      </c>
      <c r="AP2387" t="s">
        <v>52</v>
      </c>
      <c r="AQ2387" t="s">
        <v>52</v>
      </c>
      <c r="AR2387" t="s">
        <v>62</v>
      </c>
      <c r="AS2387" t="s">
        <v>52</v>
      </c>
      <c r="AT2387" t="s">
        <v>74</v>
      </c>
      <c r="AU2387" t="s">
        <v>64</v>
      </c>
      <c r="AV2387" t="s">
        <v>62</v>
      </c>
      <c r="AW2387" t="s">
        <v>65</v>
      </c>
      <c r="AX2387" t="s">
        <v>66</v>
      </c>
      <c r="AY2387" t="s">
        <v>67</v>
      </c>
    </row>
    <row r="2388" spans="1:51" hidden="1" x14ac:dyDescent="0.25">
      <c r="A2388">
        <v>317172</v>
      </c>
      <c r="B2388" t="s">
        <v>8776</v>
      </c>
      <c r="C2388" t="e">
        <f>VLOOKUP(A2388,[1]Customer_payment_journal_line!$AL:$BO,30,0)</f>
        <v>#N/A</v>
      </c>
      <c r="D2388" t="s">
        <v>53</v>
      </c>
      <c r="E2388" t="s">
        <v>8777</v>
      </c>
      <c r="F2388" t="s">
        <v>8778</v>
      </c>
      <c r="G2388" t="s">
        <v>8297</v>
      </c>
      <c r="H2388" t="s">
        <v>201</v>
      </c>
      <c r="I2388" t="s">
        <v>58</v>
      </c>
      <c r="J2388" t="s">
        <v>202</v>
      </c>
      <c r="K2388" t="s">
        <v>8779</v>
      </c>
      <c r="L2388" t="s">
        <v>52</v>
      </c>
      <c r="M2388">
        <v>7420</v>
      </c>
      <c r="N2388">
        <v>0</v>
      </c>
      <c r="O2388" t="s">
        <v>61</v>
      </c>
      <c r="P2388">
        <v>100</v>
      </c>
      <c r="Q2388" t="s">
        <v>52</v>
      </c>
      <c r="R2388" t="s">
        <v>52</v>
      </c>
      <c r="S2388" t="s">
        <v>52</v>
      </c>
      <c r="T2388" t="s">
        <v>52</v>
      </c>
      <c r="U2388" t="s">
        <v>52</v>
      </c>
      <c r="V2388" t="s">
        <v>62</v>
      </c>
      <c r="W2388" t="s">
        <v>63</v>
      </c>
      <c r="Y2388" t="s">
        <v>52</v>
      </c>
      <c r="AB2388" t="s">
        <v>8780</v>
      </c>
      <c r="AE2388" t="s">
        <v>8780</v>
      </c>
      <c r="AF2388" t="s">
        <v>52</v>
      </c>
      <c r="AH2388">
        <v>0</v>
      </c>
      <c r="AI2388">
        <v>0</v>
      </c>
      <c r="AJ2388" t="s">
        <v>52</v>
      </c>
      <c r="AK2388">
        <v>0</v>
      </c>
      <c r="AL2388" t="s">
        <v>52</v>
      </c>
      <c r="AM2388" t="s">
        <v>52</v>
      </c>
      <c r="AN2388">
        <v>0</v>
      </c>
      <c r="AO2388">
        <v>0</v>
      </c>
      <c r="AP2388" t="s">
        <v>52</v>
      </c>
      <c r="AQ2388" t="s">
        <v>52</v>
      </c>
      <c r="AR2388" t="s">
        <v>62</v>
      </c>
      <c r="AS2388" t="s">
        <v>52</v>
      </c>
      <c r="AT2388" t="s">
        <v>52</v>
      </c>
      <c r="AU2388" t="s">
        <v>64</v>
      </c>
      <c r="AV2388" t="s">
        <v>62</v>
      </c>
      <c r="AW2388" t="s">
        <v>65</v>
      </c>
      <c r="AX2388" t="s">
        <v>66</v>
      </c>
      <c r="AY2388" t="s">
        <v>67</v>
      </c>
    </row>
    <row r="2389" spans="1:51" hidden="1" x14ac:dyDescent="0.25">
      <c r="A2389">
        <v>317172</v>
      </c>
      <c r="B2389" t="s">
        <v>8781</v>
      </c>
      <c r="C2389" t="e">
        <f>VLOOKUP(A2389,[1]Customer_payment_journal_line!$AL:$BO,30,0)</f>
        <v>#N/A</v>
      </c>
      <c r="D2389" t="s">
        <v>53</v>
      </c>
      <c r="E2389" t="s">
        <v>8777</v>
      </c>
      <c r="F2389" t="s">
        <v>8778</v>
      </c>
      <c r="G2389" t="s">
        <v>8297</v>
      </c>
      <c r="H2389" t="s">
        <v>69</v>
      </c>
      <c r="I2389" t="s">
        <v>8782</v>
      </c>
      <c r="J2389" t="s">
        <v>8783</v>
      </c>
      <c r="K2389" t="s">
        <v>8779</v>
      </c>
      <c r="L2389" t="s">
        <v>52</v>
      </c>
      <c r="M2389">
        <v>0</v>
      </c>
      <c r="N2389">
        <v>140</v>
      </c>
      <c r="O2389" t="s">
        <v>178</v>
      </c>
      <c r="P2389">
        <v>5085</v>
      </c>
      <c r="Q2389" t="s">
        <v>52</v>
      </c>
      <c r="R2389" t="s">
        <v>52</v>
      </c>
      <c r="S2389" t="s">
        <v>52</v>
      </c>
      <c r="T2389" t="s">
        <v>52</v>
      </c>
      <c r="U2389" t="s">
        <v>52</v>
      </c>
      <c r="V2389" t="s">
        <v>62</v>
      </c>
      <c r="W2389" t="s">
        <v>52</v>
      </c>
      <c r="Y2389" t="s">
        <v>8784</v>
      </c>
      <c r="Z2389" t="s">
        <v>62</v>
      </c>
      <c r="AB2389" t="s">
        <v>8780</v>
      </c>
      <c r="AE2389" t="s">
        <v>8780</v>
      </c>
      <c r="AF2389" t="s">
        <v>52</v>
      </c>
      <c r="AH2389">
        <v>0</v>
      </c>
      <c r="AI2389">
        <v>0</v>
      </c>
      <c r="AJ2389" t="s">
        <v>52</v>
      </c>
      <c r="AK2389">
        <v>0</v>
      </c>
      <c r="AL2389" t="s">
        <v>52</v>
      </c>
      <c r="AM2389" t="s">
        <v>52</v>
      </c>
      <c r="AN2389">
        <v>0</v>
      </c>
      <c r="AO2389">
        <v>0</v>
      </c>
      <c r="AP2389" t="s">
        <v>52</v>
      </c>
      <c r="AQ2389" t="s">
        <v>52</v>
      </c>
      <c r="AR2389" t="s">
        <v>62</v>
      </c>
      <c r="AS2389" t="s">
        <v>52</v>
      </c>
      <c r="AT2389" t="s">
        <v>74</v>
      </c>
      <c r="AU2389" t="s">
        <v>64</v>
      </c>
      <c r="AV2389" t="s">
        <v>62</v>
      </c>
      <c r="AW2389" t="s">
        <v>65</v>
      </c>
      <c r="AX2389" t="s">
        <v>66</v>
      </c>
      <c r="AY2389" t="s">
        <v>67</v>
      </c>
    </row>
    <row r="2390" spans="1:51" hidden="1" x14ac:dyDescent="0.25">
      <c r="A2390">
        <v>317172</v>
      </c>
      <c r="B2390" t="s">
        <v>8785</v>
      </c>
      <c r="C2390" t="e">
        <f>VLOOKUP(A2390,[1]Customer_payment_journal_line!$AL:$BO,30,0)</f>
        <v>#N/A</v>
      </c>
      <c r="D2390" t="s">
        <v>53</v>
      </c>
      <c r="E2390" t="s">
        <v>8777</v>
      </c>
      <c r="F2390" t="s">
        <v>8778</v>
      </c>
      <c r="G2390" t="s">
        <v>8297</v>
      </c>
      <c r="H2390" t="s">
        <v>210</v>
      </c>
      <c r="I2390" t="s">
        <v>8786</v>
      </c>
      <c r="J2390" t="s">
        <v>52</v>
      </c>
      <c r="K2390" t="s">
        <v>8779</v>
      </c>
      <c r="L2390" t="s">
        <v>52</v>
      </c>
      <c r="M2390">
        <v>0</v>
      </c>
      <c r="N2390">
        <v>301</v>
      </c>
      <c r="O2390" t="s">
        <v>61</v>
      </c>
      <c r="P2390">
        <v>100</v>
      </c>
      <c r="Q2390" t="s">
        <v>52</v>
      </c>
      <c r="R2390" t="s">
        <v>52</v>
      </c>
      <c r="S2390" t="s">
        <v>52</v>
      </c>
      <c r="T2390" t="s">
        <v>52</v>
      </c>
      <c r="U2390" t="s">
        <v>52</v>
      </c>
      <c r="V2390" t="s">
        <v>62</v>
      </c>
      <c r="W2390" t="s">
        <v>63</v>
      </c>
      <c r="Y2390" t="s">
        <v>8784</v>
      </c>
      <c r="AB2390" t="s">
        <v>8780</v>
      </c>
      <c r="AE2390" t="s">
        <v>8780</v>
      </c>
      <c r="AF2390" t="s">
        <v>52</v>
      </c>
      <c r="AH2390">
        <v>0</v>
      </c>
      <c r="AI2390">
        <v>0</v>
      </c>
      <c r="AJ2390" t="s">
        <v>52</v>
      </c>
      <c r="AK2390">
        <v>0</v>
      </c>
      <c r="AL2390" t="s">
        <v>52</v>
      </c>
      <c r="AM2390" t="s">
        <v>52</v>
      </c>
      <c r="AN2390">
        <v>0</v>
      </c>
      <c r="AO2390">
        <v>0</v>
      </c>
      <c r="AP2390" t="s">
        <v>52</v>
      </c>
      <c r="AQ2390" t="s">
        <v>52</v>
      </c>
      <c r="AR2390" t="s">
        <v>62</v>
      </c>
      <c r="AS2390" t="s">
        <v>52</v>
      </c>
      <c r="AT2390" t="s">
        <v>52</v>
      </c>
      <c r="AU2390" t="s">
        <v>64</v>
      </c>
      <c r="AV2390" t="s">
        <v>62</v>
      </c>
      <c r="AW2390" t="s">
        <v>65</v>
      </c>
      <c r="AX2390" t="s">
        <v>66</v>
      </c>
      <c r="AY2390" t="s">
        <v>67</v>
      </c>
    </row>
    <row r="2391" spans="1:51" hidden="1" x14ac:dyDescent="0.25">
      <c r="A2391">
        <v>402935</v>
      </c>
      <c r="B2391" t="s">
        <v>8787</v>
      </c>
      <c r="C2391" t="e">
        <f>VLOOKUP(A2391,[1]Customer_payment_journal_line!$AL:$BO,30,0)</f>
        <v>#N/A</v>
      </c>
      <c r="D2391" t="s">
        <v>53</v>
      </c>
      <c r="E2391" t="s">
        <v>8788</v>
      </c>
      <c r="F2391" t="s">
        <v>8789</v>
      </c>
      <c r="G2391" t="s">
        <v>8297</v>
      </c>
      <c r="H2391" t="s">
        <v>57</v>
      </c>
      <c r="I2391" t="s">
        <v>58</v>
      </c>
      <c r="J2391" t="s">
        <v>8790</v>
      </c>
      <c r="K2391" t="s">
        <v>8779</v>
      </c>
      <c r="L2391" t="s">
        <v>52</v>
      </c>
      <c r="M2391">
        <v>855</v>
      </c>
      <c r="N2391">
        <v>0</v>
      </c>
      <c r="O2391" t="s">
        <v>61</v>
      </c>
      <c r="P2391">
        <v>100</v>
      </c>
      <c r="Q2391" t="s">
        <v>52</v>
      </c>
      <c r="R2391" t="s">
        <v>52</v>
      </c>
      <c r="S2391" t="s">
        <v>52</v>
      </c>
      <c r="T2391" t="s">
        <v>52</v>
      </c>
      <c r="U2391" t="s">
        <v>52</v>
      </c>
      <c r="V2391" t="s">
        <v>62</v>
      </c>
      <c r="W2391" t="s">
        <v>63</v>
      </c>
      <c r="Y2391" t="s">
        <v>52</v>
      </c>
      <c r="AB2391" t="s">
        <v>52</v>
      </c>
      <c r="AE2391" t="s">
        <v>52</v>
      </c>
      <c r="AF2391" t="s">
        <v>52</v>
      </c>
      <c r="AH2391">
        <v>0</v>
      </c>
      <c r="AI2391">
        <v>0</v>
      </c>
      <c r="AJ2391" t="s">
        <v>52</v>
      </c>
      <c r="AK2391">
        <v>0</v>
      </c>
      <c r="AL2391" t="s">
        <v>52</v>
      </c>
      <c r="AM2391" t="s">
        <v>52</v>
      </c>
      <c r="AN2391">
        <v>0</v>
      </c>
      <c r="AO2391">
        <v>0</v>
      </c>
      <c r="AP2391" t="s">
        <v>52</v>
      </c>
      <c r="AQ2391" t="s">
        <v>52</v>
      </c>
      <c r="AR2391" t="s">
        <v>62</v>
      </c>
      <c r="AS2391" t="s">
        <v>52</v>
      </c>
      <c r="AT2391" t="s">
        <v>52</v>
      </c>
      <c r="AU2391" t="s">
        <v>64</v>
      </c>
      <c r="AV2391" t="s">
        <v>62</v>
      </c>
      <c r="AW2391" t="s">
        <v>65</v>
      </c>
      <c r="AX2391" t="s">
        <v>66</v>
      </c>
      <c r="AY2391" t="s">
        <v>67</v>
      </c>
    </row>
    <row r="2392" spans="1:51" hidden="1" x14ac:dyDescent="0.25">
      <c r="A2392">
        <v>402935</v>
      </c>
      <c r="B2392" t="s">
        <v>8791</v>
      </c>
      <c r="C2392" t="e">
        <f>VLOOKUP(A2392,[1]Customer_payment_journal_line!$AL:$BO,30,0)</f>
        <v>#N/A</v>
      </c>
      <c r="D2392" t="s">
        <v>53</v>
      </c>
      <c r="E2392" t="s">
        <v>8788</v>
      </c>
      <c r="F2392" t="s">
        <v>8789</v>
      </c>
      <c r="G2392" t="s">
        <v>8297</v>
      </c>
      <c r="H2392" t="s">
        <v>69</v>
      </c>
      <c r="I2392" t="s">
        <v>8782</v>
      </c>
      <c r="J2392" t="s">
        <v>8790</v>
      </c>
      <c r="K2392" t="s">
        <v>8779</v>
      </c>
      <c r="L2392" t="s">
        <v>52</v>
      </c>
      <c r="M2392">
        <v>0</v>
      </c>
      <c r="N2392">
        <v>855</v>
      </c>
      <c r="O2392" t="s">
        <v>61</v>
      </c>
      <c r="P2392">
        <v>100</v>
      </c>
      <c r="Q2392" t="s">
        <v>52</v>
      </c>
      <c r="R2392" t="s">
        <v>52</v>
      </c>
      <c r="S2392" t="s">
        <v>52</v>
      </c>
      <c r="T2392" t="s">
        <v>52</v>
      </c>
      <c r="U2392" t="s">
        <v>52</v>
      </c>
      <c r="V2392" t="s">
        <v>62</v>
      </c>
      <c r="W2392" t="s">
        <v>52</v>
      </c>
      <c r="Y2392" t="s">
        <v>8784</v>
      </c>
      <c r="Z2392" t="s">
        <v>62</v>
      </c>
      <c r="AB2392" t="s">
        <v>8792</v>
      </c>
      <c r="AE2392" t="s">
        <v>8793</v>
      </c>
      <c r="AF2392" t="s">
        <v>52</v>
      </c>
      <c r="AH2392">
        <v>0</v>
      </c>
      <c r="AI2392">
        <v>0</v>
      </c>
      <c r="AJ2392" t="s">
        <v>52</v>
      </c>
      <c r="AK2392">
        <v>0</v>
      </c>
      <c r="AL2392" t="s">
        <v>52</v>
      </c>
      <c r="AM2392" t="s">
        <v>52</v>
      </c>
      <c r="AN2392">
        <v>0</v>
      </c>
      <c r="AO2392">
        <v>0</v>
      </c>
      <c r="AP2392" t="s">
        <v>52</v>
      </c>
      <c r="AQ2392" t="s">
        <v>52</v>
      </c>
      <c r="AR2392" t="s">
        <v>62</v>
      </c>
      <c r="AS2392" t="s">
        <v>52</v>
      </c>
      <c r="AT2392" t="s">
        <v>74</v>
      </c>
      <c r="AU2392" t="s">
        <v>64</v>
      </c>
      <c r="AV2392" t="s">
        <v>62</v>
      </c>
      <c r="AW2392" t="s">
        <v>65</v>
      </c>
      <c r="AX2392" t="s">
        <v>66</v>
      </c>
      <c r="AY2392" t="s">
        <v>67</v>
      </c>
    </row>
    <row r="2393" spans="1:51" hidden="1" x14ac:dyDescent="0.25">
      <c r="A2393">
        <v>403899</v>
      </c>
      <c r="B2393" t="s">
        <v>8794</v>
      </c>
      <c r="C2393" t="e">
        <f>VLOOKUP(A2393,[1]Customer_payment_journal_line!$AL:$BO,30,0)</f>
        <v>#N/A</v>
      </c>
      <c r="D2393" t="s">
        <v>53</v>
      </c>
      <c r="E2393" t="s">
        <v>8795</v>
      </c>
      <c r="F2393" t="s">
        <v>8796</v>
      </c>
      <c r="G2393" t="s">
        <v>8297</v>
      </c>
      <c r="H2393" t="s">
        <v>57</v>
      </c>
      <c r="I2393" t="s">
        <v>58</v>
      </c>
      <c r="J2393" t="s">
        <v>8790</v>
      </c>
      <c r="K2393" t="s">
        <v>8779</v>
      </c>
      <c r="L2393" t="s">
        <v>52</v>
      </c>
      <c r="M2393">
        <v>2736</v>
      </c>
      <c r="N2393">
        <v>0</v>
      </c>
      <c r="O2393" t="s">
        <v>61</v>
      </c>
      <c r="P2393">
        <v>100</v>
      </c>
      <c r="Q2393" t="s">
        <v>52</v>
      </c>
      <c r="R2393" t="s">
        <v>52</v>
      </c>
      <c r="S2393" t="s">
        <v>52</v>
      </c>
      <c r="T2393" t="s">
        <v>52</v>
      </c>
      <c r="U2393" t="s">
        <v>52</v>
      </c>
      <c r="V2393" t="s">
        <v>62</v>
      </c>
      <c r="W2393" t="s">
        <v>63</v>
      </c>
      <c r="Y2393" t="s">
        <v>52</v>
      </c>
      <c r="AB2393" t="s">
        <v>52</v>
      </c>
      <c r="AE2393" t="s">
        <v>52</v>
      </c>
      <c r="AF2393" t="s">
        <v>52</v>
      </c>
      <c r="AH2393">
        <v>0</v>
      </c>
      <c r="AI2393">
        <v>0</v>
      </c>
      <c r="AJ2393" t="s">
        <v>52</v>
      </c>
      <c r="AK2393">
        <v>0</v>
      </c>
      <c r="AL2393" t="s">
        <v>52</v>
      </c>
      <c r="AM2393" t="s">
        <v>52</v>
      </c>
      <c r="AN2393">
        <v>0</v>
      </c>
      <c r="AO2393">
        <v>0</v>
      </c>
      <c r="AP2393" t="s">
        <v>52</v>
      </c>
      <c r="AQ2393" t="s">
        <v>52</v>
      </c>
      <c r="AR2393" t="s">
        <v>62</v>
      </c>
      <c r="AS2393" t="s">
        <v>52</v>
      </c>
      <c r="AT2393" t="s">
        <v>52</v>
      </c>
      <c r="AU2393" t="s">
        <v>64</v>
      </c>
      <c r="AV2393" t="s">
        <v>62</v>
      </c>
      <c r="AW2393" t="s">
        <v>65</v>
      </c>
      <c r="AX2393" t="s">
        <v>66</v>
      </c>
      <c r="AY2393" t="s">
        <v>67</v>
      </c>
    </row>
    <row r="2394" spans="1:51" hidden="1" x14ac:dyDescent="0.25">
      <c r="A2394">
        <v>403899</v>
      </c>
      <c r="B2394" t="s">
        <v>8797</v>
      </c>
      <c r="C2394" t="e">
        <f>VLOOKUP(A2394,[1]Customer_payment_journal_line!$AL:$BO,30,0)</f>
        <v>#N/A</v>
      </c>
      <c r="D2394" t="s">
        <v>53</v>
      </c>
      <c r="E2394" t="s">
        <v>8795</v>
      </c>
      <c r="F2394" t="s">
        <v>8796</v>
      </c>
      <c r="G2394" t="s">
        <v>8297</v>
      </c>
      <c r="H2394" t="s">
        <v>69</v>
      </c>
      <c r="I2394" t="s">
        <v>8782</v>
      </c>
      <c r="J2394" t="s">
        <v>8790</v>
      </c>
      <c r="K2394" t="s">
        <v>8779</v>
      </c>
      <c r="L2394" t="s">
        <v>52</v>
      </c>
      <c r="M2394">
        <v>0</v>
      </c>
      <c r="N2394">
        <v>2736</v>
      </c>
      <c r="O2394" t="s">
        <v>61</v>
      </c>
      <c r="P2394">
        <v>100</v>
      </c>
      <c r="Q2394" t="s">
        <v>52</v>
      </c>
      <c r="R2394" t="s">
        <v>52</v>
      </c>
      <c r="S2394" t="s">
        <v>52</v>
      </c>
      <c r="T2394" t="s">
        <v>52</v>
      </c>
      <c r="U2394" t="s">
        <v>52</v>
      </c>
      <c r="V2394" t="s">
        <v>62</v>
      </c>
      <c r="W2394" t="s">
        <v>52</v>
      </c>
      <c r="Y2394" t="s">
        <v>8784</v>
      </c>
      <c r="Z2394" t="s">
        <v>62</v>
      </c>
      <c r="AB2394" t="s">
        <v>8798</v>
      </c>
      <c r="AE2394" t="s">
        <v>8799</v>
      </c>
      <c r="AF2394" t="s">
        <v>52</v>
      </c>
      <c r="AH2394">
        <v>0</v>
      </c>
      <c r="AI2394">
        <v>0</v>
      </c>
      <c r="AJ2394" t="s">
        <v>52</v>
      </c>
      <c r="AK2394">
        <v>0</v>
      </c>
      <c r="AL2394" t="s">
        <v>52</v>
      </c>
      <c r="AM2394" t="s">
        <v>52</v>
      </c>
      <c r="AN2394">
        <v>0</v>
      </c>
      <c r="AO2394">
        <v>0</v>
      </c>
      <c r="AP2394" t="s">
        <v>52</v>
      </c>
      <c r="AQ2394" t="s">
        <v>52</v>
      </c>
      <c r="AR2394" t="s">
        <v>62</v>
      </c>
      <c r="AS2394" t="s">
        <v>52</v>
      </c>
      <c r="AT2394" t="s">
        <v>74</v>
      </c>
      <c r="AU2394" t="s">
        <v>64</v>
      </c>
      <c r="AV2394" t="s">
        <v>62</v>
      </c>
      <c r="AW2394" t="s">
        <v>65</v>
      </c>
      <c r="AX2394" t="s">
        <v>66</v>
      </c>
      <c r="AY2394" t="s">
        <v>67</v>
      </c>
    </row>
    <row r="2395" spans="1:51" hidden="1" x14ac:dyDescent="0.25">
      <c r="A2395">
        <v>204104</v>
      </c>
      <c r="B2395" t="s">
        <v>8800</v>
      </c>
      <c r="C2395" t="e">
        <f>VLOOKUP(A2395,[1]Customer_payment_journal_line!$AL:$BO,30,0)</f>
        <v>#N/A</v>
      </c>
      <c r="D2395" t="s">
        <v>53</v>
      </c>
      <c r="E2395" t="s">
        <v>8801</v>
      </c>
      <c r="F2395" t="s">
        <v>8802</v>
      </c>
      <c r="G2395" t="s">
        <v>8297</v>
      </c>
      <c r="H2395" t="s">
        <v>57</v>
      </c>
      <c r="I2395" t="s">
        <v>58</v>
      </c>
      <c r="J2395" t="s">
        <v>8803</v>
      </c>
      <c r="K2395" t="s">
        <v>8804</v>
      </c>
      <c r="L2395" t="s">
        <v>52</v>
      </c>
      <c r="M2395">
        <v>4500</v>
      </c>
      <c r="N2395">
        <v>0</v>
      </c>
      <c r="O2395" t="s">
        <v>61</v>
      </c>
      <c r="P2395">
        <v>100</v>
      </c>
      <c r="Q2395" t="s">
        <v>52</v>
      </c>
      <c r="R2395" t="s">
        <v>52</v>
      </c>
      <c r="S2395" t="s">
        <v>52</v>
      </c>
      <c r="T2395" t="s">
        <v>52</v>
      </c>
      <c r="U2395" t="s">
        <v>52</v>
      </c>
      <c r="V2395" t="s">
        <v>62</v>
      </c>
      <c r="W2395" t="s">
        <v>63</v>
      </c>
      <c r="Y2395" t="s">
        <v>52</v>
      </c>
      <c r="AB2395" t="s">
        <v>52</v>
      </c>
      <c r="AE2395" t="s">
        <v>52</v>
      </c>
      <c r="AF2395" t="s">
        <v>52</v>
      </c>
      <c r="AH2395">
        <v>0</v>
      </c>
      <c r="AI2395">
        <v>0</v>
      </c>
      <c r="AJ2395" t="s">
        <v>52</v>
      </c>
      <c r="AK2395">
        <v>0</v>
      </c>
      <c r="AL2395" t="s">
        <v>52</v>
      </c>
      <c r="AM2395" t="s">
        <v>52</v>
      </c>
      <c r="AN2395">
        <v>0</v>
      </c>
      <c r="AO2395">
        <v>0</v>
      </c>
      <c r="AP2395" t="s">
        <v>52</v>
      </c>
      <c r="AQ2395" t="s">
        <v>52</v>
      </c>
      <c r="AR2395" t="s">
        <v>62</v>
      </c>
      <c r="AS2395" t="s">
        <v>52</v>
      </c>
      <c r="AT2395" t="s">
        <v>52</v>
      </c>
      <c r="AU2395" t="s">
        <v>64</v>
      </c>
      <c r="AV2395" t="s">
        <v>62</v>
      </c>
      <c r="AW2395" t="s">
        <v>65</v>
      </c>
      <c r="AX2395" t="s">
        <v>66</v>
      </c>
      <c r="AY2395" t="s">
        <v>67</v>
      </c>
    </row>
    <row r="2396" spans="1:51" hidden="1" x14ac:dyDescent="0.25">
      <c r="A2396">
        <v>204104</v>
      </c>
      <c r="B2396" t="s">
        <v>8805</v>
      </c>
      <c r="C2396" t="e">
        <f>VLOOKUP(A2396,[1]Customer_payment_journal_line!$AL:$BO,30,0)</f>
        <v>#N/A</v>
      </c>
      <c r="D2396" t="s">
        <v>53</v>
      </c>
      <c r="E2396" t="s">
        <v>8801</v>
      </c>
      <c r="F2396" t="s">
        <v>8802</v>
      </c>
      <c r="G2396" t="s">
        <v>8297</v>
      </c>
      <c r="H2396" t="s">
        <v>69</v>
      </c>
      <c r="I2396" t="s">
        <v>567</v>
      </c>
      <c r="J2396" t="s">
        <v>8803</v>
      </c>
      <c r="K2396" t="s">
        <v>8804</v>
      </c>
      <c r="L2396" t="s">
        <v>52</v>
      </c>
      <c r="M2396">
        <v>0</v>
      </c>
      <c r="N2396">
        <v>4500</v>
      </c>
      <c r="O2396" t="s">
        <v>61</v>
      </c>
      <c r="P2396">
        <v>100</v>
      </c>
      <c r="Q2396" t="s">
        <v>52</v>
      </c>
      <c r="R2396" t="s">
        <v>52</v>
      </c>
      <c r="S2396" t="s">
        <v>52</v>
      </c>
      <c r="T2396" t="s">
        <v>52</v>
      </c>
      <c r="U2396" t="s">
        <v>52</v>
      </c>
      <c r="V2396" t="s">
        <v>62</v>
      </c>
      <c r="W2396" t="s">
        <v>52</v>
      </c>
      <c r="Y2396" t="s">
        <v>568</v>
      </c>
      <c r="Z2396" t="s">
        <v>62</v>
      </c>
      <c r="AB2396" t="s">
        <v>8806</v>
      </c>
      <c r="AE2396" t="s">
        <v>8807</v>
      </c>
      <c r="AF2396" t="s">
        <v>52</v>
      </c>
      <c r="AH2396">
        <v>0</v>
      </c>
      <c r="AI2396">
        <v>0</v>
      </c>
      <c r="AJ2396" t="s">
        <v>52</v>
      </c>
      <c r="AK2396">
        <v>0</v>
      </c>
      <c r="AL2396" t="s">
        <v>52</v>
      </c>
      <c r="AM2396" t="s">
        <v>52</v>
      </c>
      <c r="AN2396">
        <v>0</v>
      </c>
      <c r="AO2396">
        <v>0</v>
      </c>
      <c r="AP2396" t="s">
        <v>52</v>
      </c>
      <c r="AQ2396" t="s">
        <v>52</v>
      </c>
      <c r="AR2396" t="s">
        <v>62</v>
      </c>
      <c r="AS2396" t="s">
        <v>52</v>
      </c>
      <c r="AT2396" t="s">
        <v>74</v>
      </c>
      <c r="AU2396" t="s">
        <v>64</v>
      </c>
      <c r="AV2396" t="s">
        <v>62</v>
      </c>
      <c r="AW2396" t="s">
        <v>65</v>
      </c>
      <c r="AX2396" t="s">
        <v>66</v>
      </c>
      <c r="AY2396" t="s">
        <v>67</v>
      </c>
    </row>
    <row r="2397" spans="1:51" hidden="1" x14ac:dyDescent="0.25">
      <c r="A2397">
        <v>204105</v>
      </c>
      <c r="B2397" t="s">
        <v>8808</v>
      </c>
      <c r="C2397" t="e">
        <f>VLOOKUP(A2397,[1]Customer_payment_journal_line!$AL:$BO,30,0)</f>
        <v>#N/A</v>
      </c>
      <c r="D2397" t="s">
        <v>53</v>
      </c>
      <c r="E2397" t="s">
        <v>8809</v>
      </c>
      <c r="F2397" t="s">
        <v>8810</v>
      </c>
      <c r="G2397" t="s">
        <v>8297</v>
      </c>
      <c r="H2397" t="s">
        <v>57</v>
      </c>
      <c r="I2397" t="s">
        <v>58</v>
      </c>
      <c r="J2397" t="s">
        <v>8803</v>
      </c>
      <c r="K2397" t="s">
        <v>8804</v>
      </c>
      <c r="L2397" t="s">
        <v>52</v>
      </c>
      <c r="M2397">
        <v>855</v>
      </c>
      <c r="N2397">
        <v>0</v>
      </c>
      <c r="O2397" t="s">
        <v>61</v>
      </c>
      <c r="P2397">
        <v>100</v>
      </c>
      <c r="Q2397" t="s">
        <v>52</v>
      </c>
      <c r="R2397" t="s">
        <v>52</v>
      </c>
      <c r="S2397" t="s">
        <v>52</v>
      </c>
      <c r="T2397" t="s">
        <v>52</v>
      </c>
      <c r="U2397" t="s">
        <v>52</v>
      </c>
      <c r="V2397" t="s">
        <v>62</v>
      </c>
      <c r="W2397" t="s">
        <v>63</v>
      </c>
      <c r="Y2397" t="s">
        <v>52</v>
      </c>
      <c r="AB2397" t="s">
        <v>52</v>
      </c>
      <c r="AE2397" t="s">
        <v>52</v>
      </c>
      <c r="AF2397" t="s">
        <v>52</v>
      </c>
      <c r="AH2397">
        <v>0</v>
      </c>
      <c r="AI2397">
        <v>0</v>
      </c>
      <c r="AJ2397" t="s">
        <v>52</v>
      </c>
      <c r="AK2397">
        <v>0</v>
      </c>
      <c r="AL2397" t="s">
        <v>52</v>
      </c>
      <c r="AM2397" t="s">
        <v>52</v>
      </c>
      <c r="AN2397">
        <v>0</v>
      </c>
      <c r="AO2397">
        <v>0</v>
      </c>
      <c r="AP2397" t="s">
        <v>52</v>
      </c>
      <c r="AQ2397" t="s">
        <v>52</v>
      </c>
      <c r="AR2397" t="s">
        <v>62</v>
      </c>
      <c r="AS2397" t="s">
        <v>52</v>
      </c>
      <c r="AT2397" t="s">
        <v>52</v>
      </c>
      <c r="AU2397" t="s">
        <v>64</v>
      </c>
      <c r="AV2397" t="s">
        <v>62</v>
      </c>
      <c r="AW2397" t="s">
        <v>65</v>
      </c>
      <c r="AX2397" t="s">
        <v>66</v>
      </c>
      <c r="AY2397" t="s">
        <v>67</v>
      </c>
    </row>
    <row r="2398" spans="1:51" hidden="1" x14ac:dyDescent="0.25">
      <c r="A2398">
        <v>204105</v>
      </c>
      <c r="B2398" t="s">
        <v>8811</v>
      </c>
      <c r="C2398" t="e">
        <f>VLOOKUP(A2398,[1]Customer_payment_journal_line!$AL:$BO,30,0)</f>
        <v>#N/A</v>
      </c>
      <c r="D2398" t="s">
        <v>53</v>
      </c>
      <c r="E2398" t="s">
        <v>8809</v>
      </c>
      <c r="F2398" t="s">
        <v>8810</v>
      </c>
      <c r="G2398" t="s">
        <v>8297</v>
      </c>
      <c r="H2398" t="s">
        <v>69</v>
      </c>
      <c r="I2398" t="s">
        <v>567</v>
      </c>
      <c r="J2398" t="s">
        <v>8803</v>
      </c>
      <c r="K2398" t="s">
        <v>8804</v>
      </c>
      <c r="L2398" t="s">
        <v>52</v>
      </c>
      <c r="M2398">
        <v>0</v>
      </c>
      <c r="N2398">
        <v>855</v>
      </c>
      <c r="O2398" t="s">
        <v>61</v>
      </c>
      <c r="P2398">
        <v>100</v>
      </c>
      <c r="Q2398" t="s">
        <v>52</v>
      </c>
      <c r="R2398" t="s">
        <v>52</v>
      </c>
      <c r="S2398" t="s">
        <v>52</v>
      </c>
      <c r="T2398" t="s">
        <v>52</v>
      </c>
      <c r="U2398" t="s">
        <v>52</v>
      </c>
      <c r="V2398" t="s">
        <v>62</v>
      </c>
      <c r="W2398" t="s">
        <v>52</v>
      </c>
      <c r="Y2398" t="s">
        <v>568</v>
      </c>
      <c r="Z2398" t="s">
        <v>62</v>
      </c>
      <c r="AB2398" t="s">
        <v>8812</v>
      </c>
      <c r="AE2398" t="s">
        <v>8813</v>
      </c>
      <c r="AF2398" t="s">
        <v>52</v>
      </c>
      <c r="AH2398">
        <v>0</v>
      </c>
      <c r="AI2398">
        <v>0</v>
      </c>
      <c r="AJ2398" t="s">
        <v>52</v>
      </c>
      <c r="AK2398">
        <v>0</v>
      </c>
      <c r="AL2398" t="s">
        <v>52</v>
      </c>
      <c r="AM2398" t="s">
        <v>52</v>
      </c>
      <c r="AN2398">
        <v>0</v>
      </c>
      <c r="AO2398">
        <v>0</v>
      </c>
      <c r="AP2398" t="s">
        <v>52</v>
      </c>
      <c r="AQ2398" t="s">
        <v>52</v>
      </c>
      <c r="AR2398" t="s">
        <v>62</v>
      </c>
      <c r="AS2398" t="s">
        <v>52</v>
      </c>
      <c r="AT2398" t="s">
        <v>74</v>
      </c>
      <c r="AU2398" t="s">
        <v>64</v>
      </c>
      <c r="AV2398" t="s">
        <v>62</v>
      </c>
      <c r="AW2398" t="s">
        <v>65</v>
      </c>
      <c r="AX2398" t="s">
        <v>66</v>
      </c>
      <c r="AY2398" t="s">
        <v>67</v>
      </c>
    </row>
    <row r="2399" spans="1:51" hidden="1" x14ac:dyDescent="0.25">
      <c r="A2399">
        <v>406269</v>
      </c>
      <c r="B2399" t="s">
        <v>8814</v>
      </c>
      <c r="C2399" t="e">
        <f>VLOOKUP(A2399,[1]Customer_payment_journal_line!$AL:$BO,30,0)</f>
        <v>#N/A</v>
      </c>
      <c r="D2399" t="s">
        <v>53</v>
      </c>
      <c r="E2399" t="s">
        <v>8815</v>
      </c>
      <c r="F2399" t="s">
        <v>8816</v>
      </c>
      <c r="G2399" t="s">
        <v>8297</v>
      </c>
      <c r="H2399" t="s">
        <v>57</v>
      </c>
      <c r="I2399" t="s">
        <v>1349</v>
      </c>
      <c r="J2399" t="s">
        <v>5092</v>
      </c>
      <c r="K2399" t="s">
        <v>4319</v>
      </c>
      <c r="L2399" t="s">
        <v>52</v>
      </c>
      <c r="M2399">
        <v>712.5</v>
      </c>
      <c r="N2399">
        <v>0</v>
      </c>
      <c r="O2399" t="s">
        <v>61</v>
      </c>
      <c r="P2399">
        <v>100</v>
      </c>
      <c r="Q2399" t="s">
        <v>52</v>
      </c>
      <c r="R2399" t="s">
        <v>52</v>
      </c>
      <c r="S2399" t="s">
        <v>52</v>
      </c>
      <c r="T2399" t="s">
        <v>52</v>
      </c>
      <c r="U2399" t="s">
        <v>52</v>
      </c>
      <c r="V2399" t="s">
        <v>62</v>
      </c>
      <c r="W2399" t="s">
        <v>63</v>
      </c>
      <c r="Y2399" t="s">
        <v>52</v>
      </c>
      <c r="AB2399" t="s">
        <v>52</v>
      </c>
      <c r="AE2399" t="s">
        <v>52</v>
      </c>
      <c r="AF2399" t="s">
        <v>52</v>
      </c>
      <c r="AH2399">
        <v>0</v>
      </c>
      <c r="AI2399">
        <v>0</v>
      </c>
      <c r="AJ2399" t="s">
        <v>52</v>
      </c>
      <c r="AK2399">
        <v>0</v>
      </c>
      <c r="AL2399" t="s">
        <v>52</v>
      </c>
      <c r="AM2399" t="s">
        <v>52</v>
      </c>
      <c r="AN2399">
        <v>0</v>
      </c>
      <c r="AO2399">
        <v>0</v>
      </c>
      <c r="AP2399" t="s">
        <v>52</v>
      </c>
      <c r="AQ2399" t="s">
        <v>52</v>
      </c>
      <c r="AR2399" t="s">
        <v>62</v>
      </c>
      <c r="AS2399" t="s">
        <v>52</v>
      </c>
      <c r="AT2399" t="s">
        <v>52</v>
      </c>
      <c r="AU2399" t="s">
        <v>64</v>
      </c>
      <c r="AV2399" t="s">
        <v>62</v>
      </c>
      <c r="AW2399" t="s">
        <v>65</v>
      </c>
      <c r="AX2399" t="s">
        <v>66</v>
      </c>
      <c r="AY2399" t="s">
        <v>67</v>
      </c>
    </row>
    <row r="2400" spans="1:51" hidden="1" x14ac:dyDescent="0.25">
      <c r="A2400">
        <v>406269</v>
      </c>
      <c r="B2400" t="s">
        <v>8817</v>
      </c>
      <c r="C2400" t="e">
        <f>VLOOKUP(A2400,[1]Customer_payment_journal_line!$AL:$BO,30,0)</f>
        <v>#N/A</v>
      </c>
      <c r="D2400" t="s">
        <v>53</v>
      </c>
      <c r="E2400" t="s">
        <v>8815</v>
      </c>
      <c r="F2400" t="s">
        <v>8816</v>
      </c>
      <c r="G2400" t="s">
        <v>8297</v>
      </c>
      <c r="H2400" t="s">
        <v>69</v>
      </c>
      <c r="I2400" t="s">
        <v>3642</v>
      </c>
      <c r="J2400" t="s">
        <v>5092</v>
      </c>
      <c r="K2400" t="s">
        <v>4319</v>
      </c>
      <c r="L2400" t="s">
        <v>52</v>
      </c>
      <c r="M2400">
        <v>0</v>
      </c>
      <c r="N2400">
        <v>712.5</v>
      </c>
      <c r="O2400" t="s">
        <v>61</v>
      </c>
      <c r="P2400">
        <v>100</v>
      </c>
      <c r="Q2400" t="s">
        <v>52</v>
      </c>
      <c r="R2400" t="s">
        <v>52</v>
      </c>
      <c r="S2400" t="s">
        <v>52</v>
      </c>
      <c r="T2400" t="s">
        <v>52</v>
      </c>
      <c r="U2400" t="s">
        <v>52</v>
      </c>
      <c r="V2400" t="s">
        <v>62</v>
      </c>
      <c r="W2400" t="s">
        <v>52</v>
      </c>
      <c r="Y2400" t="s">
        <v>3643</v>
      </c>
      <c r="Z2400" t="s">
        <v>62</v>
      </c>
      <c r="AB2400" t="s">
        <v>8818</v>
      </c>
      <c r="AE2400" t="s">
        <v>8819</v>
      </c>
      <c r="AF2400" t="s">
        <v>52</v>
      </c>
      <c r="AH2400">
        <v>0</v>
      </c>
      <c r="AI2400">
        <v>0</v>
      </c>
      <c r="AJ2400" t="s">
        <v>52</v>
      </c>
      <c r="AK2400">
        <v>0</v>
      </c>
      <c r="AL2400" t="s">
        <v>52</v>
      </c>
      <c r="AM2400" t="s">
        <v>52</v>
      </c>
      <c r="AN2400">
        <v>0</v>
      </c>
      <c r="AO2400">
        <v>0</v>
      </c>
      <c r="AP2400" t="s">
        <v>52</v>
      </c>
      <c r="AQ2400" t="s">
        <v>52</v>
      </c>
      <c r="AR2400" t="s">
        <v>62</v>
      </c>
      <c r="AS2400" t="s">
        <v>52</v>
      </c>
      <c r="AT2400" t="s">
        <v>74</v>
      </c>
      <c r="AU2400" t="s">
        <v>64</v>
      </c>
      <c r="AV2400" t="s">
        <v>62</v>
      </c>
      <c r="AW2400" t="s">
        <v>65</v>
      </c>
      <c r="AX2400" t="s">
        <v>66</v>
      </c>
      <c r="AY2400" t="s">
        <v>67</v>
      </c>
    </row>
    <row r="2401" spans="1:51" hidden="1" x14ac:dyDescent="0.25">
      <c r="A2401">
        <v>406270</v>
      </c>
      <c r="B2401" t="s">
        <v>8820</v>
      </c>
      <c r="C2401" t="e">
        <f>VLOOKUP(A2401,[1]Customer_payment_journal_line!$AL:$BO,30,0)</f>
        <v>#N/A</v>
      </c>
      <c r="D2401" t="s">
        <v>53</v>
      </c>
      <c r="E2401" t="s">
        <v>8821</v>
      </c>
      <c r="F2401" t="s">
        <v>8822</v>
      </c>
      <c r="G2401" t="s">
        <v>8297</v>
      </c>
      <c r="H2401" t="s">
        <v>57</v>
      </c>
      <c r="I2401" t="s">
        <v>1349</v>
      </c>
      <c r="J2401" t="s">
        <v>5092</v>
      </c>
      <c r="K2401" t="s">
        <v>4425</v>
      </c>
      <c r="L2401" t="s">
        <v>52</v>
      </c>
      <c r="M2401">
        <v>712.5</v>
      </c>
      <c r="N2401">
        <v>0</v>
      </c>
      <c r="O2401" t="s">
        <v>61</v>
      </c>
      <c r="P2401">
        <v>100</v>
      </c>
      <c r="Q2401" t="s">
        <v>52</v>
      </c>
      <c r="R2401" t="s">
        <v>52</v>
      </c>
      <c r="S2401" t="s">
        <v>52</v>
      </c>
      <c r="T2401" t="s">
        <v>52</v>
      </c>
      <c r="U2401" t="s">
        <v>52</v>
      </c>
      <c r="V2401" t="s">
        <v>62</v>
      </c>
      <c r="W2401" t="s">
        <v>63</v>
      </c>
      <c r="Y2401" t="s">
        <v>52</v>
      </c>
      <c r="AB2401" t="s">
        <v>52</v>
      </c>
      <c r="AE2401" t="s">
        <v>52</v>
      </c>
      <c r="AF2401" t="s">
        <v>52</v>
      </c>
      <c r="AH2401">
        <v>0</v>
      </c>
      <c r="AI2401">
        <v>0</v>
      </c>
      <c r="AJ2401" t="s">
        <v>52</v>
      </c>
      <c r="AK2401">
        <v>0</v>
      </c>
      <c r="AL2401" t="s">
        <v>52</v>
      </c>
      <c r="AM2401" t="s">
        <v>52</v>
      </c>
      <c r="AN2401">
        <v>0</v>
      </c>
      <c r="AO2401">
        <v>0</v>
      </c>
      <c r="AP2401" t="s">
        <v>52</v>
      </c>
      <c r="AQ2401" t="s">
        <v>52</v>
      </c>
      <c r="AR2401" t="s">
        <v>62</v>
      </c>
      <c r="AS2401" t="s">
        <v>52</v>
      </c>
      <c r="AT2401" t="s">
        <v>52</v>
      </c>
      <c r="AU2401" t="s">
        <v>64</v>
      </c>
      <c r="AV2401" t="s">
        <v>62</v>
      </c>
      <c r="AW2401" t="s">
        <v>65</v>
      </c>
      <c r="AX2401" t="s">
        <v>66</v>
      </c>
      <c r="AY2401" t="s">
        <v>67</v>
      </c>
    </row>
    <row r="2402" spans="1:51" hidden="1" x14ac:dyDescent="0.25">
      <c r="A2402">
        <v>406270</v>
      </c>
      <c r="B2402" t="s">
        <v>8823</v>
      </c>
      <c r="C2402" t="e">
        <f>VLOOKUP(A2402,[1]Customer_payment_journal_line!$AL:$BO,30,0)</f>
        <v>#N/A</v>
      </c>
      <c r="D2402" t="s">
        <v>53</v>
      </c>
      <c r="E2402" t="s">
        <v>8821</v>
      </c>
      <c r="F2402" t="s">
        <v>8822</v>
      </c>
      <c r="G2402" t="s">
        <v>8297</v>
      </c>
      <c r="H2402" t="s">
        <v>69</v>
      </c>
      <c r="I2402" t="s">
        <v>3642</v>
      </c>
      <c r="J2402" t="s">
        <v>5092</v>
      </c>
      <c r="K2402" t="s">
        <v>4425</v>
      </c>
      <c r="L2402" t="s">
        <v>52</v>
      </c>
      <c r="M2402">
        <v>0</v>
      </c>
      <c r="N2402">
        <v>712.5</v>
      </c>
      <c r="O2402" t="s">
        <v>61</v>
      </c>
      <c r="P2402">
        <v>100</v>
      </c>
      <c r="Q2402" t="s">
        <v>52</v>
      </c>
      <c r="R2402" t="s">
        <v>52</v>
      </c>
      <c r="S2402" t="s">
        <v>52</v>
      </c>
      <c r="T2402" t="s">
        <v>52</v>
      </c>
      <c r="U2402" t="s">
        <v>52</v>
      </c>
      <c r="V2402" t="s">
        <v>62</v>
      </c>
      <c r="W2402" t="s">
        <v>52</v>
      </c>
      <c r="Y2402" t="s">
        <v>3643</v>
      </c>
      <c r="Z2402" t="s">
        <v>62</v>
      </c>
      <c r="AB2402" t="s">
        <v>8824</v>
      </c>
      <c r="AE2402" t="s">
        <v>8825</v>
      </c>
      <c r="AF2402" t="s">
        <v>52</v>
      </c>
      <c r="AH2402">
        <v>0</v>
      </c>
      <c r="AI2402">
        <v>0</v>
      </c>
      <c r="AJ2402" t="s">
        <v>52</v>
      </c>
      <c r="AK2402">
        <v>0</v>
      </c>
      <c r="AL2402" t="s">
        <v>52</v>
      </c>
      <c r="AM2402" t="s">
        <v>52</v>
      </c>
      <c r="AN2402">
        <v>0</v>
      </c>
      <c r="AO2402">
        <v>0</v>
      </c>
      <c r="AP2402" t="s">
        <v>52</v>
      </c>
      <c r="AQ2402" t="s">
        <v>52</v>
      </c>
      <c r="AR2402" t="s">
        <v>62</v>
      </c>
      <c r="AS2402" t="s">
        <v>52</v>
      </c>
      <c r="AT2402" t="s">
        <v>74</v>
      </c>
      <c r="AU2402" t="s">
        <v>64</v>
      </c>
      <c r="AV2402" t="s">
        <v>62</v>
      </c>
      <c r="AW2402" t="s">
        <v>65</v>
      </c>
      <c r="AX2402" t="s">
        <v>66</v>
      </c>
      <c r="AY2402" t="s">
        <v>67</v>
      </c>
    </row>
    <row r="2403" spans="1:51" hidden="1" x14ac:dyDescent="0.25">
      <c r="A2403">
        <v>406271</v>
      </c>
      <c r="B2403" t="s">
        <v>8826</v>
      </c>
      <c r="C2403" t="e">
        <f>VLOOKUP(A2403,[1]Customer_payment_journal_line!$AL:$BO,30,0)</f>
        <v>#N/A</v>
      </c>
      <c r="D2403" t="s">
        <v>53</v>
      </c>
      <c r="E2403" t="s">
        <v>8827</v>
      </c>
      <c r="F2403" t="s">
        <v>8828</v>
      </c>
      <c r="G2403" t="s">
        <v>8297</v>
      </c>
      <c r="H2403" t="s">
        <v>57</v>
      </c>
      <c r="I2403" t="s">
        <v>1349</v>
      </c>
      <c r="J2403" t="s">
        <v>5092</v>
      </c>
      <c r="K2403" t="s">
        <v>4319</v>
      </c>
      <c r="L2403" t="s">
        <v>52</v>
      </c>
      <c r="M2403">
        <v>8664</v>
      </c>
      <c r="N2403">
        <v>0</v>
      </c>
      <c r="O2403" t="s">
        <v>61</v>
      </c>
      <c r="P2403">
        <v>100</v>
      </c>
      <c r="Q2403" t="s">
        <v>52</v>
      </c>
      <c r="R2403" t="s">
        <v>52</v>
      </c>
      <c r="S2403" t="s">
        <v>52</v>
      </c>
      <c r="T2403" t="s">
        <v>52</v>
      </c>
      <c r="U2403" t="s">
        <v>52</v>
      </c>
      <c r="V2403" t="s">
        <v>62</v>
      </c>
      <c r="W2403" t="s">
        <v>63</v>
      </c>
      <c r="Y2403" t="s">
        <v>52</v>
      </c>
      <c r="AB2403" t="s">
        <v>52</v>
      </c>
      <c r="AE2403" t="s">
        <v>52</v>
      </c>
      <c r="AF2403" t="s">
        <v>52</v>
      </c>
      <c r="AH2403">
        <v>0</v>
      </c>
      <c r="AI2403">
        <v>0</v>
      </c>
      <c r="AJ2403" t="s">
        <v>52</v>
      </c>
      <c r="AK2403">
        <v>0</v>
      </c>
      <c r="AL2403" t="s">
        <v>52</v>
      </c>
      <c r="AM2403" t="s">
        <v>52</v>
      </c>
      <c r="AN2403">
        <v>0</v>
      </c>
      <c r="AO2403">
        <v>0</v>
      </c>
      <c r="AP2403" t="s">
        <v>52</v>
      </c>
      <c r="AQ2403" t="s">
        <v>52</v>
      </c>
      <c r="AR2403" t="s">
        <v>62</v>
      </c>
      <c r="AS2403" t="s">
        <v>52</v>
      </c>
      <c r="AT2403" t="s">
        <v>52</v>
      </c>
      <c r="AU2403" t="s">
        <v>64</v>
      </c>
      <c r="AV2403" t="s">
        <v>62</v>
      </c>
      <c r="AW2403" t="s">
        <v>65</v>
      </c>
      <c r="AX2403" t="s">
        <v>66</v>
      </c>
      <c r="AY2403" t="s">
        <v>67</v>
      </c>
    </row>
    <row r="2404" spans="1:51" hidden="1" x14ac:dyDescent="0.25">
      <c r="A2404">
        <v>406271</v>
      </c>
      <c r="B2404" t="s">
        <v>8829</v>
      </c>
      <c r="C2404" t="e">
        <f>VLOOKUP(A2404,[1]Customer_payment_journal_line!$AL:$BO,30,0)</f>
        <v>#N/A</v>
      </c>
      <c r="D2404" t="s">
        <v>53</v>
      </c>
      <c r="E2404" t="s">
        <v>8827</v>
      </c>
      <c r="F2404" t="s">
        <v>8828</v>
      </c>
      <c r="G2404" t="s">
        <v>8297</v>
      </c>
      <c r="H2404" t="s">
        <v>69</v>
      </c>
      <c r="I2404" t="s">
        <v>3642</v>
      </c>
      <c r="J2404" t="s">
        <v>5092</v>
      </c>
      <c r="K2404" t="s">
        <v>4319</v>
      </c>
      <c r="L2404" t="s">
        <v>52</v>
      </c>
      <c r="M2404">
        <v>0</v>
      </c>
      <c r="N2404">
        <v>8664</v>
      </c>
      <c r="O2404" t="s">
        <v>61</v>
      </c>
      <c r="P2404">
        <v>100</v>
      </c>
      <c r="Q2404" t="s">
        <v>52</v>
      </c>
      <c r="R2404" t="s">
        <v>52</v>
      </c>
      <c r="S2404" t="s">
        <v>52</v>
      </c>
      <c r="T2404" t="s">
        <v>52</v>
      </c>
      <c r="U2404" t="s">
        <v>52</v>
      </c>
      <c r="V2404" t="s">
        <v>62</v>
      </c>
      <c r="W2404" t="s">
        <v>52</v>
      </c>
      <c r="Y2404" t="s">
        <v>3643</v>
      </c>
      <c r="Z2404" t="s">
        <v>62</v>
      </c>
      <c r="AB2404" t="s">
        <v>8830</v>
      </c>
      <c r="AE2404" t="s">
        <v>8831</v>
      </c>
      <c r="AF2404" t="s">
        <v>52</v>
      </c>
      <c r="AH2404">
        <v>0</v>
      </c>
      <c r="AI2404">
        <v>0</v>
      </c>
      <c r="AJ2404" t="s">
        <v>52</v>
      </c>
      <c r="AK2404">
        <v>0</v>
      </c>
      <c r="AL2404" t="s">
        <v>52</v>
      </c>
      <c r="AM2404" t="s">
        <v>52</v>
      </c>
      <c r="AN2404">
        <v>0</v>
      </c>
      <c r="AO2404">
        <v>0</v>
      </c>
      <c r="AP2404" t="s">
        <v>52</v>
      </c>
      <c r="AQ2404" t="s">
        <v>52</v>
      </c>
      <c r="AR2404" t="s">
        <v>62</v>
      </c>
      <c r="AS2404" t="s">
        <v>52</v>
      </c>
      <c r="AT2404" t="s">
        <v>74</v>
      </c>
      <c r="AU2404" t="s">
        <v>64</v>
      </c>
      <c r="AV2404" t="s">
        <v>62</v>
      </c>
      <c r="AW2404" t="s">
        <v>65</v>
      </c>
      <c r="AX2404" t="s">
        <v>66</v>
      </c>
      <c r="AY2404" t="s">
        <v>67</v>
      </c>
    </row>
    <row r="2405" spans="1:51" hidden="1" x14ac:dyDescent="0.25">
      <c r="A2405">
        <v>406272</v>
      </c>
      <c r="B2405" t="s">
        <v>8832</v>
      </c>
      <c r="C2405" t="e">
        <f>VLOOKUP(A2405,[1]Customer_payment_journal_line!$AL:$BO,30,0)</f>
        <v>#N/A</v>
      </c>
      <c r="D2405" t="s">
        <v>53</v>
      </c>
      <c r="E2405" t="s">
        <v>8833</v>
      </c>
      <c r="F2405" t="s">
        <v>8834</v>
      </c>
      <c r="G2405" t="s">
        <v>8297</v>
      </c>
      <c r="H2405" t="s">
        <v>57</v>
      </c>
      <c r="I2405" t="s">
        <v>1349</v>
      </c>
      <c r="J2405" t="s">
        <v>5092</v>
      </c>
      <c r="K2405" t="s">
        <v>4425</v>
      </c>
      <c r="L2405" t="s">
        <v>52</v>
      </c>
      <c r="M2405">
        <v>2280</v>
      </c>
      <c r="N2405">
        <v>0</v>
      </c>
      <c r="O2405" t="s">
        <v>61</v>
      </c>
      <c r="P2405">
        <v>100</v>
      </c>
      <c r="Q2405" t="s">
        <v>52</v>
      </c>
      <c r="R2405" t="s">
        <v>52</v>
      </c>
      <c r="S2405" t="s">
        <v>52</v>
      </c>
      <c r="T2405" t="s">
        <v>52</v>
      </c>
      <c r="U2405" t="s">
        <v>52</v>
      </c>
      <c r="V2405" t="s">
        <v>62</v>
      </c>
      <c r="W2405" t="s">
        <v>63</v>
      </c>
      <c r="Y2405" t="s">
        <v>52</v>
      </c>
      <c r="AB2405" t="s">
        <v>52</v>
      </c>
      <c r="AE2405" t="s">
        <v>52</v>
      </c>
      <c r="AF2405" t="s">
        <v>52</v>
      </c>
      <c r="AH2405">
        <v>0</v>
      </c>
      <c r="AI2405">
        <v>0</v>
      </c>
      <c r="AJ2405" t="s">
        <v>52</v>
      </c>
      <c r="AK2405">
        <v>0</v>
      </c>
      <c r="AL2405" t="s">
        <v>52</v>
      </c>
      <c r="AM2405" t="s">
        <v>52</v>
      </c>
      <c r="AN2405">
        <v>0</v>
      </c>
      <c r="AO2405">
        <v>0</v>
      </c>
      <c r="AP2405" t="s">
        <v>52</v>
      </c>
      <c r="AQ2405" t="s">
        <v>52</v>
      </c>
      <c r="AR2405" t="s">
        <v>62</v>
      </c>
      <c r="AS2405" t="s">
        <v>52</v>
      </c>
      <c r="AT2405" t="s">
        <v>52</v>
      </c>
      <c r="AU2405" t="s">
        <v>64</v>
      </c>
      <c r="AV2405" t="s">
        <v>62</v>
      </c>
      <c r="AW2405" t="s">
        <v>65</v>
      </c>
      <c r="AX2405" t="s">
        <v>66</v>
      </c>
      <c r="AY2405" t="s">
        <v>67</v>
      </c>
    </row>
    <row r="2406" spans="1:51" hidden="1" x14ac:dyDescent="0.25">
      <c r="A2406">
        <v>406272</v>
      </c>
      <c r="B2406" t="s">
        <v>8835</v>
      </c>
      <c r="C2406" t="e">
        <f>VLOOKUP(A2406,[1]Customer_payment_journal_line!$AL:$BO,30,0)</f>
        <v>#N/A</v>
      </c>
      <c r="D2406" t="s">
        <v>53</v>
      </c>
      <c r="E2406" t="s">
        <v>8833</v>
      </c>
      <c r="F2406" t="s">
        <v>8834</v>
      </c>
      <c r="G2406" t="s">
        <v>8297</v>
      </c>
      <c r="H2406" t="s">
        <v>69</v>
      </c>
      <c r="I2406" t="s">
        <v>3642</v>
      </c>
      <c r="J2406" t="s">
        <v>5092</v>
      </c>
      <c r="K2406" t="s">
        <v>4425</v>
      </c>
      <c r="L2406" t="s">
        <v>52</v>
      </c>
      <c r="M2406">
        <v>0</v>
      </c>
      <c r="N2406">
        <v>2280</v>
      </c>
      <c r="O2406" t="s">
        <v>61</v>
      </c>
      <c r="P2406">
        <v>100</v>
      </c>
      <c r="Q2406" t="s">
        <v>52</v>
      </c>
      <c r="R2406" t="s">
        <v>52</v>
      </c>
      <c r="S2406" t="s">
        <v>52</v>
      </c>
      <c r="T2406" t="s">
        <v>52</v>
      </c>
      <c r="U2406" t="s">
        <v>52</v>
      </c>
      <c r="V2406" t="s">
        <v>62</v>
      </c>
      <c r="W2406" t="s">
        <v>52</v>
      </c>
      <c r="Y2406" t="s">
        <v>3643</v>
      </c>
      <c r="Z2406" t="s">
        <v>62</v>
      </c>
      <c r="AB2406" t="s">
        <v>8836</v>
      </c>
      <c r="AE2406" t="s">
        <v>8837</v>
      </c>
      <c r="AF2406" t="s">
        <v>52</v>
      </c>
      <c r="AH2406">
        <v>0</v>
      </c>
      <c r="AI2406">
        <v>0</v>
      </c>
      <c r="AJ2406" t="s">
        <v>52</v>
      </c>
      <c r="AK2406">
        <v>0</v>
      </c>
      <c r="AL2406" t="s">
        <v>52</v>
      </c>
      <c r="AM2406" t="s">
        <v>52</v>
      </c>
      <c r="AN2406">
        <v>0</v>
      </c>
      <c r="AO2406">
        <v>0</v>
      </c>
      <c r="AP2406" t="s">
        <v>52</v>
      </c>
      <c r="AQ2406" t="s">
        <v>52</v>
      </c>
      <c r="AR2406" t="s">
        <v>62</v>
      </c>
      <c r="AS2406" t="s">
        <v>52</v>
      </c>
      <c r="AT2406" t="s">
        <v>74</v>
      </c>
      <c r="AU2406" t="s">
        <v>64</v>
      </c>
      <c r="AV2406" t="s">
        <v>62</v>
      </c>
      <c r="AW2406" t="s">
        <v>65</v>
      </c>
      <c r="AX2406" t="s">
        <v>66</v>
      </c>
      <c r="AY2406" t="s">
        <v>67</v>
      </c>
    </row>
    <row r="2407" spans="1:51" hidden="1" x14ac:dyDescent="0.25">
      <c r="A2407">
        <v>403395</v>
      </c>
      <c r="B2407" t="s">
        <v>8838</v>
      </c>
      <c r="C2407" t="e">
        <f>VLOOKUP(A2407,[1]Customer_payment_journal_line!$AL:$BO,30,0)</f>
        <v>#N/A</v>
      </c>
      <c r="D2407" t="s">
        <v>53</v>
      </c>
      <c r="E2407" t="s">
        <v>8839</v>
      </c>
      <c r="F2407" t="s">
        <v>8840</v>
      </c>
      <c r="G2407" t="s">
        <v>8297</v>
      </c>
      <c r="H2407" t="s">
        <v>57</v>
      </c>
      <c r="I2407" t="s">
        <v>58</v>
      </c>
      <c r="J2407" t="s">
        <v>8841</v>
      </c>
      <c r="K2407" t="s">
        <v>8842</v>
      </c>
      <c r="L2407" t="s">
        <v>52</v>
      </c>
      <c r="M2407">
        <v>3420</v>
      </c>
      <c r="N2407">
        <v>0</v>
      </c>
      <c r="O2407" t="s">
        <v>61</v>
      </c>
      <c r="P2407">
        <v>100</v>
      </c>
      <c r="Q2407" t="s">
        <v>52</v>
      </c>
      <c r="R2407" t="s">
        <v>52</v>
      </c>
      <c r="S2407" t="s">
        <v>52</v>
      </c>
      <c r="T2407" t="s">
        <v>52</v>
      </c>
      <c r="U2407" t="s">
        <v>52</v>
      </c>
      <c r="V2407" t="s">
        <v>62</v>
      </c>
      <c r="W2407" t="s">
        <v>63</v>
      </c>
      <c r="Y2407" t="s">
        <v>52</v>
      </c>
      <c r="AB2407" t="s">
        <v>52</v>
      </c>
      <c r="AE2407" t="s">
        <v>52</v>
      </c>
      <c r="AF2407" t="s">
        <v>52</v>
      </c>
      <c r="AH2407">
        <v>0</v>
      </c>
      <c r="AI2407">
        <v>0</v>
      </c>
      <c r="AJ2407" t="s">
        <v>52</v>
      </c>
      <c r="AK2407">
        <v>0</v>
      </c>
      <c r="AL2407" t="s">
        <v>52</v>
      </c>
      <c r="AM2407" t="s">
        <v>52</v>
      </c>
      <c r="AN2407">
        <v>0</v>
      </c>
      <c r="AO2407">
        <v>0</v>
      </c>
      <c r="AP2407" t="s">
        <v>52</v>
      </c>
      <c r="AQ2407" t="s">
        <v>52</v>
      </c>
      <c r="AR2407" t="s">
        <v>62</v>
      </c>
      <c r="AS2407" t="s">
        <v>52</v>
      </c>
      <c r="AT2407" t="s">
        <v>52</v>
      </c>
      <c r="AU2407" t="s">
        <v>64</v>
      </c>
      <c r="AV2407" t="s">
        <v>62</v>
      </c>
      <c r="AW2407" t="s">
        <v>65</v>
      </c>
      <c r="AX2407" t="s">
        <v>66</v>
      </c>
      <c r="AY2407" t="s">
        <v>67</v>
      </c>
    </row>
    <row r="2408" spans="1:51" hidden="1" x14ac:dyDescent="0.25">
      <c r="A2408">
        <v>403395</v>
      </c>
      <c r="B2408" t="s">
        <v>8843</v>
      </c>
      <c r="C2408" t="e">
        <f>VLOOKUP(A2408,[1]Customer_payment_journal_line!$AL:$BO,30,0)</f>
        <v>#N/A</v>
      </c>
      <c r="D2408" t="s">
        <v>53</v>
      </c>
      <c r="E2408" t="s">
        <v>8839</v>
      </c>
      <c r="F2408" t="s">
        <v>8840</v>
      </c>
      <c r="G2408" t="s">
        <v>8297</v>
      </c>
      <c r="H2408" t="s">
        <v>69</v>
      </c>
      <c r="I2408" t="s">
        <v>3383</v>
      </c>
      <c r="J2408" t="s">
        <v>8841</v>
      </c>
      <c r="K2408" t="s">
        <v>8842</v>
      </c>
      <c r="L2408" t="s">
        <v>52</v>
      </c>
      <c r="M2408">
        <v>0</v>
      </c>
      <c r="N2408">
        <v>3420</v>
      </c>
      <c r="O2408" t="s">
        <v>61</v>
      </c>
      <c r="P2408">
        <v>100</v>
      </c>
      <c r="Q2408" t="s">
        <v>52</v>
      </c>
      <c r="R2408" t="s">
        <v>52</v>
      </c>
      <c r="S2408" t="s">
        <v>52</v>
      </c>
      <c r="T2408" t="s">
        <v>52</v>
      </c>
      <c r="U2408" t="s">
        <v>52</v>
      </c>
      <c r="V2408" t="s">
        <v>62</v>
      </c>
      <c r="W2408" t="s">
        <v>52</v>
      </c>
      <c r="Y2408" t="s">
        <v>3384</v>
      </c>
      <c r="Z2408" t="s">
        <v>62</v>
      </c>
      <c r="AB2408" t="s">
        <v>8844</v>
      </c>
      <c r="AE2408" t="s">
        <v>8845</v>
      </c>
      <c r="AF2408" t="s">
        <v>52</v>
      </c>
      <c r="AH2408">
        <v>0</v>
      </c>
      <c r="AI2408">
        <v>0</v>
      </c>
      <c r="AJ2408" t="s">
        <v>52</v>
      </c>
      <c r="AK2408">
        <v>0</v>
      </c>
      <c r="AL2408" t="s">
        <v>52</v>
      </c>
      <c r="AM2408" t="s">
        <v>52</v>
      </c>
      <c r="AN2408">
        <v>0</v>
      </c>
      <c r="AO2408">
        <v>0</v>
      </c>
      <c r="AP2408" t="s">
        <v>52</v>
      </c>
      <c r="AQ2408" t="s">
        <v>52</v>
      </c>
      <c r="AR2408" t="s">
        <v>62</v>
      </c>
      <c r="AS2408" t="s">
        <v>52</v>
      </c>
      <c r="AT2408" t="s">
        <v>74</v>
      </c>
      <c r="AU2408" t="s">
        <v>64</v>
      </c>
      <c r="AV2408" t="s">
        <v>62</v>
      </c>
      <c r="AW2408" t="s">
        <v>65</v>
      </c>
      <c r="AX2408" t="s">
        <v>66</v>
      </c>
      <c r="AY2408" t="s">
        <v>67</v>
      </c>
    </row>
    <row r="2409" spans="1:51" hidden="1" x14ac:dyDescent="0.25">
      <c r="A2409">
        <v>404366</v>
      </c>
      <c r="B2409" t="s">
        <v>8846</v>
      </c>
      <c r="C2409" t="e">
        <f>VLOOKUP(A2409,[1]Customer_payment_journal_line!$AL:$BO,30,0)</f>
        <v>#N/A</v>
      </c>
      <c r="D2409" t="s">
        <v>53</v>
      </c>
      <c r="E2409" t="s">
        <v>8847</v>
      </c>
      <c r="F2409" t="s">
        <v>8848</v>
      </c>
      <c r="G2409" t="s">
        <v>8297</v>
      </c>
      <c r="H2409" t="s">
        <v>57</v>
      </c>
      <c r="I2409" t="s">
        <v>58</v>
      </c>
      <c r="J2409" t="s">
        <v>8841</v>
      </c>
      <c r="K2409" t="s">
        <v>8842</v>
      </c>
      <c r="L2409" t="s">
        <v>52</v>
      </c>
      <c r="M2409">
        <v>855</v>
      </c>
      <c r="N2409">
        <v>0</v>
      </c>
      <c r="O2409" t="s">
        <v>61</v>
      </c>
      <c r="P2409">
        <v>100</v>
      </c>
      <c r="Q2409" t="s">
        <v>52</v>
      </c>
      <c r="R2409" t="s">
        <v>52</v>
      </c>
      <c r="S2409" t="s">
        <v>52</v>
      </c>
      <c r="T2409" t="s">
        <v>52</v>
      </c>
      <c r="U2409" t="s">
        <v>52</v>
      </c>
      <c r="V2409" t="s">
        <v>62</v>
      </c>
      <c r="W2409" t="s">
        <v>63</v>
      </c>
      <c r="Y2409" t="s">
        <v>52</v>
      </c>
      <c r="AB2409" t="s">
        <v>52</v>
      </c>
      <c r="AE2409" t="s">
        <v>52</v>
      </c>
      <c r="AF2409" t="s">
        <v>52</v>
      </c>
      <c r="AH2409">
        <v>0</v>
      </c>
      <c r="AI2409">
        <v>0</v>
      </c>
      <c r="AJ2409" t="s">
        <v>52</v>
      </c>
      <c r="AK2409">
        <v>0</v>
      </c>
      <c r="AL2409" t="s">
        <v>52</v>
      </c>
      <c r="AM2409" t="s">
        <v>52</v>
      </c>
      <c r="AN2409">
        <v>0</v>
      </c>
      <c r="AO2409">
        <v>0</v>
      </c>
      <c r="AP2409" t="s">
        <v>52</v>
      </c>
      <c r="AQ2409" t="s">
        <v>52</v>
      </c>
      <c r="AR2409" t="s">
        <v>62</v>
      </c>
      <c r="AS2409" t="s">
        <v>52</v>
      </c>
      <c r="AT2409" t="s">
        <v>52</v>
      </c>
      <c r="AU2409" t="s">
        <v>64</v>
      </c>
      <c r="AV2409" t="s">
        <v>62</v>
      </c>
      <c r="AW2409" t="s">
        <v>65</v>
      </c>
      <c r="AX2409" t="s">
        <v>66</v>
      </c>
      <c r="AY2409" t="s">
        <v>67</v>
      </c>
    </row>
    <row r="2410" spans="1:51" hidden="1" x14ac:dyDescent="0.25">
      <c r="A2410">
        <v>404366</v>
      </c>
      <c r="B2410" t="s">
        <v>8849</v>
      </c>
      <c r="C2410" t="e">
        <f>VLOOKUP(A2410,[1]Customer_payment_journal_line!$AL:$BO,30,0)</f>
        <v>#N/A</v>
      </c>
      <c r="D2410" t="s">
        <v>53</v>
      </c>
      <c r="E2410" t="s">
        <v>8847</v>
      </c>
      <c r="F2410" t="s">
        <v>8848</v>
      </c>
      <c r="G2410" t="s">
        <v>8297</v>
      </c>
      <c r="H2410" t="s">
        <v>69</v>
      </c>
      <c r="I2410" t="s">
        <v>3383</v>
      </c>
      <c r="J2410" t="s">
        <v>8841</v>
      </c>
      <c r="K2410" t="s">
        <v>8842</v>
      </c>
      <c r="L2410" t="s">
        <v>52</v>
      </c>
      <c r="M2410">
        <v>0</v>
      </c>
      <c r="N2410">
        <v>855</v>
      </c>
      <c r="O2410" t="s">
        <v>61</v>
      </c>
      <c r="P2410">
        <v>100</v>
      </c>
      <c r="Q2410" t="s">
        <v>52</v>
      </c>
      <c r="R2410" t="s">
        <v>52</v>
      </c>
      <c r="S2410" t="s">
        <v>52</v>
      </c>
      <c r="T2410" t="s">
        <v>52</v>
      </c>
      <c r="U2410" t="s">
        <v>52</v>
      </c>
      <c r="V2410" t="s">
        <v>62</v>
      </c>
      <c r="W2410" t="s">
        <v>52</v>
      </c>
      <c r="Y2410" t="s">
        <v>3384</v>
      </c>
      <c r="Z2410" t="s">
        <v>62</v>
      </c>
      <c r="AB2410" t="s">
        <v>8850</v>
      </c>
      <c r="AE2410" t="s">
        <v>8851</v>
      </c>
      <c r="AF2410" t="s">
        <v>52</v>
      </c>
      <c r="AH2410">
        <v>0</v>
      </c>
      <c r="AI2410">
        <v>0</v>
      </c>
      <c r="AJ2410" t="s">
        <v>52</v>
      </c>
      <c r="AK2410">
        <v>0</v>
      </c>
      <c r="AL2410" t="s">
        <v>52</v>
      </c>
      <c r="AM2410" t="s">
        <v>52</v>
      </c>
      <c r="AN2410">
        <v>0</v>
      </c>
      <c r="AO2410">
        <v>0</v>
      </c>
      <c r="AP2410" t="s">
        <v>52</v>
      </c>
      <c r="AQ2410" t="s">
        <v>52</v>
      </c>
      <c r="AR2410" t="s">
        <v>62</v>
      </c>
      <c r="AS2410" t="s">
        <v>52</v>
      </c>
      <c r="AT2410" t="s">
        <v>74</v>
      </c>
      <c r="AU2410" t="s">
        <v>64</v>
      </c>
      <c r="AV2410" t="s">
        <v>62</v>
      </c>
      <c r="AW2410" t="s">
        <v>65</v>
      </c>
      <c r="AX2410" t="s">
        <v>66</v>
      </c>
      <c r="AY2410" t="s">
        <v>67</v>
      </c>
    </row>
    <row r="2411" spans="1:51" hidden="1" x14ac:dyDescent="0.25">
      <c r="A2411">
        <v>204122</v>
      </c>
      <c r="B2411" t="s">
        <v>8852</v>
      </c>
      <c r="C2411" t="e">
        <f>VLOOKUP(A2411,[1]Customer_payment_journal_line!$AL:$BO,30,0)</f>
        <v>#N/A</v>
      </c>
      <c r="D2411" t="s">
        <v>53</v>
      </c>
      <c r="E2411" t="s">
        <v>8853</v>
      </c>
      <c r="F2411" t="s">
        <v>8854</v>
      </c>
      <c r="G2411" t="s">
        <v>8297</v>
      </c>
      <c r="H2411" t="s">
        <v>57</v>
      </c>
      <c r="I2411" t="s">
        <v>58</v>
      </c>
      <c r="J2411" t="s">
        <v>3380</v>
      </c>
      <c r="K2411" t="s">
        <v>8855</v>
      </c>
      <c r="L2411" t="s">
        <v>52</v>
      </c>
      <c r="M2411">
        <v>1824</v>
      </c>
      <c r="N2411">
        <v>0</v>
      </c>
      <c r="O2411" t="s">
        <v>61</v>
      </c>
      <c r="P2411">
        <v>100</v>
      </c>
      <c r="Q2411" t="s">
        <v>52</v>
      </c>
      <c r="R2411" t="s">
        <v>52</v>
      </c>
      <c r="S2411" t="s">
        <v>52</v>
      </c>
      <c r="T2411" t="s">
        <v>52</v>
      </c>
      <c r="U2411" t="s">
        <v>52</v>
      </c>
      <c r="V2411" t="s">
        <v>62</v>
      </c>
      <c r="W2411" t="s">
        <v>63</v>
      </c>
      <c r="Y2411" t="s">
        <v>52</v>
      </c>
      <c r="AB2411" t="s">
        <v>52</v>
      </c>
      <c r="AE2411" t="s">
        <v>52</v>
      </c>
      <c r="AF2411" t="s">
        <v>52</v>
      </c>
      <c r="AH2411">
        <v>0</v>
      </c>
      <c r="AI2411">
        <v>0</v>
      </c>
      <c r="AJ2411" t="s">
        <v>52</v>
      </c>
      <c r="AK2411">
        <v>0</v>
      </c>
      <c r="AL2411" t="s">
        <v>52</v>
      </c>
      <c r="AM2411" t="s">
        <v>52</v>
      </c>
      <c r="AN2411">
        <v>0</v>
      </c>
      <c r="AO2411">
        <v>0</v>
      </c>
      <c r="AP2411" t="s">
        <v>52</v>
      </c>
      <c r="AQ2411" t="s">
        <v>52</v>
      </c>
      <c r="AR2411" t="s">
        <v>62</v>
      </c>
      <c r="AS2411" t="s">
        <v>52</v>
      </c>
      <c r="AT2411" t="s">
        <v>52</v>
      </c>
      <c r="AU2411" t="s">
        <v>64</v>
      </c>
      <c r="AV2411" t="s">
        <v>62</v>
      </c>
      <c r="AW2411" t="s">
        <v>65</v>
      </c>
      <c r="AX2411" t="s">
        <v>66</v>
      </c>
      <c r="AY2411" t="s">
        <v>67</v>
      </c>
    </row>
    <row r="2412" spans="1:51" hidden="1" x14ac:dyDescent="0.25">
      <c r="A2412">
        <v>204122</v>
      </c>
      <c r="B2412" t="s">
        <v>8856</v>
      </c>
      <c r="C2412" t="e">
        <f>VLOOKUP(A2412,[1]Customer_payment_journal_line!$AL:$BO,30,0)</f>
        <v>#N/A</v>
      </c>
      <c r="D2412" t="s">
        <v>53</v>
      </c>
      <c r="E2412" t="s">
        <v>8853</v>
      </c>
      <c r="F2412" t="s">
        <v>8854</v>
      </c>
      <c r="G2412" t="s">
        <v>8297</v>
      </c>
      <c r="H2412" t="s">
        <v>69</v>
      </c>
      <c r="I2412" t="s">
        <v>3383</v>
      </c>
      <c r="J2412" t="s">
        <v>3380</v>
      </c>
      <c r="K2412" t="s">
        <v>8855</v>
      </c>
      <c r="L2412" t="s">
        <v>52</v>
      </c>
      <c r="M2412">
        <v>0</v>
      </c>
      <c r="N2412">
        <v>1824</v>
      </c>
      <c r="O2412" t="s">
        <v>61</v>
      </c>
      <c r="P2412">
        <v>100</v>
      </c>
      <c r="Q2412" t="s">
        <v>52</v>
      </c>
      <c r="R2412" t="s">
        <v>52</v>
      </c>
      <c r="S2412" t="s">
        <v>52</v>
      </c>
      <c r="T2412" t="s">
        <v>52</v>
      </c>
      <c r="U2412" t="s">
        <v>52</v>
      </c>
      <c r="V2412" t="s">
        <v>62</v>
      </c>
      <c r="W2412" t="s">
        <v>52</v>
      </c>
      <c r="Y2412" t="s">
        <v>3384</v>
      </c>
      <c r="Z2412" t="s">
        <v>62</v>
      </c>
      <c r="AB2412" t="s">
        <v>8857</v>
      </c>
      <c r="AE2412" t="s">
        <v>8858</v>
      </c>
      <c r="AF2412" t="s">
        <v>52</v>
      </c>
      <c r="AH2412">
        <v>0</v>
      </c>
      <c r="AI2412">
        <v>0</v>
      </c>
      <c r="AJ2412" t="s">
        <v>52</v>
      </c>
      <c r="AK2412">
        <v>0</v>
      </c>
      <c r="AL2412" t="s">
        <v>52</v>
      </c>
      <c r="AM2412" t="s">
        <v>52</v>
      </c>
      <c r="AN2412">
        <v>0</v>
      </c>
      <c r="AO2412">
        <v>0</v>
      </c>
      <c r="AP2412" t="s">
        <v>52</v>
      </c>
      <c r="AQ2412" t="s">
        <v>52</v>
      </c>
      <c r="AR2412" t="s">
        <v>62</v>
      </c>
      <c r="AS2412" t="s">
        <v>52</v>
      </c>
      <c r="AT2412" t="s">
        <v>74</v>
      </c>
      <c r="AU2412" t="s">
        <v>64</v>
      </c>
      <c r="AV2412" t="s">
        <v>62</v>
      </c>
      <c r="AW2412" t="s">
        <v>65</v>
      </c>
      <c r="AX2412" t="s">
        <v>66</v>
      </c>
      <c r="AY2412" t="s">
        <v>67</v>
      </c>
    </row>
    <row r="2413" spans="1:51" hidden="1" x14ac:dyDescent="0.25">
      <c r="A2413">
        <v>204123</v>
      </c>
      <c r="B2413" t="s">
        <v>8859</v>
      </c>
      <c r="C2413" t="e">
        <f>VLOOKUP(A2413,[1]Customer_payment_journal_line!$AL:$BO,30,0)</f>
        <v>#N/A</v>
      </c>
      <c r="D2413" t="s">
        <v>53</v>
      </c>
      <c r="E2413" t="s">
        <v>8860</v>
      </c>
      <c r="F2413" t="s">
        <v>8861</v>
      </c>
      <c r="G2413" t="s">
        <v>8297</v>
      </c>
      <c r="H2413" t="s">
        <v>57</v>
      </c>
      <c r="I2413" t="s">
        <v>58</v>
      </c>
      <c r="J2413" t="s">
        <v>3380</v>
      </c>
      <c r="K2413" t="s">
        <v>8855</v>
      </c>
      <c r="L2413" t="s">
        <v>52</v>
      </c>
      <c r="M2413">
        <v>855</v>
      </c>
      <c r="N2413">
        <v>0</v>
      </c>
      <c r="O2413" t="s">
        <v>61</v>
      </c>
      <c r="P2413">
        <v>100</v>
      </c>
      <c r="Q2413" t="s">
        <v>52</v>
      </c>
      <c r="R2413" t="s">
        <v>52</v>
      </c>
      <c r="S2413" t="s">
        <v>52</v>
      </c>
      <c r="T2413" t="s">
        <v>52</v>
      </c>
      <c r="U2413" t="s">
        <v>52</v>
      </c>
      <c r="V2413" t="s">
        <v>62</v>
      </c>
      <c r="W2413" t="s">
        <v>63</v>
      </c>
      <c r="Y2413" t="s">
        <v>52</v>
      </c>
      <c r="AB2413" t="s">
        <v>52</v>
      </c>
      <c r="AE2413" t="s">
        <v>52</v>
      </c>
      <c r="AF2413" t="s">
        <v>52</v>
      </c>
      <c r="AH2413">
        <v>0</v>
      </c>
      <c r="AI2413">
        <v>0</v>
      </c>
      <c r="AJ2413" t="s">
        <v>52</v>
      </c>
      <c r="AK2413">
        <v>0</v>
      </c>
      <c r="AL2413" t="s">
        <v>52</v>
      </c>
      <c r="AM2413" t="s">
        <v>52</v>
      </c>
      <c r="AN2413">
        <v>0</v>
      </c>
      <c r="AO2413">
        <v>0</v>
      </c>
      <c r="AP2413" t="s">
        <v>52</v>
      </c>
      <c r="AQ2413" t="s">
        <v>52</v>
      </c>
      <c r="AR2413" t="s">
        <v>62</v>
      </c>
      <c r="AS2413" t="s">
        <v>52</v>
      </c>
      <c r="AT2413" t="s">
        <v>52</v>
      </c>
      <c r="AU2413" t="s">
        <v>64</v>
      </c>
      <c r="AV2413" t="s">
        <v>62</v>
      </c>
      <c r="AW2413" t="s">
        <v>65</v>
      </c>
      <c r="AX2413" t="s">
        <v>66</v>
      </c>
      <c r="AY2413" t="s">
        <v>67</v>
      </c>
    </row>
    <row r="2414" spans="1:51" hidden="1" x14ac:dyDescent="0.25">
      <c r="A2414">
        <v>204123</v>
      </c>
      <c r="B2414" t="s">
        <v>8862</v>
      </c>
      <c r="C2414" t="e">
        <f>VLOOKUP(A2414,[1]Customer_payment_journal_line!$AL:$BO,30,0)</f>
        <v>#N/A</v>
      </c>
      <c r="D2414" t="s">
        <v>53</v>
      </c>
      <c r="E2414" t="s">
        <v>8860</v>
      </c>
      <c r="F2414" t="s">
        <v>8861</v>
      </c>
      <c r="G2414" t="s">
        <v>8297</v>
      </c>
      <c r="H2414" t="s">
        <v>69</v>
      </c>
      <c r="I2414" t="s">
        <v>3383</v>
      </c>
      <c r="J2414" t="s">
        <v>3380</v>
      </c>
      <c r="K2414" t="s">
        <v>8855</v>
      </c>
      <c r="L2414" t="s">
        <v>52</v>
      </c>
      <c r="M2414">
        <v>0</v>
      </c>
      <c r="N2414">
        <v>855</v>
      </c>
      <c r="O2414" t="s">
        <v>61</v>
      </c>
      <c r="P2414">
        <v>100</v>
      </c>
      <c r="Q2414" t="s">
        <v>52</v>
      </c>
      <c r="R2414" t="s">
        <v>52</v>
      </c>
      <c r="S2414" t="s">
        <v>52</v>
      </c>
      <c r="T2414" t="s">
        <v>52</v>
      </c>
      <c r="U2414" t="s">
        <v>52</v>
      </c>
      <c r="V2414" t="s">
        <v>62</v>
      </c>
      <c r="W2414" t="s">
        <v>52</v>
      </c>
      <c r="Y2414" t="s">
        <v>3384</v>
      </c>
      <c r="Z2414" t="s">
        <v>62</v>
      </c>
      <c r="AB2414" t="s">
        <v>8863</v>
      </c>
      <c r="AE2414" t="s">
        <v>8864</v>
      </c>
      <c r="AF2414" t="s">
        <v>52</v>
      </c>
      <c r="AH2414">
        <v>0</v>
      </c>
      <c r="AI2414">
        <v>0</v>
      </c>
      <c r="AJ2414" t="s">
        <v>52</v>
      </c>
      <c r="AK2414">
        <v>0</v>
      </c>
      <c r="AL2414" t="s">
        <v>52</v>
      </c>
      <c r="AM2414" t="s">
        <v>52</v>
      </c>
      <c r="AN2414">
        <v>0</v>
      </c>
      <c r="AO2414">
        <v>0</v>
      </c>
      <c r="AP2414" t="s">
        <v>52</v>
      </c>
      <c r="AQ2414" t="s">
        <v>52</v>
      </c>
      <c r="AR2414" t="s">
        <v>62</v>
      </c>
      <c r="AS2414" t="s">
        <v>52</v>
      </c>
      <c r="AT2414" t="s">
        <v>74</v>
      </c>
      <c r="AU2414" t="s">
        <v>64</v>
      </c>
      <c r="AV2414" t="s">
        <v>62</v>
      </c>
      <c r="AW2414" t="s">
        <v>65</v>
      </c>
      <c r="AX2414" t="s">
        <v>66</v>
      </c>
      <c r="AY2414" t="s">
        <v>67</v>
      </c>
    </row>
    <row r="2415" spans="1:51" hidden="1" x14ac:dyDescent="0.25">
      <c r="A2415">
        <v>406273</v>
      </c>
      <c r="B2415" t="s">
        <v>8865</v>
      </c>
      <c r="C2415" t="e">
        <f>VLOOKUP(A2415,[1]Customer_payment_journal_line!$AL:$BO,30,0)</f>
        <v>#N/A</v>
      </c>
      <c r="D2415" t="s">
        <v>53</v>
      </c>
      <c r="E2415" t="s">
        <v>8866</v>
      </c>
      <c r="F2415" t="s">
        <v>8867</v>
      </c>
      <c r="G2415" t="s">
        <v>8297</v>
      </c>
      <c r="H2415" t="s">
        <v>57</v>
      </c>
      <c r="I2415" t="s">
        <v>1349</v>
      </c>
      <c r="J2415" t="s">
        <v>8868</v>
      </c>
      <c r="K2415" t="s">
        <v>5794</v>
      </c>
      <c r="L2415" t="s">
        <v>52</v>
      </c>
      <c r="M2415">
        <v>4104</v>
      </c>
      <c r="N2415">
        <v>0</v>
      </c>
      <c r="O2415" t="s">
        <v>61</v>
      </c>
      <c r="P2415">
        <v>100</v>
      </c>
      <c r="Q2415" t="s">
        <v>52</v>
      </c>
      <c r="R2415" t="s">
        <v>52</v>
      </c>
      <c r="S2415" t="s">
        <v>52</v>
      </c>
      <c r="T2415" t="s">
        <v>52</v>
      </c>
      <c r="U2415" t="s">
        <v>52</v>
      </c>
      <c r="V2415" t="s">
        <v>62</v>
      </c>
      <c r="W2415" t="s">
        <v>63</v>
      </c>
      <c r="Y2415" t="s">
        <v>52</v>
      </c>
      <c r="AB2415" t="s">
        <v>52</v>
      </c>
      <c r="AE2415" t="s">
        <v>52</v>
      </c>
      <c r="AF2415" t="s">
        <v>52</v>
      </c>
      <c r="AH2415">
        <v>0</v>
      </c>
      <c r="AI2415">
        <v>0</v>
      </c>
      <c r="AJ2415" t="s">
        <v>52</v>
      </c>
      <c r="AK2415">
        <v>0</v>
      </c>
      <c r="AL2415" t="s">
        <v>52</v>
      </c>
      <c r="AM2415" t="s">
        <v>52</v>
      </c>
      <c r="AN2415">
        <v>0</v>
      </c>
      <c r="AO2415">
        <v>0</v>
      </c>
      <c r="AP2415" t="s">
        <v>52</v>
      </c>
      <c r="AQ2415" t="s">
        <v>52</v>
      </c>
      <c r="AR2415" t="s">
        <v>62</v>
      </c>
      <c r="AS2415" t="s">
        <v>52</v>
      </c>
      <c r="AT2415" t="s">
        <v>52</v>
      </c>
      <c r="AU2415" t="s">
        <v>64</v>
      </c>
      <c r="AV2415" t="s">
        <v>62</v>
      </c>
      <c r="AW2415" t="s">
        <v>65</v>
      </c>
      <c r="AX2415" t="s">
        <v>66</v>
      </c>
      <c r="AY2415" t="s">
        <v>67</v>
      </c>
    </row>
    <row r="2416" spans="1:51" hidden="1" x14ac:dyDescent="0.25">
      <c r="A2416">
        <v>406273</v>
      </c>
      <c r="B2416" t="s">
        <v>8869</v>
      </c>
      <c r="C2416" t="e">
        <f>VLOOKUP(A2416,[1]Customer_payment_journal_line!$AL:$BO,30,0)</f>
        <v>#N/A</v>
      </c>
      <c r="D2416" t="s">
        <v>53</v>
      </c>
      <c r="E2416" t="s">
        <v>8866</v>
      </c>
      <c r="F2416" t="s">
        <v>8867</v>
      </c>
      <c r="G2416" t="s">
        <v>8297</v>
      </c>
      <c r="H2416" t="s">
        <v>69</v>
      </c>
      <c r="I2416" t="s">
        <v>5796</v>
      </c>
      <c r="J2416" t="s">
        <v>8868</v>
      </c>
      <c r="K2416" t="s">
        <v>5794</v>
      </c>
      <c r="L2416" t="s">
        <v>52</v>
      </c>
      <c r="M2416">
        <v>0</v>
      </c>
      <c r="N2416">
        <v>4104</v>
      </c>
      <c r="O2416" t="s">
        <v>61</v>
      </c>
      <c r="P2416">
        <v>100</v>
      </c>
      <c r="Q2416" t="s">
        <v>52</v>
      </c>
      <c r="R2416" t="s">
        <v>52</v>
      </c>
      <c r="S2416" t="s">
        <v>52</v>
      </c>
      <c r="T2416" t="s">
        <v>52</v>
      </c>
      <c r="U2416" t="s">
        <v>52</v>
      </c>
      <c r="V2416" t="s">
        <v>62</v>
      </c>
      <c r="W2416" t="s">
        <v>52</v>
      </c>
      <c r="Y2416" t="s">
        <v>5797</v>
      </c>
      <c r="Z2416" t="s">
        <v>62</v>
      </c>
      <c r="AB2416" t="s">
        <v>8870</v>
      </c>
      <c r="AE2416" t="s">
        <v>8871</v>
      </c>
      <c r="AF2416" t="s">
        <v>52</v>
      </c>
      <c r="AH2416">
        <v>0</v>
      </c>
      <c r="AI2416">
        <v>0</v>
      </c>
      <c r="AJ2416" t="s">
        <v>52</v>
      </c>
      <c r="AK2416">
        <v>0</v>
      </c>
      <c r="AL2416" t="s">
        <v>52</v>
      </c>
      <c r="AM2416" t="s">
        <v>52</v>
      </c>
      <c r="AN2416">
        <v>0</v>
      </c>
      <c r="AO2416">
        <v>0</v>
      </c>
      <c r="AP2416" t="s">
        <v>52</v>
      </c>
      <c r="AQ2416" t="s">
        <v>52</v>
      </c>
      <c r="AR2416" t="s">
        <v>62</v>
      </c>
      <c r="AS2416" t="s">
        <v>52</v>
      </c>
      <c r="AT2416" t="s">
        <v>74</v>
      </c>
      <c r="AU2416" t="s">
        <v>64</v>
      </c>
      <c r="AV2416" t="s">
        <v>62</v>
      </c>
      <c r="AW2416" t="s">
        <v>65</v>
      </c>
      <c r="AX2416" t="s">
        <v>66</v>
      </c>
      <c r="AY2416" t="s">
        <v>67</v>
      </c>
    </row>
    <row r="2417" spans="1:51" hidden="1" x14ac:dyDescent="0.25">
      <c r="A2417">
        <v>406274</v>
      </c>
      <c r="B2417" t="s">
        <v>8872</v>
      </c>
      <c r="C2417" t="e">
        <f>VLOOKUP(A2417,[1]Customer_payment_journal_line!$AL:$BO,30,0)</f>
        <v>#N/A</v>
      </c>
      <c r="D2417" t="s">
        <v>53</v>
      </c>
      <c r="E2417" t="s">
        <v>8873</v>
      </c>
      <c r="F2417" t="s">
        <v>8874</v>
      </c>
      <c r="G2417" t="s">
        <v>8297</v>
      </c>
      <c r="H2417" t="s">
        <v>57</v>
      </c>
      <c r="I2417" t="s">
        <v>1349</v>
      </c>
      <c r="J2417" t="s">
        <v>8868</v>
      </c>
      <c r="K2417" t="s">
        <v>5794</v>
      </c>
      <c r="L2417" t="s">
        <v>52</v>
      </c>
      <c r="M2417">
        <v>712.5</v>
      </c>
      <c r="N2417">
        <v>0</v>
      </c>
      <c r="O2417" t="s">
        <v>61</v>
      </c>
      <c r="P2417">
        <v>100</v>
      </c>
      <c r="Q2417" t="s">
        <v>52</v>
      </c>
      <c r="R2417" t="s">
        <v>52</v>
      </c>
      <c r="S2417" t="s">
        <v>52</v>
      </c>
      <c r="T2417" t="s">
        <v>52</v>
      </c>
      <c r="U2417" t="s">
        <v>52</v>
      </c>
      <c r="V2417" t="s">
        <v>62</v>
      </c>
      <c r="W2417" t="s">
        <v>63</v>
      </c>
      <c r="Y2417" t="s">
        <v>52</v>
      </c>
      <c r="AB2417" t="s">
        <v>52</v>
      </c>
      <c r="AE2417" t="s">
        <v>52</v>
      </c>
      <c r="AF2417" t="s">
        <v>52</v>
      </c>
      <c r="AH2417">
        <v>0</v>
      </c>
      <c r="AI2417">
        <v>0</v>
      </c>
      <c r="AJ2417" t="s">
        <v>52</v>
      </c>
      <c r="AK2417">
        <v>0</v>
      </c>
      <c r="AL2417" t="s">
        <v>52</v>
      </c>
      <c r="AM2417" t="s">
        <v>52</v>
      </c>
      <c r="AN2417">
        <v>0</v>
      </c>
      <c r="AO2417">
        <v>0</v>
      </c>
      <c r="AP2417" t="s">
        <v>52</v>
      </c>
      <c r="AQ2417" t="s">
        <v>52</v>
      </c>
      <c r="AR2417" t="s">
        <v>62</v>
      </c>
      <c r="AS2417" t="s">
        <v>52</v>
      </c>
      <c r="AT2417" t="s">
        <v>52</v>
      </c>
      <c r="AU2417" t="s">
        <v>64</v>
      </c>
      <c r="AV2417" t="s">
        <v>62</v>
      </c>
      <c r="AW2417" t="s">
        <v>65</v>
      </c>
      <c r="AX2417" t="s">
        <v>66</v>
      </c>
      <c r="AY2417" t="s">
        <v>67</v>
      </c>
    </row>
    <row r="2418" spans="1:51" hidden="1" x14ac:dyDescent="0.25">
      <c r="A2418">
        <v>406274</v>
      </c>
      <c r="B2418" t="s">
        <v>8875</v>
      </c>
      <c r="C2418" t="e">
        <f>VLOOKUP(A2418,[1]Customer_payment_journal_line!$AL:$BO,30,0)</f>
        <v>#N/A</v>
      </c>
      <c r="D2418" t="s">
        <v>53</v>
      </c>
      <c r="E2418" t="s">
        <v>8873</v>
      </c>
      <c r="F2418" t="s">
        <v>8874</v>
      </c>
      <c r="G2418" t="s">
        <v>8297</v>
      </c>
      <c r="H2418" t="s">
        <v>69</v>
      </c>
      <c r="I2418" t="s">
        <v>5796</v>
      </c>
      <c r="J2418" t="s">
        <v>8868</v>
      </c>
      <c r="K2418" t="s">
        <v>5794</v>
      </c>
      <c r="L2418" t="s">
        <v>52</v>
      </c>
      <c r="M2418">
        <v>0</v>
      </c>
      <c r="N2418">
        <v>712.5</v>
      </c>
      <c r="O2418" t="s">
        <v>61</v>
      </c>
      <c r="P2418">
        <v>100</v>
      </c>
      <c r="Q2418" t="s">
        <v>52</v>
      </c>
      <c r="R2418" t="s">
        <v>52</v>
      </c>
      <c r="S2418" t="s">
        <v>52</v>
      </c>
      <c r="T2418" t="s">
        <v>52</v>
      </c>
      <c r="U2418" t="s">
        <v>52</v>
      </c>
      <c r="V2418" t="s">
        <v>62</v>
      </c>
      <c r="W2418" t="s">
        <v>52</v>
      </c>
      <c r="Y2418" t="s">
        <v>5797</v>
      </c>
      <c r="Z2418" t="s">
        <v>62</v>
      </c>
      <c r="AB2418" t="s">
        <v>8876</v>
      </c>
      <c r="AE2418" t="s">
        <v>8877</v>
      </c>
      <c r="AF2418" t="s">
        <v>52</v>
      </c>
      <c r="AH2418">
        <v>0</v>
      </c>
      <c r="AI2418">
        <v>0</v>
      </c>
      <c r="AJ2418" t="s">
        <v>52</v>
      </c>
      <c r="AK2418">
        <v>0</v>
      </c>
      <c r="AL2418" t="s">
        <v>52</v>
      </c>
      <c r="AM2418" t="s">
        <v>52</v>
      </c>
      <c r="AN2418">
        <v>0</v>
      </c>
      <c r="AO2418">
        <v>0</v>
      </c>
      <c r="AP2418" t="s">
        <v>52</v>
      </c>
      <c r="AQ2418" t="s">
        <v>52</v>
      </c>
      <c r="AR2418" t="s">
        <v>62</v>
      </c>
      <c r="AS2418" t="s">
        <v>52</v>
      </c>
      <c r="AT2418" t="s">
        <v>74</v>
      </c>
      <c r="AU2418" t="s">
        <v>64</v>
      </c>
      <c r="AV2418" t="s">
        <v>62</v>
      </c>
      <c r="AW2418" t="s">
        <v>65</v>
      </c>
      <c r="AX2418" t="s">
        <v>66</v>
      </c>
      <c r="AY2418" t="s">
        <v>67</v>
      </c>
    </row>
    <row r="2419" spans="1:51" hidden="1" x14ac:dyDescent="0.25">
      <c r="A2419">
        <v>204126</v>
      </c>
      <c r="B2419" t="s">
        <v>8878</v>
      </c>
      <c r="C2419" t="e">
        <f>VLOOKUP(A2419,[1]Customer_payment_journal_line!$AL:$BO,30,0)</f>
        <v>#N/A</v>
      </c>
      <c r="D2419" t="s">
        <v>53</v>
      </c>
      <c r="E2419" t="s">
        <v>8879</v>
      </c>
      <c r="F2419" t="s">
        <v>8880</v>
      </c>
      <c r="G2419" t="s">
        <v>8297</v>
      </c>
      <c r="H2419" t="s">
        <v>57</v>
      </c>
      <c r="I2419" t="s">
        <v>125</v>
      </c>
      <c r="J2419" t="s">
        <v>4390</v>
      </c>
      <c r="K2419" t="s">
        <v>8881</v>
      </c>
      <c r="L2419" t="s">
        <v>52</v>
      </c>
      <c r="M2419">
        <v>30</v>
      </c>
      <c r="N2419">
        <v>0</v>
      </c>
      <c r="O2419" t="s">
        <v>126</v>
      </c>
      <c r="P2419">
        <v>5285</v>
      </c>
      <c r="Q2419" t="s">
        <v>52</v>
      </c>
      <c r="R2419" t="s">
        <v>52</v>
      </c>
      <c r="S2419" t="s">
        <v>52</v>
      </c>
      <c r="T2419" t="s">
        <v>52</v>
      </c>
      <c r="U2419" t="s">
        <v>52</v>
      </c>
      <c r="V2419" t="s">
        <v>62</v>
      </c>
      <c r="W2419" t="s">
        <v>63</v>
      </c>
      <c r="Y2419" t="s">
        <v>52</v>
      </c>
      <c r="AB2419" t="s">
        <v>52</v>
      </c>
      <c r="AE2419" t="s">
        <v>52</v>
      </c>
      <c r="AF2419" t="s">
        <v>52</v>
      </c>
      <c r="AH2419">
        <v>0</v>
      </c>
      <c r="AI2419">
        <v>0</v>
      </c>
      <c r="AJ2419" t="s">
        <v>52</v>
      </c>
      <c r="AK2419">
        <v>0</v>
      </c>
      <c r="AL2419" t="s">
        <v>52</v>
      </c>
      <c r="AM2419" t="s">
        <v>52</v>
      </c>
      <c r="AN2419">
        <v>0</v>
      </c>
      <c r="AO2419">
        <v>0</v>
      </c>
      <c r="AP2419" t="s">
        <v>52</v>
      </c>
      <c r="AQ2419" t="s">
        <v>52</v>
      </c>
      <c r="AR2419" t="s">
        <v>62</v>
      </c>
      <c r="AS2419" t="s">
        <v>52</v>
      </c>
      <c r="AT2419" t="s">
        <v>52</v>
      </c>
      <c r="AU2419" t="s">
        <v>64</v>
      </c>
      <c r="AV2419" t="s">
        <v>62</v>
      </c>
      <c r="AW2419" t="s">
        <v>65</v>
      </c>
      <c r="AX2419" t="s">
        <v>66</v>
      </c>
      <c r="AY2419" t="s">
        <v>67</v>
      </c>
    </row>
    <row r="2420" spans="1:51" hidden="1" x14ac:dyDescent="0.25">
      <c r="A2420">
        <v>204126</v>
      </c>
      <c r="B2420" t="s">
        <v>8882</v>
      </c>
      <c r="C2420" t="e">
        <f>VLOOKUP(A2420,[1]Customer_payment_journal_line!$AL:$BO,30,0)</f>
        <v>#N/A</v>
      </c>
      <c r="D2420" t="s">
        <v>53</v>
      </c>
      <c r="E2420" t="s">
        <v>8879</v>
      </c>
      <c r="F2420" t="s">
        <v>8880</v>
      </c>
      <c r="G2420" t="s">
        <v>8297</v>
      </c>
      <c r="H2420" t="s">
        <v>69</v>
      </c>
      <c r="I2420" t="s">
        <v>4393</v>
      </c>
      <c r="J2420" t="s">
        <v>4390</v>
      </c>
      <c r="K2420" t="s">
        <v>8881</v>
      </c>
      <c r="L2420" t="s">
        <v>52</v>
      </c>
      <c r="M2420">
        <v>0</v>
      </c>
      <c r="N2420">
        <v>30</v>
      </c>
      <c r="O2420" t="s">
        <v>126</v>
      </c>
      <c r="P2420">
        <v>5285</v>
      </c>
      <c r="Q2420" t="s">
        <v>52</v>
      </c>
      <c r="R2420" t="s">
        <v>52</v>
      </c>
      <c r="S2420" t="s">
        <v>52</v>
      </c>
      <c r="T2420" t="s">
        <v>52</v>
      </c>
      <c r="U2420" t="s">
        <v>52</v>
      </c>
      <c r="V2420" t="s">
        <v>62</v>
      </c>
      <c r="W2420" t="s">
        <v>52</v>
      </c>
      <c r="Y2420" t="s">
        <v>4394</v>
      </c>
      <c r="Z2420" t="s">
        <v>62</v>
      </c>
      <c r="AB2420" t="s">
        <v>8883</v>
      </c>
      <c r="AE2420" t="s">
        <v>8884</v>
      </c>
      <c r="AF2420" t="s">
        <v>52</v>
      </c>
      <c r="AH2420">
        <v>0</v>
      </c>
      <c r="AI2420">
        <v>0</v>
      </c>
      <c r="AJ2420" t="s">
        <v>52</v>
      </c>
      <c r="AK2420">
        <v>0</v>
      </c>
      <c r="AL2420" t="s">
        <v>52</v>
      </c>
      <c r="AM2420" t="s">
        <v>52</v>
      </c>
      <c r="AN2420">
        <v>0</v>
      </c>
      <c r="AO2420">
        <v>0</v>
      </c>
      <c r="AP2420" t="s">
        <v>52</v>
      </c>
      <c r="AQ2420" t="s">
        <v>52</v>
      </c>
      <c r="AR2420" t="s">
        <v>62</v>
      </c>
      <c r="AS2420" t="s">
        <v>52</v>
      </c>
      <c r="AT2420" t="s">
        <v>74</v>
      </c>
      <c r="AU2420" t="s">
        <v>64</v>
      </c>
      <c r="AV2420" t="s">
        <v>62</v>
      </c>
      <c r="AW2420" t="s">
        <v>65</v>
      </c>
      <c r="AX2420" t="s">
        <v>66</v>
      </c>
      <c r="AY2420" t="s">
        <v>67</v>
      </c>
    </row>
    <row r="2421" spans="1:51" hidden="1" x14ac:dyDescent="0.25">
      <c r="A2421">
        <v>403270</v>
      </c>
      <c r="B2421" t="s">
        <v>8885</v>
      </c>
      <c r="C2421" t="e">
        <f>VLOOKUP(A2421,[1]Customer_payment_journal_line!$AL:$BO,30,0)</f>
        <v>#N/A</v>
      </c>
      <c r="D2421" t="s">
        <v>53</v>
      </c>
      <c r="E2421" t="s">
        <v>8886</v>
      </c>
      <c r="F2421" t="s">
        <v>8887</v>
      </c>
      <c r="G2421" t="s">
        <v>8297</v>
      </c>
      <c r="H2421" t="s">
        <v>57</v>
      </c>
      <c r="I2421" t="s">
        <v>125</v>
      </c>
      <c r="J2421" t="s">
        <v>4390</v>
      </c>
      <c r="K2421" t="s">
        <v>8888</v>
      </c>
      <c r="L2421" t="s">
        <v>52</v>
      </c>
      <c r="M2421">
        <v>20</v>
      </c>
      <c r="N2421">
        <v>0</v>
      </c>
      <c r="O2421" t="s">
        <v>126</v>
      </c>
      <c r="P2421">
        <v>5285</v>
      </c>
      <c r="Q2421" t="s">
        <v>52</v>
      </c>
      <c r="R2421" t="s">
        <v>52</v>
      </c>
      <c r="S2421" t="s">
        <v>52</v>
      </c>
      <c r="T2421" t="s">
        <v>52</v>
      </c>
      <c r="U2421" t="s">
        <v>52</v>
      </c>
      <c r="V2421" t="s">
        <v>62</v>
      </c>
      <c r="W2421" t="s">
        <v>63</v>
      </c>
      <c r="Y2421" t="s">
        <v>52</v>
      </c>
      <c r="AB2421" t="s">
        <v>52</v>
      </c>
      <c r="AE2421" t="s">
        <v>52</v>
      </c>
      <c r="AF2421" t="s">
        <v>52</v>
      </c>
      <c r="AH2421">
        <v>0</v>
      </c>
      <c r="AI2421">
        <v>0</v>
      </c>
      <c r="AJ2421" t="s">
        <v>52</v>
      </c>
      <c r="AK2421">
        <v>0</v>
      </c>
      <c r="AL2421" t="s">
        <v>52</v>
      </c>
      <c r="AM2421" t="s">
        <v>52</v>
      </c>
      <c r="AN2421">
        <v>0</v>
      </c>
      <c r="AO2421">
        <v>0</v>
      </c>
      <c r="AP2421" t="s">
        <v>52</v>
      </c>
      <c r="AQ2421" t="s">
        <v>52</v>
      </c>
      <c r="AR2421" t="s">
        <v>62</v>
      </c>
      <c r="AS2421" t="s">
        <v>52</v>
      </c>
      <c r="AT2421" t="s">
        <v>52</v>
      </c>
      <c r="AU2421" t="s">
        <v>64</v>
      </c>
      <c r="AV2421" t="s">
        <v>62</v>
      </c>
      <c r="AW2421" t="s">
        <v>65</v>
      </c>
      <c r="AX2421" t="s">
        <v>66</v>
      </c>
      <c r="AY2421" t="s">
        <v>67</v>
      </c>
    </row>
    <row r="2422" spans="1:51" hidden="1" x14ac:dyDescent="0.25">
      <c r="A2422">
        <v>403270</v>
      </c>
      <c r="B2422" t="s">
        <v>8889</v>
      </c>
      <c r="C2422" t="e">
        <f>VLOOKUP(A2422,[1]Customer_payment_journal_line!$AL:$BO,30,0)</f>
        <v>#N/A</v>
      </c>
      <c r="D2422" t="s">
        <v>53</v>
      </c>
      <c r="E2422" t="s">
        <v>8886</v>
      </c>
      <c r="F2422" t="s">
        <v>8887</v>
      </c>
      <c r="G2422" t="s">
        <v>8297</v>
      </c>
      <c r="H2422" t="s">
        <v>69</v>
      </c>
      <c r="I2422" t="s">
        <v>4393</v>
      </c>
      <c r="J2422" t="s">
        <v>4390</v>
      </c>
      <c r="K2422" t="s">
        <v>8888</v>
      </c>
      <c r="L2422" t="s">
        <v>52</v>
      </c>
      <c r="M2422">
        <v>0</v>
      </c>
      <c r="N2422">
        <v>20</v>
      </c>
      <c r="O2422" t="s">
        <v>126</v>
      </c>
      <c r="P2422">
        <v>5285</v>
      </c>
      <c r="Q2422" t="s">
        <v>52</v>
      </c>
      <c r="R2422" t="s">
        <v>52</v>
      </c>
      <c r="S2422" t="s">
        <v>52</v>
      </c>
      <c r="T2422" t="s">
        <v>52</v>
      </c>
      <c r="U2422" t="s">
        <v>52</v>
      </c>
      <c r="V2422" t="s">
        <v>62</v>
      </c>
      <c r="W2422" t="s">
        <v>52</v>
      </c>
      <c r="Y2422" t="s">
        <v>4394</v>
      </c>
      <c r="Z2422" t="s">
        <v>62</v>
      </c>
      <c r="AB2422" t="s">
        <v>8890</v>
      </c>
      <c r="AE2422" t="s">
        <v>8891</v>
      </c>
      <c r="AF2422" t="s">
        <v>52</v>
      </c>
      <c r="AH2422">
        <v>0</v>
      </c>
      <c r="AI2422">
        <v>0</v>
      </c>
      <c r="AJ2422" t="s">
        <v>52</v>
      </c>
      <c r="AK2422">
        <v>0</v>
      </c>
      <c r="AL2422" t="s">
        <v>52</v>
      </c>
      <c r="AM2422" t="s">
        <v>52</v>
      </c>
      <c r="AN2422">
        <v>0</v>
      </c>
      <c r="AO2422">
        <v>0</v>
      </c>
      <c r="AP2422" t="s">
        <v>52</v>
      </c>
      <c r="AQ2422" t="s">
        <v>52</v>
      </c>
      <c r="AR2422" t="s">
        <v>62</v>
      </c>
      <c r="AS2422" t="s">
        <v>52</v>
      </c>
      <c r="AT2422" t="s">
        <v>74</v>
      </c>
      <c r="AU2422" t="s">
        <v>64</v>
      </c>
      <c r="AV2422" t="s">
        <v>62</v>
      </c>
      <c r="AW2422" t="s">
        <v>65</v>
      </c>
      <c r="AX2422" t="s">
        <v>66</v>
      </c>
      <c r="AY2422" t="s">
        <v>67</v>
      </c>
    </row>
    <row r="2423" spans="1:51" hidden="1" x14ac:dyDescent="0.25">
      <c r="A2423">
        <v>204128</v>
      </c>
      <c r="B2423" t="s">
        <v>8892</v>
      </c>
      <c r="C2423" t="e">
        <f>VLOOKUP(A2423,[1]Customer_payment_journal_line!$AL:$BO,30,0)</f>
        <v>#N/A</v>
      </c>
      <c r="D2423" t="s">
        <v>53</v>
      </c>
      <c r="E2423" t="s">
        <v>8893</v>
      </c>
      <c r="F2423" t="s">
        <v>8894</v>
      </c>
      <c r="G2423" t="s">
        <v>8297</v>
      </c>
      <c r="H2423" t="s">
        <v>57</v>
      </c>
      <c r="I2423" t="s">
        <v>58</v>
      </c>
      <c r="J2423" t="s">
        <v>4390</v>
      </c>
      <c r="K2423" t="s">
        <v>8881</v>
      </c>
      <c r="L2423" t="s">
        <v>52</v>
      </c>
      <c r="M2423">
        <v>2052</v>
      </c>
      <c r="N2423">
        <v>0</v>
      </c>
      <c r="O2423" t="s">
        <v>61</v>
      </c>
      <c r="P2423">
        <v>100</v>
      </c>
      <c r="Q2423" t="s">
        <v>52</v>
      </c>
      <c r="R2423" t="s">
        <v>52</v>
      </c>
      <c r="S2423" t="s">
        <v>52</v>
      </c>
      <c r="T2423" t="s">
        <v>52</v>
      </c>
      <c r="U2423" t="s">
        <v>52</v>
      </c>
      <c r="V2423" t="s">
        <v>62</v>
      </c>
      <c r="W2423" t="s">
        <v>63</v>
      </c>
      <c r="Y2423" t="s">
        <v>52</v>
      </c>
      <c r="AB2423" t="s">
        <v>52</v>
      </c>
      <c r="AE2423" t="s">
        <v>52</v>
      </c>
      <c r="AF2423" t="s">
        <v>52</v>
      </c>
      <c r="AH2423">
        <v>0</v>
      </c>
      <c r="AI2423">
        <v>0</v>
      </c>
      <c r="AJ2423" t="s">
        <v>52</v>
      </c>
      <c r="AK2423">
        <v>0</v>
      </c>
      <c r="AL2423" t="s">
        <v>52</v>
      </c>
      <c r="AM2423" t="s">
        <v>52</v>
      </c>
      <c r="AN2423">
        <v>0</v>
      </c>
      <c r="AO2423">
        <v>0</v>
      </c>
      <c r="AP2423" t="s">
        <v>52</v>
      </c>
      <c r="AQ2423" t="s">
        <v>52</v>
      </c>
      <c r="AR2423" t="s">
        <v>62</v>
      </c>
      <c r="AS2423" t="s">
        <v>52</v>
      </c>
      <c r="AT2423" t="s">
        <v>52</v>
      </c>
      <c r="AU2423" t="s">
        <v>64</v>
      </c>
      <c r="AV2423" t="s">
        <v>62</v>
      </c>
      <c r="AW2423" t="s">
        <v>65</v>
      </c>
      <c r="AX2423" t="s">
        <v>66</v>
      </c>
      <c r="AY2423" t="s">
        <v>67</v>
      </c>
    </row>
    <row r="2424" spans="1:51" hidden="1" x14ac:dyDescent="0.25">
      <c r="A2424">
        <v>204128</v>
      </c>
      <c r="B2424" t="s">
        <v>8895</v>
      </c>
      <c r="C2424" t="e">
        <f>VLOOKUP(A2424,[1]Customer_payment_journal_line!$AL:$BO,30,0)</f>
        <v>#N/A</v>
      </c>
      <c r="D2424" t="s">
        <v>53</v>
      </c>
      <c r="E2424" t="s">
        <v>8893</v>
      </c>
      <c r="F2424" t="s">
        <v>8894</v>
      </c>
      <c r="G2424" t="s">
        <v>8297</v>
      </c>
      <c r="H2424" t="s">
        <v>69</v>
      </c>
      <c r="I2424" t="s">
        <v>4393</v>
      </c>
      <c r="J2424" t="s">
        <v>4390</v>
      </c>
      <c r="K2424" t="s">
        <v>8881</v>
      </c>
      <c r="L2424" t="s">
        <v>52</v>
      </c>
      <c r="M2424">
        <v>0</v>
      </c>
      <c r="N2424">
        <v>2052</v>
      </c>
      <c r="O2424" t="s">
        <v>61</v>
      </c>
      <c r="P2424">
        <v>100</v>
      </c>
      <c r="Q2424" t="s">
        <v>52</v>
      </c>
      <c r="R2424" t="s">
        <v>52</v>
      </c>
      <c r="S2424" t="s">
        <v>52</v>
      </c>
      <c r="T2424" t="s">
        <v>52</v>
      </c>
      <c r="U2424" t="s">
        <v>52</v>
      </c>
      <c r="V2424" t="s">
        <v>62</v>
      </c>
      <c r="W2424" t="s">
        <v>52</v>
      </c>
      <c r="Y2424" t="s">
        <v>4394</v>
      </c>
      <c r="Z2424" t="s">
        <v>62</v>
      </c>
      <c r="AB2424" t="s">
        <v>8896</v>
      </c>
      <c r="AE2424" t="s">
        <v>8897</v>
      </c>
      <c r="AF2424" t="s">
        <v>52</v>
      </c>
      <c r="AH2424">
        <v>0</v>
      </c>
      <c r="AI2424">
        <v>0</v>
      </c>
      <c r="AJ2424" t="s">
        <v>52</v>
      </c>
      <c r="AK2424">
        <v>0</v>
      </c>
      <c r="AL2424" t="s">
        <v>52</v>
      </c>
      <c r="AM2424" t="s">
        <v>52</v>
      </c>
      <c r="AN2424">
        <v>0</v>
      </c>
      <c r="AO2424">
        <v>0</v>
      </c>
      <c r="AP2424" t="s">
        <v>52</v>
      </c>
      <c r="AQ2424" t="s">
        <v>52</v>
      </c>
      <c r="AR2424" t="s">
        <v>62</v>
      </c>
      <c r="AS2424" t="s">
        <v>52</v>
      </c>
      <c r="AT2424" t="s">
        <v>74</v>
      </c>
      <c r="AU2424" t="s">
        <v>64</v>
      </c>
      <c r="AV2424" t="s">
        <v>62</v>
      </c>
      <c r="AW2424" t="s">
        <v>65</v>
      </c>
      <c r="AX2424" t="s">
        <v>66</v>
      </c>
      <c r="AY2424" t="s">
        <v>67</v>
      </c>
    </row>
    <row r="2425" spans="1:51" hidden="1" x14ac:dyDescent="0.25">
      <c r="A2425">
        <v>204129</v>
      </c>
      <c r="B2425" t="s">
        <v>8898</v>
      </c>
      <c r="C2425" t="e">
        <f>VLOOKUP(A2425,[1]Customer_payment_journal_line!$AL:$BO,30,0)</f>
        <v>#N/A</v>
      </c>
      <c r="D2425" t="s">
        <v>53</v>
      </c>
      <c r="E2425" t="s">
        <v>8899</v>
      </c>
      <c r="F2425" t="s">
        <v>8900</v>
      </c>
      <c r="G2425" t="s">
        <v>8297</v>
      </c>
      <c r="H2425" t="s">
        <v>57</v>
      </c>
      <c r="I2425" t="s">
        <v>58</v>
      </c>
      <c r="J2425" t="s">
        <v>4390</v>
      </c>
      <c r="K2425" t="s">
        <v>8881</v>
      </c>
      <c r="L2425" t="s">
        <v>52</v>
      </c>
      <c r="M2425">
        <v>855</v>
      </c>
      <c r="N2425">
        <v>0</v>
      </c>
      <c r="O2425" t="s">
        <v>61</v>
      </c>
      <c r="P2425">
        <v>100</v>
      </c>
      <c r="Q2425" t="s">
        <v>52</v>
      </c>
      <c r="R2425" t="s">
        <v>52</v>
      </c>
      <c r="S2425" t="s">
        <v>52</v>
      </c>
      <c r="T2425" t="s">
        <v>52</v>
      </c>
      <c r="U2425" t="s">
        <v>52</v>
      </c>
      <c r="V2425" t="s">
        <v>62</v>
      </c>
      <c r="W2425" t="s">
        <v>63</v>
      </c>
      <c r="Y2425" t="s">
        <v>52</v>
      </c>
      <c r="AB2425" t="s">
        <v>52</v>
      </c>
      <c r="AE2425" t="s">
        <v>52</v>
      </c>
      <c r="AF2425" t="s">
        <v>52</v>
      </c>
      <c r="AH2425">
        <v>0</v>
      </c>
      <c r="AI2425">
        <v>0</v>
      </c>
      <c r="AJ2425" t="s">
        <v>52</v>
      </c>
      <c r="AK2425">
        <v>0</v>
      </c>
      <c r="AL2425" t="s">
        <v>52</v>
      </c>
      <c r="AM2425" t="s">
        <v>52</v>
      </c>
      <c r="AN2425">
        <v>0</v>
      </c>
      <c r="AO2425">
        <v>0</v>
      </c>
      <c r="AP2425" t="s">
        <v>52</v>
      </c>
      <c r="AQ2425" t="s">
        <v>52</v>
      </c>
      <c r="AR2425" t="s">
        <v>62</v>
      </c>
      <c r="AS2425" t="s">
        <v>52</v>
      </c>
      <c r="AT2425" t="s">
        <v>52</v>
      </c>
      <c r="AU2425" t="s">
        <v>64</v>
      </c>
      <c r="AV2425" t="s">
        <v>62</v>
      </c>
      <c r="AW2425" t="s">
        <v>65</v>
      </c>
      <c r="AX2425" t="s">
        <v>66</v>
      </c>
      <c r="AY2425" t="s">
        <v>67</v>
      </c>
    </row>
    <row r="2426" spans="1:51" hidden="1" x14ac:dyDescent="0.25">
      <c r="A2426">
        <v>204129</v>
      </c>
      <c r="B2426" t="s">
        <v>8901</v>
      </c>
      <c r="C2426" t="e">
        <f>VLOOKUP(A2426,[1]Customer_payment_journal_line!$AL:$BO,30,0)</f>
        <v>#N/A</v>
      </c>
      <c r="D2426" t="s">
        <v>53</v>
      </c>
      <c r="E2426" t="s">
        <v>8899</v>
      </c>
      <c r="F2426" t="s">
        <v>8900</v>
      </c>
      <c r="G2426" t="s">
        <v>8297</v>
      </c>
      <c r="H2426" t="s">
        <v>69</v>
      </c>
      <c r="I2426" t="s">
        <v>4393</v>
      </c>
      <c r="J2426" t="s">
        <v>4390</v>
      </c>
      <c r="K2426" t="s">
        <v>8881</v>
      </c>
      <c r="L2426" t="s">
        <v>52</v>
      </c>
      <c r="M2426">
        <v>0</v>
      </c>
      <c r="N2426">
        <v>855</v>
      </c>
      <c r="O2426" t="s">
        <v>61</v>
      </c>
      <c r="P2426">
        <v>100</v>
      </c>
      <c r="Q2426" t="s">
        <v>52</v>
      </c>
      <c r="R2426" t="s">
        <v>52</v>
      </c>
      <c r="S2426" t="s">
        <v>52</v>
      </c>
      <c r="T2426" t="s">
        <v>52</v>
      </c>
      <c r="U2426" t="s">
        <v>52</v>
      </c>
      <c r="V2426" t="s">
        <v>62</v>
      </c>
      <c r="W2426" t="s">
        <v>52</v>
      </c>
      <c r="Y2426" t="s">
        <v>4394</v>
      </c>
      <c r="Z2426" t="s">
        <v>62</v>
      </c>
      <c r="AB2426" t="s">
        <v>8902</v>
      </c>
      <c r="AE2426" t="s">
        <v>8903</v>
      </c>
      <c r="AF2426" t="s">
        <v>52</v>
      </c>
      <c r="AH2426">
        <v>0</v>
      </c>
      <c r="AI2426">
        <v>0</v>
      </c>
      <c r="AJ2426" t="s">
        <v>52</v>
      </c>
      <c r="AK2426">
        <v>0</v>
      </c>
      <c r="AL2426" t="s">
        <v>52</v>
      </c>
      <c r="AM2426" t="s">
        <v>52</v>
      </c>
      <c r="AN2426">
        <v>0</v>
      </c>
      <c r="AO2426">
        <v>0</v>
      </c>
      <c r="AP2426" t="s">
        <v>52</v>
      </c>
      <c r="AQ2426" t="s">
        <v>52</v>
      </c>
      <c r="AR2426" t="s">
        <v>62</v>
      </c>
      <c r="AS2426" t="s">
        <v>52</v>
      </c>
      <c r="AT2426" t="s">
        <v>74</v>
      </c>
      <c r="AU2426" t="s">
        <v>64</v>
      </c>
      <c r="AV2426" t="s">
        <v>62</v>
      </c>
      <c r="AW2426" t="s">
        <v>65</v>
      </c>
      <c r="AX2426" t="s">
        <v>66</v>
      </c>
      <c r="AY2426" t="s">
        <v>67</v>
      </c>
    </row>
    <row r="2427" spans="1:51" hidden="1" x14ac:dyDescent="0.25">
      <c r="A2427">
        <v>403457</v>
      </c>
      <c r="B2427" t="s">
        <v>8904</v>
      </c>
      <c r="C2427" t="e">
        <f>VLOOKUP(A2427,[1]Customer_payment_journal_line!$AL:$BO,30,0)</f>
        <v>#N/A</v>
      </c>
      <c r="D2427" t="s">
        <v>53</v>
      </c>
      <c r="E2427" t="s">
        <v>8905</v>
      </c>
      <c r="F2427" t="s">
        <v>8906</v>
      </c>
      <c r="G2427" t="s">
        <v>8297</v>
      </c>
      <c r="H2427" t="s">
        <v>57</v>
      </c>
      <c r="I2427" t="s">
        <v>58</v>
      </c>
      <c r="J2427" t="s">
        <v>4390</v>
      </c>
      <c r="K2427" t="s">
        <v>8888</v>
      </c>
      <c r="L2427" t="s">
        <v>52</v>
      </c>
      <c r="M2427">
        <v>1710</v>
      </c>
      <c r="N2427">
        <v>0</v>
      </c>
      <c r="O2427" t="s">
        <v>61</v>
      </c>
      <c r="P2427">
        <v>100</v>
      </c>
      <c r="Q2427" t="s">
        <v>52</v>
      </c>
      <c r="R2427" t="s">
        <v>52</v>
      </c>
      <c r="S2427" t="s">
        <v>52</v>
      </c>
      <c r="T2427" t="s">
        <v>52</v>
      </c>
      <c r="U2427" t="s">
        <v>52</v>
      </c>
      <c r="V2427" t="s">
        <v>62</v>
      </c>
      <c r="W2427" t="s">
        <v>63</v>
      </c>
      <c r="Y2427" t="s">
        <v>52</v>
      </c>
      <c r="AB2427" t="s">
        <v>52</v>
      </c>
      <c r="AE2427" t="s">
        <v>52</v>
      </c>
      <c r="AF2427" t="s">
        <v>52</v>
      </c>
      <c r="AH2427">
        <v>0</v>
      </c>
      <c r="AI2427">
        <v>0</v>
      </c>
      <c r="AJ2427" t="s">
        <v>52</v>
      </c>
      <c r="AK2427">
        <v>0</v>
      </c>
      <c r="AL2427" t="s">
        <v>52</v>
      </c>
      <c r="AM2427" t="s">
        <v>52</v>
      </c>
      <c r="AN2427">
        <v>0</v>
      </c>
      <c r="AO2427">
        <v>0</v>
      </c>
      <c r="AP2427" t="s">
        <v>52</v>
      </c>
      <c r="AQ2427" t="s">
        <v>52</v>
      </c>
      <c r="AR2427" t="s">
        <v>62</v>
      </c>
      <c r="AS2427" t="s">
        <v>52</v>
      </c>
      <c r="AT2427" t="s">
        <v>52</v>
      </c>
      <c r="AU2427" t="s">
        <v>64</v>
      </c>
      <c r="AV2427" t="s">
        <v>62</v>
      </c>
      <c r="AW2427" t="s">
        <v>65</v>
      </c>
      <c r="AX2427" t="s">
        <v>66</v>
      </c>
      <c r="AY2427" t="s">
        <v>67</v>
      </c>
    </row>
    <row r="2428" spans="1:51" hidden="1" x14ac:dyDescent="0.25">
      <c r="A2428">
        <v>403457</v>
      </c>
      <c r="B2428" t="s">
        <v>8907</v>
      </c>
      <c r="C2428" t="e">
        <f>VLOOKUP(A2428,[1]Customer_payment_journal_line!$AL:$BO,30,0)</f>
        <v>#N/A</v>
      </c>
      <c r="D2428" t="s">
        <v>53</v>
      </c>
      <c r="E2428" t="s">
        <v>8905</v>
      </c>
      <c r="F2428" t="s">
        <v>8906</v>
      </c>
      <c r="G2428" t="s">
        <v>8297</v>
      </c>
      <c r="H2428" t="s">
        <v>69</v>
      </c>
      <c r="I2428" t="s">
        <v>4393</v>
      </c>
      <c r="J2428" t="s">
        <v>4390</v>
      </c>
      <c r="K2428" t="s">
        <v>8888</v>
      </c>
      <c r="L2428" t="s">
        <v>52</v>
      </c>
      <c r="M2428">
        <v>0</v>
      </c>
      <c r="N2428">
        <v>1710</v>
      </c>
      <c r="O2428" t="s">
        <v>61</v>
      </c>
      <c r="P2428">
        <v>100</v>
      </c>
      <c r="Q2428" t="s">
        <v>52</v>
      </c>
      <c r="R2428" t="s">
        <v>52</v>
      </c>
      <c r="S2428" t="s">
        <v>52</v>
      </c>
      <c r="T2428" t="s">
        <v>52</v>
      </c>
      <c r="U2428" t="s">
        <v>52</v>
      </c>
      <c r="V2428" t="s">
        <v>62</v>
      </c>
      <c r="W2428" t="s">
        <v>52</v>
      </c>
      <c r="Y2428" t="s">
        <v>4394</v>
      </c>
      <c r="Z2428" t="s">
        <v>62</v>
      </c>
      <c r="AB2428" t="s">
        <v>8908</v>
      </c>
      <c r="AE2428" t="s">
        <v>8909</v>
      </c>
      <c r="AF2428" t="s">
        <v>52</v>
      </c>
      <c r="AH2428">
        <v>0</v>
      </c>
      <c r="AI2428">
        <v>0</v>
      </c>
      <c r="AJ2428" t="s">
        <v>52</v>
      </c>
      <c r="AK2428">
        <v>0</v>
      </c>
      <c r="AL2428" t="s">
        <v>52</v>
      </c>
      <c r="AM2428" t="s">
        <v>52</v>
      </c>
      <c r="AN2428">
        <v>0</v>
      </c>
      <c r="AO2428">
        <v>0</v>
      </c>
      <c r="AP2428" t="s">
        <v>52</v>
      </c>
      <c r="AQ2428" t="s">
        <v>52</v>
      </c>
      <c r="AR2428" t="s">
        <v>62</v>
      </c>
      <c r="AS2428" t="s">
        <v>52</v>
      </c>
      <c r="AT2428" t="s">
        <v>74</v>
      </c>
      <c r="AU2428" t="s">
        <v>64</v>
      </c>
      <c r="AV2428" t="s">
        <v>62</v>
      </c>
      <c r="AW2428" t="s">
        <v>65</v>
      </c>
      <c r="AX2428" t="s">
        <v>66</v>
      </c>
      <c r="AY2428" t="s">
        <v>67</v>
      </c>
    </row>
    <row r="2429" spans="1:51" hidden="1" x14ac:dyDescent="0.25">
      <c r="A2429">
        <v>404350</v>
      </c>
      <c r="B2429" t="s">
        <v>8910</v>
      </c>
      <c r="C2429" t="e">
        <f>VLOOKUP(A2429,[1]Customer_payment_journal_line!$AL:$BO,30,0)</f>
        <v>#N/A</v>
      </c>
      <c r="D2429" t="s">
        <v>53</v>
      </c>
      <c r="E2429" t="s">
        <v>8911</v>
      </c>
      <c r="F2429" t="s">
        <v>8912</v>
      </c>
      <c r="G2429" t="s">
        <v>8297</v>
      </c>
      <c r="H2429" t="s">
        <v>57</v>
      </c>
      <c r="I2429" t="s">
        <v>58</v>
      </c>
      <c r="J2429" t="s">
        <v>4390</v>
      </c>
      <c r="K2429" t="s">
        <v>8888</v>
      </c>
      <c r="L2429" t="s">
        <v>52</v>
      </c>
      <c r="M2429">
        <v>855</v>
      </c>
      <c r="N2429">
        <v>0</v>
      </c>
      <c r="O2429" t="s">
        <v>61</v>
      </c>
      <c r="P2429">
        <v>100</v>
      </c>
      <c r="Q2429" t="s">
        <v>52</v>
      </c>
      <c r="R2429" t="s">
        <v>52</v>
      </c>
      <c r="S2429" t="s">
        <v>52</v>
      </c>
      <c r="T2429" t="s">
        <v>52</v>
      </c>
      <c r="U2429" t="s">
        <v>52</v>
      </c>
      <c r="V2429" t="s">
        <v>62</v>
      </c>
      <c r="W2429" t="s">
        <v>63</v>
      </c>
      <c r="Y2429" t="s">
        <v>52</v>
      </c>
      <c r="AB2429" t="s">
        <v>52</v>
      </c>
      <c r="AE2429" t="s">
        <v>52</v>
      </c>
      <c r="AF2429" t="s">
        <v>52</v>
      </c>
      <c r="AH2429">
        <v>0</v>
      </c>
      <c r="AI2429">
        <v>0</v>
      </c>
      <c r="AJ2429" t="s">
        <v>52</v>
      </c>
      <c r="AK2429">
        <v>0</v>
      </c>
      <c r="AL2429" t="s">
        <v>52</v>
      </c>
      <c r="AM2429" t="s">
        <v>52</v>
      </c>
      <c r="AN2429">
        <v>0</v>
      </c>
      <c r="AO2429">
        <v>0</v>
      </c>
      <c r="AP2429" t="s">
        <v>52</v>
      </c>
      <c r="AQ2429" t="s">
        <v>52</v>
      </c>
      <c r="AR2429" t="s">
        <v>62</v>
      </c>
      <c r="AS2429" t="s">
        <v>52</v>
      </c>
      <c r="AT2429" t="s">
        <v>52</v>
      </c>
      <c r="AU2429" t="s">
        <v>64</v>
      </c>
      <c r="AV2429" t="s">
        <v>62</v>
      </c>
      <c r="AW2429" t="s">
        <v>65</v>
      </c>
      <c r="AX2429" t="s">
        <v>66</v>
      </c>
      <c r="AY2429" t="s">
        <v>67</v>
      </c>
    </row>
    <row r="2430" spans="1:51" hidden="1" x14ac:dyDescent="0.25">
      <c r="A2430">
        <v>404350</v>
      </c>
      <c r="B2430" t="s">
        <v>8913</v>
      </c>
      <c r="C2430" t="e">
        <f>VLOOKUP(A2430,[1]Customer_payment_journal_line!$AL:$BO,30,0)</f>
        <v>#N/A</v>
      </c>
      <c r="D2430" t="s">
        <v>53</v>
      </c>
      <c r="E2430" t="s">
        <v>8911</v>
      </c>
      <c r="F2430" t="s">
        <v>8912</v>
      </c>
      <c r="G2430" t="s">
        <v>8297</v>
      </c>
      <c r="H2430" t="s">
        <v>69</v>
      </c>
      <c r="I2430" t="s">
        <v>4393</v>
      </c>
      <c r="J2430" t="s">
        <v>4390</v>
      </c>
      <c r="K2430" t="s">
        <v>8888</v>
      </c>
      <c r="L2430" t="s">
        <v>52</v>
      </c>
      <c r="M2430">
        <v>0</v>
      </c>
      <c r="N2430">
        <v>855</v>
      </c>
      <c r="O2430" t="s">
        <v>61</v>
      </c>
      <c r="P2430">
        <v>100</v>
      </c>
      <c r="Q2430" t="s">
        <v>52</v>
      </c>
      <c r="R2430" t="s">
        <v>52</v>
      </c>
      <c r="S2430" t="s">
        <v>52</v>
      </c>
      <c r="T2430" t="s">
        <v>52</v>
      </c>
      <c r="U2430" t="s">
        <v>52</v>
      </c>
      <c r="V2430" t="s">
        <v>62</v>
      </c>
      <c r="W2430" t="s">
        <v>52</v>
      </c>
      <c r="Y2430" t="s">
        <v>4394</v>
      </c>
      <c r="Z2430" t="s">
        <v>62</v>
      </c>
      <c r="AB2430" t="s">
        <v>8914</v>
      </c>
      <c r="AE2430" t="s">
        <v>8915</v>
      </c>
      <c r="AF2430" t="s">
        <v>52</v>
      </c>
      <c r="AH2430">
        <v>0</v>
      </c>
      <c r="AI2430">
        <v>0</v>
      </c>
      <c r="AJ2430" t="s">
        <v>52</v>
      </c>
      <c r="AK2430">
        <v>0</v>
      </c>
      <c r="AL2430" t="s">
        <v>52</v>
      </c>
      <c r="AM2430" t="s">
        <v>52</v>
      </c>
      <c r="AN2430">
        <v>0</v>
      </c>
      <c r="AO2430">
        <v>0</v>
      </c>
      <c r="AP2430" t="s">
        <v>52</v>
      </c>
      <c r="AQ2430" t="s">
        <v>52</v>
      </c>
      <c r="AR2430" t="s">
        <v>62</v>
      </c>
      <c r="AS2430" t="s">
        <v>52</v>
      </c>
      <c r="AT2430" t="s">
        <v>74</v>
      </c>
      <c r="AU2430" t="s">
        <v>64</v>
      </c>
      <c r="AV2430" t="s">
        <v>62</v>
      </c>
      <c r="AW2430" t="s">
        <v>65</v>
      </c>
      <c r="AX2430" t="s">
        <v>66</v>
      </c>
      <c r="AY2430" t="s">
        <v>67</v>
      </c>
    </row>
    <row r="2431" spans="1:51" hidden="1" x14ac:dyDescent="0.25">
      <c r="A2431">
        <v>204136</v>
      </c>
      <c r="B2431" t="s">
        <v>8916</v>
      </c>
      <c r="C2431" t="e">
        <f>VLOOKUP(A2431,[1]Customer_payment_journal_line!$AL:$BO,30,0)</f>
        <v>#N/A</v>
      </c>
      <c r="D2431" t="s">
        <v>53</v>
      </c>
      <c r="E2431" t="s">
        <v>8917</v>
      </c>
      <c r="F2431" t="s">
        <v>8918</v>
      </c>
      <c r="G2431" t="s">
        <v>8297</v>
      </c>
      <c r="H2431" t="s">
        <v>57</v>
      </c>
      <c r="I2431" t="s">
        <v>58</v>
      </c>
      <c r="J2431" t="s">
        <v>8919</v>
      </c>
      <c r="K2431" t="s">
        <v>8920</v>
      </c>
      <c r="L2431" t="s">
        <v>52</v>
      </c>
      <c r="M2431">
        <v>10659</v>
      </c>
      <c r="N2431">
        <v>0</v>
      </c>
      <c r="O2431" t="s">
        <v>61</v>
      </c>
      <c r="P2431">
        <v>100</v>
      </c>
      <c r="Q2431" t="s">
        <v>52</v>
      </c>
      <c r="R2431" t="s">
        <v>52</v>
      </c>
      <c r="S2431" t="s">
        <v>52</v>
      </c>
      <c r="T2431" t="s">
        <v>52</v>
      </c>
      <c r="U2431" t="s">
        <v>52</v>
      </c>
      <c r="V2431" t="s">
        <v>62</v>
      </c>
      <c r="W2431" t="s">
        <v>63</v>
      </c>
      <c r="Y2431" t="s">
        <v>52</v>
      </c>
      <c r="AB2431" t="s">
        <v>52</v>
      </c>
      <c r="AE2431" t="s">
        <v>52</v>
      </c>
      <c r="AF2431" t="s">
        <v>52</v>
      </c>
      <c r="AH2431">
        <v>0</v>
      </c>
      <c r="AI2431">
        <v>0</v>
      </c>
      <c r="AJ2431" t="s">
        <v>52</v>
      </c>
      <c r="AK2431">
        <v>0</v>
      </c>
      <c r="AL2431" t="s">
        <v>52</v>
      </c>
      <c r="AM2431" t="s">
        <v>52</v>
      </c>
      <c r="AN2431">
        <v>0</v>
      </c>
      <c r="AO2431">
        <v>0</v>
      </c>
      <c r="AP2431" t="s">
        <v>52</v>
      </c>
      <c r="AQ2431" t="s">
        <v>52</v>
      </c>
      <c r="AR2431" t="s">
        <v>62</v>
      </c>
      <c r="AS2431" t="s">
        <v>52</v>
      </c>
      <c r="AT2431" t="s">
        <v>52</v>
      </c>
      <c r="AU2431" t="s">
        <v>64</v>
      </c>
      <c r="AV2431" t="s">
        <v>62</v>
      </c>
      <c r="AW2431" t="s">
        <v>65</v>
      </c>
      <c r="AX2431" t="s">
        <v>66</v>
      </c>
      <c r="AY2431" t="s">
        <v>67</v>
      </c>
    </row>
    <row r="2432" spans="1:51" hidden="1" x14ac:dyDescent="0.25">
      <c r="A2432">
        <v>204136</v>
      </c>
      <c r="B2432" t="s">
        <v>8921</v>
      </c>
      <c r="C2432" t="e">
        <f>VLOOKUP(A2432,[1]Customer_payment_journal_line!$AL:$BO,30,0)</f>
        <v>#N/A</v>
      </c>
      <c r="D2432" t="s">
        <v>53</v>
      </c>
      <c r="E2432" t="s">
        <v>8917</v>
      </c>
      <c r="F2432" t="s">
        <v>8918</v>
      </c>
      <c r="G2432" t="s">
        <v>8297</v>
      </c>
      <c r="H2432" t="s">
        <v>69</v>
      </c>
      <c r="I2432" t="s">
        <v>8922</v>
      </c>
      <c r="J2432" t="s">
        <v>8919</v>
      </c>
      <c r="K2432" t="s">
        <v>8920</v>
      </c>
      <c r="L2432" t="s">
        <v>52</v>
      </c>
      <c r="M2432">
        <v>0</v>
      </c>
      <c r="N2432">
        <v>10659</v>
      </c>
      <c r="O2432" t="s">
        <v>61</v>
      </c>
      <c r="P2432">
        <v>100</v>
      </c>
      <c r="Q2432" t="s">
        <v>52</v>
      </c>
      <c r="R2432" t="s">
        <v>52</v>
      </c>
      <c r="S2432" t="s">
        <v>52</v>
      </c>
      <c r="T2432" t="s">
        <v>52</v>
      </c>
      <c r="U2432" t="s">
        <v>52</v>
      </c>
      <c r="V2432" t="s">
        <v>62</v>
      </c>
      <c r="W2432" t="s">
        <v>52</v>
      </c>
      <c r="Y2432" t="s">
        <v>8923</v>
      </c>
      <c r="Z2432" t="s">
        <v>62</v>
      </c>
      <c r="AB2432" t="s">
        <v>8924</v>
      </c>
      <c r="AE2432" t="s">
        <v>8925</v>
      </c>
      <c r="AF2432" t="s">
        <v>52</v>
      </c>
      <c r="AH2432">
        <v>0</v>
      </c>
      <c r="AI2432">
        <v>0</v>
      </c>
      <c r="AJ2432" t="s">
        <v>52</v>
      </c>
      <c r="AK2432">
        <v>0</v>
      </c>
      <c r="AL2432" t="s">
        <v>52</v>
      </c>
      <c r="AM2432" t="s">
        <v>52</v>
      </c>
      <c r="AN2432">
        <v>0</v>
      </c>
      <c r="AO2432">
        <v>0</v>
      </c>
      <c r="AP2432" t="s">
        <v>52</v>
      </c>
      <c r="AQ2432" t="s">
        <v>52</v>
      </c>
      <c r="AR2432" t="s">
        <v>62</v>
      </c>
      <c r="AS2432" t="s">
        <v>52</v>
      </c>
      <c r="AT2432" t="s">
        <v>74</v>
      </c>
      <c r="AU2432" t="s">
        <v>64</v>
      </c>
      <c r="AV2432" t="s">
        <v>62</v>
      </c>
      <c r="AW2432" t="s">
        <v>65</v>
      </c>
      <c r="AX2432" t="s">
        <v>66</v>
      </c>
      <c r="AY2432" t="s">
        <v>67</v>
      </c>
    </row>
    <row r="2433" spans="1:51" hidden="1" x14ac:dyDescent="0.25">
      <c r="A2433">
        <v>204137</v>
      </c>
      <c r="B2433" t="s">
        <v>8926</v>
      </c>
      <c r="C2433" t="e">
        <f>VLOOKUP(A2433,[1]Customer_payment_journal_line!$AL:$BO,30,0)</f>
        <v>#N/A</v>
      </c>
      <c r="D2433" t="s">
        <v>53</v>
      </c>
      <c r="E2433" t="s">
        <v>8927</v>
      </c>
      <c r="F2433" t="s">
        <v>8928</v>
      </c>
      <c r="G2433" t="s">
        <v>8297</v>
      </c>
      <c r="H2433" t="s">
        <v>57</v>
      </c>
      <c r="I2433" t="s">
        <v>58</v>
      </c>
      <c r="J2433" t="s">
        <v>8919</v>
      </c>
      <c r="K2433" t="s">
        <v>8920</v>
      </c>
      <c r="L2433" t="s">
        <v>52</v>
      </c>
      <c r="M2433">
        <v>855</v>
      </c>
      <c r="N2433">
        <v>0</v>
      </c>
      <c r="O2433" t="s">
        <v>61</v>
      </c>
      <c r="P2433">
        <v>100</v>
      </c>
      <c r="Q2433" t="s">
        <v>52</v>
      </c>
      <c r="R2433" t="s">
        <v>52</v>
      </c>
      <c r="S2433" t="s">
        <v>52</v>
      </c>
      <c r="T2433" t="s">
        <v>52</v>
      </c>
      <c r="U2433" t="s">
        <v>52</v>
      </c>
      <c r="V2433" t="s">
        <v>62</v>
      </c>
      <c r="W2433" t="s">
        <v>63</v>
      </c>
      <c r="Y2433" t="s">
        <v>52</v>
      </c>
      <c r="AB2433" t="s">
        <v>52</v>
      </c>
      <c r="AE2433" t="s">
        <v>52</v>
      </c>
      <c r="AF2433" t="s">
        <v>52</v>
      </c>
      <c r="AH2433">
        <v>0</v>
      </c>
      <c r="AI2433">
        <v>0</v>
      </c>
      <c r="AJ2433" t="s">
        <v>52</v>
      </c>
      <c r="AK2433">
        <v>0</v>
      </c>
      <c r="AL2433" t="s">
        <v>52</v>
      </c>
      <c r="AM2433" t="s">
        <v>52</v>
      </c>
      <c r="AN2433">
        <v>0</v>
      </c>
      <c r="AO2433">
        <v>0</v>
      </c>
      <c r="AP2433" t="s">
        <v>52</v>
      </c>
      <c r="AQ2433" t="s">
        <v>52</v>
      </c>
      <c r="AR2433" t="s">
        <v>62</v>
      </c>
      <c r="AS2433" t="s">
        <v>52</v>
      </c>
      <c r="AT2433" t="s">
        <v>52</v>
      </c>
      <c r="AU2433" t="s">
        <v>64</v>
      </c>
      <c r="AV2433" t="s">
        <v>62</v>
      </c>
      <c r="AW2433" t="s">
        <v>65</v>
      </c>
      <c r="AX2433" t="s">
        <v>66</v>
      </c>
      <c r="AY2433" t="s">
        <v>67</v>
      </c>
    </row>
    <row r="2434" spans="1:51" hidden="1" x14ac:dyDescent="0.25">
      <c r="A2434">
        <v>204137</v>
      </c>
      <c r="B2434" t="s">
        <v>8929</v>
      </c>
      <c r="C2434" t="e">
        <f>VLOOKUP(A2434,[1]Customer_payment_journal_line!$AL:$BO,30,0)</f>
        <v>#N/A</v>
      </c>
      <c r="D2434" t="s">
        <v>53</v>
      </c>
      <c r="E2434" t="s">
        <v>8927</v>
      </c>
      <c r="F2434" t="s">
        <v>8928</v>
      </c>
      <c r="G2434" t="s">
        <v>8297</v>
      </c>
      <c r="H2434" t="s">
        <v>69</v>
      </c>
      <c r="I2434" t="s">
        <v>8922</v>
      </c>
      <c r="J2434" t="s">
        <v>8919</v>
      </c>
      <c r="K2434" t="s">
        <v>8920</v>
      </c>
      <c r="L2434" t="s">
        <v>52</v>
      </c>
      <c r="M2434">
        <v>0</v>
      </c>
      <c r="N2434">
        <v>855</v>
      </c>
      <c r="O2434" t="s">
        <v>61</v>
      </c>
      <c r="P2434">
        <v>100</v>
      </c>
      <c r="Q2434" t="s">
        <v>52</v>
      </c>
      <c r="R2434" t="s">
        <v>52</v>
      </c>
      <c r="S2434" t="s">
        <v>52</v>
      </c>
      <c r="T2434" t="s">
        <v>52</v>
      </c>
      <c r="U2434" t="s">
        <v>52</v>
      </c>
      <c r="V2434" t="s">
        <v>62</v>
      </c>
      <c r="W2434" t="s">
        <v>52</v>
      </c>
      <c r="Y2434" t="s">
        <v>8923</v>
      </c>
      <c r="Z2434" t="s">
        <v>62</v>
      </c>
      <c r="AB2434" t="s">
        <v>8930</v>
      </c>
      <c r="AE2434" t="s">
        <v>8931</v>
      </c>
      <c r="AF2434" t="s">
        <v>52</v>
      </c>
      <c r="AH2434">
        <v>0</v>
      </c>
      <c r="AI2434">
        <v>0</v>
      </c>
      <c r="AJ2434" t="s">
        <v>52</v>
      </c>
      <c r="AK2434">
        <v>0</v>
      </c>
      <c r="AL2434" t="s">
        <v>52</v>
      </c>
      <c r="AM2434" t="s">
        <v>52</v>
      </c>
      <c r="AN2434">
        <v>0</v>
      </c>
      <c r="AO2434">
        <v>0</v>
      </c>
      <c r="AP2434" t="s">
        <v>52</v>
      </c>
      <c r="AQ2434" t="s">
        <v>52</v>
      </c>
      <c r="AR2434" t="s">
        <v>62</v>
      </c>
      <c r="AS2434" t="s">
        <v>52</v>
      </c>
      <c r="AT2434" t="s">
        <v>74</v>
      </c>
      <c r="AU2434" t="s">
        <v>64</v>
      </c>
      <c r="AV2434" t="s">
        <v>62</v>
      </c>
      <c r="AW2434" t="s">
        <v>65</v>
      </c>
      <c r="AX2434" t="s">
        <v>66</v>
      </c>
      <c r="AY2434" t="s">
        <v>67</v>
      </c>
    </row>
    <row r="2435" spans="1:51" hidden="1" x14ac:dyDescent="0.25">
      <c r="A2435">
        <v>204140</v>
      </c>
      <c r="B2435" t="s">
        <v>8932</v>
      </c>
      <c r="C2435" t="e">
        <f>VLOOKUP(A2435,[1]Customer_payment_journal_line!$AL:$BO,30,0)</f>
        <v>#N/A</v>
      </c>
      <c r="D2435" t="s">
        <v>53</v>
      </c>
      <c r="E2435" t="s">
        <v>8933</v>
      </c>
      <c r="F2435" t="s">
        <v>8934</v>
      </c>
      <c r="G2435" t="s">
        <v>8297</v>
      </c>
      <c r="H2435" t="s">
        <v>57</v>
      </c>
      <c r="I2435" t="s">
        <v>1349</v>
      </c>
      <c r="J2435" t="s">
        <v>8935</v>
      </c>
      <c r="K2435" t="s">
        <v>8936</v>
      </c>
      <c r="L2435" t="s">
        <v>52</v>
      </c>
      <c r="M2435">
        <v>625</v>
      </c>
      <c r="N2435">
        <v>0</v>
      </c>
      <c r="O2435" t="s">
        <v>61</v>
      </c>
      <c r="P2435">
        <v>100</v>
      </c>
      <c r="Q2435" t="s">
        <v>52</v>
      </c>
      <c r="R2435" t="s">
        <v>52</v>
      </c>
      <c r="S2435" t="s">
        <v>52</v>
      </c>
      <c r="T2435" t="s">
        <v>52</v>
      </c>
      <c r="U2435" t="s">
        <v>52</v>
      </c>
      <c r="V2435" t="s">
        <v>62</v>
      </c>
      <c r="W2435" t="s">
        <v>63</v>
      </c>
      <c r="Y2435" t="s">
        <v>52</v>
      </c>
      <c r="AB2435" t="s">
        <v>52</v>
      </c>
      <c r="AE2435" t="s">
        <v>52</v>
      </c>
      <c r="AF2435" t="s">
        <v>52</v>
      </c>
      <c r="AH2435">
        <v>0</v>
      </c>
      <c r="AI2435">
        <v>0</v>
      </c>
      <c r="AJ2435" t="s">
        <v>52</v>
      </c>
      <c r="AK2435">
        <v>0</v>
      </c>
      <c r="AL2435" t="s">
        <v>52</v>
      </c>
      <c r="AM2435" t="s">
        <v>52</v>
      </c>
      <c r="AN2435">
        <v>0</v>
      </c>
      <c r="AO2435">
        <v>0</v>
      </c>
      <c r="AP2435" t="s">
        <v>52</v>
      </c>
      <c r="AQ2435" t="s">
        <v>52</v>
      </c>
      <c r="AR2435" t="s">
        <v>62</v>
      </c>
      <c r="AS2435" t="s">
        <v>52</v>
      </c>
      <c r="AT2435" t="s">
        <v>52</v>
      </c>
      <c r="AU2435" t="s">
        <v>64</v>
      </c>
      <c r="AV2435" t="s">
        <v>62</v>
      </c>
      <c r="AW2435" t="s">
        <v>65</v>
      </c>
      <c r="AX2435" t="s">
        <v>66</v>
      </c>
      <c r="AY2435" t="s">
        <v>67</v>
      </c>
    </row>
    <row r="2436" spans="1:51" hidden="1" x14ac:dyDescent="0.25">
      <c r="A2436">
        <v>204140</v>
      </c>
      <c r="B2436" t="s">
        <v>8937</v>
      </c>
      <c r="C2436" t="e">
        <f>VLOOKUP(A2436,[1]Customer_payment_journal_line!$AL:$BO,30,0)</f>
        <v>#N/A</v>
      </c>
      <c r="D2436" t="s">
        <v>53</v>
      </c>
      <c r="E2436" t="s">
        <v>8933</v>
      </c>
      <c r="F2436" t="s">
        <v>8934</v>
      </c>
      <c r="G2436" t="s">
        <v>8297</v>
      </c>
      <c r="H2436" t="s">
        <v>69</v>
      </c>
      <c r="I2436" t="s">
        <v>8938</v>
      </c>
      <c r="J2436" t="s">
        <v>8935</v>
      </c>
      <c r="K2436" t="s">
        <v>8936</v>
      </c>
      <c r="L2436" t="s">
        <v>52</v>
      </c>
      <c r="M2436">
        <v>0</v>
      </c>
      <c r="N2436">
        <v>625</v>
      </c>
      <c r="O2436" t="s">
        <v>61</v>
      </c>
      <c r="P2436">
        <v>100</v>
      </c>
      <c r="Q2436" t="s">
        <v>52</v>
      </c>
      <c r="R2436" t="s">
        <v>52</v>
      </c>
      <c r="S2436" t="s">
        <v>52</v>
      </c>
      <c r="T2436" t="s">
        <v>52</v>
      </c>
      <c r="U2436" t="s">
        <v>52</v>
      </c>
      <c r="V2436" t="s">
        <v>62</v>
      </c>
      <c r="W2436" t="s">
        <v>52</v>
      </c>
      <c r="Y2436" t="s">
        <v>8939</v>
      </c>
      <c r="Z2436" t="s">
        <v>62</v>
      </c>
      <c r="AB2436" t="s">
        <v>8940</v>
      </c>
      <c r="AE2436" t="s">
        <v>8941</v>
      </c>
      <c r="AF2436" t="s">
        <v>52</v>
      </c>
      <c r="AH2436">
        <v>0</v>
      </c>
      <c r="AI2436">
        <v>0</v>
      </c>
      <c r="AJ2436" t="s">
        <v>52</v>
      </c>
      <c r="AK2436">
        <v>0</v>
      </c>
      <c r="AL2436" t="s">
        <v>52</v>
      </c>
      <c r="AM2436" t="s">
        <v>52</v>
      </c>
      <c r="AN2436">
        <v>0</v>
      </c>
      <c r="AO2436">
        <v>0</v>
      </c>
      <c r="AP2436" t="s">
        <v>52</v>
      </c>
      <c r="AQ2436" t="s">
        <v>52</v>
      </c>
      <c r="AR2436" t="s">
        <v>62</v>
      </c>
      <c r="AS2436" t="s">
        <v>52</v>
      </c>
      <c r="AT2436" t="s">
        <v>74</v>
      </c>
      <c r="AU2436" t="s">
        <v>64</v>
      </c>
      <c r="AV2436" t="s">
        <v>62</v>
      </c>
      <c r="AW2436" t="s">
        <v>65</v>
      </c>
      <c r="AX2436" t="s">
        <v>66</v>
      </c>
      <c r="AY2436" t="s">
        <v>67</v>
      </c>
    </row>
    <row r="2437" spans="1:51" hidden="1" x14ac:dyDescent="0.25">
      <c r="A2437">
        <v>402920</v>
      </c>
      <c r="B2437" t="s">
        <v>8942</v>
      </c>
      <c r="C2437" t="e">
        <f>VLOOKUP(A2437,[1]Customer_payment_journal_line!$AL:$BO,30,0)</f>
        <v>#N/A</v>
      </c>
      <c r="D2437" t="s">
        <v>53</v>
      </c>
      <c r="E2437" t="s">
        <v>8943</v>
      </c>
      <c r="F2437" t="s">
        <v>8944</v>
      </c>
      <c r="G2437" t="s">
        <v>8297</v>
      </c>
      <c r="H2437" t="s">
        <v>57</v>
      </c>
      <c r="I2437" t="s">
        <v>58</v>
      </c>
      <c r="J2437" t="s">
        <v>4086</v>
      </c>
      <c r="K2437" t="s">
        <v>8945</v>
      </c>
      <c r="L2437" t="s">
        <v>52</v>
      </c>
      <c r="M2437">
        <v>2850</v>
      </c>
      <c r="N2437">
        <v>0</v>
      </c>
      <c r="O2437" t="s">
        <v>61</v>
      </c>
      <c r="P2437">
        <v>100</v>
      </c>
      <c r="Q2437" t="s">
        <v>52</v>
      </c>
      <c r="R2437" t="s">
        <v>52</v>
      </c>
      <c r="S2437" t="s">
        <v>52</v>
      </c>
      <c r="T2437" t="s">
        <v>52</v>
      </c>
      <c r="U2437" t="s">
        <v>52</v>
      </c>
      <c r="V2437" t="s">
        <v>62</v>
      </c>
      <c r="W2437" t="s">
        <v>63</v>
      </c>
      <c r="Y2437" t="s">
        <v>52</v>
      </c>
      <c r="AB2437" t="s">
        <v>52</v>
      </c>
      <c r="AE2437" t="s">
        <v>52</v>
      </c>
      <c r="AF2437" t="s">
        <v>52</v>
      </c>
      <c r="AH2437">
        <v>0</v>
      </c>
      <c r="AI2437">
        <v>0</v>
      </c>
      <c r="AJ2437" t="s">
        <v>52</v>
      </c>
      <c r="AK2437">
        <v>0</v>
      </c>
      <c r="AL2437" t="s">
        <v>52</v>
      </c>
      <c r="AM2437" t="s">
        <v>52</v>
      </c>
      <c r="AN2437">
        <v>0</v>
      </c>
      <c r="AO2437">
        <v>0</v>
      </c>
      <c r="AP2437" t="s">
        <v>52</v>
      </c>
      <c r="AQ2437" t="s">
        <v>52</v>
      </c>
      <c r="AR2437" t="s">
        <v>62</v>
      </c>
      <c r="AS2437" t="s">
        <v>52</v>
      </c>
      <c r="AT2437" t="s">
        <v>52</v>
      </c>
      <c r="AU2437" t="s">
        <v>64</v>
      </c>
      <c r="AV2437" t="s">
        <v>62</v>
      </c>
      <c r="AW2437" t="s">
        <v>65</v>
      </c>
      <c r="AX2437" t="s">
        <v>66</v>
      </c>
      <c r="AY2437" t="s">
        <v>67</v>
      </c>
    </row>
    <row r="2438" spans="1:51" hidden="1" x14ac:dyDescent="0.25">
      <c r="A2438">
        <v>402920</v>
      </c>
      <c r="B2438" t="s">
        <v>8946</v>
      </c>
      <c r="C2438" t="e">
        <f>VLOOKUP(A2438,[1]Customer_payment_journal_line!$AL:$BO,30,0)</f>
        <v>#N/A</v>
      </c>
      <c r="D2438" t="s">
        <v>53</v>
      </c>
      <c r="E2438" t="s">
        <v>8943</v>
      </c>
      <c r="F2438" t="s">
        <v>8944</v>
      </c>
      <c r="G2438" t="s">
        <v>8297</v>
      </c>
      <c r="H2438" t="s">
        <v>69</v>
      </c>
      <c r="I2438" t="s">
        <v>1187</v>
      </c>
      <c r="J2438" t="s">
        <v>4086</v>
      </c>
      <c r="K2438" t="s">
        <v>8945</v>
      </c>
      <c r="L2438" t="s">
        <v>52</v>
      </c>
      <c r="M2438">
        <v>0</v>
      </c>
      <c r="N2438">
        <v>2850</v>
      </c>
      <c r="O2438" t="s">
        <v>61</v>
      </c>
      <c r="P2438">
        <v>100</v>
      </c>
      <c r="Q2438" t="s">
        <v>52</v>
      </c>
      <c r="R2438" t="s">
        <v>52</v>
      </c>
      <c r="S2438" t="s">
        <v>52</v>
      </c>
      <c r="T2438" t="s">
        <v>52</v>
      </c>
      <c r="U2438" t="s">
        <v>52</v>
      </c>
      <c r="V2438" t="s">
        <v>62</v>
      </c>
      <c r="W2438" t="s">
        <v>52</v>
      </c>
      <c r="Y2438" t="s">
        <v>1188</v>
      </c>
      <c r="Z2438" t="s">
        <v>62</v>
      </c>
      <c r="AB2438" t="s">
        <v>8947</v>
      </c>
      <c r="AE2438" t="s">
        <v>8948</v>
      </c>
      <c r="AF2438" t="s">
        <v>52</v>
      </c>
      <c r="AH2438">
        <v>0</v>
      </c>
      <c r="AI2438">
        <v>0</v>
      </c>
      <c r="AJ2438" t="s">
        <v>52</v>
      </c>
      <c r="AK2438">
        <v>0</v>
      </c>
      <c r="AL2438" t="s">
        <v>52</v>
      </c>
      <c r="AM2438" t="s">
        <v>52</v>
      </c>
      <c r="AN2438">
        <v>0</v>
      </c>
      <c r="AO2438">
        <v>0</v>
      </c>
      <c r="AP2438" t="s">
        <v>52</v>
      </c>
      <c r="AQ2438" t="s">
        <v>52</v>
      </c>
      <c r="AR2438" t="s">
        <v>62</v>
      </c>
      <c r="AS2438" t="s">
        <v>52</v>
      </c>
      <c r="AT2438" t="s">
        <v>74</v>
      </c>
      <c r="AU2438" t="s">
        <v>64</v>
      </c>
      <c r="AV2438" t="s">
        <v>62</v>
      </c>
      <c r="AW2438" t="s">
        <v>65</v>
      </c>
      <c r="AX2438" t="s">
        <v>66</v>
      </c>
      <c r="AY2438" t="s">
        <v>67</v>
      </c>
    </row>
    <row r="2439" spans="1:51" hidden="1" x14ac:dyDescent="0.25">
      <c r="A2439">
        <v>403497</v>
      </c>
      <c r="B2439" t="s">
        <v>8949</v>
      </c>
      <c r="C2439" t="e">
        <f>VLOOKUP(A2439,[1]Customer_payment_journal_line!$AL:$BO,30,0)</f>
        <v>#N/A</v>
      </c>
      <c r="D2439" t="s">
        <v>53</v>
      </c>
      <c r="E2439" t="s">
        <v>8950</v>
      </c>
      <c r="F2439" t="s">
        <v>8951</v>
      </c>
      <c r="G2439" t="s">
        <v>8297</v>
      </c>
      <c r="H2439" t="s">
        <v>57</v>
      </c>
      <c r="I2439" t="s">
        <v>58</v>
      </c>
      <c r="J2439" t="s">
        <v>4086</v>
      </c>
      <c r="K2439" t="s">
        <v>8945</v>
      </c>
      <c r="L2439" t="s">
        <v>52</v>
      </c>
      <c r="M2439">
        <v>855</v>
      </c>
      <c r="N2439">
        <v>0</v>
      </c>
      <c r="O2439" t="s">
        <v>61</v>
      </c>
      <c r="P2439">
        <v>100</v>
      </c>
      <c r="Q2439" t="s">
        <v>52</v>
      </c>
      <c r="R2439" t="s">
        <v>52</v>
      </c>
      <c r="S2439" t="s">
        <v>52</v>
      </c>
      <c r="T2439" t="s">
        <v>52</v>
      </c>
      <c r="U2439" t="s">
        <v>52</v>
      </c>
      <c r="V2439" t="s">
        <v>62</v>
      </c>
      <c r="W2439" t="s">
        <v>63</v>
      </c>
      <c r="Y2439" t="s">
        <v>52</v>
      </c>
      <c r="AB2439" t="s">
        <v>52</v>
      </c>
      <c r="AE2439" t="s">
        <v>52</v>
      </c>
      <c r="AF2439" t="s">
        <v>52</v>
      </c>
      <c r="AH2439">
        <v>0</v>
      </c>
      <c r="AI2439">
        <v>0</v>
      </c>
      <c r="AJ2439" t="s">
        <v>52</v>
      </c>
      <c r="AK2439">
        <v>0</v>
      </c>
      <c r="AL2439" t="s">
        <v>52</v>
      </c>
      <c r="AM2439" t="s">
        <v>52</v>
      </c>
      <c r="AN2439">
        <v>0</v>
      </c>
      <c r="AO2439">
        <v>0</v>
      </c>
      <c r="AP2439" t="s">
        <v>52</v>
      </c>
      <c r="AQ2439" t="s">
        <v>52</v>
      </c>
      <c r="AR2439" t="s">
        <v>62</v>
      </c>
      <c r="AS2439" t="s">
        <v>52</v>
      </c>
      <c r="AT2439" t="s">
        <v>52</v>
      </c>
      <c r="AU2439" t="s">
        <v>64</v>
      </c>
      <c r="AV2439" t="s">
        <v>62</v>
      </c>
      <c r="AW2439" t="s">
        <v>65</v>
      </c>
      <c r="AX2439" t="s">
        <v>66</v>
      </c>
      <c r="AY2439" t="s">
        <v>67</v>
      </c>
    </row>
    <row r="2440" spans="1:51" hidden="1" x14ac:dyDescent="0.25">
      <c r="A2440">
        <v>403497</v>
      </c>
      <c r="B2440" t="s">
        <v>8952</v>
      </c>
      <c r="C2440" t="e">
        <f>VLOOKUP(A2440,[1]Customer_payment_journal_line!$AL:$BO,30,0)</f>
        <v>#N/A</v>
      </c>
      <c r="D2440" t="s">
        <v>53</v>
      </c>
      <c r="E2440" t="s">
        <v>8950</v>
      </c>
      <c r="F2440" t="s">
        <v>8951</v>
      </c>
      <c r="G2440" t="s">
        <v>8297</v>
      </c>
      <c r="H2440" t="s">
        <v>69</v>
      </c>
      <c r="I2440" t="s">
        <v>1187</v>
      </c>
      <c r="J2440" t="s">
        <v>4086</v>
      </c>
      <c r="K2440" t="s">
        <v>8945</v>
      </c>
      <c r="L2440" t="s">
        <v>52</v>
      </c>
      <c r="M2440">
        <v>0</v>
      </c>
      <c r="N2440">
        <v>855</v>
      </c>
      <c r="O2440" t="s">
        <v>61</v>
      </c>
      <c r="P2440">
        <v>100</v>
      </c>
      <c r="Q2440" t="s">
        <v>52</v>
      </c>
      <c r="R2440" t="s">
        <v>52</v>
      </c>
      <c r="S2440" t="s">
        <v>52</v>
      </c>
      <c r="T2440" t="s">
        <v>52</v>
      </c>
      <c r="U2440" t="s">
        <v>52</v>
      </c>
      <c r="V2440" t="s">
        <v>62</v>
      </c>
      <c r="W2440" t="s">
        <v>52</v>
      </c>
      <c r="Y2440" t="s">
        <v>1188</v>
      </c>
      <c r="Z2440" t="s">
        <v>62</v>
      </c>
      <c r="AB2440" t="s">
        <v>8953</v>
      </c>
      <c r="AE2440" t="s">
        <v>8954</v>
      </c>
      <c r="AF2440" t="s">
        <v>52</v>
      </c>
      <c r="AH2440">
        <v>0</v>
      </c>
      <c r="AI2440">
        <v>0</v>
      </c>
      <c r="AJ2440" t="s">
        <v>52</v>
      </c>
      <c r="AK2440">
        <v>0</v>
      </c>
      <c r="AL2440" t="s">
        <v>52</v>
      </c>
      <c r="AM2440" t="s">
        <v>52</v>
      </c>
      <c r="AN2440">
        <v>0</v>
      </c>
      <c r="AO2440">
        <v>0</v>
      </c>
      <c r="AP2440" t="s">
        <v>52</v>
      </c>
      <c r="AQ2440" t="s">
        <v>52</v>
      </c>
      <c r="AR2440" t="s">
        <v>62</v>
      </c>
      <c r="AS2440" t="s">
        <v>52</v>
      </c>
      <c r="AT2440" t="s">
        <v>74</v>
      </c>
      <c r="AU2440" t="s">
        <v>64</v>
      </c>
      <c r="AV2440" t="s">
        <v>62</v>
      </c>
      <c r="AW2440" t="s">
        <v>65</v>
      </c>
      <c r="AX2440" t="s">
        <v>66</v>
      </c>
      <c r="AY2440" t="s">
        <v>67</v>
      </c>
    </row>
    <row r="2441" spans="1:51" hidden="1" x14ac:dyDescent="0.25">
      <c r="A2441">
        <v>317173</v>
      </c>
      <c r="B2441" t="s">
        <v>8955</v>
      </c>
      <c r="C2441" t="e">
        <f>VLOOKUP(A2441,[1]Customer_payment_journal_line!$AL:$BO,30,0)</f>
        <v>#N/A</v>
      </c>
      <c r="D2441" t="s">
        <v>159</v>
      </c>
      <c r="E2441" t="s">
        <v>8956</v>
      </c>
      <c r="F2441" t="s">
        <v>8957</v>
      </c>
      <c r="G2441" t="s">
        <v>8297</v>
      </c>
      <c r="H2441" t="s">
        <v>210</v>
      </c>
      <c r="I2441" t="s">
        <v>7975</v>
      </c>
      <c r="J2441" t="s">
        <v>52</v>
      </c>
      <c r="K2441" t="s">
        <v>8804</v>
      </c>
      <c r="L2441" t="s">
        <v>52</v>
      </c>
      <c r="M2441">
        <v>219</v>
      </c>
      <c r="N2441">
        <v>0</v>
      </c>
      <c r="O2441" t="s">
        <v>178</v>
      </c>
      <c r="P2441">
        <v>5085</v>
      </c>
      <c r="Q2441" t="s">
        <v>52</v>
      </c>
      <c r="R2441" t="s">
        <v>52</v>
      </c>
      <c r="S2441" t="s">
        <v>52</v>
      </c>
      <c r="T2441" t="s">
        <v>52</v>
      </c>
      <c r="U2441" t="s">
        <v>52</v>
      </c>
      <c r="V2441" t="s">
        <v>62</v>
      </c>
      <c r="W2441" t="s">
        <v>63</v>
      </c>
      <c r="Y2441" t="s">
        <v>52</v>
      </c>
      <c r="AB2441" t="s">
        <v>8958</v>
      </c>
      <c r="AE2441" t="s">
        <v>8958</v>
      </c>
      <c r="AF2441" t="s">
        <v>52</v>
      </c>
      <c r="AH2441">
        <v>0</v>
      </c>
      <c r="AI2441">
        <v>0</v>
      </c>
      <c r="AJ2441" t="s">
        <v>52</v>
      </c>
      <c r="AK2441">
        <v>0</v>
      </c>
      <c r="AL2441" t="s">
        <v>52</v>
      </c>
      <c r="AM2441" t="s">
        <v>52</v>
      </c>
      <c r="AN2441">
        <v>0</v>
      </c>
      <c r="AO2441">
        <v>0</v>
      </c>
      <c r="AP2441" t="s">
        <v>52</v>
      </c>
      <c r="AQ2441" t="s">
        <v>52</v>
      </c>
      <c r="AR2441" t="s">
        <v>62</v>
      </c>
      <c r="AS2441" t="s">
        <v>52</v>
      </c>
      <c r="AT2441" t="s">
        <v>52</v>
      </c>
      <c r="AU2441" t="s">
        <v>64</v>
      </c>
      <c r="AV2441" t="s">
        <v>62</v>
      </c>
      <c r="AW2441" t="s">
        <v>65</v>
      </c>
      <c r="AX2441" t="s">
        <v>66</v>
      </c>
      <c r="AY2441" t="s">
        <v>165</v>
      </c>
    </row>
    <row r="2442" spans="1:51" hidden="1" x14ac:dyDescent="0.25">
      <c r="A2442">
        <v>317173</v>
      </c>
      <c r="B2442" t="s">
        <v>8959</v>
      </c>
      <c r="C2442" t="e">
        <f>VLOOKUP(A2442,[1]Customer_payment_journal_line!$AL:$BO,30,0)</f>
        <v>#N/A</v>
      </c>
      <c r="D2442" t="s">
        <v>159</v>
      </c>
      <c r="E2442" t="s">
        <v>8956</v>
      </c>
      <c r="F2442" t="s">
        <v>8957</v>
      </c>
      <c r="G2442" t="s">
        <v>8297</v>
      </c>
      <c r="H2442" t="s">
        <v>69</v>
      </c>
      <c r="I2442" t="s">
        <v>567</v>
      </c>
      <c r="J2442" t="s">
        <v>8960</v>
      </c>
      <c r="K2442" t="s">
        <v>8804</v>
      </c>
      <c r="L2442" t="s">
        <v>52</v>
      </c>
      <c r="M2442">
        <v>0</v>
      </c>
      <c r="N2442">
        <v>210</v>
      </c>
      <c r="O2442" t="s">
        <v>126</v>
      </c>
      <c r="P2442">
        <v>5285</v>
      </c>
      <c r="Q2442" t="s">
        <v>52</v>
      </c>
      <c r="R2442" t="s">
        <v>52</v>
      </c>
      <c r="S2442" t="s">
        <v>52</v>
      </c>
      <c r="T2442" t="s">
        <v>52</v>
      </c>
      <c r="U2442" t="s">
        <v>52</v>
      </c>
      <c r="V2442" t="s">
        <v>62</v>
      </c>
      <c r="W2442" t="s">
        <v>52</v>
      </c>
      <c r="Y2442" t="s">
        <v>568</v>
      </c>
      <c r="Z2442" t="s">
        <v>62</v>
      </c>
      <c r="AB2442" t="s">
        <v>8958</v>
      </c>
      <c r="AE2442" t="s">
        <v>8958</v>
      </c>
      <c r="AF2442" t="s">
        <v>52</v>
      </c>
      <c r="AH2442">
        <v>0</v>
      </c>
      <c r="AI2442">
        <v>0</v>
      </c>
      <c r="AJ2442" t="s">
        <v>52</v>
      </c>
      <c r="AK2442">
        <v>0</v>
      </c>
      <c r="AL2442" t="s">
        <v>52</v>
      </c>
      <c r="AM2442" t="s">
        <v>52</v>
      </c>
      <c r="AN2442">
        <v>0</v>
      </c>
      <c r="AO2442">
        <v>0</v>
      </c>
      <c r="AP2442" t="s">
        <v>52</v>
      </c>
      <c r="AQ2442" t="s">
        <v>52</v>
      </c>
      <c r="AR2442" t="s">
        <v>62</v>
      </c>
      <c r="AS2442" t="s">
        <v>52</v>
      </c>
      <c r="AT2442" t="s">
        <v>74</v>
      </c>
      <c r="AU2442" t="s">
        <v>64</v>
      </c>
      <c r="AV2442" t="s">
        <v>62</v>
      </c>
      <c r="AW2442" t="s">
        <v>65</v>
      </c>
      <c r="AX2442" t="s">
        <v>66</v>
      </c>
      <c r="AY2442" t="s">
        <v>165</v>
      </c>
    </row>
    <row r="2443" spans="1:51" hidden="1" x14ac:dyDescent="0.25">
      <c r="A2443">
        <v>317173</v>
      </c>
      <c r="B2443" t="s">
        <v>8961</v>
      </c>
      <c r="C2443" t="e">
        <f>VLOOKUP(A2443,[1]Customer_payment_journal_line!$AL:$BO,30,0)</f>
        <v>#N/A</v>
      </c>
      <c r="D2443" t="s">
        <v>159</v>
      </c>
      <c r="E2443" t="s">
        <v>8956</v>
      </c>
      <c r="F2443" t="s">
        <v>8957</v>
      </c>
      <c r="G2443" t="s">
        <v>8297</v>
      </c>
      <c r="H2443" t="s">
        <v>210</v>
      </c>
      <c r="I2443" t="s">
        <v>8962</v>
      </c>
      <c r="J2443" t="s">
        <v>52</v>
      </c>
      <c r="K2443" t="s">
        <v>8804</v>
      </c>
      <c r="L2443" t="s">
        <v>52</v>
      </c>
      <c r="M2443">
        <v>0</v>
      </c>
      <c r="N2443">
        <v>37.65</v>
      </c>
      <c r="O2443" t="s">
        <v>61</v>
      </c>
      <c r="P2443">
        <v>100</v>
      </c>
      <c r="Q2443" t="s">
        <v>52</v>
      </c>
      <c r="R2443" t="s">
        <v>52</v>
      </c>
      <c r="S2443" t="s">
        <v>52</v>
      </c>
      <c r="T2443" t="s">
        <v>52</v>
      </c>
      <c r="U2443" t="s">
        <v>52</v>
      </c>
      <c r="V2443" t="s">
        <v>62</v>
      </c>
      <c r="W2443" t="s">
        <v>63</v>
      </c>
      <c r="Y2443" t="s">
        <v>568</v>
      </c>
      <c r="AB2443" t="s">
        <v>8958</v>
      </c>
      <c r="AE2443" t="s">
        <v>8958</v>
      </c>
      <c r="AF2443" t="s">
        <v>52</v>
      </c>
      <c r="AH2443">
        <v>0</v>
      </c>
      <c r="AI2443">
        <v>0</v>
      </c>
      <c r="AJ2443" t="s">
        <v>52</v>
      </c>
      <c r="AK2443">
        <v>0</v>
      </c>
      <c r="AL2443" t="s">
        <v>52</v>
      </c>
      <c r="AM2443" t="s">
        <v>52</v>
      </c>
      <c r="AN2443">
        <v>0</v>
      </c>
      <c r="AO2443">
        <v>0</v>
      </c>
      <c r="AP2443" t="s">
        <v>52</v>
      </c>
      <c r="AQ2443" t="s">
        <v>52</v>
      </c>
      <c r="AR2443" t="s">
        <v>62</v>
      </c>
      <c r="AS2443" t="s">
        <v>52</v>
      </c>
      <c r="AT2443" t="s">
        <v>52</v>
      </c>
      <c r="AU2443" t="s">
        <v>64</v>
      </c>
      <c r="AV2443" t="s">
        <v>62</v>
      </c>
      <c r="AW2443" t="s">
        <v>65</v>
      </c>
      <c r="AX2443" t="s">
        <v>66</v>
      </c>
      <c r="AY2443" t="s">
        <v>165</v>
      </c>
    </row>
    <row r="2444" spans="1:51" hidden="1" x14ac:dyDescent="0.25">
      <c r="A2444">
        <v>402161</v>
      </c>
      <c r="B2444" t="s">
        <v>8963</v>
      </c>
      <c r="C2444" t="e">
        <f>VLOOKUP(A2444,[1]Customer_payment_journal_line!$AL:$BO,30,0)</f>
        <v>#N/A</v>
      </c>
      <c r="D2444" t="s">
        <v>53</v>
      </c>
      <c r="E2444" t="s">
        <v>8964</v>
      </c>
      <c r="F2444" t="s">
        <v>8965</v>
      </c>
      <c r="G2444" t="s">
        <v>8297</v>
      </c>
      <c r="H2444" t="s">
        <v>57</v>
      </c>
      <c r="I2444" t="s">
        <v>1349</v>
      </c>
      <c r="J2444" t="s">
        <v>8265</v>
      </c>
      <c r="K2444" t="s">
        <v>3615</v>
      </c>
      <c r="L2444" t="s">
        <v>52</v>
      </c>
      <c r="M2444">
        <v>875</v>
      </c>
      <c r="N2444">
        <v>0</v>
      </c>
      <c r="O2444" t="s">
        <v>61</v>
      </c>
      <c r="P2444">
        <v>100</v>
      </c>
      <c r="Q2444" t="s">
        <v>52</v>
      </c>
      <c r="R2444" t="s">
        <v>52</v>
      </c>
      <c r="S2444" t="s">
        <v>52</v>
      </c>
      <c r="T2444" t="s">
        <v>52</v>
      </c>
      <c r="U2444" t="s">
        <v>52</v>
      </c>
      <c r="V2444" t="s">
        <v>62</v>
      </c>
      <c r="W2444" t="s">
        <v>63</v>
      </c>
      <c r="Y2444" t="s">
        <v>52</v>
      </c>
      <c r="AB2444" t="s">
        <v>52</v>
      </c>
      <c r="AE2444" t="s">
        <v>52</v>
      </c>
      <c r="AF2444" t="s">
        <v>52</v>
      </c>
      <c r="AH2444">
        <v>0</v>
      </c>
      <c r="AI2444">
        <v>0</v>
      </c>
      <c r="AJ2444" t="s">
        <v>52</v>
      </c>
      <c r="AK2444">
        <v>0</v>
      </c>
      <c r="AL2444" t="s">
        <v>52</v>
      </c>
      <c r="AM2444" t="s">
        <v>52</v>
      </c>
      <c r="AN2444">
        <v>0</v>
      </c>
      <c r="AO2444">
        <v>0</v>
      </c>
      <c r="AP2444" t="s">
        <v>52</v>
      </c>
      <c r="AQ2444" t="s">
        <v>52</v>
      </c>
      <c r="AR2444" t="s">
        <v>62</v>
      </c>
      <c r="AS2444" t="s">
        <v>52</v>
      </c>
      <c r="AT2444" t="s">
        <v>52</v>
      </c>
      <c r="AU2444" t="s">
        <v>64</v>
      </c>
      <c r="AV2444" t="s">
        <v>62</v>
      </c>
      <c r="AW2444" t="s">
        <v>65</v>
      </c>
      <c r="AX2444" t="s">
        <v>66</v>
      </c>
      <c r="AY2444" t="s">
        <v>67</v>
      </c>
    </row>
    <row r="2445" spans="1:51" hidden="1" x14ac:dyDescent="0.25">
      <c r="A2445">
        <v>402161</v>
      </c>
      <c r="B2445" t="s">
        <v>8966</v>
      </c>
      <c r="C2445" t="e">
        <f>VLOOKUP(A2445,[1]Customer_payment_journal_line!$AL:$BO,30,0)</f>
        <v>#N/A</v>
      </c>
      <c r="D2445" t="s">
        <v>53</v>
      </c>
      <c r="E2445" t="s">
        <v>8964</v>
      </c>
      <c r="F2445" t="s">
        <v>8965</v>
      </c>
      <c r="G2445" t="s">
        <v>8297</v>
      </c>
      <c r="H2445" t="s">
        <v>69</v>
      </c>
      <c r="I2445" t="s">
        <v>3609</v>
      </c>
      <c r="J2445" t="s">
        <v>8265</v>
      </c>
      <c r="K2445" t="s">
        <v>3615</v>
      </c>
      <c r="L2445" t="s">
        <v>52</v>
      </c>
      <c r="M2445">
        <v>0</v>
      </c>
      <c r="N2445">
        <v>875</v>
      </c>
      <c r="O2445" t="s">
        <v>61</v>
      </c>
      <c r="P2445">
        <v>100</v>
      </c>
      <c r="Q2445" t="s">
        <v>52</v>
      </c>
      <c r="R2445" t="s">
        <v>52</v>
      </c>
      <c r="S2445" t="s">
        <v>52</v>
      </c>
      <c r="T2445" t="s">
        <v>52</v>
      </c>
      <c r="U2445" t="s">
        <v>52</v>
      </c>
      <c r="V2445" t="s">
        <v>62</v>
      </c>
      <c r="W2445" t="s">
        <v>52</v>
      </c>
      <c r="Y2445" t="s">
        <v>3611</v>
      </c>
      <c r="Z2445" t="s">
        <v>62</v>
      </c>
      <c r="AB2445" t="s">
        <v>8967</v>
      </c>
      <c r="AE2445" t="s">
        <v>8968</v>
      </c>
      <c r="AF2445" t="s">
        <v>52</v>
      </c>
      <c r="AH2445">
        <v>0</v>
      </c>
      <c r="AI2445">
        <v>0</v>
      </c>
      <c r="AJ2445" t="s">
        <v>52</v>
      </c>
      <c r="AK2445">
        <v>0</v>
      </c>
      <c r="AL2445" t="s">
        <v>52</v>
      </c>
      <c r="AM2445" t="s">
        <v>52</v>
      </c>
      <c r="AN2445">
        <v>0</v>
      </c>
      <c r="AO2445">
        <v>0</v>
      </c>
      <c r="AP2445" t="s">
        <v>52</v>
      </c>
      <c r="AQ2445" t="s">
        <v>52</v>
      </c>
      <c r="AR2445" t="s">
        <v>62</v>
      </c>
      <c r="AS2445" t="s">
        <v>52</v>
      </c>
      <c r="AT2445" t="s">
        <v>74</v>
      </c>
      <c r="AU2445" t="s">
        <v>64</v>
      </c>
      <c r="AV2445" t="s">
        <v>62</v>
      </c>
      <c r="AW2445" t="s">
        <v>65</v>
      </c>
      <c r="AX2445" t="s">
        <v>66</v>
      </c>
      <c r="AY2445" t="s">
        <v>67</v>
      </c>
    </row>
    <row r="2446" spans="1:51" hidden="1" x14ac:dyDescent="0.25">
      <c r="A2446">
        <v>406279</v>
      </c>
      <c r="B2446" t="s">
        <v>8969</v>
      </c>
      <c r="C2446" t="e">
        <f>VLOOKUP(A2446,[1]Customer_payment_journal_line!$AL:$BO,30,0)</f>
        <v>#N/A</v>
      </c>
      <c r="D2446" t="s">
        <v>53</v>
      </c>
      <c r="E2446" t="s">
        <v>8970</v>
      </c>
      <c r="F2446" t="s">
        <v>8971</v>
      </c>
      <c r="G2446" t="s">
        <v>8297</v>
      </c>
      <c r="H2446" t="s">
        <v>57</v>
      </c>
      <c r="I2446" t="s">
        <v>1349</v>
      </c>
      <c r="J2446" t="s">
        <v>8265</v>
      </c>
      <c r="K2446" t="s">
        <v>3663</v>
      </c>
      <c r="L2446" t="s">
        <v>52</v>
      </c>
      <c r="M2446">
        <v>875</v>
      </c>
      <c r="N2446">
        <v>0</v>
      </c>
      <c r="O2446" t="s">
        <v>61</v>
      </c>
      <c r="P2446">
        <v>100</v>
      </c>
      <c r="Q2446" t="s">
        <v>52</v>
      </c>
      <c r="R2446" t="s">
        <v>52</v>
      </c>
      <c r="S2446" t="s">
        <v>52</v>
      </c>
      <c r="T2446" t="s">
        <v>52</v>
      </c>
      <c r="U2446" t="s">
        <v>52</v>
      </c>
      <c r="V2446" t="s">
        <v>62</v>
      </c>
      <c r="W2446" t="s">
        <v>63</v>
      </c>
      <c r="Y2446" t="s">
        <v>52</v>
      </c>
      <c r="AB2446" t="s">
        <v>52</v>
      </c>
      <c r="AE2446" t="s">
        <v>52</v>
      </c>
      <c r="AF2446" t="s">
        <v>52</v>
      </c>
      <c r="AH2446">
        <v>0</v>
      </c>
      <c r="AI2446">
        <v>0</v>
      </c>
      <c r="AJ2446" t="s">
        <v>52</v>
      </c>
      <c r="AK2446">
        <v>0</v>
      </c>
      <c r="AL2446" t="s">
        <v>52</v>
      </c>
      <c r="AM2446" t="s">
        <v>52</v>
      </c>
      <c r="AN2446">
        <v>0</v>
      </c>
      <c r="AO2446">
        <v>0</v>
      </c>
      <c r="AP2446" t="s">
        <v>52</v>
      </c>
      <c r="AQ2446" t="s">
        <v>52</v>
      </c>
      <c r="AR2446" t="s">
        <v>62</v>
      </c>
      <c r="AS2446" t="s">
        <v>52</v>
      </c>
      <c r="AT2446" t="s">
        <v>52</v>
      </c>
      <c r="AU2446" t="s">
        <v>64</v>
      </c>
      <c r="AV2446" t="s">
        <v>62</v>
      </c>
      <c r="AW2446" t="s">
        <v>65</v>
      </c>
      <c r="AX2446" t="s">
        <v>66</v>
      </c>
      <c r="AY2446" t="s">
        <v>67</v>
      </c>
    </row>
    <row r="2447" spans="1:51" hidden="1" x14ac:dyDescent="0.25">
      <c r="A2447">
        <v>406279</v>
      </c>
      <c r="B2447" t="s">
        <v>8972</v>
      </c>
      <c r="C2447" t="e">
        <f>VLOOKUP(A2447,[1]Customer_payment_journal_line!$AL:$BO,30,0)</f>
        <v>#N/A</v>
      </c>
      <c r="D2447" t="s">
        <v>53</v>
      </c>
      <c r="E2447" t="s">
        <v>8970</v>
      </c>
      <c r="F2447" t="s">
        <v>8971</v>
      </c>
      <c r="G2447" t="s">
        <v>8297</v>
      </c>
      <c r="H2447" t="s">
        <v>69</v>
      </c>
      <c r="I2447" t="s">
        <v>3609</v>
      </c>
      <c r="J2447" t="s">
        <v>8265</v>
      </c>
      <c r="K2447" t="s">
        <v>3663</v>
      </c>
      <c r="L2447" t="s">
        <v>52</v>
      </c>
      <c r="M2447">
        <v>0</v>
      </c>
      <c r="N2447">
        <v>875</v>
      </c>
      <c r="O2447" t="s">
        <v>61</v>
      </c>
      <c r="P2447">
        <v>100</v>
      </c>
      <c r="Q2447" t="s">
        <v>52</v>
      </c>
      <c r="R2447" t="s">
        <v>52</v>
      </c>
      <c r="S2447" t="s">
        <v>52</v>
      </c>
      <c r="T2447" t="s">
        <v>52</v>
      </c>
      <c r="U2447" t="s">
        <v>52</v>
      </c>
      <c r="V2447" t="s">
        <v>62</v>
      </c>
      <c r="W2447" t="s">
        <v>52</v>
      </c>
      <c r="Y2447" t="s">
        <v>3611</v>
      </c>
      <c r="Z2447" t="s">
        <v>62</v>
      </c>
      <c r="AB2447" t="s">
        <v>8973</v>
      </c>
      <c r="AE2447" t="s">
        <v>8974</v>
      </c>
      <c r="AF2447" t="s">
        <v>52</v>
      </c>
      <c r="AH2447">
        <v>0</v>
      </c>
      <c r="AI2447">
        <v>0</v>
      </c>
      <c r="AJ2447" t="s">
        <v>52</v>
      </c>
      <c r="AK2447">
        <v>0</v>
      </c>
      <c r="AL2447" t="s">
        <v>52</v>
      </c>
      <c r="AM2447" t="s">
        <v>52</v>
      </c>
      <c r="AN2447">
        <v>0</v>
      </c>
      <c r="AO2447">
        <v>0</v>
      </c>
      <c r="AP2447" t="s">
        <v>52</v>
      </c>
      <c r="AQ2447" t="s">
        <v>52</v>
      </c>
      <c r="AR2447" t="s">
        <v>62</v>
      </c>
      <c r="AS2447" t="s">
        <v>52</v>
      </c>
      <c r="AT2447" t="s">
        <v>74</v>
      </c>
      <c r="AU2447" t="s">
        <v>64</v>
      </c>
      <c r="AV2447" t="s">
        <v>62</v>
      </c>
      <c r="AW2447" t="s">
        <v>65</v>
      </c>
      <c r="AX2447" t="s">
        <v>66</v>
      </c>
      <c r="AY2447" t="s">
        <v>67</v>
      </c>
    </row>
    <row r="2448" spans="1:51" hidden="1" x14ac:dyDescent="0.25">
      <c r="A2448">
        <v>317174</v>
      </c>
      <c r="B2448" t="s">
        <v>8975</v>
      </c>
      <c r="C2448" t="e">
        <f>VLOOKUP(A2448,[1]Customer_payment_journal_line!$AL:$BO,30,0)</f>
        <v>#N/A</v>
      </c>
      <c r="D2448" t="s">
        <v>53</v>
      </c>
      <c r="E2448" t="s">
        <v>8976</v>
      </c>
      <c r="F2448" t="s">
        <v>8977</v>
      </c>
      <c r="G2448" t="s">
        <v>8297</v>
      </c>
      <c r="H2448" t="s">
        <v>201</v>
      </c>
      <c r="I2448" t="s">
        <v>58</v>
      </c>
      <c r="J2448" t="s">
        <v>202</v>
      </c>
      <c r="K2448" t="s">
        <v>8978</v>
      </c>
      <c r="L2448" t="s">
        <v>52</v>
      </c>
      <c r="M2448">
        <v>3705</v>
      </c>
      <c r="N2448">
        <v>0</v>
      </c>
      <c r="O2448" t="s">
        <v>61</v>
      </c>
      <c r="P2448">
        <v>100</v>
      </c>
      <c r="Q2448" t="s">
        <v>52</v>
      </c>
      <c r="R2448" t="s">
        <v>52</v>
      </c>
      <c r="S2448" t="s">
        <v>52</v>
      </c>
      <c r="T2448" t="s">
        <v>52</v>
      </c>
      <c r="U2448" t="s">
        <v>52</v>
      </c>
      <c r="V2448" t="s">
        <v>62</v>
      </c>
      <c r="W2448" t="s">
        <v>63</v>
      </c>
      <c r="Y2448" t="s">
        <v>52</v>
      </c>
      <c r="AB2448" t="s">
        <v>8979</v>
      </c>
      <c r="AE2448" t="s">
        <v>8979</v>
      </c>
      <c r="AF2448" t="s">
        <v>52</v>
      </c>
      <c r="AH2448">
        <v>0</v>
      </c>
      <c r="AI2448">
        <v>0</v>
      </c>
      <c r="AJ2448" t="s">
        <v>52</v>
      </c>
      <c r="AK2448">
        <v>0</v>
      </c>
      <c r="AL2448" t="s">
        <v>52</v>
      </c>
      <c r="AM2448" t="s">
        <v>52</v>
      </c>
      <c r="AN2448">
        <v>0</v>
      </c>
      <c r="AO2448">
        <v>0</v>
      </c>
      <c r="AP2448" t="s">
        <v>52</v>
      </c>
      <c r="AQ2448" t="s">
        <v>52</v>
      </c>
      <c r="AR2448" t="s">
        <v>62</v>
      </c>
      <c r="AS2448" t="s">
        <v>52</v>
      </c>
      <c r="AT2448" t="s">
        <v>52</v>
      </c>
      <c r="AU2448" t="s">
        <v>64</v>
      </c>
      <c r="AV2448" t="s">
        <v>62</v>
      </c>
      <c r="AW2448" t="s">
        <v>65</v>
      </c>
      <c r="AX2448" t="s">
        <v>66</v>
      </c>
      <c r="AY2448" t="s">
        <v>67</v>
      </c>
    </row>
    <row r="2449" spans="1:51" hidden="1" x14ac:dyDescent="0.25">
      <c r="A2449">
        <v>317174</v>
      </c>
      <c r="B2449" t="s">
        <v>8980</v>
      </c>
      <c r="C2449" t="e">
        <f>VLOOKUP(A2449,[1]Customer_payment_journal_line!$AL:$BO,30,0)</f>
        <v>#N/A</v>
      </c>
      <c r="D2449" t="s">
        <v>53</v>
      </c>
      <c r="E2449" t="s">
        <v>8976</v>
      </c>
      <c r="F2449" t="s">
        <v>8977</v>
      </c>
      <c r="G2449" t="s">
        <v>8297</v>
      </c>
      <c r="H2449" t="s">
        <v>69</v>
      </c>
      <c r="I2449" t="s">
        <v>8981</v>
      </c>
      <c r="J2449" t="s">
        <v>8982</v>
      </c>
      <c r="K2449" t="s">
        <v>8978</v>
      </c>
      <c r="L2449" t="s">
        <v>52</v>
      </c>
      <c r="M2449">
        <v>0</v>
      </c>
      <c r="N2449">
        <v>65</v>
      </c>
      <c r="O2449" t="s">
        <v>126</v>
      </c>
      <c r="P2449">
        <v>5285</v>
      </c>
      <c r="Q2449" t="s">
        <v>52</v>
      </c>
      <c r="R2449" t="s">
        <v>52</v>
      </c>
      <c r="S2449" t="s">
        <v>52</v>
      </c>
      <c r="T2449" t="s">
        <v>52</v>
      </c>
      <c r="U2449" t="s">
        <v>52</v>
      </c>
      <c r="V2449" t="s">
        <v>62</v>
      </c>
      <c r="W2449" t="s">
        <v>52</v>
      </c>
      <c r="Y2449" t="s">
        <v>8983</v>
      </c>
      <c r="Z2449" t="s">
        <v>62</v>
      </c>
      <c r="AB2449" t="s">
        <v>8979</v>
      </c>
      <c r="AE2449" t="s">
        <v>8979</v>
      </c>
      <c r="AF2449" t="s">
        <v>52</v>
      </c>
      <c r="AH2449">
        <v>0</v>
      </c>
      <c r="AI2449">
        <v>0</v>
      </c>
      <c r="AJ2449" t="s">
        <v>52</v>
      </c>
      <c r="AK2449">
        <v>0</v>
      </c>
      <c r="AL2449" t="s">
        <v>52</v>
      </c>
      <c r="AM2449" t="s">
        <v>52</v>
      </c>
      <c r="AN2449">
        <v>0</v>
      </c>
      <c r="AO2449">
        <v>0</v>
      </c>
      <c r="AP2449" t="s">
        <v>52</v>
      </c>
      <c r="AQ2449" t="s">
        <v>52</v>
      </c>
      <c r="AR2449" t="s">
        <v>62</v>
      </c>
      <c r="AS2449" t="s">
        <v>52</v>
      </c>
      <c r="AT2449" t="s">
        <v>74</v>
      </c>
      <c r="AU2449" t="s">
        <v>64</v>
      </c>
      <c r="AV2449" t="s">
        <v>62</v>
      </c>
      <c r="AW2449" t="s">
        <v>65</v>
      </c>
      <c r="AX2449" t="s">
        <v>66</v>
      </c>
      <c r="AY2449" t="s">
        <v>67</v>
      </c>
    </row>
    <row r="2450" spans="1:51" hidden="1" x14ac:dyDescent="0.25">
      <c r="A2450">
        <v>317174</v>
      </c>
      <c r="B2450" t="s">
        <v>8984</v>
      </c>
      <c r="C2450" t="e">
        <f>VLOOKUP(A2450,[1]Customer_payment_journal_line!$AL:$BO,30,0)</f>
        <v>#N/A</v>
      </c>
      <c r="D2450" t="s">
        <v>53</v>
      </c>
      <c r="E2450" t="s">
        <v>8976</v>
      </c>
      <c r="F2450" t="s">
        <v>8977</v>
      </c>
      <c r="G2450" t="s">
        <v>8297</v>
      </c>
      <c r="H2450" t="s">
        <v>210</v>
      </c>
      <c r="I2450" t="s">
        <v>8985</v>
      </c>
      <c r="J2450" t="s">
        <v>52</v>
      </c>
      <c r="K2450" t="s">
        <v>8978</v>
      </c>
      <c r="L2450" t="s">
        <v>52</v>
      </c>
      <c r="M2450">
        <v>0</v>
      </c>
      <c r="N2450">
        <v>269.75</v>
      </c>
      <c r="O2450" t="s">
        <v>61</v>
      </c>
      <c r="P2450">
        <v>100</v>
      </c>
      <c r="Q2450" t="s">
        <v>52</v>
      </c>
      <c r="R2450" t="s">
        <v>52</v>
      </c>
      <c r="S2450" t="s">
        <v>52</v>
      </c>
      <c r="T2450" t="s">
        <v>52</v>
      </c>
      <c r="U2450" t="s">
        <v>52</v>
      </c>
      <c r="V2450" t="s">
        <v>62</v>
      </c>
      <c r="W2450" t="s">
        <v>63</v>
      </c>
      <c r="Y2450" t="s">
        <v>8983</v>
      </c>
      <c r="AB2450" t="s">
        <v>8979</v>
      </c>
      <c r="AE2450" t="s">
        <v>8979</v>
      </c>
      <c r="AF2450" t="s">
        <v>52</v>
      </c>
      <c r="AH2450">
        <v>0</v>
      </c>
      <c r="AI2450">
        <v>0</v>
      </c>
      <c r="AJ2450" t="s">
        <v>52</v>
      </c>
      <c r="AK2450">
        <v>0</v>
      </c>
      <c r="AL2450" t="s">
        <v>52</v>
      </c>
      <c r="AM2450" t="s">
        <v>52</v>
      </c>
      <c r="AN2450">
        <v>0</v>
      </c>
      <c r="AO2450">
        <v>0</v>
      </c>
      <c r="AP2450" t="s">
        <v>52</v>
      </c>
      <c r="AQ2450" t="s">
        <v>52</v>
      </c>
      <c r="AR2450" t="s">
        <v>62</v>
      </c>
      <c r="AS2450" t="s">
        <v>52</v>
      </c>
      <c r="AT2450" t="s">
        <v>52</v>
      </c>
      <c r="AU2450" t="s">
        <v>64</v>
      </c>
      <c r="AV2450" t="s">
        <v>62</v>
      </c>
      <c r="AW2450" t="s">
        <v>65</v>
      </c>
      <c r="AX2450" t="s">
        <v>66</v>
      </c>
      <c r="AY2450" t="s">
        <v>67</v>
      </c>
    </row>
    <row r="2451" spans="1:51" hidden="1" x14ac:dyDescent="0.25">
      <c r="A2451">
        <v>404555</v>
      </c>
      <c r="B2451" t="s">
        <v>8986</v>
      </c>
      <c r="C2451" t="e">
        <f>VLOOKUP(A2451,[1]Customer_payment_journal_line!$AL:$BO,30,0)</f>
        <v>#N/A</v>
      </c>
      <c r="D2451" t="s">
        <v>53</v>
      </c>
      <c r="E2451" t="s">
        <v>8987</v>
      </c>
      <c r="F2451" t="s">
        <v>8988</v>
      </c>
      <c r="G2451" t="s">
        <v>8297</v>
      </c>
      <c r="H2451" t="s">
        <v>57</v>
      </c>
      <c r="I2451" t="s">
        <v>58</v>
      </c>
      <c r="J2451" t="s">
        <v>8989</v>
      </c>
      <c r="K2451" t="s">
        <v>8978</v>
      </c>
      <c r="L2451" t="s">
        <v>52</v>
      </c>
      <c r="M2451">
        <v>855</v>
      </c>
      <c r="N2451">
        <v>0</v>
      </c>
      <c r="O2451" t="s">
        <v>61</v>
      </c>
      <c r="P2451">
        <v>100</v>
      </c>
      <c r="Q2451" t="s">
        <v>52</v>
      </c>
      <c r="R2451" t="s">
        <v>52</v>
      </c>
      <c r="S2451" t="s">
        <v>52</v>
      </c>
      <c r="T2451" t="s">
        <v>52</v>
      </c>
      <c r="U2451" t="s">
        <v>52</v>
      </c>
      <c r="V2451" t="s">
        <v>62</v>
      </c>
      <c r="W2451" t="s">
        <v>63</v>
      </c>
      <c r="Y2451" t="s">
        <v>52</v>
      </c>
      <c r="AB2451" t="s">
        <v>52</v>
      </c>
      <c r="AE2451" t="s">
        <v>52</v>
      </c>
      <c r="AF2451" t="s">
        <v>52</v>
      </c>
      <c r="AH2451">
        <v>0</v>
      </c>
      <c r="AI2451">
        <v>0</v>
      </c>
      <c r="AJ2451" t="s">
        <v>52</v>
      </c>
      <c r="AK2451">
        <v>0</v>
      </c>
      <c r="AL2451" t="s">
        <v>52</v>
      </c>
      <c r="AM2451" t="s">
        <v>52</v>
      </c>
      <c r="AN2451">
        <v>0</v>
      </c>
      <c r="AO2451">
        <v>0</v>
      </c>
      <c r="AP2451" t="s">
        <v>52</v>
      </c>
      <c r="AQ2451" t="s">
        <v>52</v>
      </c>
      <c r="AR2451" t="s">
        <v>62</v>
      </c>
      <c r="AS2451" t="s">
        <v>52</v>
      </c>
      <c r="AT2451" t="s">
        <v>52</v>
      </c>
      <c r="AU2451" t="s">
        <v>64</v>
      </c>
      <c r="AV2451" t="s">
        <v>62</v>
      </c>
      <c r="AW2451" t="s">
        <v>65</v>
      </c>
      <c r="AX2451" t="s">
        <v>66</v>
      </c>
      <c r="AY2451" t="s">
        <v>67</v>
      </c>
    </row>
    <row r="2452" spans="1:51" hidden="1" x14ac:dyDescent="0.25">
      <c r="A2452">
        <v>404555</v>
      </c>
      <c r="B2452" t="s">
        <v>8990</v>
      </c>
      <c r="C2452" t="e">
        <f>VLOOKUP(A2452,[1]Customer_payment_journal_line!$AL:$BO,30,0)</f>
        <v>#N/A</v>
      </c>
      <c r="D2452" t="s">
        <v>53</v>
      </c>
      <c r="E2452" t="s">
        <v>8987</v>
      </c>
      <c r="F2452" t="s">
        <v>8988</v>
      </c>
      <c r="G2452" t="s">
        <v>8297</v>
      </c>
      <c r="H2452" t="s">
        <v>69</v>
      </c>
      <c r="I2452" t="s">
        <v>8981</v>
      </c>
      <c r="J2452" t="s">
        <v>8989</v>
      </c>
      <c r="K2452" t="s">
        <v>8978</v>
      </c>
      <c r="L2452" t="s">
        <v>52</v>
      </c>
      <c r="M2452">
        <v>0</v>
      </c>
      <c r="N2452">
        <v>855</v>
      </c>
      <c r="O2452" t="s">
        <v>61</v>
      </c>
      <c r="P2452">
        <v>100</v>
      </c>
      <c r="Q2452" t="s">
        <v>52</v>
      </c>
      <c r="R2452" t="s">
        <v>52</v>
      </c>
      <c r="S2452" t="s">
        <v>52</v>
      </c>
      <c r="T2452" t="s">
        <v>52</v>
      </c>
      <c r="U2452" t="s">
        <v>52</v>
      </c>
      <c r="V2452" t="s">
        <v>62</v>
      </c>
      <c r="W2452" t="s">
        <v>52</v>
      </c>
      <c r="Y2452" t="s">
        <v>8983</v>
      </c>
      <c r="Z2452" t="s">
        <v>62</v>
      </c>
      <c r="AB2452" t="s">
        <v>8991</v>
      </c>
      <c r="AE2452" t="s">
        <v>8992</v>
      </c>
      <c r="AF2452" t="s">
        <v>52</v>
      </c>
      <c r="AH2452">
        <v>0</v>
      </c>
      <c r="AI2452">
        <v>0</v>
      </c>
      <c r="AJ2452" t="s">
        <v>52</v>
      </c>
      <c r="AK2452">
        <v>0</v>
      </c>
      <c r="AL2452" t="s">
        <v>52</v>
      </c>
      <c r="AM2452" t="s">
        <v>52</v>
      </c>
      <c r="AN2452">
        <v>0</v>
      </c>
      <c r="AO2452">
        <v>0</v>
      </c>
      <c r="AP2452" t="s">
        <v>52</v>
      </c>
      <c r="AQ2452" t="s">
        <v>52</v>
      </c>
      <c r="AR2452" t="s">
        <v>62</v>
      </c>
      <c r="AS2452" t="s">
        <v>52</v>
      </c>
      <c r="AT2452" t="s">
        <v>74</v>
      </c>
      <c r="AU2452" t="s">
        <v>64</v>
      </c>
      <c r="AV2452" t="s">
        <v>62</v>
      </c>
      <c r="AW2452" t="s">
        <v>65</v>
      </c>
      <c r="AX2452" t="s">
        <v>66</v>
      </c>
      <c r="AY2452" t="s">
        <v>67</v>
      </c>
    </row>
    <row r="2453" spans="1:51" hidden="1" x14ac:dyDescent="0.25">
      <c r="A2453">
        <v>402547</v>
      </c>
      <c r="B2453" t="s">
        <v>8993</v>
      </c>
      <c r="C2453" t="e">
        <f>VLOOKUP(A2453,[1]Customer_payment_journal_line!$AL:$BO,30,0)</f>
        <v>#N/A</v>
      </c>
      <c r="D2453" t="s">
        <v>53</v>
      </c>
      <c r="E2453" t="s">
        <v>8994</v>
      </c>
      <c r="F2453" t="s">
        <v>8995</v>
      </c>
      <c r="G2453" t="s">
        <v>8297</v>
      </c>
      <c r="H2453" t="s">
        <v>57</v>
      </c>
      <c r="I2453" t="s">
        <v>58</v>
      </c>
      <c r="J2453" t="s">
        <v>8989</v>
      </c>
      <c r="K2453" t="s">
        <v>8978</v>
      </c>
      <c r="L2453" t="s">
        <v>52</v>
      </c>
      <c r="M2453">
        <v>1368</v>
      </c>
      <c r="N2453">
        <v>0</v>
      </c>
      <c r="O2453" t="s">
        <v>61</v>
      </c>
      <c r="P2453">
        <v>100</v>
      </c>
      <c r="Q2453" t="s">
        <v>52</v>
      </c>
      <c r="R2453" t="s">
        <v>52</v>
      </c>
      <c r="S2453" t="s">
        <v>52</v>
      </c>
      <c r="T2453" t="s">
        <v>52</v>
      </c>
      <c r="U2453" t="s">
        <v>52</v>
      </c>
      <c r="V2453" t="s">
        <v>62</v>
      </c>
      <c r="W2453" t="s">
        <v>63</v>
      </c>
      <c r="Y2453" t="s">
        <v>52</v>
      </c>
      <c r="AB2453" t="s">
        <v>52</v>
      </c>
      <c r="AE2453" t="s">
        <v>52</v>
      </c>
      <c r="AF2453" t="s">
        <v>52</v>
      </c>
      <c r="AH2453">
        <v>0</v>
      </c>
      <c r="AI2453">
        <v>0</v>
      </c>
      <c r="AJ2453" t="s">
        <v>52</v>
      </c>
      <c r="AK2453">
        <v>0</v>
      </c>
      <c r="AL2453" t="s">
        <v>52</v>
      </c>
      <c r="AM2453" t="s">
        <v>52</v>
      </c>
      <c r="AN2453">
        <v>0</v>
      </c>
      <c r="AO2453">
        <v>0</v>
      </c>
      <c r="AP2453" t="s">
        <v>52</v>
      </c>
      <c r="AQ2453" t="s">
        <v>52</v>
      </c>
      <c r="AR2453" t="s">
        <v>62</v>
      </c>
      <c r="AS2453" t="s">
        <v>52</v>
      </c>
      <c r="AT2453" t="s">
        <v>52</v>
      </c>
      <c r="AU2453" t="s">
        <v>64</v>
      </c>
      <c r="AV2453" t="s">
        <v>62</v>
      </c>
      <c r="AW2453" t="s">
        <v>65</v>
      </c>
      <c r="AX2453" t="s">
        <v>66</v>
      </c>
      <c r="AY2453" t="s">
        <v>67</v>
      </c>
    </row>
    <row r="2454" spans="1:51" hidden="1" x14ac:dyDescent="0.25">
      <c r="A2454">
        <v>402547</v>
      </c>
      <c r="B2454" t="s">
        <v>8996</v>
      </c>
      <c r="C2454" t="e">
        <f>VLOOKUP(A2454,[1]Customer_payment_journal_line!$AL:$BO,30,0)</f>
        <v>#N/A</v>
      </c>
      <c r="D2454" t="s">
        <v>53</v>
      </c>
      <c r="E2454" t="s">
        <v>8994</v>
      </c>
      <c r="F2454" t="s">
        <v>8995</v>
      </c>
      <c r="G2454" t="s">
        <v>8297</v>
      </c>
      <c r="H2454" t="s">
        <v>69</v>
      </c>
      <c r="I2454" t="s">
        <v>8981</v>
      </c>
      <c r="J2454" t="s">
        <v>8989</v>
      </c>
      <c r="K2454" t="s">
        <v>8978</v>
      </c>
      <c r="L2454" t="s">
        <v>52</v>
      </c>
      <c r="M2454">
        <v>0</v>
      </c>
      <c r="N2454">
        <v>1368</v>
      </c>
      <c r="O2454" t="s">
        <v>61</v>
      </c>
      <c r="P2454">
        <v>100</v>
      </c>
      <c r="Q2454" t="s">
        <v>52</v>
      </c>
      <c r="R2454" t="s">
        <v>52</v>
      </c>
      <c r="S2454" t="s">
        <v>52</v>
      </c>
      <c r="T2454" t="s">
        <v>52</v>
      </c>
      <c r="U2454" t="s">
        <v>52</v>
      </c>
      <c r="V2454" t="s">
        <v>62</v>
      </c>
      <c r="W2454" t="s">
        <v>52</v>
      </c>
      <c r="Y2454" t="s">
        <v>8983</v>
      </c>
      <c r="Z2454" t="s">
        <v>62</v>
      </c>
      <c r="AB2454" t="s">
        <v>8997</v>
      </c>
      <c r="AE2454" t="s">
        <v>8998</v>
      </c>
      <c r="AF2454" t="s">
        <v>52</v>
      </c>
      <c r="AH2454">
        <v>0</v>
      </c>
      <c r="AI2454">
        <v>0</v>
      </c>
      <c r="AJ2454" t="s">
        <v>52</v>
      </c>
      <c r="AK2454">
        <v>0</v>
      </c>
      <c r="AL2454" t="s">
        <v>52</v>
      </c>
      <c r="AM2454" t="s">
        <v>52</v>
      </c>
      <c r="AN2454">
        <v>0</v>
      </c>
      <c r="AO2454">
        <v>0</v>
      </c>
      <c r="AP2454" t="s">
        <v>52</v>
      </c>
      <c r="AQ2454" t="s">
        <v>52</v>
      </c>
      <c r="AR2454" t="s">
        <v>62</v>
      </c>
      <c r="AS2454" t="s">
        <v>52</v>
      </c>
      <c r="AT2454" t="s">
        <v>74</v>
      </c>
      <c r="AU2454" t="s">
        <v>64</v>
      </c>
      <c r="AV2454" t="s">
        <v>62</v>
      </c>
      <c r="AW2454" t="s">
        <v>65</v>
      </c>
      <c r="AX2454" t="s">
        <v>66</v>
      </c>
      <c r="AY2454" t="s">
        <v>67</v>
      </c>
    </row>
    <row r="2455" spans="1:51" hidden="1" x14ac:dyDescent="0.25">
      <c r="A2455">
        <v>204165</v>
      </c>
      <c r="B2455" t="s">
        <v>8999</v>
      </c>
      <c r="C2455" t="e">
        <f>VLOOKUP(A2455,[1]Customer_payment_journal_line!$AL:$BO,30,0)</f>
        <v>#N/A</v>
      </c>
      <c r="D2455" t="s">
        <v>53</v>
      </c>
      <c r="E2455" t="s">
        <v>9000</v>
      </c>
      <c r="F2455" t="s">
        <v>9001</v>
      </c>
      <c r="G2455" t="s">
        <v>8297</v>
      </c>
      <c r="H2455" t="s">
        <v>57</v>
      </c>
      <c r="I2455" t="s">
        <v>58</v>
      </c>
      <c r="J2455" t="s">
        <v>9002</v>
      </c>
      <c r="K2455" t="s">
        <v>9003</v>
      </c>
      <c r="L2455" t="s">
        <v>52</v>
      </c>
      <c r="M2455">
        <v>1140</v>
      </c>
      <c r="N2455">
        <v>0</v>
      </c>
      <c r="O2455" t="s">
        <v>61</v>
      </c>
      <c r="P2455">
        <v>100</v>
      </c>
      <c r="Q2455" t="s">
        <v>52</v>
      </c>
      <c r="R2455" t="s">
        <v>52</v>
      </c>
      <c r="S2455" t="s">
        <v>52</v>
      </c>
      <c r="T2455" t="s">
        <v>52</v>
      </c>
      <c r="U2455" t="s">
        <v>52</v>
      </c>
      <c r="V2455" t="s">
        <v>62</v>
      </c>
      <c r="W2455" t="s">
        <v>63</v>
      </c>
      <c r="Y2455" t="s">
        <v>52</v>
      </c>
      <c r="AB2455" t="s">
        <v>52</v>
      </c>
      <c r="AE2455" t="s">
        <v>52</v>
      </c>
      <c r="AF2455" t="s">
        <v>52</v>
      </c>
      <c r="AH2455">
        <v>0</v>
      </c>
      <c r="AI2455">
        <v>0</v>
      </c>
      <c r="AJ2455" t="s">
        <v>52</v>
      </c>
      <c r="AK2455">
        <v>0</v>
      </c>
      <c r="AL2455" t="s">
        <v>52</v>
      </c>
      <c r="AM2455" t="s">
        <v>52</v>
      </c>
      <c r="AN2455">
        <v>0</v>
      </c>
      <c r="AO2455">
        <v>0</v>
      </c>
      <c r="AP2455" t="s">
        <v>52</v>
      </c>
      <c r="AQ2455" t="s">
        <v>52</v>
      </c>
      <c r="AR2455" t="s">
        <v>62</v>
      </c>
      <c r="AS2455" t="s">
        <v>52</v>
      </c>
      <c r="AT2455" t="s">
        <v>52</v>
      </c>
      <c r="AU2455" t="s">
        <v>64</v>
      </c>
      <c r="AV2455" t="s">
        <v>62</v>
      </c>
      <c r="AW2455" t="s">
        <v>65</v>
      </c>
      <c r="AX2455" t="s">
        <v>66</v>
      </c>
      <c r="AY2455" t="s">
        <v>67</v>
      </c>
    </row>
    <row r="2456" spans="1:51" hidden="1" x14ac:dyDescent="0.25">
      <c r="A2456">
        <v>204165</v>
      </c>
      <c r="B2456" t="s">
        <v>9004</v>
      </c>
      <c r="C2456" t="e">
        <f>VLOOKUP(A2456,[1]Customer_payment_journal_line!$AL:$BO,30,0)</f>
        <v>#N/A</v>
      </c>
      <c r="D2456" t="s">
        <v>53</v>
      </c>
      <c r="E2456" t="s">
        <v>9000</v>
      </c>
      <c r="F2456" t="s">
        <v>9001</v>
      </c>
      <c r="G2456" t="s">
        <v>8297</v>
      </c>
      <c r="H2456" t="s">
        <v>69</v>
      </c>
      <c r="I2456" t="s">
        <v>188</v>
      </c>
      <c r="J2456" t="s">
        <v>9002</v>
      </c>
      <c r="K2456" t="s">
        <v>9003</v>
      </c>
      <c r="L2456" t="s">
        <v>52</v>
      </c>
      <c r="M2456">
        <v>0</v>
      </c>
      <c r="N2456">
        <v>1140</v>
      </c>
      <c r="O2456" t="s">
        <v>61</v>
      </c>
      <c r="P2456">
        <v>100</v>
      </c>
      <c r="Q2456" t="s">
        <v>52</v>
      </c>
      <c r="R2456" t="s">
        <v>52</v>
      </c>
      <c r="S2456" t="s">
        <v>52</v>
      </c>
      <c r="T2456" t="s">
        <v>52</v>
      </c>
      <c r="U2456" t="s">
        <v>52</v>
      </c>
      <c r="V2456" t="s">
        <v>62</v>
      </c>
      <c r="W2456" t="s">
        <v>52</v>
      </c>
      <c r="Y2456" t="s">
        <v>189</v>
      </c>
      <c r="Z2456" t="s">
        <v>62</v>
      </c>
      <c r="AB2456" t="s">
        <v>9005</v>
      </c>
      <c r="AE2456" t="s">
        <v>9006</v>
      </c>
      <c r="AF2456" t="s">
        <v>52</v>
      </c>
      <c r="AH2456">
        <v>0</v>
      </c>
      <c r="AI2456">
        <v>0</v>
      </c>
      <c r="AJ2456" t="s">
        <v>52</v>
      </c>
      <c r="AK2456">
        <v>0</v>
      </c>
      <c r="AL2456" t="s">
        <v>52</v>
      </c>
      <c r="AM2456" t="s">
        <v>52</v>
      </c>
      <c r="AN2456">
        <v>0</v>
      </c>
      <c r="AO2456">
        <v>0</v>
      </c>
      <c r="AP2456" t="s">
        <v>52</v>
      </c>
      <c r="AQ2456" t="s">
        <v>52</v>
      </c>
      <c r="AR2456" t="s">
        <v>62</v>
      </c>
      <c r="AS2456" t="s">
        <v>52</v>
      </c>
      <c r="AT2456" t="s">
        <v>74</v>
      </c>
      <c r="AU2456" t="s">
        <v>64</v>
      </c>
      <c r="AV2456" t="s">
        <v>62</v>
      </c>
      <c r="AW2456" t="s">
        <v>65</v>
      </c>
      <c r="AX2456" t="s">
        <v>66</v>
      </c>
      <c r="AY2456" t="s">
        <v>67</v>
      </c>
    </row>
    <row r="2457" spans="1:51" hidden="1" x14ac:dyDescent="0.25">
      <c r="A2457">
        <v>204166</v>
      </c>
      <c r="B2457" t="s">
        <v>9007</v>
      </c>
      <c r="C2457" t="e">
        <f>VLOOKUP(A2457,[1]Customer_payment_journal_line!$AL:$BO,30,0)</f>
        <v>#N/A</v>
      </c>
      <c r="D2457" t="s">
        <v>53</v>
      </c>
      <c r="E2457" t="s">
        <v>9008</v>
      </c>
      <c r="F2457" t="s">
        <v>9009</v>
      </c>
      <c r="G2457" t="s">
        <v>8297</v>
      </c>
      <c r="H2457" t="s">
        <v>57</v>
      </c>
      <c r="I2457" t="s">
        <v>58</v>
      </c>
      <c r="J2457" t="s">
        <v>9002</v>
      </c>
      <c r="K2457" t="s">
        <v>9003</v>
      </c>
      <c r="L2457" t="s">
        <v>52</v>
      </c>
      <c r="M2457">
        <v>855</v>
      </c>
      <c r="N2457">
        <v>0</v>
      </c>
      <c r="O2457" t="s">
        <v>61</v>
      </c>
      <c r="P2457">
        <v>100</v>
      </c>
      <c r="Q2457" t="s">
        <v>52</v>
      </c>
      <c r="R2457" t="s">
        <v>52</v>
      </c>
      <c r="S2457" t="s">
        <v>52</v>
      </c>
      <c r="T2457" t="s">
        <v>52</v>
      </c>
      <c r="U2457" t="s">
        <v>52</v>
      </c>
      <c r="V2457" t="s">
        <v>62</v>
      </c>
      <c r="W2457" t="s">
        <v>63</v>
      </c>
      <c r="Y2457" t="s">
        <v>52</v>
      </c>
      <c r="AB2457" t="s">
        <v>52</v>
      </c>
      <c r="AE2457" t="s">
        <v>52</v>
      </c>
      <c r="AF2457" t="s">
        <v>52</v>
      </c>
      <c r="AH2457">
        <v>0</v>
      </c>
      <c r="AI2457">
        <v>0</v>
      </c>
      <c r="AJ2457" t="s">
        <v>52</v>
      </c>
      <c r="AK2457">
        <v>0</v>
      </c>
      <c r="AL2457" t="s">
        <v>52</v>
      </c>
      <c r="AM2457" t="s">
        <v>52</v>
      </c>
      <c r="AN2457">
        <v>0</v>
      </c>
      <c r="AO2457">
        <v>0</v>
      </c>
      <c r="AP2457" t="s">
        <v>52</v>
      </c>
      <c r="AQ2457" t="s">
        <v>52</v>
      </c>
      <c r="AR2457" t="s">
        <v>62</v>
      </c>
      <c r="AS2457" t="s">
        <v>52</v>
      </c>
      <c r="AT2457" t="s">
        <v>52</v>
      </c>
      <c r="AU2457" t="s">
        <v>64</v>
      </c>
      <c r="AV2457" t="s">
        <v>62</v>
      </c>
      <c r="AW2457" t="s">
        <v>65</v>
      </c>
      <c r="AX2457" t="s">
        <v>66</v>
      </c>
      <c r="AY2457" t="s">
        <v>67</v>
      </c>
    </row>
    <row r="2458" spans="1:51" hidden="1" x14ac:dyDescent="0.25">
      <c r="A2458">
        <v>204166</v>
      </c>
      <c r="B2458" t="s">
        <v>9010</v>
      </c>
      <c r="C2458" t="e">
        <f>VLOOKUP(A2458,[1]Customer_payment_journal_line!$AL:$BO,30,0)</f>
        <v>#N/A</v>
      </c>
      <c r="D2458" t="s">
        <v>53</v>
      </c>
      <c r="E2458" t="s">
        <v>9008</v>
      </c>
      <c r="F2458" t="s">
        <v>9009</v>
      </c>
      <c r="G2458" t="s">
        <v>8297</v>
      </c>
      <c r="H2458" t="s">
        <v>69</v>
      </c>
      <c r="I2458" t="s">
        <v>188</v>
      </c>
      <c r="J2458" t="s">
        <v>9002</v>
      </c>
      <c r="K2458" t="s">
        <v>9003</v>
      </c>
      <c r="L2458" t="s">
        <v>52</v>
      </c>
      <c r="M2458">
        <v>0</v>
      </c>
      <c r="N2458">
        <v>855</v>
      </c>
      <c r="O2458" t="s">
        <v>61</v>
      </c>
      <c r="P2458">
        <v>100</v>
      </c>
      <c r="Q2458" t="s">
        <v>52</v>
      </c>
      <c r="R2458" t="s">
        <v>52</v>
      </c>
      <c r="S2458" t="s">
        <v>52</v>
      </c>
      <c r="T2458" t="s">
        <v>52</v>
      </c>
      <c r="U2458" t="s">
        <v>52</v>
      </c>
      <c r="V2458" t="s">
        <v>62</v>
      </c>
      <c r="W2458" t="s">
        <v>52</v>
      </c>
      <c r="Y2458" t="s">
        <v>189</v>
      </c>
      <c r="Z2458" t="s">
        <v>62</v>
      </c>
      <c r="AB2458" t="s">
        <v>9011</v>
      </c>
      <c r="AE2458" t="s">
        <v>9012</v>
      </c>
      <c r="AF2458" t="s">
        <v>52</v>
      </c>
      <c r="AH2458">
        <v>0</v>
      </c>
      <c r="AI2458">
        <v>0</v>
      </c>
      <c r="AJ2458" t="s">
        <v>52</v>
      </c>
      <c r="AK2458">
        <v>0</v>
      </c>
      <c r="AL2458" t="s">
        <v>52</v>
      </c>
      <c r="AM2458" t="s">
        <v>52</v>
      </c>
      <c r="AN2458">
        <v>0</v>
      </c>
      <c r="AO2458">
        <v>0</v>
      </c>
      <c r="AP2458" t="s">
        <v>52</v>
      </c>
      <c r="AQ2458" t="s">
        <v>52</v>
      </c>
      <c r="AR2458" t="s">
        <v>62</v>
      </c>
      <c r="AS2458" t="s">
        <v>52</v>
      </c>
      <c r="AT2458" t="s">
        <v>74</v>
      </c>
      <c r="AU2458" t="s">
        <v>64</v>
      </c>
      <c r="AV2458" t="s">
        <v>62</v>
      </c>
      <c r="AW2458" t="s">
        <v>65</v>
      </c>
      <c r="AX2458" t="s">
        <v>66</v>
      </c>
      <c r="AY2458" t="s">
        <v>67</v>
      </c>
    </row>
    <row r="2459" spans="1:51" hidden="1" x14ac:dyDescent="0.25">
      <c r="A2459">
        <v>406280</v>
      </c>
      <c r="B2459" t="s">
        <v>9013</v>
      </c>
      <c r="C2459" t="e">
        <f>VLOOKUP(A2459,[1]Customer_payment_journal_line!$AL:$BO,30,0)</f>
        <v>#N/A</v>
      </c>
      <c r="D2459" t="s">
        <v>53</v>
      </c>
      <c r="E2459" t="s">
        <v>9014</v>
      </c>
      <c r="F2459" t="s">
        <v>9015</v>
      </c>
      <c r="G2459" t="s">
        <v>8297</v>
      </c>
      <c r="H2459" t="s">
        <v>57</v>
      </c>
      <c r="I2459" t="s">
        <v>1349</v>
      </c>
      <c r="J2459" t="s">
        <v>9016</v>
      </c>
      <c r="K2459" t="s">
        <v>3381</v>
      </c>
      <c r="L2459" t="s">
        <v>52</v>
      </c>
      <c r="M2459">
        <v>6384</v>
      </c>
      <c r="N2459">
        <v>0</v>
      </c>
      <c r="O2459" t="s">
        <v>61</v>
      </c>
      <c r="P2459">
        <v>100</v>
      </c>
      <c r="Q2459" t="s">
        <v>52</v>
      </c>
      <c r="R2459" t="s">
        <v>52</v>
      </c>
      <c r="S2459" t="s">
        <v>52</v>
      </c>
      <c r="T2459" t="s">
        <v>52</v>
      </c>
      <c r="U2459" t="s">
        <v>52</v>
      </c>
      <c r="V2459" t="s">
        <v>62</v>
      </c>
      <c r="W2459" t="s">
        <v>63</v>
      </c>
      <c r="Y2459" t="s">
        <v>52</v>
      </c>
      <c r="AB2459" t="s">
        <v>52</v>
      </c>
      <c r="AE2459" t="s">
        <v>52</v>
      </c>
      <c r="AF2459" t="s">
        <v>52</v>
      </c>
      <c r="AH2459">
        <v>0</v>
      </c>
      <c r="AI2459">
        <v>0</v>
      </c>
      <c r="AJ2459" t="s">
        <v>52</v>
      </c>
      <c r="AK2459">
        <v>0</v>
      </c>
      <c r="AL2459" t="s">
        <v>52</v>
      </c>
      <c r="AM2459" t="s">
        <v>52</v>
      </c>
      <c r="AN2459">
        <v>0</v>
      </c>
      <c r="AO2459">
        <v>0</v>
      </c>
      <c r="AP2459" t="s">
        <v>52</v>
      </c>
      <c r="AQ2459" t="s">
        <v>52</v>
      </c>
      <c r="AR2459" t="s">
        <v>62</v>
      </c>
      <c r="AS2459" t="s">
        <v>52</v>
      </c>
      <c r="AT2459" t="s">
        <v>52</v>
      </c>
      <c r="AU2459" t="s">
        <v>64</v>
      </c>
      <c r="AV2459" t="s">
        <v>62</v>
      </c>
      <c r="AW2459" t="s">
        <v>65</v>
      </c>
      <c r="AX2459" t="s">
        <v>66</v>
      </c>
      <c r="AY2459" t="s">
        <v>67</v>
      </c>
    </row>
    <row r="2460" spans="1:51" hidden="1" x14ac:dyDescent="0.25">
      <c r="A2460">
        <v>406280</v>
      </c>
      <c r="B2460" t="s">
        <v>9017</v>
      </c>
      <c r="C2460" t="e">
        <f>VLOOKUP(A2460,[1]Customer_payment_journal_line!$AL:$BO,30,0)</f>
        <v>#N/A</v>
      </c>
      <c r="D2460" t="s">
        <v>53</v>
      </c>
      <c r="E2460" t="s">
        <v>9014</v>
      </c>
      <c r="F2460" t="s">
        <v>9015</v>
      </c>
      <c r="G2460" t="s">
        <v>8297</v>
      </c>
      <c r="H2460" t="s">
        <v>69</v>
      </c>
      <c r="I2460" t="s">
        <v>3383</v>
      </c>
      <c r="J2460" t="s">
        <v>9016</v>
      </c>
      <c r="K2460" t="s">
        <v>3381</v>
      </c>
      <c r="L2460" t="s">
        <v>52</v>
      </c>
      <c r="M2460">
        <v>0</v>
      </c>
      <c r="N2460">
        <v>6384</v>
      </c>
      <c r="O2460" t="s">
        <v>61</v>
      </c>
      <c r="P2460">
        <v>100</v>
      </c>
      <c r="Q2460" t="s">
        <v>52</v>
      </c>
      <c r="R2460" t="s">
        <v>52</v>
      </c>
      <c r="S2460" t="s">
        <v>52</v>
      </c>
      <c r="T2460" t="s">
        <v>52</v>
      </c>
      <c r="U2460" t="s">
        <v>52</v>
      </c>
      <c r="V2460" t="s">
        <v>62</v>
      </c>
      <c r="W2460" t="s">
        <v>52</v>
      </c>
      <c r="Y2460" t="s">
        <v>3384</v>
      </c>
      <c r="Z2460" t="s">
        <v>62</v>
      </c>
      <c r="AB2460" t="s">
        <v>9018</v>
      </c>
      <c r="AE2460" t="s">
        <v>9019</v>
      </c>
      <c r="AF2460" t="s">
        <v>52</v>
      </c>
      <c r="AH2460">
        <v>0</v>
      </c>
      <c r="AI2460">
        <v>0</v>
      </c>
      <c r="AJ2460" t="s">
        <v>52</v>
      </c>
      <c r="AK2460">
        <v>0</v>
      </c>
      <c r="AL2460" t="s">
        <v>52</v>
      </c>
      <c r="AM2460" t="s">
        <v>52</v>
      </c>
      <c r="AN2460">
        <v>0</v>
      </c>
      <c r="AO2460">
        <v>0</v>
      </c>
      <c r="AP2460" t="s">
        <v>52</v>
      </c>
      <c r="AQ2460" t="s">
        <v>52</v>
      </c>
      <c r="AR2460" t="s">
        <v>62</v>
      </c>
      <c r="AS2460" t="s">
        <v>52</v>
      </c>
      <c r="AT2460" t="s">
        <v>74</v>
      </c>
      <c r="AU2460" t="s">
        <v>64</v>
      </c>
      <c r="AV2460" t="s">
        <v>62</v>
      </c>
      <c r="AW2460" t="s">
        <v>65</v>
      </c>
      <c r="AX2460" t="s">
        <v>66</v>
      </c>
      <c r="AY2460" t="s">
        <v>67</v>
      </c>
    </row>
    <row r="2461" spans="1:51" hidden="1" x14ac:dyDescent="0.25">
      <c r="A2461">
        <v>406281</v>
      </c>
      <c r="B2461" t="s">
        <v>9020</v>
      </c>
      <c r="C2461" t="e">
        <f>VLOOKUP(A2461,[1]Customer_payment_journal_line!$AL:$BO,30,0)</f>
        <v>#N/A</v>
      </c>
      <c r="D2461" t="s">
        <v>53</v>
      </c>
      <c r="E2461" t="s">
        <v>9021</v>
      </c>
      <c r="F2461" t="s">
        <v>9022</v>
      </c>
      <c r="G2461" t="s">
        <v>8297</v>
      </c>
      <c r="H2461" t="s">
        <v>57</v>
      </c>
      <c r="I2461" t="s">
        <v>1349</v>
      </c>
      <c r="J2461" t="s">
        <v>9016</v>
      </c>
      <c r="K2461" t="s">
        <v>3381</v>
      </c>
      <c r="L2461" t="s">
        <v>52</v>
      </c>
      <c r="M2461">
        <v>712.5</v>
      </c>
      <c r="N2461">
        <v>0</v>
      </c>
      <c r="O2461" t="s">
        <v>61</v>
      </c>
      <c r="P2461">
        <v>100</v>
      </c>
      <c r="Q2461" t="s">
        <v>52</v>
      </c>
      <c r="R2461" t="s">
        <v>52</v>
      </c>
      <c r="S2461" t="s">
        <v>52</v>
      </c>
      <c r="T2461" t="s">
        <v>52</v>
      </c>
      <c r="U2461" t="s">
        <v>52</v>
      </c>
      <c r="V2461" t="s">
        <v>62</v>
      </c>
      <c r="W2461" t="s">
        <v>63</v>
      </c>
      <c r="Y2461" t="s">
        <v>52</v>
      </c>
      <c r="AB2461" t="s">
        <v>52</v>
      </c>
      <c r="AE2461" t="s">
        <v>52</v>
      </c>
      <c r="AF2461" t="s">
        <v>52</v>
      </c>
      <c r="AH2461">
        <v>0</v>
      </c>
      <c r="AI2461">
        <v>0</v>
      </c>
      <c r="AJ2461" t="s">
        <v>52</v>
      </c>
      <c r="AK2461">
        <v>0</v>
      </c>
      <c r="AL2461" t="s">
        <v>52</v>
      </c>
      <c r="AM2461" t="s">
        <v>52</v>
      </c>
      <c r="AN2461">
        <v>0</v>
      </c>
      <c r="AO2461">
        <v>0</v>
      </c>
      <c r="AP2461" t="s">
        <v>52</v>
      </c>
      <c r="AQ2461" t="s">
        <v>52</v>
      </c>
      <c r="AR2461" t="s">
        <v>62</v>
      </c>
      <c r="AS2461" t="s">
        <v>52</v>
      </c>
      <c r="AT2461" t="s">
        <v>52</v>
      </c>
      <c r="AU2461" t="s">
        <v>64</v>
      </c>
      <c r="AV2461" t="s">
        <v>62</v>
      </c>
      <c r="AW2461" t="s">
        <v>65</v>
      </c>
      <c r="AX2461" t="s">
        <v>66</v>
      </c>
      <c r="AY2461" t="s">
        <v>67</v>
      </c>
    </row>
    <row r="2462" spans="1:51" hidden="1" x14ac:dyDescent="0.25">
      <c r="A2462">
        <v>406281</v>
      </c>
      <c r="B2462" t="s">
        <v>9023</v>
      </c>
      <c r="C2462" t="e">
        <f>VLOOKUP(A2462,[1]Customer_payment_journal_line!$AL:$BO,30,0)</f>
        <v>#N/A</v>
      </c>
      <c r="D2462" t="s">
        <v>53</v>
      </c>
      <c r="E2462" t="s">
        <v>9021</v>
      </c>
      <c r="F2462" t="s">
        <v>9022</v>
      </c>
      <c r="G2462" t="s">
        <v>8297</v>
      </c>
      <c r="H2462" t="s">
        <v>69</v>
      </c>
      <c r="I2462" t="s">
        <v>3383</v>
      </c>
      <c r="J2462" t="s">
        <v>9016</v>
      </c>
      <c r="K2462" t="s">
        <v>3381</v>
      </c>
      <c r="L2462" t="s">
        <v>52</v>
      </c>
      <c r="M2462">
        <v>0</v>
      </c>
      <c r="N2462">
        <v>712.5</v>
      </c>
      <c r="O2462" t="s">
        <v>61</v>
      </c>
      <c r="P2462">
        <v>100</v>
      </c>
      <c r="Q2462" t="s">
        <v>52</v>
      </c>
      <c r="R2462" t="s">
        <v>52</v>
      </c>
      <c r="S2462" t="s">
        <v>52</v>
      </c>
      <c r="T2462" t="s">
        <v>52</v>
      </c>
      <c r="U2462" t="s">
        <v>52</v>
      </c>
      <c r="V2462" t="s">
        <v>62</v>
      </c>
      <c r="W2462" t="s">
        <v>52</v>
      </c>
      <c r="Y2462" t="s">
        <v>3384</v>
      </c>
      <c r="Z2462" t="s">
        <v>62</v>
      </c>
      <c r="AB2462" t="s">
        <v>9024</v>
      </c>
      <c r="AE2462" t="s">
        <v>9025</v>
      </c>
      <c r="AF2462" t="s">
        <v>52</v>
      </c>
      <c r="AH2462">
        <v>0</v>
      </c>
      <c r="AI2462">
        <v>0</v>
      </c>
      <c r="AJ2462" t="s">
        <v>52</v>
      </c>
      <c r="AK2462">
        <v>0</v>
      </c>
      <c r="AL2462" t="s">
        <v>52</v>
      </c>
      <c r="AM2462" t="s">
        <v>52</v>
      </c>
      <c r="AN2462">
        <v>0</v>
      </c>
      <c r="AO2462">
        <v>0</v>
      </c>
      <c r="AP2462" t="s">
        <v>52</v>
      </c>
      <c r="AQ2462" t="s">
        <v>52</v>
      </c>
      <c r="AR2462" t="s">
        <v>62</v>
      </c>
      <c r="AS2462" t="s">
        <v>52</v>
      </c>
      <c r="AT2462" t="s">
        <v>74</v>
      </c>
      <c r="AU2462" t="s">
        <v>64</v>
      </c>
      <c r="AV2462" t="s">
        <v>62</v>
      </c>
      <c r="AW2462" t="s">
        <v>65</v>
      </c>
      <c r="AX2462" t="s">
        <v>66</v>
      </c>
      <c r="AY2462" t="s">
        <v>67</v>
      </c>
    </row>
    <row r="2463" spans="1:51" hidden="1" x14ac:dyDescent="0.25">
      <c r="A2463">
        <v>406282</v>
      </c>
      <c r="B2463" t="s">
        <v>9026</v>
      </c>
      <c r="C2463" t="e">
        <f>VLOOKUP(A2463,[1]Customer_payment_journal_line!$AL:$BO,30,0)</f>
        <v>#N/A</v>
      </c>
      <c r="D2463" t="s">
        <v>53</v>
      </c>
      <c r="E2463" t="s">
        <v>9027</v>
      </c>
      <c r="F2463" t="s">
        <v>9028</v>
      </c>
      <c r="G2463" t="s">
        <v>8297</v>
      </c>
      <c r="H2463" t="s">
        <v>57</v>
      </c>
      <c r="I2463" t="s">
        <v>1349</v>
      </c>
      <c r="J2463" t="s">
        <v>9029</v>
      </c>
      <c r="K2463" t="s">
        <v>3312</v>
      </c>
      <c r="L2463" t="s">
        <v>52</v>
      </c>
      <c r="M2463">
        <v>712.5</v>
      </c>
      <c r="N2463">
        <v>0</v>
      </c>
      <c r="O2463" t="s">
        <v>61</v>
      </c>
      <c r="P2463">
        <v>100</v>
      </c>
      <c r="Q2463" t="s">
        <v>52</v>
      </c>
      <c r="R2463" t="s">
        <v>52</v>
      </c>
      <c r="S2463" t="s">
        <v>52</v>
      </c>
      <c r="T2463" t="s">
        <v>52</v>
      </c>
      <c r="U2463" t="s">
        <v>52</v>
      </c>
      <c r="V2463" t="s">
        <v>62</v>
      </c>
      <c r="W2463" t="s">
        <v>63</v>
      </c>
      <c r="Y2463" t="s">
        <v>52</v>
      </c>
      <c r="AB2463" t="s">
        <v>52</v>
      </c>
      <c r="AE2463" t="s">
        <v>52</v>
      </c>
      <c r="AF2463" t="s">
        <v>52</v>
      </c>
      <c r="AH2463">
        <v>0</v>
      </c>
      <c r="AI2463">
        <v>0</v>
      </c>
      <c r="AJ2463" t="s">
        <v>52</v>
      </c>
      <c r="AK2463">
        <v>0</v>
      </c>
      <c r="AL2463" t="s">
        <v>52</v>
      </c>
      <c r="AM2463" t="s">
        <v>52</v>
      </c>
      <c r="AN2463">
        <v>0</v>
      </c>
      <c r="AO2463">
        <v>0</v>
      </c>
      <c r="AP2463" t="s">
        <v>52</v>
      </c>
      <c r="AQ2463" t="s">
        <v>52</v>
      </c>
      <c r="AR2463" t="s">
        <v>62</v>
      </c>
      <c r="AS2463" t="s">
        <v>52</v>
      </c>
      <c r="AT2463" t="s">
        <v>52</v>
      </c>
      <c r="AU2463" t="s">
        <v>64</v>
      </c>
      <c r="AV2463" t="s">
        <v>62</v>
      </c>
      <c r="AW2463" t="s">
        <v>65</v>
      </c>
      <c r="AX2463" t="s">
        <v>66</v>
      </c>
      <c r="AY2463" t="s">
        <v>67</v>
      </c>
    </row>
    <row r="2464" spans="1:51" hidden="1" x14ac:dyDescent="0.25">
      <c r="A2464">
        <v>406282</v>
      </c>
      <c r="B2464" t="s">
        <v>9030</v>
      </c>
      <c r="C2464" t="e">
        <f>VLOOKUP(A2464,[1]Customer_payment_journal_line!$AL:$BO,30,0)</f>
        <v>#N/A</v>
      </c>
      <c r="D2464" t="s">
        <v>53</v>
      </c>
      <c r="E2464" t="s">
        <v>9027</v>
      </c>
      <c r="F2464" t="s">
        <v>9028</v>
      </c>
      <c r="G2464" t="s">
        <v>8297</v>
      </c>
      <c r="H2464" t="s">
        <v>69</v>
      </c>
      <c r="I2464" t="s">
        <v>3315</v>
      </c>
      <c r="J2464" t="s">
        <v>9029</v>
      </c>
      <c r="K2464" t="s">
        <v>3312</v>
      </c>
      <c r="L2464" t="s">
        <v>52</v>
      </c>
      <c r="M2464">
        <v>0</v>
      </c>
      <c r="N2464">
        <v>712.5</v>
      </c>
      <c r="O2464" t="s">
        <v>61</v>
      </c>
      <c r="P2464">
        <v>100</v>
      </c>
      <c r="Q2464" t="s">
        <v>52</v>
      </c>
      <c r="R2464" t="s">
        <v>52</v>
      </c>
      <c r="S2464" t="s">
        <v>52</v>
      </c>
      <c r="T2464" t="s">
        <v>52</v>
      </c>
      <c r="U2464" t="s">
        <v>52</v>
      </c>
      <c r="V2464" t="s">
        <v>62</v>
      </c>
      <c r="W2464" t="s">
        <v>52</v>
      </c>
      <c r="Y2464" t="s">
        <v>3317</v>
      </c>
      <c r="Z2464" t="s">
        <v>62</v>
      </c>
      <c r="AB2464" t="s">
        <v>9031</v>
      </c>
      <c r="AE2464" t="s">
        <v>9032</v>
      </c>
      <c r="AF2464" t="s">
        <v>52</v>
      </c>
      <c r="AH2464">
        <v>0</v>
      </c>
      <c r="AI2464">
        <v>0</v>
      </c>
      <c r="AJ2464" t="s">
        <v>52</v>
      </c>
      <c r="AK2464">
        <v>0</v>
      </c>
      <c r="AL2464" t="s">
        <v>52</v>
      </c>
      <c r="AM2464" t="s">
        <v>52</v>
      </c>
      <c r="AN2464">
        <v>0</v>
      </c>
      <c r="AO2464">
        <v>0</v>
      </c>
      <c r="AP2464" t="s">
        <v>52</v>
      </c>
      <c r="AQ2464" t="s">
        <v>52</v>
      </c>
      <c r="AR2464" t="s">
        <v>62</v>
      </c>
      <c r="AS2464" t="s">
        <v>52</v>
      </c>
      <c r="AT2464" t="s">
        <v>74</v>
      </c>
      <c r="AU2464" t="s">
        <v>64</v>
      </c>
      <c r="AV2464" t="s">
        <v>62</v>
      </c>
      <c r="AW2464" t="s">
        <v>65</v>
      </c>
      <c r="AX2464" t="s">
        <v>66</v>
      </c>
      <c r="AY2464" t="s">
        <v>67</v>
      </c>
    </row>
    <row r="2465" spans="1:51" hidden="1" x14ac:dyDescent="0.25">
      <c r="A2465">
        <v>406284</v>
      </c>
      <c r="B2465" t="s">
        <v>9033</v>
      </c>
      <c r="C2465" t="e">
        <f>VLOOKUP(A2465,[1]Customer_payment_journal_line!$AL:$BO,30,0)</f>
        <v>#N/A</v>
      </c>
      <c r="D2465" t="s">
        <v>53</v>
      </c>
      <c r="E2465" t="s">
        <v>9034</v>
      </c>
      <c r="F2465" t="s">
        <v>9035</v>
      </c>
      <c r="G2465" t="s">
        <v>8297</v>
      </c>
      <c r="H2465" t="s">
        <v>57</v>
      </c>
      <c r="I2465" t="s">
        <v>1349</v>
      </c>
      <c r="J2465" t="s">
        <v>9029</v>
      </c>
      <c r="K2465" t="s">
        <v>3312</v>
      </c>
      <c r="L2465" t="s">
        <v>52</v>
      </c>
      <c r="M2465">
        <v>5472</v>
      </c>
      <c r="N2465">
        <v>0</v>
      </c>
      <c r="O2465" t="s">
        <v>61</v>
      </c>
      <c r="P2465">
        <v>100</v>
      </c>
      <c r="Q2465" t="s">
        <v>52</v>
      </c>
      <c r="R2465" t="s">
        <v>52</v>
      </c>
      <c r="S2465" t="s">
        <v>52</v>
      </c>
      <c r="T2465" t="s">
        <v>52</v>
      </c>
      <c r="U2465" t="s">
        <v>52</v>
      </c>
      <c r="V2465" t="s">
        <v>62</v>
      </c>
      <c r="W2465" t="s">
        <v>63</v>
      </c>
      <c r="Y2465" t="s">
        <v>52</v>
      </c>
      <c r="AB2465" t="s">
        <v>52</v>
      </c>
      <c r="AE2465" t="s">
        <v>52</v>
      </c>
      <c r="AF2465" t="s">
        <v>52</v>
      </c>
      <c r="AH2465">
        <v>0</v>
      </c>
      <c r="AI2465">
        <v>0</v>
      </c>
      <c r="AJ2465" t="s">
        <v>52</v>
      </c>
      <c r="AK2465">
        <v>0</v>
      </c>
      <c r="AL2465" t="s">
        <v>52</v>
      </c>
      <c r="AM2465" t="s">
        <v>52</v>
      </c>
      <c r="AN2465">
        <v>0</v>
      </c>
      <c r="AO2465">
        <v>0</v>
      </c>
      <c r="AP2465" t="s">
        <v>52</v>
      </c>
      <c r="AQ2465" t="s">
        <v>52</v>
      </c>
      <c r="AR2465" t="s">
        <v>62</v>
      </c>
      <c r="AS2465" t="s">
        <v>52</v>
      </c>
      <c r="AT2465" t="s">
        <v>52</v>
      </c>
      <c r="AU2465" t="s">
        <v>64</v>
      </c>
      <c r="AV2465" t="s">
        <v>62</v>
      </c>
      <c r="AW2465" t="s">
        <v>65</v>
      </c>
      <c r="AX2465" t="s">
        <v>66</v>
      </c>
      <c r="AY2465" t="s">
        <v>67</v>
      </c>
    </row>
    <row r="2466" spans="1:51" hidden="1" x14ac:dyDescent="0.25">
      <c r="A2466">
        <v>406284</v>
      </c>
      <c r="B2466" t="s">
        <v>9036</v>
      </c>
      <c r="C2466" t="e">
        <f>VLOOKUP(A2466,[1]Customer_payment_journal_line!$AL:$BO,30,0)</f>
        <v>#N/A</v>
      </c>
      <c r="D2466" t="s">
        <v>53</v>
      </c>
      <c r="E2466" t="s">
        <v>9034</v>
      </c>
      <c r="F2466" t="s">
        <v>9035</v>
      </c>
      <c r="G2466" t="s">
        <v>8297</v>
      </c>
      <c r="H2466" t="s">
        <v>69</v>
      </c>
      <c r="I2466" t="s">
        <v>3315</v>
      </c>
      <c r="J2466" t="s">
        <v>9029</v>
      </c>
      <c r="K2466" t="s">
        <v>3312</v>
      </c>
      <c r="L2466" t="s">
        <v>52</v>
      </c>
      <c r="M2466">
        <v>0</v>
      </c>
      <c r="N2466">
        <v>5472</v>
      </c>
      <c r="O2466" t="s">
        <v>61</v>
      </c>
      <c r="P2466">
        <v>100</v>
      </c>
      <c r="Q2466" t="s">
        <v>52</v>
      </c>
      <c r="R2466" t="s">
        <v>52</v>
      </c>
      <c r="S2466" t="s">
        <v>52</v>
      </c>
      <c r="T2466" t="s">
        <v>52</v>
      </c>
      <c r="U2466" t="s">
        <v>52</v>
      </c>
      <c r="V2466" t="s">
        <v>62</v>
      </c>
      <c r="W2466" t="s">
        <v>52</v>
      </c>
      <c r="Y2466" t="s">
        <v>3317</v>
      </c>
      <c r="Z2466" t="s">
        <v>62</v>
      </c>
      <c r="AB2466" t="s">
        <v>9037</v>
      </c>
      <c r="AE2466" t="s">
        <v>9038</v>
      </c>
      <c r="AF2466" t="s">
        <v>52</v>
      </c>
      <c r="AH2466">
        <v>0</v>
      </c>
      <c r="AI2466">
        <v>0</v>
      </c>
      <c r="AJ2466" t="s">
        <v>52</v>
      </c>
      <c r="AK2466">
        <v>0</v>
      </c>
      <c r="AL2466" t="s">
        <v>52</v>
      </c>
      <c r="AM2466" t="s">
        <v>52</v>
      </c>
      <c r="AN2466">
        <v>0</v>
      </c>
      <c r="AO2466">
        <v>0</v>
      </c>
      <c r="AP2466" t="s">
        <v>52</v>
      </c>
      <c r="AQ2466" t="s">
        <v>52</v>
      </c>
      <c r="AR2466" t="s">
        <v>62</v>
      </c>
      <c r="AS2466" t="s">
        <v>52</v>
      </c>
      <c r="AT2466" t="s">
        <v>74</v>
      </c>
      <c r="AU2466" t="s">
        <v>64</v>
      </c>
      <c r="AV2466" t="s">
        <v>62</v>
      </c>
      <c r="AW2466" t="s">
        <v>65</v>
      </c>
      <c r="AX2466" t="s">
        <v>66</v>
      </c>
      <c r="AY2466" t="s">
        <v>67</v>
      </c>
    </row>
    <row r="2467" spans="1:51" hidden="1" x14ac:dyDescent="0.25">
      <c r="A2467">
        <v>204184</v>
      </c>
      <c r="B2467" t="s">
        <v>9039</v>
      </c>
      <c r="C2467" t="e">
        <f>VLOOKUP(A2467,[1]Customer_payment_journal_line!$AL:$BO,30,0)</f>
        <v>#N/A</v>
      </c>
      <c r="D2467" t="s">
        <v>53</v>
      </c>
      <c r="E2467" t="s">
        <v>9040</v>
      </c>
      <c r="F2467" t="s">
        <v>9041</v>
      </c>
      <c r="G2467" t="s">
        <v>8297</v>
      </c>
      <c r="H2467" t="s">
        <v>57</v>
      </c>
      <c r="I2467" t="s">
        <v>58</v>
      </c>
      <c r="J2467" t="s">
        <v>9042</v>
      </c>
      <c r="K2467" t="s">
        <v>9043</v>
      </c>
      <c r="L2467" t="s">
        <v>52</v>
      </c>
      <c r="M2467">
        <v>1710</v>
      </c>
      <c r="N2467">
        <v>0</v>
      </c>
      <c r="O2467" t="s">
        <v>61</v>
      </c>
      <c r="P2467">
        <v>100</v>
      </c>
      <c r="Q2467" t="s">
        <v>52</v>
      </c>
      <c r="R2467" t="s">
        <v>52</v>
      </c>
      <c r="S2467" t="s">
        <v>52</v>
      </c>
      <c r="T2467" t="s">
        <v>52</v>
      </c>
      <c r="U2467" t="s">
        <v>52</v>
      </c>
      <c r="V2467" t="s">
        <v>62</v>
      </c>
      <c r="W2467" t="s">
        <v>63</v>
      </c>
      <c r="Y2467" t="s">
        <v>52</v>
      </c>
      <c r="AB2467" t="s">
        <v>52</v>
      </c>
      <c r="AE2467" t="s">
        <v>52</v>
      </c>
      <c r="AF2467" t="s">
        <v>52</v>
      </c>
      <c r="AH2467">
        <v>0</v>
      </c>
      <c r="AI2467">
        <v>0</v>
      </c>
      <c r="AJ2467" t="s">
        <v>52</v>
      </c>
      <c r="AK2467">
        <v>0</v>
      </c>
      <c r="AL2467" t="s">
        <v>52</v>
      </c>
      <c r="AM2467" t="s">
        <v>52</v>
      </c>
      <c r="AN2467">
        <v>0</v>
      </c>
      <c r="AO2467">
        <v>0</v>
      </c>
      <c r="AP2467" t="s">
        <v>52</v>
      </c>
      <c r="AQ2467" t="s">
        <v>52</v>
      </c>
      <c r="AR2467" t="s">
        <v>62</v>
      </c>
      <c r="AS2467" t="s">
        <v>52</v>
      </c>
      <c r="AT2467" t="s">
        <v>52</v>
      </c>
      <c r="AU2467" t="s">
        <v>64</v>
      </c>
      <c r="AV2467" t="s">
        <v>62</v>
      </c>
      <c r="AW2467" t="s">
        <v>65</v>
      </c>
      <c r="AX2467" t="s">
        <v>66</v>
      </c>
      <c r="AY2467" t="s">
        <v>67</v>
      </c>
    </row>
    <row r="2468" spans="1:51" hidden="1" x14ac:dyDescent="0.25">
      <c r="A2468">
        <v>204184</v>
      </c>
      <c r="B2468" t="s">
        <v>9044</v>
      </c>
      <c r="C2468" t="e">
        <f>VLOOKUP(A2468,[1]Customer_payment_journal_line!$AL:$BO,30,0)</f>
        <v>#N/A</v>
      </c>
      <c r="D2468" t="s">
        <v>53</v>
      </c>
      <c r="E2468" t="s">
        <v>9040</v>
      </c>
      <c r="F2468" t="s">
        <v>9041</v>
      </c>
      <c r="G2468" t="s">
        <v>8297</v>
      </c>
      <c r="H2468" t="s">
        <v>69</v>
      </c>
      <c r="I2468" t="s">
        <v>6609</v>
      </c>
      <c r="J2468" t="s">
        <v>9042</v>
      </c>
      <c r="K2468" t="s">
        <v>9043</v>
      </c>
      <c r="L2468" t="s">
        <v>52</v>
      </c>
      <c r="M2468">
        <v>0</v>
      </c>
      <c r="N2468">
        <v>1710</v>
      </c>
      <c r="O2468" t="s">
        <v>61</v>
      </c>
      <c r="P2468">
        <v>100</v>
      </c>
      <c r="Q2468" t="s">
        <v>52</v>
      </c>
      <c r="R2468" t="s">
        <v>52</v>
      </c>
      <c r="S2468" t="s">
        <v>52</v>
      </c>
      <c r="T2468" t="s">
        <v>52</v>
      </c>
      <c r="U2468" t="s">
        <v>52</v>
      </c>
      <c r="V2468" t="s">
        <v>62</v>
      </c>
      <c r="W2468" t="s">
        <v>52</v>
      </c>
      <c r="Y2468" t="s">
        <v>6610</v>
      </c>
      <c r="Z2468" t="s">
        <v>62</v>
      </c>
      <c r="AB2468" t="s">
        <v>9045</v>
      </c>
      <c r="AE2468" t="s">
        <v>9046</v>
      </c>
      <c r="AF2468" t="s">
        <v>52</v>
      </c>
      <c r="AH2468">
        <v>0</v>
      </c>
      <c r="AI2468">
        <v>0</v>
      </c>
      <c r="AJ2468" t="s">
        <v>52</v>
      </c>
      <c r="AK2468">
        <v>0</v>
      </c>
      <c r="AL2468" t="s">
        <v>52</v>
      </c>
      <c r="AM2468" t="s">
        <v>52</v>
      </c>
      <c r="AN2468">
        <v>0</v>
      </c>
      <c r="AO2468">
        <v>0</v>
      </c>
      <c r="AP2468" t="s">
        <v>52</v>
      </c>
      <c r="AQ2468" t="s">
        <v>52</v>
      </c>
      <c r="AR2468" t="s">
        <v>62</v>
      </c>
      <c r="AS2468" t="s">
        <v>52</v>
      </c>
      <c r="AT2468" t="s">
        <v>74</v>
      </c>
      <c r="AU2468" t="s">
        <v>64</v>
      </c>
      <c r="AV2468" t="s">
        <v>62</v>
      </c>
      <c r="AW2468" t="s">
        <v>65</v>
      </c>
      <c r="AX2468" t="s">
        <v>66</v>
      </c>
      <c r="AY2468" t="s">
        <v>67</v>
      </c>
    </row>
    <row r="2469" spans="1:51" hidden="1" x14ac:dyDescent="0.25">
      <c r="A2469">
        <v>204185</v>
      </c>
      <c r="B2469" t="s">
        <v>9047</v>
      </c>
      <c r="C2469" t="e">
        <f>VLOOKUP(A2469,[1]Customer_payment_journal_line!$AL:$BO,30,0)</f>
        <v>#N/A</v>
      </c>
      <c r="D2469" t="s">
        <v>53</v>
      </c>
      <c r="E2469" t="s">
        <v>9048</v>
      </c>
      <c r="F2469" t="s">
        <v>9049</v>
      </c>
      <c r="G2469" t="s">
        <v>8297</v>
      </c>
      <c r="H2469" t="s">
        <v>57</v>
      </c>
      <c r="I2469" t="s">
        <v>58</v>
      </c>
      <c r="J2469" t="s">
        <v>9042</v>
      </c>
      <c r="K2469" t="s">
        <v>9043</v>
      </c>
      <c r="L2469" t="s">
        <v>52</v>
      </c>
      <c r="M2469">
        <v>855</v>
      </c>
      <c r="N2469">
        <v>0</v>
      </c>
      <c r="O2469" t="s">
        <v>61</v>
      </c>
      <c r="P2469">
        <v>100</v>
      </c>
      <c r="Q2469" t="s">
        <v>52</v>
      </c>
      <c r="R2469" t="s">
        <v>52</v>
      </c>
      <c r="S2469" t="s">
        <v>52</v>
      </c>
      <c r="T2469" t="s">
        <v>52</v>
      </c>
      <c r="U2469" t="s">
        <v>52</v>
      </c>
      <c r="V2469" t="s">
        <v>62</v>
      </c>
      <c r="W2469" t="s">
        <v>63</v>
      </c>
      <c r="Y2469" t="s">
        <v>52</v>
      </c>
      <c r="AB2469" t="s">
        <v>52</v>
      </c>
      <c r="AE2469" t="s">
        <v>52</v>
      </c>
      <c r="AF2469" t="s">
        <v>52</v>
      </c>
      <c r="AH2469">
        <v>0</v>
      </c>
      <c r="AI2469">
        <v>0</v>
      </c>
      <c r="AJ2469" t="s">
        <v>52</v>
      </c>
      <c r="AK2469">
        <v>0</v>
      </c>
      <c r="AL2469" t="s">
        <v>52</v>
      </c>
      <c r="AM2469" t="s">
        <v>52</v>
      </c>
      <c r="AN2469">
        <v>0</v>
      </c>
      <c r="AO2469">
        <v>0</v>
      </c>
      <c r="AP2469" t="s">
        <v>52</v>
      </c>
      <c r="AQ2469" t="s">
        <v>52</v>
      </c>
      <c r="AR2469" t="s">
        <v>62</v>
      </c>
      <c r="AS2469" t="s">
        <v>52</v>
      </c>
      <c r="AT2469" t="s">
        <v>52</v>
      </c>
      <c r="AU2469" t="s">
        <v>64</v>
      </c>
      <c r="AV2469" t="s">
        <v>62</v>
      </c>
      <c r="AW2469" t="s">
        <v>65</v>
      </c>
      <c r="AX2469" t="s">
        <v>66</v>
      </c>
      <c r="AY2469" t="s">
        <v>67</v>
      </c>
    </row>
    <row r="2470" spans="1:51" hidden="1" x14ac:dyDescent="0.25">
      <c r="A2470">
        <v>204185</v>
      </c>
      <c r="B2470" t="s">
        <v>9050</v>
      </c>
      <c r="C2470" t="e">
        <f>VLOOKUP(A2470,[1]Customer_payment_journal_line!$AL:$BO,30,0)</f>
        <v>#N/A</v>
      </c>
      <c r="D2470" t="s">
        <v>53</v>
      </c>
      <c r="E2470" t="s">
        <v>9048</v>
      </c>
      <c r="F2470" t="s">
        <v>9049</v>
      </c>
      <c r="G2470" t="s">
        <v>8297</v>
      </c>
      <c r="H2470" t="s">
        <v>69</v>
      </c>
      <c r="I2470" t="s">
        <v>6609</v>
      </c>
      <c r="J2470" t="s">
        <v>9042</v>
      </c>
      <c r="K2470" t="s">
        <v>9043</v>
      </c>
      <c r="L2470" t="s">
        <v>52</v>
      </c>
      <c r="M2470">
        <v>0</v>
      </c>
      <c r="N2470">
        <v>855</v>
      </c>
      <c r="O2470" t="s">
        <v>61</v>
      </c>
      <c r="P2470">
        <v>100</v>
      </c>
      <c r="Q2470" t="s">
        <v>52</v>
      </c>
      <c r="R2470" t="s">
        <v>52</v>
      </c>
      <c r="S2470" t="s">
        <v>52</v>
      </c>
      <c r="T2470" t="s">
        <v>52</v>
      </c>
      <c r="U2470" t="s">
        <v>52</v>
      </c>
      <c r="V2470" t="s">
        <v>62</v>
      </c>
      <c r="W2470" t="s">
        <v>52</v>
      </c>
      <c r="Y2470" t="s">
        <v>6610</v>
      </c>
      <c r="Z2470" t="s">
        <v>62</v>
      </c>
      <c r="AB2470" t="s">
        <v>9051</v>
      </c>
      <c r="AE2470" t="s">
        <v>9052</v>
      </c>
      <c r="AF2470" t="s">
        <v>52</v>
      </c>
      <c r="AH2470">
        <v>0</v>
      </c>
      <c r="AI2470">
        <v>0</v>
      </c>
      <c r="AJ2470" t="s">
        <v>52</v>
      </c>
      <c r="AK2470">
        <v>0</v>
      </c>
      <c r="AL2470" t="s">
        <v>52</v>
      </c>
      <c r="AM2470" t="s">
        <v>52</v>
      </c>
      <c r="AN2470">
        <v>0</v>
      </c>
      <c r="AO2470">
        <v>0</v>
      </c>
      <c r="AP2470" t="s">
        <v>52</v>
      </c>
      <c r="AQ2470" t="s">
        <v>52</v>
      </c>
      <c r="AR2470" t="s">
        <v>62</v>
      </c>
      <c r="AS2470" t="s">
        <v>52</v>
      </c>
      <c r="AT2470" t="s">
        <v>74</v>
      </c>
      <c r="AU2470" t="s">
        <v>64</v>
      </c>
      <c r="AV2470" t="s">
        <v>62</v>
      </c>
      <c r="AW2470" t="s">
        <v>65</v>
      </c>
      <c r="AX2470" t="s">
        <v>66</v>
      </c>
      <c r="AY2470" t="s">
        <v>67</v>
      </c>
    </row>
    <row r="2471" spans="1:51" hidden="1" x14ac:dyDescent="0.25">
      <c r="A2471">
        <v>406286</v>
      </c>
      <c r="B2471" t="s">
        <v>9053</v>
      </c>
      <c r="C2471" t="e">
        <f>VLOOKUP(A2471,[1]Customer_payment_journal_line!$AL:$BO,30,0)</f>
        <v>#N/A</v>
      </c>
      <c r="D2471" t="s">
        <v>53</v>
      </c>
      <c r="E2471" t="s">
        <v>9054</v>
      </c>
      <c r="F2471" t="s">
        <v>9055</v>
      </c>
      <c r="G2471" t="s">
        <v>8297</v>
      </c>
      <c r="H2471" t="s">
        <v>57</v>
      </c>
      <c r="I2471" t="s">
        <v>1349</v>
      </c>
      <c r="J2471" t="s">
        <v>9016</v>
      </c>
      <c r="K2471" t="s">
        <v>3381</v>
      </c>
      <c r="L2471" t="s">
        <v>52</v>
      </c>
      <c r="M2471">
        <v>570</v>
      </c>
      <c r="N2471">
        <v>0</v>
      </c>
      <c r="O2471" t="s">
        <v>61</v>
      </c>
      <c r="P2471">
        <v>100</v>
      </c>
      <c r="Q2471" t="s">
        <v>52</v>
      </c>
      <c r="R2471" t="s">
        <v>52</v>
      </c>
      <c r="S2471" t="s">
        <v>52</v>
      </c>
      <c r="T2471" t="s">
        <v>52</v>
      </c>
      <c r="U2471" t="s">
        <v>52</v>
      </c>
      <c r="V2471" t="s">
        <v>62</v>
      </c>
      <c r="W2471" t="s">
        <v>63</v>
      </c>
      <c r="Y2471" t="s">
        <v>52</v>
      </c>
      <c r="AB2471" t="s">
        <v>52</v>
      </c>
      <c r="AE2471" t="s">
        <v>52</v>
      </c>
      <c r="AF2471" t="s">
        <v>52</v>
      </c>
      <c r="AH2471">
        <v>0</v>
      </c>
      <c r="AI2471">
        <v>0</v>
      </c>
      <c r="AJ2471" t="s">
        <v>52</v>
      </c>
      <c r="AK2471">
        <v>0</v>
      </c>
      <c r="AL2471" t="s">
        <v>52</v>
      </c>
      <c r="AM2471" t="s">
        <v>52</v>
      </c>
      <c r="AN2471">
        <v>0</v>
      </c>
      <c r="AO2471">
        <v>0</v>
      </c>
      <c r="AP2471" t="s">
        <v>52</v>
      </c>
      <c r="AQ2471" t="s">
        <v>52</v>
      </c>
      <c r="AR2471" t="s">
        <v>62</v>
      </c>
      <c r="AS2471" t="s">
        <v>52</v>
      </c>
      <c r="AT2471" t="s">
        <v>52</v>
      </c>
      <c r="AU2471" t="s">
        <v>64</v>
      </c>
      <c r="AV2471" t="s">
        <v>62</v>
      </c>
      <c r="AW2471" t="s">
        <v>65</v>
      </c>
      <c r="AX2471" t="s">
        <v>66</v>
      </c>
      <c r="AY2471" t="s">
        <v>67</v>
      </c>
    </row>
    <row r="2472" spans="1:51" hidden="1" x14ac:dyDescent="0.25">
      <c r="A2472">
        <v>406286</v>
      </c>
      <c r="B2472" t="s">
        <v>9056</v>
      </c>
      <c r="C2472" t="e">
        <f>VLOOKUP(A2472,[1]Customer_payment_journal_line!$AL:$BO,30,0)</f>
        <v>#N/A</v>
      </c>
      <c r="D2472" t="s">
        <v>53</v>
      </c>
      <c r="E2472" t="s">
        <v>9054</v>
      </c>
      <c r="F2472" t="s">
        <v>9055</v>
      </c>
      <c r="G2472" t="s">
        <v>8297</v>
      </c>
      <c r="H2472" t="s">
        <v>69</v>
      </c>
      <c r="I2472" t="s">
        <v>3383</v>
      </c>
      <c r="J2472" t="s">
        <v>9016</v>
      </c>
      <c r="K2472" t="s">
        <v>3381</v>
      </c>
      <c r="L2472" t="s">
        <v>52</v>
      </c>
      <c r="M2472">
        <v>0</v>
      </c>
      <c r="N2472">
        <v>570</v>
      </c>
      <c r="O2472" t="s">
        <v>61</v>
      </c>
      <c r="P2472">
        <v>100</v>
      </c>
      <c r="Q2472" t="s">
        <v>52</v>
      </c>
      <c r="R2472" t="s">
        <v>52</v>
      </c>
      <c r="S2472" t="s">
        <v>52</v>
      </c>
      <c r="T2472" t="s">
        <v>52</v>
      </c>
      <c r="U2472" t="s">
        <v>52</v>
      </c>
      <c r="V2472" t="s">
        <v>62</v>
      </c>
      <c r="W2472" t="s">
        <v>52</v>
      </c>
      <c r="Y2472" t="s">
        <v>3384</v>
      </c>
      <c r="Z2472" t="s">
        <v>62</v>
      </c>
      <c r="AB2472" t="s">
        <v>9057</v>
      </c>
      <c r="AE2472" t="s">
        <v>9058</v>
      </c>
      <c r="AF2472" t="s">
        <v>52</v>
      </c>
      <c r="AH2472">
        <v>0</v>
      </c>
      <c r="AI2472">
        <v>0</v>
      </c>
      <c r="AJ2472" t="s">
        <v>52</v>
      </c>
      <c r="AK2472">
        <v>0</v>
      </c>
      <c r="AL2472" t="s">
        <v>52</v>
      </c>
      <c r="AM2472" t="s">
        <v>52</v>
      </c>
      <c r="AN2472">
        <v>0</v>
      </c>
      <c r="AO2472">
        <v>0</v>
      </c>
      <c r="AP2472" t="s">
        <v>52</v>
      </c>
      <c r="AQ2472" t="s">
        <v>52</v>
      </c>
      <c r="AR2472" t="s">
        <v>62</v>
      </c>
      <c r="AS2472" t="s">
        <v>52</v>
      </c>
      <c r="AT2472" t="s">
        <v>74</v>
      </c>
      <c r="AU2472" t="s">
        <v>64</v>
      </c>
      <c r="AV2472" t="s">
        <v>62</v>
      </c>
      <c r="AW2472" t="s">
        <v>65</v>
      </c>
      <c r="AX2472" t="s">
        <v>66</v>
      </c>
      <c r="AY2472" t="s">
        <v>67</v>
      </c>
    </row>
    <row r="2473" spans="1:51" hidden="1" x14ac:dyDescent="0.25">
      <c r="A2473">
        <v>402150</v>
      </c>
      <c r="B2473" t="s">
        <v>9059</v>
      </c>
      <c r="C2473" t="e">
        <f>VLOOKUP(A2473,[1]Customer_payment_journal_line!$AL:$BO,30,0)</f>
        <v>#N/A</v>
      </c>
      <c r="D2473" t="s">
        <v>53</v>
      </c>
      <c r="E2473" t="s">
        <v>9060</v>
      </c>
      <c r="F2473" t="s">
        <v>9061</v>
      </c>
      <c r="G2473" t="s">
        <v>8297</v>
      </c>
      <c r="H2473" t="s">
        <v>57</v>
      </c>
      <c r="I2473" t="s">
        <v>58</v>
      </c>
      <c r="J2473" t="s">
        <v>4567</v>
      </c>
      <c r="K2473" t="s">
        <v>9062</v>
      </c>
      <c r="L2473" t="s">
        <v>52</v>
      </c>
      <c r="M2473">
        <v>1368</v>
      </c>
      <c r="N2473">
        <v>0</v>
      </c>
      <c r="O2473" t="s">
        <v>61</v>
      </c>
      <c r="P2473">
        <v>100</v>
      </c>
      <c r="Q2473" t="s">
        <v>52</v>
      </c>
      <c r="R2473" t="s">
        <v>52</v>
      </c>
      <c r="S2473" t="s">
        <v>52</v>
      </c>
      <c r="T2473" t="s">
        <v>52</v>
      </c>
      <c r="U2473" t="s">
        <v>52</v>
      </c>
      <c r="V2473" t="s">
        <v>62</v>
      </c>
      <c r="W2473" t="s">
        <v>63</v>
      </c>
      <c r="Y2473" t="s">
        <v>52</v>
      </c>
      <c r="AB2473" t="s">
        <v>52</v>
      </c>
      <c r="AE2473" t="s">
        <v>52</v>
      </c>
      <c r="AF2473" t="s">
        <v>52</v>
      </c>
      <c r="AH2473">
        <v>0</v>
      </c>
      <c r="AI2473">
        <v>0</v>
      </c>
      <c r="AJ2473" t="s">
        <v>52</v>
      </c>
      <c r="AK2473">
        <v>0</v>
      </c>
      <c r="AL2473" t="s">
        <v>52</v>
      </c>
      <c r="AM2473" t="s">
        <v>52</v>
      </c>
      <c r="AN2473">
        <v>0</v>
      </c>
      <c r="AO2473">
        <v>0</v>
      </c>
      <c r="AP2473" t="s">
        <v>52</v>
      </c>
      <c r="AQ2473" t="s">
        <v>52</v>
      </c>
      <c r="AR2473" t="s">
        <v>62</v>
      </c>
      <c r="AS2473" t="s">
        <v>52</v>
      </c>
      <c r="AT2473" t="s">
        <v>52</v>
      </c>
      <c r="AU2473" t="s">
        <v>64</v>
      </c>
      <c r="AV2473" t="s">
        <v>62</v>
      </c>
      <c r="AW2473" t="s">
        <v>65</v>
      </c>
      <c r="AX2473" t="s">
        <v>66</v>
      </c>
      <c r="AY2473" t="s">
        <v>67</v>
      </c>
    </row>
    <row r="2474" spans="1:51" hidden="1" x14ac:dyDescent="0.25">
      <c r="A2474">
        <v>402150</v>
      </c>
      <c r="B2474" t="s">
        <v>9063</v>
      </c>
      <c r="C2474" t="e">
        <f>VLOOKUP(A2474,[1]Customer_payment_journal_line!$AL:$BO,30,0)</f>
        <v>#N/A</v>
      </c>
      <c r="D2474" t="s">
        <v>53</v>
      </c>
      <c r="E2474" t="s">
        <v>9060</v>
      </c>
      <c r="F2474" t="s">
        <v>9061</v>
      </c>
      <c r="G2474" t="s">
        <v>8297</v>
      </c>
      <c r="H2474" t="s">
        <v>69</v>
      </c>
      <c r="I2474" t="s">
        <v>379</v>
      </c>
      <c r="J2474" t="s">
        <v>4567</v>
      </c>
      <c r="K2474" t="s">
        <v>9062</v>
      </c>
      <c r="L2474" t="s">
        <v>52</v>
      </c>
      <c r="M2474">
        <v>0</v>
      </c>
      <c r="N2474">
        <v>1368</v>
      </c>
      <c r="O2474" t="s">
        <v>61</v>
      </c>
      <c r="P2474">
        <v>100</v>
      </c>
      <c r="Q2474" t="s">
        <v>52</v>
      </c>
      <c r="R2474" t="s">
        <v>52</v>
      </c>
      <c r="S2474" t="s">
        <v>52</v>
      </c>
      <c r="T2474" t="s">
        <v>52</v>
      </c>
      <c r="U2474" t="s">
        <v>52</v>
      </c>
      <c r="V2474" t="s">
        <v>62</v>
      </c>
      <c r="W2474" t="s">
        <v>52</v>
      </c>
      <c r="Y2474" t="s">
        <v>380</v>
      </c>
      <c r="Z2474" t="s">
        <v>62</v>
      </c>
      <c r="AB2474" t="s">
        <v>9064</v>
      </c>
      <c r="AE2474" t="s">
        <v>9065</v>
      </c>
      <c r="AF2474" t="s">
        <v>52</v>
      </c>
      <c r="AH2474">
        <v>0</v>
      </c>
      <c r="AI2474">
        <v>0</v>
      </c>
      <c r="AJ2474" t="s">
        <v>52</v>
      </c>
      <c r="AK2474">
        <v>0</v>
      </c>
      <c r="AL2474" t="s">
        <v>52</v>
      </c>
      <c r="AM2474" t="s">
        <v>52</v>
      </c>
      <c r="AN2474">
        <v>0</v>
      </c>
      <c r="AO2474">
        <v>0</v>
      </c>
      <c r="AP2474" t="s">
        <v>52</v>
      </c>
      <c r="AQ2474" t="s">
        <v>52</v>
      </c>
      <c r="AR2474" t="s">
        <v>62</v>
      </c>
      <c r="AS2474" t="s">
        <v>52</v>
      </c>
      <c r="AT2474" t="s">
        <v>74</v>
      </c>
      <c r="AU2474" t="s">
        <v>64</v>
      </c>
      <c r="AV2474" t="s">
        <v>62</v>
      </c>
      <c r="AW2474" t="s">
        <v>65</v>
      </c>
      <c r="AX2474" t="s">
        <v>66</v>
      </c>
      <c r="AY2474" t="s">
        <v>67</v>
      </c>
    </row>
    <row r="2475" spans="1:51" hidden="1" x14ac:dyDescent="0.25">
      <c r="A2475">
        <v>403134</v>
      </c>
      <c r="B2475" t="s">
        <v>9066</v>
      </c>
      <c r="C2475" t="e">
        <f>VLOOKUP(A2475,[1]Customer_payment_journal_line!$AL:$BO,30,0)</f>
        <v>#N/A</v>
      </c>
      <c r="D2475" t="s">
        <v>53</v>
      </c>
      <c r="E2475" t="s">
        <v>9067</v>
      </c>
      <c r="F2475" t="s">
        <v>9068</v>
      </c>
      <c r="G2475" t="s">
        <v>8297</v>
      </c>
      <c r="H2475" t="s">
        <v>57</v>
      </c>
      <c r="I2475" t="s">
        <v>58</v>
      </c>
      <c r="J2475" t="s">
        <v>4567</v>
      </c>
      <c r="K2475" t="s">
        <v>9062</v>
      </c>
      <c r="L2475" t="s">
        <v>52</v>
      </c>
      <c r="M2475">
        <v>855</v>
      </c>
      <c r="N2475">
        <v>0</v>
      </c>
      <c r="O2475" t="s">
        <v>61</v>
      </c>
      <c r="P2475">
        <v>100</v>
      </c>
      <c r="Q2475" t="s">
        <v>52</v>
      </c>
      <c r="R2475" t="s">
        <v>52</v>
      </c>
      <c r="S2475" t="s">
        <v>52</v>
      </c>
      <c r="T2475" t="s">
        <v>52</v>
      </c>
      <c r="U2475" t="s">
        <v>52</v>
      </c>
      <c r="V2475" t="s">
        <v>62</v>
      </c>
      <c r="W2475" t="s">
        <v>63</v>
      </c>
      <c r="Y2475" t="s">
        <v>52</v>
      </c>
      <c r="AB2475" t="s">
        <v>52</v>
      </c>
      <c r="AE2475" t="s">
        <v>52</v>
      </c>
      <c r="AF2475" t="s">
        <v>52</v>
      </c>
      <c r="AH2475">
        <v>0</v>
      </c>
      <c r="AI2475">
        <v>0</v>
      </c>
      <c r="AJ2475" t="s">
        <v>52</v>
      </c>
      <c r="AK2475">
        <v>0</v>
      </c>
      <c r="AL2475" t="s">
        <v>52</v>
      </c>
      <c r="AM2475" t="s">
        <v>52</v>
      </c>
      <c r="AN2475">
        <v>0</v>
      </c>
      <c r="AO2475">
        <v>0</v>
      </c>
      <c r="AP2475" t="s">
        <v>52</v>
      </c>
      <c r="AQ2475" t="s">
        <v>52</v>
      </c>
      <c r="AR2475" t="s">
        <v>62</v>
      </c>
      <c r="AS2475" t="s">
        <v>52</v>
      </c>
      <c r="AT2475" t="s">
        <v>52</v>
      </c>
      <c r="AU2475" t="s">
        <v>64</v>
      </c>
      <c r="AV2475" t="s">
        <v>62</v>
      </c>
      <c r="AW2475" t="s">
        <v>65</v>
      </c>
      <c r="AX2475" t="s">
        <v>66</v>
      </c>
      <c r="AY2475" t="s">
        <v>67</v>
      </c>
    </row>
    <row r="2476" spans="1:51" hidden="1" x14ac:dyDescent="0.25">
      <c r="A2476">
        <v>403134</v>
      </c>
      <c r="B2476" t="s">
        <v>9069</v>
      </c>
      <c r="C2476" t="e">
        <f>VLOOKUP(A2476,[1]Customer_payment_journal_line!$AL:$BO,30,0)</f>
        <v>#N/A</v>
      </c>
      <c r="D2476" t="s">
        <v>53</v>
      </c>
      <c r="E2476" t="s">
        <v>9067</v>
      </c>
      <c r="F2476" t="s">
        <v>9068</v>
      </c>
      <c r="G2476" t="s">
        <v>8297</v>
      </c>
      <c r="H2476" t="s">
        <v>69</v>
      </c>
      <c r="I2476" t="s">
        <v>379</v>
      </c>
      <c r="J2476" t="s">
        <v>4567</v>
      </c>
      <c r="K2476" t="s">
        <v>9062</v>
      </c>
      <c r="L2476" t="s">
        <v>52</v>
      </c>
      <c r="M2476">
        <v>0</v>
      </c>
      <c r="N2476">
        <v>855</v>
      </c>
      <c r="O2476" t="s">
        <v>61</v>
      </c>
      <c r="P2476">
        <v>100</v>
      </c>
      <c r="Q2476" t="s">
        <v>52</v>
      </c>
      <c r="R2476" t="s">
        <v>52</v>
      </c>
      <c r="S2476" t="s">
        <v>52</v>
      </c>
      <c r="T2476" t="s">
        <v>52</v>
      </c>
      <c r="U2476" t="s">
        <v>52</v>
      </c>
      <c r="V2476" t="s">
        <v>62</v>
      </c>
      <c r="W2476" t="s">
        <v>52</v>
      </c>
      <c r="Y2476" t="s">
        <v>380</v>
      </c>
      <c r="Z2476" t="s">
        <v>62</v>
      </c>
      <c r="AB2476" t="s">
        <v>9070</v>
      </c>
      <c r="AE2476" t="s">
        <v>9071</v>
      </c>
      <c r="AF2476" t="s">
        <v>52</v>
      </c>
      <c r="AH2476">
        <v>0</v>
      </c>
      <c r="AI2476">
        <v>0</v>
      </c>
      <c r="AJ2476" t="s">
        <v>52</v>
      </c>
      <c r="AK2476">
        <v>0</v>
      </c>
      <c r="AL2476" t="s">
        <v>52</v>
      </c>
      <c r="AM2476" t="s">
        <v>52</v>
      </c>
      <c r="AN2476">
        <v>0</v>
      </c>
      <c r="AO2476">
        <v>0</v>
      </c>
      <c r="AP2476" t="s">
        <v>52</v>
      </c>
      <c r="AQ2476" t="s">
        <v>52</v>
      </c>
      <c r="AR2476" t="s">
        <v>62</v>
      </c>
      <c r="AS2476" t="s">
        <v>52</v>
      </c>
      <c r="AT2476" t="s">
        <v>74</v>
      </c>
      <c r="AU2476" t="s">
        <v>64</v>
      </c>
      <c r="AV2476" t="s">
        <v>62</v>
      </c>
      <c r="AW2476" t="s">
        <v>65</v>
      </c>
      <c r="AX2476" t="s">
        <v>66</v>
      </c>
      <c r="AY2476" t="s">
        <v>67</v>
      </c>
    </row>
    <row r="2477" spans="1:51" hidden="1" x14ac:dyDescent="0.25">
      <c r="A2477">
        <v>402532</v>
      </c>
      <c r="B2477" t="s">
        <v>9072</v>
      </c>
      <c r="C2477" t="e">
        <f>VLOOKUP(A2477,[1]Customer_payment_journal_line!$AL:$BO,30,0)</f>
        <v>#N/A</v>
      </c>
      <c r="D2477" t="s">
        <v>53</v>
      </c>
      <c r="E2477" t="s">
        <v>9073</v>
      </c>
      <c r="F2477" t="s">
        <v>9074</v>
      </c>
      <c r="G2477" t="s">
        <v>8297</v>
      </c>
      <c r="H2477" t="s">
        <v>57</v>
      </c>
      <c r="I2477" t="s">
        <v>58</v>
      </c>
      <c r="J2477" t="s">
        <v>3958</v>
      </c>
      <c r="K2477" t="s">
        <v>9075</v>
      </c>
      <c r="L2477" t="s">
        <v>52</v>
      </c>
      <c r="M2477">
        <v>5130</v>
      </c>
      <c r="N2477">
        <v>0</v>
      </c>
      <c r="O2477" t="s">
        <v>61</v>
      </c>
      <c r="P2477">
        <v>100</v>
      </c>
      <c r="Q2477" t="s">
        <v>52</v>
      </c>
      <c r="R2477" t="s">
        <v>52</v>
      </c>
      <c r="S2477" t="s">
        <v>52</v>
      </c>
      <c r="T2477" t="s">
        <v>52</v>
      </c>
      <c r="U2477" t="s">
        <v>52</v>
      </c>
      <c r="V2477" t="s">
        <v>62</v>
      </c>
      <c r="W2477" t="s">
        <v>63</v>
      </c>
      <c r="Y2477" t="s">
        <v>52</v>
      </c>
      <c r="AB2477" t="s">
        <v>52</v>
      </c>
      <c r="AE2477" t="s">
        <v>52</v>
      </c>
      <c r="AF2477" t="s">
        <v>52</v>
      </c>
      <c r="AH2477">
        <v>0</v>
      </c>
      <c r="AI2477">
        <v>0</v>
      </c>
      <c r="AJ2477" t="s">
        <v>52</v>
      </c>
      <c r="AK2477">
        <v>0</v>
      </c>
      <c r="AL2477" t="s">
        <v>52</v>
      </c>
      <c r="AM2477" t="s">
        <v>52</v>
      </c>
      <c r="AN2477">
        <v>0</v>
      </c>
      <c r="AO2477">
        <v>0</v>
      </c>
      <c r="AP2477" t="s">
        <v>52</v>
      </c>
      <c r="AQ2477" t="s">
        <v>52</v>
      </c>
      <c r="AR2477" t="s">
        <v>62</v>
      </c>
      <c r="AS2477" t="s">
        <v>52</v>
      </c>
      <c r="AT2477" t="s">
        <v>52</v>
      </c>
      <c r="AU2477" t="s">
        <v>64</v>
      </c>
      <c r="AV2477" t="s">
        <v>62</v>
      </c>
      <c r="AW2477" t="s">
        <v>65</v>
      </c>
      <c r="AX2477" t="s">
        <v>66</v>
      </c>
      <c r="AY2477" t="s">
        <v>67</v>
      </c>
    </row>
    <row r="2478" spans="1:51" hidden="1" x14ac:dyDescent="0.25">
      <c r="A2478">
        <v>402532</v>
      </c>
      <c r="B2478" t="s">
        <v>9076</v>
      </c>
      <c r="C2478" t="e">
        <f>VLOOKUP(A2478,[1]Customer_payment_journal_line!$AL:$BO,30,0)</f>
        <v>#N/A</v>
      </c>
      <c r="D2478" t="s">
        <v>53</v>
      </c>
      <c r="E2478" t="s">
        <v>9073</v>
      </c>
      <c r="F2478" t="s">
        <v>9074</v>
      </c>
      <c r="G2478" t="s">
        <v>8297</v>
      </c>
      <c r="H2478" t="s">
        <v>69</v>
      </c>
      <c r="I2478" t="s">
        <v>529</v>
      </c>
      <c r="J2478" t="s">
        <v>3958</v>
      </c>
      <c r="K2478" t="s">
        <v>9075</v>
      </c>
      <c r="L2478" t="s">
        <v>52</v>
      </c>
      <c r="M2478">
        <v>0</v>
      </c>
      <c r="N2478">
        <v>5130</v>
      </c>
      <c r="O2478" t="s">
        <v>61</v>
      </c>
      <c r="P2478">
        <v>100</v>
      </c>
      <c r="Q2478" t="s">
        <v>52</v>
      </c>
      <c r="R2478" t="s">
        <v>52</v>
      </c>
      <c r="S2478" t="s">
        <v>52</v>
      </c>
      <c r="T2478" t="s">
        <v>52</v>
      </c>
      <c r="U2478" t="s">
        <v>52</v>
      </c>
      <c r="V2478" t="s">
        <v>62</v>
      </c>
      <c r="W2478" t="s">
        <v>52</v>
      </c>
      <c r="Y2478" t="s">
        <v>530</v>
      </c>
      <c r="Z2478" t="s">
        <v>62</v>
      </c>
      <c r="AB2478" t="s">
        <v>9077</v>
      </c>
      <c r="AE2478" t="s">
        <v>9078</v>
      </c>
      <c r="AF2478" t="s">
        <v>52</v>
      </c>
      <c r="AH2478">
        <v>0</v>
      </c>
      <c r="AI2478">
        <v>0</v>
      </c>
      <c r="AJ2478" t="s">
        <v>52</v>
      </c>
      <c r="AK2478">
        <v>0</v>
      </c>
      <c r="AL2478" t="s">
        <v>52</v>
      </c>
      <c r="AM2478" t="s">
        <v>52</v>
      </c>
      <c r="AN2478">
        <v>0</v>
      </c>
      <c r="AO2478">
        <v>0</v>
      </c>
      <c r="AP2478" t="s">
        <v>52</v>
      </c>
      <c r="AQ2478" t="s">
        <v>52</v>
      </c>
      <c r="AR2478" t="s">
        <v>62</v>
      </c>
      <c r="AS2478" t="s">
        <v>52</v>
      </c>
      <c r="AT2478" t="s">
        <v>74</v>
      </c>
      <c r="AU2478" t="s">
        <v>64</v>
      </c>
      <c r="AV2478" t="s">
        <v>62</v>
      </c>
      <c r="AW2478" t="s">
        <v>65</v>
      </c>
      <c r="AX2478" t="s">
        <v>66</v>
      </c>
      <c r="AY2478" t="s">
        <v>67</v>
      </c>
    </row>
    <row r="2479" spans="1:51" hidden="1" x14ac:dyDescent="0.25">
      <c r="A2479">
        <v>403160</v>
      </c>
      <c r="B2479" t="s">
        <v>9079</v>
      </c>
      <c r="C2479" t="e">
        <f>VLOOKUP(A2479,[1]Customer_payment_journal_line!$AL:$BO,30,0)</f>
        <v>#N/A</v>
      </c>
      <c r="D2479" t="s">
        <v>53</v>
      </c>
      <c r="E2479" t="s">
        <v>9080</v>
      </c>
      <c r="F2479" t="s">
        <v>9081</v>
      </c>
      <c r="G2479" t="s">
        <v>8297</v>
      </c>
      <c r="H2479" t="s">
        <v>57</v>
      </c>
      <c r="I2479" t="s">
        <v>58</v>
      </c>
      <c r="J2479" t="s">
        <v>3958</v>
      </c>
      <c r="K2479" t="s">
        <v>9075</v>
      </c>
      <c r="L2479" t="s">
        <v>52</v>
      </c>
      <c r="M2479">
        <v>855</v>
      </c>
      <c r="N2479">
        <v>0</v>
      </c>
      <c r="O2479" t="s">
        <v>61</v>
      </c>
      <c r="P2479">
        <v>100</v>
      </c>
      <c r="Q2479" t="s">
        <v>52</v>
      </c>
      <c r="R2479" t="s">
        <v>52</v>
      </c>
      <c r="S2479" t="s">
        <v>52</v>
      </c>
      <c r="T2479" t="s">
        <v>52</v>
      </c>
      <c r="U2479" t="s">
        <v>52</v>
      </c>
      <c r="V2479" t="s">
        <v>62</v>
      </c>
      <c r="W2479" t="s">
        <v>63</v>
      </c>
      <c r="Y2479" t="s">
        <v>52</v>
      </c>
      <c r="AB2479" t="s">
        <v>52</v>
      </c>
      <c r="AE2479" t="s">
        <v>52</v>
      </c>
      <c r="AF2479" t="s">
        <v>52</v>
      </c>
      <c r="AH2479">
        <v>0</v>
      </c>
      <c r="AI2479">
        <v>0</v>
      </c>
      <c r="AJ2479" t="s">
        <v>52</v>
      </c>
      <c r="AK2479">
        <v>0</v>
      </c>
      <c r="AL2479" t="s">
        <v>52</v>
      </c>
      <c r="AM2479" t="s">
        <v>52</v>
      </c>
      <c r="AN2479">
        <v>0</v>
      </c>
      <c r="AO2479">
        <v>0</v>
      </c>
      <c r="AP2479" t="s">
        <v>52</v>
      </c>
      <c r="AQ2479" t="s">
        <v>52</v>
      </c>
      <c r="AR2479" t="s">
        <v>62</v>
      </c>
      <c r="AS2479" t="s">
        <v>52</v>
      </c>
      <c r="AT2479" t="s">
        <v>52</v>
      </c>
      <c r="AU2479" t="s">
        <v>64</v>
      </c>
      <c r="AV2479" t="s">
        <v>62</v>
      </c>
      <c r="AW2479" t="s">
        <v>65</v>
      </c>
      <c r="AX2479" t="s">
        <v>66</v>
      </c>
      <c r="AY2479" t="s">
        <v>67</v>
      </c>
    </row>
    <row r="2480" spans="1:51" hidden="1" x14ac:dyDescent="0.25">
      <c r="A2480">
        <v>403160</v>
      </c>
      <c r="B2480" t="s">
        <v>9082</v>
      </c>
      <c r="C2480" t="e">
        <f>VLOOKUP(A2480,[1]Customer_payment_journal_line!$AL:$BO,30,0)</f>
        <v>#N/A</v>
      </c>
      <c r="D2480" t="s">
        <v>53</v>
      </c>
      <c r="E2480" t="s">
        <v>9080</v>
      </c>
      <c r="F2480" t="s">
        <v>9081</v>
      </c>
      <c r="G2480" t="s">
        <v>8297</v>
      </c>
      <c r="H2480" t="s">
        <v>69</v>
      </c>
      <c r="I2480" t="s">
        <v>529</v>
      </c>
      <c r="J2480" t="s">
        <v>3958</v>
      </c>
      <c r="K2480" t="s">
        <v>9075</v>
      </c>
      <c r="L2480" t="s">
        <v>52</v>
      </c>
      <c r="M2480">
        <v>0</v>
      </c>
      <c r="N2480">
        <v>855</v>
      </c>
      <c r="O2480" t="s">
        <v>61</v>
      </c>
      <c r="P2480">
        <v>100</v>
      </c>
      <c r="Q2480" t="s">
        <v>52</v>
      </c>
      <c r="R2480" t="s">
        <v>52</v>
      </c>
      <c r="S2480" t="s">
        <v>52</v>
      </c>
      <c r="T2480" t="s">
        <v>52</v>
      </c>
      <c r="U2480" t="s">
        <v>52</v>
      </c>
      <c r="V2480" t="s">
        <v>62</v>
      </c>
      <c r="W2480" t="s">
        <v>52</v>
      </c>
      <c r="Y2480" t="s">
        <v>530</v>
      </c>
      <c r="Z2480" t="s">
        <v>62</v>
      </c>
      <c r="AB2480" t="s">
        <v>9083</v>
      </c>
      <c r="AE2480" t="s">
        <v>9084</v>
      </c>
      <c r="AF2480" t="s">
        <v>52</v>
      </c>
      <c r="AH2480">
        <v>0</v>
      </c>
      <c r="AI2480">
        <v>0</v>
      </c>
      <c r="AJ2480" t="s">
        <v>52</v>
      </c>
      <c r="AK2480">
        <v>0</v>
      </c>
      <c r="AL2480" t="s">
        <v>52</v>
      </c>
      <c r="AM2480" t="s">
        <v>52</v>
      </c>
      <c r="AN2480">
        <v>0</v>
      </c>
      <c r="AO2480">
        <v>0</v>
      </c>
      <c r="AP2480" t="s">
        <v>52</v>
      </c>
      <c r="AQ2480" t="s">
        <v>52</v>
      </c>
      <c r="AR2480" t="s">
        <v>62</v>
      </c>
      <c r="AS2480" t="s">
        <v>52</v>
      </c>
      <c r="AT2480" t="s">
        <v>74</v>
      </c>
      <c r="AU2480" t="s">
        <v>64</v>
      </c>
      <c r="AV2480" t="s">
        <v>62</v>
      </c>
      <c r="AW2480" t="s">
        <v>65</v>
      </c>
      <c r="AX2480" t="s">
        <v>66</v>
      </c>
      <c r="AY2480" t="s">
        <v>67</v>
      </c>
    </row>
    <row r="2481" spans="1:51" hidden="1" x14ac:dyDescent="0.25">
      <c r="A2481">
        <v>402357</v>
      </c>
      <c r="B2481" t="s">
        <v>9085</v>
      </c>
      <c r="C2481" t="e">
        <f>VLOOKUP(A2481,[1]Customer_payment_journal_line!$AL:$BO,30,0)</f>
        <v>#N/A</v>
      </c>
      <c r="D2481" t="s">
        <v>53</v>
      </c>
      <c r="E2481" t="s">
        <v>9086</v>
      </c>
      <c r="F2481" t="s">
        <v>9087</v>
      </c>
      <c r="G2481" t="s">
        <v>8297</v>
      </c>
      <c r="H2481" t="s">
        <v>57</v>
      </c>
      <c r="I2481" t="s">
        <v>58</v>
      </c>
      <c r="J2481" t="s">
        <v>9088</v>
      </c>
      <c r="K2481" t="s">
        <v>9089</v>
      </c>
      <c r="L2481" t="s">
        <v>52</v>
      </c>
      <c r="M2481">
        <v>855</v>
      </c>
      <c r="N2481">
        <v>0</v>
      </c>
      <c r="O2481" t="s">
        <v>61</v>
      </c>
      <c r="P2481">
        <v>100</v>
      </c>
      <c r="Q2481" t="s">
        <v>52</v>
      </c>
      <c r="R2481" t="s">
        <v>52</v>
      </c>
      <c r="S2481" t="s">
        <v>52</v>
      </c>
      <c r="T2481" t="s">
        <v>52</v>
      </c>
      <c r="U2481" t="s">
        <v>52</v>
      </c>
      <c r="V2481" t="s">
        <v>62</v>
      </c>
      <c r="W2481" t="s">
        <v>63</v>
      </c>
      <c r="Y2481" t="s">
        <v>52</v>
      </c>
      <c r="AB2481" t="s">
        <v>52</v>
      </c>
      <c r="AE2481" t="s">
        <v>52</v>
      </c>
      <c r="AF2481" t="s">
        <v>52</v>
      </c>
      <c r="AH2481">
        <v>0</v>
      </c>
      <c r="AI2481">
        <v>0</v>
      </c>
      <c r="AJ2481" t="s">
        <v>52</v>
      </c>
      <c r="AK2481">
        <v>0</v>
      </c>
      <c r="AL2481" t="s">
        <v>52</v>
      </c>
      <c r="AM2481" t="s">
        <v>52</v>
      </c>
      <c r="AN2481">
        <v>0</v>
      </c>
      <c r="AO2481">
        <v>0</v>
      </c>
      <c r="AP2481" t="s">
        <v>52</v>
      </c>
      <c r="AQ2481" t="s">
        <v>52</v>
      </c>
      <c r="AR2481" t="s">
        <v>62</v>
      </c>
      <c r="AS2481" t="s">
        <v>52</v>
      </c>
      <c r="AT2481" t="s">
        <v>52</v>
      </c>
      <c r="AU2481" t="s">
        <v>64</v>
      </c>
      <c r="AV2481" t="s">
        <v>62</v>
      </c>
      <c r="AW2481" t="s">
        <v>65</v>
      </c>
      <c r="AX2481" t="s">
        <v>66</v>
      </c>
      <c r="AY2481" t="s">
        <v>67</v>
      </c>
    </row>
    <row r="2482" spans="1:51" hidden="1" x14ac:dyDescent="0.25">
      <c r="A2482">
        <v>402357</v>
      </c>
      <c r="B2482" t="s">
        <v>9090</v>
      </c>
      <c r="C2482" t="e">
        <f>VLOOKUP(A2482,[1]Customer_payment_journal_line!$AL:$BO,30,0)</f>
        <v>#N/A</v>
      </c>
      <c r="D2482" t="s">
        <v>53</v>
      </c>
      <c r="E2482" t="s">
        <v>9086</v>
      </c>
      <c r="F2482" t="s">
        <v>9087</v>
      </c>
      <c r="G2482" t="s">
        <v>8297</v>
      </c>
      <c r="H2482" t="s">
        <v>69</v>
      </c>
      <c r="I2482" t="s">
        <v>9091</v>
      </c>
      <c r="J2482" t="s">
        <v>9088</v>
      </c>
      <c r="K2482" t="s">
        <v>9089</v>
      </c>
      <c r="L2482" t="s">
        <v>52</v>
      </c>
      <c r="M2482">
        <v>0</v>
      </c>
      <c r="N2482">
        <v>855</v>
      </c>
      <c r="O2482" t="s">
        <v>61</v>
      </c>
      <c r="P2482">
        <v>100</v>
      </c>
      <c r="Q2482" t="s">
        <v>52</v>
      </c>
      <c r="R2482" t="s">
        <v>52</v>
      </c>
      <c r="S2482" t="s">
        <v>52</v>
      </c>
      <c r="T2482" t="s">
        <v>52</v>
      </c>
      <c r="U2482" t="s">
        <v>52</v>
      </c>
      <c r="V2482" t="s">
        <v>62</v>
      </c>
      <c r="W2482" t="s">
        <v>52</v>
      </c>
      <c r="Y2482" t="s">
        <v>9092</v>
      </c>
      <c r="Z2482" t="s">
        <v>62</v>
      </c>
      <c r="AB2482" t="s">
        <v>9093</v>
      </c>
      <c r="AE2482" t="s">
        <v>9094</v>
      </c>
      <c r="AF2482" t="s">
        <v>52</v>
      </c>
      <c r="AH2482">
        <v>0</v>
      </c>
      <c r="AI2482">
        <v>0</v>
      </c>
      <c r="AJ2482" t="s">
        <v>52</v>
      </c>
      <c r="AK2482">
        <v>0</v>
      </c>
      <c r="AL2482" t="s">
        <v>52</v>
      </c>
      <c r="AM2482" t="s">
        <v>52</v>
      </c>
      <c r="AN2482">
        <v>0</v>
      </c>
      <c r="AO2482">
        <v>0</v>
      </c>
      <c r="AP2482" t="s">
        <v>52</v>
      </c>
      <c r="AQ2482" t="s">
        <v>52</v>
      </c>
      <c r="AR2482" t="s">
        <v>62</v>
      </c>
      <c r="AS2482" t="s">
        <v>52</v>
      </c>
      <c r="AT2482" t="s">
        <v>74</v>
      </c>
      <c r="AU2482" t="s">
        <v>64</v>
      </c>
      <c r="AV2482" t="s">
        <v>62</v>
      </c>
      <c r="AW2482" t="s">
        <v>65</v>
      </c>
      <c r="AX2482" t="s">
        <v>66</v>
      </c>
      <c r="AY2482" t="s">
        <v>67</v>
      </c>
    </row>
    <row r="2483" spans="1:51" hidden="1" x14ac:dyDescent="0.25">
      <c r="A2483">
        <v>204200</v>
      </c>
      <c r="B2483" t="s">
        <v>9095</v>
      </c>
      <c r="C2483" t="e">
        <f>VLOOKUP(A2483,[1]Customer_payment_journal_line!$AL:$BO,30,0)</f>
        <v>#N/A</v>
      </c>
      <c r="D2483" t="s">
        <v>644</v>
      </c>
      <c r="E2483" t="s">
        <v>9096</v>
      </c>
      <c r="F2483" t="s">
        <v>9097</v>
      </c>
      <c r="G2483" t="s">
        <v>8297</v>
      </c>
      <c r="H2483" t="s">
        <v>210</v>
      </c>
      <c r="I2483" t="s">
        <v>9098</v>
      </c>
      <c r="K2483" t="s">
        <v>6961</v>
      </c>
      <c r="L2483" t="s">
        <v>52</v>
      </c>
      <c r="M2483">
        <v>230</v>
      </c>
      <c r="N2483">
        <v>0</v>
      </c>
      <c r="O2483" t="s">
        <v>178</v>
      </c>
      <c r="P2483">
        <v>5085</v>
      </c>
      <c r="Q2483" t="s">
        <v>52</v>
      </c>
      <c r="R2483" t="s">
        <v>52</v>
      </c>
      <c r="S2483" t="s">
        <v>52</v>
      </c>
      <c r="T2483" t="s">
        <v>52</v>
      </c>
      <c r="U2483" t="s">
        <v>52</v>
      </c>
      <c r="V2483" t="s">
        <v>62</v>
      </c>
      <c r="W2483" t="s">
        <v>63</v>
      </c>
      <c r="Y2483" t="s">
        <v>52</v>
      </c>
      <c r="AB2483" t="s">
        <v>9099</v>
      </c>
      <c r="AE2483" t="s">
        <v>9100</v>
      </c>
      <c r="AF2483" t="s">
        <v>177</v>
      </c>
      <c r="AG2483" t="s">
        <v>9101</v>
      </c>
      <c r="AH2483">
        <v>0</v>
      </c>
      <c r="AI2483">
        <v>0</v>
      </c>
      <c r="AJ2483" t="s">
        <v>52</v>
      </c>
      <c r="AK2483">
        <v>0</v>
      </c>
      <c r="AL2483" t="s">
        <v>52</v>
      </c>
      <c r="AM2483" t="s">
        <v>52</v>
      </c>
      <c r="AN2483">
        <v>0</v>
      </c>
      <c r="AO2483">
        <v>0</v>
      </c>
      <c r="AP2483" t="s">
        <v>52</v>
      </c>
      <c r="AQ2483" t="s">
        <v>52</v>
      </c>
      <c r="AR2483" t="s">
        <v>62</v>
      </c>
      <c r="AS2483" t="s">
        <v>52</v>
      </c>
      <c r="AT2483" t="s">
        <v>52</v>
      </c>
      <c r="AU2483" t="s">
        <v>64</v>
      </c>
      <c r="AV2483" t="s">
        <v>62</v>
      </c>
      <c r="AW2483" t="s">
        <v>65</v>
      </c>
      <c r="AX2483" t="s">
        <v>66</v>
      </c>
      <c r="AY2483" t="s">
        <v>654</v>
      </c>
    </row>
    <row r="2484" spans="1:51" hidden="1" x14ac:dyDescent="0.25">
      <c r="A2484">
        <v>204200</v>
      </c>
      <c r="B2484" t="s">
        <v>9102</v>
      </c>
      <c r="C2484" t="e">
        <f>VLOOKUP(A2484,[1]Customer_payment_journal_line!$AL:$BO,30,0)</f>
        <v>#N/A</v>
      </c>
      <c r="D2484" t="s">
        <v>644</v>
      </c>
      <c r="E2484" t="s">
        <v>9096</v>
      </c>
      <c r="F2484" t="s">
        <v>9097</v>
      </c>
      <c r="G2484" t="s">
        <v>8297</v>
      </c>
      <c r="H2484" t="s">
        <v>69</v>
      </c>
      <c r="I2484" t="s">
        <v>769</v>
      </c>
      <c r="J2484" t="s">
        <v>3456</v>
      </c>
      <c r="K2484" t="s">
        <v>6961</v>
      </c>
      <c r="L2484" t="s">
        <v>52</v>
      </c>
      <c r="M2484">
        <v>0</v>
      </c>
      <c r="N2484">
        <v>230</v>
      </c>
      <c r="O2484" t="s">
        <v>178</v>
      </c>
      <c r="P2484">
        <v>5085</v>
      </c>
      <c r="Q2484" t="s">
        <v>52</v>
      </c>
      <c r="R2484" t="s">
        <v>52</v>
      </c>
      <c r="S2484" t="s">
        <v>52</v>
      </c>
      <c r="T2484" t="s">
        <v>52</v>
      </c>
      <c r="U2484" t="s">
        <v>52</v>
      </c>
      <c r="V2484" t="s">
        <v>62</v>
      </c>
      <c r="W2484" t="s">
        <v>52</v>
      </c>
      <c r="Y2484" t="s">
        <v>771</v>
      </c>
      <c r="Z2484" t="s">
        <v>62</v>
      </c>
      <c r="AB2484" t="s">
        <v>9099</v>
      </c>
      <c r="AE2484" t="s">
        <v>9100</v>
      </c>
      <c r="AF2484" t="s">
        <v>177</v>
      </c>
      <c r="AG2484" t="s">
        <v>9101</v>
      </c>
      <c r="AH2484">
        <v>0</v>
      </c>
      <c r="AI2484">
        <v>0</v>
      </c>
      <c r="AJ2484" t="s">
        <v>52</v>
      </c>
      <c r="AK2484">
        <v>0</v>
      </c>
      <c r="AL2484" t="s">
        <v>52</v>
      </c>
      <c r="AM2484" t="s">
        <v>52</v>
      </c>
      <c r="AN2484">
        <v>0</v>
      </c>
      <c r="AO2484">
        <v>0</v>
      </c>
      <c r="AP2484" t="s">
        <v>52</v>
      </c>
      <c r="AQ2484" t="s">
        <v>52</v>
      </c>
      <c r="AR2484" t="s">
        <v>62</v>
      </c>
      <c r="AS2484" t="s">
        <v>52</v>
      </c>
      <c r="AT2484" t="s">
        <v>74</v>
      </c>
      <c r="AU2484" t="s">
        <v>64</v>
      </c>
      <c r="AV2484" t="s">
        <v>62</v>
      </c>
      <c r="AW2484" t="s">
        <v>65</v>
      </c>
      <c r="AX2484" t="s">
        <v>66</v>
      </c>
      <c r="AY2484" t="s">
        <v>654</v>
      </c>
    </row>
    <row r="2485" spans="1:51" hidden="1" x14ac:dyDescent="0.25">
      <c r="A2485">
        <v>204201</v>
      </c>
      <c r="B2485" t="s">
        <v>9103</v>
      </c>
      <c r="C2485" t="e">
        <f>VLOOKUP(A2485,[1]Customer_payment_journal_line!$AL:$BO,30,0)</f>
        <v>#N/A</v>
      </c>
      <c r="D2485" t="s">
        <v>53</v>
      </c>
      <c r="E2485" t="s">
        <v>9104</v>
      </c>
      <c r="F2485" t="s">
        <v>9105</v>
      </c>
      <c r="G2485" t="s">
        <v>8297</v>
      </c>
      <c r="H2485" t="s">
        <v>57</v>
      </c>
      <c r="I2485" t="s">
        <v>58</v>
      </c>
      <c r="J2485" t="s">
        <v>8406</v>
      </c>
      <c r="K2485" t="s">
        <v>8407</v>
      </c>
      <c r="L2485" t="s">
        <v>52</v>
      </c>
      <c r="M2485">
        <v>3000</v>
      </c>
      <c r="N2485">
        <v>0</v>
      </c>
      <c r="O2485" t="s">
        <v>61</v>
      </c>
      <c r="P2485">
        <v>100</v>
      </c>
      <c r="Q2485" t="s">
        <v>52</v>
      </c>
      <c r="R2485" t="s">
        <v>52</v>
      </c>
      <c r="S2485" t="s">
        <v>52</v>
      </c>
      <c r="T2485" t="s">
        <v>52</v>
      </c>
      <c r="U2485" t="s">
        <v>52</v>
      </c>
      <c r="V2485" t="s">
        <v>62</v>
      </c>
      <c r="W2485" t="s">
        <v>63</v>
      </c>
      <c r="Y2485" t="s">
        <v>52</v>
      </c>
      <c r="AB2485" t="s">
        <v>52</v>
      </c>
      <c r="AE2485" t="s">
        <v>52</v>
      </c>
      <c r="AF2485" t="s">
        <v>52</v>
      </c>
      <c r="AH2485">
        <v>0</v>
      </c>
      <c r="AI2485">
        <v>0</v>
      </c>
      <c r="AJ2485" t="s">
        <v>52</v>
      </c>
      <c r="AK2485">
        <v>0</v>
      </c>
      <c r="AL2485" t="s">
        <v>52</v>
      </c>
      <c r="AM2485" t="s">
        <v>52</v>
      </c>
      <c r="AN2485">
        <v>0</v>
      </c>
      <c r="AO2485">
        <v>0</v>
      </c>
      <c r="AP2485" t="s">
        <v>52</v>
      </c>
      <c r="AQ2485" t="s">
        <v>52</v>
      </c>
      <c r="AR2485" t="s">
        <v>62</v>
      </c>
      <c r="AS2485" t="s">
        <v>52</v>
      </c>
      <c r="AT2485" t="s">
        <v>52</v>
      </c>
      <c r="AU2485" t="s">
        <v>64</v>
      </c>
      <c r="AV2485" t="s">
        <v>62</v>
      </c>
      <c r="AW2485" t="s">
        <v>65</v>
      </c>
      <c r="AX2485" t="s">
        <v>66</v>
      </c>
      <c r="AY2485" t="s">
        <v>67</v>
      </c>
    </row>
    <row r="2486" spans="1:51" hidden="1" x14ac:dyDescent="0.25">
      <c r="A2486">
        <v>204201</v>
      </c>
      <c r="B2486" t="s">
        <v>9106</v>
      </c>
      <c r="C2486" t="e">
        <f>VLOOKUP(A2486,[1]Customer_payment_journal_line!$AL:$BO,30,0)</f>
        <v>#N/A</v>
      </c>
      <c r="D2486" t="s">
        <v>53</v>
      </c>
      <c r="E2486" t="s">
        <v>9104</v>
      </c>
      <c r="F2486" t="s">
        <v>9105</v>
      </c>
      <c r="G2486" t="s">
        <v>8297</v>
      </c>
      <c r="H2486" t="s">
        <v>69</v>
      </c>
      <c r="I2486" t="s">
        <v>8409</v>
      </c>
      <c r="J2486" t="s">
        <v>8406</v>
      </c>
      <c r="K2486" t="s">
        <v>8407</v>
      </c>
      <c r="L2486" t="s">
        <v>52</v>
      </c>
      <c r="M2486">
        <v>0</v>
      </c>
      <c r="N2486">
        <v>3000</v>
      </c>
      <c r="O2486" t="s">
        <v>61</v>
      </c>
      <c r="P2486">
        <v>100</v>
      </c>
      <c r="Q2486" t="s">
        <v>52</v>
      </c>
      <c r="R2486" t="s">
        <v>52</v>
      </c>
      <c r="S2486" t="s">
        <v>52</v>
      </c>
      <c r="T2486" t="s">
        <v>52</v>
      </c>
      <c r="U2486" t="s">
        <v>52</v>
      </c>
      <c r="V2486" t="s">
        <v>62</v>
      </c>
      <c r="W2486" t="s">
        <v>52</v>
      </c>
      <c r="Y2486" t="s">
        <v>8410</v>
      </c>
      <c r="Z2486" t="s">
        <v>62</v>
      </c>
      <c r="AB2486" t="s">
        <v>9107</v>
      </c>
      <c r="AE2486" t="s">
        <v>9108</v>
      </c>
      <c r="AF2486" t="s">
        <v>52</v>
      </c>
      <c r="AH2486">
        <v>0</v>
      </c>
      <c r="AI2486">
        <v>0</v>
      </c>
      <c r="AJ2486" t="s">
        <v>52</v>
      </c>
      <c r="AK2486">
        <v>0</v>
      </c>
      <c r="AL2486" t="s">
        <v>52</v>
      </c>
      <c r="AM2486" t="s">
        <v>52</v>
      </c>
      <c r="AN2486">
        <v>0</v>
      </c>
      <c r="AO2486">
        <v>0</v>
      </c>
      <c r="AP2486" t="s">
        <v>52</v>
      </c>
      <c r="AQ2486" t="s">
        <v>52</v>
      </c>
      <c r="AR2486" t="s">
        <v>62</v>
      </c>
      <c r="AS2486" t="s">
        <v>52</v>
      </c>
      <c r="AT2486" t="s">
        <v>74</v>
      </c>
      <c r="AU2486" t="s">
        <v>64</v>
      </c>
      <c r="AV2486" t="s">
        <v>62</v>
      </c>
      <c r="AW2486" t="s">
        <v>65</v>
      </c>
      <c r="AX2486" t="s">
        <v>66</v>
      </c>
      <c r="AY2486" t="s">
        <v>67</v>
      </c>
    </row>
    <row r="2487" spans="1:51" hidden="1" x14ac:dyDescent="0.25">
      <c r="A2487">
        <v>204202</v>
      </c>
      <c r="B2487" t="s">
        <v>9109</v>
      </c>
      <c r="C2487" t="e">
        <f>VLOOKUP(A2487,[1]Customer_payment_journal_line!$AL:$BO,30,0)</f>
        <v>#N/A</v>
      </c>
      <c r="D2487" t="s">
        <v>53</v>
      </c>
      <c r="E2487" t="s">
        <v>9110</v>
      </c>
      <c r="F2487" t="s">
        <v>9111</v>
      </c>
      <c r="G2487" t="s">
        <v>8297</v>
      </c>
      <c r="H2487" t="s">
        <v>57</v>
      </c>
      <c r="I2487" t="s">
        <v>58</v>
      </c>
      <c r="J2487" t="s">
        <v>8406</v>
      </c>
      <c r="K2487" t="s">
        <v>8407</v>
      </c>
      <c r="L2487" t="s">
        <v>52</v>
      </c>
      <c r="M2487">
        <v>855</v>
      </c>
      <c r="N2487">
        <v>0</v>
      </c>
      <c r="O2487" t="s">
        <v>61</v>
      </c>
      <c r="P2487">
        <v>100</v>
      </c>
      <c r="Q2487" t="s">
        <v>52</v>
      </c>
      <c r="R2487" t="s">
        <v>52</v>
      </c>
      <c r="S2487" t="s">
        <v>52</v>
      </c>
      <c r="T2487" t="s">
        <v>52</v>
      </c>
      <c r="U2487" t="s">
        <v>52</v>
      </c>
      <c r="V2487" t="s">
        <v>62</v>
      </c>
      <c r="W2487" t="s">
        <v>63</v>
      </c>
      <c r="Y2487" t="s">
        <v>52</v>
      </c>
      <c r="AB2487" t="s">
        <v>52</v>
      </c>
      <c r="AE2487" t="s">
        <v>52</v>
      </c>
      <c r="AF2487" t="s">
        <v>52</v>
      </c>
      <c r="AH2487">
        <v>0</v>
      </c>
      <c r="AI2487">
        <v>0</v>
      </c>
      <c r="AJ2487" t="s">
        <v>52</v>
      </c>
      <c r="AK2487">
        <v>0</v>
      </c>
      <c r="AL2487" t="s">
        <v>52</v>
      </c>
      <c r="AM2487" t="s">
        <v>52</v>
      </c>
      <c r="AN2487">
        <v>0</v>
      </c>
      <c r="AO2487">
        <v>0</v>
      </c>
      <c r="AP2487" t="s">
        <v>52</v>
      </c>
      <c r="AQ2487" t="s">
        <v>52</v>
      </c>
      <c r="AR2487" t="s">
        <v>62</v>
      </c>
      <c r="AS2487" t="s">
        <v>52</v>
      </c>
      <c r="AT2487" t="s">
        <v>52</v>
      </c>
      <c r="AU2487" t="s">
        <v>64</v>
      </c>
      <c r="AV2487" t="s">
        <v>62</v>
      </c>
      <c r="AW2487" t="s">
        <v>65</v>
      </c>
      <c r="AX2487" t="s">
        <v>66</v>
      </c>
      <c r="AY2487" t="s">
        <v>67</v>
      </c>
    </row>
    <row r="2488" spans="1:51" hidden="1" x14ac:dyDescent="0.25">
      <c r="A2488">
        <v>204202</v>
      </c>
      <c r="B2488" t="s">
        <v>9112</v>
      </c>
      <c r="C2488" t="e">
        <f>VLOOKUP(A2488,[1]Customer_payment_journal_line!$AL:$BO,30,0)</f>
        <v>#N/A</v>
      </c>
      <c r="D2488" t="s">
        <v>53</v>
      </c>
      <c r="E2488" t="s">
        <v>9110</v>
      </c>
      <c r="F2488" t="s">
        <v>9111</v>
      </c>
      <c r="G2488" t="s">
        <v>8297</v>
      </c>
      <c r="H2488" t="s">
        <v>69</v>
      </c>
      <c r="I2488" t="s">
        <v>8409</v>
      </c>
      <c r="J2488" t="s">
        <v>8406</v>
      </c>
      <c r="K2488" t="s">
        <v>8407</v>
      </c>
      <c r="L2488" t="s">
        <v>52</v>
      </c>
      <c r="M2488">
        <v>0</v>
      </c>
      <c r="N2488">
        <v>855</v>
      </c>
      <c r="O2488" t="s">
        <v>61</v>
      </c>
      <c r="P2488">
        <v>100</v>
      </c>
      <c r="Q2488" t="s">
        <v>52</v>
      </c>
      <c r="R2488" t="s">
        <v>52</v>
      </c>
      <c r="S2488" t="s">
        <v>52</v>
      </c>
      <c r="T2488" t="s">
        <v>52</v>
      </c>
      <c r="U2488" t="s">
        <v>52</v>
      </c>
      <c r="V2488" t="s">
        <v>62</v>
      </c>
      <c r="W2488" t="s">
        <v>52</v>
      </c>
      <c r="Y2488" t="s">
        <v>8410</v>
      </c>
      <c r="Z2488" t="s">
        <v>62</v>
      </c>
      <c r="AB2488" t="s">
        <v>9113</v>
      </c>
      <c r="AE2488" t="s">
        <v>9114</v>
      </c>
      <c r="AF2488" t="s">
        <v>52</v>
      </c>
      <c r="AH2488">
        <v>0</v>
      </c>
      <c r="AI2488">
        <v>0</v>
      </c>
      <c r="AJ2488" t="s">
        <v>52</v>
      </c>
      <c r="AK2488">
        <v>0</v>
      </c>
      <c r="AL2488" t="s">
        <v>52</v>
      </c>
      <c r="AM2488" t="s">
        <v>52</v>
      </c>
      <c r="AN2488">
        <v>0</v>
      </c>
      <c r="AO2488">
        <v>0</v>
      </c>
      <c r="AP2488" t="s">
        <v>52</v>
      </c>
      <c r="AQ2488" t="s">
        <v>52</v>
      </c>
      <c r="AR2488" t="s">
        <v>62</v>
      </c>
      <c r="AS2488" t="s">
        <v>52</v>
      </c>
      <c r="AT2488" t="s">
        <v>74</v>
      </c>
      <c r="AU2488" t="s">
        <v>64</v>
      </c>
      <c r="AV2488" t="s">
        <v>62</v>
      </c>
      <c r="AW2488" t="s">
        <v>65</v>
      </c>
      <c r="AX2488" t="s">
        <v>66</v>
      </c>
      <c r="AY2488" t="s">
        <v>67</v>
      </c>
    </row>
    <row r="2489" spans="1:51" hidden="1" x14ac:dyDescent="0.25">
      <c r="A2489">
        <v>403928</v>
      </c>
      <c r="B2489" t="s">
        <v>9115</v>
      </c>
      <c r="C2489" t="e">
        <f>VLOOKUP(A2489,[1]Customer_payment_journal_line!$AL:$BO,30,0)</f>
        <v>#N/A</v>
      </c>
      <c r="D2489" t="s">
        <v>53</v>
      </c>
      <c r="E2489" t="s">
        <v>9116</v>
      </c>
      <c r="F2489" t="s">
        <v>9117</v>
      </c>
      <c r="G2489" t="s">
        <v>8297</v>
      </c>
      <c r="H2489" t="s">
        <v>57</v>
      </c>
      <c r="I2489" t="s">
        <v>58</v>
      </c>
      <c r="J2489" t="s">
        <v>9118</v>
      </c>
      <c r="K2489" t="s">
        <v>5995</v>
      </c>
      <c r="L2489" t="s">
        <v>52</v>
      </c>
      <c r="M2489">
        <v>3990</v>
      </c>
      <c r="N2489">
        <v>0</v>
      </c>
      <c r="O2489" t="s">
        <v>61</v>
      </c>
      <c r="P2489">
        <v>100</v>
      </c>
      <c r="Q2489" t="s">
        <v>52</v>
      </c>
      <c r="R2489" t="s">
        <v>52</v>
      </c>
      <c r="S2489" t="s">
        <v>52</v>
      </c>
      <c r="T2489" t="s">
        <v>52</v>
      </c>
      <c r="U2489" t="s">
        <v>52</v>
      </c>
      <c r="V2489" t="s">
        <v>62</v>
      </c>
      <c r="W2489" t="s">
        <v>63</v>
      </c>
      <c r="Y2489" t="s">
        <v>52</v>
      </c>
      <c r="AB2489" t="s">
        <v>52</v>
      </c>
      <c r="AE2489" t="s">
        <v>52</v>
      </c>
      <c r="AF2489" t="s">
        <v>52</v>
      </c>
      <c r="AH2489">
        <v>0</v>
      </c>
      <c r="AI2489">
        <v>0</v>
      </c>
      <c r="AJ2489" t="s">
        <v>52</v>
      </c>
      <c r="AK2489">
        <v>0</v>
      </c>
      <c r="AL2489" t="s">
        <v>52</v>
      </c>
      <c r="AM2489" t="s">
        <v>52</v>
      </c>
      <c r="AN2489">
        <v>0</v>
      </c>
      <c r="AO2489">
        <v>0</v>
      </c>
      <c r="AP2489" t="s">
        <v>52</v>
      </c>
      <c r="AQ2489" t="s">
        <v>52</v>
      </c>
      <c r="AR2489" t="s">
        <v>62</v>
      </c>
      <c r="AS2489" t="s">
        <v>52</v>
      </c>
      <c r="AT2489" t="s">
        <v>52</v>
      </c>
      <c r="AU2489" t="s">
        <v>64</v>
      </c>
      <c r="AV2489" t="s">
        <v>62</v>
      </c>
      <c r="AW2489" t="s">
        <v>65</v>
      </c>
      <c r="AX2489" t="s">
        <v>66</v>
      </c>
      <c r="AY2489" t="s">
        <v>67</v>
      </c>
    </row>
    <row r="2490" spans="1:51" hidden="1" x14ac:dyDescent="0.25">
      <c r="A2490">
        <v>403928</v>
      </c>
      <c r="B2490" t="s">
        <v>9119</v>
      </c>
      <c r="C2490" t="e">
        <f>VLOOKUP(A2490,[1]Customer_payment_journal_line!$AL:$BO,30,0)</f>
        <v>#N/A</v>
      </c>
      <c r="D2490" t="s">
        <v>53</v>
      </c>
      <c r="E2490" t="s">
        <v>9116</v>
      </c>
      <c r="F2490" t="s">
        <v>9117</v>
      </c>
      <c r="G2490" t="s">
        <v>8297</v>
      </c>
      <c r="H2490" t="s">
        <v>69</v>
      </c>
      <c r="I2490" t="s">
        <v>9120</v>
      </c>
      <c r="J2490" t="s">
        <v>9118</v>
      </c>
      <c r="K2490" t="s">
        <v>5995</v>
      </c>
      <c r="L2490" t="s">
        <v>52</v>
      </c>
      <c r="M2490">
        <v>0</v>
      </c>
      <c r="N2490">
        <v>3990</v>
      </c>
      <c r="O2490" t="s">
        <v>61</v>
      </c>
      <c r="P2490">
        <v>100</v>
      </c>
      <c r="Q2490" t="s">
        <v>52</v>
      </c>
      <c r="R2490" t="s">
        <v>52</v>
      </c>
      <c r="S2490" t="s">
        <v>52</v>
      </c>
      <c r="T2490" t="s">
        <v>52</v>
      </c>
      <c r="U2490" t="s">
        <v>52</v>
      </c>
      <c r="V2490" t="s">
        <v>62</v>
      </c>
      <c r="W2490" t="s">
        <v>52</v>
      </c>
      <c r="Y2490" t="s">
        <v>9121</v>
      </c>
      <c r="Z2490" t="s">
        <v>62</v>
      </c>
      <c r="AB2490" t="s">
        <v>9122</v>
      </c>
      <c r="AE2490" t="s">
        <v>9123</v>
      </c>
      <c r="AF2490" t="s">
        <v>52</v>
      </c>
      <c r="AH2490">
        <v>0</v>
      </c>
      <c r="AI2490">
        <v>0</v>
      </c>
      <c r="AJ2490" t="s">
        <v>52</v>
      </c>
      <c r="AK2490">
        <v>0</v>
      </c>
      <c r="AL2490" t="s">
        <v>52</v>
      </c>
      <c r="AM2490" t="s">
        <v>52</v>
      </c>
      <c r="AN2490">
        <v>0</v>
      </c>
      <c r="AO2490">
        <v>0</v>
      </c>
      <c r="AP2490" t="s">
        <v>52</v>
      </c>
      <c r="AQ2490" t="s">
        <v>52</v>
      </c>
      <c r="AR2490" t="s">
        <v>62</v>
      </c>
      <c r="AS2490" t="s">
        <v>52</v>
      </c>
      <c r="AT2490" t="s">
        <v>74</v>
      </c>
      <c r="AU2490" t="s">
        <v>64</v>
      </c>
      <c r="AV2490" t="s">
        <v>62</v>
      </c>
      <c r="AW2490" t="s">
        <v>65</v>
      </c>
      <c r="AX2490" t="s">
        <v>66</v>
      </c>
      <c r="AY2490" t="s">
        <v>67</v>
      </c>
    </row>
    <row r="2491" spans="1:51" hidden="1" x14ac:dyDescent="0.25">
      <c r="A2491">
        <v>401827</v>
      </c>
      <c r="B2491" t="s">
        <v>9124</v>
      </c>
      <c r="C2491" t="e">
        <f>VLOOKUP(A2491,[1]Customer_payment_journal_line!$AL:$BO,30,0)</f>
        <v>#N/A</v>
      </c>
      <c r="D2491" t="s">
        <v>53</v>
      </c>
      <c r="E2491" t="s">
        <v>9125</v>
      </c>
      <c r="F2491" t="s">
        <v>9126</v>
      </c>
      <c r="G2491" t="s">
        <v>8297</v>
      </c>
      <c r="H2491" t="s">
        <v>57</v>
      </c>
      <c r="I2491" t="s">
        <v>58</v>
      </c>
      <c r="J2491" t="s">
        <v>9118</v>
      </c>
      <c r="K2491" t="s">
        <v>5995</v>
      </c>
      <c r="L2491" t="s">
        <v>52</v>
      </c>
      <c r="M2491">
        <v>855</v>
      </c>
      <c r="N2491">
        <v>0</v>
      </c>
      <c r="O2491" t="s">
        <v>61</v>
      </c>
      <c r="P2491">
        <v>100</v>
      </c>
      <c r="Q2491" t="s">
        <v>52</v>
      </c>
      <c r="R2491" t="s">
        <v>52</v>
      </c>
      <c r="S2491" t="s">
        <v>52</v>
      </c>
      <c r="T2491" t="s">
        <v>52</v>
      </c>
      <c r="U2491" t="s">
        <v>52</v>
      </c>
      <c r="V2491" t="s">
        <v>62</v>
      </c>
      <c r="W2491" t="s">
        <v>63</v>
      </c>
      <c r="Y2491" t="s">
        <v>52</v>
      </c>
      <c r="AB2491" t="s">
        <v>52</v>
      </c>
      <c r="AE2491" t="s">
        <v>52</v>
      </c>
      <c r="AF2491" t="s">
        <v>52</v>
      </c>
      <c r="AH2491">
        <v>0</v>
      </c>
      <c r="AI2491">
        <v>0</v>
      </c>
      <c r="AJ2491" t="s">
        <v>52</v>
      </c>
      <c r="AK2491">
        <v>0</v>
      </c>
      <c r="AL2491" t="s">
        <v>52</v>
      </c>
      <c r="AM2491" t="s">
        <v>52</v>
      </c>
      <c r="AN2491">
        <v>0</v>
      </c>
      <c r="AO2491">
        <v>0</v>
      </c>
      <c r="AP2491" t="s">
        <v>52</v>
      </c>
      <c r="AQ2491" t="s">
        <v>52</v>
      </c>
      <c r="AR2491" t="s">
        <v>62</v>
      </c>
      <c r="AS2491" t="s">
        <v>52</v>
      </c>
      <c r="AT2491" t="s">
        <v>52</v>
      </c>
      <c r="AU2491" t="s">
        <v>64</v>
      </c>
      <c r="AV2491" t="s">
        <v>62</v>
      </c>
      <c r="AW2491" t="s">
        <v>65</v>
      </c>
      <c r="AX2491" t="s">
        <v>66</v>
      </c>
      <c r="AY2491" t="s">
        <v>67</v>
      </c>
    </row>
    <row r="2492" spans="1:51" hidden="1" x14ac:dyDescent="0.25">
      <c r="A2492">
        <v>401827</v>
      </c>
      <c r="B2492" t="s">
        <v>9127</v>
      </c>
      <c r="C2492" t="e">
        <f>VLOOKUP(A2492,[1]Customer_payment_journal_line!$AL:$BO,30,0)</f>
        <v>#N/A</v>
      </c>
      <c r="D2492" t="s">
        <v>53</v>
      </c>
      <c r="E2492" t="s">
        <v>9125</v>
      </c>
      <c r="F2492" t="s">
        <v>9126</v>
      </c>
      <c r="G2492" t="s">
        <v>8297</v>
      </c>
      <c r="H2492" t="s">
        <v>69</v>
      </c>
      <c r="I2492" t="s">
        <v>9120</v>
      </c>
      <c r="J2492" t="s">
        <v>9118</v>
      </c>
      <c r="K2492" t="s">
        <v>5995</v>
      </c>
      <c r="L2492" t="s">
        <v>52</v>
      </c>
      <c r="M2492">
        <v>0</v>
      </c>
      <c r="N2492">
        <v>855</v>
      </c>
      <c r="O2492" t="s">
        <v>61</v>
      </c>
      <c r="P2492">
        <v>100</v>
      </c>
      <c r="Q2492" t="s">
        <v>52</v>
      </c>
      <c r="R2492" t="s">
        <v>52</v>
      </c>
      <c r="S2492" t="s">
        <v>52</v>
      </c>
      <c r="T2492" t="s">
        <v>52</v>
      </c>
      <c r="U2492" t="s">
        <v>52</v>
      </c>
      <c r="V2492" t="s">
        <v>62</v>
      </c>
      <c r="W2492" t="s">
        <v>52</v>
      </c>
      <c r="Y2492" t="s">
        <v>9121</v>
      </c>
      <c r="Z2492" t="s">
        <v>62</v>
      </c>
      <c r="AB2492" t="s">
        <v>9128</v>
      </c>
      <c r="AE2492" t="s">
        <v>9129</v>
      </c>
      <c r="AF2492" t="s">
        <v>52</v>
      </c>
      <c r="AH2492">
        <v>0</v>
      </c>
      <c r="AI2492">
        <v>0</v>
      </c>
      <c r="AJ2492" t="s">
        <v>52</v>
      </c>
      <c r="AK2492">
        <v>0</v>
      </c>
      <c r="AL2492" t="s">
        <v>52</v>
      </c>
      <c r="AM2492" t="s">
        <v>52</v>
      </c>
      <c r="AN2492">
        <v>0</v>
      </c>
      <c r="AO2492">
        <v>0</v>
      </c>
      <c r="AP2492" t="s">
        <v>52</v>
      </c>
      <c r="AQ2492" t="s">
        <v>52</v>
      </c>
      <c r="AR2492" t="s">
        <v>62</v>
      </c>
      <c r="AS2492" t="s">
        <v>52</v>
      </c>
      <c r="AT2492" t="s">
        <v>74</v>
      </c>
      <c r="AU2492" t="s">
        <v>64</v>
      </c>
      <c r="AV2492" t="s">
        <v>62</v>
      </c>
      <c r="AW2492" t="s">
        <v>65</v>
      </c>
      <c r="AX2492" t="s">
        <v>66</v>
      </c>
      <c r="AY2492" t="s">
        <v>67</v>
      </c>
    </row>
  </sheetData>
  <autoFilter ref="A1:AY2492" xr:uid="{00000000-0001-0000-0000-000000000000}">
    <filterColumn colId="49">
      <filters>
        <filter val="DownPayment"/>
      </filters>
    </filterColumn>
    <sortState xmlns:xlrd2="http://schemas.microsoft.com/office/spreadsheetml/2017/richdata2" ref="A23:AY2443">
      <sortCondition ref="AF1:AF2492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8628f3c-d584-4e0f-91cd-5a2f04a0d8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Mohab AbouShady</cp:lastModifiedBy>
  <dcterms:modified xsi:type="dcterms:W3CDTF">2025-12-02T21:28:07Z</dcterms:modified>
</cp:coreProperties>
</file>